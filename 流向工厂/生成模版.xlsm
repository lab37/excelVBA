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X:\Users\Administrator\Desktop\流向\流向工厂\"/>
    </mc:Choice>
  </mc:AlternateContent>
  <xr:revisionPtr revIDLastSave="0" documentId="10_ncr:8100000_{092FB02A-ADA3-49BF-A5CA-C5A8D5A04B69}" xr6:coauthVersionLast="34" xr6:coauthVersionMax="34" xr10:uidLastSave="{00000000-0000-0000-0000-000000000000}"/>
  <bookViews>
    <workbookView xWindow="0" yWindow="0" windowWidth="22365" windowHeight="9945" activeTab="2" xr2:uid="{00000000-000D-0000-FFFF-FFFF00000000}"/>
  </bookViews>
  <sheets>
    <sheet name="转配商关联商" sheetId="2" r:id="rId1"/>
    <sheet name="商业2转码" sheetId="7" r:id="rId2"/>
    <sheet name="医院2县区2人" sheetId="5" r:id="rId3"/>
    <sheet name="品种2编码" sheetId="4" r:id="rId4"/>
    <sheet name="流向列名2标准" sheetId="6" r:id="rId5"/>
    <sheet name="工厂基础数据" sheetId="3" r:id="rId6"/>
  </sheets>
  <definedNames>
    <definedName name="_xlnm._FilterDatabase" localSheetId="0" hidden="1">转配商关联商!$A$1:$X$3213</definedName>
  </definedNames>
  <calcPr calcId="162913"/>
</workbook>
</file>

<file path=xl/calcChain.xml><?xml version="1.0" encoding="utf-8"?>
<calcChain xmlns="http://schemas.openxmlformats.org/spreadsheetml/2006/main">
  <c r="D245" i="4" l="1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W3213" i="2"/>
  <c r="T3213" i="2"/>
  <c r="W3212" i="2"/>
  <c r="T3212" i="2"/>
  <c r="W3211" i="2"/>
  <c r="T3211" i="2"/>
  <c r="W3210" i="2"/>
  <c r="T3210" i="2"/>
  <c r="W3209" i="2"/>
  <c r="T3209" i="2"/>
  <c r="W3208" i="2"/>
  <c r="T3208" i="2"/>
  <c r="W3207" i="2"/>
  <c r="T3207" i="2"/>
  <c r="W3206" i="2"/>
  <c r="T3206" i="2"/>
  <c r="W3205" i="2"/>
  <c r="T3205" i="2"/>
  <c r="W3204" i="2"/>
  <c r="T3204" i="2"/>
  <c r="W3203" i="2"/>
  <c r="T3203" i="2"/>
  <c r="W3202" i="2"/>
  <c r="T3202" i="2"/>
  <c r="W3201" i="2"/>
  <c r="T3201" i="2"/>
  <c r="W3200" i="2"/>
  <c r="T3200" i="2"/>
  <c r="W3199" i="2"/>
  <c r="T3199" i="2"/>
  <c r="W3198" i="2"/>
  <c r="T3198" i="2"/>
  <c r="W3197" i="2"/>
  <c r="T3197" i="2"/>
  <c r="W3196" i="2"/>
  <c r="T3196" i="2"/>
  <c r="W3195" i="2"/>
  <c r="T3195" i="2"/>
  <c r="W3194" i="2"/>
  <c r="T3194" i="2"/>
  <c r="W3193" i="2"/>
  <c r="T3193" i="2"/>
  <c r="W3192" i="2"/>
  <c r="T3192" i="2"/>
  <c r="W3191" i="2"/>
  <c r="T3191" i="2"/>
  <c r="W3190" i="2"/>
  <c r="T3190" i="2"/>
  <c r="W3189" i="2"/>
  <c r="T3189" i="2"/>
  <c r="W3188" i="2"/>
  <c r="T3188" i="2"/>
  <c r="W3187" i="2"/>
  <c r="T3187" i="2"/>
  <c r="W3186" i="2"/>
  <c r="T3186" i="2"/>
  <c r="W3185" i="2"/>
  <c r="T3185" i="2"/>
  <c r="W3184" i="2"/>
  <c r="T3184" i="2"/>
  <c r="W3183" i="2"/>
  <c r="T3183" i="2"/>
  <c r="W3182" i="2"/>
  <c r="T3182" i="2"/>
  <c r="W3181" i="2"/>
  <c r="T3181" i="2"/>
  <c r="W3180" i="2"/>
  <c r="T3180" i="2"/>
  <c r="W3179" i="2"/>
  <c r="T3179" i="2"/>
  <c r="W3178" i="2"/>
  <c r="T3178" i="2"/>
  <c r="W3177" i="2"/>
  <c r="T3177" i="2"/>
  <c r="W3176" i="2"/>
  <c r="T3176" i="2"/>
  <c r="W3175" i="2"/>
  <c r="T3175" i="2"/>
  <c r="W3174" i="2"/>
  <c r="T3174" i="2"/>
  <c r="W3173" i="2"/>
  <c r="T3173" i="2"/>
  <c r="W3172" i="2"/>
  <c r="T3172" i="2"/>
  <c r="W3171" i="2"/>
  <c r="T3171" i="2"/>
  <c r="W3170" i="2"/>
  <c r="T3170" i="2"/>
  <c r="W3169" i="2"/>
  <c r="T3169" i="2"/>
  <c r="W3168" i="2"/>
  <c r="T3168" i="2"/>
  <c r="W3167" i="2"/>
  <c r="T3167" i="2"/>
  <c r="W3166" i="2"/>
  <c r="T3166" i="2"/>
  <c r="W3165" i="2"/>
  <c r="T3165" i="2"/>
  <c r="W3164" i="2"/>
  <c r="T3164" i="2"/>
  <c r="W3163" i="2"/>
  <c r="T3163" i="2"/>
  <c r="W3162" i="2"/>
  <c r="T3162" i="2"/>
  <c r="W3161" i="2"/>
  <c r="T3161" i="2"/>
  <c r="W3160" i="2"/>
  <c r="T3160" i="2"/>
  <c r="W3159" i="2"/>
  <c r="T3159" i="2"/>
  <c r="W3158" i="2"/>
  <c r="T3158" i="2"/>
  <c r="W3157" i="2"/>
  <c r="T3157" i="2"/>
  <c r="W3156" i="2"/>
  <c r="T3156" i="2"/>
  <c r="W3155" i="2"/>
  <c r="T3155" i="2"/>
  <c r="W3154" i="2"/>
  <c r="T3154" i="2"/>
  <c r="W3153" i="2"/>
  <c r="T3153" i="2"/>
  <c r="W3152" i="2"/>
  <c r="T3152" i="2"/>
  <c r="W3151" i="2"/>
  <c r="T3151" i="2"/>
  <c r="W3150" i="2"/>
  <c r="T3150" i="2"/>
  <c r="W3149" i="2"/>
  <c r="T3149" i="2"/>
  <c r="W3148" i="2"/>
  <c r="T3148" i="2"/>
  <c r="W3147" i="2"/>
  <c r="T3147" i="2"/>
  <c r="W3146" i="2"/>
  <c r="T3146" i="2"/>
  <c r="W3145" i="2"/>
  <c r="T3145" i="2"/>
  <c r="W3144" i="2"/>
  <c r="T3144" i="2"/>
  <c r="W3143" i="2"/>
  <c r="T3143" i="2"/>
  <c r="W3142" i="2"/>
  <c r="T3142" i="2"/>
  <c r="W3141" i="2"/>
  <c r="T3141" i="2"/>
  <c r="W3140" i="2"/>
  <c r="T3140" i="2"/>
  <c r="W3139" i="2"/>
  <c r="T3139" i="2"/>
  <c r="W3138" i="2"/>
  <c r="T3138" i="2"/>
  <c r="W3137" i="2"/>
  <c r="T3137" i="2"/>
  <c r="W3136" i="2"/>
  <c r="T3136" i="2"/>
  <c r="W3135" i="2"/>
  <c r="T3135" i="2"/>
  <c r="W3134" i="2"/>
  <c r="T3134" i="2"/>
  <c r="W3133" i="2"/>
  <c r="T3133" i="2"/>
  <c r="W3132" i="2"/>
  <c r="T3132" i="2"/>
  <c r="W3131" i="2"/>
  <c r="T3131" i="2"/>
  <c r="W3130" i="2"/>
  <c r="T3130" i="2"/>
  <c r="W3129" i="2"/>
  <c r="T3129" i="2"/>
  <c r="W3128" i="2"/>
  <c r="T3128" i="2"/>
  <c r="W3127" i="2"/>
  <c r="T3127" i="2"/>
  <c r="W3126" i="2"/>
  <c r="T3126" i="2"/>
  <c r="W3125" i="2"/>
  <c r="T3125" i="2"/>
  <c r="W3124" i="2"/>
  <c r="T3124" i="2"/>
  <c r="W3123" i="2"/>
  <c r="T3123" i="2"/>
  <c r="W3122" i="2"/>
  <c r="T3122" i="2"/>
  <c r="W3121" i="2"/>
  <c r="T3121" i="2"/>
  <c r="W3120" i="2"/>
  <c r="T3120" i="2"/>
  <c r="W3119" i="2"/>
  <c r="T3119" i="2"/>
  <c r="W3118" i="2"/>
  <c r="T3118" i="2"/>
  <c r="W3117" i="2"/>
  <c r="T3117" i="2"/>
  <c r="W3116" i="2"/>
  <c r="T3116" i="2"/>
  <c r="W3115" i="2"/>
  <c r="T3115" i="2"/>
  <c r="W3114" i="2"/>
  <c r="T3114" i="2"/>
  <c r="W3113" i="2"/>
  <c r="T3113" i="2"/>
  <c r="W3112" i="2"/>
  <c r="T3112" i="2"/>
  <c r="W3111" i="2"/>
  <c r="T3111" i="2"/>
  <c r="W3110" i="2"/>
  <c r="T3110" i="2"/>
  <c r="W3109" i="2"/>
  <c r="T3109" i="2"/>
  <c r="W3108" i="2"/>
  <c r="T3108" i="2"/>
  <c r="W3107" i="2"/>
  <c r="T3107" i="2"/>
  <c r="W3106" i="2"/>
  <c r="T3106" i="2"/>
  <c r="W3105" i="2"/>
  <c r="T3105" i="2"/>
  <c r="W3104" i="2"/>
  <c r="T3104" i="2"/>
  <c r="W3103" i="2"/>
  <c r="T3103" i="2"/>
  <c r="W3102" i="2"/>
  <c r="T3102" i="2"/>
  <c r="W3101" i="2"/>
  <c r="T3101" i="2"/>
  <c r="W3100" i="2"/>
  <c r="T3100" i="2"/>
  <c r="W3099" i="2"/>
  <c r="T3099" i="2"/>
  <c r="W3098" i="2"/>
  <c r="T3098" i="2"/>
  <c r="W3097" i="2"/>
  <c r="T3097" i="2"/>
  <c r="W3096" i="2"/>
  <c r="T3096" i="2"/>
  <c r="W3095" i="2"/>
  <c r="T3095" i="2"/>
  <c r="W3094" i="2"/>
  <c r="T3094" i="2"/>
  <c r="W3093" i="2"/>
  <c r="T3093" i="2"/>
  <c r="W3092" i="2"/>
  <c r="T3092" i="2"/>
  <c r="W3091" i="2"/>
  <c r="T3091" i="2"/>
  <c r="W3090" i="2"/>
  <c r="T3090" i="2"/>
  <c r="W3089" i="2"/>
  <c r="T3089" i="2"/>
  <c r="W3088" i="2"/>
  <c r="T3088" i="2"/>
  <c r="W3087" i="2"/>
  <c r="T3087" i="2"/>
  <c r="W3086" i="2"/>
  <c r="T3086" i="2"/>
  <c r="W3085" i="2"/>
  <c r="T3085" i="2"/>
  <c r="W3084" i="2"/>
  <c r="T3084" i="2"/>
  <c r="W3083" i="2"/>
  <c r="T3083" i="2"/>
  <c r="W3082" i="2"/>
  <c r="T3082" i="2"/>
  <c r="W3081" i="2"/>
  <c r="T3081" i="2"/>
  <c r="W3080" i="2"/>
  <c r="T3080" i="2"/>
  <c r="W3079" i="2"/>
  <c r="T3079" i="2"/>
  <c r="W3078" i="2"/>
  <c r="T3078" i="2"/>
  <c r="W3077" i="2"/>
  <c r="T3077" i="2"/>
  <c r="W3076" i="2"/>
  <c r="T3076" i="2"/>
  <c r="W3075" i="2"/>
  <c r="T3075" i="2"/>
  <c r="W3074" i="2"/>
  <c r="T3074" i="2"/>
  <c r="W3073" i="2"/>
  <c r="T3073" i="2"/>
  <c r="W3072" i="2"/>
  <c r="T3072" i="2"/>
  <c r="W3071" i="2"/>
  <c r="T3071" i="2"/>
  <c r="W3070" i="2"/>
  <c r="T3070" i="2"/>
  <c r="W3069" i="2"/>
  <c r="T3069" i="2"/>
  <c r="W3068" i="2"/>
  <c r="T3068" i="2"/>
  <c r="W3067" i="2"/>
  <c r="T3067" i="2"/>
  <c r="W3066" i="2"/>
  <c r="T3066" i="2"/>
  <c r="W3065" i="2"/>
  <c r="T3065" i="2"/>
  <c r="W3064" i="2"/>
  <c r="T3064" i="2"/>
  <c r="W3063" i="2"/>
  <c r="T3063" i="2"/>
  <c r="W3062" i="2"/>
  <c r="T3062" i="2"/>
  <c r="W3061" i="2"/>
  <c r="T3061" i="2"/>
  <c r="W3060" i="2"/>
  <c r="T3060" i="2"/>
  <c r="W3059" i="2"/>
  <c r="T3059" i="2"/>
  <c r="W3058" i="2"/>
  <c r="T3058" i="2"/>
  <c r="W3057" i="2"/>
  <c r="T3057" i="2"/>
  <c r="W3056" i="2"/>
  <c r="T3056" i="2"/>
  <c r="W3055" i="2"/>
  <c r="T3055" i="2"/>
  <c r="W3054" i="2"/>
  <c r="T3054" i="2"/>
  <c r="W3053" i="2"/>
  <c r="T3053" i="2"/>
  <c r="W3052" i="2"/>
  <c r="T3052" i="2"/>
  <c r="W3051" i="2"/>
  <c r="T3051" i="2"/>
  <c r="W3050" i="2"/>
  <c r="T3050" i="2"/>
  <c r="W3049" i="2"/>
  <c r="T3049" i="2"/>
  <c r="W3048" i="2"/>
  <c r="T3048" i="2"/>
  <c r="W3047" i="2"/>
  <c r="T3047" i="2"/>
  <c r="W3046" i="2"/>
  <c r="T3046" i="2"/>
  <c r="W3045" i="2"/>
  <c r="T3045" i="2"/>
  <c r="W3044" i="2"/>
  <c r="T3044" i="2"/>
  <c r="W3043" i="2"/>
  <c r="T3043" i="2"/>
  <c r="W3042" i="2"/>
  <c r="T3042" i="2"/>
  <c r="W3041" i="2"/>
  <c r="T3041" i="2"/>
  <c r="W3040" i="2"/>
  <c r="T3040" i="2"/>
  <c r="W3039" i="2"/>
  <c r="T3039" i="2"/>
  <c r="W3038" i="2"/>
  <c r="T3038" i="2"/>
  <c r="W3037" i="2"/>
  <c r="T3037" i="2"/>
  <c r="W3036" i="2"/>
  <c r="T3036" i="2"/>
  <c r="W3035" i="2"/>
  <c r="T3035" i="2"/>
  <c r="W3034" i="2"/>
  <c r="T3034" i="2"/>
  <c r="W3033" i="2"/>
  <c r="T3033" i="2"/>
  <c r="W3032" i="2"/>
  <c r="T3032" i="2"/>
  <c r="W3031" i="2"/>
  <c r="T3031" i="2"/>
  <c r="W3030" i="2"/>
  <c r="T3030" i="2"/>
  <c r="W3029" i="2"/>
  <c r="T3029" i="2"/>
  <c r="W3028" i="2"/>
  <c r="T3028" i="2"/>
  <c r="W3027" i="2"/>
  <c r="T3027" i="2"/>
  <c r="W3026" i="2"/>
  <c r="T3026" i="2"/>
  <c r="W3025" i="2"/>
  <c r="T3025" i="2"/>
  <c r="W3024" i="2"/>
  <c r="T3024" i="2"/>
  <c r="W3023" i="2"/>
  <c r="T3023" i="2"/>
  <c r="W3022" i="2"/>
  <c r="T3022" i="2"/>
  <c r="W3021" i="2"/>
  <c r="T3021" i="2"/>
  <c r="W3020" i="2"/>
  <c r="T3020" i="2"/>
  <c r="W3019" i="2"/>
  <c r="T3019" i="2"/>
  <c r="W3018" i="2"/>
  <c r="T3018" i="2"/>
  <c r="W3017" i="2"/>
  <c r="T3017" i="2"/>
  <c r="W3016" i="2"/>
  <c r="T3016" i="2"/>
  <c r="W3015" i="2"/>
  <c r="T3015" i="2"/>
  <c r="W3014" i="2"/>
  <c r="T3014" i="2"/>
  <c r="W3013" i="2"/>
  <c r="T3013" i="2"/>
  <c r="W3012" i="2"/>
  <c r="T3012" i="2"/>
  <c r="W3011" i="2"/>
  <c r="T3011" i="2"/>
  <c r="W3010" i="2"/>
  <c r="T3010" i="2"/>
  <c r="W3009" i="2"/>
  <c r="T3009" i="2"/>
  <c r="W3008" i="2"/>
  <c r="T3008" i="2"/>
  <c r="W3007" i="2"/>
  <c r="T3007" i="2"/>
  <c r="W3006" i="2"/>
  <c r="T3006" i="2"/>
  <c r="W3005" i="2"/>
  <c r="T3005" i="2"/>
  <c r="W3004" i="2"/>
  <c r="T3004" i="2"/>
  <c r="W3003" i="2"/>
  <c r="T3003" i="2"/>
  <c r="W3002" i="2"/>
  <c r="T3002" i="2"/>
  <c r="W3001" i="2"/>
  <c r="T3001" i="2"/>
  <c r="W3000" i="2"/>
  <c r="T3000" i="2"/>
  <c r="W2999" i="2"/>
  <c r="T2999" i="2"/>
  <c r="W2998" i="2"/>
  <c r="T2998" i="2"/>
  <c r="W2997" i="2"/>
  <c r="T2997" i="2"/>
  <c r="W2996" i="2"/>
  <c r="T2996" i="2"/>
  <c r="W2995" i="2"/>
  <c r="T2995" i="2"/>
  <c r="W2994" i="2"/>
  <c r="T2994" i="2"/>
  <c r="W2993" i="2"/>
  <c r="T2993" i="2"/>
  <c r="W2992" i="2"/>
  <c r="T2992" i="2"/>
  <c r="W2991" i="2"/>
  <c r="T2991" i="2"/>
  <c r="W2990" i="2"/>
  <c r="T2990" i="2"/>
  <c r="W2989" i="2"/>
  <c r="T2989" i="2"/>
  <c r="W2988" i="2"/>
  <c r="T2988" i="2"/>
  <c r="W2987" i="2"/>
  <c r="T2987" i="2"/>
  <c r="W2986" i="2"/>
  <c r="T2986" i="2"/>
  <c r="W2985" i="2"/>
  <c r="T2985" i="2"/>
  <c r="W2984" i="2"/>
  <c r="T2984" i="2"/>
  <c r="W2983" i="2"/>
  <c r="T2983" i="2"/>
  <c r="W2982" i="2"/>
  <c r="T2982" i="2"/>
  <c r="W2981" i="2"/>
  <c r="T2981" i="2"/>
  <c r="W2980" i="2"/>
  <c r="T2980" i="2"/>
  <c r="W2979" i="2"/>
  <c r="T2979" i="2"/>
  <c r="W2978" i="2"/>
  <c r="T2978" i="2"/>
  <c r="W2977" i="2"/>
  <c r="T2977" i="2"/>
  <c r="W2976" i="2"/>
  <c r="T2976" i="2"/>
  <c r="W2975" i="2"/>
  <c r="T2975" i="2"/>
  <c r="W2974" i="2"/>
  <c r="T2974" i="2"/>
  <c r="W2973" i="2"/>
  <c r="T2973" i="2"/>
  <c r="W2972" i="2"/>
  <c r="T2972" i="2"/>
  <c r="W2971" i="2"/>
  <c r="T2971" i="2"/>
  <c r="W2970" i="2"/>
  <c r="T2970" i="2"/>
  <c r="W2969" i="2"/>
  <c r="T2969" i="2"/>
  <c r="W2968" i="2"/>
  <c r="T2968" i="2"/>
  <c r="W2967" i="2"/>
  <c r="T2967" i="2"/>
  <c r="W2966" i="2"/>
  <c r="T2966" i="2"/>
  <c r="W2965" i="2"/>
  <c r="T2965" i="2"/>
  <c r="W2964" i="2"/>
  <c r="T2964" i="2"/>
  <c r="W2963" i="2"/>
  <c r="T2963" i="2"/>
  <c r="W2962" i="2"/>
  <c r="T2962" i="2"/>
  <c r="W2961" i="2"/>
  <c r="T2961" i="2"/>
  <c r="W2960" i="2"/>
  <c r="T2960" i="2"/>
  <c r="W2959" i="2"/>
  <c r="T2959" i="2"/>
  <c r="W2958" i="2"/>
  <c r="T2958" i="2"/>
  <c r="W2957" i="2"/>
  <c r="T2957" i="2"/>
  <c r="W2956" i="2"/>
  <c r="T2956" i="2"/>
  <c r="W2955" i="2"/>
  <c r="T2955" i="2"/>
  <c r="W2954" i="2"/>
  <c r="T2954" i="2"/>
  <c r="W2953" i="2"/>
  <c r="T2953" i="2"/>
  <c r="W2952" i="2"/>
  <c r="T2952" i="2"/>
  <c r="W2951" i="2"/>
  <c r="T2951" i="2"/>
  <c r="W2950" i="2"/>
  <c r="T2950" i="2"/>
  <c r="W2949" i="2"/>
  <c r="T2949" i="2"/>
  <c r="W2948" i="2"/>
  <c r="T2948" i="2"/>
  <c r="W2947" i="2"/>
  <c r="T2947" i="2"/>
  <c r="W2946" i="2"/>
  <c r="T2946" i="2"/>
  <c r="W2945" i="2"/>
  <c r="T2945" i="2"/>
  <c r="W2944" i="2"/>
  <c r="T2944" i="2"/>
  <c r="W2943" i="2"/>
  <c r="T2943" i="2"/>
  <c r="W2942" i="2"/>
  <c r="T2942" i="2"/>
  <c r="W2941" i="2"/>
  <c r="T2941" i="2"/>
  <c r="W2940" i="2"/>
  <c r="T2940" i="2"/>
  <c r="W2939" i="2"/>
  <c r="T2939" i="2"/>
  <c r="W2938" i="2"/>
  <c r="T2938" i="2"/>
  <c r="W2937" i="2"/>
  <c r="T2937" i="2"/>
  <c r="W2936" i="2"/>
  <c r="T2936" i="2"/>
  <c r="W2935" i="2"/>
  <c r="T2935" i="2"/>
  <c r="W2934" i="2"/>
  <c r="T2934" i="2"/>
  <c r="W2933" i="2"/>
  <c r="T2933" i="2"/>
  <c r="W2932" i="2"/>
  <c r="T2932" i="2"/>
  <c r="W2931" i="2"/>
  <c r="T2931" i="2"/>
  <c r="W2930" i="2"/>
  <c r="T2930" i="2"/>
  <c r="W2929" i="2"/>
  <c r="T2929" i="2"/>
  <c r="W2928" i="2"/>
  <c r="T2928" i="2"/>
  <c r="W2927" i="2"/>
  <c r="T2927" i="2"/>
  <c r="W2926" i="2"/>
  <c r="T2926" i="2"/>
  <c r="W2925" i="2"/>
  <c r="T2925" i="2"/>
  <c r="W2924" i="2"/>
  <c r="T2924" i="2"/>
  <c r="W2923" i="2"/>
  <c r="T2923" i="2"/>
  <c r="W2922" i="2"/>
  <c r="T2922" i="2"/>
  <c r="W2921" i="2"/>
  <c r="T2921" i="2"/>
  <c r="W2920" i="2"/>
  <c r="T2920" i="2"/>
  <c r="W2919" i="2"/>
  <c r="T2919" i="2"/>
  <c r="W2918" i="2"/>
  <c r="T2918" i="2"/>
  <c r="W2917" i="2"/>
  <c r="T2917" i="2"/>
  <c r="W2916" i="2"/>
  <c r="T2916" i="2"/>
  <c r="W2915" i="2"/>
  <c r="T2915" i="2"/>
  <c r="W2914" i="2"/>
  <c r="T2914" i="2"/>
  <c r="W2913" i="2"/>
  <c r="T2913" i="2"/>
  <c r="W2912" i="2"/>
  <c r="T2912" i="2"/>
  <c r="W2911" i="2"/>
  <c r="T2911" i="2"/>
  <c r="W2910" i="2"/>
  <c r="T2910" i="2"/>
  <c r="W2909" i="2"/>
  <c r="T2909" i="2"/>
  <c r="W2908" i="2"/>
  <c r="T2908" i="2"/>
  <c r="W2907" i="2"/>
  <c r="T2907" i="2"/>
  <c r="W2906" i="2"/>
  <c r="T2906" i="2"/>
  <c r="W2905" i="2"/>
  <c r="T2905" i="2"/>
  <c r="W2904" i="2"/>
  <c r="T2904" i="2"/>
  <c r="W2903" i="2"/>
  <c r="T2903" i="2"/>
  <c r="W2902" i="2"/>
  <c r="T2902" i="2"/>
  <c r="W2901" i="2"/>
  <c r="T2901" i="2"/>
  <c r="W2900" i="2"/>
  <c r="T2900" i="2"/>
  <c r="W2899" i="2"/>
  <c r="T2899" i="2"/>
  <c r="W2898" i="2"/>
  <c r="T2898" i="2"/>
  <c r="W2897" i="2"/>
  <c r="T2897" i="2"/>
  <c r="W2896" i="2"/>
  <c r="T2896" i="2"/>
  <c r="W2895" i="2"/>
  <c r="T2895" i="2"/>
  <c r="W2894" i="2"/>
  <c r="T2894" i="2"/>
  <c r="W2893" i="2"/>
  <c r="T2893" i="2"/>
  <c r="W2892" i="2"/>
  <c r="T2892" i="2"/>
  <c r="W2891" i="2"/>
  <c r="T2891" i="2"/>
  <c r="W2890" i="2"/>
  <c r="T2890" i="2"/>
  <c r="W2889" i="2"/>
  <c r="T2889" i="2"/>
  <c r="W2888" i="2"/>
  <c r="T2888" i="2"/>
  <c r="W2887" i="2"/>
  <c r="T2887" i="2"/>
  <c r="W2886" i="2"/>
  <c r="T2886" i="2"/>
  <c r="W2885" i="2"/>
  <c r="T2885" i="2"/>
  <c r="W2884" i="2"/>
  <c r="T2884" i="2"/>
  <c r="W2883" i="2"/>
  <c r="T2883" i="2"/>
  <c r="W2882" i="2"/>
  <c r="T2882" i="2"/>
  <c r="W2881" i="2"/>
  <c r="T2881" i="2"/>
  <c r="W2880" i="2"/>
  <c r="T2880" i="2"/>
  <c r="W2879" i="2"/>
  <c r="T2879" i="2"/>
  <c r="W2878" i="2"/>
  <c r="T2878" i="2"/>
  <c r="W2877" i="2"/>
  <c r="T2877" i="2"/>
  <c r="W2876" i="2"/>
  <c r="T2876" i="2"/>
  <c r="W2875" i="2"/>
  <c r="T2875" i="2"/>
  <c r="W2874" i="2"/>
  <c r="T2874" i="2"/>
  <c r="W2873" i="2"/>
  <c r="T2873" i="2"/>
  <c r="W2872" i="2"/>
  <c r="T2872" i="2"/>
  <c r="W2871" i="2"/>
  <c r="T2871" i="2"/>
  <c r="W2870" i="2"/>
  <c r="T2870" i="2"/>
  <c r="W2869" i="2"/>
  <c r="T2869" i="2"/>
  <c r="W2868" i="2"/>
  <c r="T2868" i="2"/>
  <c r="W2867" i="2"/>
  <c r="T2867" i="2"/>
  <c r="W2866" i="2"/>
  <c r="T2866" i="2"/>
  <c r="W2865" i="2"/>
  <c r="T2865" i="2"/>
  <c r="W2864" i="2"/>
  <c r="T2864" i="2"/>
  <c r="W2863" i="2"/>
  <c r="T2863" i="2"/>
  <c r="W2862" i="2"/>
  <c r="T2862" i="2"/>
  <c r="W2861" i="2"/>
  <c r="T2861" i="2"/>
  <c r="W2860" i="2"/>
  <c r="T2860" i="2"/>
  <c r="W2859" i="2"/>
  <c r="T2859" i="2"/>
  <c r="W2858" i="2"/>
  <c r="T2858" i="2"/>
  <c r="W2857" i="2"/>
  <c r="T2857" i="2"/>
  <c r="W2856" i="2"/>
  <c r="T2856" i="2"/>
  <c r="W2855" i="2"/>
  <c r="T2855" i="2"/>
  <c r="W2854" i="2"/>
  <c r="T2854" i="2"/>
  <c r="W2853" i="2"/>
  <c r="T2853" i="2"/>
  <c r="W2852" i="2"/>
  <c r="T2852" i="2"/>
  <c r="W2851" i="2"/>
  <c r="T2851" i="2"/>
  <c r="W2850" i="2"/>
  <c r="T2850" i="2"/>
  <c r="W2849" i="2"/>
  <c r="T2849" i="2"/>
  <c r="W2848" i="2"/>
  <c r="T2848" i="2"/>
  <c r="W2847" i="2"/>
  <c r="T2847" i="2"/>
  <c r="W2846" i="2"/>
  <c r="T2846" i="2"/>
  <c r="W2845" i="2"/>
  <c r="T2845" i="2"/>
  <c r="W2844" i="2"/>
  <c r="T2844" i="2"/>
  <c r="W2843" i="2"/>
  <c r="T2843" i="2"/>
  <c r="W2842" i="2"/>
  <c r="T2842" i="2"/>
  <c r="W2841" i="2"/>
  <c r="T2841" i="2"/>
  <c r="W2840" i="2"/>
  <c r="T2840" i="2"/>
  <c r="W2839" i="2"/>
  <c r="T2839" i="2"/>
  <c r="W2838" i="2"/>
  <c r="T2838" i="2"/>
  <c r="W2837" i="2"/>
  <c r="T2837" i="2"/>
  <c r="W2836" i="2"/>
  <c r="T2836" i="2"/>
  <c r="W2835" i="2"/>
  <c r="T2835" i="2"/>
  <c r="W2834" i="2"/>
  <c r="T2834" i="2"/>
  <c r="W2833" i="2"/>
  <c r="T2833" i="2"/>
  <c r="W2832" i="2"/>
  <c r="T2832" i="2"/>
  <c r="W2831" i="2"/>
  <c r="T2831" i="2"/>
  <c r="W2830" i="2"/>
  <c r="T2830" i="2"/>
  <c r="W2829" i="2"/>
  <c r="T2829" i="2"/>
  <c r="W2828" i="2"/>
  <c r="T2828" i="2"/>
  <c r="W2827" i="2"/>
  <c r="T2827" i="2"/>
  <c r="W2826" i="2"/>
  <c r="T2826" i="2"/>
  <c r="W2825" i="2"/>
  <c r="T2825" i="2"/>
  <c r="W2824" i="2"/>
  <c r="T2824" i="2"/>
  <c r="W2823" i="2"/>
  <c r="T2823" i="2"/>
  <c r="W2822" i="2"/>
  <c r="T2822" i="2"/>
  <c r="W2821" i="2"/>
  <c r="T2821" i="2"/>
  <c r="W2820" i="2"/>
  <c r="T2820" i="2"/>
  <c r="W2819" i="2"/>
  <c r="T2819" i="2"/>
  <c r="W2818" i="2"/>
  <c r="T2818" i="2"/>
  <c r="W2817" i="2"/>
  <c r="T2817" i="2"/>
  <c r="W2816" i="2"/>
  <c r="T2816" i="2"/>
  <c r="W2815" i="2"/>
  <c r="T2815" i="2"/>
  <c r="W2814" i="2"/>
  <c r="T2814" i="2"/>
  <c r="W2813" i="2"/>
  <c r="T2813" i="2"/>
  <c r="W2812" i="2"/>
  <c r="T2812" i="2"/>
  <c r="W2811" i="2"/>
  <c r="T2811" i="2"/>
  <c r="W2810" i="2"/>
  <c r="T2810" i="2"/>
  <c r="W2809" i="2"/>
  <c r="T2809" i="2"/>
  <c r="W2808" i="2"/>
  <c r="T2808" i="2"/>
  <c r="W2807" i="2"/>
  <c r="T2807" i="2"/>
  <c r="W2806" i="2"/>
  <c r="T2806" i="2"/>
  <c r="W2805" i="2"/>
  <c r="T2805" i="2"/>
  <c r="W2804" i="2"/>
  <c r="T2804" i="2"/>
  <c r="W2803" i="2"/>
  <c r="T2803" i="2"/>
  <c r="W2802" i="2"/>
  <c r="T2802" i="2"/>
  <c r="W2801" i="2"/>
  <c r="T2801" i="2"/>
  <c r="W2800" i="2"/>
  <c r="T2800" i="2"/>
  <c r="W2799" i="2"/>
  <c r="T2799" i="2"/>
  <c r="W2798" i="2"/>
  <c r="T2798" i="2"/>
  <c r="W2797" i="2"/>
  <c r="T2797" i="2"/>
  <c r="W2796" i="2"/>
  <c r="T2796" i="2"/>
  <c r="W2795" i="2"/>
  <c r="T2795" i="2"/>
  <c r="W2794" i="2"/>
  <c r="T2794" i="2"/>
  <c r="W2793" i="2"/>
  <c r="T2793" i="2"/>
  <c r="W2792" i="2"/>
  <c r="T2792" i="2"/>
  <c r="W2791" i="2"/>
  <c r="T2791" i="2"/>
  <c r="W2790" i="2"/>
  <c r="T2790" i="2"/>
  <c r="W2789" i="2"/>
  <c r="T2789" i="2"/>
  <c r="W2788" i="2"/>
  <c r="T2788" i="2"/>
  <c r="W2787" i="2"/>
  <c r="T2787" i="2"/>
  <c r="W2786" i="2"/>
  <c r="T2786" i="2"/>
  <c r="W2785" i="2"/>
  <c r="T2785" i="2"/>
  <c r="W2784" i="2"/>
  <c r="T2784" i="2"/>
  <c r="W2783" i="2"/>
  <c r="T2783" i="2"/>
  <c r="W2782" i="2"/>
  <c r="T2782" i="2"/>
  <c r="W2781" i="2"/>
  <c r="T2781" i="2"/>
  <c r="W2780" i="2"/>
  <c r="T2780" i="2"/>
  <c r="W2779" i="2"/>
  <c r="T2779" i="2"/>
  <c r="W2778" i="2"/>
  <c r="T2778" i="2"/>
  <c r="W2777" i="2"/>
  <c r="T2777" i="2"/>
  <c r="W2776" i="2"/>
  <c r="T2776" i="2"/>
  <c r="W2775" i="2"/>
  <c r="T2775" i="2"/>
  <c r="W2774" i="2"/>
  <c r="T2774" i="2"/>
  <c r="W2773" i="2"/>
  <c r="T2773" i="2"/>
  <c r="W2772" i="2"/>
  <c r="T2772" i="2"/>
  <c r="W2771" i="2"/>
  <c r="T2771" i="2"/>
  <c r="W2770" i="2"/>
  <c r="T2770" i="2"/>
  <c r="W2769" i="2"/>
  <c r="T2769" i="2"/>
  <c r="W2768" i="2"/>
  <c r="T2768" i="2"/>
  <c r="W2767" i="2"/>
  <c r="T2767" i="2"/>
  <c r="W2766" i="2"/>
  <c r="T2766" i="2"/>
  <c r="W2765" i="2"/>
  <c r="T2765" i="2"/>
  <c r="W2764" i="2"/>
  <c r="T2764" i="2"/>
  <c r="W2763" i="2"/>
  <c r="T2763" i="2"/>
  <c r="W2762" i="2"/>
  <c r="T2762" i="2"/>
  <c r="W2761" i="2"/>
  <c r="T2761" i="2"/>
  <c r="W2760" i="2"/>
  <c r="T2760" i="2"/>
  <c r="W2759" i="2"/>
  <c r="T2759" i="2"/>
  <c r="W2758" i="2"/>
  <c r="T2758" i="2"/>
  <c r="W2757" i="2"/>
  <c r="T2757" i="2"/>
  <c r="W2756" i="2"/>
  <c r="T2756" i="2"/>
  <c r="W2755" i="2"/>
  <c r="T2755" i="2"/>
  <c r="W2754" i="2"/>
  <c r="T2754" i="2"/>
  <c r="W2753" i="2"/>
  <c r="T2753" i="2"/>
  <c r="W2752" i="2"/>
  <c r="T2752" i="2"/>
  <c r="W2751" i="2"/>
  <c r="T2751" i="2"/>
  <c r="W2750" i="2"/>
  <c r="T2750" i="2"/>
  <c r="W2749" i="2"/>
  <c r="T2749" i="2"/>
  <c r="W2748" i="2"/>
  <c r="T2748" i="2"/>
  <c r="W2747" i="2"/>
  <c r="T2747" i="2"/>
  <c r="W2746" i="2"/>
  <c r="T2746" i="2"/>
  <c r="W2745" i="2"/>
  <c r="T2745" i="2"/>
  <c r="W2744" i="2"/>
  <c r="T2744" i="2"/>
  <c r="W2743" i="2"/>
  <c r="T2743" i="2"/>
  <c r="W2742" i="2"/>
  <c r="T2742" i="2"/>
  <c r="W2741" i="2"/>
  <c r="T2741" i="2"/>
  <c r="W2740" i="2"/>
  <c r="T2740" i="2"/>
  <c r="W2739" i="2"/>
  <c r="T2739" i="2"/>
  <c r="W2738" i="2"/>
  <c r="T2738" i="2"/>
  <c r="W2737" i="2"/>
  <c r="T2737" i="2"/>
  <c r="W2736" i="2"/>
  <c r="T2736" i="2"/>
  <c r="W2735" i="2"/>
  <c r="T2735" i="2"/>
  <c r="W2734" i="2"/>
  <c r="T2734" i="2"/>
  <c r="W2733" i="2"/>
  <c r="T2733" i="2"/>
  <c r="W2732" i="2"/>
  <c r="T2732" i="2"/>
  <c r="W2731" i="2"/>
  <c r="T2731" i="2"/>
  <c r="W2730" i="2"/>
  <c r="T2730" i="2"/>
  <c r="W2729" i="2"/>
  <c r="T2729" i="2"/>
  <c r="W2728" i="2"/>
  <c r="T2728" i="2"/>
  <c r="W2727" i="2"/>
  <c r="T2727" i="2"/>
  <c r="W2726" i="2"/>
  <c r="T2726" i="2"/>
  <c r="W2725" i="2"/>
  <c r="T2725" i="2"/>
  <c r="W2724" i="2"/>
  <c r="T2724" i="2"/>
  <c r="W2723" i="2"/>
  <c r="T2723" i="2"/>
  <c r="W2722" i="2"/>
  <c r="T2722" i="2"/>
  <c r="W2721" i="2"/>
  <c r="T2721" i="2"/>
  <c r="W2720" i="2"/>
  <c r="T2720" i="2"/>
  <c r="W2719" i="2"/>
  <c r="T2719" i="2"/>
  <c r="W2718" i="2"/>
  <c r="T2718" i="2"/>
  <c r="W2717" i="2"/>
  <c r="T2717" i="2"/>
  <c r="W2716" i="2"/>
  <c r="T2716" i="2"/>
  <c r="W2715" i="2"/>
  <c r="T2715" i="2"/>
  <c r="W2714" i="2"/>
  <c r="T2714" i="2"/>
  <c r="W2713" i="2"/>
  <c r="T2713" i="2"/>
  <c r="W2712" i="2"/>
  <c r="T2712" i="2"/>
  <c r="W2711" i="2"/>
  <c r="T2711" i="2"/>
  <c r="W2710" i="2"/>
  <c r="T2710" i="2"/>
  <c r="W2709" i="2"/>
  <c r="T2709" i="2"/>
  <c r="W2708" i="2"/>
  <c r="T2708" i="2"/>
  <c r="W2707" i="2"/>
  <c r="T2707" i="2"/>
  <c r="W2706" i="2"/>
  <c r="T2706" i="2"/>
  <c r="W2705" i="2"/>
  <c r="T2705" i="2"/>
  <c r="W2704" i="2"/>
  <c r="T2704" i="2"/>
  <c r="W2703" i="2"/>
  <c r="T2703" i="2"/>
  <c r="W2702" i="2"/>
  <c r="T2702" i="2"/>
  <c r="W2701" i="2"/>
  <c r="T2701" i="2"/>
  <c r="W2700" i="2"/>
  <c r="T2700" i="2"/>
  <c r="W2699" i="2"/>
  <c r="T2699" i="2"/>
  <c r="W2698" i="2"/>
  <c r="T2698" i="2"/>
  <c r="W2697" i="2"/>
  <c r="T2697" i="2"/>
  <c r="W2696" i="2"/>
  <c r="T2696" i="2"/>
  <c r="W2695" i="2"/>
  <c r="T2695" i="2"/>
  <c r="W2694" i="2"/>
  <c r="T2694" i="2"/>
  <c r="W2693" i="2"/>
  <c r="T2693" i="2"/>
  <c r="W2692" i="2"/>
  <c r="T2692" i="2"/>
  <c r="W2691" i="2"/>
  <c r="T2691" i="2"/>
  <c r="W2690" i="2"/>
  <c r="T2690" i="2"/>
  <c r="W2689" i="2"/>
  <c r="T2689" i="2"/>
  <c r="W2688" i="2"/>
  <c r="T2688" i="2"/>
  <c r="W2687" i="2"/>
  <c r="T2687" i="2"/>
  <c r="W2686" i="2"/>
  <c r="T2686" i="2"/>
  <c r="W2685" i="2"/>
  <c r="T2685" i="2"/>
  <c r="W2684" i="2"/>
  <c r="T2684" i="2"/>
  <c r="W2683" i="2"/>
  <c r="T2683" i="2"/>
  <c r="W2682" i="2"/>
  <c r="T2682" i="2"/>
  <c r="W2681" i="2"/>
  <c r="T2681" i="2"/>
  <c r="W2680" i="2"/>
  <c r="T2680" i="2"/>
  <c r="W2679" i="2"/>
  <c r="T2679" i="2"/>
  <c r="W2678" i="2"/>
  <c r="T2678" i="2"/>
  <c r="W2677" i="2"/>
  <c r="T2677" i="2"/>
  <c r="W2676" i="2"/>
  <c r="T2676" i="2"/>
  <c r="W2675" i="2"/>
  <c r="T2675" i="2"/>
  <c r="W2674" i="2"/>
  <c r="T2674" i="2"/>
  <c r="W2673" i="2"/>
  <c r="T2673" i="2"/>
  <c r="W2672" i="2"/>
  <c r="T2672" i="2"/>
  <c r="W2671" i="2"/>
  <c r="T2671" i="2"/>
  <c r="W2670" i="2"/>
  <c r="T2670" i="2"/>
  <c r="W2669" i="2"/>
  <c r="T2669" i="2"/>
  <c r="W2668" i="2"/>
  <c r="T2668" i="2"/>
  <c r="W2667" i="2"/>
  <c r="T2667" i="2"/>
  <c r="W2666" i="2"/>
  <c r="T2666" i="2"/>
  <c r="W2665" i="2"/>
  <c r="T2665" i="2"/>
  <c r="W2664" i="2"/>
  <c r="T2664" i="2"/>
  <c r="W2663" i="2"/>
  <c r="T2663" i="2"/>
  <c r="W2662" i="2"/>
  <c r="T2662" i="2"/>
  <c r="W2661" i="2"/>
  <c r="T2661" i="2"/>
  <c r="W2660" i="2"/>
  <c r="T2660" i="2"/>
  <c r="W2659" i="2"/>
  <c r="T2659" i="2"/>
  <c r="W2658" i="2"/>
  <c r="T2658" i="2"/>
  <c r="W2657" i="2"/>
  <c r="T2657" i="2"/>
  <c r="W2656" i="2"/>
  <c r="T2656" i="2"/>
  <c r="W2655" i="2"/>
  <c r="T2655" i="2"/>
  <c r="W2654" i="2"/>
  <c r="T2654" i="2"/>
  <c r="W2653" i="2"/>
  <c r="T2653" i="2"/>
  <c r="W2652" i="2"/>
  <c r="T2652" i="2"/>
  <c r="W2651" i="2"/>
  <c r="T2651" i="2"/>
  <c r="W2650" i="2"/>
  <c r="T2650" i="2"/>
  <c r="W2649" i="2"/>
  <c r="T2649" i="2"/>
  <c r="W2648" i="2"/>
  <c r="T2648" i="2"/>
  <c r="W2647" i="2"/>
  <c r="T2647" i="2"/>
  <c r="W2646" i="2"/>
  <c r="T2646" i="2"/>
  <c r="W2645" i="2"/>
  <c r="T2645" i="2"/>
  <c r="W2644" i="2"/>
  <c r="T2644" i="2"/>
  <c r="W2643" i="2"/>
  <c r="T2643" i="2"/>
  <c r="W2642" i="2"/>
  <c r="T2642" i="2"/>
  <c r="W2641" i="2"/>
  <c r="T2641" i="2"/>
  <c r="W2640" i="2"/>
  <c r="T2640" i="2"/>
  <c r="W2639" i="2"/>
  <c r="T2639" i="2"/>
  <c r="W2638" i="2"/>
  <c r="T2638" i="2"/>
  <c r="W2637" i="2"/>
  <c r="T2637" i="2"/>
  <c r="W2636" i="2"/>
  <c r="T2636" i="2"/>
  <c r="W2635" i="2"/>
  <c r="T2635" i="2"/>
  <c r="W2634" i="2"/>
  <c r="T2634" i="2"/>
  <c r="W2633" i="2"/>
  <c r="T2633" i="2"/>
  <c r="W2632" i="2"/>
  <c r="T2632" i="2"/>
  <c r="W2631" i="2"/>
  <c r="T2631" i="2"/>
  <c r="W2630" i="2"/>
  <c r="T2630" i="2"/>
  <c r="W2629" i="2"/>
  <c r="T2629" i="2"/>
  <c r="W2628" i="2"/>
  <c r="T2628" i="2"/>
  <c r="W2627" i="2"/>
  <c r="T2627" i="2"/>
  <c r="W2626" i="2"/>
  <c r="T2626" i="2"/>
  <c r="W2625" i="2"/>
  <c r="T2625" i="2"/>
  <c r="W2624" i="2"/>
  <c r="T2624" i="2"/>
  <c r="W2623" i="2"/>
  <c r="T2623" i="2"/>
  <c r="W2622" i="2"/>
  <c r="T2622" i="2"/>
  <c r="W2621" i="2"/>
  <c r="T2621" i="2"/>
  <c r="W2620" i="2"/>
  <c r="T2620" i="2"/>
  <c r="W2619" i="2"/>
  <c r="T2619" i="2"/>
  <c r="W2618" i="2"/>
  <c r="T2618" i="2"/>
  <c r="W2617" i="2"/>
  <c r="T2617" i="2"/>
  <c r="W2616" i="2"/>
  <c r="T2616" i="2"/>
  <c r="W2615" i="2"/>
  <c r="T2615" i="2"/>
  <c r="W2614" i="2"/>
  <c r="T2614" i="2"/>
  <c r="W2613" i="2"/>
  <c r="T2613" i="2"/>
  <c r="W2612" i="2"/>
  <c r="T2612" i="2"/>
  <c r="W2611" i="2"/>
  <c r="T2611" i="2"/>
  <c r="W2610" i="2"/>
  <c r="T2610" i="2"/>
  <c r="W2609" i="2"/>
  <c r="T2609" i="2"/>
  <c r="W2608" i="2"/>
  <c r="T2608" i="2"/>
  <c r="W2607" i="2"/>
  <c r="T2607" i="2"/>
  <c r="W2606" i="2"/>
  <c r="T2606" i="2"/>
  <c r="W2605" i="2"/>
  <c r="T2605" i="2"/>
  <c r="W2604" i="2"/>
  <c r="T2604" i="2"/>
  <c r="W2603" i="2"/>
  <c r="T2603" i="2"/>
  <c r="W2602" i="2"/>
  <c r="T2602" i="2"/>
  <c r="W2601" i="2"/>
  <c r="T2601" i="2"/>
  <c r="W2600" i="2"/>
  <c r="T2600" i="2"/>
  <c r="W2599" i="2"/>
  <c r="T2599" i="2"/>
  <c r="W2598" i="2"/>
  <c r="T2598" i="2"/>
  <c r="W2597" i="2"/>
  <c r="T2597" i="2"/>
  <c r="W2596" i="2"/>
  <c r="T2596" i="2"/>
  <c r="W2595" i="2"/>
  <c r="T2595" i="2"/>
  <c r="W2594" i="2"/>
  <c r="T2594" i="2"/>
  <c r="W2593" i="2"/>
  <c r="T2593" i="2"/>
  <c r="W2592" i="2"/>
  <c r="T2592" i="2"/>
  <c r="W2591" i="2"/>
  <c r="T2591" i="2"/>
  <c r="W2590" i="2"/>
  <c r="T2590" i="2"/>
  <c r="W2589" i="2"/>
  <c r="T2589" i="2"/>
  <c r="W2588" i="2"/>
  <c r="T2588" i="2"/>
  <c r="W2587" i="2"/>
  <c r="T2587" i="2"/>
  <c r="W2586" i="2"/>
  <c r="T2586" i="2"/>
  <c r="W2585" i="2"/>
  <c r="T2585" i="2"/>
  <c r="W2584" i="2"/>
  <c r="T2584" i="2"/>
  <c r="W2583" i="2"/>
  <c r="T2583" i="2"/>
  <c r="W2582" i="2"/>
  <c r="T2582" i="2"/>
  <c r="W2581" i="2"/>
  <c r="T2581" i="2"/>
  <c r="W2580" i="2"/>
  <c r="T2580" i="2"/>
  <c r="W2579" i="2"/>
  <c r="T2579" i="2"/>
  <c r="W2578" i="2"/>
  <c r="T2578" i="2"/>
  <c r="W2577" i="2"/>
  <c r="T2577" i="2"/>
  <c r="W2576" i="2"/>
  <c r="T2576" i="2"/>
  <c r="W2575" i="2"/>
  <c r="T2575" i="2"/>
  <c r="W2574" i="2"/>
  <c r="T2574" i="2"/>
  <c r="W2573" i="2"/>
  <c r="T2573" i="2"/>
  <c r="W2572" i="2"/>
  <c r="T2572" i="2"/>
  <c r="W2571" i="2"/>
  <c r="T2571" i="2"/>
  <c r="W2570" i="2"/>
  <c r="T2570" i="2"/>
  <c r="W2569" i="2"/>
  <c r="T2569" i="2"/>
  <c r="W2568" i="2"/>
  <c r="T2568" i="2"/>
  <c r="W2567" i="2"/>
  <c r="T2567" i="2"/>
  <c r="W2566" i="2"/>
  <c r="T2566" i="2"/>
  <c r="W2565" i="2"/>
  <c r="T2565" i="2"/>
  <c r="W2564" i="2"/>
  <c r="T2564" i="2"/>
  <c r="W2563" i="2"/>
  <c r="T2563" i="2"/>
  <c r="W2562" i="2"/>
  <c r="T2562" i="2"/>
  <c r="W2561" i="2"/>
  <c r="T2561" i="2"/>
  <c r="W2560" i="2"/>
  <c r="T2560" i="2"/>
  <c r="W2559" i="2"/>
  <c r="T2559" i="2"/>
  <c r="W2558" i="2"/>
  <c r="T2558" i="2"/>
  <c r="W2557" i="2"/>
  <c r="T2557" i="2"/>
  <c r="W2556" i="2"/>
  <c r="T2556" i="2"/>
  <c r="W2555" i="2"/>
  <c r="T2555" i="2"/>
  <c r="W2554" i="2"/>
  <c r="T2554" i="2"/>
  <c r="W2553" i="2"/>
  <c r="T2553" i="2"/>
  <c r="W2552" i="2"/>
  <c r="T2552" i="2"/>
  <c r="W2551" i="2"/>
  <c r="T2551" i="2"/>
  <c r="W2550" i="2"/>
  <c r="T2550" i="2"/>
  <c r="W2549" i="2"/>
  <c r="T2549" i="2"/>
  <c r="W2548" i="2"/>
  <c r="T2548" i="2"/>
  <c r="W2547" i="2"/>
  <c r="T2547" i="2"/>
  <c r="W2546" i="2"/>
  <c r="T2546" i="2"/>
  <c r="W2545" i="2"/>
  <c r="T2545" i="2"/>
  <c r="W2544" i="2"/>
  <c r="T2544" i="2"/>
  <c r="W2543" i="2"/>
  <c r="T2543" i="2"/>
  <c r="W2542" i="2"/>
  <c r="T2542" i="2"/>
  <c r="W2541" i="2"/>
  <c r="T2541" i="2"/>
  <c r="W2540" i="2"/>
  <c r="T2540" i="2"/>
  <c r="W2539" i="2"/>
  <c r="T2539" i="2"/>
  <c r="W2538" i="2"/>
  <c r="T2538" i="2"/>
  <c r="W2537" i="2"/>
  <c r="T2537" i="2"/>
  <c r="W2536" i="2"/>
  <c r="T2536" i="2"/>
  <c r="W2535" i="2"/>
  <c r="T2535" i="2"/>
  <c r="W2534" i="2"/>
  <c r="T2534" i="2"/>
  <c r="W2533" i="2"/>
  <c r="T2533" i="2"/>
  <c r="W2532" i="2"/>
  <c r="T2532" i="2"/>
  <c r="W2531" i="2"/>
  <c r="T2531" i="2"/>
  <c r="W2530" i="2"/>
  <c r="T2530" i="2"/>
  <c r="W2529" i="2"/>
  <c r="T2529" i="2"/>
  <c r="W2528" i="2"/>
  <c r="T2528" i="2"/>
  <c r="W2527" i="2"/>
  <c r="T2527" i="2"/>
  <c r="W2526" i="2"/>
  <c r="T2526" i="2"/>
  <c r="W2525" i="2"/>
  <c r="T2525" i="2"/>
  <c r="W2524" i="2"/>
  <c r="T2524" i="2"/>
  <c r="W2523" i="2"/>
  <c r="T2523" i="2"/>
  <c r="W2522" i="2"/>
  <c r="T2522" i="2"/>
  <c r="W2521" i="2"/>
  <c r="T2521" i="2"/>
  <c r="W2520" i="2"/>
  <c r="T2520" i="2"/>
  <c r="W2519" i="2"/>
  <c r="T2519" i="2"/>
  <c r="W2518" i="2"/>
  <c r="T2518" i="2"/>
  <c r="W2517" i="2"/>
  <c r="T2517" i="2"/>
  <c r="W2516" i="2"/>
  <c r="T2516" i="2"/>
  <c r="W2515" i="2"/>
  <c r="T2515" i="2"/>
  <c r="W2514" i="2"/>
  <c r="T2514" i="2"/>
  <c r="W2513" i="2"/>
  <c r="T2513" i="2"/>
  <c r="W2512" i="2"/>
  <c r="T2512" i="2"/>
  <c r="W2511" i="2"/>
  <c r="T2511" i="2"/>
  <c r="W2510" i="2"/>
  <c r="T2510" i="2"/>
  <c r="W2509" i="2"/>
  <c r="T2509" i="2"/>
  <c r="W2508" i="2"/>
  <c r="T2508" i="2"/>
  <c r="W2507" i="2"/>
  <c r="T2507" i="2"/>
  <c r="W2506" i="2"/>
  <c r="T2506" i="2"/>
  <c r="W2505" i="2"/>
  <c r="T2505" i="2"/>
  <c r="W2504" i="2"/>
  <c r="T2504" i="2"/>
  <c r="W2503" i="2"/>
  <c r="T2503" i="2"/>
  <c r="W2502" i="2"/>
  <c r="T2502" i="2"/>
  <c r="W2501" i="2"/>
  <c r="T2501" i="2"/>
  <c r="W2500" i="2"/>
  <c r="T2500" i="2"/>
  <c r="W2499" i="2"/>
  <c r="T2499" i="2"/>
  <c r="W2498" i="2"/>
  <c r="T2498" i="2"/>
  <c r="W2497" i="2"/>
  <c r="T2497" i="2"/>
  <c r="W2496" i="2"/>
  <c r="T2496" i="2"/>
  <c r="W2495" i="2"/>
  <c r="T2495" i="2"/>
  <c r="W2494" i="2"/>
  <c r="T2494" i="2"/>
  <c r="W2493" i="2"/>
  <c r="T2493" i="2"/>
  <c r="W2492" i="2"/>
  <c r="T2492" i="2"/>
  <c r="W2491" i="2"/>
  <c r="T2491" i="2"/>
  <c r="W2490" i="2"/>
  <c r="T2490" i="2"/>
  <c r="W2489" i="2"/>
  <c r="T2489" i="2"/>
  <c r="W2488" i="2"/>
  <c r="T2488" i="2"/>
  <c r="W2487" i="2"/>
  <c r="T2487" i="2"/>
  <c r="W2486" i="2"/>
  <c r="T2486" i="2"/>
  <c r="W2485" i="2"/>
  <c r="T2485" i="2"/>
  <c r="W2484" i="2"/>
  <c r="T2484" i="2"/>
  <c r="W2483" i="2"/>
  <c r="T2483" i="2"/>
  <c r="W2482" i="2"/>
  <c r="T2482" i="2"/>
  <c r="W2481" i="2"/>
  <c r="T2481" i="2"/>
  <c r="W2480" i="2"/>
  <c r="T2480" i="2"/>
  <c r="W2479" i="2"/>
  <c r="T2479" i="2"/>
  <c r="W2478" i="2"/>
  <c r="T2478" i="2"/>
  <c r="W2477" i="2"/>
  <c r="T2477" i="2"/>
  <c r="W2476" i="2"/>
  <c r="T2476" i="2"/>
  <c r="W2475" i="2"/>
  <c r="T2475" i="2"/>
  <c r="W2474" i="2"/>
  <c r="T2474" i="2"/>
  <c r="W2473" i="2"/>
  <c r="T2473" i="2"/>
  <c r="W2472" i="2"/>
  <c r="T2472" i="2"/>
  <c r="W2471" i="2"/>
  <c r="T2471" i="2"/>
  <c r="W2470" i="2"/>
  <c r="T2470" i="2"/>
  <c r="W2469" i="2"/>
  <c r="T2469" i="2"/>
  <c r="W2468" i="2"/>
  <c r="T2468" i="2"/>
  <c r="W2467" i="2"/>
  <c r="T2467" i="2"/>
  <c r="W2466" i="2"/>
  <c r="T2466" i="2"/>
  <c r="W2465" i="2"/>
  <c r="T2465" i="2"/>
  <c r="W2464" i="2"/>
  <c r="T2464" i="2"/>
  <c r="W2463" i="2"/>
  <c r="T2463" i="2"/>
  <c r="W2462" i="2"/>
  <c r="T2462" i="2"/>
  <c r="W2461" i="2"/>
  <c r="T2461" i="2"/>
  <c r="W2460" i="2"/>
  <c r="T2460" i="2"/>
  <c r="W2459" i="2"/>
  <c r="T2459" i="2"/>
  <c r="W2458" i="2"/>
  <c r="T2458" i="2"/>
  <c r="W2457" i="2"/>
  <c r="T2457" i="2"/>
  <c r="W2456" i="2"/>
  <c r="T2456" i="2"/>
  <c r="W2455" i="2"/>
  <c r="T2455" i="2"/>
  <c r="W2454" i="2"/>
  <c r="T2454" i="2"/>
  <c r="W2453" i="2"/>
  <c r="T2453" i="2"/>
  <c r="W2452" i="2"/>
  <c r="T2452" i="2"/>
  <c r="W2451" i="2"/>
  <c r="T2451" i="2"/>
  <c r="W2450" i="2"/>
  <c r="T2450" i="2"/>
  <c r="W2449" i="2"/>
  <c r="T2449" i="2"/>
  <c r="W2448" i="2"/>
  <c r="T2448" i="2"/>
  <c r="W2447" i="2"/>
  <c r="T2447" i="2"/>
  <c r="W2446" i="2"/>
  <c r="T2446" i="2"/>
  <c r="W2445" i="2"/>
  <c r="T2445" i="2"/>
  <c r="W2444" i="2"/>
  <c r="T2444" i="2"/>
  <c r="W2443" i="2"/>
  <c r="T2443" i="2"/>
  <c r="W2442" i="2"/>
  <c r="T2442" i="2"/>
  <c r="W2441" i="2"/>
  <c r="T2441" i="2"/>
  <c r="W2440" i="2"/>
  <c r="T2440" i="2"/>
  <c r="W2439" i="2"/>
  <c r="T2439" i="2"/>
  <c r="W2438" i="2"/>
  <c r="T2438" i="2"/>
  <c r="W2437" i="2"/>
  <c r="T2437" i="2"/>
  <c r="W2436" i="2"/>
  <c r="T2436" i="2"/>
  <c r="W2435" i="2"/>
  <c r="T2435" i="2"/>
  <c r="W2434" i="2"/>
  <c r="T2434" i="2"/>
  <c r="W2433" i="2"/>
  <c r="T2433" i="2"/>
  <c r="W2432" i="2"/>
  <c r="T2432" i="2"/>
  <c r="W2431" i="2"/>
  <c r="T2431" i="2"/>
  <c r="W2430" i="2"/>
  <c r="T2430" i="2"/>
  <c r="W2429" i="2"/>
  <c r="T2429" i="2"/>
  <c r="W2428" i="2"/>
  <c r="T2428" i="2"/>
  <c r="W2427" i="2"/>
  <c r="T2427" i="2"/>
  <c r="W2426" i="2"/>
  <c r="T2426" i="2"/>
  <c r="W2425" i="2"/>
  <c r="T2425" i="2"/>
  <c r="W2424" i="2"/>
  <c r="T2424" i="2"/>
  <c r="W2423" i="2"/>
  <c r="T2423" i="2"/>
  <c r="W2422" i="2"/>
  <c r="T2422" i="2"/>
  <c r="W2421" i="2"/>
  <c r="T2421" i="2"/>
  <c r="W2420" i="2"/>
  <c r="T2420" i="2"/>
  <c r="W2419" i="2"/>
  <c r="T2419" i="2"/>
  <c r="W2418" i="2"/>
  <c r="T2418" i="2"/>
  <c r="W2417" i="2"/>
  <c r="T2417" i="2"/>
  <c r="W2416" i="2"/>
  <c r="T2416" i="2"/>
  <c r="W2415" i="2"/>
  <c r="T2415" i="2"/>
  <c r="W2414" i="2"/>
  <c r="T2414" i="2"/>
  <c r="W2413" i="2"/>
  <c r="T2413" i="2"/>
  <c r="W2412" i="2"/>
  <c r="T2412" i="2"/>
  <c r="W2411" i="2"/>
  <c r="T2411" i="2"/>
  <c r="W2410" i="2"/>
  <c r="T2410" i="2"/>
  <c r="W2409" i="2"/>
  <c r="T2409" i="2"/>
  <c r="W2408" i="2"/>
  <c r="T2408" i="2"/>
  <c r="W2407" i="2"/>
  <c r="T2407" i="2"/>
  <c r="W2406" i="2"/>
  <c r="T2406" i="2"/>
  <c r="W2405" i="2"/>
  <c r="T2405" i="2"/>
  <c r="W2404" i="2"/>
  <c r="T2404" i="2"/>
  <c r="W2403" i="2"/>
  <c r="T2403" i="2"/>
  <c r="W2402" i="2"/>
  <c r="T2402" i="2"/>
  <c r="W2401" i="2"/>
  <c r="T2401" i="2"/>
  <c r="W2400" i="2"/>
  <c r="T2400" i="2"/>
  <c r="W2399" i="2"/>
  <c r="T2399" i="2"/>
  <c r="W2398" i="2"/>
  <c r="T2398" i="2"/>
  <c r="W2397" i="2"/>
  <c r="T2397" i="2"/>
  <c r="W2396" i="2"/>
  <c r="T2396" i="2"/>
  <c r="W2395" i="2"/>
  <c r="T2395" i="2"/>
  <c r="W2394" i="2"/>
  <c r="T2394" i="2"/>
  <c r="W2393" i="2"/>
  <c r="T2393" i="2"/>
  <c r="W2392" i="2"/>
  <c r="T2392" i="2"/>
  <c r="W2391" i="2"/>
  <c r="T2391" i="2"/>
  <c r="W2390" i="2"/>
  <c r="T2390" i="2"/>
  <c r="W2389" i="2"/>
  <c r="T2389" i="2"/>
  <c r="W2388" i="2"/>
  <c r="T2388" i="2"/>
  <c r="W2387" i="2"/>
  <c r="T2387" i="2"/>
  <c r="W2386" i="2"/>
  <c r="T2386" i="2"/>
  <c r="W2385" i="2"/>
  <c r="T2385" i="2"/>
  <c r="W2384" i="2"/>
  <c r="T2384" i="2"/>
  <c r="W2383" i="2"/>
  <c r="T2383" i="2"/>
  <c r="W2382" i="2"/>
  <c r="T2382" i="2"/>
  <c r="W2381" i="2"/>
  <c r="T2381" i="2"/>
  <c r="W2380" i="2"/>
  <c r="T2380" i="2"/>
  <c r="W2379" i="2"/>
  <c r="T2379" i="2"/>
  <c r="W2378" i="2"/>
  <c r="T2378" i="2"/>
  <c r="W2377" i="2"/>
  <c r="T2377" i="2"/>
  <c r="W2376" i="2"/>
  <c r="T2376" i="2"/>
  <c r="W2375" i="2"/>
  <c r="T2375" i="2"/>
  <c r="W2374" i="2"/>
  <c r="T2374" i="2"/>
  <c r="W2373" i="2"/>
  <c r="T2373" i="2"/>
  <c r="W2372" i="2"/>
  <c r="T2372" i="2"/>
  <c r="W2371" i="2"/>
  <c r="T2371" i="2"/>
  <c r="W2370" i="2"/>
  <c r="T2370" i="2"/>
  <c r="W2369" i="2"/>
  <c r="T2369" i="2"/>
  <c r="W2368" i="2"/>
  <c r="T2368" i="2"/>
  <c r="W2367" i="2"/>
  <c r="T2367" i="2"/>
  <c r="W2366" i="2"/>
  <c r="T2366" i="2"/>
  <c r="W2365" i="2"/>
  <c r="T2365" i="2"/>
  <c r="W2364" i="2"/>
  <c r="T2364" i="2"/>
  <c r="W2363" i="2"/>
  <c r="T2363" i="2"/>
  <c r="W2362" i="2"/>
  <c r="T2362" i="2"/>
  <c r="W2361" i="2"/>
  <c r="T2361" i="2"/>
  <c r="W2360" i="2"/>
  <c r="T2360" i="2"/>
  <c r="W2359" i="2"/>
  <c r="T2359" i="2"/>
  <c r="W2358" i="2"/>
  <c r="T2358" i="2"/>
  <c r="W2357" i="2"/>
  <c r="T2357" i="2"/>
  <c r="W2356" i="2"/>
  <c r="T2356" i="2"/>
  <c r="W2355" i="2"/>
  <c r="T2355" i="2"/>
  <c r="W2354" i="2"/>
  <c r="T2354" i="2"/>
  <c r="W2353" i="2"/>
  <c r="T2353" i="2"/>
  <c r="W2352" i="2"/>
  <c r="T2352" i="2"/>
  <c r="W2351" i="2"/>
  <c r="T2351" i="2"/>
  <c r="W2350" i="2"/>
  <c r="T2350" i="2"/>
  <c r="W2349" i="2"/>
  <c r="T2349" i="2"/>
  <c r="W2348" i="2"/>
  <c r="T2348" i="2"/>
  <c r="W2347" i="2"/>
  <c r="T2347" i="2"/>
  <c r="W2346" i="2"/>
  <c r="T2346" i="2"/>
  <c r="W2345" i="2"/>
  <c r="T2345" i="2"/>
  <c r="W2344" i="2"/>
  <c r="T2344" i="2"/>
  <c r="W2343" i="2"/>
  <c r="T2343" i="2"/>
  <c r="W2342" i="2"/>
  <c r="T2342" i="2"/>
  <c r="W2341" i="2"/>
  <c r="T2341" i="2"/>
  <c r="W2340" i="2"/>
  <c r="T2340" i="2"/>
  <c r="W2339" i="2"/>
  <c r="T2339" i="2"/>
  <c r="W2338" i="2"/>
  <c r="T2338" i="2"/>
  <c r="W2337" i="2"/>
  <c r="T2337" i="2"/>
  <c r="W2336" i="2"/>
  <c r="T2336" i="2"/>
  <c r="W2335" i="2"/>
  <c r="T2335" i="2"/>
  <c r="W2334" i="2"/>
  <c r="T2334" i="2"/>
  <c r="W2333" i="2"/>
  <c r="T2333" i="2"/>
  <c r="W2332" i="2"/>
  <c r="T2332" i="2"/>
  <c r="W2331" i="2"/>
  <c r="T2331" i="2"/>
  <c r="W2330" i="2"/>
  <c r="T2330" i="2"/>
  <c r="W2329" i="2"/>
  <c r="T2329" i="2"/>
  <c r="W2328" i="2"/>
  <c r="T2328" i="2"/>
  <c r="W2327" i="2"/>
  <c r="T2327" i="2"/>
  <c r="W2326" i="2"/>
  <c r="T2326" i="2"/>
  <c r="W2325" i="2"/>
  <c r="T2325" i="2"/>
  <c r="W2324" i="2"/>
  <c r="T2324" i="2"/>
  <c r="W2323" i="2"/>
  <c r="T2323" i="2"/>
  <c r="W2322" i="2"/>
  <c r="T2322" i="2"/>
  <c r="W2321" i="2"/>
  <c r="T2321" i="2"/>
  <c r="W2320" i="2"/>
  <c r="T2320" i="2"/>
  <c r="W2319" i="2"/>
  <c r="T2319" i="2"/>
  <c r="W2318" i="2"/>
  <c r="T2318" i="2"/>
  <c r="W2317" i="2"/>
  <c r="T2317" i="2"/>
  <c r="W2316" i="2"/>
  <c r="T2316" i="2"/>
  <c r="W2315" i="2"/>
  <c r="T2315" i="2"/>
  <c r="W2314" i="2"/>
  <c r="T2314" i="2"/>
  <c r="W2313" i="2"/>
  <c r="T2313" i="2"/>
  <c r="W2312" i="2"/>
  <c r="T2312" i="2"/>
  <c r="W2311" i="2"/>
  <c r="T2311" i="2"/>
  <c r="W2310" i="2"/>
  <c r="T2310" i="2"/>
  <c r="W2309" i="2"/>
  <c r="T2309" i="2"/>
  <c r="W2308" i="2"/>
  <c r="T2308" i="2"/>
  <c r="W2307" i="2"/>
  <c r="T2307" i="2"/>
  <c r="W2306" i="2"/>
  <c r="T2306" i="2"/>
  <c r="W2305" i="2"/>
  <c r="T2305" i="2"/>
  <c r="W2304" i="2"/>
  <c r="T2304" i="2"/>
  <c r="W2303" i="2"/>
  <c r="T2303" i="2"/>
  <c r="W2302" i="2"/>
  <c r="T2302" i="2"/>
  <c r="W2301" i="2"/>
  <c r="T2301" i="2"/>
  <c r="W2300" i="2"/>
  <c r="T2300" i="2"/>
  <c r="W2299" i="2"/>
  <c r="T2299" i="2"/>
  <c r="W2298" i="2"/>
  <c r="T2298" i="2"/>
  <c r="W2297" i="2"/>
  <c r="T2297" i="2"/>
  <c r="W2296" i="2"/>
  <c r="T2296" i="2"/>
  <c r="W2295" i="2"/>
  <c r="T2295" i="2"/>
  <c r="W2294" i="2"/>
  <c r="T2294" i="2"/>
  <c r="W2293" i="2"/>
  <c r="T2293" i="2"/>
  <c r="W2292" i="2"/>
  <c r="T2292" i="2"/>
  <c r="W2291" i="2"/>
  <c r="T2291" i="2"/>
  <c r="W2290" i="2"/>
  <c r="T2290" i="2"/>
  <c r="W2289" i="2"/>
  <c r="T2289" i="2"/>
  <c r="W2288" i="2"/>
  <c r="T2288" i="2"/>
  <c r="W2287" i="2"/>
  <c r="T2287" i="2"/>
  <c r="W2286" i="2"/>
  <c r="T2286" i="2"/>
  <c r="W2285" i="2"/>
  <c r="T2285" i="2"/>
  <c r="W2284" i="2"/>
  <c r="T2284" i="2"/>
  <c r="W2283" i="2"/>
  <c r="T2283" i="2"/>
  <c r="W2282" i="2"/>
  <c r="T2282" i="2"/>
  <c r="W2281" i="2"/>
  <c r="T2281" i="2"/>
  <c r="W2280" i="2"/>
  <c r="T2280" i="2"/>
  <c r="W2279" i="2"/>
  <c r="T2279" i="2"/>
  <c r="W2278" i="2"/>
  <c r="T2278" i="2"/>
  <c r="W2277" i="2"/>
  <c r="T2277" i="2"/>
  <c r="W2276" i="2"/>
  <c r="T2276" i="2"/>
  <c r="W2275" i="2"/>
  <c r="T2275" i="2"/>
  <c r="W2274" i="2"/>
  <c r="T2274" i="2"/>
  <c r="W2273" i="2"/>
  <c r="T2273" i="2"/>
  <c r="W2272" i="2"/>
  <c r="T2272" i="2"/>
  <c r="W2271" i="2"/>
  <c r="T2271" i="2"/>
  <c r="W2270" i="2"/>
  <c r="T2270" i="2"/>
  <c r="W2269" i="2"/>
  <c r="T2269" i="2"/>
  <c r="W2268" i="2"/>
  <c r="T2268" i="2"/>
  <c r="W2267" i="2"/>
  <c r="T2267" i="2"/>
  <c r="W2266" i="2"/>
  <c r="T2266" i="2"/>
  <c r="W2265" i="2"/>
  <c r="T2265" i="2"/>
  <c r="W2264" i="2"/>
  <c r="T2264" i="2"/>
  <c r="W2263" i="2"/>
  <c r="T2263" i="2"/>
  <c r="W2262" i="2"/>
  <c r="T2262" i="2"/>
  <c r="W2261" i="2"/>
  <c r="T2261" i="2"/>
  <c r="W2260" i="2"/>
  <c r="T2260" i="2"/>
  <c r="W2259" i="2"/>
  <c r="T2259" i="2"/>
  <c r="W2258" i="2"/>
  <c r="T2258" i="2"/>
  <c r="W2257" i="2"/>
  <c r="T2257" i="2"/>
  <c r="W2256" i="2"/>
  <c r="T2256" i="2"/>
  <c r="W2255" i="2"/>
  <c r="T2255" i="2"/>
  <c r="W2254" i="2"/>
  <c r="T2254" i="2"/>
  <c r="W2253" i="2"/>
  <c r="T2253" i="2"/>
  <c r="W2252" i="2"/>
  <c r="T2252" i="2"/>
  <c r="W2251" i="2"/>
  <c r="T2251" i="2"/>
  <c r="W2250" i="2"/>
  <c r="T2250" i="2"/>
  <c r="W2249" i="2"/>
  <c r="T2249" i="2"/>
  <c r="W2248" i="2"/>
  <c r="T2248" i="2"/>
  <c r="W2247" i="2"/>
  <c r="T2247" i="2"/>
  <c r="W2246" i="2"/>
  <c r="T2246" i="2"/>
  <c r="W2245" i="2"/>
  <c r="T2245" i="2"/>
  <c r="W2244" i="2"/>
  <c r="T2244" i="2"/>
  <c r="W2243" i="2"/>
  <c r="T2243" i="2"/>
  <c r="W2242" i="2"/>
  <c r="T2242" i="2"/>
  <c r="W2241" i="2"/>
  <c r="T2241" i="2"/>
  <c r="W2240" i="2"/>
  <c r="T2240" i="2"/>
  <c r="W2239" i="2"/>
  <c r="T2239" i="2"/>
  <c r="W2238" i="2"/>
  <c r="T2238" i="2"/>
  <c r="W2237" i="2"/>
  <c r="T2237" i="2"/>
  <c r="W2236" i="2"/>
  <c r="T2236" i="2"/>
  <c r="W2235" i="2"/>
  <c r="T2235" i="2"/>
  <c r="W2234" i="2"/>
  <c r="T2234" i="2"/>
  <c r="W2233" i="2"/>
  <c r="T2233" i="2"/>
  <c r="W2232" i="2"/>
  <c r="T2232" i="2"/>
  <c r="W2231" i="2"/>
  <c r="T2231" i="2"/>
  <c r="W2230" i="2"/>
  <c r="T2230" i="2"/>
  <c r="W2229" i="2"/>
  <c r="T2229" i="2"/>
  <c r="W2228" i="2"/>
  <c r="T2228" i="2"/>
  <c r="W2227" i="2"/>
  <c r="T2227" i="2"/>
  <c r="W2226" i="2"/>
  <c r="T2226" i="2"/>
  <c r="W2225" i="2"/>
  <c r="T2225" i="2"/>
  <c r="W2224" i="2"/>
  <c r="T2224" i="2"/>
  <c r="W2223" i="2"/>
  <c r="T2223" i="2"/>
  <c r="W2222" i="2"/>
  <c r="T2222" i="2"/>
  <c r="W2221" i="2"/>
  <c r="T2221" i="2"/>
  <c r="W2220" i="2"/>
  <c r="T2220" i="2"/>
  <c r="W2219" i="2"/>
  <c r="T2219" i="2"/>
  <c r="W2218" i="2"/>
  <c r="T2218" i="2"/>
  <c r="W2217" i="2"/>
  <c r="T2217" i="2"/>
  <c r="W2216" i="2"/>
  <c r="T2216" i="2"/>
  <c r="W2215" i="2"/>
  <c r="T2215" i="2"/>
  <c r="W2214" i="2"/>
  <c r="T2214" i="2"/>
  <c r="W2213" i="2"/>
  <c r="T2213" i="2"/>
  <c r="W2212" i="2"/>
  <c r="T2212" i="2"/>
  <c r="W2211" i="2"/>
  <c r="T2211" i="2"/>
  <c r="W2210" i="2"/>
  <c r="T2210" i="2"/>
  <c r="W2209" i="2"/>
  <c r="T2209" i="2"/>
  <c r="W2208" i="2"/>
  <c r="T2208" i="2"/>
  <c r="W2207" i="2"/>
  <c r="T2207" i="2"/>
  <c r="W2206" i="2"/>
  <c r="T2206" i="2"/>
  <c r="W2205" i="2"/>
  <c r="T2205" i="2"/>
  <c r="W2204" i="2"/>
  <c r="T2204" i="2"/>
  <c r="W2203" i="2"/>
  <c r="T2203" i="2"/>
  <c r="W2202" i="2"/>
  <c r="T2202" i="2"/>
  <c r="W2201" i="2"/>
  <c r="T2201" i="2"/>
  <c r="W2200" i="2"/>
  <c r="T2200" i="2"/>
  <c r="W2199" i="2"/>
  <c r="T2199" i="2"/>
  <c r="W2198" i="2"/>
  <c r="T2198" i="2"/>
  <c r="W2197" i="2"/>
  <c r="T2197" i="2"/>
  <c r="W2196" i="2"/>
  <c r="T2196" i="2"/>
  <c r="W2195" i="2"/>
  <c r="T2195" i="2"/>
  <c r="W2194" i="2"/>
  <c r="T2194" i="2"/>
  <c r="W2193" i="2"/>
  <c r="T2193" i="2"/>
  <c r="W2192" i="2"/>
  <c r="T2192" i="2"/>
  <c r="W2191" i="2"/>
  <c r="T2191" i="2"/>
  <c r="W2190" i="2"/>
  <c r="T2190" i="2"/>
  <c r="W2189" i="2"/>
  <c r="T2189" i="2"/>
  <c r="W2188" i="2"/>
  <c r="T2188" i="2"/>
  <c r="W2187" i="2"/>
  <c r="T2187" i="2"/>
  <c r="W2186" i="2"/>
  <c r="T2186" i="2"/>
  <c r="W2185" i="2"/>
  <c r="T2185" i="2"/>
  <c r="W2184" i="2"/>
  <c r="T2184" i="2"/>
  <c r="W2183" i="2"/>
  <c r="T2183" i="2"/>
  <c r="W2182" i="2"/>
  <c r="T2182" i="2"/>
  <c r="W2181" i="2"/>
  <c r="T2181" i="2"/>
  <c r="W2180" i="2"/>
  <c r="T2180" i="2"/>
  <c r="W2179" i="2"/>
  <c r="T2179" i="2"/>
  <c r="W2178" i="2"/>
  <c r="T2178" i="2"/>
  <c r="W2177" i="2"/>
  <c r="T2177" i="2"/>
  <c r="W2176" i="2"/>
  <c r="T2176" i="2"/>
  <c r="W2175" i="2"/>
  <c r="T2175" i="2"/>
  <c r="W2174" i="2"/>
  <c r="T2174" i="2"/>
  <c r="W2173" i="2"/>
  <c r="T2173" i="2"/>
  <c r="W2172" i="2"/>
  <c r="T2172" i="2"/>
  <c r="W2171" i="2"/>
  <c r="T2171" i="2"/>
  <c r="W2170" i="2"/>
  <c r="T2170" i="2"/>
  <c r="W2169" i="2"/>
  <c r="T2169" i="2"/>
  <c r="W2168" i="2"/>
  <c r="T2168" i="2"/>
  <c r="W2167" i="2"/>
  <c r="T2167" i="2"/>
  <c r="W2166" i="2"/>
  <c r="T2166" i="2"/>
  <c r="W2165" i="2"/>
  <c r="T2165" i="2"/>
  <c r="W2164" i="2"/>
  <c r="T2164" i="2"/>
  <c r="W2163" i="2"/>
  <c r="T2163" i="2"/>
  <c r="W2162" i="2"/>
  <c r="T2162" i="2"/>
  <c r="W2161" i="2"/>
  <c r="T2161" i="2"/>
  <c r="W2160" i="2"/>
  <c r="T2160" i="2"/>
  <c r="W2159" i="2"/>
  <c r="T2159" i="2"/>
  <c r="W2158" i="2"/>
  <c r="T2158" i="2"/>
  <c r="W2157" i="2"/>
  <c r="T2157" i="2"/>
  <c r="W2156" i="2"/>
  <c r="T2156" i="2"/>
  <c r="W2155" i="2"/>
  <c r="T2155" i="2"/>
  <c r="W2154" i="2"/>
  <c r="T2154" i="2"/>
  <c r="W2153" i="2"/>
  <c r="T2153" i="2"/>
  <c r="W2152" i="2"/>
  <c r="T2152" i="2"/>
  <c r="W2151" i="2"/>
  <c r="T2151" i="2"/>
  <c r="W2150" i="2"/>
  <c r="T2150" i="2"/>
  <c r="W2149" i="2"/>
  <c r="T2149" i="2"/>
  <c r="W2148" i="2"/>
  <c r="T2148" i="2"/>
  <c r="W2147" i="2"/>
  <c r="T2147" i="2"/>
  <c r="W2146" i="2"/>
  <c r="T2146" i="2"/>
  <c r="W2145" i="2"/>
  <c r="T2145" i="2"/>
  <c r="W2144" i="2"/>
  <c r="T2144" i="2"/>
  <c r="W2143" i="2"/>
  <c r="T2143" i="2"/>
  <c r="W2142" i="2"/>
  <c r="T2142" i="2"/>
  <c r="W2141" i="2"/>
  <c r="T2141" i="2"/>
  <c r="W2140" i="2"/>
  <c r="T2140" i="2"/>
  <c r="W2139" i="2"/>
  <c r="T2139" i="2"/>
  <c r="W2138" i="2"/>
  <c r="T2138" i="2"/>
  <c r="W2137" i="2"/>
  <c r="T2137" i="2"/>
  <c r="W2136" i="2"/>
  <c r="T2136" i="2"/>
  <c r="W2135" i="2"/>
  <c r="T2135" i="2"/>
  <c r="W2134" i="2"/>
  <c r="T2134" i="2"/>
  <c r="W2133" i="2"/>
  <c r="T2133" i="2"/>
  <c r="W2132" i="2"/>
  <c r="T2132" i="2"/>
  <c r="W2131" i="2"/>
  <c r="T2131" i="2"/>
  <c r="W2130" i="2"/>
  <c r="T2130" i="2"/>
  <c r="W2129" i="2"/>
  <c r="T2129" i="2"/>
  <c r="W2128" i="2"/>
  <c r="T2128" i="2"/>
  <c r="W2127" i="2"/>
  <c r="T2127" i="2"/>
  <c r="W2126" i="2"/>
  <c r="T2126" i="2"/>
  <c r="W2125" i="2"/>
  <c r="T2125" i="2"/>
  <c r="W2124" i="2"/>
  <c r="T2124" i="2"/>
  <c r="W2123" i="2"/>
  <c r="T2123" i="2"/>
  <c r="W2122" i="2"/>
  <c r="T2122" i="2"/>
  <c r="W2121" i="2"/>
  <c r="T2121" i="2"/>
  <c r="W2120" i="2"/>
  <c r="T2120" i="2"/>
  <c r="W2119" i="2"/>
  <c r="T2119" i="2"/>
  <c r="W2118" i="2"/>
  <c r="T2118" i="2"/>
  <c r="W2117" i="2"/>
  <c r="T2117" i="2"/>
  <c r="W2116" i="2"/>
  <c r="T2116" i="2"/>
  <c r="W2115" i="2"/>
  <c r="T2115" i="2"/>
  <c r="W2114" i="2"/>
  <c r="T2114" i="2"/>
  <c r="W2113" i="2"/>
  <c r="T2113" i="2"/>
  <c r="W2112" i="2"/>
  <c r="T2112" i="2"/>
  <c r="W2111" i="2"/>
  <c r="T2111" i="2"/>
  <c r="W2110" i="2"/>
  <c r="T2110" i="2"/>
  <c r="W2109" i="2"/>
  <c r="T2109" i="2"/>
  <c r="W2108" i="2"/>
  <c r="T2108" i="2"/>
  <c r="W2107" i="2"/>
  <c r="T2107" i="2"/>
  <c r="W2106" i="2"/>
  <c r="T2106" i="2"/>
  <c r="W2105" i="2"/>
  <c r="T2105" i="2"/>
  <c r="W2104" i="2"/>
  <c r="T2104" i="2"/>
  <c r="W2103" i="2"/>
  <c r="T2103" i="2"/>
  <c r="W2102" i="2"/>
  <c r="T2102" i="2"/>
  <c r="W2101" i="2"/>
  <c r="T2101" i="2"/>
  <c r="W2100" i="2"/>
  <c r="T2100" i="2"/>
  <c r="W2099" i="2"/>
  <c r="T2099" i="2"/>
  <c r="W2098" i="2"/>
  <c r="T2098" i="2"/>
  <c r="W2097" i="2"/>
  <c r="T2097" i="2"/>
  <c r="W2096" i="2"/>
  <c r="T2096" i="2"/>
  <c r="W2095" i="2"/>
  <c r="T2095" i="2"/>
  <c r="W2094" i="2"/>
  <c r="T2094" i="2"/>
  <c r="W2093" i="2"/>
  <c r="T2093" i="2"/>
  <c r="W2092" i="2"/>
  <c r="T2092" i="2"/>
  <c r="W2091" i="2"/>
  <c r="T2091" i="2"/>
  <c r="W2090" i="2"/>
  <c r="T2090" i="2"/>
  <c r="W2089" i="2"/>
  <c r="T2089" i="2"/>
  <c r="W2088" i="2"/>
  <c r="T2088" i="2"/>
  <c r="W2087" i="2"/>
  <c r="T2087" i="2"/>
  <c r="W2086" i="2"/>
  <c r="T2086" i="2"/>
  <c r="W2085" i="2"/>
  <c r="T2085" i="2"/>
  <c r="W2084" i="2"/>
  <c r="T2084" i="2"/>
  <c r="W2083" i="2"/>
  <c r="T2083" i="2"/>
  <c r="W2082" i="2"/>
  <c r="T2082" i="2"/>
  <c r="W2081" i="2"/>
  <c r="T2081" i="2"/>
  <c r="W2080" i="2"/>
  <c r="T2080" i="2"/>
  <c r="W2079" i="2"/>
  <c r="T2079" i="2"/>
  <c r="W2078" i="2"/>
  <c r="T2078" i="2"/>
  <c r="W2077" i="2"/>
  <c r="T2077" i="2"/>
  <c r="W2076" i="2"/>
  <c r="T2076" i="2"/>
  <c r="W2075" i="2"/>
  <c r="T2075" i="2"/>
  <c r="W2074" i="2"/>
  <c r="T2074" i="2"/>
  <c r="W2073" i="2"/>
  <c r="T2073" i="2"/>
  <c r="W2072" i="2"/>
  <c r="T2072" i="2"/>
  <c r="W2071" i="2"/>
  <c r="T2071" i="2"/>
  <c r="W2070" i="2"/>
  <c r="T2070" i="2"/>
  <c r="W2069" i="2"/>
  <c r="T2069" i="2"/>
  <c r="W2068" i="2"/>
  <c r="T2068" i="2"/>
  <c r="W2067" i="2"/>
  <c r="T2067" i="2"/>
  <c r="W2066" i="2"/>
  <c r="T2066" i="2"/>
  <c r="W2065" i="2"/>
  <c r="T2065" i="2"/>
  <c r="W2064" i="2"/>
  <c r="T2064" i="2"/>
  <c r="W2063" i="2"/>
  <c r="T2063" i="2"/>
  <c r="W2062" i="2"/>
  <c r="T2062" i="2"/>
  <c r="W2061" i="2"/>
  <c r="T2061" i="2"/>
  <c r="W2060" i="2"/>
  <c r="T2060" i="2"/>
  <c r="W2059" i="2"/>
  <c r="T2059" i="2"/>
  <c r="W2058" i="2"/>
  <c r="T2058" i="2"/>
  <c r="W2057" i="2"/>
  <c r="T2057" i="2"/>
  <c r="W2056" i="2"/>
  <c r="T2056" i="2"/>
  <c r="W2055" i="2"/>
  <c r="T2055" i="2"/>
  <c r="W2054" i="2"/>
  <c r="T2054" i="2"/>
  <c r="W2053" i="2"/>
  <c r="T2053" i="2"/>
  <c r="W2052" i="2"/>
  <c r="T2052" i="2"/>
  <c r="W2051" i="2"/>
  <c r="T2051" i="2"/>
  <c r="W2050" i="2"/>
  <c r="T2050" i="2"/>
  <c r="W2049" i="2"/>
  <c r="T2049" i="2"/>
  <c r="W2048" i="2"/>
  <c r="T2048" i="2"/>
  <c r="W2047" i="2"/>
  <c r="T2047" i="2"/>
  <c r="W2046" i="2"/>
  <c r="T2046" i="2"/>
  <c r="W2045" i="2"/>
  <c r="T2045" i="2"/>
  <c r="W2044" i="2"/>
  <c r="T2044" i="2"/>
  <c r="W2043" i="2"/>
  <c r="T2043" i="2"/>
  <c r="W2042" i="2"/>
  <c r="T2042" i="2"/>
  <c r="W2041" i="2"/>
  <c r="T2041" i="2"/>
  <c r="W2040" i="2"/>
  <c r="T2040" i="2"/>
  <c r="W2039" i="2"/>
  <c r="T2039" i="2"/>
  <c r="W2038" i="2"/>
  <c r="T2038" i="2"/>
  <c r="W2037" i="2"/>
  <c r="T2037" i="2"/>
  <c r="W2036" i="2"/>
  <c r="T2036" i="2"/>
  <c r="W2035" i="2"/>
  <c r="T2035" i="2"/>
  <c r="W2034" i="2"/>
  <c r="T2034" i="2"/>
  <c r="W2033" i="2"/>
  <c r="T2033" i="2"/>
  <c r="W2032" i="2"/>
  <c r="T2032" i="2"/>
  <c r="W2031" i="2"/>
  <c r="T2031" i="2"/>
  <c r="W2030" i="2"/>
  <c r="T2030" i="2"/>
  <c r="W2029" i="2"/>
  <c r="T2029" i="2"/>
  <c r="W2028" i="2"/>
  <c r="T2028" i="2"/>
  <c r="W2027" i="2"/>
  <c r="T2027" i="2"/>
  <c r="W2026" i="2"/>
  <c r="T2026" i="2"/>
  <c r="W2025" i="2"/>
  <c r="T2025" i="2"/>
  <c r="W2024" i="2"/>
  <c r="T2024" i="2"/>
  <c r="W2023" i="2"/>
  <c r="T2023" i="2"/>
  <c r="W2022" i="2"/>
  <c r="T2022" i="2"/>
  <c r="W2021" i="2"/>
  <c r="T2021" i="2"/>
  <c r="W2020" i="2"/>
  <c r="T2020" i="2"/>
  <c r="W2019" i="2"/>
  <c r="T2019" i="2"/>
  <c r="W2018" i="2"/>
  <c r="T2018" i="2"/>
  <c r="W2017" i="2"/>
  <c r="T2017" i="2"/>
  <c r="W2016" i="2"/>
  <c r="T2016" i="2"/>
  <c r="W2015" i="2"/>
  <c r="T2015" i="2"/>
  <c r="W2014" i="2"/>
  <c r="T2014" i="2"/>
  <c r="W2013" i="2"/>
  <c r="T2013" i="2"/>
  <c r="W2012" i="2"/>
  <c r="T2012" i="2"/>
  <c r="W2011" i="2"/>
  <c r="T2011" i="2"/>
  <c r="W2010" i="2"/>
  <c r="T2010" i="2"/>
  <c r="W2009" i="2"/>
  <c r="T2009" i="2"/>
  <c r="W2008" i="2"/>
  <c r="T2008" i="2"/>
  <c r="W2007" i="2"/>
  <c r="T2007" i="2"/>
  <c r="W2006" i="2"/>
  <c r="T2006" i="2"/>
  <c r="W2005" i="2"/>
  <c r="T2005" i="2"/>
  <c r="W2004" i="2"/>
  <c r="T2004" i="2"/>
  <c r="W2003" i="2"/>
  <c r="T2003" i="2"/>
  <c r="W2002" i="2"/>
  <c r="T2002" i="2"/>
  <c r="W2001" i="2"/>
  <c r="T2001" i="2"/>
  <c r="W2000" i="2"/>
  <c r="T2000" i="2"/>
  <c r="W1999" i="2"/>
  <c r="T1999" i="2"/>
  <c r="W1998" i="2"/>
  <c r="T1998" i="2"/>
  <c r="W1997" i="2"/>
  <c r="T1997" i="2"/>
  <c r="W1996" i="2"/>
  <c r="T1996" i="2"/>
  <c r="W1995" i="2"/>
  <c r="T1995" i="2"/>
  <c r="W1994" i="2"/>
  <c r="T1994" i="2"/>
  <c r="W1993" i="2"/>
  <c r="T1993" i="2"/>
  <c r="W1992" i="2"/>
  <c r="T1992" i="2"/>
  <c r="W1991" i="2"/>
  <c r="T1991" i="2"/>
  <c r="W1990" i="2"/>
  <c r="T1990" i="2"/>
  <c r="W1989" i="2"/>
  <c r="T1989" i="2"/>
  <c r="W1988" i="2"/>
  <c r="T1988" i="2"/>
  <c r="W1987" i="2"/>
  <c r="T1987" i="2"/>
  <c r="W1986" i="2"/>
  <c r="T1986" i="2"/>
  <c r="W1985" i="2"/>
  <c r="T1985" i="2"/>
  <c r="W1984" i="2"/>
  <c r="T1984" i="2"/>
  <c r="W1983" i="2"/>
  <c r="T1983" i="2"/>
  <c r="W1982" i="2"/>
  <c r="T1982" i="2"/>
  <c r="W1981" i="2"/>
  <c r="T1981" i="2"/>
  <c r="W1980" i="2"/>
  <c r="T1980" i="2"/>
  <c r="W1979" i="2"/>
  <c r="T1979" i="2"/>
  <c r="W1978" i="2"/>
  <c r="T1978" i="2"/>
  <c r="W1977" i="2"/>
  <c r="T1977" i="2"/>
  <c r="W1976" i="2"/>
  <c r="T1976" i="2"/>
  <c r="W1975" i="2"/>
  <c r="T1975" i="2"/>
  <c r="W1974" i="2"/>
  <c r="T1974" i="2"/>
  <c r="W1973" i="2"/>
  <c r="T1973" i="2"/>
  <c r="W1972" i="2"/>
  <c r="T1972" i="2"/>
  <c r="W1971" i="2"/>
  <c r="T1971" i="2"/>
  <c r="W1970" i="2"/>
  <c r="T1970" i="2"/>
  <c r="W1969" i="2"/>
  <c r="T1969" i="2"/>
  <c r="W1968" i="2"/>
  <c r="T1968" i="2"/>
  <c r="W1967" i="2"/>
  <c r="T1967" i="2"/>
  <c r="W1966" i="2"/>
  <c r="T1966" i="2"/>
  <c r="W1965" i="2"/>
  <c r="T1965" i="2"/>
  <c r="W1964" i="2"/>
  <c r="T1964" i="2"/>
  <c r="W1963" i="2"/>
  <c r="T1963" i="2"/>
  <c r="W1962" i="2"/>
  <c r="T1962" i="2"/>
  <c r="W1961" i="2"/>
  <c r="T1961" i="2"/>
  <c r="W1960" i="2"/>
  <c r="T1960" i="2"/>
  <c r="W1959" i="2"/>
  <c r="T1959" i="2"/>
  <c r="W1958" i="2"/>
  <c r="T1958" i="2"/>
  <c r="W1957" i="2"/>
  <c r="T1957" i="2"/>
  <c r="W1956" i="2"/>
  <c r="T1956" i="2"/>
  <c r="W1955" i="2"/>
  <c r="T1955" i="2"/>
  <c r="W1954" i="2"/>
  <c r="T1954" i="2"/>
  <c r="W1953" i="2"/>
  <c r="T1953" i="2"/>
  <c r="W1952" i="2"/>
  <c r="T1952" i="2"/>
  <c r="W1951" i="2"/>
  <c r="T1951" i="2"/>
  <c r="W1950" i="2"/>
  <c r="T1950" i="2"/>
  <c r="W1949" i="2"/>
  <c r="T1949" i="2"/>
  <c r="W1948" i="2"/>
  <c r="T1948" i="2"/>
  <c r="W1947" i="2"/>
  <c r="T1947" i="2"/>
  <c r="W1946" i="2"/>
  <c r="T1946" i="2"/>
  <c r="W1945" i="2"/>
  <c r="T1945" i="2"/>
  <c r="W1944" i="2"/>
  <c r="T1944" i="2"/>
  <c r="W1943" i="2"/>
  <c r="T1943" i="2"/>
  <c r="W1942" i="2"/>
  <c r="T1942" i="2"/>
  <c r="W1941" i="2"/>
  <c r="T1941" i="2"/>
  <c r="W1940" i="2"/>
  <c r="T1940" i="2"/>
  <c r="W1939" i="2"/>
  <c r="T1939" i="2"/>
  <c r="W1938" i="2"/>
  <c r="T1938" i="2"/>
  <c r="W1937" i="2"/>
  <c r="T1937" i="2"/>
  <c r="W1936" i="2"/>
  <c r="T1936" i="2"/>
  <c r="W1935" i="2"/>
  <c r="T1935" i="2"/>
  <c r="W1934" i="2"/>
  <c r="T1934" i="2"/>
  <c r="W1933" i="2"/>
  <c r="T1933" i="2"/>
  <c r="W1932" i="2"/>
  <c r="T1932" i="2"/>
  <c r="W1931" i="2"/>
  <c r="T1931" i="2"/>
  <c r="W1930" i="2"/>
  <c r="T1930" i="2"/>
  <c r="W1929" i="2"/>
  <c r="T1929" i="2"/>
  <c r="W1928" i="2"/>
  <c r="T1928" i="2"/>
  <c r="W1927" i="2"/>
  <c r="T1927" i="2"/>
  <c r="W1926" i="2"/>
  <c r="T1926" i="2"/>
  <c r="W1925" i="2"/>
  <c r="T1925" i="2"/>
  <c r="W1924" i="2"/>
  <c r="T1924" i="2"/>
  <c r="W1923" i="2"/>
  <c r="T1923" i="2"/>
  <c r="W1922" i="2"/>
  <c r="T1922" i="2"/>
  <c r="W1921" i="2"/>
  <c r="T1921" i="2"/>
  <c r="W1920" i="2"/>
  <c r="T1920" i="2"/>
  <c r="W1919" i="2"/>
  <c r="T1919" i="2"/>
  <c r="W1918" i="2"/>
  <c r="T1918" i="2"/>
  <c r="W1917" i="2"/>
  <c r="T1917" i="2"/>
  <c r="W1916" i="2"/>
  <c r="T1916" i="2"/>
  <c r="W1915" i="2"/>
  <c r="T1915" i="2"/>
  <c r="W1914" i="2"/>
  <c r="T1914" i="2"/>
  <c r="W1913" i="2"/>
  <c r="T1913" i="2"/>
  <c r="W1912" i="2"/>
  <c r="T1912" i="2"/>
  <c r="W1911" i="2"/>
  <c r="T1911" i="2"/>
  <c r="W1910" i="2"/>
  <c r="T1910" i="2"/>
  <c r="W1909" i="2"/>
  <c r="T1909" i="2"/>
  <c r="W1908" i="2"/>
  <c r="T1908" i="2"/>
  <c r="W1907" i="2"/>
  <c r="T1907" i="2"/>
  <c r="W1906" i="2"/>
  <c r="T1906" i="2"/>
  <c r="W1905" i="2"/>
  <c r="T1905" i="2"/>
  <c r="W1904" i="2"/>
  <c r="T1904" i="2"/>
  <c r="W1903" i="2"/>
  <c r="T1903" i="2"/>
  <c r="W1902" i="2"/>
  <c r="T1902" i="2"/>
  <c r="W1901" i="2"/>
  <c r="T1901" i="2"/>
  <c r="W1900" i="2"/>
  <c r="T1900" i="2"/>
  <c r="W1899" i="2"/>
  <c r="T1899" i="2"/>
  <c r="W1898" i="2"/>
  <c r="T1898" i="2"/>
  <c r="W1897" i="2"/>
  <c r="T1897" i="2"/>
  <c r="W1896" i="2"/>
  <c r="T1896" i="2"/>
  <c r="W1895" i="2"/>
  <c r="T1895" i="2"/>
  <c r="W1894" i="2"/>
  <c r="T1894" i="2"/>
  <c r="W1893" i="2"/>
  <c r="T1893" i="2"/>
  <c r="W1892" i="2"/>
  <c r="T1892" i="2"/>
  <c r="W1891" i="2"/>
  <c r="T1891" i="2"/>
  <c r="W1890" i="2"/>
  <c r="T1890" i="2"/>
  <c r="W1889" i="2"/>
  <c r="T1889" i="2"/>
  <c r="W1888" i="2"/>
  <c r="T1888" i="2"/>
  <c r="W1887" i="2"/>
  <c r="T1887" i="2"/>
  <c r="W1886" i="2"/>
  <c r="T1886" i="2"/>
  <c r="W1885" i="2"/>
  <c r="T1885" i="2"/>
  <c r="W1884" i="2"/>
  <c r="T1884" i="2"/>
  <c r="W1883" i="2"/>
  <c r="T1883" i="2"/>
  <c r="W1882" i="2"/>
  <c r="T1882" i="2"/>
  <c r="W1881" i="2"/>
  <c r="T1881" i="2"/>
  <c r="W1880" i="2"/>
  <c r="T1880" i="2"/>
  <c r="W1879" i="2"/>
  <c r="T1879" i="2"/>
  <c r="W1878" i="2"/>
  <c r="T1878" i="2"/>
  <c r="W1877" i="2"/>
  <c r="T1877" i="2"/>
  <c r="W1876" i="2"/>
  <c r="T1876" i="2"/>
  <c r="W1875" i="2"/>
  <c r="T1875" i="2"/>
  <c r="W1874" i="2"/>
  <c r="T1874" i="2"/>
  <c r="W1873" i="2"/>
  <c r="T1873" i="2"/>
  <c r="W1872" i="2"/>
  <c r="T1872" i="2"/>
  <c r="W1871" i="2"/>
  <c r="T1871" i="2"/>
  <c r="W1870" i="2"/>
  <c r="T1870" i="2"/>
  <c r="W1869" i="2"/>
  <c r="T1869" i="2"/>
  <c r="W1868" i="2"/>
  <c r="T1868" i="2"/>
  <c r="W1867" i="2"/>
  <c r="T1867" i="2"/>
  <c r="W1866" i="2"/>
  <c r="T1866" i="2"/>
  <c r="W1865" i="2"/>
  <c r="T1865" i="2"/>
  <c r="W1864" i="2"/>
  <c r="T1864" i="2"/>
  <c r="W1863" i="2"/>
  <c r="T1863" i="2"/>
  <c r="W1862" i="2"/>
  <c r="T1862" i="2"/>
  <c r="W1861" i="2"/>
  <c r="T1861" i="2"/>
  <c r="W1860" i="2"/>
  <c r="T1860" i="2"/>
  <c r="W1859" i="2"/>
  <c r="T1859" i="2"/>
  <c r="W1858" i="2"/>
  <c r="T1858" i="2"/>
  <c r="W1857" i="2"/>
  <c r="T1857" i="2"/>
  <c r="W1856" i="2"/>
  <c r="T1856" i="2"/>
  <c r="W1855" i="2"/>
  <c r="T1855" i="2"/>
  <c r="W1854" i="2"/>
  <c r="T1854" i="2"/>
  <c r="W1853" i="2"/>
  <c r="T1853" i="2"/>
  <c r="W1852" i="2"/>
  <c r="T1852" i="2"/>
  <c r="W1851" i="2"/>
  <c r="T1851" i="2"/>
  <c r="W1850" i="2"/>
  <c r="T1850" i="2"/>
  <c r="W1849" i="2"/>
  <c r="T1849" i="2"/>
  <c r="W1848" i="2"/>
  <c r="T1848" i="2"/>
  <c r="W1847" i="2"/>
  <c r="T1847" i="2"/>
  <c r="W1846" i="2"/>
  <c r="T1846" i="2"/>
  <c r="W1845" i="2"/>
  <c r="T1845" i="2"/>
  <c r="W1844" i="2"/>
  <c r="T1844" i="2"/>
  <c r="W1843" i="2"/>
  <c r="T1843" i="2"/>
  <c r="W1842" i="2"/>
  <c r="T1842" i="2"/>
  <c r="W1841" i="2"/>
  <c r="T1841" i="2"/>
  <c r="W1840" i="2"/>
  <c r="T1840" i="2"/>
  <c r="W1839" i="2"/>
  <c r="T1839" i="2"/>
  <c r="W1838" i="2"/>
  <c r="T1838" i="2"/>
  <c r="W1837" i="2"/>
  <c r="T1837" i="2"/>
  <c r="W1836" i="2"/>
  <c r="T1836" i="2"/>
  <c r="W1835" i="2"/>
  <c r="T1835" i="2"/>
  <c r="W1834" i="2"/>
  <c r="T1834" i="2"/>
  <c r="W1833" i="2"/>
  <c r="T1833" i="2"/>
  <c r="W1832" i="2"/>
  <c r="T1832" i="2"/>
  <c r="W1831" i="2"/>
  <c r="T1831" i="2"/>
  <c r="W1830" i="2"/>
  <c r="T1830" i="2"/>
  <c r="W1829" i="2"/>
  <c r="T1829" i="2"/>
  <c r="W1828" i="2"/>
  <c r="T1828" i="2"/>
  <c r="W1827" i="2"/>
  <c r="T1827" i="2"/>
  <c r="W1826" i="2"/>
  <c r="T1826" i="2"/>
  <c r="W1825" i="2"/>
  <c r="T1825" i="2"/>
  <c r="W1824" i="2"/>
  <c r="T1824" i="2"/>
  <c r="W1823" i="2"/>
  <c r="T1823" i="2"/>
  <c r="W1822" i="2"/>
  <c r="T1822" i="2"/>
  <c r="W1821" i="2"/>
  <c r="T1821" i="2"/>
  <c r="W1820" i="2"/>
  <c r="T1820" i="2"/>
  <c r="W1819" i="2"/>
  <c r="T1819" i="2"/>
  <c r="W1818" i="2"/>
  <c r="T1818" i="2"/>
  <c r="W1817" i="2"/>
  <c r="T1817" i="2"/>
  <c r="W1816" i="2"/>
  <c r="T1816" i="2"/>
  <c r="W1815" i="2"/>
  <c r="T1815" i="2"/>
  <c r="W1814" i="2"/>
  <c r="T1814" i="2"/>
  <c r="W1813" i="2"/>
  <c r="T1813" i="2"/>
  <c r="W1812" i="2"/>
  <c r="T1812" i="2"/>
  <c r="W1811" i="2"/>
  <c r="T1811" i="2"/>
  <c r="W1810" i="2"/>
  <c r="T1810" i="2"/>
  <c r="W1809" i="2"/>
  <c r="T1809" i="2"/>
  <c r="W1808" i="2"/>
  <c r="T1808" i="2"/>
  <c r="W1807" i="2"/>
  <c r="T1807" i="2"/>
  <c r="W1806" i="2"/>
  <c r="T1806" i="2"/>
  <c r="W1805" i="2"/>
  <c r="T1805" i="2"/>
  <c r="W1804" i="2"/>
  <c r="T1804" i="2"/>
  <c r="W1803" i="2"/>
  <c r="T1803" i="2"/>
  <c r="W1802" i="2"/>
  <c r="T1802" i="2"/>
  <c r="W1801" i="2"/>
  <c r="T1801" i="2"/>
  <c r="W1800" i="2"/>
  <c r="T1800" i="2"/>
  <c r="W1799" i="2"/>
  <c r="T1799" i="2"/>
  <c r="W1798" i="2"/>
  <c r="T1798" i="2"/>
  <c r="W1797" i="2"/>
  <c r="T1797" i="2"/>
  <c r="W1796" i="2"/>
  <c r="T1796" i="2"/>
  <c r="W1795" i="2"/>
  <c r="T1795" i="2"/>
  <c r="W1794" i="2"/>
  <c r="T1794" i="2"/>
  <c r="W1793" i="2"/>
  <c r="T1793" i="2"/>
  <c r="W1792" i="2"/>
  <c r="T1792" i="2"/>
  <c r="W1791" i="2"/>
  <c r="T1791" i="2"/>
  <c r="W1790" i="2"/>
  <c r="T1790" i="2"/>
  <c r="W1789" i="2"/>
  <c r="T1789" i="2"/>
  <c r="W1788" i="2"/>
  <c r="T1788" i="2"/>
  <c r="W1787" i="2"/>
  <c r="T1787" i="2"/>
  <c r="W1786" i="2"/>
  <c r="T1786" i="2"/>
  <c r="W1785" i="2"/>
  <c r="T1785" i="2"/>
  <c r="W1784" i="2"/>
  <c r="T1784" i="2"/>
  <c r="W1783" i="2"/>
  <c r="T1783" i="2"/>
  <c r="W1782" i="2"/>
  <c r="T1782" i="2"/>
  <c r="W1781" i="2"/>
  <c r="T1781" i="2"/>
  <c r="W1780" i="2"/>
  <c r="T1780" i="2"/>
  <c r="W1779" i="2"/>
  <c r="T1779" i="2"/>
  <c r="W1778" i="2"/>
  <c r="T1778" i="2"/>
  <c r="W1777" i="2"/>
  <c r="T1777" i="2"/>
  <c r="W1776" i="2"/>
  <c r="T1776" i="2"/>
  <c r="W1775" i="2"/>
  <c r="T1775" i="2"/>
  <c r="W1774" i="2"/>
  <c r="T1774" i="2"/>
  <c r="W1773" i="2"/>
  <c r="T1773" i="2"/>
  <c r="W1772" i="2"/>
  <c r="T1772" i="2"/>
  <c r="W1771" i="2"/>
  <c r="T1771" i="2"/>
  <c r="W1770" i="2"/>
  <c r="T1770" i="2"/>
  <c r="W1769" i="2"/>
  <c r="T1769" i="2"/>
  <c r="W1768" i="2"/>
  <c r="T1768" i="2"/>
  <c r="W1767" i="2"/>
  <c r="T1767" i="2"/>
  <c r="W1766" i="2"/>
  <c r="T1766" i="2"/>
  <c r="W1765" i="2"/>
  <c r="T1765" i="2"/>
  <c r="W1764" i="2"/>
  <c r="T1764" i="2"/>
  <c r="W1763" i="2"/>
  <c r="T1763" i="2"/>
  <c r="W1762" i="2"/>
  <c r="T1762" i="2"/>
  <c r="W1761" i="2"/>
  <c r="T1761" i="2"/>
  <c r="W1760" i="2"/>
  <c r="T1760" i="2"/>
  <c r="W1759" i="2"/>
  <c r="T1759" i="2"/>
  <c r="W1758" i="2"/>
  <c r="T1758" i="2"/>
  <c r="W1757" i="2"/>
  <c r="T1757" i="2"/>
  <c r="W1756" i="2"/>
  <c r="T1756" i="2"/>
  <c r="W1755" i="2"/>
  <c r="T1755" i="2"/>
  <c r="W1754" i="2"/>
  <c r="T1754" i="2"/>
  <c r="W1753" i="2"/>
  <c r="T1753" i="2"/>
  <c r="W1752" i="2"/>
  <c r="T1752" i="2"/>
  <c r="W1751" i="2"/>
  <c r="T1751" i="2"/>
  <c r="W1750" i="2"/>
  <c r="T1750" i="2"/>
  <c r="W1749" i="2"/>
  <c r="T1749" i="2"/>
  <c r="W1748" i="2"/>
  <c r="T1748" i="2"/>
  <c r="W1747" i="2"/>
  <c r="T1747" i="2"/>
  <c r="W1746" i="2"/>
  <c r="T1746" i="2"/>
  <c r="W1745" i="2"/>
  <c r="T1745" i="2"/>
  <c r="W1744" i="2"/>
  <c r="T1744" i="2"/>
  <c r="W1743" i="2"/>
  <c r="T1743" i="2"/>
  <c r="W1742" i="2"/>
  <c r="T1742" i="2"/>
  <c r="W1741" i="2"/>
  <c r="T1741" i="2"/>
  <c r="W1740" i="2"/>
  <c r="T1740" i="2"/>
  <c r="W1739" i="2"/>
  <c r="T1739" i="2"/>
  <c r="W1738" i="2"/>
  <c r="T1738" i="2"/>
  <c r="W1737" i="2"/>
  <c r="T1737" i="2"/>
  <c r="W1736" i="2"/>
  <c r="T1736" i="2"/>
  <c r="W1735" i="2"/>
  <c r="T1735" i="2"/>
  <c r="W1734" i="2"/>
  <c r="T1734" i="2"/>
  <c r="W1733" i="2"/>
  <c r="T1733" i="2"/>
  <c r="W1732" i="2"/>
  <c r="T1732" i="2"/>
  <c r="W1731" i="2"/>
  <c r="T1731" i="2"/>
  <c r="W1730" i="2"/>
  <c r="T1730" i="2"/>
  <c r="W1729" i="2"/>
  <c r="T1729" i="2"/>
  <c r="W1728" i="2"/>
  <c r="T1728" i="2"/>
  <c r="W1727" i="2"/>
  <c r="T1727" i="2"/>
  <c r="W1726" i="2"/>
  <c r="T1726" i="2"/>
  <c r="W1725" i="2"/>
  <c r="T1725" i="2"/>
  <c r="W1724" i="2"/>
  <c r="T1724" i="2"/>
  <c r="W1723" i="2"/>
  <c r="T1723" i="2"/>
  <c r="W1722" i="2"/>
  <c r="T1722" i="2"/>
  <c r="W1721" i="2"/>
  <c r="T1721" i="2"/>
  <c r="W1720" i="2"/>
  <c r="T1720" i="2"/>
  <c r="W1719" i="2"/>
  <c r="T1719" i="2"/>
  <c r="W1718" i="2"/>
  <c r="T1718" i="2"/>
  <c r="W1717" i="2"/>
  <c r="T1717" i="2"/>
  <c r="W1716" i="2"/>
  <c r="T1716" i="2"/>
  <c r="W1715" i="2"/>
  <c r="T1715" i="2"/>
  <c r="W1714" i="2"/>
  <c r="T1714" i="2"/>
  <c r="W1713" i="2"/>
  <c r="T1713" i="2"/>
  <c r="W1712" i="2"/>
  <c r="T1712" i="2"/>
  <c r="W1711" i="2"/>
  <c r="T1711" i="2"/>
  <c r="W1710" i="2"/>
  <c r="T1710" i="2"/>
  <c r="W1709" i="2"/>
  <c r="T1709" i="2"/>
  <c r="W1708" i="2"/>
  <c r="T1708" i="2"/>
  <c r="W1707" i="2"/>
  <c r="T1707" i="2"/>
  <c r="W1706" i="2"/>
  <c r="T1706" i="2"/>
  <c r="W1705" i="2"/>
  <c r="T1705" i="2"/>
  <c r="W1704" i="2"/>
  <c r="T1704" i="2"/>
  <c r="W1703" i="2"/>
  <c r="T1703" i="2"/>
  <c r="W1702" i="2"/>
  <c r="T1702" i="2"/>
  <c r="W1701" i="2"/>
  <c r="T1701" i="2"/>
  <c r="W1700" i="2"/>
  <c r="T1700" i="2"/>
  <c r="W1699" i="2"/>
  <c r="T1699" i="2"/>
  <c r="W1698" i="2"/>
  <c r="T1698" i="2"/>
  <c r="W1697" i="2"/>
  <c r="T1697" i="2"/>
  <c r="W1696" i="2"/>
  <c r="T1696" i="2"/>
  <c r="W1695" i="2"/>
  <c r="T1695" i="2"/>
  <c r="W1694" i="2"/>
  <c r="T1694" i="2"/>
  <c r="W1693" i="2"/>
  <c r="T1693" i="2"/>
  <c r="W1692" i="2"/>
  <c r="T1692" i="2"/>
  <c r="W1691" i="2"/>
  <c r="T1691" i="2"/>
  <c r="W1690" i="2"/>
  <c r="T1690" i="2"/>
  <c r="W1689" i="2"/>
  <c r="T1689" i="2"/>
  <c r="W1688" i="2"/>
  <c r="T1688" i="2"/>
  <c r="W1687" i="2"/>
  <c r="T1687" i="2"/>
  <c r="W1686" i="2"/>
  <c r="T1686" i="2"/>
  <c r="W1685" i="2"/>
  <c r="T1685" i="2"/>
  <c r="W1684" i="2"/>
  <c r="T1684" i="2"/>
  <c r="W1683" i="2"/>
  <c r="T1683" i="2"/>
  <c r="W1682" i="2"/>
  <c r="T1682" i="2"/>
  <c r="W1681" i="2"/>
  <c r="T1681" i="2"/>
  <c r="W1680" i="2"/>
  <c r="T1680" i="2"/>
  <c r="W1679" i="2"/>
  <c r="T1679" i="2"/>
  <c r="W1678" i="2"/>
  <c r="T1678" i="2"/>
  <c r="W1677" i="2"/>
  <c r="T1677" i="2"/>
  <c r="W1676" i="2"/>
  <c r="T1676" i="2"/>
  <c r="W1675" i="2"/>
  <c r="T1675" i="2"/>
  <c r="W1674" i="2"/>
  <c r="T1674" i="2"/>
  <c r="W1673" i="2"/>
  <c r="T1673" i="2"/>
  <c r="W1672" i="2"/>
  <c r="T1672" i="2"/>
  <c r="W1671" i="2"/>
  <c r="T1671" i="2"/>
  <c r="W1670" i="2"/>
  <c r="T1670" i="2"/>
  <c r="W1669" i="2"/>
  <c r="T1669" i="2"/>
  <c r="W1668" i="2"/>
  <c r="T1668" i="2"/>
  <c r="W1667" i="2"/>
  <c r="T1667" i="2"/>
  <c r="W1666" i="2"/>
  <c r="T1666" i="2"/>
  <c r="W1665" i="2"/>
  <c r="T1665" i="2"/>
  <c r="W1664" i="2"/>
  <c r="T1664" i="2"/>
  <c r="W1663" i="2"/>
  <c r="T1663" i="2"/>
  <c r="W1662" i="2"/>
  <c r="T1662" i="2"/>
  <c r="W1661" i="2"/>
  <c r="T1661" i="2"/>
  <c r="W1660" i="2"/>
  <c r="T1660" i="2"/>
  <c r="W1659" i="2"/>
  <c r="T1659" i="2"/>
  <c r="W1658" i="2"/>
  <c r="T1658" i="2"/>
  <c r="W1657" i="2"/>
  <c r="T1657" i="2"/>
  <c r="W1656" i="2"/>
  <c r="T1656" i="2"/>
  <c r="W1655" i="2"/>
  <c r="T1655" i="2"/>
  <c r="W1654" i="2"/>
  <c r="T1654" i="2"/>
  <c r="W1653" i="2"/>
  <c r="T1653" i="2"/>
  <c r="W1652" i="2"/>
  <c r="T1652" i="2"/>
  <c r="W1651" i="2"/>
  <c r="T1651" i="2"/>
  <c r="W1650" i="2"/>
  <c r="T1650" i="2"/>
  <c r="W1649" i="2"/>
  <c r="T1649" i="2"/>
  <c r="W1648" i="2"/>
  <c r="T1648" i="2"/>
  <c r="W1647" i="2"/>
  <c r="T1647" i="2"/>
  <c r="W1646" i="2"/>
  <c r="T1646" i="2"/>
  <c r="W1645" i="2"/>
  <c r="T1645" i="2"/>
  <c r="W1644" i="2"/>
  <c r="T1644" i="2"/>
  <c r="W1643" i="2"/>
  <c r="T1643" i="2"/>
  <c r="W1642" i="2"/>
  <c r="T1642" i="2"/>
  <c r="W1641" i="2"/>
  <c r="T1641" i="2"/>
  <c r="W1640" i="2"/>
  <c r="T1640" i="2"/>
  <c r="W1639" i="2"/>
  <c r="T1639" i="2"/>
  <c r="W1638" i="2"/>
  <c r="T1638" i="2"/>
  <c r="W1637" i="2"/>
  <c r="T1637" i="2"/>
  <c r="W1636" i="2"/>
  <c r="T1636" i="2"/>
  <c r="W1635" i="2"/>
  <c r="T1635" i="2"/>
  <c r="W1634" i="2"/>
  <c r="T1634" i="2"/>
  <c r="W1633" i="2"/>
  <c r="T1633" i="2"/>
  <c r="W1632" i="2"/>
  <c r="T1632" i="2"/>
  <c r="W1631" i="2"/>
  <c r="T1631" i="2"/>
  <c r="W1630" i="2"/>
  <c r="T1630" i="2"/>
  <c r="W1629" i="2"/>
  <c r="T1629" i="2"/>
  <c r="W1628" i="2"/>
  <c r="T1628" i="2"/>
  <c r="W1627" i="2"/>
  <c r="T1627" i="2"/>
  <c r="W1626" i="2"/>
  <c r="T1626" i="2"/>
  <c r="W1625" i="2"/>
  <c r="T1625" i="2"/>
  <c r="W1624" i="2"/>
  <c r="T1624" i="2"/>
  <c r="W1623" i="2"/>
  <c r="T1623" i="2"/>
  <c r="W1622" i="2"/>
  <c r="T1622" i="2"/>
  <c r="W1621" i="2"/>
  <c r="T1621" i="2"/>
  <c r="W1620" i="2"/>
  <c r="T1620" i="2"/>
  <c r="W1619" i="2"/>
  <c r="T1619" i="2"/>
  <c r="W1618" i="2"/>
  <c r="T1618" i="2"/>
  <c r="W1617" i="2"/>
  <c r="T1617" i="2"/>
  <c r="W1616" i="2"/>
  <c r="T1616" i="2"/>
  <c r="W1615" i="2"/>
  <c r="T1615" i="2"/>
  <c r="W1614" i="2"/>
  <c r="T1614" i="2"/>
  <c r="W1613" i="2"/>
  <c r="T1613" i="2"/>
  <c r="W1612" i="2"/>
  <c r="T1612" i="2"/>
  <c r="W1611" i="2"/>
  <c r="T1611" i="2"/>
  <c r="W1610" i="2"/>
  <c r="T1610" i="2"/>
  <c r="W1609" i="2"/>
  <c r="T1609" i="2"/>
  <c r="W1608" i="2"/>
  <c r="T1608" i="2"/>
  <c r="W1607" i="2"/>
  <c r="T1607" i="2"/>
  <c r="W1606" i="2"/>
  <c r="T1606" i="2"/>
  <c r="W1605" i="2"/>
  <c r="T1605" i="2"/>
  <c r="W1604" i="2"/>
  <c r="T1604" i="2"/>
  <c r="W1603" i="2"/>
  <c r="T1603" i="2"/>
  <c r="W1602" i="2"/>
  <c r="T1602" i="2"/>
  <c r="W1601" i="2"/>
  <c r="T1601" i="2"/>
  <c r="W1600" i="2"/>
  <c r="T1600" i="2"/>
  <c r="W1599" i="2"/>
  <c r="T1599" i="2"/>
  <c r="W1598" i="2"/>
  <c r="T1598" i="2"/>
  <c r="W1597" i="2"/>
  <c r="T1597" i="2"/>
  <c r="W1596" i="2"/>
  <c r="T1596" i="2"/>
  <c r="W1595" i="2"/>
  <c r="T1595" i="2"/>
  <c r="W1594" i="2"/>
  <c r="T1594" i="2"/>
  <c r="W1593" i="2"/>
  <c r="T1593" i="2"/>
  <c r="W1592" i="2"/>
  <c r="T1592" i="2"/>
  <c r="W1591" i="2"/>
  <c r="T1591" i="2"/>
  <c r="W1590" i="2"/>
  <c r="T1590" i="2"/>
  <c r="W1589" i="2"/>
  <c r="T1589" i="2"/>
  <c r="W1588" i="2"/>
  <c r="T1588" i="2"/>
  <c r="W1587" i="2"/>
  <c r="T1587" i="2"/>
  <c r="W1586" i="2"/>
  <c r="T1586" i="2"/>
  <c r="W1585" i="2"/>
  <c r="T1585" i="2"/>
  <c r="W1584" i="2"/>
  <c r="T1584" i="2"/>
  <c r="W1583" i="2"/>
  <c r="T1583" i="2"/>
  <c r="W1582" i="2"/>
  <c r="T1582" i="2"/>
  <c r="W1581" i="2"/>
  <c r="T1581" i="2"/>
  <c r="W1580" i="2"/>
  <c r="T1580" i="2"/>
  <c r="W1579" i="2"/>
  <c r="T1579" i="2"/>
  <c r="W1578" i="2"/>
  <c r="T1578" i="2"/>
  <c r="W1577" i="2"/>
  <c r="T1577" i="2"/>
  <c r="W1576" i="2"/>
  <c r="T1576" i="2"/>
  <c r="W1575" i="2"/>
  <c r="T1575" i="2"/>
  <c r="W1574" i="2"/>
  <c r="T1574" i="2"/>
  <c r="W1573" i="2"/>
  <c r="T1573" i="2"/>
  <c r="W1572" i="2"/>
  <c r="T1572" i="2"/>
  <c r="W1571" i="2"/>
  <c r="T1571" i="2"/>
  <c r="W1570" i="2"/>
  <c r="T1570" i="2"/>
  <c r="W1569" i="2"/>
  <c r="T1569" i="2"/>
  <c r="W1568" i="2"/>
  <c r="T1568" i="2"/>
  <c r="W1567" i="2"/>
  <c r="T1567" i="2"/>
  <c r="W1566" i="2"/>
  <c r="T1566" i="2"/>
  <c r="W1565" i="2"/>
  <c r="T1565" i="2"/>
  <c r="W1564" i="2"/>
  <c r="T1564" i="2"/>
  <c r="W1563" i="2"/>
  <c r="T1563" i="2"/>
  <c r="W1562" i="2"/>
  <c r="T1562" i="2"/>
  <c r="W1561" i="2"/>
  <c r="T1561" i="2"/>
  <c r="W1560" i="2"/>
  <c r="T1560" i="2"/>
  <c r="W1559" i="2"/>
  <c r="T1559" i="2"/>
  <c r="W1558" i="2"/>
  <c r="T1558" i="2"/>
  <c r="W1557" i="2"/>
  <c r="T1557" i="2"/>
  <c r="W1556" i="2"/>
  <c r="T1556" i="2"/>
  <c r="W1555" i="2"/>
  <c r="T1555" i="2"/>
  <c r="W1554" i="2"/>
  <c r="T1554" i="2"/>
  <c r="W1553" i="2"/>
  <c r="T1553" i="2"/>
  <c r="W1552" i="2"/>
  <c r="T1552" i="2"/>
  <c r="W1551" i="2"/>
  <c r="T1551" i="2"/>
  <c r="W1550" i="2"/>
  <c r="T1550" i="2"/>
  <c r="W1549" i="2"/>
  <c r="T1549" i="2"/>
  <c r="W1548" i="2"/>
  <c r="T1548" i="2"/>
  <c r="W1547" i="2"/>
  <c r="T1547" i="2"/>
  <c r="W1546" i="2"/>
  <c r="T1546" i="2"/>
  <c r="W1545" i="2"/>
  <c r="T1545" i="2"/>
  <c r="W1544" i="2"/>
  <c r="T1544" i="2"/>
  <c r="W1543" i="2"/>
  <c r="T1543" i="2"/>
  <c r="W1542" i="2"/>
  <c r="T1542" i="2"/>
  <c r="W1541" i="2"/>
  <c r="T1541" i="2"/>
  <c r="W1540" i="2"/>
  <c r="T1540" i="2"/>
  <c r="W1539" i="2"/>
  <c r="T1539" i="2"/>
  <c r="W1538" i="2"/>
  <c r="T1538" i="2"/>
  <c r="W1537" i="2"/>
  <c r="T1537" i="2"/>
  <c r="W1536" i="2"/>
  <c r="T1536" i="2"/>
  <c r="W1535" i="2"/>
  <c r="T1535" i="2"/>
  <c r="W1534" i="2"/>
  <c r="T1534" i="2"/>
  <c r="W1533" i="2"/>
  <c r="T1533" i="2"/>
  <c r="W1532" i="2"/>
  <c r="T1532" i="2"/>
  <c r="W1531" i="2"/>
  <c r="T1531" i="2"/>
  <c r="W1530" i="2"/>
  <c r="T1530" i="2"/>
  <c r="W1529" i="2"/>
  <c r="T1529" i="2"/>
  <c r="W1528" i="2"/>
  <c r="T1528" i="2"/>
  <c r="W1527" i="2"/>
  <c r="T1527" i="2"/>
  <c r="W1526" i="2"/>
  <c r="T1526" i="2"/>
  <c r="W1525" i="2"/>
  <c r="T1525" i="2"/>
  <c r="W1524" i="2"/>
  <c r="T1524" i="2"/>
  <c r="W1523" i="2"/>
  <c r="T1523" i="2"/>
  <c r="W1522" i="2"/>
  <c r="T1522" i="2"/>
  <c r="W1521" i="2"/>
  <c r="T1521" i="2"/>
  <c r="W1520" i="2"/>
  <c r="T1520" i="2"/>
  <c r="W1519" i="2"/>
  <c r="T1519" i="2"/>
  <c r="W1518" i="2"/>
  <c r="T1518" i="2"/>
  <c r="W1517" i="2"/>
  <c r="T1517" i="2"/>
  <c r="W1516" i="2"/>
  <c r="T1516" i="2"/>
  <c r="W1515" i="2"/>
  <c r="T1515" i="2"/>
  <c r="W1514" i="2"/>
  <c r="T1514" i="2"/>
  <c r="W1513" i="2"/>
  <c r="T1513" i="2"/>
  <c r="W1512" i="2"/>
  <c r="T1512" i="2"/>
  <c r="W1511" i="2"/>
  <c r="T1511" i="2"/>
  <c r="W1510" i="2"/>
  <c r="T1510" i="2"/>
  <c r="W1509" i="2"/>
  <c r="T1509" i="2"/>
  <c r="W1508" i="2"/>
  <c r="T1508" i="2"/>
  <c r="W1507" i="2"/>
  <c r="T1507" i="2"/>
  <c r="W1506" i="2"/>
  <c r="T1506" i="2"/>
  <c r="W1505" i="2"/>
  <c r="T1505" i="2"/>
  <c r="W1504" i="2"/>
  <c r="T1504" i="2"/>
  <c r="W1503" i="2"/>
  <c r="T1503" i="2"/>
  <c r="W1502" i="2"/>
  <c r="T1502" i="2"/>
  <c r="W1501" i="2"/>
  <c r="T1501" i="2"/>
  <c r="W1500" i="2"/>
  <c r="T1500" i="2"/>
  <c r="W1499" i="2"/>
  <c r="T1499" i="2"/>
  <c r="W1498" i="2"/>
  <c r="T1498" i="2"/>
  <c r="W1497" i="2"/>
  <c r="T1497" i="2"/>
  <c r="W1496" i="2"/>
  <c r="T1496" i="2"/>
  <c r="W1495" i="2"/>
  <c r="T1495" i="2"/>
  <c r="W1494" i="2"/>
  <c r="T1494" i="2"/>
  <c r="W1493" i="2"/>
  <c r="T1493" i="2"/>
  <c r="W1492" i="2"/>
  <c r="T1492" i="2"/>
  <c r="W1491" i="2"/>
  <c r="T1491" i="2"/>
  <c r="W1490" i="2"/>
  <c r="T1490" i="2"/>
  <c r="W1489" i="2"/>
  <c r="T1489" i="2"/>
  <c r="W1488" i="2"/>
  <c r="T1488" i="2"/>
  <c r="W1487" i="2"/>
  <c r="T1487" i="2"/>
  <c r="W1486" i="2"/>
  <c r="T1486" i="2"/>
  <c r="W1485" i="2"/>
  <c r="T1485" i="2"/>
  <c r="W1484" i="2"/>
  <c r="T1484" i="2"/>
  <c r="W1483" i="2"/>
  <c r="T1483" i="2"/>
  <c r="W1482" i="2"/>
  <c r="T1482" i="2"/>
  <c r="W1481" i="2"/>
  <c r="T1481" i="2"/>
  <c r="W1480" i="2"/>
  <c r="T1480" i="2"/>
  <c r="W1479" i="2"/>
  <c r="T1479" i="2"/>
  <c r="W1478" i="2"/>
  <c r="T1478" i="2"/>
  <c r="W1477" i="2"/>
  <c r="T1477" i="2"/>
  <c r="W1476" i="2"/>
  <c r="T1476" i="2"/>
  <c r="W1475" i="2"/>
  <c r="T1475" i="2"/>
  <c r="W1474" i="2"/>
  <c r="T1474" i="2"/>
  <c r="W1473" i="2"/>
  <c r="T1473" i="2"/>
  <c r="W1472" i="2"/>
  <c r="T1472" i="2"/>
  <c r="W1471" i="2"/>
  <c r="T1471" i="2"/>
  <c r="W1470" i="2"/>
  <c r="T1470" i="2"/>
  <c r="W1469" i="2"/>
  <c r="T1469" i="2"/>
  <c r="W1468" i="2"/>
  <c r="T1468" i="2"/>
  <c r="W1467" i="2"/>
  <c r="T1467" i="2"/>
  <c r="W1466" i="2"/>
  <c r="T1466" i="2"/>
  <c r="W1465" i="2"/>
  <c r="T1465" i="2"/>
  <c r="W1464" i="2"/>
  <c r="T1464" i="2"/>
  <c r="W1463" i="2"/>
  <c r="T1463" i="2"/>
  <c r="W1462" i="2"/>
  <c r="T1462" i="2"/>
  <c r="W1461" i="2"/>
  <c r="T1461" i="2"/>
  <c r="W1460" i="2"/>
  <c r="T1460" i="2"/>
  <c r="W1459" i="2"/>
  <c r="T1459" i="2"/>
  <c r="W1458" i="2"/>
  <c r="T1458" i="2"/>
  <c r="W1457" i="2"/>
  <c r="T1457" i="2"/>
  <c r="W1456" i="2"/>
  <c r="T1456" i="2"/>
  <c r="W1455" i="2"/>
  <c r="T1455" i="2"/>
  <c r="W1454" i="2"/>
  <c r="T1454" i="2"/>
  <c r="W1453" i="2"/>
  <c r="T1453" i="2"/>
  <c r="W1452" i="2"/>
  <c r="T1452" i="2"/>
  <c r="W1451" i="2"/>
  <c r="T1451" i="2"/>
  <c r="W1450" i="2"/>
  <c r="T1450" i="2"/>
  <c r="W1449" i="2"/>
  <c r="T1449" i="2"/>
  <c r="W1448" i="2"/>
  <c r="T1448" i="2"/>
  <c r="W1447" i="2"/>
  <c r="T1447" i="2"/>
  <c r="W1446" i="2"/>
  <c r="T1446" i="2"/>
  <c r="W1445" i="2"/>
  <c r="T1445" i="2"/>
  <c r="W1444" i="2"/>
  <c r="T1444" i="2"/>
  <c r="W1443" i="2"/>
  <c r="T1443" i="2"/>
  <c r="W1442" i="2"/>
  <c r="T1442" i="2"/>
  <c r="W1441" i="2"/>
  <c r="T1441" i="2"/>
  <c r="W1440" i="2"/>
  <c r="T1440" i="2"/>
  <c r="W1439" i="2"/>
  <c r="T1439" i="2"/>
  <c r="W1438" i="2"/>
  <c r="T1438" i="2"/>
  <c r="W1437" i="2"/>
  <c r="T1437" i="2"/>
  <c r="W1436" i="2"/>
  <c r="T1436" i="2"/>
  <c r="W1435" i="2"/>
  <c r="T1435" i="2"/>
  <c r="W1434" i="2"/>
  <c r="T1434" i="2"/>
  <c r="W1433" i="2"/>
  <c r="T1433" i="2"/>
  <c r="W1432" i="2"/>
  <c r="T1432" i="2"/>
  <c r="W1431" i="2"/>
  <c r="T1431" i="2"/>
  <c r="W1430" i="2"/>
  <c r="T1430" i="2"/>
  <c r="W1429" i="2"/>
  <c r="T1429" i="2"/>
  <c r="W1428" i="2"/>
  <c r="T1428" i="2"/>
  <c r="W1427" i="2"/>
  <c r="T1427" i="2"/>
  <c r="W1426" i="2"/>
  <c r="T1426" i="2"/>
  <c r="W1425" i="2"/>
  <c r="T1425" i="2"/>
  <c r="W1424" i="2"/>
  <c r="T1424" i="2"/>
  <c r="W1423" i="2"/>
  <c r="T1423" i="2"/>
  <c r="W1422" i="2"/>
  <c r="T1422" i="2"/>
  <c r="W1421" i="2"/>
  <c r="T1421" i="2"/>
  <c r="W1420" i="2"/>
  <c r="T1420" i="2"/>
  <c r="W1419" i="2"/>
  <c r="T1419" i="2"/>
  <c r="W1418" i="2"/>
  <c r="T1418" i="2"/>
  <c r="W1417" i="2"/>
  <c r="T1417" i="2"/>
  <c r="W1416" i="2"/>
  <c r="T1416" i="2"/>
  <c r="W1415" i="2"/>
  <c r="T1415" i="2"/>
  <c r="W1414" i="2"/>
  <c r="T1414" i="2"/>
  <c r="W1413" i="2"/>
  <c r="T1413" i="2"/>
  <c r="W1412" i="2"/>
  <c r="T1412" i="2"/>
  <c r="W1411" i="2"/>
  <c r="T1411" i="2"/>
  <c r="W1410" i="2"/>
  <c r="T1410" i="2"/>
  <c r="W1409" i="2"/>
  <c r="T1409" i="2"/>
  <c r="W1408" i="2"/>
  <c r="T1408" i="2"/>
  <c r="W1407" i="2"/>
  <c r="T1407" i="2"/>
  <c r="W1406" i="2"/>
  <c r="T1406" i="2"/>
  <c r="W1405" i="2"/>
  <c r="T1405" i="2"/>
  <c r="W1404" i="2"/>
  <c r="T1404" i="2"/>
  <c r="W1403" i="2"/>
  <c r="T1403" i="2"/>
  <c r="W1402" i="2"/>
  <c r="T1402" i="2"/>
  <c r="W1401" i="2"/>
  <c r="T1401" i="2"/>
  <c r="W1400" i="2"/>
  <c r="T1400" i="2"/>
  <c r="W1399" i="2"/>
  <c r="T1399" i="2"/>
  <c r="W1398" i="2"/>
  <c r="T1398" i="2"/>
  <c r="W1397" i="2"/>
  <c r="T1397" i="2"/>
  <c r="W1396" i="2"/>
  <c r="T1396" i="2"/>
  <c r="W1395" i="2"/>
  <c r="T1395" i="2"/>
  <c r="W1394" i="2"/>
  <c r="T1394" i="2"/>
  <c r="W1393" i="2"/>
  <c r="T1393" i="2"/>
  <c r="W1392" i="2"/>
  <c r="T1392" i="2"/>
  <c r="W1391" i="2"/>
  <c r="T1391" i="2"/>
  <c r="W1390" i="2"/>
  <c r="T1390" i="2"/>
  <c r="W1389" i="2"/>
  <c r="T1389" i="2"/>
  <c r="W1388" i="2"/>
  <c r="T1388" i="2"/>
  <c r="W1387" i="2"/>
  <c r="T1387" i="2"/>
  <c r="W1386" i="2"/>
  <c r="T1386" i="2"/>
  <c r="W1385" i="2"/>
  <c r="T1385" i="2"/>
  <c r="W1384" i="2"/>
  <c r="T1384" i="2"/>
  <c r="W1383" i="2"/>
  <c r="T1383" i="2"/>
  <c r="W1382" i="2"/>
  <c r="T1382" i="2"/>
  <c r="W1381" i="2"/>
  <c r="T1381" i="2"/>
  <c r="W1380" i="2"/>
  <c r="T1380" i="2"/>
  <c r="W1379" i="2"/>
  <c r="T1379" i="2"/>
  <c r="W1378" i="2"/>
  <c r="T1378" i="2"/>
  <c r="W1377" i="2"/>
  <c r="T1377" i="2"/>
  <c r="W1376" i="2"/>
  <c r="T1376" i="2"/>
  <c r="W1375" i="2"/>
  <c r="T1375" i="2"/>
  <c r="W1374" i="2"/>
  <c r="T1374" i="2"/>
  <c r="W1373" i="2"/>
  <c r="T1373" i="2"/>
  <c r="W1372" i="2"/>
  <c r="T1372" i="2"/>
  <c r="W1371" i="2"/>
  <c r="T1371" i="2"/>
  <c r="W1370" i="2"/>
  <c r="T1370" i="2"/>
  <c r="W1369" i="2"/>
  <c r="T1369" i="2"/>
  <c r="W1368" i="2"/>
  <c r="T1368" i="2"/>
  <c r="W1367" i="2"/>
  <c r="T1367" i="2"/>
  <c r="W1366" i="2"/>
  <c r="T1366" i="2"/>
  <c r="W1365" i="2"/>
  <c r="T1365" i="2"/>
  <c r="W1364" i="2"/>
  <c r="T1364" i="2"/>
  <c r="W1363" i="2"/>
  <c r="T1363" i="2"/>
  <c r="W1362" i="2"/>
  <c r="T1362" i="2"/>
  <c r="W1361" i="2"/>
  <c r="T1361" i="2"/>
  <c r="W1360" i="2"/>
  <c r="T1360" i="2"/>
  <c r="W1359" i="2"/>
  <c r="T1359" i="2"/>
  <c r="W1358" i="2"/>
  <c r="T1358" i="2"/>
  <c r="W1357" i="2"/>
  <c r="T1357" i="2"/>
  <c r="W1356" i="2"/>
  <c r="T1356" i="2"/>
  <c r="W1355" i="2"/>
  <c r="T1355" i="2"/>
  <c r="W1354" i="2"/>
  <c r="T1354" i="2"/>
  <c r="W1353" i="2"/>
  <c r="T1353" i="2"/>
  <c r="W1352" i="2"/>
  <c r="T1352" i="2"/>
  <c r="W1351" i="2"/>
  <c r="T1351" i="2"/>
  <c r="W1350" i="2"/>
  <c r="T1350" i="2"/>
  <c r="W1349" i="2"/>
  <c r="T1349" i="2"/>
  <c r="W1348" i="2"/>
  <c r="T1348" i="2"/>
  <c r="W1347" i="2"/>
  <c r="T1347" i="2"/>
  <c r="W1346" i="2"/>
  <c r="T1346" i="2"/>
  <c r="W1345" i="2"/>
  <c r="T1345" i="2"/>
  <c r="W1344" i="2"/>
  <c r="T1344" i="2"/>
  <c r="W1343" i="2"/>
  <c r="T1343" i="2"/>
  <c r="W1342" i="2"/>
  <c r="T1342" i="2"/>
  <c r="W1341" i="2"/>
  <c r="T1341" i="2"/>
  <c r="W1340" i="2"/>
  <c r="T1340" i="2"/>
  <c r="W1339" i="2"/>
  <c r="T1339" i="2"/>
  <c r="W1338" i="2"/>
  <c r="T1338" i="2"/>
  <c r="W1337" i="2"/>
  <c r="T1337" i="2"/>
  <c r="W1336" i="2"/>
  <c r="T1336" i="2"/>
  <c r="W1335" i="2"/>
  <c r="T1335" i="2"/>
  <c r="W1334" i="2"/>
  <c r="T1334" i="2"/>
  <c r="W1333" i="2"/>
  <c r="T1333" i="2"/>
  <c r="W1332" i="2"/>
  <c r="T1332" i="2"/>
  <c r="W1331" i="2"/>
  <c r="T1331" i="2"/>
  <c r="W1330" i="2"/>
  <c r="T1330" i="2"/>
  <c r="W1329" i="2"/>
  <c r="T1329" i="2"/>
  <c r="W1328" i="2"/>
  <c r="T1328" i="2"/>
  <c r="W1327" i="2"/>
  <c r="T1327" i="2"/>
  <c r="W1326" i="2"/>
  <c r="T1326" i="2"/>
  <c r="W1325" i="2"/>
  <c r="T1325" i="2"/>
  <c r="W1324" i="2"/>
  <c r="T1324" i="2"/>
  <c r="W1323" i="2"/>
  <c r="T1323" i="2"/>
  <c r="W1322" i="2"/>
  <c r="T1322" i="2"/>
  <c r="W1321" i="2"/>
  <c r="T1321" i="2"/>
  <c r="W1320" i="2"/>
  <c r="T1320" i="2"/>
  <c r="W1319" i="2"/>
  <c r="T1319" i="2"/>
  <c r="W1318" i="2"/>
  <c r="T1318" i="2"/>
  <c r="W1317" i="2"/>
  <c r="T1317" i="2"/>
  <c r="W1316" i="2"/>
  <c r="T1316" i="2"/>
  <c r="W1315" i="2"/>
  <c r="T1315" i="2"/>
  <c r="W1314" i="2"/>
  <c r="T1314" i="2"/>
  <c r="W1313" i="2"/>
  <c r="T1313" i="2"/>
  <c r="W1312" i="2"/>
  <c r="T1312" i="2"/>
  <c r="W1311" i="2"/>
  <c r="T1311" i="2"/>
  <c r="W1310" i="2"/>
  <c r="T1310" i="2"/>
  <c r="W1309" i="2"/>
  <c r="T1309" i="2"/>
  <c r="W1308" i="2"/>
  <c r="T1308" i="2"/>
  <c r="W1307" i="2"/>
  <c r="T1307" i="2"/>
  <c r="W1306" i="2"/>
  <c r="T1306" i="2"/>
  <c r="W1305" i="2"/>
  <c r="T1305" i="2"/>
  <c r="W1304" i="2"/>
  <c r="T1304" i="2"/>
  <c r="W1303" i="2"/>
  <c r="T1303" i="2"/>
  <c r="W1302" i="2"/>
  <c r="T1302" i="2"/>
  <c r="W1301" i="2"/>
  <c r="T1301" i="2"/>
  <c r="W1300" i="2"/>
  <c r="T1300" i="2"/>
  <c r="W1299" i="2"/>
  <c r="T1299" i="2"/>
  <c r="W1298" i="2"/>
  <c r="T1298" i="2"/>
  <c r="W1297" i="2"/>
  <c r="T1297" i="2"/>
  <c r="W1296" i="2"/>
  <c r="T1296" i="2"/>
  <c r="W1295" i="2"/>
  <c r="T1295" i="2"/>
  <c r="W1294" i="2"/>
  <c r="T1294" i="2"/>
  <c r="W1293" i="2"/>
  <c r="T1293" i="2"/>
  <c r="W1292" i="2"/>
  <c r="T1292" i="2"/>
  <c r="W1291" i="2"/>
  <c r="T1291" i="2"/>
  <c r="W1290" i="2"/>
  <c r="T1290" i="2"/>
  <c r="W1289" i="2"/>
  <c r="T1289" i="2"/>
  <c r="W1288" i="2"/>
  <c r="T1288" i="2"/>
  <c r="W1287" i="2"/>
  <c r="T1287" i="2"/>
  <c r="W1286" i="2"/>
  <c r="T1286" i="2"/>
  <c r="W1285" i="2"/>
  <c r="T1285" i="2"/>
  <c r="W1284" i="2"/>
  <c r="T1284" i="2"/>
  <c r="W1283" i="2"/>
  <c r="T1283" i="2"/>
  <c r="W1282" i="2"/>
  <c r="T1282" i="2"/>
  <c r="W1281" i="2"/>
  <c r="T1281" i="2"/>
  <c r="W1280" i="2"/>
  <c r="T1280" i="2"/>
  <c r="W1279" i="2"/>
  <c r="T1279" i="2"/>
  <c r="W1278" i="2"/>
  <c r="T1278" i="2"/>
  <c r="W1277" i="2"/>
  <c r="T1277" i="2"/>
  <c r="W1276" i="2"/>
  <c r="T1276" i="2"/>
  <c r="W1275" i="2"/>
  <c r="T1275" i="2"/>
  <c r="W1274" i="2"/>
  <c r="T1274" i="2"/>
  <c r="W1273" i="2"/>
  <c r="T1273" i="2"/>
  <c r="W1272" i="2"/>
  <c r="T1272" i="2"/>
  <c r="W1271" i="2"/>
  <c r="T1271" i="2"/>
  <c r="W1270" i="2"/>
  <c r="T1270" i="2"/>
  <c r="W1269" i="2"/>
  <c r="T1269" i="2"/>
  <c r="W1268" i="2"/>
  <c r="T1268" i="2"/>
  <c r="W1267" i="2"/>
  <c r="T1267" i="2"/>
  <c r="W1266" i="2"/>
  <c r="T1266" i="2"/>
  <c r="W1265" i="2"/>
  <c r="T1265" i="2"/>
  <c r="W1264" i="2"/>
  <c r="T1264" i="2"/>
  <c r="W1263" i="2"/>
  <c r="T1263" i="2"/>
  <c r="W1262" i="2"/>
  <c r="T1262" i="2"/>
  <c r="W1261" i="2"/>
  <c r="T1261" i="2"/>
  <c r="W1260" i="2"/>
  <c r="T1260" i="2"/>
  <c r="W1259" i="2"/>
  <c r="T1259" i="2"/>
  <c r="W1258" i="2"/>
  <c r="T1258" i="2"/>
  <c r="W1257" i="2"/>
  <c r="T1257" i="2"/>
  <c r="W1256" i="2"/>
  <c r="T1256" i="2"/>
  <c r="W1255" i="2"/>
  <c r="T1255" i="2"/>
  <c r="W1254" i="2"/>
  <c r="T1254" i="2"/>
  <c r="W1253" i="2"/>
  <c r="T1253" i="2"/>
  <c r="W1252" i="2"/>
  <c r="T1252" i="2"/>
  <c r="W1251" i="2"/>
  <c r="T1251" i="2"/>
  <c r="W1250" i="2"/>
  <c r="T1250" i="2"/>
  <c r="W1249" i="2"/>
  <c r="T1249" i="2"/>
  <c r="W1248" i="2"/>
  <c r="T1248" i="2"/>
  <c r="W1247" i="2"/>
  <c r="T1247" i="2"/>
  <c r="W1246" i="2"/>
  <c r="T1246" i="2"/>
  <c r="W1245" i="2"/>
  <c r="T1245" i="2"/>
  <c r="W1244" i="2"/>
  <c r="T1244" i="2"/>
  <c r="W1243" i="2"/>
  <c r="T1243" i="2"/>
  <c r="W1242" i="2"/>
  <c r="T1242" i="2"/>
  <c r="W1241" i="2"/>
  <c r="T1241" i="2"/>
  <c r="W1240" i="2"/>
  <c r="T1240" i="2"/>
  <c r="W1239" i="2"/>
  <c r="T1239" i="2"/>
  <c r="W1238" i="2"/>
  <c r="T1238" i="2"/>
  <c r="W1237" i="2"/>
  <c r="T1237" i="2"/>
  <c r="W1236" i="2"/>
  <c r="T1236" i="2"/>
  <c r="W1235" i="2"/>
  <c r="T1235" i="2"/>
  <c r="W1234" i="2"/>
  <c r="T1234" i="2"/>
  <c r="W1233" i="2"/>
  <c r="T1233" i="2"/>
  <c r="W1232" i="2"/>
  <c r="T1232" i="2"/>
  <c r="W1231" i="2"/>
  <c r="T1231" i="2"/>
  <c r="W1230" i="2"/>
  <c r="T1230" i="2"/>
  <c r="W1229" i="2"/>
  <c r="T1229" i="2"/>
  <c r="W1228" i="2"/>
  <c r="T1228" i="2"/>
  <c r="W1227" i="2"/>
  <c r="T1227" i="2"/>
  <c r="W1226" i="2"/>
  <c r="T1226" i="2"/>
  <c r="W1225" i="2"/>
  <c r="T1225" i="2"/>
  <c r="W1224" i="2"/>
  <c r="T1224" i="2"/>
  <c r="W1223" i="2"/>
  <c r="T1223" i="2"/>
  <c r="W1222" i="2"/>
  <c r="T1222" i="2"/>
  <c r="W1221" i="2"/>
  <c r="T1221" i="2"/>
  <c r="W1220" i="2"/>
  <c r="T1220" i="2"/>
  <c r="W1219" i="2"/>
  <c r="T1219" i="2"/>
  <c r="W1218" i="2"/>
  <c r="T1218" i="2"/>
  <c r="W1217" i="2"/>
  <c r="T1217" i="2"/>
  <c r="W1216" i="2"/>
  <c r="T1216" i="2"/>
  <c r="W1215" i="2"/>
  <c r="T1215" i="2"/>
  <c r="W1214" i="2"/>
  <c r="T1214" i="2"/>
  <c r="W1213" i="2"/>
  <c r="T1213" i="2"/>
  <c r="W1212" i="2"/>
  <c r="T1212" i="2"/>
  <c r="W1211" i="2"/>
  <c r="T1211" i="2"/>
  <c r="W1210" i="2"/>
  <c r="T1210" i="2"/>
  <c r="W1209" i="2"/>
  <c r="T1209" i="2"/>
  <c r="W1208" i="2"/>
  <c r="T1208" i="2"/>
  <c r="W1207" i="2"/>
  <c r="T1207" i="2"/>
  <c r="W1206" i="2"/>
  <c r="T1206" i="2"/>
  <c r="W1205" i="2"/>
  <c r="T1205" i="2"/>
  <c r="W1204" i="2"/>
  <c r="T1204" i="2"/>
  <c r="W1203" i="2"/>
  <c r="T1203" i="2"/>
  <c r="W1202" i="2"/>
  <c r="T1202" i="2"/>
  <c r="W1201" i="2"/>
  <c r="T1201" i="2"/>
  <c r="W1200" i="2"/>
  <c r="T1200" i="2"/>
  <c r="W1199" i="2"/>
  <c r="T1199" i="2"/>
  <c r="W1198" i="2"/>
  <c r="T1198" i="2"/>
  <c r="W1197" i="2"/>
  <c r="T1197" i="2"/>
  <c r="W1196" i="2"/>
  <c r="T1196" i="2"/>
  <c r="W1195" i="2"/>
  <c r="T1195" i="2"/>
  <c r="W1194" i="2"/>
  <c r="T1194" i="2"/>
  <c r="W1193" i="2"/>
  <c r="T1193" i="2"/>
  <c r="W1192" i="2"/>
  <c r="T1192" i="2"/>
  <c r="W1191" i="2"/>
  <c r="T1191" i="2"/>
  <c r="W1190" i="2"/>
  <c r="T1190" i="2"/>
  <c r="W1189" i="2"/>
  <c r="T1189" i="2"/>
  <c r="W1188" i="2"/>
  <c r="T1188" i="2"/>
  <c r="W1187" i="2"/>
  <c r="T1187" i="2"/>
  <c r="W1186" i="2"/>
  <c r="T1186" i="2"/>
  <c r="W1185" i="2"/>
  <c r="T1185" i="2"/>
  <c r="W1184" i="2"/>
  <c r="T1184" i="2"/>
  <c r="W1183" i="2"/>
  <c r="T1183" i="2"/>
  <c r="W1182" i="2"/>
  <c r="T1182" i="2"/>
  <c r="W1181" i="2"/>
  <c r="T1181" i="2"/>
  <c r="W1180" i="2"/>
  <c r="T1180" i="2"/>
  <c r="W1179" i="2"/>
  <c r="T1179" i="2"/>
  <c r="W1178" i="2"/>
  <c r="T1178" i="2"/>
  <c r="W1177" i="2"/>
  <c r="T1177" i="2"/>
  <c r="W1176" i="2"/>
  <c r="T1176" i="2"/>
  <c r="W1175" i="2"/>
  <c r="T1175" i="2"/>
  <c r="W1174" i="2"/>
  <c r="T1174" i="2"/>
  <c r="W1173" i="2"/>
  <c r="T1173" i="2"/>
  <c r="W1172" i="2"/>
  <c r="T1172" i="2"/>
  <c r="W1171" i="2"/>
  <c r="T1171" i="2"/>
  <c r="W1170" i="2"/>
  <c r="T1170" i="2"/>
  <c r="W1169" i="2"/>
  <c r="T1169" i="2"/>
  <c r="W1168" i="2"/>
  <c r="T1168" i="2"/>
  <c r="W1167" i="2"/>
  <c r="T1167" i="2"/>
  <c r="W1166" i="2"/>
  <c r="T1166" i="2"/>
  <c r="W1165" i="2"/>
  <c r="T1165" i="2"/>
  <c r="W1164" i="2"/>
  <c r="T1164" i="2"/>
  <c r="W1163" i="2"/>
  <c r="T1163" i="2"/>
  <c r="W1162" i="2"/>
  <c r="T1162" i="2"/>
  <c r="W1161" i="2"/>
  <c r="T1161" i="2"/>
  <c r="W1160" i="2"/>
  <c r="T1160" i="2"/>
  <c r="W1159" i="2"/>
  <c r="T1159" i="2"/>
  <c r="W1158" i="2"/>
  <c r="T1158" i="2"/>
  <c r="W1157" i="2"/>
  <c r="T1157" i="2"/>
  <c r="W1156" i="2"/>
  <c r="T1156" i="2"/>
  <c r="W1155" i="2"/>
  <c r="T1155" i="2"/>
  <c r="W1154" i="2"/>
  <c r="T1154" i="2"/>
  <c r="W1153" i="2"/>
  <c r="T1153" i="2"/>
  <c r="W1152" i="2"/>
  <c r="T1152" i="2"/>
  <c r="W1151" i="2"/>
  <c r="T1151" i="2"/>
  <c r="W1150" i="2"/>
  <c r="T1150" i="2"/>
  <c r="W1149" i="2"/>
  <c r="T1149" i="2"/>
  <c r="W1148" i="2"/>
  <c r="T1148" i="2"/>
  <c r="W1147" i="2"/>
  <c r="T1147" i="2"/>
  <c r="W1146" i="2"/>
  <c r="T1146" i="2"/>
  <c r="W1145" i="2"/>
  <c r="T1145" i="2"/>
  <c r="W1144" i="2"/>
  <c r="T1144" i="2"/>
  <c r="W1143" i="2"/>
  <c r="T1143" i="2"/>
  <c r="W1142" i="2"/>
  <c r="T1142" i="2"/>
  <c r="W1141" i="2"/>
  <c r="T1141" i="2"/>
  <c r="W1140" i="2"/>
  <c r="T1140" i="2"/>
  <c r="W1139" i="2"/>
  <c r="T1139" i="2"/>
  <c r="W1138" i="2"/>
  <c r="T1138" i="2"/>
  <c r="W1137" i="2"/>
  <c r="T1137" i="2"/>
  <c r="W1136" i="2"/>
  <c r="T1136" i="2"/>
  <c r="W1135" i="2"/>
  <c r="T1135" i="2"/>
  <c r="W1134" i="2"/>
  <c r="T1134" i="2"/>
  <c r="W1133" i="2"/>
  <c r="T1133" i="2"/>
  <c r="W1132" i="2"/>
  <c r="T1132" i="2"/>
  <c r="W1131" i="2"/>
  <c r="T1131" i="2"/>
  <c r="W1130" i="2"/>
  <c r="T1130" i="2"/>
  <c r="W1129" i="2"/>
  <c r="T1129" i="2"/>
  <c r="W1128" i="2"/>
  <c r="T1128" i="2"/>
  <c r="W1127" i="2"/>
  <c r="T1127" i="2"/>
  <c r="W1126" i="2"/>
  <c r="T1126" i="2"/>
  <c r="W1125" i="2"/>
  <c r="T1125" i="2"/>
  <c r="W1124" i="2"/>
  <c r="T1124" i="2"/>
  <c r="W1123" i="2"/>
  <c r="T1123" i="2"/>
  <c r="W1122" i="2"/>
  <c r="T1122" i="2"/>
  <c r="W1121" i="2"/>
  <c r="T1121" i="2"/>
  <c r="W1120" i="2"/>
  <c r="T1120" i="2"/>
  <c r="W1119" i="2"/>
  <c r="T1119" i="2"/>
  <c r="W1118" i="2"/>
  <c r="T1118" i="2"/>
  <c r="W1117" i="2"/>
  <c r="T1117" i="2"/>
  <c r="W1116" i="2"/>
  <c r="T1116" i="2"/>
  <c r="W1115" i="2"/>
  <c r="T1115" i="2"/>
  <c r="W1114" i="2"/>
  <c r="T1114" i="2"/>
  <c r="W1113" i="2"/>
  <c r="T1113" i="2"/>
  <c r="W1112" i="2"/>
  <c r="T1112" i="2"/>
  <c r="W1111" i="2"/>
  <c r="T1111" i="2"/>
  <c r="W1110" i="2"/>
  <c r="T1110" i="2"/>
  <c r="W1109" i="2"/>
  <c r="T1109" i="2"/>
  <c r="W1108" i="2"/>
  <c r="T1108" i="2"/>
  <c r="W1107" i="2"/>
  <c r="T1107" i="2"/>
  <c r="W1106" i="2"/>
  <c r="T1106" i="2"/>
  <c r="W1105" i="2"/>
  <c r="T1105" i="2"/>
  <c r="W1104" i="2"/>
  <c r="T1104" i="2"/>
  <c r="W1103" i="2"/>
  <c r="T1103" i="2"/>
  <c r="W1102" i="2"/>
  <c r="T1102" i="2"/>
  <c r="W1101" i="2"/>
  <c r="T1101" i="2"/>
  <c r="W1100" i="2"/>
  <c r="T1100" i="2"/>
  <c r="W1099" i="2"/>
  <c r="T1099" i="2"/>
  <c r="W1098" i="2"/>
  <c r="T1098" i="2"/>
  <c r="W1097" i="2"/>
  <c r="T1097" i="2"/>
  <c r="W1096" i="2"/>
  <c r="T1096" i="2"/>
  <c r="W1095" i="2"/>
  <c r="T1095" i="2"/>
  <c r="W1094" i="2"/>
  <c r="T1094" i="2"/>
  <c r="W1093" i="2"/>
  <c r="T1093" i="2"/>
  <c r="W1092" i="2"/>
  <c r="T1092" i="2"/>
  <c r="W1091" i="2"/>
  <c r="T1091" i="2"/>
  <c r="W1090" i="2"/>
  <c r="T1090" i="2"/>
  <c r="W1089" i="2"/>
  <c r="T1089" i="2"/>
  <c r="W1088" i="2"/>
  <c r="T1088" i="2"/>
  <c r="W1087" i="2"/>
  <c r="T1087" i="2"/>
  <c r="W1086" i="2"/>
  <c r="T1086" i="2"/>
  <c r="W1085" i="2"/>
  <c r="T1085" i="2"/>
  <c r="W1084" i="2"/>
  <c r="T1084" i="2"/>
  <c r="W1083" i="2"/>
  <c r="T1083" i="2"/>
  <c r="W1082" i="2"/>
  <c r="T1082" i="2"/>
  <c r="W1081" i="2"/>
  <c r="T1081" i="2"/>
  <c r="W1080" i="2"/>
  <c r="T1080" i="2"/>
  <c r="W1079" i="2"/>
  <c r="T1079" i="2"/>
  <c r="W1078" i="2"/>
  <c r="T1078" i="2"/>
  <c r="W1077" i="2"/>
  <c r="T1077" i="2"/>
  <c r="W1076" i="2"/>
  <c r="T1076" i="2"/>
  <c r="W1075" i="2"/>
  <c r="T1075" i="2"/>
  <c r="W1074" i="2"/>
  <c r="T1074" i="2"/>
  <c r="W1073" i="2"/>
  <c r="T1073" i="2"/>
  <c r="W1072" i="2"/>
  <c r="T1072" i="2"/>
  <c r="W1071" i="2"/>
  <c r="T1071" i="2"/>
  <c r="W1070" i="2"/>
  <c r="T1070" i="2"/>
  <c r="W1069" i="2"/>
  <c r="T1069" i="2"/>
  <c r="W1068" i="2"/>
  <c r="T1068" i="2"/>
  <c r="W1067" i="2"/>
  <c r="T1067" i="2"/>
  <c r="W1066" i="2"/>
  <c r="T1066" i="2"/>
  <c r="W1065" i="2"/>
  <c r="T1065" i="2"/>
  <c r="W1064" i="2"/>
  <c r="T1064" i="2"/>
  <c r="W1063" i="2"/>
  <c r="T1063" i="2"/>
  <c r="W1062" i="2"/>
  <c r="T1062" i="2"/>
  <c r="W1061" i="2"/>
  <c r="T1061" i="2"/>
  <c r="W1060" i="2"/>
  <c r="T1060" i="2"/>
  <c r="W1059" i="2"/>
  <c r="T1059" i="2"/>
  <c r="W1058" i="2"/>
  <c r="T1058" i="2"/>
  <c r="W1057" i="2"/>
  <c r="T1057" i="2"/>
  <c r="W1056" i="2"/>
  <c r="T1056" i="2"/>
  <c r="W1055" i="2"/>
  <c r="T1055" i="2"/>
  <c r="W1054" i="2"/>
  <c r="T1054" i="2"/>
  <c r="W1053" i="2"/>
  <c r="T1053" i="2"/>
  <c r="W1052" i="2"/>
  <c r="T1052" i="2"/>
  <c r="W1051" i="2"/>
  <c r="T1051" i="2"/>
  <c r="W1050" i="2"/>
  <c r="T1050" i="2"/>
  <c r="W1049" i="2"/>
  <c r="T1049" i="2"/>
  <c r="W1048" i="2"/>
  <c r="T1048" i="2"/>
  <c r="W1047" i="2"/>
  <c r="T1047" i="2"/>
  <c r="W1046" i="2"/>
  <c r="T1046" i="2"/>
  <c r="W1045" i="2"/>
  <c r="T1045" i="2"/>
  <c r="W1044" i="2"/>
  <c r="T1044" i="2"/>
  <c r="W1043" i="2"/>
  <c r="T1043" i="2"/>
  <c r="W1042" i="2"/>
  <c r="T1042" i="2"/>
  <c r="W1041" i="2"/>
  <c r="T1041" i="2"/>
  <c r="W1040" i="2"/>
  <c r="T1040" i="2"/>
  <c r="W1039" i="2"/>
  <c r="T1039" i="2"/>
  <c r="W1038" i="2"/>
  <c r="T1038" i="2"/>
  <c r="W1037" i="2"/>
  <c r="T1037" i="2"/>
  <c r="W1036" i="2"/>
  <c r="T1036" i="2"/>
  <c r="W1035" i="2"/>
  <c r="T1035" i="2"/>
  <c r="W1034" i="2"/>
  <c r="T1034" i="2"/>
  <c r="W1033" i="2"/>
  <c r="T1033" i="2"/>
  <c r="W1032" i="2"/>
  <c r="T1032" i="2"/>
  <c r="W1031" i="2"/>
  <c r="T1031" i="2"/>
  <c r="W1030" i="2"/>
  <c r="T1030" i="2"/>
  <c r="W1029" i="2"/>
  <c r="T1029" i="2"/>
  <c r="W1028" i="2"/>
  <c r="T1028" i="2"/>
  <c r="W1027" i="2"/>
  <c r="T1027" i="2"/>
  <c r="W1026" i="2"/>
  <c r="T1026" i="2"/>
  <c r="W1025" i="2"/>
  <c r="T1025" i="2"/>
  <c r="W1024" i="2"/>
  <c r="T1024" i="2"/>
  <c r="W1023" i="2"/>
  <c r="T1023" i="2"/>
  <c r="W1022" i="2"/>
  <c r="T1022" i="2"/>
  <c r="W1021" i="2"/>
  <c r="T1021" i="2"/>
  <c r="W1020" i="2"/>
  <c r="T1020" i="2"/>
  <c r="W1019" i="2"/>
  <c r="T1019" i="2"/>
  <c r="W1018" i="2"/>
  <c r="T1018" i="2"/>
  <c r="W1017" i="2"/>
  <c r="T1017" i="2"/>
  <c r="W1016" i="2"/>
  <c r="T1016" i="2"/>
  <c r="W1015" i="2"/>
  <c r="T1015" i="2"/>
  <c r="W1014" i="2"/>
  <c r="T1014" i="2"/>
  <c r="W1013" i="2"/>
  <c r="T1013" i="2"/>
  <c r="W1012" i="2"/>
  <c r="T1012" i="2"/>
  <c r="W1011" i="2"/>
  <c r="T1011" i="2"/>
  <c r="W1010" i="2"/>
  <c r="T1010" i="2"/>
  <c r="W1009" i="2"/>
  <c r="T1009" i="2"/>
  <c r="W1008" i="2"/>
  <c r="T1008" i="2"/>
  <c r="W1007" i="2"/>
  <c r="T1007" i="2"/>
  <c r="W1006" i="2"/>
  <c r="T1006" i="2"/>
  <c r="W1005" i="2"/>
  <c r="T1005" i="2"/>
  <c r="W1004" i="2"/>
  <c r="T1004" i="2"/>
  <c r="W1003" i="2"/>
  <c r="T1003" i="2"/>
  <c r="W1002" i="2"/>
  <c r="T1002" i="2"/>
  <c r="W1001" i="2"/>
  <c r="T1001" i="2"/>
  <c r="W1000" i="2"/>
  <c r="T1000" i="2"/>
  <c r="W999" i="2"/>
  <c r="T999" i="2"/>
  <c r="W998" i="2"/>
  <c r="T998" i="2"/>
  <c r="W997" i="2"/>
  <c r="T997" i="2"/>
  <c r="W996" i="2"/>
  <c r="T996" i="2"/>
  <c r="W995" i="2"/>
  <c r="T995" i="2"/>
  <c r="W994" i="2"/>
  <c r="T994" i="2"/>
  <c r="W993" i="2"/>
  <c r="T993" i="2"/>
  <c r="W992" i="2"/>
  <c r="T992" i="2"/>
  <c r="W991" i="2"/>
  <c r="T991" i="2"/>
  <c r="W990" i="2"/>
  <c r="T990" i="2"/>
  <c r="W989" i="2"/>
  <c r="T989" i="2"/>
  <c r="W988" i="2"/>
  <c r="T988" i="2"/>
  <c r="W987" i="2"/>
  <c r="T987" i="2"/>
  <c r="W986" i="2"/>
  <c r="T986" i="2"/>
  <c r="W985" i="2"/>
  <c r="T985" i="2"/>
  <c r="W984" i="2"/>
  <c r="T984" i="2"/>
  <c r="W983" i="2"/>
  <c r="T983" i="2"/>
  <c r="W982" i="2"/>
  <c r="T982" i="2"/>
  <c r="W981" i="2"/>
  <c r="T981" i="2"/>
  <c r="W980" i="2"/>
  <c r="T980" i="2"/>
  <c r="W979" i="2"/>
  <c r="T979" i="2"/>
  <c r="W978" i="2"/>
  <c r="T978" i="2"/>
  <c r="W977" i="2"/>
  <c r="T977" i="2"/>
  <c r="W976" i="2"/>
  <c r="T976" i="2"/>
  <c r="W975" i="2"/>
  <c r="T975" i="2"/>
  <c r="W974" i="2"/>
  <c r="T974" i="2"/>
  <c r="W973" i="2"/>
  <c r="T973" i="2"/>
  <c r="W972" i="2"/>
  <c r="T972" i="2"/>
  <c r="W971" i="2"/>
  <c r="T971" i="2"/>
  <c r="W970" i="2"/>
  <c r="T970" i="2"/>
  <c r="W969" i="2"/>
  <c r="T969" i="2"/>
  <c r="W968" i="2"/>
  <c r="T968" i="2"/>
  <c r="W967" i="2"/>
  <c r="T967" i="2"/>
  <c r="W966" i="2"/>
  <c r="T966" i="2"/>
  <c r="W965" i="2"/>
  <c r="T965" i="2"/>
  <c r="W964" i="2"/>
  <c r="T964" i="2"/>
  <c r="W963" i="2"/>
  <c r="T963" i="2"/>
  <c r="W962" i="2"/>
  <c r="T962" i="2"/>
  <c r="W961" i="2"/>
  <c r="T961" i="2"/>
  <c r="W960" i="2"/>
  <c r="T960" i="2"/>
  <c r="W959" i="2"/>
  <c r="T959" i="2"/>
  <c r="W958" i="2"/>
  <c r="T958" i="2"/>
  <c r="W957" i="2"/>
  <c r="T957" i="2"/>
  <c r="W956" i="2"/>
  <c r="T956" i="2"/>
  <c r="W955" i="2"/>
  <c r="T955" i="2"/>
  <c r="W954" i="2"/>
  <c r="T954" i="2"/>
  <c r="W953" i="2"/>
  <c r="T953" i="2"/>
  <c r="W952" i="2"/>
  <c r="T952" i="2"/>
  <c r="W951" i="2"/>
  <c r="T951" i="2"/>
  <c r="W950" i="2"/>
  <c r="T950" i="2"/>
  <c r="W949" i="2"/>
  <c r="T949" i="2"/>
  <c r="W948" i="2"/>
  <c r="T948" i="2"/>
  <c r="W947" i="2"/>
  <c r="T947" i="2"/>
  <c r="W946" i="2"/>
  <c r="T946" i="2"/>
  <c r="W945" i="2"/>
  <c r="T945" i="2"/>
  <c r="W944" i="2"/>
  <c r="T944" i="2"/>
  <c r="W943" i="2"/>
  <c r="T943" i="2"/>
  <c r="W942" i="2"/>
  <c r="T942" i="2"/>
  <c r="W941" i="2"/>
  <c r="T941" i="2"/>
  <c r="W940" i="2"/>
  <c r="T940" i="2"/>
  <c r="W939" i="2"/>
  <c r="T939" i="2"/>
  <c r="W938" i="2"/>
  <c r="T938" i="2"/>
  <c r="W937" i="2"/>
  <c r="T937" i="2"/>
  <c r="W936" i="2"/>
  <c r="T936" i="2"/>
  <c r="W935" i="2"/>
  <c r="T935" i="2"/>
  <c r="W934" i="2"/>
  <c r="T934" i="2"/>
  <c r="W933" i="2"/>
  <c r="T933" i="2"/>
  <c r="W932" i="2"/>
  <c r="T932" i="2"/>
  <c r="W931" i="2"/>
  <c r="T931" i="2"/>
  <c r="W930" i="2"/>
  <c r="T930" i="2"/>
  <c r="W929" i="2"/>
  <c r="T929" i="2"/>
  <c r="W928" i="2"/>
  <c r="T928" i="2"/>
  <c r="W927" i="2"/>
  <c r="T927" i="2"/>
  <c r="W926" i="2"/>
  <c r="T926" i="2"/>
  <c r="W925" i="2"/>
  <c r="T925" i="2"/>
  <c r="W924" i="2"/>
  <c r="T924" i="2"/>
  <c r="W923" i="2"/>
  <c r="T923" i="2"/>
  <c r="W922" i="2"/>
  <c r="T922" i="2"/>
  <c r="W921" i="2"/>
  <c r="T921" i="2"/>
  <c r="W920" i="2"/>
  <c r="T920" i="2"/>
  <c r="W919" i="2"/>
  <c r="T919" i="2"/>
  <c r="W918" i="2"/>
  <c r="T918" i="2"/>
  <c r="W917" i="2"/>
  <c r="T917" i="2"/>
  <c r="W916" i="2"/>
  <c r="T916" i="2"/>
  <c r="W915" i="2"/>
  <c r="T915" i="2"/>
  <c r="W914" i="2"/>
  <c r="T914" i="2"/>
  <c r="W913" i="2"/>
  <c r="T913" i="2"/>
  <c r="W912" i="2"/>
  <c r="T912" i="2"/>
  <c r="W911" i="2"/>
  <c r="T911" i="2"/>
  <c r="W910" i="2"/>
  <c r="T910" i="2"/>
  <c r="W909" i="2"/>
  <c r="T909" i="2"/>
  <c r="W908" i="2"/>
  <c r="T908" i="2"/>
  <c r="W907" i="2"/>
  <c r="T907" i="2"/>
  <c r="W906" i="2"/>
  <c r="T906" i="2"/>
  <c r="W905" i="2"/>
  <c r="T905" i="2"/>
  <c r="W904" i="2"/>
  <c r="T904" i="2"/>
  <c r="W903" i="2"/>
  <c r="T903" i="2"/>
  <c r="W902" i="2"/>
  <c r="T902" i="2"/>
  <c r="W901" i="2"/>
  <c r="T901" i="2"/>
  <c r="W900" i="2"/>
  <c r="T900" i="2"/>
  <c r="W899" i="2"/>
  <c r="T899" i="2"/>
  <c r="W898" i="2"/>
  <c r="T898" i="2"/>
  <c r="W897" i="2"/>
  <c r="T897" i="2"/>
  <c r="W896" i="2"/>
  <c r="T896" i="2"/>
  <c r="W895" i="2"/>
  <c r="T895" i="2"/>
  <c r="W894" i="2"/>
  <c r="T894" i="2"/>
  <c r="W893" i="2"/>
  <c r="T893" i="2"/>
  <c r="W892" i="2"/>
  <c r="T892" i="2"/>
  <c r="W891" i="2"/>
  <c r="T891" i="2"/>
  <c r="W890" i="2"/>
  <c r="T890" i="2"/>
  <c r="W889" i="2"/>
  <c r="T889" i="2"/>
  <c r="W888" i="2"/>
  <c r="T888" i="2"/>
  <c r="W887" i="2"/>
  <c r="T887" i="2"/>
  <c r="W886" i="2"/>
  <c r="T886" i="2"/>
  <c r="W885" i="2"/>
  <c r="T885" i="2"/>
  <c r="W884" i="2"/>
  <c r="T884" i="2"/>
  <c r="W883" i="2"/>
  <c r="T883" i="2"/>
  <c r="W882" i="2"/>
  <c r="T882" i="2"/>
  <c r="W881" i="2"/>
  <c r="T881" i="2"/>
  <c r="W880" i="2"/>
  <c r="T880" i="2"/>
  <c r="W879" i="2"/>
  <c r="T879" i="2"/>
  <c r="W878" i="2"/>
  <c r="T878" i="2"/>
  <c r="W877" i="2"/>
  <c r="T877" i="2"/>
  <c r="W876" i="2"/>
  <c r="T876" i="2"/>
  <c r="W875" i="2"/>
  <c r="T875" i="2"/>
  <c r="W874" i="2"/>
  <c r="T874" i="2"/>
  <c r="W873" i="2"/>
  <c r="T873" i="2"/>
  <c r="W872" i="2"/>
  <c r="T872" i="2"/>
  <c r="W871" i="2"/>
  <c r="T871" i="2"/>
  <c r="W870" i="2"/>
  <c r="T870" i="2"/>
  <c r="W869" i="2"/>
  <c r="T869" i="2"/>
  <c r="W868" i="2"/>
  <c r="T868" i="2"/>
  <c r="W867" i="2"/>
  <c r="T867" i="2"/>
  <c r="W866" i="2"/>
  <c r="T866" i="2"/>
  <c r="W865" i="2"/>
  <c r="T865" i="2"/>
  <c r="W864" i="2"/>
  <c r="T864" i="2"/>
  <c r="W863" i="2"/>
  <c r="T863" i="2"/>
  <c r="W862" i="2"/>
  <c r="T862" i="2"/>
  <c r="W861" i="2"/>
  <c r="T861" i="2"/>
  <c r="W860" i="2"/>
  <c r="T860" i="2"/>
  <c r="W859" i="2"/>
  <c r="T859" i="2"/>
  <c r="W858" i="2"/>
  <c r="T858" i="2"/>
  <c r="W857" i="2"/>
  <c r="T857" i="2"/>
  <c r="W856" i="2"/>
  <c r="T856" i="2"/>
  <c r="W855" i="2"/>
  <c r="T855" i="2"/>
  <c r="W854" i="2"/>
  <c r="T854" i="2"/>
  <c r="W853" i="2"/>
  <c r="T853" i="2"/>
  <c r="W852" i="2"/>
  <c r="T852" i="2"/>
  <c r="W851" i="2"/>
  <c r="T851" i="2"/>
  <c r="W850" i="2"/>
  <c r="T850" i="2"/>
  <c r="W849" i="2"/>
  <c r="T849" i="2"/>
  <c r="W848" i="2"/>
  <c r="T848" i="2"/>
  <c r="W847" i="2"/>
  <c r="T847" i="2"/>
  <c r="W846" i="2"/>
  <c r="T846" i="2"/>
  <c r="W845" i="2"/>
  <c r="T845" i="2"/>
  <c r="W844" i="2"/>
  <c r="T844" i="2"/>
  <c r="W843" i="2"/>
  <c r="T843" i="2"/>
  <c r="W842" i="2"/>
  <c r="T842" i="2"/>
  <c r="W841" i="2"/>
  <c r="T841" i="2"/>
  <c r="W840" i="2"/>
  <c r="T840" i="2"/>
  <c r="W839" i="2"/>
  <c r="T839" i="2"/>
  <c r="W838" i="2"/>
  <c r="T838" i="2"/>
  <c r="W837" i="2"/>
  <c r="T837" i="2"/>
  <c r="W836" i="2"/>
  <c r="T836" i="2"/>
  <c r="W835" i="2"/>
  <c r="T835" i="2"/>
  <c r="W834" i="2"/>
  <c r="T834" i="2"/>
  <c r="W833" i="2"/>
  <c r="T833" i="2"/>
  <c r="W832" i="2"/>
  <c r="T832" i="2"/>
  <c r="W831" i="2"/>
  <c r="T831" i="2"/>
  <c r="W830" i="2"/>
  <c r="T830" i="2"/>
  <c r="W829" i="2"/>
  <c r="T829" i="2"/>
  <c r="W828" i="2"/>
  <c r="T828" i="2"/>
  <c r="W827" i="2"/>
  <c r="T827" i="2"/>
  <c r="W826" i="2"/>
  <c r="T826" i="2"/>
  <c r="W825" i="2"/>
  <c r="T825" i="2"/>
  <c r="W824" i="2"/>
  <c r="T824" i="2"/>
  <c r="W823" i="2"/>
  <c r="T823" i="2"/>
  <c r="W822" i="2"/>
  <c r="T822" i="2"/>
  <c r="W821" i="2"/>
  <c r="T821" i="2"/>
  <c r="W820" i="2"/>
  <c r="T820" i="2"/>
  <c r="W819" i="2"/>
  <c r="T819" i="2"/>
  <c r="W818" i="2"/>
  <c r="T818" i="2"/>
  <c r="W817" i="2"/>
  <c r="T817" i="2"/>
  <c r="W816" i="2"/>
  <c r="T816" i="2"/>
  <c r="W815" i="2"/>
  <c r="T815" i="2"/>
  <c r="W814" i="2"/>
  <c r="T814" i="2"/>
  <c r="W813" i="2"/>
  <c r="T813" i="2"/>
  <c r="W812" i="2"/>
  <c r="T812" i="2"/>
  <c r="W811" i="2"/>
  <c r="T811" i="2"/>
  <c r="W810" i="2"/>
  <c r="T810" i="2"/>
  <c r="W809" i="2"/>
  <c r="T809" i="2"/>
  <c r="W808" i="2"/>
  <c r="T808" i="2"/>
  <c r="W807" i="2"/>
  <c r="T807" i="2"/>
  <c r="W806" i="2"/>
  <c r="T806" i="2"/>
  <c r="W805" i="2"/>
  <c r="T805" i="2"/>
  <c r="W804" i="2"/>
  <c r="T804" i="2"/>
  <c r="W803" i="2"/>
  <c r="T803" i="2"/>
  <c r="W802" i="2"/>
  <c r="T802" i="2"/>
  <c r="W801" i="2"/>
  <c r="T801" i="2"/>
  <c r="W800" i="2"/>
  <c r="T800" i="2"/>
  <c r="W799" i="2"/>
  <c r="T799" i="2"/>
  <c r="W798" i="2"/>
  <c r="T798" i="2"/>
  <c r="W797" i="2"/>
  <c r="T797" i="2"/>
  <c r="W796" i="2"/>
  <c r="T796" i="2"/>
  <c r="W795" i="2"/>
  <c r="T795" i="2"/>
  <c r="W794" i="2"/>
  <c r="T794" i="2"/>
  <c r="W793" i="2"/>
  <c r="T793" i="2"/>
  <c r="W792" i="2"/>
  <c r="T792" i="2"/>
  <c r="W791" i="2"/>
  <c r="T791" i="2"/>
  <c r="W790" i="2"/>
  <c r="T790" i="2"/>
  <c r="W789" i="2"/>
  <c r="T789" i="2"/>
  <c r="W788" i="2"/>
  <c r="T788" i="2"/>
  <c r="W787" i="2"/>
  <c r="T787" i="2"/>
  <c r="W786" i="2"/>
  <c r="T786" i="2"/>
  <c r="W785" i="2"/>
  <c r="T785" i="2"/>
  <c r="W784" i="2"/>
  <c r="T784" i="2"/>
  <c r="W783" i="2"/>
  <c r="T783" i="2"/>
  <c r="W782" i="2"/>
  <c r="T782" i="2"/>
  <c r="W781" i="2"/>
  <c r="T781" i="2"/>
  <c r="W780" i="2"/>
  <c r="T780" i="2"/>
  <c r="W779" i="2"/>
  <c r="T779" i="2"/>
  <c r="W778" i="2"/>
  <c r="T778" i="2"/>
  <c r="W777" i="2"/>
  <c r="T777" i="2"/>
  <c r="W776" i="2"/>
  <c r="T776" i="2"/>
  <c r="W775" i="2"/>
  <c r="T775" i="2"/>
  <c r="W774" i="2"/>
  <c r="T774" i="2"/>
  <c r="W773" i="2"/>
  <c r="T773" i="2"/>
  <c r="W772" i="2"/>
  <c r="T772" i="2"/>
  <c r="W771" i="2"/>
  <c r="T771" i="2"/>
  <c r="W770" i="2"/>
  <c r="T770" i="2"/>
  <c r="W769" i="2"/>
  <c r="T769" i="2"/>
  <c r="W768" i="2"/>
  <c r="T768" i="2"/>
  <c r="W767" i="2"/>
  <c r="T767" i="2"/>
  <c r="W766" i="2"/>
  <c r="T766" i="2"/>
  <c r="W765" i="2"/>
  <c r="T765" i="2"/>
  <c r="W764" i="2"/>
  <c r="T764" i="2"/>
  <c r="W763" i="2"/>
  <c r="T763" i="2"/>
  <c r="W762" i="2"/>
  <c r="T762" i="2"/>
  <c r="W761" i="2"/>
  <c r="T761" i="2"/>
  <c r="W760" i="2"/>
  <c r="T760" i="2"/>
  <c r="W759" i="2"/>
  <c r="T759" i="2"/>
  <c r="W758" i="2"/>
  <c r="T758" i="2"/>
  <c r="W757" i="2"/>
  <c r="T757" i="2"/>
  <c r="W756" i="2"/>
  <c r="T756" i="2"/>
  <c r="W755" i="2"/>
  <c r="T755" i="2"/>
  <c r="W754" i="2"/>
  <c r="T754" i="2"/>
  <c r="W753" i="2"/>
  <c r="T753" i="2"/>
  <c r="W752" i="2"/>
  <c r="T752" i="2"/>
  <c r="W751" i="2"/>
  <c r="T751" i="2"/>
  <c r="W750" i="2"/>
  <c r="T750" i="2"/>
  <c r="W749" i="2"/>
  <c r="T749" i="2"/>
  <c r="W748" i="2"/>
  <c r="T748" i="2"/>
  <c r="W747" i="2"/>
  <c r="T747" i="2"/>
  <c r="W746" i="2"/>
  <c r="T746" i="2"/>
  <c r="W745" i="2"/>
  <c r="T745" i="2"/>
  <c r="W744" i="2"/>
  <c r="T744" i="2"/>
  <c r="W743" i="2"/>
  <c r="T743" i="2"/>
  <c r="W742" i="2"/>
  <c r="T742" i="2"/>
  <c r="W741" i="2"/>
  <c r="T741" i="2"/>
  <c r="W740" i="2"/>
  <c r="T740" i="2"/>
  <c r="W739" i="2"/>
  <c r="T739" i="2"/>
  <c r="W738" i="2"/>
  <c r="T738" i="2"/>
  <c r="W737" i="2"/>
  <c r="T737" i="2"/>
  <c r="W736" i="2"/>
  <c r="T736" i="2"/>
  <c r="W735" i="2"/>
  <c r="T735" i="2"/>
  <c r="W734" i="2"/>
  <c r="T734" i="2"/>
  <c r="W733" i="2"/>
  <c r="T733" i="2"/>
  <c r="W732" i="2"/>
  <c r="T732" i="2"/>
  <c r="W731" i="2"/>
  <c r="T731" i="2"/>
  <c r="W730" i="2"/>
  <c r="T730" i="2"/>
  <c r="W729" i="2"/>
  <c r="T729" i="2"/>
  <c r="W728" i="2"/>
  <c r="T728" i="2"/>
  <c r="W727" i="2"/>
  <c r="T727" i="2"/>
  <c r="W726" i="2"/>
  <c r="T726" i="2"/>
  <c r="W725" i="2"/>
  <c r="T725" i="2"/>
  <c r="W724" i="2"/>
  <c r="T724" i="2"/>
  <c r="W723" i="2"/>
  <c r="T723" i="2"/>
  <c r="W722" i="2"/>
  <c r="T722" i="2"/>
  <c r="W721" i="2"/>
  <c r="T721" i="2"/>
  <c r="W720" i="2"/>
  <c r="T720" i="2"/>
  <c r="W719" i="2"/>
  <c r="T719" i="2"/>
  <c r="W718" i="2"/>
  <c r="T718" i="2"/>
  <c r="W717" i="2"/>
  <c r="T717" i="2"/>
  <c r="W716" i="2"/>
  <c r="T716" i="2"/>
  <c r="W715" i="2"/>
  <c r="T715" i="2"/>
  <c r="W714" i="2"/>
  <c r="T714" i="2"/>
  <c r="W713" i="2"/>
  <c r="T713" i="2"/>
  <c r="W712" i="2"/>
  <c r="T712" i="2"/>
  <c r="W711" i="2"/>
  <c r="T711" i="2"/>
  <c r="W710" i="2"/>
  <c r="T710" i="2"/>
  <c r="W709" i="2"/>
  <c r="T709" i="2"/>
  <c r="W708" i="2"/>
  <c r="T708" i="2"/>
  <c r="W707" i="2"/>
  <c r="T707" i="2"/>
  <c r="W706" i="2"/>
  <c r="T706" i="2"/>
  <c r="W705" i="2"/>
  <c r="T705" i="2"/>
  <c r="W704" i="2"/>
  <c r="T704" i="2"/>
  <c r="W703" i="2"/>
  <c r="T703" i="2"/>
  <c r="W702" i="2"/>
  <c r="T702" i="2"/>
  <c r="W701" i="2"/>
  <c r="T701" i="2"/>
  <c r="W700" i="2"/>
  <c r="T700" i="2"/>
  <c r="W699" i="2"/>
  <c r="T699" i="2"/>
  <c r="W698" i="2"/>
  <c r="T698" i="2"/>
  <c r="W697" i="2"/>
  <c r="T697" i="2"/>
  <c r="W696" i="2"/>
  <c r="T696" i="2"/>
  <c r="W695" i="2"/>
  <c r="T695" i="2"/>
  <c r="W694" i="2"/>
  <c r="T694" i="2"/>
  <c r="W693" i="2"/>
  <c r="T693" i="2"/>
  <c r="W692" i="2"/>
  <c r="T692" i="2"/>
  <c r="W691" i="2"/>
  <c r="T691" i="2"/>
  <c r="W690" i="2"/>
  <c r="T690" i="2"/>
  <c r="W689" i="2"/>
  <c r="T689" i="2"/>
  <c r="W688" i="2"/>
  <c r="T688" i="2"/>
  <c r="W687" i="2"/>
  <c r="T687" i="2"/>
  <c r="W686" i="2"/>
  <c r="T686" i="2"/>
  <c r="W685" i="2"/>
  <c r="T685" i="2"/>
  <c r="W684" i="2"/>
  <c r="T684" i="2"/>
  <c r="W683" i="2"/>
  <c r="T683" i="2"/>
  <c r="W682" i="2"/>
  <c r="T682" i="2"/>
  <c r="W681" i="2"/>
  <c r="T681" i="2"/>
  <c r="W680" i="2"/>
  <c r="T680" i="2"/>
  <c r="W679" i="2"/>
  <c r="T679" i="2"/>
  <c r="W678" i="2"/>
  <c r="T678" i="2"/>
  <c r="W677" i="2"/>
  <c r="T677" i="2"/>
  <c r="W676" i="2"/>
  <c r="T676" i="2"/>
  <c r="W675" i="2"/>
  <c r="T675" i="2"/>
  <c r="W674" i="2"/>
  <c r="T674" i="2"/>
  <c r="W673" i="2"/>
  <c r="T673" i="2"/>
  <c r="W672" i="2"/>
  <c r="T672" i="2"/>
  <c r="W671" i="2"/>
  <c r="T671" i="2"/>
  <c r="W670" i="2"/>
  <c r="T670" i="2"/>
  <c r="W669" i="2"/>
  <c r="T669" i="2"/>
  <c r="W668" i="2"/>
  <c r="T668" i="2"/>
  <c r="W667" i="2"/>
  <c r="T667" i="2"/>
  <c r="W666" i="2"/>
  <c r="T666" i="2"/>
  <c r="W665" i="2"/>
  <c r="T665" i="2"/>
  <c r="W664" i="2"/>
  <c r="T664" i="2"/>
  <c r="W663" i="2"/>
  <c r="T663" i="2"/>
  <c r="W662" i="2"/>
  <c r="T662" i="2"/>
  <c r="W661" i="2"/>
  <c r="T661" i="2"/>
  <c r="W660" i="2"/>
  <c r="T660" i="2"/>
  <c r="W659" i="2"/>
  <c r="T659" i="2"/>
  <c r="W658" i="2"/>
  <c r="T658" i="2"/>
  <c r="W657" i="2"/>
  <c r="T657" i="2"/>
  <c r="W656" i="2"/>
  <c r="T656" i="2"/>
  <c r="W655" i="2"/>
  <c r="T655" i="2"/>
  <c r="W654" i="2"/>
  <c r="T654" i="2"/>
  <c r="W653" i="2"/>
  <c r="T653" i="2"/>
  <c r="W652" i="2"/>
  <c r="T652" i="2"/>
  <c r="W651" i="2"/>
  <c r="T651" i="2"/>
  <c r="W650" i="2"/>
  <c r="T650" i="2"/>
  <c r="W649" i="2"/>
  <c r="T649" i="2"/>
  <c r="W648" i="2"/>
  <c r="T648" i="2"/>
  <c r="W647" i="2"/>
  <c r="T647" i="2"/>
  <c r="W646" i="2"/>
  <c r="T646" i="2"/>
  <c r="W645" i="2"/>
  <c r="T645" i="2"/>
  <c r="W644" i="2"/>
  <c r="T644" i="2"/>
  <c r="W643" i="2"/>
  <c r="T643" i="2"/>
  <c r="W642" i="2"/>
  <c r="T642" i="2"/>
  <c r="W641" i="2"/>
  <c r="T641" i="2"/>
  <c r="W640" i="2"/>
  <c r="T640" i="2"/>
  <c r="W639" i="2"/>
  <c r="T639" i="2"/>
  <c r="W638" i="2"/>
  <c r="T638" i="2"/>
  <c r="W637" i="2"/>
  <c r="T637" i="2"/>
  <c r="W636" i="2"/>
  <c r="T636" i="2"/>
  <c r="W635" i="2"/>
  <c r="T635" i="2"/>
  <c r="W634" i="2"/>
  <c r="T634" i="2"/>
  <c r="W633" i="2"/>
  <c r="T633" i="2"/>
  <c r="W632" i="2"/>
  <c r="T632" i="2"/>
  <c r="W631" i="2"/>
  <c r="T631" i="2"/>
  <c r="W630" i="2"/>
  <c r="T630" i="2"/>
  <c r="W629" i="2"/>
  <c r="T629" i="2"/>
  <c r="W628" i="2"/>
  <c r="T628" i="2"/>
  <c r="W627" i="2"/>
  <c r="T627" i="2"/>
  <c r="W626" i="2"/>
  <c r="T626" i="2"/>
  <c r="W625" i="2"/>
  <c r="T625" i="2"/>
  <c r="W624" i="2"/>
  <c r="T624" i="2"/>
  <c r="W623" i="2"/>
  <c r="T623" i="2"/>
  <c r="W622" i="2"/>
  <c r="T622" i="2"/>
  <c r="W621" i="2"/>
  <c r="T621" i="2"/>
  <c r="W620" i="2"/>
  <c r="T620" i="2"/>
  <c r="W619" i="2"/>
  <c r="T619" i="2"/>
  <c r="W618" i="2"/>
  <c r="T618" i="2"/>
  <c r="W617" i="2"/>
  <c r="T617" i="2"/>
  <c r="W616" i="2"/>
  <c r="T616" i="2"/>
  <c r="W615" i="2"/>
  <c r="T615" i="2"/>
  <c r="W614" i="2"/>
  <c r="T614" i="2"/>
  <c r="W613" i="2"/>
  <c r="T613" i="2"/>
  <c r="W612" i="2"/>
  <c r="T612" i="2"/>
  <c r="W611" i="2"/>
  <c r="T611" i="2"/>
  <c r="W610" i="2"/>
  <c r="T610" i="2"/>
  <c r="W609" i="2"/>
  <c r="T609" i="2"/>
  <c r="W608" i="2"/>
  <c r="T608" i="2"/>
  <c r="W607" i="2"/>
  <c r="T607" i="2"/>
  <c r="W606" i="2"/>
  <c r="T606" i="2"/>
  <c r="W605" i="2"/>
  <c r="T605" i="2"/>
  <c r="W604" i="2"/>
  <c r="T604" i="2"/>
  <c r="W603" i="2"/>
  <c r="T603" i="2"/>
  <c r="W602" i="2"/>
  <c r="T602" i="2"/>
  <c r="W601" i="2"/>
  <c r="T601" i="2"/>
  <c r="W600" i="2"/>
  <c r="T600" i="2"/>
  <c r="W599" i="2"/>
  <c r="T599" i="2"/>
  <c r="W598" i="2"/>
  <c r="T598" i="2"/>
  <c r="W597" i="2"/>
  <c r="T597" i="2"/>
  <c r="W596" i="2"/>
  <c r="T596" i="2"/>
  <c r="W595" i="2"/>
  <c r="T595" i="2"/>
  <c r="W594" i="2"/>
  <c r="T594" i="2"/>
  <c r="W593" i="2"/>
  <c r="T593" i="2"/>
  <c r="W592" i="2"/>
  <c r="T592" i="2"/>
  <c r="W591" i="2"/>
  <c r="T591" i="2"/>
  <c r="W590" i="2"/>
  <c r="T590" i="2"/>
  <c r="W589" i="2"/>
  <c r="T589" i="2"/>
  <c r="W588" i="2"/>
  <c r="T588" i="2"/>
  <c r="W587" i="2"/>
  <c r="T587" i="2"/>
  <c r="W586" i="2"/>
  <c r="T586" i="2"/>
  <c r="W585" i="2"/>
  <c r="T585" i="2"/>
  <c r="W584" i="2"/>
  <c r="T584" i="2"/>
  <c r="W583" i="2"/>
  <c r="T583" i="2"/>
  <c r="W582" i="2"/>
  <c r="T582" i="2"/>
  <c r="W581" i="2"/>
  <c r="T581" i="2"/>
  <c r="W580" i="2"/>
  <c r="T580" i="2"/>
  <c r="W579" i="2"/>
  <c r="T579" i="2"/>
  <c r="W578" i="2"/>
  <c r="T578" i="2"/>
  <c r="W577" i="2"/>
  <c r="T577" i="2"/>
  <c r="W576" i="2"/>
  <c r="T576" i="2"/>
  <c r="W575" i="2"/>
  <c r="T575" i="2"/>
  <c r="W574" i="2"/>
  <c r="T574" i="2"/>
  <c r="W573" i="2"/>
  <c r="T573" i="2"/>
  <c r="W572" i="2"/>
  <c r="T572" i="2"/>
  <c r="W571" i="2"/>
  <c r="T571" i="2"/>
  <c r="W570" i="2"/>
  <c r="T570" i="2"/>
  <c r="W569" i="2"/>
  <c r="T569" i="2"/>
  <c r="W568" i="2"/>
  <c r="T568" i="2"/>
  <c r="W567" i="2"/>
  <c r="T567" i="2"/>
  <c r="W566" i="2"/>
  <c r="T566" i="2"/>
  <c r="W565" i="2"/>
  <c r="T565" i="2"/>
  <c r="W564" i="2"/>
  <c r="T564" i="2"/>
  <c r="W563" i="2"/>
  <c r="T563" i="2"/>
  <c r="W562" i="2"/>
  <c r="T562" i="2"/>
  <c r="W561" i="2"/>
  <c r="T561" i="2"/>
  <c r="W560" i="2"/>
  <c r="T560" i="2"/>
  <c r="W559" i="2"/>
  <c r="T559" i="2"/>
  <c r="W558" i="2"/>
  <c r="T558" i="2"/>
  <c r="W557" i="2"/>
  <c r="T557" i="2"/>
  <c r="W556" i="2"/>
  <c r="T556" i="2"/>
  <c r="W555" i="2"/>
  <c r="T555" i="2"/>
  <c r="W554" i="2"/>
  <c r="T554" i="2"/>
  <c r="W553" i="2"/>
  <c r="T553" i="2"/>
  <c r="W552" i="2"/>
  <c r="T552" i="2"/>
  <c r="W551" i="2"/>
  <c r="T551" i="2"/>
  <c r="W550" i="2"/>
  <c r="T550" i="2"/>
  <c r="W549" i="2"/>
  <c r="T549" i="2"/>
  <c r="W548" i="2"/>
  <c r="T548" i="2"/>
  <c r="W547" i="2"/>
  <c r="T547" i="2"/>
  <c r="W546" i="2"/>
  <c r="T546" i="2"/>
  <c r="W545" i="2"/>
  <c r="T545" i="2"/>
  <c r="W544" i="2"/>
  <c r="T544" i="2"/>
  <c r="W543" i="2"/>
  <c r="T543" i="2"/>
  <c r="W542" i="2"/>
  <c r="T542" i="2"/>
  <c r="W541" i="2"/>
  <c r="T541" i="2"/>
  <c r="W540" i="2"/>
  <c r="T540" i="2"/>
  <c r="W539" i="2"/>
  <c r="T539" i="2"/>
  <c r="W538" i="2"/>
  <c r="T538" i="2"/>
  <c r="W537" i="2"/>
  <c r="T537" i="2"/>
  <c r="W536" i="2"/>
  <c r="T536" i="2"/>
  <c r="W535" i="2"/>
  <c r="T535" i="2"/>
  <c r="W534" i="2"/>
  <c r="T534" i="2"/>
  <c r="W533" i="2"/>
  <c r="T533" i="2"/>
  <c r="W532" i="2"/>
  <c r="T532" i="2"/>
  <c r="W531" i="2"/>
  <c r="T531" i="2"/>
  <c r="W530" i="2"/>
  <c r="T530" i="2"/>
  <c r="W529" i="2"/>
  <c r="T529" i="2"/>
  <c r="W528" i="2"/>
  <c r="T528" i="2"/>
  <c r="W527" i="2"/>
  <c r="T527" i="2"/>
  <c r="W526" i="2"/>
  <c r="T526" i="2"/>
  <c r="W525" i="2"/>
  <c r="T525" i="2"/>
  <c r="W524" i="2"/>
  <c r="T524" i="2"/>
  <c r="W523" i="2"/>
  <c r="T523" i="2"/>
  <c r="W522" i="2"/>
  <c r="T522" i="2"/>
  <c r="W521" i="2"/>
  <c r="T521" i="2"/>
  <c r="W520" i="2"/>
  <c r="T520" i="2"/>
  <c r="W519" i="2"/>
  <c r="T519" i="2"/>
  <c r="W518" i="2"/>
  <c r="T518" i="2"/>
  <c r="W517" i="2"/>
  <c r="T517" i="2"/>
  <c r="W516" i="2"/>
  <c r="T516" i="2"/>
  <c r="W515" i="2"/>
  <c r="T515" i="2"/>
  <c r="W514" i="2"/>
  <c r="T514" i="2"/>
  <c r="W513" i="2"/>
  <c r="T513" i="2"/>
  <c r="W512" i="2"/>
  <c r="T512" i="2"/>
  <c r="W511" i="2"/>
  <c r="T511" i="2"/>
  <c r="W510" i="2"/>
  <c r="T510" i="2"/>
  <c r="W509" i="2"/>
  <c r="T509" i="2"/>
  <c r="W508" i="2"/>
  <c r="T508" i="2"/>
  <c r="W507" i="2"/>
  <c r="T507" i="2"/>
  <c r="W506" i="2"/>
  <c r="T506" i="2"/>
  <c r="W505" i="2"/>
  <c r="T505" i="2"/>
  <c r="W504" i="2"/>
  <c r="T504" i="2"/>
  <c r="W503" i="2"/>
  <c r="T503" i="2"/>
  <c r="W502" i="2"/>
  <c r="T502" i="2"/>
  <c r="W501" i="2"/>
  <c r="T501" i="2"/>
  <c r="W500" i="2"/>
  <c r="T500" i="2"/>
  <c r="W499" i="2"/>
  <c r="T499" i="2"/>
  <c r="W498" i="2"/>
  <c r="T498" i="2"/>
  <c r="W497" i="2"/>
  <c r="T497" i="2"/>
  <c r="W496" i="2"/>
  <c r="T496" i="2"/>
  <c r="W495" i="2"/>
  <c r="T495" i="2"/>
  <c r="W494" i="2"/>
  <c r="T494" i="2"/>
  <c r="W493" i="2"/>
  <c r="T493" i="2"/>
  <c r="W492" i="2"/>
  <c r="T492" i="2"/>
  <c r="W491" i="2"/>
  <c r="T491" i="2"/>
  <c r="W490" i="2"/>
  <c r="T490" i="2"/>
  <c r="W489" i="2"/>
  <c r="T489" i="2"/>
  <c r="W488" i="2"/>
  <c r="T488" i="2"/>
  <c r="W487" i="2"/>
  <c r="T487" i="2"/>
  <c r="W486" i="2"/>
  <c r="T486" i="2"/>
  <c r="W485" i="2"/>
  <c r="T485" i="2"/>
  <c r="W484" i="2"/>
  <c r="T484" i="2"/>
  <c r="W483" i="2"/>
  <c r="T483" i="2"/>
  <c r="W482" i="2"/>
  <c r="T482" i="2"/>
  <c r="W481" i="2"/>
  <c r="T481" i="2"/>
  <c r="W480" i="2"/>
  <c r="T480" i="2"/>
  <c r="W479" i="2"/>
  <c r="T479" i="2"/>
  <c r="W478" i="2"/>
  <c r="T478" i="2"/>
  <c r="W477" i="2"/>
  <c r="T477" i="2"/>
  <c r="W476" i="2"/>
  <c r="T476" i="2"/>
  <c r="W475" i="2"/>
  <c r="T475" i="2"/>
  <c r="W474" i="2"/>
  <c r="T474" i="2"/>
  <c r="W473" i="2"/>
  <c r="T473" i="2"/>
  <c r="W472" i="2"/>
  <c r="T472" i="2"/>
  <c r="W471" i="2"/>
  <c r="T471" i="2"/>
  <c r="W470" i="2"/>
  <c r="T470" i="2"/>
  <c r="W469" i="2"/>
  <c r="T469" i="2"/>
  <c r="W468" i="2"/>
  <c r="T468" i="2"/>
  <c r="W467" i="2"/>
  <c r="T467" i="2"/>
  <c r="W466" i="2"/>
  <c r="T466" i="2"/>
  <c r="W465" i="2"/>
  <c r="T465" i="2"/>
  <c r="W464" i="2"/>
  <c r="T464" i="2"/>
  <c r="W463" i="2"/>
  <c r="T463" i="2"/>
  <c r="W462" i="2"/>
  <c r="T462" i="2"/>
  <c r="W461" i="2"/>
  <c r="T461" i="2"/>
  <c r="W460" i="2"/>
  <c r="T460" i="2"/>
  <c r="W459" i="2"/>
  <c r="T459" i="2"/>
  <c r="W458" i="2"/>
  <c r="T458" i="2"/>
  <c r="W457" i="2"/>
  <c r="T457" i="2"/>
  <c r="W456" i="2"/>
  <c r="T456" i="2"/>
  <c r="W455" i="2"/>
  <c r="T455" i="2"/>
  <c r="W454" i="2"/>
  <c r="T454" i="2"/>
  <c r="W453" i="2"/>
  <c r="T453" i="2"/>
  <c r="W452" i="2"/>
  <c r="T452" i="2"/>
  <c r="W451" i="2"/>
  <c r="T451" i="2"/>
  <c r="W450" i="2"/>
  <c r="T450" i="2"/>
  <c r="W449" i="2"/>
  <c r="T449" i="2"/>
  <c r="W448" i="2"/>
  <c r="T448" i="2"/>
  <c r="W447" i="2"/>
  <c r="T447" i="2"/>
  <c r="W446" i="2"/>
  <c r="T446" i="2"/>
  <c r="W445" i="2"/>
  <c r="T445" i="2"/>
  <c r="W444" i="2"/>
  <c r="T444" i="2"/>
  <c r="W443" i="2"/>
  <c r="T443" i="2"/>
  <c r="W442" i="2"/>
  <c r="T442" i="2"/>
  <c r="W441" i="2"/>
  <c r="T441" i="2"/>
  <c r="W440" i="2"/>
  <c r="T440" i="2"/>
  <c r="W439" i="2"/>
  <c r="T439" i="2"/>
  <c r="W438" i="2"/>
  <c r="T438" i="2"/>
  <c r="W437" i="2"/>
  <c r="T437" i="2"/>
  <c r="W436" i="2"/>
  <c r="T436" i="2"/>
  <c r="W435" i="2"/>
  <c r="T435" i="2"/>
  <c r="W434" i="2"/>
  <c r="T434" i="2"/>
  <c r="W433" i="2"/>
  <c r="T433" i="2"/>
  <c r="W432" i="2"/>
  <c r="T432" i="2"/>
  <c r="W431" i="2"/>
  <c r="T431" i="2"/>
  <c r="W430" i="2"/>
  <c r="T430" i="2"/>
  <c r="W429" i="2"/>
  <c r="T429" i="2"/>
  <c r="W428" i="2"/>
  <c r="T428" i="2"/>
  <c r="W427" i="2"/>
  <c r="T427" i="2"/>
  <c r="W426" i="2"/>
  <c r="T426" i="2"/>
  <c r="W425" i="2"/>
  <c r="T425" i="2"/>
  <c r="W424" i="2"/>
  <c r="T424" i="2"/>
  <c r="W423" i="2"/>
  <c r="T423" i="2"/>
  <c r="W422" i="2"/>
  <c r="T422" i="2"/>
  <c r="W421" i="2"/>
  <c r="T421" i="2"/>
  <c r="W420" i="2"/>
  <c r="T420" i="2"/>
  <c r="W419" i="2"/>
  <c r="T419" i="2"/>
  <c r="W418" i="2"/>
  <c r="T418" i="2"/>
  <c r="W417" i="2"/>
  <c r="T417" i="2"/>
  <c r="W416" i="2"/>
  <c r="T416" i="2"/>
  <c r="W415" i="2"/>
  <c r="T415" i="2"/>
  <c r="W414" i="2"/>
  <c r="T414" i="2"/>
  <c r="W413" i="2"/>
  <c r="T413" i="2"/>
  <c r="W412" i="2"/>
  <c r="T412" i="2"/>
  <c r="W411" i="2"/>
  <c r="T411" i="2"/>
  <c r="W410" i="2"/>
  <c r="T410" i="2"/>
  <c r="W409" i="2"/>
  <c r="T409" i="2"/>
  <c r="W408" i="2"/>
  <c r="T408" i="2"/>
  <c r="W407" i="2"/>
  <c r="T407" i="2"/>
  <c r="W406" i="2"/>
  <c r="T406" i="2"/>
  <c r="W405" i="2"/>
  <c r="T405" i="2"/>
  <c r="W404" i="2"/>
  <c r="T404" i="2"/>
  <c r="W403" i="2"/>
  <c r="T403" i="2"/>
  <c r="W402" i="2"/>
  <c r="T402" i="2"/>
  <c r="W401" i="2"/>
  <c r="T401" i="2"/>
  <c r="W400" i="2"/>
  <c r="T400" i="2"/>
  <c r="W399" i="2"/>
  <c r="T399" i="2"/>
  <c r="W398" i="2"/>
  <c r="T398" i="2"/>
  <c r="W397" i="2"/>
  <c r="T397" i="2"/>
  <c r="W396" i="2"/>
  <c r="T396" i="2"/>
  <c r="W395" i="2"/>
  <c r="T395" i="2"/>
  <c r="W394" i="2"/>
  <c r="T394" i="2"/>
  <c r="W393" i="2"/>
  <c r="T393" i="2"/>
  <c r="W392" i="2"/>
  <c r="T392" i="2"/>
  <c r="W391" i="2"/>
  <c r="T391" i="2"/>
  <c r="W390" i="2"/>
  <c r="T390" i="2"/>
  <c r="W389" i="2"/>
  <c r="T389" i="2"/>
  <c r="W388" i="2"/>
  <c r="T388" i="2"/>
  <c r="W387" i="2"/>
  <c r="T387" i="2"/>
  <c r="W386" i="2"/>
  <c r="T386" i="2"/>
  <c r="W385" i="2"/>
  <c r="T385" i="2"/>
  <c r="W384" i="2"/>
  <c r="T384" i="2"/>
  <c r="W383" i="2"/>
  <c r="T383" i="2"/>
  <c r="W382" i="2"/>
  <c r="T382" i="2"/>
  <c r="W381" i="2"/>
  <c r="T381" i="2"/>
  <c r="W380" i="2"/>
  <c r="T380" i="2"/>
  <c r="W379" i="2"/>
  <c r="T379" i="2"/>
  <c r="W378" i="2"/>
  <c r="T378" i="2"/>
  <c r="W377" i="2"/>
  <c r="T377" i="2"/>
  <c r="W376" i="2"/>
  <c r="T376" i="2"/>
  <c r="W375" i="2"/>
  <c r="T375" i="2"/>
  <c r="W374" i="2"/>
  <c r="T374" i="2"/>
  <c r="W373" i="2"/>
  <c r="T373" i="2"/>
  <c r="W372" i="2"/>
  <c r="T372" i="2"/>
  <c r="W371" i="2"/>
  <c r="T371" i="2"/>
  <c r="W370" i="2"/>
  <c r="T370" i="2"/>
  <c r="W369" i="2"/>
  <c r="T369" i="2"/>
  <c r="W368" i="2"/>
  <c r="T368" i="2"/>
  <c r="W367" i="2"/>
  <c r="T367" i="2"/>
  <c r="W366" i="2"/>
  <c r="T366" i="2"/>
  <c r="W365" i="2"/>
  <c r="T365" i="2"/>
  <c r="W364" i="2"/>
  <c r="T364" i="2"/>
  <c r="W363" i="2"/>
  <c r="T363" i="2"/>
  <c r="W362" i="2"/>
  <c r="T362" i="2"/>
  <c r="W361" i="2"/>
  <c r="T361" i="2"/>
  <c r="W360" i="2"/>
  <c r="T360" i="2"/>
  <c r="W359" i="2"/>
  <c r="T359" i="2"/>
  <c r="W358" i="2"/>
  <c r="T358" i="2"/>
  <c r="W357" i="2"/>
  <c r="T357" i="2"/>
  <c r="W356" i="2"/>
  <c r="T356" i="2"/>
  <c r="W355" i="2"/>
  <c r="T355" i="2"/>
  <c r="W354" i="2"/>
  <c r="T354" i="2"/>
  <c r="W353" i="2"/>
  <c r="T353" i="2"/>
  <c r="W352" i="2"/>
  <c r="T352" i="2"/>
  <c r="W351" i="2"/>
  <c r="T351" i="2"/>
  <c r="W350" i="2"/>
  <c r="T350" i="2"/>
  <c r="W349" i="2"/>
  <c r="T349" i="2"/>
  <c r="W348" i="2"/>
  <c r="T348" i="2"/>
  <c r="W347" i="2"/>
  <c r="T347" i="2"/>
  <c r="W346" i="2"/>
  <c r="T346" i="2"/>
  <c r="W345" i="2"/>
  <c r="T345" i="2"/>
  <c r="W344" i="2"/>
  <c r="T344" i="2"/>
  <c r="W343" i="2"/>
  <c r="T343" i="2"/>
  <c r="W342" i="2"/>
  <c r="T342" i="2"/>
  <c r="W341" i="2"/>
  <c r="T341" i="2"/>
  <c r="W340" i="2"/>
  <c r="T340" i="2"/>
  <c r="W339" i="2"/>
  <c r="T339" i="2"/>
  <c r="W338" i="2"/>
  <c r="T338" i="2"/>
  <c r="W337" i="2"/>
  <c r="T337" i="2"/>
  <c r="W336" i="2"/>
  <c r="T336" i="2"/>
  <c r="W335" i="2"/>
  <c r="T335" i="2"/>
  <c r="W334" i="2"/>
  <c r="T334" i="2"/>
  <c r="W333" i="2"/>
  <c r="T333" i="2"/>
  <c r="W332" i="2"/>
  <c r="T332" i="2"/>
  <c r="W331" i="2"/>
  <c r="T331" i="2"/>
  <c r="W330" i="2"/>
  <c r="T330" i="2"/>
  <c r="W329" i="2"/>
  <c r="T329" i="2"/>
  <c r="W328" i="2"/>
  <c r="T328" i="2"/>
  <c r="W327" i="2"/>
  <c r="T327" i="2"/>
  <c r="W326" i="2"/>
  <c r="T326" i="2"/>
  <c r="W325" i="2"/>
  <c r="T325" i="2"/>
  <c r="W324" i="2"/>
  <c r="T324" i="2"/>
  <c r="W323" i="2"/>
  <c r="T323" i="2"/>
  <c r="W322" i="2"/>
  <c r="T322" i="2"/>
  <c r="W321" i="2"/>
  <c r="T321" i="2"/>
  <c r="W320" i="2"/>
  <c r="T320" i="2"/>
  <c r="W319" i="2"/>
  <c r="T319" i="2"/>
  <c r="W318" i="2"/>
  <c r="T318" i="2"/>
  <c r="W317" i="2"/>
  <c r="T317" i="2"/>
  <c r="W316" i="2"/>
  <c r="T316" i="2"/>
  <c r="W315" i="2"/>
  <c r="T315" i="2"/>
  <c r="W314" i="2"/>
  <c r="T314" i="2"/>
  <c r="W313" i="2"/>
  <c r="T313" i="2"/>
  <c r="W312" i="2"/>
  <c r="T312" i="2"/>
  <c r="W311" i="2"/>
  <c r="T311" i="2"/>
  <c r="W310" i="2"/>
  <c r="T310" i="2"/>
  <c r="W309" i="2"/>
  <c r="T309" i="2"/>
  <c r="W308" i="2"/>
  <c r="T308" i="2"/>
  <c r="W307" i="2"/>
  <c r="T307" i="2"/>
  <c r="W306" i="2"/>
  <c r="T306" i="2"/>
  <c r="W305" i="2"/>
  <c r="T305" i="2"/>
  <c r="W304" i="2"/>
  <c r="T304" i="2"/>
  <c r="W303" i="2"/>
  <c r="T303" i="2"/>
  <c r="W302" i="2"/>
  <c r="T302" i="2"/>
  <c r="W301" i="2"/>
  <c r="T301" i="2"/>
  <c r="W300" i="2"/>
  <c r="T300" i="2"/>
  <c r="W299" i="2"/>
  <c r="T299" i="2"/>
  <c r="W298" i="2"/>
  <c r="T298" i="2"/>
  <c r="W297" i="2"/>
  <c r="T297" i="2"/>
  <c r="W296" i="2"/>
  <c r="T296" i="2"/>
  <c r="W295" i="2"/>
  <c r="T295" i="2"/>
  <c r="W294" i="2"/>
  <c r="T294" i="2"/>
  <c r="W293" i="2"/>
  <c r="T293" i="2"/>
  <c r="W292" i="2"/>
  <c r="T292" i="2"/>
  <c r="W291" i="2"/>
  <c r="T291" i="2"/>
  <c r="W290" i="2"/>
  <c r="T290" i="2"/>
  <c r="W289" i="2"/>
  <c r="T289" i="2"/>
  <c r="W288" i="2"/>
  <c r="T288" i="2"/>
  <c r="W287" i="2"/>
  <c r="T287" i="2"/>
  <c r="W286" i="2"/>
  <c r="T286" i="2"/>
  <c r="W285" i="2"/>
  <c r="T285" i="2"/>
  <c r="W284" i="2"/>
  <c r="T284" i="2"/>
  <c r="W283" i="2"/>
  <c r="T283" i="2"/>
  <c r="W282" i="2"/>
  <c r="T282" i="2"/>
  <c r="W281" i="2"/>
  <c r="T281" i="2"/>
  <c r="W280" i="2"/>
  <c r="T280" i="2"/>
  <c r="W279" i="2"/>
  <c r="T279" i="2"/>
  <c r="W278" i="2"/>
  <c r="T278" i="2"/>
  <c r="W277" i="2"/>
  <c r="T277" i="2"/>
  <c r="W276" i="2"/>
  <c r="T276" i="2"/>
  <c r="W275" i="2"/>
  <c r="T275" i="2"/>
  <c r="W274" i="2"/>
  <c r="T274" i="2"/>
  <c r="W273" i="2"/>
  <c r="T273" i="2"/>
  <c r="W272" i="2"/>
  <c r="T272" i="2"/>
  <c r="W271" i="2"/>
  <c r="T271" i="2"/>
  <c r="W270" i="2"/>
  <c r="T270" i="2"/>
  <c r="W269" i="2"/>
  <c r="T269" i="2"/>
  <c r="W268" i="2"/>
  <c r="T268" i="2"/>
  <c r="W267" i="2"/>
  <c r="T267" i="2"/>
  <c r="W266" i="2"/>
  <c r="T266" i="2"/>
  <c r="W265" i="2"/>
  <c r="T265" i="2"/>
  <c r="W264" i="2"/>
  <c r="T264" i="2"/>
  <c r="W263" i="2"/>
  <c r="T263" i="2"/>
  <c r="W262" i="2"/>
  <c r="T262" i="2"/>
  <c r="W261" i="2"/>
  <c r="T261" i="2"/>
  <c r="W260" i="2"/>
  <c r="T260" i="2"/>
  <c r="W259" i="2"/>
  <c r="T259" i="2"/>
  <c r="W258" i="2"/>
  <c r="T258" i="2"/>
  <c r="W257" i="2"/>
  <c r="T257" i="2"/>
  <c r="W256" i="2"/>
  <c r="T256" i="2"/>
  <c r="W255" i="2"/>
  <c r="T255" i="2"/>
  <c r="W254" i="2"/>
  <c r="T254" i="2"/>
  <c r="W253" i="2"/>
  <c r="T253" i="2"/>
  <c r="W252" i="2"/>
  <c r="T252" i="2"/>
  <c r="W251" i="2"/>
  <c r="T251" i="2"/>
  <c r="W250" i="2"/>
  <c r="T250" i="2"/>
  <c r="W249" i="2"/>
  <c r="T249" i="2"/>
  <c r="W248" i="2"/>
  <c r="T248" i="2"/>
  <c r="W247" i="2"/>
  <c r="T247" i="2"/>
  <c r="W246" i="2"/>
  <c r="T246" i="2"/>
  <c r="W245" i="2"/>
  <c r="T245" i="2"/>
  <c r="W244" i="2"/>
  <c r="T244" i="2"/>
  <c r="W243" i="2"/>
  <c r="T243" i="2"/>
  <c r="W242" i="2"/>
  <c r="T242" i="2"/>
  <c r="W241" i="2"/>
  <c r="T241" i="2"/>
  <c r="W240" i="2"/>
  <c r="T240" i="2"/>
  <c r="W239" i="2"/>
  <c r="T239" i="2"/>
  <c r="W238" i="2"/>
  <c r="T238" i="2"/>
  <c r="W237" i="2"/>
  <c r="T237" i="2"/>
  <c r="W236" i="2"/>
  <c r="T236" i="2"/>
  <c r="W235" i="2"/>
  <c r="T235" i="2"/>
  <c r="W234" i="2"/>
  <c r="T234" i="2"/>
  <c r="W233" i="2"/>
  <c r="T233" i="2"/>
  <c r="W232" i="2"/>
  <c r="T232" i="2"/>
  <c r="W231" i="2"/>
  <c r="T231" i="2"/>
  <c r="W230" i="2"/>
  <c r="T230" i="2"/>
  <c r="W229" i="2"/>
  <c r="T229" i="2"/>
  <c r="W228" i="2"/>
  <c r="T228" i="2"/>
  <c r="W227" i="2"/>
  <c r="T227" i="2"/>
  <c r="W226" i="2"/>
  <c r="T226" i="2"/>
  <c r="W225" i="2"/>
  <c r="T225" i="2"/>
  <c r="W224" i="2"/>
  <c r="T224" i="2"/>
  <c r="W223" i="2"/>
  <c r="T223" i="2"/>
  <c r="W222" i="2"/>
  <c r="T222" i="2"/>
  <c r="W221" i="2"/>
  <c r="T221" i="2"/>
  <c r="W220" i="2"/>
  <c r="T220" i="2"/>
  <c r="W219" i="2"/>
  <c r="T219" i="2"/>
  <c r="W218" i="2"/>
  <c r="T218" i="2"/>
  <c r="W217" i="2"/>
  <c r="T217" i="2"/>
  <c r="W216" i="2"/>
  <c r="T216" i="2"/>
  <c r="W215" i="2"/>
  <c r="T215" i="2"/>
  <c r="W214" i="2"/>
  <c r="T214" i="2"/>
  <c r="W213" i="2"/>
  <c r="T213" i="2"/>
  <c r="W212" i="2"/>
  <c r="T212" i="2"/>
  <c r="W211" i="2"/>
  <c r="T211" i="2"/>
  <c r="W210" i="2"/>
  <c r="T210" i="2"/>
  <c r="W209" i="2"/>
  <c r="T209" i="2"/>
  <c r="W208" i="2"/>
  <c r="T208" i="2"/>
  <c r="W207" i="2"/>
  <c r="T207" i="2"/>
  <c r="W206" i="2"/>
  <c r="T206" i="2"/>
  <c r="W205" i="2"/>
  <c r="T205" i="2"/>
  <c r="W204" i="2"/>
  <c r="T204" i="2"/>
  <c r="W203" i="2"/>
  <c r="T203" i="2"/>
  <c r="W202" i="2"/>
  <c r="T202" i="2"/>
  <c r="W201" i="2"/>
  <c r="T201" i="2"/>
  <c r="W200" i="2"/>
  <c r="T200" i="2"/>
  <c r="W199" i="2"/>
  <c r="T199" i="2"/>
  <c r="W198" i="2"/>
  <c r="T198" i="2"/>
  <c r="W197" i="2"/>
  <c r="T197" i="2"/>
  <c r="W196" i="2"/>
  <c r="T196" i="2"/>
  <c r="W195" i="2"/>
  <c r="T195" i="2"/>
  <c r="W194" i="2"/>
  <c r="T194" i="2"/>
  <c r="W193" i="2"/>
  <c r="T193" i="2"/>
  <c r="W192" i="2"/>
  <c r="T192" i="2"/>
  <c r="W191" i="2"/>
  <c r="T191" i="2"/>
  <c r="W190" i="2"/>
  <c r="T190" i="2"/>
  <c r="W189" i="2"/>
  <c r="T189" i="2"/>
  <c r="W188" i="2"/>
  <c r="T188" i="2"/>
  <c r="W187" i="2"/>
  <c r="T187" i="2"/>
  <c r="W186" i="2"/>
  <c r="T186" i="2"/>
  <c r="W185" i="2"/>
  <c r="T185" i="2"/>
  <c r="W184" i="2"/>
  <c r="T184" i="2"/>
  <c r="W183" i="2"/>
  <c r="T183" i="2"/>
  <c r="W182" i="2"/>
  <c r="T182" i="2"/>
  <c r="W181" i="2"/>
  <c r="T181" i="2"/>
  <c r="W180" i="2"/>
  <c r="T180" i="2"/>
  <c r="W179" i="2"/>
  <c r="T179" i="2"/>
  <c r="W178" i="2"/>
  <c r="T178" i="2"/>
  <c r="W177" i="2"/>
  <c r="T177" i="2"/>
  <c r="W176" i="2"/>
  <c r="T176" i="2"/>
  <c r="W175" i="2"/>
  <c r="T175" i="2"/>
  <c r="W174" i="2"/>
  <c r="T174" i="2"/>
  <c r="W173" i="2"/>
  <c r="T173" i="2"/>
  <c r="W172" i="2"/>
  <c r="T172" i="2"/>
  <c r="W171" i="2"/>
  <c r="T171" i="2"/>
  <c r="W170" i="2"/>
  <c r="T170" i="2"/>
  <c r="W169" i="2"/>
  <c r="T169" i="2"/>
  <c r="W168" i="2"/>
  <c r="T168" i="2"/>
  <c r="W167" i="2"/>
  <c r="T167" i="2"/>
  <c r="W166" i="2"/>
  <c r="T166" i="2"/>
  <c r="W165" i="2"/>
  <c r="T165" i="2"/>
  <c r="W164" i="2"/>
  <c r="T164" i="2"/>
  <c r="W163" i="2"/>
  <c r="T163" i="2"/>
  <c r="W162" i="2"/>
  <c r="T162" i="2"/>
  <c r="W161" i="2"/>
  <c r="T161" i="2"/>
  <c r="W160" i="2"/>
  <c r="T160" i="2"/>
  <c r="W159" i="2"/>
  <c r="T159" i="2"/>
  <c r="W158" i="2"/>
  <c r="T158" i="2"/>
  <c r="W157" i="2"/>
  <c r="T157" i="2"/>
  <c r="W156" i="2"/>
  <c r="T156" i="2"/>
  <c r="W155" i="2"/>
  <c r="T155" i="2"/>
  <c r="W154" i="2"/>
  <c r="T154" i="2"/>
  <c r="W153" i="2"/>
  <c r="T153" i="2"/>
  <c r="W152" i="2"/>
  <c r="T152" i="2"/>
  <c r="W151" i="2"/>
  <c r="T151" i="2"/>
  <c r="W150" i="2"/>
  <c r="T150" i="2"/>
  <c r="W149" i="2"/>
  <c r="T149" i="2"/>
  <c r="W148" i="2"/>
  <c r="T148" i="2"/>
  <c r="W147" i="2"/>
  <c r="T147" i="2"/>
  <c r="W146" i="2"/>
  <c r="T146" i="2"/>
  <c r="W145" i="2"/>
  <c r="T145" i="2"/>
  <c r="W144" i="2"/>
  <c r="T144" i="2"/>
  <c r="W143" i="2"/>
  <c r="T143" i="2"/>
  <c r="W142" i="2"/>
  <c r="T142" i="2"/>
  <c r="W141" i="2"/>
  <c r="T141" i="2"/>
  <c r="W140" i="2"/>
  <c r="T140" i="2"/>
  <c r="W139" i="2"/>
  <c r="T139" i="2"/>
  <c r="W138" i="2"/>
  <c r="T138" i="2"/>
  <c r="W137" i="2"/>
  <c r="T137" i="2"/>
  <c r="W136" i="2"/>
  <c r="T136" i="2"/>
  <c r="W135" i="2"/>
  <c r="T135" i="2"/>
  <c r="W134" i="2"/>
  <c r="T134" i="2"/>
  <c r="W133" i="2"/>
  <c r="T133" i="2"/>
  <c r="W132" i="2"/>
  <c r="T132" i="2"/>
  <c r="W131" i="2"/>
  <c r="T131" i="2"/>
  <c r="W130" i="2"/>
  <c r="T130" i="2"/>
  <c r="W129" i="2"/>
  <c r="T129" i="2"/>
  <c r="W128" i="2"/>
  <c r="T128" i="2"/>
  <c r="W127" i="2"/>
  <c r="T127" i="2"/>
  <c r="W126" i="2"/>
  <c r="T126" i="2"/>
  <c r="W125" i="2"/>
  <c r="T125" i="2"/>
  <c r="W124" i="2"/>
  <c r="T124" i="2"/>
  <c r="W123" i="2"/>
  <c r="T123" i="2"/>
  <c r="W122" i="2"/>
  <c r="T122" i="2"/>
  <c r="W121" i="2"/>
  <c r="T121" i="2"/>
  <c r="W120" i="2"/>
  <c r="T120" i="2"/>
  <c r="W119" i="2"/>
  <c r="T119" i="2"/>
  <c r="W118" i="2"/>
  <c r="T118" i="2"/>
  <c r="W117" i="2"/>
  <c r="T117" i="2"/>
  <c r="W116" i="2"/>
  <c r="T116" i="2"/>
  <c r="W115" i="2"/>
  <c r="T115" i="2"/>
  <c r="W114" i="2"/>
  <c r="T114" i="2"/>
  <c r="W113" i="2"/>
  <c r="T113" i="2"/>
  <c r="W112" i="2"/>
  <c r="T112" i="2"/>
  <c r="W111" i="2"/>
  <c r="T111" i="2"/>
  <c r="W110" i="2"/>
  <c r="T110" i="2"/>
  <c r="W109" i="2"/>
  <c r="T109" i="2"/>
  <c r="W108" i="2"/>
  <c r="T108" i="2"/>
  <c r="W107" i="2"/>
  <c r="T107" i="2"/>
  <c r="W106" i="2"/>
  <c r="T106" i="2"/>
  <c r="W105" i="2"/>
  <c r="T105" i="2"/>
  <c r="W104" i="2"/>
  <c r="T104" i="2"/>
  <c r="W103" i="2"/>
  <c r="T103" i="2"/>
  <c r="W102" i="2"/>
  <c r="T102" i="2"/>
  <c r="W101" i="2"/>
  <c r="T101" i="2"/>
  <c r="W100" i="2"/>
  <c r="T100" i="2"/>
  <c r="W99" i="2"/>
  <c r="T99" i="2"/>
  <c r="W98" i="2"/>
  <c r="T98" i="2"/>
  <c r="W97" i="2"/>
  <c r="T97" i="2"/>
  <c r="W96" i="2"/>
  <c r="T96" i="2"/>
  <c r="W95" i="2"/>
  <c r="T95" i="2"/>
  <c r="W94" i="2"/>
  <c r="T94" i="2"/>
  <c r="W93" i="2"/>
  <c r="T93" i="2"/>
  <c r="W92" i="2"/>
  <c r="T92" i="2"/>
  <c r="W91" i="2"/>
  <c r="T91" i="2"/>
  <c r="W90" i="2"/>
  <c r="T90" i="2"/>
  <c r="W89" i="2"/>
  <c r="T89" i="2"/>
  <c r="W88" i="2"/>
  <c r="T88" i="2"/>
  <c r="W87" i="2"/>
  <c r="T87" i="2"/>
  <c r="W86" i="2"/>
  <c r="T86" i="2"/>
  <c r="W85" i="2"/>
  <c r="T85" i="2"/>
  <c r="W84" i="2"/>
  <c r="T84" i="2"/>
  <c r="W83" i="2"/>
  <c r="T83" i="2"/>
  <c r="W82" i="2"/>
  <c r="T82" i="2"/>
  <c r="W81" i="2"/>
  <c r="T81" i="2"/>
  <c r="W80" i="2"/>
  <c r="T80" i="2"/>
  <c r="W79" i="2"/>
  <c r="T79" i="2"/>
  <c r="W78" i="2"/>
  <c r="T78" i="2"/>
  <c r="W77" i="2"/>
  <c r="T77" i="2"/>
  <c r="W76" i="2"/>
  <c r="T76" i="2"/>
  <c r="W75" i="2"/>
  <c r="T75" i="2"/>
  <c r="W74" i="2"/>
  <c r="T74" i="2"/>
  <c r="W73" i="2"/>
  <c r="T73" i="2"/>
  <c r="W72" i="2"/>
  <c r="T72" i="2"/>
  <c r="W71" i="2"/>
  <c r="T71" i="2"/>
  <c r="W70" i="2"/>
  <c r="T70" i="2"/>
  <c r="W69" i="2"/>
  <c r="T69" i="2"/>
  <c r="W68" i="2"/>
  <c r="T68" i="2"/>
  <c r="W67" i="2"/>
  <c r="T67" i="2"/>
  <c r="W66" i="2"/>
  <c r="T66" i="2"/>
  <c r="W65" i="2"/>
  <c r="T65" i="2"/>
  <c r="W64" i="2"/>
  <c r="T64" i="2"/>
  <c r="W63" i="2"/>
  <c r="T63" i="2"/>
  <c r="W62" i="2"/>
  <c r="T62" i="2"/>
  <c r="W61" i="2"/>
  <c r="T61" i="2"/>
  <c r="W60" i="2"/>
  <c r="T60" i="2"/>
  <c r="W59" i="2"/>
  <c r="T59" i="2"/>
  <c r="W58" i="2"/>
  <c r="T58" i="2"/>
  <c r="W57" i="2"/>
  <c r="T57" i="2"/>
  <c r="W56" i="2"/>
  <c r="T56" i="2"/>
  <c r="W55" i="2"/>
  <c r="T55" i="2"/>
  <c r="W54" i="2"/>
  <c r="T54" i="2"/>
  <c r="W53" i="2"/>
  <c r="T53" i="2"/>
  <c r="W52" i="2"/>
  <c r="T52" i="2"/>
  <c r="W51" i="2"/>
  <c r="T51" i="2"/>
  <c r="W50" i="2"/>
  <c r="T50" i="2"/>
  <c r="W49" i="2"/>
  <c r="T49" i="2"/>
  <c r="W48" i="2"/>
  <c r="T48" i="2"/>
  <c r="W47" i="2"/>
  <c r="T47" i="2"/>
  <c r="W46" i="2"/>
  <c r="T46" i="2"/>
  <c r="W45" i="2"/>
  <c r="T45" i="2"/>
  <c r="W44" i="2"/>
  <c r="T44" i="2"/>
  <c r="W43" i="2"/>
  <c r="T43" i="2"/>
  <c r="W42" i="2"/>
  <c r="T42" i="2"/>
  <c r="W41" i="2"/>
  <c r="T41" i="2"/>
  <c r="W40" i="2"/>
  <c r="T40" i="2"/>
  <c r="W39" i="2"/>
  <c r="T39" i="2"/>
  <c r="W38" i="2"/>
  <c r="T38" i="2"/>
  <c r="W37" i="2"/>
  <c r="T37" i="2"/>
  <c r="W36" i="2"/>
  <c r="T36" i="2"/>
  <c r="W35" i="2"/>
  <c r="T35" i="2"/>
  <c r="W34" i="2"/>
  <c r="T34" i="2"/>
  <c r="W33" i="2"/>
  <c r="T33" i="2"/>
  <c r="W32" i="2"/>
  <c r="T32" i="2"/>
  <c r="W31" i="2"/>
  <c r="T31" i="2"/>
  <c r="W30" i="2"/>
  <c r="T30" i="2"/>
  <c r="W29" i="2"/>
  <c r="T29" i="2"/>
  <c r="W28" i="2"/>
  <c r="T28" i="2"/>
  <c r="W27" i="2"/>
  <c r="T27" i="2"/>
  <c r="W26" i="2"/>
  <c r="T26" i="2"/>
  <c r="W25" i="2"/>
  <c r="T25" i="2"/>
  <c r="W24" i="2"/>
  <c r="T24" i="2"/>
  <c r="W23" i="2"/>
  <c r="T23" i="2"/>
  <c r="W22" i="2"/>
  <c r="T22" i="2"/>
  <c r="W21" i="2"/>
  <c r="T21" i="2"/>
  <c r="W20" i="2"/>
  <c r="T20" i="2"/>
  <c r="W19" i="2"/>
  <c r="T19" i="2"/>
  <c r="W18" i="2"/>
  <c r="T18" i="2"/>
  <c r="W17" i="2"/>
  <c r="T17" i="2"/>
  <c r="W16" i="2"/>
  <c r="T16" i="2"/>
  <c r="W15" i="2"/>
  <c r="T15" i="2"/>
  <c r="W14" i="2"/>
  <c r="T14" i="2"/>
  <c r="W13" i="2"/>
  <c r="T13" i="2"/>
  <c r="W12" i="2"/>
  <c r="T12" i="2"/>
  <c r="W11" i="2"/>
  <c r="T11" i="2"/>
  <c r="W10" i="2"/>
  <c r="T10" i="2"/>
  <c r="W9" i="2"/>
  <c r="T9" i="2"/>
  <c r="W8" i="2"/>
  <c r="T8" i="2"/>
  <c r="W7" i="2"/>
  <c r="T7" i="2"/>
  <c r="W6" i="2"/>
  <c r="T6" i="2"/>
  <c r="N3213" i="2"/>
  <c r="M3213" i="2"/>
  <c r="N3212" i="2"/>
  <c r="M3212" i="2"/>
  <c r="N3211" i="2"/>
  <c r="M3211" i="2"/>
  <c r="N3210" i="2"/>
  <c r="M3210" i="2"/>
  <c r="N3209" i="2"/>
  <c r="M3209" i="2"/>
  <c r="N3208" i="2"/>
  <c r="M3208" i="2"/>
  <c r="N3207" i="2"/>
  <c r="M3207" i="2"/>
  <c r="N3206" i="2"/>
  <c r="M3206" i="2"/>
  <c r="N3205" i="2"/>
  <c r="M3205" i="2"/>
  <c r="N3204" i="2"/>
  <c r="M3204" i="2"/>
  <c r="N3203" i="2"/>
  <c r="M3203" i="2"/>
  <c r="N3202" i="2"/>
  <c r="M3202" i="2"/>
  <c r="N3201" i="2"/>
  <c r="M3201" i="2"/>
  <c r="N3200" i="2"/>
  <c r="M3200" i="2"/>
  <c r="N3199" i="2"/>
  <c r="M3199" i="2"/>
  <c r="N3198" i="2"/>
  <c r="M3198" i="2"/>
  <c r="N3197" i="2"/>
  <c r="M3197" i="2"/>
  <c r="N3196" i="2"/>
  <c r="M3196" i="2"/>
  <c r="N3195" i="2"/>
  <c r="M3195" i="2"/>
  <c r="N3194" i="2"/>
  <c r="M3194" i="2"/>
  <c r="N3193" i="2"/>
  <c r="M3193" i="2"/>
  <c r="N3192" i="2"/>
  <c r="M3192" i="2"/>
  <c r="N3191" i="2"/>
  <c r="M3191" i="2"/>
  <c r="N3190" i="2"/>
  <c r="M3190" i="2"/>
  <c r="N3189" i="2"/>
  <c r="M3189" i="2"/>
  <c r="N3188" i="2"/>
  <c r="M3188" i="2"/>
  <c r="N3187" i="2"/>
  <c r="M3187" i="2"/>
  <c r="N3186" i="2"/>
  <c r="M3186" i="2"/>
  <c r="N3185" i="2"/>
  <c r="M3185" i="2"/>
  <c r="N3184" i="2"/>
  <c r="M3184" i="2"/>
  <c r="N3183" i="2"/>
  <c r="M3183" i="2"/>
  <c r="N3182" i="2"/>
  <c r="M3182" i="2"/>
  <c r="N3181" i="2"/>
  <c r="M3181" i="2"/>
  <c r="N3180" i="2"/>
  <c r="M3180" i="2"/>
  <c r="N3179" i="2"/>
  <c r="M3179" i="2"/>
  <c r="N3178" i="2"/>
  <c r="M3178" i="2"/>
  <c r="N3177" i="2"/>
  <c r="M3177" i="2"/>
  <c r="N3176" i="2"/>
  <c r="M3176" i="2"/>
  <c r="N3175" i="2"/>
  <c r="M3175" i="2"/>
  <c r="N3174" i="2"/>
  <c r="M3174" i="2"/>
  <c r="N3173" i="2"/>
  <c r="M3173" i="2"/>
  <c r="N3172" i="2"/>
  <c r="M3172" i="2"/>
  <c r="N3171" i="2"/>
  <c r="M3171" i="2"/>
  <c r="N3170" i="2"/>
  <c r="M3170" i="2"/>
  <c r="N3169" i="2"/>
  <c r="M3169" i="2"/>
  <c r="N3168" i="2"/>
  <c r="M3168" i="2"/>
  <c r="N3167" i="2"/>
  <c r="M3167" i="2"/>
  <c r="N3166" i="2"/>
  <c r="M3166" i="2"/>
  <c r="N3165" i="2"/>
  <c r="M3165" i="2"/>
  <c r="N3164" i="2"/>
  <c r="M3164" i="2"/>
  <c r="N3163" i="2"/>
  <c r="M3163" i="2"/>
  <c r="N3162" i="2"/>
  <c r="M3162" i="2"/>
  <c r="N3161" i="2"/>
  <c r="M3161" i="2"/>
  <c r="N3160" i="2"/>
  <c r="M3160" i="2"/>
  <c r="N3159" i="2"/>
  <c r="M3159" i="2"/>
  <c r="N3158" i="2"/>
  <c r="M3158" i="2"/>
  <c r="N3157" i="2"/>
  <c r="M3157" i="2"/>
  <c r="N3156" i="2"/>
  <c r="M3156" i="2"/>
  <c r="N3155" i="2"/>
  <c r="M3155" i="2"/>
  <c r="N3154" i="2"/>
  <c r="M3154" i="2"/>
  <c r="N3153" i="2"/>
  <c r="M3153" i="2"/>
  <c r="N3152" i="2"/>
  <c r="M3152" i="2"/>
  <c r="N3151" i="2"/>
  <c r="M3151" i="2"/>
  <c r="N3150" i="2"/>
  <c r="M3150" i="2"/>
  <c r="N3149" i="2"/>
  <c r="M3149" i="2"/>
  <c r="N3148" i="2"/>
  <c r="M3148" i="2"/>
  <c r="N3147" i="2"/>
  <c r="M3147" i="2"/>
  <c r="N3146" i="2"/>
  <c r="M3146" i="2"/>
  <c r="N3145" i="2"/>
  <c r="M3145" i="2"/>
  <c r="N3144" i="2"/>
  <c r="M3144" i="2"/>
  <c r="N3143" i="2"/>
  <c r="M3143" i="2"/>
  <c r="N3142" i="2"/>
  <c r="M3142" i="2"/>
  <c r="N3141" i="2"/>
  <c r="M3141" i="2"/>
  <c r="N3140" i="2"/>
  <c r="M3140" i="2"/>
  <c r="N3139" i="2"/>
  <c r="M3139" i="2"/>
  <c r="N3138" i="2"/>
  <c r="M3138" i="2"/>
  <c r="N3137" i="2"/>
  <c r="M3137" i="2"/>
  <c r="N3136" i="2"/>
  <c r="M3136" i="2"/>
  <c r="N3135" i="2"/>
  <c r="M3135" i="2"/>
  <c r="N3134" i="2"/>
  <c r="M3134" i="2"/>
  <c r="N3133" i="2"/>
  <c r="M3133" i="2"/>
  <c r="N3132" i="2"/>
  <c r="M3132" i="2"/>
  <c r="N3131" i="2"/>
  <c r="M3131" i="2"/>
  <c r="N3130" i="2"/>
  <c r="M3130" i="2"/>
  <c r="N3129" i="2"/>
  <c r="M3129" i="2"/>
  <c r="N3128" i="2"/>
  <c r="M3128" i="2"/>
  <c r="N3127" i="2"/>
  <c r="M3127" i="2"/>
  <c r="N3126" i="2"/>
  <c r="M3126" i="2"/>
  <c r="N3125" i="2"/>
  <c r="M3125" i="2"/>
  <c r="N3124" i="2"/>
  <c r="M3124" i="2"/>
  <c r="N3123" i="2"/>
  <c r="M3123" i="2"/>
  <c r="N3122" i="2"/>
  <c r="M3122" i="2"/>
  <c r="N3121" i="2"/>
  <c r="M3121" i="2"/>
  <c r="N3120" i="2"/>
  <c r="M3120" i="2"/>
  <c r="N3119" i="2"/>
  <c r="M3119" i="2"/>
  <c r="N3118" i="2"/>
  <c r="M3118" i="2"/>
  <c r="N3117" i="2"/>
  <c r="M3117" i="2"/>
  <c r="N3116" i="2"/>
  <c r="M3116" i="2"/>
  <c r="N3115" i="2"/>
  <c r="M3115" i="2"/>
  <c r="N3114" i="2"/>
  <c r="M3114" i="2"/>
  <c r="N3113" i="2"/>
  <c r="M3113" i="2"/>
  <c r="N3112" i="2"/>
  <c r="M3112" i="2"/>
  <c r="N3111" i="2"/>
  <c r="M3111" i="2"/>
  <c r="N3110" i="2"/>
  <c r="M3110" i="2"/>
  <c r="N3109" i="2"/>
  <c r="M3109" i="2"/>
  <c r="N3108" i="2"/>
  <c r="M3108" i="2"/>
  <c r="N3107" i="2"/>
  <c r="M3107" i="2"/>
  <c r="N3106" i="2"/>
  <c r="M3106" i="2"/>
  <c r="N3105" i="2"/>
  <c r="M3105" i="2"/>
  <c r="N3104" i="2"/>
  <c r="M3104" i="2"/>
  <c r="N3103" i="2"/>
  <c r="M3103" i="2"/>
  <c r="N3102" i="2"/>
  <c r="M3102" i="2"/>
  <c r="N3101" i="2"/>
  <c r="M3101" i="2"/>
  <c r="N3100" i="2"/>
  <c r="M3100" i="2"/>
  <c r="N3099" i="2"/>
  <c r="M3099" i="2"/>
  <c r="N3098" i="2"/>
  <c r="M3098" i="2"/>
  <c r="N3097" i="2"/>
  <c r="M3097" i="2"/>
  <c r="N3096" i="2"/>
  <c r="M3096" i="2"/>
  <c r="N3095" i="2"/>
  <c r="M3095" i="2"/>
  <c r="N3094" i="2"/>
  <c r="M3094" i="2"/>
  <c r="N3093" i="2"/>
  <c r="M3093" i="2"/>
  <c r="N3092" i="2"/>
  <c r="M3092" i="2"/>
  <c r="N3091" i="2"/>
  <c r="M3091" i="2"/>
  <c r="N3090" i="2"/>
  <c r="M3090" i="2"/>
  <c r="N3089" i="2"/>
  <c r="M3089" i="2"/>
  <c r="N3088" i="2"/>
  <c r="M3088" i="2"/>
  <c r="N3087" i="2"/>
  <c r="M3087" i="2"/>
  <c r="N3086" i="2"/>
  <c r="M3086" i="2"/>
  <c r="N3085" i="2"/>
  <c r="M3085" i="2"/>
  <c r="N3084" i="2"/>
  <c r="M3084" i="2"/>
  <c r="N3083" i="2"/>
  <c r="M3083" i="2"/>
  <c r="N3082" i="2"/>
  <c r="M3082" i="2"/>
  <c r="N3081" i="2"/>
  <c r="M3081" i="2"/>
  <c r="N3080" i="2"/>
  <c r="M3080" i="2"/>
  <c r="N3079" i="2"/>
  <c r="M3079" i="2"/>
  <c r="N3078" i="2"/>
  <c r="M3078" i="2"/>
  <c r="N3077" i="2"/>
  <c r="M3077" i="2"/>
  <c r="N3076" i="2"/>
  <c r="M3076" i="2"/>
  <c r="N3075" i="2"/>
  <c r="M3075" i="2"/>
  <c r="N3074" i="2"/>
  <c r="M3074" i="2"/>
  <c r="N3073" i="2"/>
  <c r="M3073" i="2"/>
  <c r="N3072" i="2"/>
  <c r="M3072" i="2"/>
  <c r="N3071" i="2"/>
  <c r="M3071" i="2"/>
  <c r="N3070" i="2"/>
  <c r="M3070" i="2"/>
  <c r="N3069" i="2"/>
  <c r="M3069" i="2"/>
  <c r="N3068" i="2"/>
  <c r="M3068" i="2"/>
  <c r="N3067" i="2"/>
  <c r="M3067" i="2"/>
  <c r="N3066" i="2"/>
  <c r="M3066" i="2"/>
  <c r="N3065" i="2"/>
  <c r="M3065" i="2"/>
  <c r="N3064" i="2"/>
  <c r="M3064" i="2"/>
  <c r="N3063" i="2"/>
  <c r="M3063" i="2"/>
  <c r="N3062" i="2"/>
  <c r="M3062" i="2"/>
  <c r="N3061" i="2"/>
  <c r="M3061" i="2"/>
  <c r="N3060" i="2"/>
  <c r="M3060" i="2"/>
  <c r="N3059" i="2"/>
  <c r="M3059" i="2"/>
  <c r="N3058" i="2"/>
  <c r="M3058" i="2"/>
  <c r="N3057" i="2"/>
  <c r="M3057" i="2"/>
  <c r="N3056" i="2"/>
  <c r="M3056" i="2"/>
  <c r="N3055" i="2"/>
  <c r="M3055" i="2"/>
  <c r="N3054" i="2"/>
  <c r="M3054" i="2"/>
  <c r="N3053" i="2"/>
  <c r="M3053" i="2"/>
  <c r="N3052" i="2"/>
  <c r="M3052" i="2"/>
  <c r="N3051" i="2"/>
  <c r="M3051" i="2"/>
  <c r="N3050" i="2"/>
  <c r="M3050" i="2"/>
  <c r="N3049" i="2"/>
  <c r="M3049" i="2"/>
  <c r="N3048" i="2"/>
  <c r="M3048" i="2"/>
  <c r="N3047" i="2"/>
  <c r="M3047" i="2"/>
  <c r="N3046" i="2"/>
  <c r="M3046" i="2"/>
  <c r="N3045" i="2"/>
  <c r="M3045" i="2"/>
  <c r="N3044" i="2"/>
  <c r="M3044" i="2"/>
  <c r="N3043" i="2"/>
  <c r="M3043" i="2"/>
  <c r="N3042" i="2"/>
  <c r="M3042" i="2"/>
  <c r="N3041" i="2"/>
  <c r="M3041" i="2"/>
  <c r="N3040" i="2"/>
  <c r="M3040" i="2"/>
  <c r="N3039" i="2"/>
  <c r="M3039" i="2"/>
  <c r="N3038" i="2"/>
  <c r="M3038" i="2"/>
  <c r="N3037" i="2"/>
  <c r="M3037" i="2"/>
  <c r="N3036" i="2"/>
  <c r="M3036" i="2"/>
  <c r="N3035" i="2"/>
  <c r="M3035" i="2"/>
  <c r="N3034" i="2"/>
  <c r="M3034" i="2"/>
  <c r="N3033" i="2"/>
  <c r="M3033" i="2"/>
  <c r="N3032" i="2"/>
  <c r="M3032" i="2"/>
  <c r="N3031" i="2"/>
  <c r="M3031" i="2"/>
  <c r="N3030" i="2"/>
  <c r="M3030" i="2"/>
  <c r="N3029" i="2"/>
  <c r="M3029" i="2"/>
  <c r="N3028" i="2"/>
  <c r="M3028" i="2"/>
  <c r="N3027" i="2"/>
  <c r="M3027" i="2"/>
  <c r="N3026" i="2"/>
  <c r="M3026" i="2"/>
  <c r="N3025" i="2"/>
  <c r="M3025" i="2"/>
  <c r="N3024" i="2"/>
  <c r="M3024" i="2"/>
  <c r="N3023" i="2"/>
  <c r="M3023" i="2"/>
  <c r="N3022" i="2"/>
  <c r="M3022" i="2"/>
  <c r="N3021" i="2"/>
  <c r="M3021" i="2"/>
  <c r="N3020" i="2"/>
  <c r="M3020" i="2"/>
  <c r="N3019" i="2"/>
  <c r="M3019" i="2"/>
  <c r="N3018" i="2"/>
  <c r="M3018" i="2"/>
  <c r="N3017" i="2"/>
  <c r="M3017" i="2"/>
  <c r="N3016" i="2"/>
  <c r="M3016" i="2"/>
  <c r="N3015" i="2"/>
  <c r="M3015" i="2"/>
  <c r="N3014" i="2"/>
  <c r="M3014" i="2"/>
  <c r="N3013" i="2"/>
  <c r="M3013" i="2"/>
  <c r="N3012" i="2"/>
  <c r="M3012" i="2"/>
  <c r="N3011" i="2"/>
  <c r="M3011" i="2"/>
  <c r="N3010" i="2"/>
  <c r="M3010" i="2"/>
  <c r="N3009" i="2"/>
  <c r="M3009" i="2"/>
  <c r="N3008" i="2"/>
  <c r="M3008" i="2"/>
  <c r="N3007" i="2"/>
  <c r="M3007" i="2"/>
  <c r="N3006" i="2"/>
  <c r="M3006" i="2"/>
  <c r="N3005" i="2"/>
  <c r="M3005" i="2"/>
  <c r="N3004" i="2"/>
  <c r="M3004" i="2"/>
  <c r="N3003" i="2"/>
  <c r="M3003" i="2"/>
  <c r="N3002" i="2"/>
  <c r="M3002" i="2"/>
  <c r="N3001" i="2"/>
  <c r="M3001" i="2"/>
  <c r="N3000" i="2"/>
  <c r="M3000" i="2"/>
  <c r="N2999" i="2"/>
  <c r="M2999" i="2"/>
  <c r="N2998" i="2"/>
  <c r="M2998" i="2"/>
  <c r="N2997" i="2"/>
  <c r="M2997" i="2"/>
  <c r="N2996" i="2"/>
  <c r="M2996" i="2"/>
  <c r="N2995" i="2"/>
  <c r="M2995" i="2"/>
  <c r="N2994" i="2"/>
  <c r="M2994" i="2"/>
  <c r="N2993" i="2"/>
  <c r="M2993" i="2"/>
  <c r="N2992" i="2"/>
  <c r="M2992" i="2"/>
  <c r="N2991" i="2"/>
  <c r="M2991" i="2"/>
  <c r="N2990" i="2"/>
  <c r="M2990" i="2"/>
  <c r="N2989" i="2"/>
  <c r="M2989" i="2"/>
  <c r="N2988" i="2"/>
  <c r="M2988" i="2"/>
  <c r="N2987" i="2"/>
  <c r="M2987" i="2"/>
  <c r="N2986" i="2"/>
  <c r="M2986" i="2"/>
  <c r="N2985" i="2"/>
  <c r="M2985" i="2"/>
  <c r="N2984" i="2"/>
  <c r="M2984" i="2"/>
  <c r="N2983" i="2"/>
  <c r="M2983" i="2"/>
  <c r="N2982" i="2"/>
  <c r="M2982" i="2"/>
  <c r="N2981" i="2"/>
  <c r="M2981" i="2"/>
  <c r="N2980" i="2"/>
  <c r="M2980" i="2"/>
  <c r="N2979" i="2"/>
  <c r="M2979" i="2"/>
  <c r="N2978" i="2"/>
  <c r="M2978" i="2"/>
  <c r="N2977" i="2"/>
  <c r="M2977" i="2"/>
  <c r="N2976" i="2"/>
  <c r="M2976" i="2"/>
  <c r="N2975" i="2"/>
  <c r="M2975" i="2"/>
  <c r="N2974" i="2"/>
  <c r="M2974" i="2"/>
  <c r="N2973" i="2"/>
  <c r="M2973" i="2"/>
  <c r="N2972" i="2"/>
  <c r="M2972" i="2"/>
  <c r="N2971" i="2"/>
  <c r="M2971" i="2"/>
  <c r="N2970" i="2"/>
  <c r="M2970" i="2"/>
  <c r="N2969" i="2"/>
  <c r="M2969" i="2"/>
  <c r="N2968" i="2"/>
  <c r="M2968" i="2"/>
  <c r="N2967" i="2"/>
  <c r="M2967" i="2"/>
  <c r="N2966" i="2"/>
  <c r="M2966" i="2"/>
  <c r="N2965" i="2"/>
  <c r="M2965" i="2"/>
  <c r="N2964" i="2"/>
  <c r="M2964" i="2"/>
  <c r="N2963" i="2"/>
  <c r="M2963" i="2"/>
  <c r="N2962" i="2"/>
  <c r="M2962" i="2"/>
  <c r="N2961" i="2"/>
  <c r="M2961" i="2"/>
  <c r="N2960" i="2"/>
  <c r="M2960" i="2"/>
  <c r="N2959" i="2"/>
  <c r="M2959" i="2"/>
  <c r="N2958" i="2"/>
  <c r="M2958" i="2"/>
  <c r="N2957" i="2"/>
  <c r="M2957" i="2"/>
  <c r="N2956" i="2"/>
  <c r="M2956" i="2"/>
  <c r="N2955" i="2"/>
  <c r="M2955" i="2"/>
  <c r="N2954" i="2"/>
  <c r="M2954" i="2"/>
  <c r="N2953" i="2"/>
  <c r="M2953" i="2"/>
  <c r="N2952" i="2"/>
  <c r="M2952" i="2"/>
  <c r="N2951" i="2"/>
  <c r="M2951" i="2"/>
  <c r="N2950" i="2"/>
  <c r="M2950" i="2"/>
  <c r="N2949" i="2"/>
  <c r="M2949" i="2"/>
  <c r="N2948" i="2"/>
  <c r="M2948" i="2"/>
  <c r="N2947" i="2"/>
  <c r="M2947" i="2"/>
  <c r="N2946" i="2"/>
  <c r="M2946" i="2"/>
  <c r="N2945" i="2"/>
  <c r="M2945" i="2"/>
  <c r="N2944" i="2"/>
  <c r="M2944" i="2"/>
  <c r="N2943" i="2"/>
  <c r="M2943" i="2"/>
  <c r="N2942" i="2"/>
  <c r="M2942" i="2"/>
  <c r="N2941" i="2"/>
  <c r="M2941" i="2"/>
  <c r="N2940" i="2"/>
  <c r="M2940" i="2"/>
  <c r="N2939" i="2"/>
  <c r="M2939" i="2"/>
  <c r="N2938" i="2"/>
  <c r="M2938" i="2"/>
  <c r="N2937" i="2"/>
  <c r="M2937" i="2"/>
  <c r="N2936" i="2"/>
  <c r="M2936" i="2"/>
  <c r="N2935" i="2"/>
  <c r="M2935" i="2"/>
  <c r="N2934" i="2"/>
  <c r="M2934" i="2"/>
  <c r="N2933" i="2"/>
  <c r="M2933" i="2"/>
  <c r="N2932" i="2"/>
  <c r="M2932" i="2"/>
  <c r="N2931" i="2"/>
  <c r="M2931" i="2"/>
  <c r="N2930" i="2"/>
  <c r="M2930" i="2"/>
  <c r="N2929" i="2"/>
  <c r="M2929" i="2"/>
  <c r="N2928" i="2"/>
  <c r="M2928" i="2"/>
  <c r="N2927" i="2"/>
  <c r="M2927" i="2"/>
  <c r="N2926" i="2"/>
  <c r="M2926" i="2"/>
  <c r="N2925" i="2"/>
  <c r="M2925" i="2"/>
  <c r="N2924" i="2"/>
  <c r="M2924" i="2"/>
  <c r="N2923" i="2"/>
  <c r="M2923" i="2"/>
  <c r="N2922" i="2"/>
  <c r="M2922" i="2"/>
  <c r="N2921" i="2"/>
  <c r="M2921" i="2"/>
  <c r="N2920" i="2"/>
  <c r="M2920" i="2"/>
  <c r="N2919" i="2"/>
  <c r="M2919" i="2"/>
  <c r="N2918" i="2"/>
  <c r="M2918" i="2"/>
  <c r="N2917" i="2"/>
  <c r="M2917" i="2"/>
  <c r="N2916" i="2"/>
  <c r="M2916" i="2"/>
  <c r="N2915" i="2"/>
  <c r="M2915" i="2"/>
  <c r="N2914" i="2"/>
  <c r="M2914" i="2"/>
  <c r="N2913" i="2"/>
  <c r="M2913" i="2"/>
  <c r="N2912" i="2"/>
  <c r="M2912" i="2"/>
  <c r="N2911" i="2"/>
  <c r="M2911" i="2"/>
  <c r="N2910" i="2"/>
  <c r="M2910" i="2"/>
  <c r="N2909" i="2"/>
  <c r="M2909" i="2"/>
  <c r="N2908" i="2"/>
  <c r="M2908" i="2"/>
  <c r="N2907" i="2"/>
  <c r="M2907" i="2"/>
  <c r="N2906" i="2"/>
  <c r="M2906" i="2"/>
  <c r="N2905" i="2"/>
  <c r="M2905" i="2"/>
  <c r="N2904" i="2"/>
  <c r="M2904" i="2"/>
  <c r="N2903" i="2"/>
  <c r="M2903" i="2"/>
  <c r="N2902" i="2"/>
  <c r="M2902" i="2"/>
  <c r="N2901" i="2"/>
  <c r="M2901" i="2"/>
  <c r="N2900" i="2"/>
  <c r="M2900" i="2"/>
  <c r="N2899" i="2"/>
  <c r="M2899" i="2"/>
  <c r="N2898" i="2"/>
  <c r="M2898" i="2"/>
  <c r="N2897" i="2"/>
  <c r="M2897" i="2"/>
  <c r="N2896" i="2"/>
  <c r="M2896" i="2"/>
  <c r="N2895" i="2"/>
  <c r="M2895" i="2"/>
  <c r="N2894" i="2"/>
  <c r="M2894" i="2"/>
  <c r="N2893" i="2"/>
  <c r="M2893" i="2"/>
  <c r="N2892" i="2"/>
  <c r="M2892" i="2"/>
  <c r="N2891" i="2"/>
  <c r="M2891" i="2"/>
  <c r="N2890" i="2"/>
  <c r="M2890" i="2"/>
  <c r="N2889" i="2"/>
  <c r="M2889" i="2"/>
  <c r="N2888" i="2"/>
  <c r="M2888" i="2"/>
  <c r="N2887" i="2"/>
  <c r="M2887" i="2"/>
  <c r="N2886" i="2"/>
  <c r="M2886" i="2"/>
  <c r="N2885" i="2"/>
  <c r="M2885" i="2"/>
  <c r="N2884" i="2"/>
  <c r="M2884" i="2"/>
  <c r="N2883" i="2"/>
  <c r="M2883" i="2"/>
  <c r="N2882" i="2"/>
  <c r="M2882" i="2"/>
  <c r="N2881" i="2"/>
  <c r="M2881" i="2"/>
  <c r="N2880" i="2"/>
  <c r="M2880" i="2"/>
  <c r="N2879" i="2"/>
  <c r="M2879" i="2"/>
  <c r="N2878" i="2"/>
  <c r="M2878" i="2"/>
  <c r="N2877" i="2"/>
  <c r="M2877" i="2"/>
  <c r="N2876" i="2"/>
  <c r="M2876" i="2"/>
  <c r="N2875" i="2"/>
  <c r="M2875" i="2"/>
  <c r="N2874" i="2"/>
  <c r="M2874" i="2"/>
  <c r="N2873" i="2"/>
  <c r="M2873" i="2"/>
  <c r="N2872" i="2"/>
  <c r="M2872" i="2"/>
  <c r="N2871" i="2"/>
  <c r="M2871" i="2"/>
  <c r="N2870" i="2"/>
  <c r="M2870" i="2"/>
  <c r="N2869" i="2"/>
  <c r="M2869" i="2"/>
  <c r="N2868" i="2"/>
  <c r="M2868" i="2"/>
  <c r="N2867" i="2"/>
  <c r="M2867" i="2"/>
  <c r="N2866" i="2"/>
  <c r="M2866" i="2"/>
  <c r="N2865" i="2"/>
  <c r="M2865" i="2"/>
  <c r="N2864" i="2"/>
  <c r="M2864" i="2"/>
  <c r="N2863" i="2"/>
  <c r="M2863" i="2"/>
  <c r="N2862" i="2"/>
  <c r="M2862" i="2"/>
  <c r="N2861" i="2"/>
  <c r="M2861" i="2"/>
  <c r="N2860" i="2"/>
  <c r="M2860" i="2"/>
  <c r="N2859" i="2"/>
  <c r="M2859" i="2"/>
  <c r="N2858" i="2"/>
  <c r="M2858" i="2"/>
  <c r="N2857" i="2"/>
  <c r="M2857" i="2"/>
  <c r="N2856" i="2"/>
  <c r="M2856" i="2"/>
  <c r="N2855" i="2"/>
  <c r="M2855" i="2"/>
  <c r="N2854" i="2"/>
  <c r="M2854" i="2"/>
  <c r="N2853" i="2"/>
  <c r="M2853" i="2"/>
  <c r="N2852" i="2"/>
  <c r="M2852" i="2"/>
  <c r="N2851" i="2"/>
  <c r="M2851" i="2"/>
  <c r="N2850" i="2"/>
  <c r="M2850" i="2"/>
  <c r="N2849" i="2"/>
  <c r="M2849" i="2"/>
  <c r="N2848" i="2"/>
  <c r="M2848" i="2"/>
  <c r="N2847" i="2"/>
  <c r="M2847" i="2"/>
  <c r="N2846" i="2"/>
  <c r="M2846" i="2"/>
  <c r="N2845" i="2"/>
  <c r="M2845" i="2"/>
  <c r="N2844" i="2"/>
  <c r="M2844" i="2"/>
  <c r="N2843" i="2"/>
  <c r="M2843" i="2"/>
  <c r="N2842" i="2"/>
  <c r="M2842" i="2"/>
  <c r="N2841" i="2"/>
  <c r="M2841" i="2"/>
  <c r="N2840" i="2"/>
  <c r="M2840" i="2"/>
  <c r="N2839" i="2"/>
  <c r="M2839" i="2"/>
  <c r="N2838" i="2"/>
  <c r="M2838" i="2"/>
  <c r="N2837" i="2"/>
  <c r="M2837" i="2"/>
  <c r="N2836" i="2"/>
  <c r="M2836" i="2"/>
  <c r="N2835" i="2"/>
  <c r="M2835" i="2"/>
  <c r="N2834" i="2"/>
  <c r="M2834" i="2"/>
  <c r="N2833" i="2"/>
  <c r="M2833" i="2"/>
  <c r="N2832" i="2"/>
  <c r="M2832" i="2"/>
  <c r="N2831" i="2"/>
  <c r="M2831" i="2"/>
  <c r="N2830" i="2"/>
  <c r="M2830" i="2"/>
  <c r="N2829" i="2"/>
  <c r="M2829" i="2"/>
  <c r="N2828" i="2"/>
  <c r="M2828" i="2"/>
  <c r="N2827" i="2"/>
  <c r="M2827" i="2"/>
  <c r="N2826" i="2"/>
  <c r="M2826" i="2"/>
  <c r="N2825" i="2"/>
  <c r="M2825" i="2"/>
  <c r="N2824" i="2"/>
  <c r="M2824" i="2"/>
  <c r="N2823" i="2"/>
  <c r="M2823" i="2"/>
  <c r="N2822" i="2"/>
  <c r="M2822" i="2"/>
  <c r="N2821" i="2"/>
  <c r="M2821" i="2"/>
  <c r="N2820" i="2"/>
  <c r="M2820" i="2"/>
  <c r="N2819" i="2"/>
  <c r="M2819" i="2"/>
  <c r="N2818" i="2"/>
  <c r="M2818" i="2"/>
  <c r="N2817" i="2"/>
  <c r="M2817" i="2"/>
  <c r="N2816" i="2"/>
  <c r="M2816" i="2"/>
  <c r="N2815" i="2"/>
  <c r="M2815" i="2"/>
  <c r="N2814" i="2"/>
  <c r="M2814" i="2"/>
  <c r="N2813" i="2"/>
  <c r="M2813" i="2"/>
  <c r="N2812" i="2"/>
  <c r="M2812" i="2"/>
  <c r="N2811" i="2"/>
  <c r="M2811" i="2"/>
  <c r="N2810" i="2"/>
  <c r="M2810" i="2"/>
  <c r="N2809" i="2"/>
  <c r="M2809" i="2"/>
  <c r="N2808" i="2"/>
  <c r="M2808" i="2"/>
  <c r="N2807" i="2"/>
  <c r="M2807" i="2"/>
  <c r="N2806" i="2"/>
  <c r="M2806" i="2"/>
  <c r="N2805" i="2"/>
  <c r="M2805" i="2"/>
  <c r="N2804" i="2"/>
  <c r="M2804" i="2"/>
  <c r="N2803" i="2"/>
  <c r="M2803" i="2"/>
  <c r="N2802" i="2"/>
  <c r="M2802" i="2"/>
  <c r="N2801" i="2"/>
  <c r="M2801" i="2"/>
  <c r="N2800" i="2"/>
  <c r="M2800" i="2"/>
  <c r="N2799" i="2"/>
  <c r="M2799" i="2"/>
  <c r="N2798" i="2"/>
  <c r="M2798" i="2"/>
  <c r="N2797" i="2"/>
  <c r="M2797" i="2"/>
  <c r="N2796" i="2"/>
  <c r="M2796" i="2"/>
  <c r="N2795" i="2"/>
  <c r="M2795" i="2"/>
  <c r="N2794" i="2"/>
  <c r="M2794" i="2"/>
  <c r="N2793" i="2"/>
  <c r="M2793" i="2"/>
  <c r="N2792" i="2"/>
  <c r="M2792" i="2"/>
  <c r="N2791" i="2"/>
  <c r="M2791" i="2"/>
  <c r="N2790" i="2"/>
  <c r="M2790" i="2"/>
  <c r="N2789" i="2"/>
  <c r="M2789" i="2"/>
  <c r="N2788" i="2"/>
  <c r="M2788" i="2"/>
  <c r="N2787" i="2"/>
  <c r="M2787" i="2"/>
  <c r="N2786" i="2"/>
  <c r="M2786" i="2"/>
  <c r="N2785" i="2"/>
  <c r="M2785" i="2"/>
  <c r="N2784" i="2"/>
  <c r="M2784" i="2"/>
  <c r="N2783" i="2"/>
  <c r="M2783" i="2"/>
  <c r="N2782" i="2"/>
  <c r="M2782" i="2"/>
  <c r="N2781" i="2"/>
  <c r="M2781" i="2"/>
  <c r="N2780" i="2"/>
  <c r="M2780" i="2"/>
  <c r="N2779" i="2"/>
  <c r="M2779" i="2"/>
  <c r="N2778" i="2"/>
  <c r="M2778" i="2"/>
  <c r="N2777" i="2"/>
  <c r="M2777" i="2"/>
  <c r="N2776" i="2"/>
  <c r="M2776" i="2"/>
  <c r="N2775" i="2"/>
  <c r="M2775" i="2"/>
  <c r="N2774" i="2"/>
  <c r="M2774" i="2"/>
  <c r="N2773" i="2"/>
  <c r="M2773" i="2"/>
  <c r="N2772" i="2"/>
  <c r="M2772" i="2"/>
  <c r="N2771" i="2"/>
  <c r="M2771" i="2"/>
  <c r="N2770" i="2"/>
  <c r="M2770" i="2"/>
  <c r="N2769" i="2"/>
  <c r="M2769" i="2"/>
  <c r="N2768" i="2"/>
  <c r="M2768" i="2"/>
  <c r="N2767" i="2"/>
  <c r="M2767" i="2"/>
  <c r="N2766" i="2"/>
  <c r="M2766" i="2"/>
  <c r="N2765" i="2"/>
  <c r="M2765" i="2"/>
  <c r="N2764" i="2"/>
  <c r="M2764" i="2"/>
  <c r="N2763" i="2"/>
  <c r="M2763" i="2"/>
  <c r="N2762" i="2"/>
  <c r="M2762" i="2"/>
  <c r="N2761" i="2"/>
  <c r="M2761" i="2"/>
  <c r="N2760" i="2"/>
  <c r="M2760" i="2"/>
  <c r="N2759" i="2"/>
  <c r="M2759" i="2"/>
  <c r="N2758" i="2"/>
  <c r="M2758" i="2"/>
  <c r="N2757" i="2"/>
  <c r="M2757" i="2"/>
  <c r="N2756" i="2"/>
  <c r="M2756" i="2"/>
  <c r="N2755" i="2"/>
  <c r="M2755" i="2"/>
  <c r="N2754" i="2"/>
  <c r="M2754" i="2"/>
  <c r="N2753" i="2"/>
  <c r="M2753" i="2"/>
  <c r="N2752" i="2"/>
  <c r="M2752" i="2"/>
  <c r="N2751" i="2"/>
  <c r="M2751" i="2"/>
  <c r="N2750" i="2"/>
  <c r="M2750" i="2"/>
  <c r="N2749" i="2"/>
  <c r="M2749" i="2"/>
  <c r="N2748" i="2"/>
  <c r="M2748" i="2"/>
  <c r="N2747" i="2"/>
  <c r="M2747" i="2"/>
  <c r="N2746" i="2"/>
  <c r="M2746" i="2"/>
  <c r="N2745" i="2"/>
  <c r="M2745" i="2"/>
  <c r="N2744" i="2"/>
  <c r="M2744" i="2"/>
  <c r="N2743" i="2"/>
  <c r="M2743" i="2"/>
  <c r="N2742" i="2"/>
  <c r="M2742" i="2"/>
  <c r="N2741" i="2"/>
  <c r="M2741" i="2"/>
  <c r="N2740" i="2"/>
  <c r="M2740" i="2"/>
  <c r="N2739" i="2"/>
  <c r="M2739" i="2"/>
  <c r="N2738" i="2"/>
  <c r="M2738" i="2"/>
  <c r="N2737" i="2"/>
  <c r="M2737" i="2"/>
  <c r="N2736" i="2"/>
  <c r="M2736" i="2"/>
  <c r="N2735" i="2"/>
  <c r="M2735" i="2"/>
  <c r="N2734" i="2"/>
  <c r="M2734" i="2"/>
  <c r="N2733" i="2"/>
  <c r="M2733" i="2"/>
  <c r="N2732" i="2"/>
  <c r="M2732" i="2"/>
  <c r="N2731" i="2"/>
  <c r="M2731" i="2"/>
  <c r="N2730" i="2"/>
  <c r="M2730" i="2"/>
  <c r="N2729" i="2"/>
  <c r="M2729" i="2"/>
  <c r="N2728" i="2"/>
  <c r="M2728" i="2"/>
  <c r="N2727" i="2"/>
  <c r="M2727" i="2"/>
  <c r="N2726" i="2"/>
  <c r="M2726" i="2"/>
  <c r="N2725" i="2"/>
  <c r="M2725" i="2"/>
  <c r="N2724" i="2"/>
  <c r="M2724" i="2"/>
  <c r="N2723" i="2"/>
  <c r="M2723" i="2"/>
  <c r="N2722" i="2"/>
  <c r="M2722" i="2"/>
  <c r="N2721" i="2"/>
  <c r="M2721" i="2"/>
  <c r="N2720" i="2"/>
  <c r="M2720" i="2"/>
  <c r="N2719" i="2"/>
  <c r="M2719" i="2"/>
  <c r="N2718" i="2"/>
  <c r="M2718" i="2"/>
  <c r="N2717" i="2"/>
  <c r="M2717" i="2"/>
  <c r="N2716" i="2"/>
  <c r="M2716" i="2"/>
  <c r="N2715" i="2"/>
  <c r="M2715" i="2"/>
  <c r="N2714" i="2"/>
  <c r="M2714" i="2"/>
  <c r="N2713" i="2"/>
  <c r="M2713" i="2"/>
  <c r="N2712" i="2"/>
  <c r="M2712" i="2"/>
  <c r="N2711" i="2"/>
  <c r="M2711" i="2"/>
  <c r="N2710" i="2"/>
  <c r="M2710" i="2"/>
  <c r="N2709" i="2"/>
  <c r="M2709" i="2"/>
  <c r="N2708" i="2"/>
  <c r="M2708" i="2"/>
  <c r="N2707" i="2"/>
  <c r="M2707" i="2"/>
  <c r="N2706" i="2"/>
  <c r="M2706" i="2"/>
  <c r="N2705" i="2"/>
  <c r="M2705" i="2"/>
  <c r="N2704" i="2"/>
  <c r="M2704" i="2"/>
  <c r="N2703" i="2"/>
  <c r="M2703" i="2"/>
  <c r="N2702" i="2"/>
  <c r="M2702" i="2"/>
  <c r="N2701" i="2"/>
  <c r="M2701" i="2"/>
  <c r="N2700" i="2"/>
  <c r="M2700" i="2"/>
  <c r="N2699" i="2"/>
  <c r="M2699" i="2"/>
  <c r="N2698" i="2"/>
  <c r="M2698" i="2"/>
  <c r="N2697" i="2"/>
  <c r="M2697" i="2"/>
  <c r="N2696" i="2"/>
  <c r="M2696" i="2"/>
  <c r="N2695" i="2"/>
  <c r="M2695" i="2"/>
  <c r="N2694" i="2"/>
  <c r="M2694" i="2"/>
  <c r="N2693" i="2"/>
  <c r="M2693" i="2"/>
  <c r="N2692" i="2"/>
  <c r="M2692" i="2"/>
  <c r="N2691" i="2"/>
  <c r="M2691" i="2"/>
  <c r="N2690" i="2"/>
  <c r="M2690" i="2"/>
  <c r="N2689" i="2"/>
  <c r="M2689" i="2"/>
  <c r="N2688" i="2"/>
  <c r="M2688" i="2"/>
  <c r="N2687" i="2"/>
  <c r="M2687" i="2"/>
  <c r="N2686" i="2"/>
  <c r="M2686" i="2"/>
  <c r="N2685" i="2"/>
  <c r="M2685" i="2"/>
  <c r="N2684" i="2"/>
  <c r="M2684" i="2"/>
  <c r="N2683" i="2"/>
  <c r="M2683" i="2"/>
  <c r="N2682" i="2"/>
  <c r="M2682" i="2"/>
  <c r="N2681" i="2"/>
  <c r="M2681" i="2"/>
  <c r="N2680" i="2"/>
  <c r="M2680" i="2"/>
  <c r="N2679" i="2"/>
  <c r="M2679" i="2"/>
  <c r="N2678" i="2"/>
  <c r="M2678" i="2"/>
  <c r="N2677" i="2"/>
  <c r="M2677" i="2"/>
  <c r="N2676" i="2"/>
  <c r="M2676" i="2"/>
  <c r="N2675" i="2"/>
  <c r="M2675" i="2"/>
  <c r="N2674" i="2"/>
  <c r="M2674" i="2"/>
  <c r="N2673" i="2"/>
  <c r="M2673" i="2"/>
  <c r="N2672" i="2"/>
  <c r="M2672" i="2"/>
  <c r="N2671" i="2"/>
  <c r="M2671" i="2"/>
  <c r="N2670" i="2"/>
  <c r="M2670" i="2"/>
  <c r="N2669" i="2"/>
  <c r="M2669" i="2"/>
  <c r="N2668" i="2"/>
  <c r="M2668" i="2"/>
  <c r="N2667" i="2"/>
  <c r="M2667" i="2"/>
  <c r="N2666" i="2"/>
  <c r="M2666" i="2"/>
  <c r="N2665" i="2"/>
  <c r="M2665" i="2"/>
  <c r="N2664" i="2"/>
  <c r="M2664" i="2"/>
  <c r="N2663" i="2"/>
  <c r="M2663" i="2"/>
  <c r="N2662" i="2"/>
  <c r="M2662" i="2"/>
  <c r="N2661" i="2"/>
  <c r="M2661" i="2"/>
  <c r="N2660" i="2"/>
  <c r="M2660" i="2"/>
  <c r="N2659" i="2"/>
  <c r="M2659" i="2"/>
  <c r="N2658" i="2"/>
  <c r="M2658" i="2"/>
  <c r="N2657" i="2"/>
  <c r="M2657" i="2"/>
  <c r="N2656" i="2"/>
  <c r="M2656" i="2"/>
  <c r="N2655" i="2"/>
  <c r="M2655" i="2"/>
  <c r="N2654" i="2"/>
  <c r="M2654" i="2"/>
  <c r="N2653" i="2"/>
  <c r="M2653" i="2"/>
  <c r="N2652" i="2"/>
  <c r="M2652" i="2"/>
  <c r="N2651" i="2"/>
  <c r="M2651" i="2"/>
  <c r="N2650" i="2"/>
  <c r="M2650" i="2"/>
  <c r="N2649" i="2"/>
  <c r="M2649" i="2"/>
  <c r="N2648" i="2"/>
  <c r="M2648" i="2"/>
  <c r="N2647" i="2"/>
  <c r="M2647" i="2"/>
  <c r="N2646" i="2"/>
  <c r="M2646" i="2"/>
  <c r="N2645" i="2"/>
  <c r="M2645" i="2"/>
  <c r="N2644" i="2"/>
  <c r="M2644" i="2"/>
  <c r="N2643" i="2"/>
  <c r="M2643" i="2"/>
  <c r="N2642" i="2"/>
  <c r="M2642" i="2"/>
  <c r="N2641" i="2"/>
  <c r="M2641" i="2"/>
  <c r="N2640" i="2"/>
  <c r="M2640" i="2"/>
  <c r="N2639" i="2"/>
  <c r="M2639" i="2"/>
  <c r="N2638" i="2"/>
  <c r="M2638" i="2"/>
  <c r="N2637" i="2"/>
  <c r="M2637" i="2"/>
  <c r="N2636" i="2"/>
  <c r="M2636" i="2"/>
  <c r="N2635" i="2"/>
  <c r="M2635" i="2"/>
  <c r="N2634" i="2"/>
  <c r="M2634" i="2"/>
  <c r="N2633" i="2"/>
  <c r="M2633" i="2"/>
  <c r="N2632" i="2"/>
  <c r="M2632" i="2"/>
  <c r="N2631" i="2"/>
  <c r="M2631" i="2"/>
  <c r="N2630" i="2"/>
  <c r="M2630" i="2"/>
  <c r="N2629" i="2"/>
  <c r="M2629" i="2"/>
  <c r="N2628" i="2"/>
  <c r="M2628" i="2"/>
  <c r="N2627" i="2"/>
  <c r="M2627" i="2"/>
  <c r="N2626" i="2"/>
  <c r="M2626" i="2"/>
  <c r="N2625" i="2"/>
  <c r="M2625" i="2"/>
  <c r="N2624" i="2"/>
  <c r="M2624" i="2"/>
  <c r="N2623" i="2"/>
  <c r="M2623" i="2"/>
  <c r="N2622" i="2"/>
  <c r="M2622" i="2"/>
  <c r="N2621" i="2"/>
  <c r="M2621" i="2"/>
  <c r="N2620" i="2"/>
  <c r="M2620" i="2"/>
  <c r="N2619" i="2"/>
  <c r="M2619" i="2"/>
  <c r="N2618" i="2"/>
  <c r="M2618" i="2"/>
  <c r="N2617" i="2"/>
  <c r="M2617" i="2"/>
  <c r="N2616" i="2"/>
  <c r="M2616" i="2"/>
  <c r="N2615" i="2"/>
  <c r="M2615" i="2"/>
  <c r="N2614" i="2"/>
  <c r="M2614" i="2"/>
  <c r="N2613" i="2"/>
  <c r="M2613" i="2"/>
  <c r="N2612" i="2"/>
  <c r="M2612" i="2"/>
  <c r="N2611" i="2"/>
  <c r="M2611" i="2"/>
  <c r="N2610" i="2"/>
  <c r="M2610" i="2"/>
  <c r="N2609" i="2"/>
  <c r="M2609" i="2"/>
  <c r="N2608" i="2"/>
  <c r="M2608" i="2"/>
  <c r="N2607" i="2"/>
  <c r="M2607" i="2"/>
  <c r="N2606" i="2"/>
  <c r="M2606" i="2"/>
  <c r="N2605" i="2"/>
  <c r="M2605" i="2"/>
  <c r="N2604" i="2"/>
  <c r="M2604" i="2"/>
  <c r="N2603" i="2"/>
  <c r="M2603" i="2"/>
  <c r="N2602" i="2"/>
  <c r="M2602" i="2"/>
  <c r="N2601" i="2"/>
  <c r="M2601" i="2"/>
  <c r="N2600" i="2"/>
  <c r="M2600" i="2"/>
  <c r="N2599" i="2"/>
  <c r="M2599" i="2"/>
  <c r="N2598" i="2"/>
  <c r="M2598" i="2"/>
  <c r="N2597" i="2"/>
  <c r="M2597" i="2"/>
  <c r="N2596" i="2"/>
  <c r="M2596" i="2"/>
  <c r="N2595" i="2"/>
  <c r="M2595" i="2"/>
  <c r="N2594" i="2"/>
  <c r="M2594" i="2"/>
  <c r="N2593" i="2"/>
  <c r="M2593" i="2"/>
  <c r="N2592" i="2"/>
  <c r="M2592" i="2"/>
  <c r="N2591" i="2"/>
  <c r="M2591" i="2"/>
  <c r="N2590" i="2"/>
  <c r="M2590" i="2"/>
  <c r="N2589" i="2"/>
  <c r="M2589" i="2"/>
  <c r="N2588" i="2"/>
  <c r="M2588" i="2"/>
  <c r="N2587" i="2"/>
  <c r="M2587" i="2"/>
  <c r="N2586" i="2"/>
  <c r="M2586" i="2"/>
  <c r="N2585" i="2"/>
  <c r="M2585" i="2"/>
  <c r="N2584" i="2"/>
  <c r="M2584" i="2"/>
  <c r="N2583" i="2"/>
  <c r="M2583" i="2"/>
  <c r="N2582" i="2"/>
  <c r="M2582" i="2"/>
  <c r="N2581" i="2"/>
  <c r="M2581" i="2"/>
  <c r="N2580" i="2"/>
  <c r="M2580" i="2"/>
  <c r="N2579" i="2"/>
  <c r="M2579" i="2"/>
  <c r="N2578" i="2"/>
  <c r="M2578" i="2"/>
  <c r="N2577" i="2"/>
  <c r="M2577" i="2"/>
  <c r="N2576" i="2"/>
  <c r="M2576" i="2"/>
  <c r="N2575" i="2"/>
  <c r="M2575" i="2"/>
  <c r="N2574" i="2"/>
  <c r="M2574" i="2"/>
  <c r="N2573" i="2"/>
  <c r="M2573" i="2"/>
  <c r="N2572" i="2"/>
  <c r="M2572" i="2"/>
  <c r="N2571" i="2"/>
  <c r="M2571" i="2"/>
  <c r="N2570" i="2"/>
  <c r="M2570" i="2"/>
  <c r="N2569" i="2"/>
  <c r="M2569" i="2"/>
  <c r="N2568" i="2"/>
  <c r="M2568" i="2"/>
  <c r="N2567" i="2"/>
  <c r="M2567" i="2"/>
  <c r="N2566" i="2"/>
  <c r="M2566" i="2"/>
  <c r="N2565" i="2"/>
  <c r="M2565" i="2"/>
  <c r="N2564" i="2"/>
  <c r="M2564" i="2"/>
  <c r="N2563" i="2"/>
  <c r="M2563" i="2"/>
  <c r="N2562" i="2"/>
  <c r="M2562" i="2"/>
  <c r="N2561" i="2"/>
  <c r="M2561" i="2"/>
  <c r="N2560" i="2"/>
  <c r="M2560" i="2"/>
  <c r="N2559" i="2"/>
  <c r="M2559" i="2"/>
  <c r="N2558" i="2"/>
  <c r="M2558" i="2"/>
  <c r="N2557" i="2"/>
  <c r="M2557" i="2"/>
  <c r="N2556" i="2"/>
  <c r="M2556" i="2"/>
  <c r="N2555" i="2"/>
  <c r="M2555" i="2"/>
  <c r="N2554" i="2"/>
  <c r="M2554" i="2"/>
  <c r="N2553" i="2"/>
  <c r="M2553" i="2"/>
  <c r="N2552" i="2"/>
  <c r="M2552" i="2"/>
  <c r="N2551" i="2"/>
  <c r="M2551" i="2"/>
  <c r="N2550" i="2"/>
  <c r="M2550" i="2"/>
  <c r="N2549" i="2"/>
  <c r="M2549" i="2"/>
  <c r="N2548" i="2"/>
  <c r="M2548" i="2"/>
  <c r="N2547" i="2"/>
  <c r="M2547" i="2"/>
  <c r="N2546" i="2"/>
  <c r="M2546" i="2"/>
  <c r="N2545" i="2"/>
  <c r="M2545" i="2"/>
  <c r="N2544" i="2"/>
  <c r="M2544" i="2"/>
  <c r="N2543" i="2"/>
  <c r="M2543" i="2"/>
  <c r="N2542" i="2"/>
  <c r="M2542" i="2"/>
  <c r="N2541" i="2"/>
  <c r="M2541" i="2"/>
  <c r="N2540" i="2"/>
  <c r="M2540" i="2"/>
  <c r="N2539" i="2"/>
  <c r="M2539" i="2"/>
  <c r="N2538" i="2"/>
  <c r="M2538" i="2"/>
  <c r="N2537" i="2"/>
  <c r="M2537" i="2"/>
  <c r="N2536" i="2"/>
  <c r="M2536" i="2"/>
  <c r="N2535" i="2"/>
  <c r="M2535" i="2"/>
  <c r="N2534" i="2"/>
  <c r="M2534" i="2"/>
  <c r="N2533" i="2"/>
  <c r="M2533" i="2"/>
  <c r="N2532" i="2"/>
  <c r="M2532" i="2"/>
  <c r="N2531" i="2"/>
  <c r="M2531" i="2"/>
  <c r="N2530" i="2"/>
  <c r="M2530" i="2"/>
  <c r="N2529" i="2"/>
  <c r="M2529" i="2"/>
  <c r="N2528" i="2"/>
  <c r="M2528" i="2"/>
  <c r="N2527" i="2"/>
  <c r="M2527" i="2"/>
  <c r="N2526" i="2"/>
  <c r="M2526" i="2"/>
  <c r="N2525" i="2"/>
  <c r="M2525" i="2"/>
  <c r="N2524" i="2"/>
  <c r="M2524" i="2"/>
  <c r="N2523" i="2"/>
  <c r="M2523" i="2"/>
  <c r="N2522" i="2"/>
  <c r="M2522" i="2"/>
  <c r="N2521" i="2"/>
  <c r="M2521" i="2"/>
  <c r="N2520" i="2"/>
  <c r="M2520" i="2"/>
  <c r="N2519" i="2"/>
  <c r="M2519" i="2"/>
  <c r="N2518" i="2"/>
  <c r="M2518" i="2"/>
  <c r="N2517" i="2"/>
  <c r="M2517" i="2"/>
  <c r="N2516" i="2"/>
  <c r="M2516" i="2"/>
  <c r="N2515" i="2"/>
  <c r="M2515" i="2"/>
  <c r="N2514" i="2"/>
  <c r="M2514" i="2"/>
  <c r="N2513" i="2"/>
  <c r="M2513" i="2"/>
  <c r="N2512" i="2"/>
  <c r="M2512" i="2"/>
  <c r="N2511" i="2"/>
  <c r="M2511" i="2"/>
  <c r="N2510" i="2"/>
  <c r="M2510" i="2"/>
  <c r="N2509" i="2"/>
  <c r="M2509" i="2"/>
  <c r="N2508" i="2"/>
  <c r="M2508" i="2"/>
  <c r="N2507" i="2"/>
  <c r="M2507" i="2"/>
  <c r="N2506" i="2"/>
  <c r="M2506" i="2"/>
  <c r="N2505" i="2"/>
  <c r="M2505" i="2"/>
  <c r="N2504" i="2"/>
  <c r="M2504" i="2"/>
  <c r="N2503" i="2"/>
  <c r="M2503" i="2"/>
  <c r="N2502" i="2"/>
  <c r="M2502" i="2"/>
  <c r="N2501" i="2"/>
  <c r="M2501" i="2"/>
  <c r="N2500" i="2"/>
  <c r="M2500" i="2"/>
  <c r="N2499" i="2"/>
  <c r="M2499" i="2"/>
  <c r="N2498" i="2"/>
  <c r="M2498" i="2"/>
  <c r="N2497" i="2"/>
  <c r="M2497" i="2"/>
  <c r="N2496" i="2"/>
  <c r="M2496" i="2"/>
  <c r="N2495" i="2"/>
  <c r="M2495" i="2"/>
  <c r="N2494" i="2"/>
  <c r="M2494" i="2"/>
  <c r="N2493" i="2"/>
  <c r="M2493" i="2"/>
  <c r="N2492" i="2"/>
  <c r="M2492" i="2"/>
  <c r="N2491" i="2"/>
  <c r="M2491" i="2"/>
  <c r="N2490" i="2"/>
  <c r="M2490" i="2"/>
  <c r="N2489" i="2"/>
  <c r="M2489" i="2"/>
  <c r="N2488" i="2"/>
  <c r="M2488" i="2"/>
  <c r="N2487" i="2"/>
  <c r="M2487" i="2"/>
  <c r="N2486" i="2"/>
  <c r="M2486" i="2"/>
  <c r="N2485" i="2"/>
  <c r="M2485" i="2"/>
  <c r="N2484" i="2"/>
  <c r="M2484" i="2"/>
  <c r="N2483" i="2"/>
  <c r="M2483" i="2"/>
  <c r="N2482" i="2"/>
  <c r="M2482" i="2"/>
  <c r="N2481" i="2"/>
  <c r="M2481" i="2"/>
  <c r="N2480" i="2"/>
  <c r="M2480" i="2"/>
  <c r="N2479" i="2"/>
  <c r="M2479" i="2"/>
  <c r="N2478" i="2"/>
  <c r="M2478" i="2"/>
  <c r="N2477" i="2"/>
  <c r="M2477" i="2"/>
  <c r="N2476" i="2"/>
  <c r="M2476" i="2"/>
  <c r="N2475" i="2"/>
  <c r="M2475" i="2"/>
  <c r="N2474" i="2"/>
  <c r="M2474" i="2"/>
  <c r="N2473" i="2"/>
  <c r="M2473" i="2"/>
  <c r="N2472" i="2"/>
  <c r="M2472" i="2"/>
  <c r="N2471" i="2"/>
  <c r="M2471" i="2"/>
  <c r="N2470" i="2"/>
  <c r="M2470" i="2"/>
  <c r="N2469" i="2"/>
  <c r="M2469" i="2"/>
  <c r="N2468" i="2"/>
  <c r="M2468" i="2"/>
  <c r="N2467" i="2"/>
  <c r="M2467" i="2"/>
  <c r="N2466" i="2"/>
  <c r="M2466" i="2"/>
  <c r="N2465" i="2"/>
  <c r="M2465" i="2"/>
  <c r="N2464" i="2"/>
  <c r="M2464" i="2"/>
  <c r="N2463" i="2"/>
  <c r="M2463" i="2"/>
  <c r="N2462" i="2"/>
  <c r="M2462" i="2"/>
  <c r="N2461" i="2"/>
  <c r="M2461" i="2"/>
  <c r="N2460" i="2"/>
  <c r="M2460" i="2"/>
  <c r="N2459" i="2"/>
  <c r="M2459" i="2"/>
  <c r="N2458" i="2"/>
  <c r="M2458" i="2"/>
  <c r="N2457" i="2"/>
  <c r="M2457" i="2"/>
  <c r="N2456" i="2"/>
  <c r="M2456" i="2"/>
  <c r="N2455" i="2"/>
  <c r="M2455" i="2"/>
  <c r="N2454" i="2"/>
  <c r="M2454" i="2"/>
  <c r="N2453" i="2"/>
  <c r="M2453" i="2"/>
  <c r="N2452" i="2"/>
  <c r="M2452" i="2"/>
  <c r="N2451" i="2"/>
  <c r="M2451" i="2"/>
  <c r="N2450" i="2"/>
  <c r="M2450" i="2"/>
  <c r="N2449" i="2"/>
  <c r="M2449" i="2"/>
  <c r="N2448" i="2"/>
  <c r="M2448" i="2"/>
  <c r="N2447" i="2"/>
  <c r="M2447" i="2"/>
  <c r="N2446" i="2"/>
  <c r="M2446" i="2"/>
  <c r="N2445" i="2"/>
  <c r="M2445" i="2"/>
  <c r="N2444" i="2"/>
  <c r="M2444" i="2"/>
  <c r="N2443" i="2"/>
  <c r="M2443" i="2"/>
  <c r="N2442" i="2"/>
  <c r="M2442" i="2"/>
  <c r="N2441" i="2"/>
  <c r="M2441" i="2"/>
  <c r="N2440" i="2"/>
  <c r="M2440" i="2"/>
  <c r="N2439" i="2"/>
  <c r="M2439" i="2"/>
  <c r="N2438" i="2"/>
  <c r="M2438" i="2"/>
  <c r="N2437" i="2"/>
  <c r="M2437" i="2"/>
  <c r="N2436" i="2"/>
  <c r="M2436" i="2"/>
  <c r="N2435" i="2"/>
  <c r="M2435" i="2"/>
  <c r="N2434" i="2"/>
  <c r="M2434" i="2"/>
  <c r="N2433" i="2"/>
  <c r="M2433" i="2"/>
  <c r="N2432" i="2"/>
  <c r="M2432" i="2"/>
  <c r="N2431" i="2"/>
  <c r="M2431" i="2"/>
  <c r="N2430" i="2"/>
  <c r="M2430" i="2"/>
  <c r="N2429" i="2"/>
  <c r="M2429" i="2"/>
  <c r="N2428" i="2"/>
  <c r="M2428" i="2"/>
  <c r="N2427" i="2"/>
  <c r="M2427" i="2"/>
  <c r="N2426" i="2"/>
  <c r="M2426" i="2"/>
  <c r="N2425" i="2"/>
  <c r="M2425" i="2"/>
  <c r="N2424" i="2"/>
  <c r="M2424" i="2"/>
  <c r="N2423" i="2"/>
  <c r="M2423" i="2"/>
  <c r="N2422" i="2"/>
  <c r="M2422" i="2"/>
  <c r="N2421" i="2"/>
  <c r="M2421" i="2"/>
  <c r="N2420" i="2"/>
  <c r="M2420" i="2"/>
  <c r="N2419" i="2"/>
  <c r="M2419" i="2"/>
  <c r="N2418" i="2"/>
  <c r="M2418" i="2"/>
  <c r="N2417" i="2"/>
  <c r="M2417" i="2"/>
  <c r="N2416" i="2"/>
  <c r="M2416" i="2"/>
  <c r="N2415" i="2"/>
  <c r="M2415" i="2"/>
  <c r="N2414" i="2"/>
  <c r="M2414" i="2"/>
  <c r="N2413" i="2"/>
  <c r="M2413" i="2"/>
  <c r="N2412" i="2"/>
  <c r="M2412" i="2"/>
  <c r="N2411" i="2"/>
  <c r="M2411" i="2"/>
  <c r="N2410" i="2"/>
  <c r="M2410" i="2"/>
  <c r="N2409" i="2"/>
  <c r="M2409" i="2"/>
  <c r="N2408" i="2"/>
  <c r="M2408" i="2"/>
  <c r="N2407" i="2"/>
  <c r="M2407" i="2"/>
  <c r="N2406" i="2"/>
  <c r="M2406" i="2"/>
  <c r="N2405" i="2"/>
  <c r="M2405" i="2"/>
  <c r="N2404" i="2"/>
  <c r="M2404" i="2"/>
  <c r="N2403" i="2"/>
  <c r="M2403" i="2"/>
  <c r="N2402" i="2"/>
  <c r="M2402" i="2"/>
  <c r="N2401" i="2"/>
  <c r="M2401" i="2"/>
  <c r="N2400" i="2"/>
  <c r="M2400" i="2"/>
  <c r="N2399" i="2"/>
  <c r="M2399" i="2"/>
  <c r="N2398" i="2"/>
  <c r="M2398" i="2"/>
  <c r="N2397" i="2"/>
  <c r="M2397" i="2"/>
  <c r="N2396" i="2"/>
  <c r="M2396" i="2"/>
  <c r="N2395" i="2"/>
  <c r="M2395" i="2"/>
  <c r="N2394" i="2"/>
  <c r="M2394" i="2"/>
  <c r="N2393" i="2"/>
  <c r="M2393" i="2"/>
  <c r="N2392" i="2"/>
  <c r="M2392" i="2"/>
  <c r="N2391" i="2"/>
  <c r="M2391" i="2"/>
  <c r="N2390" i="2"/>
  <c r="M2390" i="2"/>
  <c r="N2389" i="2"/>
  <c r="M2389" i="2"/>
  <c r="N2388" i="2"/>
  <c r="M2388" i="2"/>
  <c r="N2387" i="2"/>
  <c r="M2387" i="2"/>
  <c r="N2386" i="2"/>
  <c r="M2386" i="2"/>
  <c r="N2385" i="2"/>
  <c r="M2385" i="2"/>
  <c r="N2384" i="2"/>
  <c r="M2384" i="2"/>
  <c r="N2383" i="2"/>
  <c r="M2383" i="2"/>
  <c r="N2382" i="2"/>
  <c r="M2382" i="2"/>
  <c r="N2381" i="2"/>
  <c r="M2381" i="2"/>
  <c r="N2380" i="2"/>
  <c r="M2380" i="2"/>
  <c r="N2379" i="2"/>
  <c r="M2379" i="2"/>
  <c r="N2378" i="2"/>
  <c r="M2378" i="2"/>
  <c r="N2377" i="2"/>
  <c r="M2377" i="2"/>
  <c r="N2376" i="2"/>
  <c r="M2376" i="2"/>
  <c r="N2375" i="2"/>
  <c r="M2375" i="2"/>
  <c r="N2374" i="2"/>
  <c r="M2374" i="2"/>
  <c r="N2373" i="2"/>
  <c r="M2373" i="2"/>
  <c r="N2372" i="2"/>
  <c r="M2372" i="2"/>
  <c r="N2371" i="2"/>
  <c r="M2371" i="2"/>
  <c r="N2370" i="2"/>
  <c r="M2370" i="2"/>
  <c r="N2369" i="2"/>
  <c r="M2369" i="2"/>
  <c r="N2368" i="2"/>
  <c r="M2368" i="2"/>
  <c r="N2367" i="2"/>
  <c r="M2367" i="2"/>
  <c r="N2366" i="2"/>
  <c r="M2366" i="2"/>
  <c r="N2365" i="2"/>
  <c r="M2365" i="2"/>
  <c r="N2364" i="2"/>
  <c r="M2364" i="2"/>
  <c r="N2363" i="2"/>
  <c r="M2363" i="2"/>
  <c r="N2362" i="2"/>
  <c r="M2362" i="2"/>
  <c r="N2361" i="2"/>
  <c r="M2361" i="2"/>
  <c r="N2360" i="2"/>
  <c r="M2360" i="2"/>
  <c r="N2359" i="2"/>
  <c r="M2359" i="2"/>
  <c r="N2358" i="2"/>
  <c r="M2358" i="2"/>
  <c r="N2357" i="2"/>
  <c r="M2357" i="2"/>
  <c r="N2356" i="2"/>
  <c r="M2356" i="2"/>
  <c r="N2355" i="2"/>
  <c r="M2355" i="2"/>
  <c r="N2354" i="2"/>
  <c r="M2354" i="2"/>
  <c r="N2353" i="2"/>
  <c r="M2353" i="2"/>
  <c r="N2352" i="2"/>
  <c r="M2352" i="2"/>
  <c r="N2351" i="2"/>
  <c r="M2351" i="2"/>
  <c r="N2350" i="2"/>
  <c r="M2350" i="2"/>
  <c r="N2349" i="2"/>
  <c r="M2349" i="2"/>
  <c r="N2348" i="2"/>
  <c r="M2348" i="2"/>
  <c r="N2347" i="2"/>
  <c r="M2347" i="2"/>
  <c r="N2346" i="2"/>
  <c r="M2346" i="2"/>
  <c r="N2345" i="2"/>
  <c r="M2345" i="2"/>
  <c r="N2344" i="2"/>
  <c r="M2344" i="2"/>
  <c r="N2343" i="2"/>
  <c r="M2343" i="2"/>
  <c r="N2342" i="2"/>
  <c r="M2342" i="2"/>
  <c r="N2341" i="2"/>
  <c r="M2341" i="2"/>
  <c r="N2340" i="2"/>
  <c r="M2340" i="2"/>
  <c r="N2339" i="2"/>
  <c r="M2339" i="2"/>
  <c r="N2338" i="2"/>
  <c r="M2338" i="2"/>
  <c r="N2337" i="2"/>
  <c r="M2337" i="2"/>
  <c r="N2336" i="2"/>
  <c r="M2336" i="2"/>
  <c r="N2335" i="2"/>
  <c r="M2335" i="2"/>
  <c r="N2334" i="2"/>
  <c r="M2334" i="2"/>
  <c r="N2333" i="2"/>
  <c r="M2333" i="2"/>
  <c r="N2332" i="2"/>
  <c r="M2332" i="2"/>
  <c r="N2331" i="2"/>
  <c r="M2331" i="2"/>
  <c r="N2330" i="2"/>
  <c r="M2330" i="2"/>
  <c r="N2329" i="2"/>
  <c r="M2329" i="2"/>
  <c r="N2328" i="2"/>
  <c r="M2328" i="2"/>
  <c r="N2327" i="2"/>
  <c r="M2327" i="2"/>
  <c r="N2326" i="2"/>
  <c r="M2326" i="2"/>
  <c r="N2325" i="2"/>
  <c r="M2325" i="2"/>
  <c r="N2324" i="2"/>
  <c r="M2324" i="2"/>
  <c r="N2323" i="2"/>
  <c r="M2323" i="2"/>
  <c r="N2322" i="2"/>
  <c r="M2322" i="2"/>
  <c r="N2321" i="2"/>
  <c r="M2321" i="2"/>
  <c r="N2320" i="2"/>
  <c r="M2320" i="2"/>
  <c r="N2319" i="2"/>
  <c r="M2319" i="2"/>
  <c r="N2318" i="2"/>
  <c r="M2318" i="2"/>
  <c r="N2317" i="2"/>
  <c r="M2317" i="2"/>
  <c r="N2316" i="2"/>
  <c r="M2316" i="2"/>
  <c r="N2315" i="2"/>
  <c r="M2315" i="2"/>
  <c r="N2314" i="2"/>
  <c r="M2314" i="2"/>
  <c r="N2313" i="2"/>
  <c r="M2313" i="2"/>
  <c r="N2312" i="2"/>
  <c r="M2312" i="2"/>
  <c r="N2311" i="2"/>
  <c r="M2311" i="2"/>
  <c r="N2310" i="2"/>
  <c r="M2310" i="2"/>
  <c r="N2309" i="2"/>
  <c r="M2309" i="2"/>
  <c r="N2308" i="2"/>
  <c r="M2308" i="2"/>
  <c r="N2307" i="2"/>
  <c r="M2307" i="2"/>
  <c r="N2306" i="2"/>
  <c r="M2306" i="2"/>
  <c r="N2305" i="2"/>
  <c r="M2305" i="2"/>
  <c r="N2304" i="2"/>
  <c r="M2304" i="2"/>
  <c r="N2303" i="2"/>
  <c r="M2303" i="2"/>
  <c r="N2302" i="2"/>
  <c r="M2302" i="2"/>
  <c r="N2301" i="2"/>
  <c r="M2301" i="2"/>
  <c r="N2300" i="2"/>
  <c r="M2300" i="2"/>
  <c r="N2299" i="2"/>
  <c r="M2299" i="2"/>
  <c r="N2298" i="2"/>
  <c r="M2298" i="2"/>
  <c r="N2297" i="2"/>
  <c r="M2297" i="2"/>
  <c r="N2296" i="2"/>
  <c r="M2296" i="2"/>
  <c r="N2295" i="2"/>
  <c r="M2295" i="2"/>
  <c r="N2294" i="2"/>
  <c r="M2294" i="2"/>
  <c r="N2293" i="2"/>
  <c r="M2293" i="2"/>
  <c r="N2292" i="2"/>
  <c r="M2292" i="2"/>
  <c r="N2291" i="2"/>
  <c r="M2291" i="2"/>
  <c r="N2290" i="2"/>
  <c r="M2290" i="2"/>
  <c r="N2289" i="2"/>
  <c r="M2289" i="2"/>
  <c r="N2288" i="2"/>
  <c r="M2288" i="2"/>
  <c r="N2287" i="2"/>
  <c r="M2287" i="2"/>
  <c r="N2286" i="2"/>
  <c r="M2286" i="2"/>
  <c r="N2285" i="2"/>
  <c r="M2285" i="2"/>
  <c r="N2284" i="2"/>
  <c r="M2284" i="2"/>
  <c r="N2283" i="2"/>
  <c r="M2283" i="2"/>
  <c r="N2282" i="2"/>
  <c r="M2282" i="2"/>
  <c r="N2281" i="2"/>
  <c r="M2281" i="2"/>
  <c r="N2280" i="2"/>
  <c r="M2280" i="2"/>
  <c r="N2279" i="2"/>
  <c r="M2279" i="2"/>
  <c r="N2278" i="2"/>
  <c r="M2278" i="2"/>
  <c r="N2277" i="2"/>
  <c r="M2277" i="2"/>
  <c r="N2276" i="2"/>
  <c r="M2276" i="2"/>
  <c r="N2275" i="2"/>
  <c r="M2275" i="2"/>
  <c r="N2274" i="2"/>
  <c r="M2274" i="2"/>
  <c r="N2273" i="2"/>
  <c r="M2273" i="2"/>
  <c r="N2272" i="2"/>
  <c r="M2272" i="2"/>
  <c r="N2271" i="2"/>
  <c r="M2271" i="2"/>
  <c r="N2270" i="2"/>
  <c r="M2270" i="2"/>
  <c r="N2269" i="2"/>
  <c r="M2269" i="2"/>
  <c r="N2268" i="2"/>
  <c r="M2268" i="2"/>
  <c r="N2267" i="2"/>
  <c r="M2267" i="2"/>
  <c r="N2266" i="2"/>
  <c r="M2266" i="2"/>
  <c r="N2265" i="2"/>
  <c r="M2265" i="2"/>
  <c r="N2264" i="2"/>
  <c r="M2264" i="2"/>
  <c r="N2263" i="2"/>
  <c r="M2263" i="2"/>
  <c r="N2262" i="2"/>
  <c r="M2262" i="2"/>
  <c r="N2261" i="2"/>
  <c r="M2261" i="2"/>
  <c r="N2260" i="2"/>
  <c r="M2260" i="2"/>
  <c r="N2259" i="2"/>
  <c r="M2259" i="2"/>
  <c r="N2258" i="2"/>
  <c r="M2258" i="2"/>
  <c r="N2257" i="2"/>
  <c r="M2257" i="2"/>
  <c r="N2256" i="2"/>
  <c r="M2256" i="2"/>
  <c r="N2255" i="2"/>
  <c r="M2255" i="2"/>
  <c r="N2254" i="2"/>
  <c r="M2254" i="2"/>
  <c r="N2253" i="2"/>
  <c r="M2253" i="2"/>
  <c r="N2252" i="2"/>
  <c r="M2252" i="2"/>
  <c r="N2251" i="2"/>
  <c r="M2251" i="2"/>
  <c r="N2250" i="2"/>
  <c r="M2250" i="2"/>
  <c r="N2249" i="2"/>
  <c r="M2249" i="2"/>
  <c r="N2248" i="2"/>
  <c r="M2248" i="2"/>
  <c r="N2247" i="2"/>
  <c r="M2247" i="2"/>
  <c r="N2246" i="2"/>
  <c r="M2246" i="2"/>
  <c r="N2245" i="2"/>
  <c r="M2245" i="2"/>
  <c r="N2244" i="2"/>
  <c r="M2244" i="2"/>
  <c r="N2243" i="2"/>
  <c r="M2243" i="2"/>
  <c r="N2242" i="2"/>
  <c r="M2242" i="2"/>
  <c r="N2241" i="2"/>
  <c r="M2241" i="2"/>
  <c r="N2240" i="2"/>
  <c r="M2240" i="2"/>
  <c r="N2239" i="2"/>
  <c r="M2239" i="2"/>
  <c r="N2238" i="2"/>
  <c r="M2238" i="2"/>
  <c r="N2237" i="2"/>
  <c r="M2237" i="2"/>
  <c r="N2236" i="2"/>
  <c r="M2236" i="2"/>
  <c r="N2235" i="2"/>
  <c r="M2235" i="2"/>
  <c r="N2234" i="2"/>
  <c r="M2234" i="2"/>
  <c r="N2233" i="2"/>
  <c r="M2233" i="2"/>
  <c r="N2232" i="2"/>
  <c r="M2232" i="2"/>
  <c r="N2231" i="2"/>
  <c r="M2231" i="2"/>
  <c r="N2230" i="2"/>
  <c r="M2230" i="2"/>
  <c r="N2229" i="2"/>
  <c r="M2229" i="2"/>
  <c r="N2228" i="2"/>
  <c r="M2228" i="2"/>
  <c r="N2227" i="2"/>
  <c r="M2227" i="2"/>
  <c r="N2226" i="2"/>
  <c r="M2226" i="2"/>
  <c r="N2225" i="2"/>
  <c r="M2225" i="2"/>
  <c r="N2224" i="2"/>
  <c r="M2224" i="2"/>
  <c r="N2223" i="2"/>
  <c r="M2223" i="2"/>
  <c r="N2222" i="2"/>
  <c r="M2222" i="2"/>
  <c r="N2221" i="2"/>
  <c r="M2221" i="2"/>
  <c r="N2220" i="2"/>
  <c r="M2220" i="2"/>
  <c r="N2219" i="2"/>
  <c r="M2219" i="2"/>
  <c r="N2218" i="2"/>
  <c r="M2218" i="2"/>
  <c r="N2217" i="2"/>
  <c r="M2217" i="2"/>
  <c r="N2216" i="2"/>
  <c r="M2216" i="2"/>
  <c r="N2215" i="2"/>
  <c r="M2215" i="2"/>
  <c r="N2214" i="2"/>
  <c r="M2214" i="2"/>
  <c r="N2213" i="2"/>
  <c r="M2213" i="2"/>
  <c r="N2212" i="2"/>
  <c r="M2212" i="2"/>
  <c r="N2211" i="2"/>
  <c r="M2211" i="2"/>
  <c r="N2210" i="2"/>
  <c r="M2210" i="2"/>
  <c r="N2209" i="2"/>
  <c r="M2209" i="2"/>
  <c r="N2208" i="2"/>
  <c r="M2208" i="2"/>
  <c r="N2207" i="2"/>
  <c r="M2207" i="2"/>
  <c r="N2206" i="2"/>
  <c r="M2206" i="2"/>
  <c r="N2205" i="2"/>
  <c r="M2205" i="2"/>
  <c r="N2204" i="2"/>
  <c r="M2204" i="2"/>
  <c r="N2203" i="2"/>
  <c r="M2203" i="2"/>
  <c r="N2202" i="2"/>
  <c r="M2202" i="2"/>
  <c r="N2201" i="2"/>
  <c r="M2201" i="2"/>
  <c r="N2200" i="2"/>
  <c r="M2200" i="2"/>
  <c r="N2199" i="2"/>
  <c r="M2199" i="2"/>
  <c r="N2198" i="2"/>
  <c r="M2198" i="2"/>
  <c r="N2197" i="2"/>
  <c r="M2197" i="2"/>
  <c r="N2196" i="2"/>
  <c r="M2196" i="2"/>
  <c r="N2195" i="2"/>
  <c r="M2195" i="2"/>
  <c r="N2194" i="2"/>
  <c r="M2194" i="2"/>
  <c r="N2193" i="2"/>
  <c r="M2193" i="2"/>
  <c r="N2192" i="2"/>
  <c r="M2192" i="2"/>
  <c r="N2191" i="2"/>
  <c r="M2191" i="2"/>
  <c r="N2190" i="2"/>
  <c r="M2190" i="2"/>
  <c r="N2189" i="2"/>
  <c r="M2189" i="2"/>
  <c r="N2188" i="2"/>
  <c r="M2188" i="2"/>
  <c r="N2187" i="2"/>
  <c r="M2187" i="2"/>
  <c r="N2186" i="2"/>
  <c r="M2186" i="2"/>
  <c r="N2185" i="2"/>
  <c r="M2185" i="2"/>
  <c r="N2184" i="2"/>
  <c r="M2184" i="2"/>
  <c r="N2183" i="2"/>
  <c r="M2183" i="2"/>
  <c r="N2182" i="2"/>
  <c r="M2182" i="2"/>
  <c r="N2181" i="2"/>
  <c r="M2181" i="2"/>
  <c r="N2180" i="2"/>
  <c r="M2180" i="2"/>
  <c r="N2179" i="2"/>
  <c r="M2179" i="2"/>
  <c r="N2178" i="2"/>
  <c r="M2178" i="2"/>
  <c r="N2177" i="2"/>
  <c r="M2177" i="2"/>
  <c r="N2176" i="2"/>
  <c r="M2176" i="2"/>
  <c r="N2175" i="2"/>
  <c r="M2175" i="2"/>
  <c r="N2174" i="2"/>
  <c r="M2174" i="2"/>
  <c r="N2173" i="2"/>
  <c r="M2173" i="2"/>
  <c r="N2172" i="2"/>
  <c r="M2172" i="2"/>
  <c r="N2171" i="2"/>
  <c r="M2171" i="2"/>
  <c r="N2170" i="2"/>
  <c r="M2170" i="2"/>
  <c r="N2169" i="2"/>
  <c r="M2169" i="2"/>
  <c r="N2168" i="2"/>
  <c r="M2168" i="2"/>
  <c r="N2167" i="2"/>
  <c r="M2167" i="2"/>
  <c r="N2166" i="2"/>
  <c r="M2166" i="2"/>
  <c r="N2165" i="2"/>
  <c r="M2165" i="2"/>
  <c r="N2164" i="2"/>
  <c r="M2164" i="2"/>
  <c r="N2163" i="2"/>
  <c r="M2163" i="2"/>
  <c r="N2162" i="2"/>
  <c r="M2162" i="2"/>
  <c r="N2161" i="2"/>
  <c r="M2161" i="2"/>
  <c r="N2160" i="2"/>
  <c r="M2160" i="2"/>
  <c r="N2159" i="2"/>
  <c r="M2159" i="2"/>
  <c r="N2158" i="2"/>
  <c r="M2158" i="2"/>
  <c r="N2157" i="2"/>
  <c r="M2157" i="2"/>
  <c r="N2156" i="2"/>
  <c r="M2156" i="2"/>
  <c r="N2155" i="2"/>
  <c r="M2155" i="2"/>
  <c r="N2154" i="2"/>
  <c r="M2154" i="2"/>
  <c r="N2153" i="2"/>
  <c r="M2153" i="2"/>
  <c r="N2152" i="2"/>
  <c r="M2152" i="2"/>
  <c r="N2151" i="2"/>
  <c r="M2151" i="2"/>
  <c r="N2150" i="2"/>
  <c r="M2150" i="2"/>
  <c r="N2149" i="2"/>
  <c r="M2149" i="2"/>
  <c r="N2148" i="2"/>
  <c r="M2148" i="2"/>
  <c r="N2147" i="2"/>
  <c r="M2147" i="2"/>
  <c r="N2146" i="2"/>
  <c r="M2146" i="2"/>
  <c r="N2145" i="2"/>
  <c r="M2145" i="2"/>
  <c r="N2144" i="2"/>
  <c r="M2144" i="2"/>
  <c r="N2143" i="2"/>
  <c r="M2143" i="2"/>
  <c r="N2142" i="2"/>
  <c r="M2142" i="2"/>
  <c r="N2141" i="2"/>
  <c r="M2141" i="2"/>
  <c r="N2140" i="2"/>
  <c r="M2140" i="2"/>
  <c r="N2139" i="2"/>
  <c r="M2139" i="2"/>
  <c r="N2138" i="2"/>
  <c r="M2138" i="2"/>
  <c r="N2137" i="2"/>
  <c r="M2137" i="2"/>
  <c r="N2136" i="2"/>
  <c r="M2136" i="2"/>
  <c r="N2135" i="2"/>
  <c r="M2135" i="2"/>
  <c r="N2134" i="2"/>
  <c r="M2134" i="2"/>
  <c r="N2133" i="2"/>
  <c r="M2133" i="2"/>
  <c r="N2132" i="2"/>
  <c r="M2132" i="2"/>
  <c r="N2131" i="2"/>
  <c r="M2131" i="2"/>
  <c r="N2130" i="2"/>
  <c r="M2130" i="2"/>
  <c r="N2129" i="2"/>
  <c r="M2129" i="2"/>
  <c r="N2128" i="2"/>
  <c r="M2128" i="2"/>
  <c r="N2127" i="2"/>
  <c r="M2127" i="2"/>
  <c r="N2126" i="2"/>
  <c r="M2126" i="2"/>
  <c r="N2125" i="2"/>
  <c r="M2125" i="2"/>
  <c r="N2124" i="2"/>
  <c r="M2124" i="2"/>
  <c r="N2123" i="2"/>
  <c r="M2123" i="2"/>
  <c r="N2122" i="2"/>
  <c r="M2122" i="2"/>
  <c r="N2121" i="2"/>
  <c r="M2121" i="2"/>
  <c r="N2120" i="2"/>
  <c r="M2120" i="2"/>
  <c r="N2119" i="2"/>
  <c r="M2119" i="2"/>
  <c r="N2118" i="2"/>
  <c r="M2118" i="2"/>
  <c r="N2117" i="2"/>
  <c r="M2117" i="2"/>
  <c r="N2116" i="2"/>
  <c r="M2116" i="2"/>
  <c r="N2115" i="2"/>
  <c r="M2115" i="2"/>
  <c r="N2114" i="2"/>
  <c r="M2114" i="2"/>
  <c r="N2113" i="2"/>
  <c r="M2113" i="2"/>
  <c r="N2112" i="2"/>
  <c r="M2112" i="2"/>
  <c r="N2111" i="2"/>
  <c r="M2111" i="2"/>
  <c r="N2110" i="2"/>
  <c r="M2110" i="2"/>
  <c r="N2109" i="2"/>
  <c r="M2109" i="2"/>
  <c r="N2108" i="2"/>
  <c r="M2108" i="2"/>
  <c r="N2107" i="2"/>
  <c r="M2107" i="2"/>
  <c r="N2106" i="2"/>
  <c r="M2106" i="2"/>
  <c r="N2105" i="2"/>
  <c r="M2105" i="2"/>
  <c r="N2104" i="2"/>
  <c r="M2104" i="2"/>
  <c r="N2103" i="2"/>
  <c r="M2103" i="2"/>
  <c r="N2102" i="2"/>
  <c r="M2102" i="2"/>
  <c r="N2101" i="2"/>
  <c r="M2101" i="2"/>
  <c r="N2100" i="2"/>
  <c r="M2100" i="2"/>
  <c r="N2099" i="2"/>
  <c r="M2099" i="2"/>
  <c r="N2098" i="2"/>
  <c r="M2098" i="2"/>
  <c r="N2097" i="2"/>
  <c r="M2097" i="2"/>
  <c r="N2096" i="2"/>
  <c r="M2096" i="2"/>
  <c r="N2095" i="2"/>
  <c r="M2095" i="2"/>
  <c r="N2094" i="2"/>
  <c r="M2094" i="2"/>
  <c r="N2093" i="2"/>
  <c r="M2093" i="2"/>
  <c r="N2092" i="2"/>
  <c r="M2092" i="2"/>
  <c r="N2091" i="2"/>
  <c r="M2091" i="2"/>
  <c r="N2090" i="2"/>
  <c r="M2090" i="2"/>
  <c r="N2089" i="2"/>
  <c r="M2089" i="2"/>
  <c r="N2088" i="2"/>
  <c r="M2088" i="2"/>
  <c r="N2087" i="2"/>
  <c r="M2087" i="2"/>
  <c r="N2086" i="2"/>
  <c r="M2086" i="2"/>
  <c r="N2085" i="2"/>
  <c r="M2085" i="2"/>
  <c r="N2084" i="2"/>
  <c r="M2084" i="2"/>
  <c r="N2083" i="2"/>
  <c r="M2083" i="2"/>
  <c r="N2082" i="2"/>
  <c r="M2082" i="2"/>
  <c r="N2081" i="2"/>
  <c r="M2081" i="2"/>
  <c r="N2080" i="2"/>
  <c r="M2080" i="2"/>
  <c r="N2079" i="2"/>
  <c r="M2079" i="2"/>
  <c r="N2078" i="2"/>
  <c r="M2078" i="2"/>
  <c r="N2077" i="2"/>
  <c r="M2077" i="2"/>
  <c r="N2076" i="2"/>
  <c r="M2076" i="2"/>
  <c r="N2075" i="2"/>
  <c r="M2075" i="2"/>
  <c r="N2074" i="2"/>
  <c r="M2074" i="2"/>
  <c r="N2073" i="2"/>
  <c r="M2073" i="2"/>
  <c r="N2072" i="2"/>
  <c r="M2072" i="2"/>
  <c r="N2071" i="2"/>
  <c r="M2071" i="2"/>
  <c r="N2070" i="2"/>
  <c r="M2070" i="2"/>
  <c r="N2069" i="2"/>
  <c r="M2069" i="2"/>
  <c r="N2068" i="2"/>
  <c r="M2068" i="2"/>
  <c r="N2067" i="2"/>
  <c r="M2067" i="2"/>
  <c r="N2066" i="2"/>
  <c r="M2066" i="2"/>
  <c r="N2065" i="2"/>
  <c r="M2065" i="2"/>
  <c r="N2064" i="2"/>
  <c r="M2064" i="2"/>
  <c r="N2063" i="2"/>
  <c r="M2063" i="2"/>
  <c r="N2062" i="2"/>
  <c r="M2062" i="2"/>
  <c r="N2061" i="2"/>
  <c r="M2061" i="2"/>
  <c r="N2060" i="2"/>
  <c r="M2060" i="2"/>
  <c r="N2059" i="2"/>
  <c r="M2059" i="2"/>
  <c r="N2058" i="2"/>
  <c r="M2058" i="2"/>
  <c r="N2057" i="2"/>
  <c r="M2057" i="2"/>
  <c r="N2056" i="2"/>
  <c r="M2056" i="2"/>
  <c r="N2055" i="2"/>
  <c r="M2055" i="2"/>
  <c r="N2054" i="2"/>
  <c r="M2054" i="2"/>
  <c r="N2053" i="2"/>
  <c r="M2053" i="2"/>
  <c r="N2052" i="2"/>
  <c r="M2052" i="2"/>
  <c r="N2051" i="2"/>
  <c r="M2051" i="2"/>
  <c r="N2050" i="2"/>
  <c r="M2050" i="2"/>
  <c r="N2049" i="2"/>
  <c r="M2049" i="2"/>
  <c r="N2048" i="2"/>
  <c r="M2048" i="2"/>
  <c r="N2047" i="2"/>
  <c r="M2047" i="2"/>
  <c r="N2046" i="2"/>
  <c r="M2046" i="2"/>
  <c r="N2045" i="2"/>
  <c r="M2045" i="2"/>
  <c r="N2044" i="2"/>
  <c r="M2044" i="2"/>
  <c r="N2043" i="2"/>
  <c r="M2043" i="2"/>
  <c r="N2042" i="2"/>
  <c r="M2042" i="2"/>
  <c r="N2041" i="2"/>
  <c r="M2041" i="2"/>
  <c r="N2040" i="2"/>
  <c r="M2040" i="2"/>
  <c r="N2039" i="2"/>
  <c r="M2039" i="2"/>
  <c r="N2038" i="2"/>
  <c r="M2038" i="2"/>
  <c r="N2037" i="2"/>
  <c r="M2037" i="2"/>
  <c r="N2036" i="2"/>
  <c r="M2036" i="2"/>
  <c r="N2035" i="2"/>
  <c r="M2035" i="2"/>
  <c r="N2034" i="2"/>
  <c r="M2034" i="2"/>
  <c r="N2033" i="2"/>
  <c r="M2033" i="2"/>
  <c r="N2032" i="2"/>
  <c r="M2032" i="2"/>
  <c r="N2031" i="2"/>
  <c r="M2031" i="2"/>
  <c r="N2030" i="2"/>
  <c r="M2030" i="2"/>
  <c r="N2029" i="2"/>
  <c r="M2029" i="2"/>
  <c r="N2028" i="2"/>
  <c r="M2028" i="2"/>
  <c r="N2027" i="2"/>
  <c r="M2027" i="2"/>
  <c r="N2026" i="2"/>
  <c r="M2026" i="2"/>
  <c r="N2025" i="2"/>
  <c r="M2025" i="2"/>
  <c r="N2024" i="2"/>
  <c r="M2024" i="2"/>
  <c r="N2023" i="2"/>
  <c r="M2023" i="2"/>
  <c r="N2022" i="2"/>
  <c r="M2022" i="2"/>
  <c r="N2021" i="2"/>
  <c r="M2021" i="2"/>
  <c r="N2020" i="2"/>
  <c r="M2020" i="2"/>
  <c r="N2019" i="2"/>
  <c r="M2019" i="2"/>
  <c r="N2018" i="2"/>
  <c r="M2018" i="2"/>
  <c r="N2017" i="2"/>
  <c r="M2017" i="2"/>
  <c r="N2016" i="2"/>
  <c r="M2016" i="2"/>
  <c r="N2015" i="2"/>
  <c r="M2015" i="2"/>
  <c r="N2014" i="2"/>
  <c r="M2014" i="2"/>
  <c r="N2013" i="2"/>
  <c r="M2013" i="2"/>
  <c r="N2012" i="2"/>
  <c r="M2012" i="2"/>
  <c r="N2011" i="2"/>
  <c r="M2011" i="2"/>
  <c r="N2010" i="2"/>
  <c r="M2010" i="2"/>
  <c r="N2009" i="2"/>
  <c r="M2009" i="2"/>
  <c r="N2008" i="2"/>
  <c r="M2008" i="2"/>
  <c r="N2007" i="2"/>
  <c r="M2007" i="2"/>
  <c r="N2006" i="2"/>
  <c r="M2006" i="2"/>
  <c r="N2005" i="2"/>
  <c r="M2005" i="2"/>
  <c r="N2004" i="2"/>
  <c r="M2004" i="2"/>
  <c r="N2003" i="2"/>
  <c r="M2003" i="2"/>
  <c r="N2002" i="2"/>
  <c r="M2002" i="2"/>
  <c r="N2001" i="2"/>
  <c r="M2001" i="2"/>
  <c r="N2000" i="2"/>
  <c r="M2000" i="2"/>
  <c r="N1999" i="2"/>
  <c r="M1999" i="2"/>
  <c r="N1998" i="2"/>
  <c r="M1998" i="2"/>
  <c r="N1997" i="2"/>
  <c r="M1997" i="2"/>
  <c r="N1996" i="2"/>
  <c r="M1996" i="2"/>
  <c r="N1995" i="2"/>
  <c r="M1995" i="2"/>
  <c r="N1994" i="2"/>
  <c r="M1994" i="2"/>
  <c r="N1993" i="2"/>
  <c r="M1993" i="2"/>
  <c r="N1992" i="2"/>
  <c r="M1992" i="2"/>
  <c r="N1991" i="2"/>
  <c r="M1991" i="2"/>
  <c r="N1990" i="2"/>
  <c r="M1990" i="2"/>
  <c r="N1989" i="2"/>
  <c r="M1989" i="2"/>
  <c r="N1988" i="2"/>
  <c r="M1988" i="2"/>
  <c r="N1987" i="2"/>
  <c r="M1987" i="2"/>
  <c r="N1986" i="2"/>
  <c r="M1986" i="2"/>
  <c r="N1985" i="2"/>
  <c r="M1985" i="2"/>
  <c r="N1984" i="2"/>
  <c r="M1984" i="2"/>
  <c r="N1983" i="2"/>
  <c r="M1983" i="2"/>
  <c r="N1982" i="2"/>
  <c r="M1982" i="2"/>
  <c r="N1981" i="2"/>
  <c r="M1981" i="2"/>
  <c r="N1980" i="2"/>
  <c r="M1980" i="2"/>
  <c r="N1979" i="2"/>
  <c r="M1979" i="2"/>
  <c r="N1978" i="2"/>
  <c r="M1978" i="2"/>
  <c r="N1977" i="2"/>
  <c r="M1977" i="2"/>
  <c r="N1976" i="2"/>
  <c r="M1976" i="2"/>
  <c r="N1975" i="2"/>
  <c r="M1975" i="2"/>
  <c r="N1974" i="2"/>
  <c r="M1974" i="2"/>
  <c r="N1973" i="2"/>
  <c r="M1973" i="2"/>
  <c r="N1972" i="2"/>
  <c r="M1972" i="2"/>
  <c r="N1971" i="2"/>
  <c r="M1971" i="2"/>
  <c r="N1970" i="2"/>
  <c r="M1970" i="2"/>
  <c r="N1969" i="2"/>
  <c r="M1969" i="2"/>
  <c r="N1968" i="2"/>
  <c r="M1968" i="2"/>
  <c r="N1967" i="2"/>
  <c r="M1967" i="2"/>
  <c r="N1966" i="2"/>
  <c r="M1966" i="2"/>
  <c r="N1965" i="2"/>
  <c r="M1965" i="2"/>
  <c r="N1964" i="2"/>
  <c r="M1964" i="2"/>
  <c r="N1963" i="2"/>
  <c r="M1963" i="2"/>
  <c r="N1962" i="2"/>
  <c r="M1962" i="2"/>
  <c r="N1961" i="2"/>
  <c r="M1961" i="2"/>
  <c r="N1960" i="2"/>
  <c r="M1960" i="2"/>
  <c r="N1959" i="2"/>
  <c r="M1959" i="2"/>
  <c r="N1958" i="2"/>
  <c r="M1958" i="2"/>
  <c r="N1957" i="2"/>
  <c r="M1957" i="2"/>
  <c r="N1956" i="2"/>
  <c r="M1956" i="2"/>
  <c r="N1955" i="2"/>
  <c r="M1955" i="2"/>
  <c r="N1954" i="2"/>
  <c r="M1954" i="2"/>
  <c r="N1953" i="2"/>
  <c r="M1953" i="2"/>
  <c r="N1952" i="2"/>
  <c r="M1952" i="2"/>
  <c r="N1951" i="2"/>
  <c r="M1951" i="2"/>
  <c r="N1950" i="2"/>
  <c r="M1950" i="2"/>
  <c r="N1949" i="2"/>
  <c r="M1949" i="2"/>
  <c r="N1948" i="2"/>
  <c r="M1948" i="2"/>
  <c r="N1947" i="2"/>
  <c r="M1947" i="2"/>
  <c r="N1946" i="2"/>
  <c r="M1946" i="2"/>
  <c r="N1945" i="2"/>
  <c r="M1945" i="2"/>
  <c r="N1944" i="2"/>
  <c r="M1944" i="2"/>
  <c r="N1943" i="2"/>
  <c r="M1943" i="2"/>
  <c r="N1942" i="2"/>
  <c r="M1942" i="2"/>
  <c r="N1941" i="2"/>
  <c r="M1941" i="2"/>
  <c r="N1940" i="2"/>
  <c r="M1940" i="2"/>
  <c r="N1939" i="2"/>
  <c r="M1939" i="2"/>
  <c r="N1938" i="2"/>
  <c r="M1938" i="2"/>
  <c r="N1937" i="2"/>
  <c r="M1937" i="2"/>
  <c r="N1936" i="2"/>
  <c r="M1936" i="2"/>
  <c r="N1935" i="2"/>
  <c r="M1935" i="2"/>
  <c r="N1934" i="2"/>
  <c r="M1934" i="2"/>
  <c r="N1933" i="2"/>
  <c r="M1933" i="2"/>
  <c r="N1932" i="2"/>
  <c r="M1932" i="2"/>
  <c r="N1931" i="2"/>
  <c r="M1931" i="2"/>
  <c r="N1930" i="2"/>
  <c r="M1930" i="2"/>
  <c r="N1929" i="2"/>
  <c r="M1929" i="2"/>
  <c r="N1928" i="2"/>
  <c r="M1928" i="2"/>
  <c r="N1927" i="2"/>
  <c r="M1927" i="2"/>
  <c r="N1926" i="2"/>
  <c r="M1926" i="2"/>
  <c r="N1925" i="2"/>
  <c r="M1925" i="2"/>
  <c r="N1924" i="2"/>
  <c r="M1924" i="2"/>
  <c r="N1923" i="2"/>
  <c r="M1923" i="2"/>
  <c r="N1922" i="2"/>
  <c r="M1922" i="2"/>
  <c r="N1921" i="2"/>
  <c r="M1921" i="2"/>
  <c r="N1920" i="2"/>
  <c r="M1920" i="2"/>
  <c r="N1919" i="2"/>
  <c r="M1919" i="2"/>
  <c r="N1918" i="2"/>
  <c r="M1918" i="2"/>
  <c r="N1917" i="2"/>
  <c r="M1917" i="2"/>
  <c r="N1916" i="2"/>
  <c r="M1916" i="2"/>
  <c r="N1915" i="2"/>
  <c r="M1915" i="2"/>
  <c r="N1914" i="2"/>
  <c r="M1914" i="2"/>
  <c r="N1913" i="2"/>
  <c r="M1913" i="2"/>
  <c r="N1912" i="2"/>
  <c r="M1912" i="2"/>
  <c r="N1911" i="2"/>
  <c r="M1911" i="2"/>
  <c r="N1910" i="2"/>
  <c r="M1910" i="2"/>
  <c r="N1909" i="2"/>
  <c r="M1909" i="2"/>
  <c r="N1908" i="2"/>
  <c r="M1908" i="2"/>
  <c r="N1907" i="2"/>
  <c r="M1907" i="2"/>
  <c r="N1906" i="2"/>
  <c r="M1906" i="2"/>
  <c r="N1905" i="2"/>
  <c r="M1905" i="2"/>
  <c r="N1904" i="2"/>
  <c r="M1904" i="2"/>
  <c r="N1903" i="2"/>
  <c r="M1903" i="2"/>
  <c r="N1902" i="2"/>
  <c r="M1902" i="2"/>
  <c r="N1901" i="2"/>
  <c r="M1901" i="2"/>
  <c r="N1900" i="2"/>
  <c r="M1900" i="2"/>
  <c r="N1899" i="2"/>
  <c r="M1899" i="2"/>
  <c r="N1898" i="2"/>
  <c r="M1898" i="2"/>
  <c r="N1897" i="2"/>
  <c r="M1897" i="2"/>
  <c r="N1896" i="2"/>
  <c r="M1896" i="2"/>
  <c r="N1895" i="2"/>
  <c r="M1895" i="2"/>
  <c r="N1894" i="2"/>
  <c r="M1894" i="2"/>
  <c r="N1893" i="2"/>
  <c r="M1893" i="2"/>
  <c r="N1892" i="2"/>
  <c r="M1892" i="2"/>
  <c r="N1891" i="2"/>
  <c r="M1891" i="2"/>
  <c r="N1890" i="2"/>
  <c r="M1890" i="2"/>
  <c r="N1889" i="2"/>
  <c r="M1889" i="2"/>
  <c r="N1888" i="2"/>
  <c r="M1888" i="2"/>
  <c r="N1887" i="2"/>
  <c r="M1887" i="2"/>
  <c r="N1886" i="2"/>
  <c r="M1886" i="2"/>
  <c r="N1885" i="2"/>
  <c r="M1885" i="2"/>
  <c r="N1884" i="2"/>
  <c r="M1884" i="2"/>
  <c r="N1883" i="2"/>
  <c r="M1883" i="2"/>
  <c r="N1882" i="2"/>
  <c r="M1882" i="2"/>
  <c r="N1881" i="2"/>
  <c r="M1881" i="2"/>
  <c r="N1880" i="2"/>
  <c r="M1880" i="2"/>
  <c r="N1879" i="2"/>
  <c r="M1879" i="2"/>
  <c r="N1878" i="2"/>
  <c r="M1878" i="2"/>
  <c r="N1877" i="2"/>
  <c r="M1877" i="2"/>
  <c r="N1876" i="2"/>
  <c r="M1876" i="2"/>
  <c r="N1875" i="2"/>
  <c r="M1875" i="2"/>
  <c r="N1874" i="2"/>
  <c r="M1874" i="2"/>
  <c r="N1873" i="2"/>
  <c r="M1873" i="2"/>
  <c r="N1872" i="2"/>
  <c r="M1872" i="2"/>
  <c r="N1871" i="2"/>
  <c r="M1871" i="2"/>
  <c r="N1870" i="2"/>
  <c r="M1870" i="2"/>
  <c r="N1869" i="2"/>
  <c r="M1869" i="2"/>
  <c r="N1868" i="2"/>
  <c r="M1868" i="2"/>
  <c r="N1867" i="2"/>
  <c r="M1867" i="2"/>
  <c r="N1866" i="2"/>
  <c r="M1866" i="2"/>
  <c r="N1865" i="2"/>
  <c r="M1865" i="2"/>
  <c r="N1864" i="2"/>
  <c r="M1864" i="2"/>
  <c r="N1863" i="2"/>
  <c r="M1863" i="2"/>
  <c r="N1862" i="2"/>
  <c r="M1862" i="2"/>
  <c r="N1861" i="2"/>
  <c r="M1861" i="2"/>
  <c r="N1860" i="2"/>
  <c r="M1860" i="2"/>
  <c r="N1859" i="2"/>
  <c r="M1859" i="2"/>
  <c r="N1858" i="2"/>
  <c r="M1858" i="2"/>
  <c r="N1857" i="2"/>
  <c r="M1857" i="2"/>
  <c r="N1856" i="2"/>
  <c r="M1856" i="2"/>
  <c r="N1855" i="2"/>
  <c r="M1855" i="2"/>
  <c r="N1854" i="2"/>
  <c r="M1854" i="2"/>
  <c r="N1853" i="2"/>
  <c r="M1853" i="2"/>
  <c r="N1852" i="2"/>
  <c r="M1852" i="2"/>
  <c r="N1851" i="2"/>
  <c r="M1851" i="2"/>
  <c r="N1850" i="2"/>
  <c r="M1850" i="2"/>
  <c r="N1849" i="2"/>
  <c r="M1849" i="2"/>
  <c r="N1848" i="2"/>
  <c r="M1848" i="2"/>
  <c r="N1847" i="2"/>
  <c r="M1847" i="2"/>
  <c r="N1846" i="2"/>
  <c r="M1846" i="2"/>
  <c r="N1845" i="2"/>
  <c r="M1845" i="2"/>
  <c r="N1844" i="2"/>
  <c r="M1844" i="2"/>
  <c r="N1843" i="2"/>
  <c r="M1843" i="2"/>
  <c r="N1842" i="2"/>
  <c r="M1842" i="2"/>
  <c r="N1841" i="2"/>
  <c r="M1841" i="2"/>
  <c r="N1840" i="2"/>
  <c r="M1840" i="2"/>
  <c r="N1839" i="2"/>
  <c r="M1839" i="2"/>
  <c r="N1838" i="2"/>
  <c r="M1838" i="2"/>
  <c r="N1837" i="2"/>
  <c r="M1837" i="2"/>
  <c r="N1836" i="2"/>
  <c r="M1836" i="2"/>
  <c r="N1835" i="2"/>
  <c r="M1835" i="2"/>
  <c r="N1834" i="2"/>
  <c r="M1834" i="2"/>
  <c r="N1833" i="2"/>
  <c r="M1833" i="2"/>
  <c r="N1832" i="2"/>
  <c r="M1832" i="2"/>
  <c r="N1831" i="2"/>
  <c r="M1831" i="2"/>
  <c r="N1830" i="2"/>
  <c r="M1830" i="2"/>
  <c r="N1829" i="2"/>
  <c r="M1829" i="2"/>
  <c r="N1828" i="2"/>
  <c r="M1828" i="2"/>
  <c r="N1827" i="2"/>
  <c r="M1827" i="2"/>
  <c r="N1826" i="2"/>
  <c r="M1826" i="2"/>
  <c r="N1825" i="2"/>
  <c r="M1825" i="2"/>
  <c r="N1824" i="2"/>
  <c r="M1824" i="2"/>
  <c r="N1823" i="2"/>
  <c r="M1823" i="2"/>
  <c r="N1822" i="2"/>
  <c r="M1822" i="2"/>
  <c r="N1821" i="2"/>
  <c r="M1821" i="2"/>
  <c r="N1820" i="2"/>
  <c r="M1820" i="2"/>
  <c r="N1819" i="2"/>
  <c r="M1819" i="2"/>
  <c r="N1818" i="2"/>
  <c r="M1818" i="2"/>
  <c r="N1817" i="2"/>
  <c r="M1817" i="2"/>
  <c r="N1816" i="2"/>
  <c r="M1816" i="2"/>
  <c r="N1815" i="2"/>
  <c r="M1815" i="2"/>
  <c r="N1814" i="2"/>
  <c r="M1814" i="2"/>
  <c r="N1813" i="2"/>
  <c r="M1813" i="2"/>
  <c r="N1812" i="2"/>
  <c r="M1812" i="2"/>
  <c r="N1811" i="2"/>
  <c r="M1811" i="2"/>
  <c r="N1810" i="2"/>
  <c r="M1810" i="2"/>
  <c r="N1809" i="2"/>
  <c r="M1809" i="2"/>
  <c r="N1808" i="2"/>
  <c r="M1808" i="2"/>
  <c r="N1807" i="2"/>
  <c r="M1807" i="2"/>
  <c r="N1806" i="2"/>
  <c r="M1806" i="2"/>
  <c r="N1805" i="2"/>
  <c r="M1805" i="2"/>
  <c r="N1804" i="2"/>
  <c r="M1804" i="2"/>
  <c r="N1803" i="2"/>
  <c r="M1803" i="2"/>
  <c r="N1802" i="2"/>
  <c r="M1802" i="2"/>
  <c r="N1801" i="2"/>
  <c r="M1801" i="2"/>
  <c r="N1800" i="2"/>
  <c r="M1800" i="2"/>
  <c r="N1799" i="2"/>
  <c r="M1799" i="2"/>
  <c r="N1798" i="2"/>
  <c r="M1798" i="2"/>
  <c r="N1797" i="2"/>
  <c r="M1797" i="2"/>
  <c r="N1796" i="2"/>
  <c r="M1796" i="2"/>
  <c r="N1795" i="2"/>
  <c r="M1795" i="2"/>
  <c r="N1794" i="2"/>
  <c r="M1794" i="2"/>
  <c r="N1793" i="2"/>
  <c r="M1793" i="2"/>
  <c r="N1792" i="2"/>
  <c r="M1792" i="2"/>
  <c r="N1791" i="2"/>
  <c r="M1791" i="2"/>
  <c r="N1790" i="2"/>
  <c r="M1790" i="2"/>
  <c r="N1789" i="2"/>
  <c r="M1789" i="2"/>
  <c r="N1788" i="2"/>
  <c r="M1788" i="2"/>
  <c r="N1787" i="2"/>
  <c r="M1787" i="2"/>
  <c r="N1786" i="2"/>
  <c r="M1786" i="2"/>
  <c r="N1785" i="2"/>
  <c r="M1785" i="2"/>
  <c r="N1784" i="2"/>
  <c r="M1784" i="2"/>
  <c r="N1783" i="2"/>
  <c r="M1783" i="2"/>
  <c r="N1782" i="2"/>
  <c r="M1782" i="2"/>
  <c r="N1781" i="2"/>
  <c r="M1781" i="2"/>
  <c r="N1780" i="2"/>
  <c r="M1780" i="2"/>
  <c r="N1779" i="2"/>
  <c r="M1779" i="2"/>
  <c r="N1778" i="2"/>
  <c r="M1778" i="2"/>
  <c r="N1777" i="2"/>
  <c r="M1777" i="2"/>
  <c r="N1776" i="2"/>
  <c r="M1776" i="2"/>
  <c r="N1775" i="2"/>
  <c r="M1775" i="2"/>
  <c r="N1774" i="2"/>
  <c r="M1774" i="2"/>
  <c r="N1773" i="2"/>
  <c r="M1773" i="2"/>
  <c r="N1772" i="2"/>
  <c r="M1772" i="2"/>
  <c r="N1771" i="2"/>
  <c r="M1771" i="2"/>
  <c r="N1770" i="2"/>
  <c r="M1770" i="2"/>
  <c r="N1769" i="2"/>
  <c r="M1769" i="2"/>
  <c r="N1768" i="2"/>
  <c r="M1768" i="2"/>
  <c r="N1767" i="2"/>
  <c r="M1767" i="2"/>
  <c r="N1766" i="2"/>
  <c r="M1766" i="2"/>
  <c r="N1765" i="2"/>
  <c r="M1765" i="2"/>
  <c r="N1764" i="2"/>
  <c r="M1764" i="2"/>
  <c r="N1763" i="2"/>
  <c r="M1763" i="2"/>
  <c r="N1762" i="2"/>
  <c r="M1762" i="2"/>
  <c r="N1761" i="2"/>
  <c r="M1761" i="2"/>
  <c r="N1760" i="2"/>
  <c r="M1760" i="2"/>
  <c r="N1759" i="2"/>
  <c r="M1759" i="2"/>
  <c r="N1758" i="2"/>
  <c r="M1758" i="2"/>
  <c r="N1757" i="2"/>
  <c r="M1757" i="2"/>
  <c r="N1756" i="2"/>
  <c r="M1756" i="2"/>
  <c r="N1755" i="2"/>
  <c r="M1755" i="2"/>
  <c r="N1754" i="2"/>
  <c r="M1754" i="2"/>
  <c r="N1753" i="2"/>
  <c r="M1753" i="2"/>
  <c r="N1752" i="2"/>
  <c r="M1752" i="2"/>
  <c r="N1751" i="2"/>
  <c r="M1751" i="2"/>
  <c r="N1750" i="2"/>
  <c r="M1750" i="2"/>
  <c r="N1749" i="2"/>
  <c r="M1749" i="2"/>
  <c r="N1748" i="2"/>
  <c r="M1748" i="2"/>
  <c r="N1747" i="2"/>
  <c r="M1747" i="2"/>
  <c r="N1746" i="2"/>
  <c r="M1746" i="2"/>
  <c r="N1745" i="2"/>
  <c r="M1745" i="2"/>
  <c r="N1744" i="2"/>
  <c r="M1744" i="2"/>
  <c r="N1743" i="2"/>
  <c r="M1743" i="2"/>
  <c r="N1742" i="2"/>
  <c r="M1742" i="2"/>
  <c r="N1741" i="2"/>
  <c r="M1741" i="2"/>
  <c r="N1740" i="2"/>
  <c r="M1740" i="2"/>
  <c r="N1739" i="2"/>
  <c r="M1739" i="2"/>
  <c r="N1738" i="2"/>
  <c r="M1738" i="2"/>
  <c r="N1737" i="2"/>
  <c r="M1737" i="2"/>
  <c r="N1736" i="2"/>
  <c r="M1736" i="2"/>
  <c r="N1735" i="2"/>
  <c r="M1735" i="2"/>
  <c r="N1734" i="2"/>
  <c r="M1734" i="2"/>
  <c r="N1733" i="2"/>
  <c r="M1733" i="2"/>
  <c r="N1732" i="2"/>
  <c r="M1732" i="2"/>
  <c r="N1731" i="2"/>
  <c r="M1731" i="2"/>
  <c r="N1730" i="2"/>
  <c r="M1730" i="2"/>
  <c r="N1729" i="2"/>
  <c r="M1729" i="2"/>
  <c r="N1728" i="2"/>
  <c r="M1728" i="2"/>
  <c r="N1727" i="2"/>
  <c r="M1727" i="2"/>
  <c r="N1726" i="2"/>
  <c r="M1726" i="2"/>
  <c r="N1725" i="2"/>
  <c r="M1725" i="2"/>
  <c r="N1724" i="2"/>
  <c r="M1724" i="2"/>
  <c r="N1723" i="2"/>
  <c r="M1723" i="2"/>
  <c r="N1722" i="2"/>
  <c r="M1722" i="2"/>
  <c r="N1721" i="2"/>
  <c r="M1721" i="2"/>
  <c r="N1720" i="2"/>
  <c r="M1720" i="2"/>
  <c r="N1719" i="2"/>
  <c r="M1719" i="2"/>
  <c r="N1718" i="2"/>
  <c r="M1718" i="2"/>
  <c r="N1717" i="2"/>
  <c r="M1717" i="2"/>
  <c r="N1716" i="2"/>
  <c r="M1716" i="2"/>
  <c r="N1715" i="2"/>
  <c r="M1715" i="2"/>
  <c r="N1714" i="2"/>
  <c r="M1714" i="2"/>
  <c r="N1713" i="2"/>
  <c r="M1713" i="2"/>
  <c r="N1712" i="2"/>
  <c r="M1712" i="2"/>
  <c r="N1711" i="2"/>
  <c r="M1711" i="2"/>
  <c r="N1710" i="2"/>
  <c r="M1710" i="2"/>
  <c r="N1709" i="2"/>
  <c r="M1709" i="2"/>
  <c r="N1708" i="2"/>
  <c r="M1708" i="2"/>
  <c r="N1707" i="2"/>
  <c r="M1707" i="2"/>
  <c r="N1706" i="2"/>
  <c r="M1706" i="2"/>
  <c r="N1705" i="2"/>
  <c r="M1705" i="2"/>
  <c r="N1704" i="2"/>
  <c r="M1704" i="2"/>
  <c r="N1703" i="2"/>
  <c r="M1703" i="2"/>
  <c r="N1702" i="2"/>
  <c r="M1702" i="2"/>
  <c r="N1701" i="2"/>
  <c r="M1701" i="2"/>
  <c r="N1700" i="2"/>
  <c r="M1700" i="2"/>
  <c r="N1699" i="2"/>
  <c r="M1699" i="2"/>
  <c r="N1698" i="2"/>
  <c r="M1698" i="2"/>
  <c r="N1697" i="2"/>
  <c r="M1697" i="2"/>
  <c r="N1696" i="2"/>
  <c r="M1696" i="2"/>
  <c r="N1695" i="2"/>
  <c r="M1695" i="2"/>
  <c r="N1694" i="2"/>
  <c r="M1694" i="2"/>
  <c r="N1693" i="2"/>
  <c r="M1693" i="2"/>
  <c r="N1692" i="2"/>
  <c r="M1692" i="2"/>
  <c r="N1691" i="2"/>
  <c r="M1691" i="2"/>
  <c r="N1690" i="2"/>
  <c r="M1690" i="2"/>
  <c r="N1689" i="2"/>
  <c r="M1689" i="2"/>
  <c r="N1688" i="2"/>
  <c r="M1688" i="2"/>
  <c r="N1687" i="2"/>
  <c r="M1687" i="2"/>
  <c r="N1686" i="2"/>
  <c r="M1686" i="2"/>
  <c r="N1685" i="2"/>
  <c r="M1685" i="2"/>
  <c r="N1684" i="2"/>
  <c r="M1684" i="2"/>
  <c r="N1683" i="2"/>
  <c r="M1683" i="2"/>
  <c r="N1682" i="2"/>
  <c r="M1682" i="2"/>
  <c r="N1681" i="2"/>
  <c r="M1681" i="2"/>
  <c r="N1680" i="2"/>
  <c r="M1680" i="2"/>
  <c r="N1679" i="2"/>
  <c r="M1679" i="2"/>
  <c r="N1678" i="2"/>
  <c r="M1678" i="2"/>
  <c r="N1677" i="2"/>
  <c r="M1677" i="2"/>
  <c r="N1676" i="2"/>
  <c r="M1676" i="2"/>
  <c r="N1675" i="2"/>
  <c r="M1675" i="2"/>
  <c r="N1674" i="2"/>
  <c r="M1674" i="2"/>
  <c r="N1673" i="2"/>
  <c r="M1673" i="2"/>
  <c r="N1672" i="2"/>
  <c r="M1672" i="2"/>
  <c r="N1671" i="2"/>
  <c r="M1671" i="2"/>
  <c r="N1670" i="2"/>
  <c r="M1670" i="2"/>
  <c r="N1669" i="2"/>
  <c r="M1669" i="2"/>
  <c r="N1668" i="2"/>
  <c r="M1668" i="2"/>
  <c r="N1667" i="2"/>
  <c r="M1667" i="2"/>
  <c r="N1666" i="2"/>
  <c r="M1666" i="2"/>
  <c r="N1665" i="2"/>
  <c r="M1665" i="2"/>
  <c r="N1664" i="2"/>
  <c r="M1664" i="2"/>
  <c r="N1663" i="2"/>
  <c r="M1663" i="2"/>
  <c r="N1662" i="2"/>
  <c r="M1662" i="2"/>
  <c r="N1661" i="2"/>
  <c r="M1661" i="2"/>
  <c r="N1660" i="2"/>
  <c r="M1660" i="2"/>
  <c r="N1659" i="2"/>
  <c r="M1659" i="2"/>
  <c r="N1658" i="2"/>
  <c r="M1658" i="2"/>
  <c r="N1657" i="2"/>
  <c r="M1657" i="2"/>
  <c r="N1656" i="2"/>
  <c r="M1656" i="2"/>
  <c r="N1655" i="2"/>
  <c r="M1655" i="2"/>
  <c r="N1654" i="2"/>
  <c r="M1654" i="2"/>
  <c r="N1653" i="2"/>
  <c r="M1653" i="2"/>
  <c r="N1652" i="2"/>
  <c r="M1652" i="2"/>
  <c r="N1651" i="2"/>
  <c r="M1651" i="2"/>
  <c r="N1650" i="2"/>
  <c r="M1650" i="2"/>
  <c r="N1649" i="2"/>
  <c r="M1649" i="2"/>
  <c r="N1648" i="2"/>
  <c r="M1648" i="2"/>
  <c r="N1647" i="2"/>
  <c r="M1647" i="2"/>
  <c r="N1646" i="2"/>
  <c r="M1646" i="2"/>
  <c r="N1645" i="2"/>
  <c r="M1645" i="2"/>
  <c r="N1644" i="2"/>
  <c r="M1644" i="2"/>
  <c r="N1643" i="2"/>
  <c r="M1643" i="2"/>
  <c r="N1642" i="2"/>
  <c r="M1642" i="2"/>
  <c r="N1641" i="2"/>
  <c r="M1641" i="2"/>
  <c r="N1640" i="2"/>
  <c r="M1640" i="2"/>
  <c r="N1639" i="2"/>
  <c r="M1639" i="2"/>
  <c r="N1638" i="2"/>
  <c r="M1638" i="2"/>
  <c r="N1637" i="2"/>
  <c r="M1637" i="2"/>
  <c r="N1636" i="2"/>
  <c r="M1636" i="2"/>
  <c r="N1635" i="2"/>
  <c r="M1635" i="2"/>
  <c r="N1634" i="2"/>
  <c r="M1634" i="2"/>
  <c r="N1633" i="2"/>
  <c r="M1633" i="2"/>
  <c r="N1632" i="2"/>
  <c r="M1632" i="2"/>
  <c r="N1631" i="2"/>
  <c r="M1631" i="2"/>
  <c r="N1630" i="2"/>
  <c r="M1630" i="2"/>
  <c r="N1629" i="2"/>
  <c r="M1629" i="2"/>
  <c r="N1628" i="2"/>
  <c r="M1628" i="2"/>
  <c r="N1627" i="2"/>
  <c r="M1627" i="2"/>
  <c r="N1626" i="2"/>
  <c r="M1626" i="2"/>
  <c r="N1625" i="2"/>
  <c r="M1625" i="2"/>
  <c r="N1624" i="2"/>
  <c r="M1624" i="2"/>
  <c r="N1623" i="2"/>
  <c r="M1623" i="2"/>
  <c r="N1622" i="2"/>
  <c r="M1622" i="2"/>
  <c r="N1621" i="2"/>
  <c r="M1621" i="2"/>
  <c r="N1620" i="2"/>
  <c r="M1620" i="2"/>
  <c r="N1619" i="2"/>
  <c r="M1619" i="2"/>
  <c r="N1618" i="2"/>
  <c r="M1618" i="2"/>
  <c r="N1617" i="2"/>
  <c r="M1617" i="2"/>
  <c r="N1616" i="2"/>
  <c r="M1616" i="2"/>
  <c r="N1615" i="2"/>
  <c r="M1615" i="2"/>
  <c r="N1614" i="2"/>
  <c r="M1614" i="2"/>
  <c r="N1613" i="2"/>
  <c r="M1613" i="2"/>
  <c r="N1612" i="2"/>
  <c r="M1612" i="2"/>
  <c r="N1611" i="2"/>
  <c r="M1611" i="2"/>
  <c r="N1610" i="2"/>
  <c r="M1610" i="2"/>
  <c r="N1609" i="2"/>
  <c r="M1609" i="2"/>
  <c r="N1608" i="2"/>
  <c r="M1608" i="2"/>
  <c r="N1607" i="2"/>
  <c r="M1607" i="2"/>
  <c r="N1606" i="2"/>
  <c r="M1606" i="2"/>
  <c r="N1605" i="2"/>
  <c r="M1605" i="2"/>
  <c r="N1604" i="2"/>
  <c r="M1604" i="2"/>
  <c r="N1603" i="2"/>
  <c r="M1603" i="2"/>
  <c r="N1602" i="2"/>
  <c r="M1602" i="2"/>
  <c r="N1601" i="2"/>
  <c r="M1601" i="2"/>
  <c r="N1600" i="2"/>
  <c r="M1600" i="2"/>
  <c r="N1599" i="2"/>
  <c r="M1599" i="2"/>
  <c r="N1598" i="2"/>
  <c r="M1598" i="2"/>
  <c r="N1597" i="2"/>
  <c r="M1597" i="2"/>
  <c r="N1596" i="2"/>
  <c r="M1596" i="2"/>
  <c r="N1595" i="2"/>
  <c r="M1595" i="2"/>
  <c r="N1594" i="2"/>
  <c r="M1594" i="2"/>
  <c r="N1593" i="2"/>
  <c r="M1593" i="2"/>
  <c r="N1592" i="2"/>
  <c r="M1592" i="2"/>
  <c r="N1591" i="2"/>
  <c r="M1591" i="2"/>
  <c r="N1590" i="2"/>
  <c r="M1590" i="2"/>
  <c r="N1589" i="2"/>
  <c r="M1589" i="2"/>
  <c r="N1588" i="2"/>
  <c r="M1588" i="2"/>
  <c r="N1587" i="2"/>
  <c r="M1587" i="2"/>
  <c r="N1586" i="2"/>
  <c r="M1586" i="2"/>
  <c r="N1585" i="2"/>
  <c r="M1585" i="2"/>
  <c r="N1584" i="2"/>
  <c r="M1584" i="2"/>
  <c r="N1583" i="2"/>
  <c r="M1583" i="2"/>
  <c r="N1582" i="2"/>
  <c r="M1582" i="2"/>
  <c r="N1581" i="2"/>
  <c r="M1581" i="2"/>
  <c r="N1580" i="2"/>
  <c r="M1580" i="2"/>
  <c r="N1579" i="2"/>
  <c r="M1579" i="2"/>
  <c r="N1578" i="2"/>
  <c r="M1578" i="2"/>
  <c r="N1577" i="2"/>
  <c r="M1577" i="2"/>
  <c r="N1576" i="2"/>
  <c r="M1576" i="2"/>
  <c r="N1575" i="2"/>
  <c r="M1575" i="2"/>
  <c r="N1574" i="2"/>
  <c r="M1574" i="2"/>
  <c r="N1573" i="2"/>
  <c r="M1573" i="2"/>
  <c r="N1572" i="2"/>
  <c r="M1572" i="2"/>
  <c r="N1571" i="2"/>
  <c r="M1571" i="2"/>
  <c r="N1570" i="2"/>
  <c r="M1570" i="2"/>
  <c r="N1569" i="2"/>
  <c r="M1569" i="2"/>
  <c r="N1568" i="2"/>
  <c r="M1568" i="2"/>
  <c r="N1567" i="2"/>
  <c r="M1567" i="2"/>
  <c r="N1566" i="2"/>
  <c r="M1566" i="2"/>
  <c r="N1565" i="2"/>
  <c r="M1565" i="2"/>
  <c r="N1564" i="2"/>
  <c r="M1564" i="2"/>
  <c r="N1563" i="2"/>
  <c r="M1563" i="2"/>
  <c r="N1562" i="2"/>
  <c r="M1562" i="2"/>
  <c r="N1561" i="2"/>
  <c r="M1561" i="2"/>
  <c r="N1560" i="2"/>
  <c r="M1560" i="2"/>
  <c r="N1559" i="2"/>
  <c r="M1559" i="2"/>
  <c r="N1558" i="2"/>
  <c r="M1558" i="2"/>
  <c r="N1557" i="2"/>
  <c r="M1557" i="2"/>
  <c r="N1556" i="2"/>
  <c r="M1556" i="2"/>
  <c r="N1555" i="2"/>
  <c r="M1555" i="2"/>
  <c r="N1554" i="2"/>
  <c r="M1554" i="2"/>
  <c r="N1553" i="2"/>
  <c r="M1553" i="2"/>
  <c r="N1552" i="2"/>
  <c r="M1552" i="2"/>
  <c r="N1551" i="2"/>
  <c r="M1551" i="2"/>
  <c r="N1550" i="2"/>
  <c r="M1550" i="2"/>
  <c r="N1549" i="2"/>
  <c r="M1549" i="2"/>
  <c r="N1548" i="2"/>
  <c r="M1548" i="2"/>
  <c r="N1547" i="2"/>
  <c r="M1547" i="2"/>
  <c r="N1546" i="2"/>
  <c r="M1546" i="2"/>
  <c r="N1545" i="2"/>
  <c r="M1545" i="2"/>
  <c r="N1544" i="2"/>
  <c r="M1544" i="2"/>
  <c r="N1543" i="2"/>
  <c r="M1543" i="2"/>
  <c r="N1542" i="2"/>
  <c r="M1542" i="2"/>
  <c r="N1541" i="2"/>
  <c r="M1541" i="2"/>
  <c r="N1540" i="2"/>
  <c r="M1540" i="2"/>
  <c r="N1539" i="2"/>
  <c r="M1539" i="2"/>
  <c r="N1538" i="2"/>
  <c r="M1538" i="2"/>
  <c r="N1537" i="2"/>
  <c r="M1537" i="2"/>
  <c r="N1536" i="2"/>
  <c r="M1536" i="2"/>
  <c r="N1535" i="2"/>
  <c r="M1535" i="2"/>
  <c r="N1534" i="2"/>
  <c r="M1534" i="2"/>
  <c r="N1533" i="2"/>
  <c r="M1533" i="2"/>
  <c r="N1532" i="2"/>
  <c r="M1532" i="2"/>
  <c r="N1531" i="2"/>
  <c r="M1531" i="2"/>
  <c r="N1530" i="2"/>
  <c r="M1530" i="2"/>
  <c r="N1529" i="2"/>
  <c r="M1529" i="2"/>
  <c r="N1528" i="2"/>
  <c r="M1528" i="2"/>
  <c r="N1527" i="2"/>
  <c r="M1527" i="2"/>
  <c r="N1526" i="2"/>
  <c r="M1526" i="2"/>
  <c r="N1525" i="2"/>
  <c r="M1525" i="2"/>
  <c r="N1524" i="2"/>
  <c r="M1524" i="2"/>
  <c r="N1523" i="2"/>
  <c r="M1523" i="2"/>
  <c r="N1522" i="2"/>
  <c r="M1522" i="2"/>
  <c r="N1521" i="2"/>
  <c r="M1521" i="2"/>
  <c r="N1520" i="2"/>
  <c r="M1520" i="2"/>
  <c r="N1519" i="2"/>
  <c r="M1519" i="2"/>
  <c r="N1518" i="2"/>
  <c r="M1518" i="2"/>
  <c r="N1517" i="2"/>
  <c r="M1517" i="2"/>
  <c r="N1516" i="2"/>
  <c r="M1516" i="2"/>
  <c r="N1515" i="2"/>
  <c r="M1515" i="2"/>
  <c r="N1514" i="2"/>
  <c r="M1514" i="2"/>
  <c r="N1513" i="2"/>
  <c r="M1513" i="2"/>
  <c r="N1512" i="2"/>
  <c r="M1512" i="2"/>
  <c r="N1511" i="2"/>
  <c r="M1511" i="2"/>
  <c r="N1510" i="2"/>
  <c r="M1510" i="2"/>
  <c r="N1509" i="2"/>
  <c r="M1509" i="2"/>
  <c r="N1508" i="2"/>
  <c r="M1508" i="2"/>
  <c r="N1507" i="2"/>
  <c r="M1507" i="2"/>
  <c r="N1506" i="2"/>
  <c r="M1506" i="2"/>
  <c r="N1505" i="2"/>
  <c r="M1505" i="2"/>
  <c r="N1504" i="2"/>
  <c r="M1504" i="2"/>
  <c r="N1503" i="2"/>
  <c r="M1503" i="2"/>
  <c r="N1502" i="2"/>
  <c r="M1502" i="2"/>
  <c r="N1501" i="2"/>
  <c r="M1501" i="2"/>
  <c r="N1500" i="2"/>
  <c r="M1500" i="2"/>
  <c r="N1499" i="2"/>
  <c r="M1499" i="2"/>
  <c r="N1498" i="2"/>
  <c r="M1498" i="2"/>
  <c r="N1497" i="2"/>
  <c r="M1497" i="2"/>
  <c r="N1496" i="2"/>
  <c r="M1496" i="2"/>
  <c r="N1495" i="2"/>
  <c r="M1495" i="2"/>
  <c r="N1494" i="2"/>
  <c r="M1494" i="2"/>
  <c r="N1493" i="2"/>
  <c r="M1493" i="2"/>
  <c r="N1492" i="2"/>
  <c r="M1492" i="2"/>
  <c r="N1491" i="2"/>
  <c r="M1491" i="2"/>
  <c r="N1490" i="2"/>
  <c r="M1490" i="2"/>
  <c r="N1489" i="2"/>
  <c r="M1489" i="2"/>
  <c r="N1488" i="2"/>
  <c r="M1488" i="2"/>
  <c r="N1487" i="2"/>
  <c r="M1487" i="2"/>
  <c r="N1486" i="2"/>
  <c r="M1486" i="2"/>
  <c r="N1485" i="2"/>
  <c r="M1485" i="2"/>
  <c r="N1484" i="2"/>
  <c r="M1484" i="2"/>
  <c r="N1483" i="2"/>
  <c r="M1483" i="2"/>
  <c r="N1482" i="2"/>
  <c r="M1482" i="2"/>
  <c r="N1481" i="2"/>
  <c r="M1481" i="2"/>
  <c r="N1480" i="2"/>
  <c r="M1480" i="2"/>
  <c r="N1479" i="2"/>
  <c r="M1479" i="2"/>
  <c r="N1478" i="2"/>
  <c r="M1478" i="2"/>
  <c r="N1477" i="2"/>
  <c r="M1477" i="2"/>
  <c r="N1476" i="2"/>
  <c r="M1476" i="2"/>
  <c r="N1475" i="2"/>
  <c r="M1475" i="2"/>
  <c r="N1474" i="2"/>
  <c r="M1474" i="2"/>
  <c r="N1473" i="2"/>
  <c r="M1473" i="2"/>
  <c r="N1472" i="2"/>
  <c r="M1472" i="2"/>
  <c r="N1471" i="2"/>
  <c r="M1471" i="2"/>
  <c r="N1470" i="2"/>
  <c r="M1470" i="2"/>
  <c r="N1469" i="2"/>
  <c r="M1469" i="2"/>
  <c r="N1468" i="2"/>
  <c r="M1468" i="2"/>
  <c r="N1467" i="2"/>
  <c r="M1467" i="2"/>
  <c r="N1466" i="2"/>
  <c r="M1466" i="2"/>
  <c r="N1465" i="2"/>
  <c r="M1465" i="2"/>
  <c r="N1464" i="2"/>
  <c r="M1464" i="2"/>
  <c r="N1463" i="2"/>
  <c r="M1463" i="2"/>
  <c r="N1462" i="2"/>
  <c r="M1462" i="2"/>
  <c r="N1461" i="2"/>
  <c r="M1461" i="2"/>
  <c r="N1460" i="2"/>
  <c r="M1460" i="2"/>
  <c r="N1459" i="2"/>
  <c r="M1459" i="2"/>
  <c r="N1458" i="2"/>
  <c r="M1458" i="2"/>
  <c r="N1457" i="2"/>
  <c r="M1457" i="2"/>
  <c r="N1456" i="2"/>
  <c r="M1456" i="2"/>
  <c r="N1455" i="2"/>
  <c r="M1455" i="2"/>
  <c r="N1454" i="2"/>
  <c r="M1454" i="2"/>
  <c r="N1453" i="2"/>
  <c r="M1453" i="2"/>
  <c r="N1452" i="2"/>
  <c r="M1452" i="2"/>
  <c r="N1451" i="2"/>
  <c r="M1451" i="2"/>
  <c r="N1450" i="2"/>
  <c r="M1450" i="2"/>
  <c r="N1449" i="2"/>
  <c r="M1449" i="2"/>
  <c r="N1448" i="2"/>
  <c r="M1448" i="2"/>
  <c r="N1447" i="2"/>
  <c r="M1447" i="2"/>
  <c r="N1446" i="2"/>
  <c r="M1446" i="2"/>
  <c r="N1445" i="2"/>
  <c r="M1445" i="2"/>
  <c r="N1444" i="2"/>
  <c r="M1444" i="2"/>
  <c r="N1443" i="2"/>
  <c r="M1443" i="2"/>
  <c r="N1442" i="2"/>
  <c r="M1442" i="2"/>
  <c r="N1441" i="2"/>
  <c r="M1441" i="2"/>
  <c r="N1440" i="2"/>
  <c r="M1440" i="2"/>
  <c r="N1439" i="2"/>
  <c r="M1439" i="2"/>
  <c r="N1438" i="2"/>
  <c r="M1438" i="2"/>
  <c r="N1437" i="2"/>
  <c r="M1437" i="2"/>
  <c r="N1436" i="2"/>
  <c r="M1436" i="2"/>
  <c r="N1435" i="2"/>
  <c r="M1435" i="2"/>
  <c r="N1434" i="2"/>
  <c r="M1434" i="2"/>
  <c r="N1433" i="2"/>
  <c r="M1433" i="2"/>
  <c r="N1432" i="2"/>
  <c r="M1432" i="2"/>
  <c r="N1431" i="2"/>
  <c r="M1431" i="2"/>
  <c r="N1430" i="2"/>
  <c r="M1430" i="2"/>
  <c r="N1429" i="2"/>
  <c r="M1429" i="2"/>
  <c r="N1428" i="2"/>
  <c r="M1428" i="2"/>
  <c r="N1427" i="2"/>
  <c r="M1427" i="2"/>
  <c r="N1426" i="2"/>
  <c r="M1426" i="2"/>
  <c r="N1425" i="2"/>
  <c r="M1425" i="2"/>
  <c r="N1424" i="2"/>
  <c r="M1424" i="2"/>
  <c r="N1423" i="2"/>
  <c r="M1423" i="2"/>
  <c r="N1422" i="2"/>
  <c r="M1422" i="2"/>
  <c r="N1421" i="2"/>
  <c r="M1421" i="2"/>
  <c r="N1420" i="2"/>
  <c r="M1420" i="2"/>
  <c r="N1419" i="2"/>
  <c r="M1419" i="2"/>
  <c r="N1418" i="2"/>
  <c r="M1418" i="2"/>
  <c r="N1417" i="2"/>
  <c r="M1417" i="2"/>
  <c r="N1416" i="2"/>
  <c r="M1416" i="2"/>
  <c r="N1415" i="2"/>
  <c r="M1415" i="2"/>
  <c r="N1414" i="2"/>
  <c r="M1414" i="2"/>
  <c r="N1413" i="2"/>
  <c r="M1413" i="2"/>
  <c r="N1412" i="2"/>
  <c r="M1412" i="2"/>
  <c r="N1411" i="2"/>
  <c r="M1411" i="2"/>
  <c r="N1410" i="2"/>
  <c r="M1410" i="2"/>
  <c r="N1409" i="2"/>
  <c r="M1409" i="2"/>
  <c r="N1408" i="2"/>
  <c r="M1408" i="2"/>
  <c r="N1407" i="2"/>
  <c r="M1407" i="2"/>
  <c r="N1406" i="2"/>
  <c r="M1406" i="2"/>
  <c r="N1405" i="2"/>
  <c r="M1405" i="2"/>
  <c r="N1404" i="2"/>
  <c r="M1404" i="2"/>
  <c r="N1403" i="2"/>
  <c r="M1403" i="2"/>
  <c r="N1402" i="2"/>
  <c r="M1402" i="2"/>
  <c r="N1401" i="2"/>
  <c r="M1401" i="2"/>
  <c r="N1400" i="2"/>
  <c r="M1400" i="2"/>
  <c r="N1399" i="2"/>
  <c r="M1399" i="2"/>
  <c r="N1398" i="2"/>
  <c r="M1398" i="2"/>
  <c r="N1397" i="2"/>
  <c r="M1397" i="2"/>
  <c r="N1396" i="2"/>
  <c r="M1396" i="2"/>
  <c r="N1395" i="2"/>
  <c r="M1395" i="2"/>
  <c r="N1394" i="2"/>
  <c r="M1394" i="2"/>
  <c r="N1393" i="2"/>
  <c r="M1393" i="2"/>
  <c r="N1392" i="2"/>
  <c r="M1392" i="2"/>
  <c r="N1391" i="2"/>
  <c r="M1391" i="2"/>
  <c r="N1390" i="2"/>
  <c r="M1390" i="2"/>
  <c r="N1389" i="2"/>
  <c r="M1389" i="2"/>
  <c r="N1388" i="2"/>
  <c r="M1388" i="2"/>
  <c r="N1387" i="2"/>
  <c r="M1387" i="2"/>
  <c r="N1386" i="2"/>
  <c r="M1386" i="2"/>
  <c r="N1385" i="2"/>
  <c r="M1385" i="2"/>
  <c r="N1384" i="2"/>
  <c r="M1384" i="2"/>
  <c r="N1383" i="2"/>
  <c r="M1383" i="2"/>
  <c r="N1382" i="2"/>
  <c r="M1382" i="2"/>
  <c r="N1381" i="2"/>
  <c r="M1381" i="2"/>
  <c r="N1380" i="2"/>
  <c r="M1380" i="2"/>
  <c r="N1379" i="2"/>
  <c r="M1379" i="2"/>
  <c r="N1378" i="2"/>
  <c r="M1378" i="2"/>
  <c r="N1377" i="2"/>
  <c r="M1377" i="2"/>
  <c r="N1376" i="2"/>
  <c r="M1376" i="2"/>
  <c r="N1375" i="2"/>
  <c r="M1375" i="2"/>
  <c r="N1374" i="2"/>
  <c r="M1374" i="2"/>
  <c r="N1373" i="2"/>
  <c r="M1373" i="2"/>
  <c r="N1372" i="2"/>
  <c r="M1372" i="2"/>
  <c r="N1371" i="2"/>
  <c r="M1371" i="2"/>
  <c r="N1370" i="2"/>
  <c r="M1370" i="2"/>
  <c r="N1369" i="2"/>
  <c r="M1369" i="2"/>
  <c r="N1368" i="2"/>
  <c r="M1368" i="2"/>
  <c r="N1367" i="2"/>
  <c r="M1367" i="2"/>
  <c r="N1366" i="2"/>
  <c r="M1366" i="2"/>
  <c r="N1365" i="2"/>
  <c r="M1365" i="2"/>
  <c r="N1364" i="2"/>
  <c r="M1364" i="2"/>
  <c r="N1363" i="2"/>
  <c r="M1363" i="2"/>
  <c r="N1362" i="2"/>
  <c r="M1362" i="2"/>
  <c r="N1361" i="2"/>
  <c r="M1361" i="2"/>
  <c r="N1360" i="2"/>
  <c r="M1360" i="2"/>
  <c r="N1359" i="2"/>
  <c r="M1359" i="2"/>
  <c r="N1358" i="2"/>
  <c r="M1358" i="2"/>
  <c r="N1357" i="2"/>
  <c r="M1357" i="2"/>
  <c r="N1356" i="2"/>
  <c r="M1356" i="2"/>
  <c r="N1355" i="2"/>
  <c r="M1355" i="2"/>
  <c r="N1354" i="2"/>
  <c r="M1354" i="2"/>
  <c r="N1353" i="2"/>
  <c r="M1353" i="2"/>
  <c r="N1352" i="2"/>
  <c r="M1352" i="2"/>
  <c r="N1351" i="2"/>
  <c r="M1351" i="2"/>
  <c r="N1350" i="2"/>
  <c r="M1350" i="2"/>
  <c r="N1349" i="2"/>
  <c r="M1349" i="2"/>
  <c r="N1348" i="2"/>
  <c r="M1348" i="2"/>
  <c r="N1347" i="2"/>
  <c r="M1347" i="2"/>
  <c r="N1346" i="2"/>
  <c r="M1346" i="2"/>
  <c r="N1345" i="2"/>
  <c r="M1345" i="2"/>
  <c r="N1344" i="2"/>
  <c r="M1344" i="2"/>
  <c r="N1343" i="2"/>
  <c r="M1343" i="2"/>
  <c r="N1342" i="2"/>
  <c r="M1342" i="2"/>
  <c r="N1341" i="2"/>
  <c r="M1341" i="2"/>
  <c r="N1340" i="2"/>
  <c r="M1340" i="2"/>
  <c r="N1339" i="2"/>
  <c r="M1339" i="2"/>
  <c r="N1338" i="2"/>
  <c r="M1338" i="2"/>
  <c r="N1337" i="2"/>
  <c r="M1337" i="2"/>
  <c r="N1336" i="2"/>
  <c r="M1336" i="2"/>
  <c r="N1335" i="2"/>
  <c r="M1335" i="2"/>
  <c r="N1334" i="2"/>
  <c r="M1334" i="2"/>
  <c r="N1333" i="2"/>
  <c r="M1333" i="2"/>
  <c r="N1332" i="2"/>
  <c r="M1332" i="2"/>
  <c r="N1331" i="2"/>
  <c r="M1331" i="2"/>
  <c r="N1330" i="2"/>
  <c r="M1330" i="2"/>
  <c r="N1329" i="2"/>
  <c r="M1329" i="2"/>
  <c r="N1328" i="2"/>
  <c r="M1328" i="2"/>
  <c r="N1327" i="2"/>
  <c r="M1327" i="2"/>
  <c r="N1326" i="2"/>
  <c r="M1326" i="2"/>
  <c r="N1325" i="2"/>
  <c r="M1325" i="2"/>
  <c r="N1324" i="2"/>
  <c r="M1324" i="2"/>
  <c r="N1323" i="2"/>
  <c r="M1323" i="2"/>
  <c r="N1322" i="2"/>
  <c r="M1322" i="2"/>
  <c r="N1321" i="2"/>
  <c r="M1321" i="2"/>
  <c r="N1320" i="2"/>
  <c r="M1320" i="2"/>
  <c r="N1319" i="2"/>
  <c r="M1319" i="2"/>
  <c r="N1318" i="2"/>
  <c r="M1318" i="2"/>
  <c r="N1317" i="2"/>
  <c r="M1317" i="2"/>
  <c r="N1316" i="2"/>
  <c r="M1316" i="2"/>
  <c r="N1315" i="2"/>
  <c r="M1315" i="2"/>
  <c r="N1314" i="2"/>
  <c r="M1314" i="2"/>
  <c r="N1313" i="2"/>
  <c r="M1313" i="2"/>
  <c r="N1312" i="2"/>
  <c r="M1312" i="2"/>
  <c r="N1311" i="2"/>
  <c r="M1311" i="2"/>
  <c r="N1310" i="2"/>
  <c r="M1310" i="2"/>
  <c r="N1309" i="2"/>
  <c r="M1309" i="2"/>
  <c r="N1308" i="2"/>
  <c r="M1308" i="2"/>
  <c r="N1307" i="2"/>
  <c r="M1307" i="2"/>
  <c r="N1306" i="2"/>
  <c r="M1306" i="2"/>
  <c r="N1305" i="2"/>
  <c r="M1305" i="2"/>
  <c r="N1304" i="2"/>
  <c r="M1304" i="2"/>
  <c r="N1303" i="2"/>
  <c r="M1303" i="2"/>
  <c r="N1302" i="2"/>
  <c r="M1302" i="2"/>
  <c r="N1301" i="2"/>
  <c r="M1301" i="2"/>
  <c r="N1300" i="2"/>
  <c r="M1300" i="2"/>
  <c r="N1299" i="2"/>
  <c r="M1299" i="2"/>
  <c r="N1298" i="2"/>
  <c r="M1298" i="2"/>
  <c r="N1297" i="2"/>
  <c r="M1297" i="2"/>
  <c r="N1296" i="2"/>
  <c r="M1296" i="2"/>
  <c r="N1295" i="2"/>
  <c r="M1295" i="2"/>
  <c r="N1294" i="2"/>
  <c r="M1294" i="2"/>
  <c r="N1293" i="2"/>
  <c r="M1293" i="2"/>
  <c r="N1292" i="2"/>
  <c r="M1292" i="2"/>
  <c r="N1291" i="2"/>
  <c r="M1291" i="2"/>
  <c r="N1290" i="2"/>
  <c r="M1290" i="2"/>
  <c r="N1289" i="2"/>
  <c r="M1289" i="2"/>
  <c r="N1288" i="2"/>
  <c r="M1288" i="2"/>
  <c r="N1287" i="2"/>
  <c r="M1287" i="2"/>
  <c r="N1286" i="2"/>
  <c r="M1286" i="2"/>
  <c r="N1285" i="2"/>
  <c r="M1285" i="2"/>
  <c r="N1284" i="2"/>
  <c r="M1284" i="2"/>
  <c r="N1283" i="2"/>
  <c r="M1283" i="2"/>
  <c r="N1282" i="2"/>
  <c r="M1282" i="2"/>
  <c r="N1281" i="2"/>
  <c r="M1281" i="2"/>
  <c r="N1280" i="2"/>
  <c r="M1280" i="2"/>
  <c r="N1279" i="2"/>
  <c r="M1279" i="2"/>
  <c r="N1278" i="2"/>
  <c r="M1278" i="2"/>
  <c r="N1277" i="2"/>
  <c r="M1277" i="2"/>
  <c r="N1276" i="2"/>
  <c r="M1276" i="2"/>
  <c r="N1275" i="2"/>
  <c r="M1275" i="2"/>
  <c r="N1274" i="2"/>
  <c r="M1274" i="2"/>
  <c r="N1273" i="2"/>
  <c r="M1273" i="2"/>
  <c r="N1272" i="2"/>
  <c r="M1272" i="2"/>
  <c r="N1271" i="2"/>
  <c r="M1271" i="2"/>
  <c r="N1270" i="2"/>
  <c r="M1270" i="2"/>
  <c r="N1269" i="2"/>
  <c r="M1269" i="2"/>
  <c r="N1268" i="2"/>
  <c r="M1268" i="2"/>
  <c r="N1267" i="2"/>
  <c r="M1267" i="2"/>
  <c r="N1266" i="2"/>
  <c r="M1266" i="2"/>
  <c r="N1265" i="2"/>
  <c r="M1265" i="2"/>
  <c r="N1264" i="2"/>
  <c r="M1264" i="2"/>
  <c r="N1263" i="2"/>
  <c r="M1263" i="2"/>
  <c r="N1262" i="2"/>
  <c r="M1262" i="2"/>
  <c r="N1261" i="2"/>
  <c r="M1261" i="2"/>
  <c r="N1260" i="2"/>
  <c r="M1260" i="2"/>
  <c r="N1259" i="2"/>
  <c r="M1259" i="2"/>
  <c r="N1258" i="2"/>
  <c r="M1258" i="2"/>
  <c r="N1257" i="2"/>
  <c r="M1257" i="2"/>
  <c r="N1256" i="2"/>
  <c r="M1256" i="2"/>
  <c r="N1255" i="2"/>
  <c r="M1255" i="2"/>
  <c r="N1254" i="2"/>
  <c r="M1254" i="2"/>
  <c r="N1253" i="2"/>
  <c r="M1253" i="2"/>
  <c r="N1252" i="2"/>
  <c r="M1252" i="2"/>
  <c r="N1251" i="2"/>
  <c r="M1251" i="2"/>
  <c r="N1250" i="2"/>
  <c r="M1250" i="2"/>
  <c r="N1249" i="2"/>
  <c r="M1249" i="2"/>
  <c r="N1248" i="2"/>
  <c r="M1248" i="2"/>
  <c r="N1247" i="2"/>
  <c r="M1247" i="2"/>
  <c r="N1246" i="2"/>
  <c r="M1246" i="2"/>
  <c r="N1245" i="2"/>
  <c r="M1245" i="2"/>
  <c r="N1244" i="2"/>
  <c r="M1244" i="2"/>
  <c r="N1243" i="2"/>
  <c r="M1243" i="2"/>
  <c r="N1242" i="2"/>
  <c r="M1242" i="2"/>
  <c r="N1241" i="2"/>
  <c r="M1241" i="2"/>
  <c r="N1240" i="2"/>
  <c r="M1240" i="2"/>
  <c r="N1239" i="2"/>
  <c r="M1239" i="2"/>
  <c r="N1238" i="2"/>
  <c r="M1238" i="2"/>
  <c r="N1237" i="2"/>
  <c r="M1237" i="2"/>
  <c r="N1236" i="2"/>
  <c r="M1236" i="2"/>
  <c r="N1235" i="2"/>
  <c r="M1235" i="2"/>
  <c r="N1234" i="2"/>
  <c r="M1234" i="2"/>
  <c r="N1233" i="2"/>
  <c r="M1233" i="2"/>
  <c r="N1232" i="2"/>
  <c r="M1232" i="2"/>
  <c r="N1231" i="2"/>
  <c r="M1231" i="2"/>
  <c r="N1230" i="2"/>
  <c r="M1230" i="2"/>
  <c r="N1229" i="2"/>
  <c r="M1229" i="2"/>
  <c r="N1228" i="2"/>
  <c r="M1228" i="2"/>
  <c r="N1227" i="2"/>
  <c r="M1227" i="2"/>
  <c r="N1226" i="2"/>
  <c r="M1226" i="2"/>
  <c r="N1225" i="2"/>
  <c r="M1225" i="2"/>
  <c r="N1224" i="2"/>
  <c r="M1224" i="2"/>
  <c r="N1223" i="2"/>
  <c r="M1223" i="2"/>
  <c r="N1222" i="2"/>
  <c r="M1222" i="2"/>
  <c r="N1221" i="2"/>
  <c r="M1221" i="2"/>
  <c r="N1220" i="2"/>
  <c r="M1220" i="2"/>
  <c r="N1219" i="2"/>
  <c r="M1219" i="2"/>
  <c r="N1218" i="2"/>
  <c r="M1218" i="2"/>
  <c r="N1217" i="2"/>
  <c r="M1217" i="2"/>
  <c r="N1216" i="2"/>
  <c r="M1216" i="2"/>
  <c r="N1215" i="2"/>
  <c r="M1215" i="2"/>
  <c r="N1214" i="2"/>
  <c r="M1214" i="2"/>
  <c r="N1213" i="2"/>
  <c r="M1213" i="2"/>
  <c r="N1212" i="2"/>
  <c r="M1212" i="2"/>
  <c r="N1211" i="2"/>
  <c r="M1211" i="2"/>
  <c r="N1210" i="2"/>
  <c r="M1210" i="2"/>
  <c r="N1209" i="2"/>
  <c r="M1209" i="2"/>
  <c r="N1208" i="2"/>
  <c r="M1208" i="2"/>
  <c r="N1207" i="2"/>
  <c r="M1207" i="2"/>
  <c r="N1206" i="2"/>
  <c r="M1206" i="2"/>
  <c r="N1205" i="2"/>
  <c r="M1205" i="2"/>
  <c r="N1204" i="2"/>
  <c r="M1204" i="2"/>
  <c r="N1203" i="2"/>
  <c r="M1203" i="2"/>
  <c r="N1202" i="2"/>
  <c r="M1202" i="2"/>
  <c r="N1201" i="2"/>
  <c r="M1201" i="2"/>
  <c r="N1200" i="2"/>
  <c r="M1200" i="2"/>
  <c r="N1199" i="2"/>
  <c r="M1199" i="2"/>
  <c r="N1198" i="2"/>
  <c r="M1198" i="2"/>
  <c r="N1197" i="2"/>
  <c r="M1197" i="2"/>
  <c r="N1196" i="2"/>
  <c r="M1196" i="2"/>
  <c r="N1195" i="2"/>
  <c r="M1195" i="2"/>
  <c r="N1194" i="2"/>
  <c r="M1194" i="2"/>
  <c r="N1193" i="2"/>
  <c r="M1193" i="2"/>
  <c r="N1192" i="2"/>
  <c r="M1192" i="2"/>
  <c r="N1191" i="2"/>
  <c r="M1191" i="2"/>
  <c r="N1190" i="2"/>
  <c r="M1190" i="2"/>
  <c r="N1189" i="2"/>
  <c r="M1189" i="2"/>
  <c r="N1188" i="2"/>
  <c r="M1188" i="2"/>
  <c r="N1187" i="2"/>
  <c r="M1187" i="2"/>
  <c r="N1186" i="2"/>
  <c r="M1186" i="2"/>
  <c r="N1185" i="2"/>
  <c r="M1185" i="2"/>
  <c r="N1184" i="2"/>
  <c r="M1184" i="2"/>
  <c r="N1183" i="2"/>
  <c r="M1183" i="2"/>
  <c r="N1182" i="2"/>
  <c r="M1182" i="2"/>
  <c r="N1181" i="2"/>
  <c r="M1181" i="2"/>
  <c r="N1180" i="2"/>
  <c r="M1180" i="2"/>
  <c r="N1179" i="2"/>
  <c r="M1179" i="2"/>
  <c r="N1178" i="2"/>
  <c r="M1178" i="2"/>
  <c r="N1177" i="2"/>
  <c r="M1177" i="2"/>
  <c r="N1176" i="2"/>
  <c r="M1176" i="2"/>
  <c r="N1175" i="2"/>
  <c r="M1175" i="2"/>
  <c r="N1174" i="2"/>
  <c r="M1174" i="2"/>
  <c r="N1173" i="2"/>
  <c r="M1173" i="2"/>
  <c r="N1172" i="2"/>
  <c r="M1172" i="2"/>
  <c r="N1171" i="2"/>
  <c r="M1171" i="2"/>
  <c r="N1170" i="2"/>
  <c r="M1170" i="2"/>
  <c r="N1169" i="2"/>
  <c r="M1169" i="2"/>
  <c r="N1168" i="2"/>
  <c r="M1168" i="2"/>
  <c r="N1167" i="2"/>
  <c r="M1167" i="2"/>
  <c r="N1166" i="2"/>
  <c r="M1166" i="2"/>
  <c r="N1165" i="2"/>
  <c r="M1165" i="2"/>
  <c r="N1164" i="2"/>
  <c r="M1164" i="2"/>
  <c r="N1163" i="2"/>
  <c r="M1163" i="2"/>
  <c r="N1162" i="2"/>
  <c r="M1162" i="2"/>
  <c r="N1161" i="2"/>
  <c r="M1161" i="2"/>
  <c r="N1160" i="2"/>
  <c r="M1160" i="2"/>
  <c r="N1159" i="2"/>
  <c r="M1159" i="2"/>
  <c r="N1158" i="2"/>
  <c r="M1158" i="2"/>
  <c r="N1157" i="2"/>
  <c r="M1157" i="2"/>
  <c r="N1156" i="2"/>
  <c r="M1156" i="2"/>
  <c r="N1155" i="2"/>
  <c r="M1155" i="2"/>
  <c r="N1154" i="2"/>
  <c r="M1154" i="2"/>
  <c r="N1153" i="2"/>
  <c r="M1153" i="2"/>
  <c r="N1152" i="2"/>
  <c r="M1152" i="2"/>
  <c r="N1151" i="2"/>
  <c r="M1151" i="2"/>
  <c r="N1150" i="2"/>
  <c r="M1150" i="2"/>
  <c r="N1149" i="2"/>
  <c r="M1149" i="2"/>
  <c r="N1148" i="2"/>
  <c r="M1148" i="2"/>
  <c r="N1147" i="2"/>
  <c r="M1147" i="2"/>
  <c r="N1146" i="2"/>
  <c r="M1146" i="2"/>
  <c r="N1145" i="2"/>
  <c r="M1145" i="2"/>
  <c r="N1144" i="2"/>
  <c r="M1144" i="2"/>
  <c r="N1143" i="2"/>
  <c r="M1143" i="2"/>
  <c r="N1142" i="2"/>
  <c r="M1142" i="2"/>
  <c r="N1141" i="2"/>
  <c r="M1141" i="2"/>
  <c r="N1140" i="2"/>
  <c r="M1140" i="2"/>
  <c r="N1139" i="2"/>
  <c r="M1139" i="2"/>
  <c r="N1138" i="2"/>
  <c r="M1138" i="2"/>
  <c r="N1137" i="2"/>
  <c r="M1137" i="2"/>
  <c r="N1136" i="2"/>
  <c r="M1136" i="2"/>
  <c r="N1135" i="2"/>
  <c r="M1135" i="2"/>
  <c r="N1134" i="2"/>
  <c r="M1134" i="2"/>
  <c r="N1133" i="2"/>
  <c r="M1133" i="2"/>
  <c r="N1132" i="2"/>
  <c r="M1132" i="2"/>
  <c r="N1131" i="2"/>
  <c r="M1131" i="2"/>
  <c r="N1130" i="2"/>
  <c r="M1130" i="2"/>
  <c r="N1129" i="2"/>
  <c r="M1129" i="2"/>
  <c r="N1128" i="2"/>
  <c r="M1128" i="2"/>
  <c r="N1127" i="2"/>
  <c r="M1127" i="2"/>
  <c r="N1126" i="2"/>
  <c r="M1126" i="2"/>
  <c r="N1125" i="2"/>
  <c r="M1125" i="2"/>
  <c r="N1124" i="2"/>
  <c r="M1124" i="2"/>
  <c r="N1123" i="2"/>
  <c r="M1123" i="2"/>
  <c r="N1122" i="2"/>
  <c r="M1122" i="2"/>
  <c r="N1121" i="2"/>
  <c r="M1121" i="2"/>
  <c r="N1120" i="2"/>
  <c r="M1120" i="2"/>
  <c r="N1119" i="2"/>
  <c r="M1119" i="2"/>
  <c r="N1118" i="2"/>
  <c r="M1118" i="2"/>
  <c r="N1117" i="2"/>
  <c r="M1117" i="2"/>
  <c r="N1116" i="2"/>
  <c r="M1116" i="2"/>
  <c r="N1115" i="2"/>
  <c r="M1115" i="2"/>
  <c r="N1114" i="2"/>
  <c r="M1114" i="2"/>
  <c r="N1113" i="2"/>
  <c r="M1113" i="2"/>
  <c r="N1112" i="2"/>
  <c r="M1112" i="2"/>
  <c r="N1111" i="2"/>
  <c r="M1111" i="2"/>
  <c r="N1110" i="2"/>
  <c r="M1110" i="2"/>
  <c r="N1109" i="2"/>
  <c r="M1109" i="2"/>
  <c r="N1108" i="2"/>
  <c r="M1108" i="2"/>
  <c r="N1107" i="2"/>
  <c r="M1107" i="2"/>
  <c r="N1106" i="2"/>
  <c r="M1106" i="2"/>
  <c r="N1105" i="2"/>
  <c r="M1105" i="2"/>
  <c r="N1104" i="2"/>
  <c r="M1104" i="2"/>
  <c r="N1103" i="2"/>
  <c r="M1103" i="2"/>
  <c r="N1102" i="2"/>
  <c r="M1102" i="2"/>
  <c r="N1101" i="2"/>
  <c r="M1101" i="2"/>
  <c r="N1100" i="2"/>
  <c r="M1100" i="2"/>
  <c r="N1099" i="2"/>
  <c r="M1099" i="2"/>
  <c r="N1098" i="2"/>
  <c r="M1098" i="2"/>
  <c r="N1097" i="2"/>
  <c r="M1097" i="2"/>
  <c r="N1096" i="2"/>
  <c r="M1096" i="2"/>
  <c r="N1095" i="2"/>
  <c r="M1095" i="2"/>
  <c r="N1094" i="2"/>
  <c r="M1094" i="2"/>
  <c r="N1093" i="2"/>
  <c r="M1093" i="2"/>
  <c r="N1092" i="2"/>
  <c r="M1092" i="2"/>
  <c r="N1091" i="2"/>
  <c r="M1091" i="2"/>
  <c r="N1090" i="2"/>
  <c r="M1090" i="2"/>
  <c r="N1089" i="2"/>
  <c r="M1089" i="2"/>
  <c r="N1088" i="2"/>
  <c r="M1088" i="2"/>
  <c r="N1087" i="2"/>
  <c r="M1087" i="2"/>
  <c r="N1086" i="2"/>
  <c r="M1086" i="2"/>
  <c r="N1085" i="2"/>
  <c r="M1085" i="2"/>
  <c r="N1084" i="2"/>
  <c r="M1084" i="2"/>
  <c r="N1083" i="2"/>
  <c r="M1083" i="2"/>
  <c r="N1082" i="2"/>
  <c r="M1082" i="2"/>
  <c r="N1081" i="2"/>
  <c r="M1081" i="2"/>
  <c r="N1080" i="2"/>
  <c r="M1080" i="2"/>
  <c r="N1079" i="2"/>
  <c r="M1079" i="2"/>
  <c r="N1078" i="2"/>
  <c r="M1078" i="2"/>
  <c r="N1077" i="2"/>
  <c r="M1077" i="2"/>
  <c r="N1076" i="2"/>
  <c r="M1076" i="2"/>
  <c r="N1075" i="2"/>
  <c r="M1075" i="2"/>
  <c r="N1074" i="2"/>
  <c r="M1074" i="2"/>
  <c r="N1073" i="2"/>
  <c r="M1073" i="2"/>
  <c r="N1072" i="2"/>
  <c r="M1072" i="2"/>
  <c r="N1071" i="2"/>
  <c r="M1071" i="2"/>
  <c r="N1070" i="2"/>
  <c r="M1070" i="2"/>
  <c r="N1069" i="2"/>
  <c r="M1069" i="2"/>
  <c r="N1068" i="2"/>
  <c r="M1068" i="2"/>
  <c r="N1067" i="2"/>
  <c r="M1067" i="2"/>
  <c r="N1066" i="2"/>
  <c r="M1066" i="2"/>
  <c r="N1065" i="2"/>
  <c r="M1065" i="2"/>
  <c r="N1064" i="2"/>
  <c r="M1064" i="2"/>
  <c r="N1063" i="2"/>
  <c r="M1063" i="2"/>
  <c r="N1062" i="2"/>
  <c r="M1062" i="2"/>
  <c r="N1061" i="2"/>
  <c r="M1061" i="2"/>
  <c r="N1060" i="2"/>
  <c r="M1060" i="2"/>
  <c r="N1059" i="2"/>
  <c r="M1059" i="2"/>
  <c r="N1058" i="2"/>
  <c r="M1058" i="2"/>
  <c r="N1057" i="2"/>
  <c r="M1057" i="2"/>
  <c r="N1056" i="2"/>
  <c r="M1056" i="2"/>
  <c r="N1055" i="2"/>
  <c r="M1055" i="2"/>
  <c r="N1054" i="2"/>
  <c r="M1054" i="2"/>
  <c r="N1053" i="2"/>
  <c r="M1053" i="2"/>
  <c r="N1052" i="2"/>
  <c r="M1052" i="2"/>
  <c r="N1051" i="2"/>
  <c r="M1051" i="2"/>
  <c r="N1050" i="2"/>
  <c r="M1050" i="2"/>
  <c r="N1049" i="2"/>
  <c r="M1049" i="2"/>
  <c r="N1048" i="2"/>
  <c r="M1048" i="2"/>
  <c r="N1047" i="2"/>
  <c r="M1047" i="2"/>
  <c r="N1046" i="2"/>
  <c r="M1046" i="2"/>
  <c r="N1045" i="2"/>
  <c r="M1045" i="2"/>
  <c r="N1044" i="2"/>
  <c r="M1044" i="2"/>
  <c r="N1043" i="2"/>
  <c r="M1043" i="2"/>
  <c r="N1042" i="2"/>
  <c r="M1042" i="2"/>
  <c r="N1041" i="2"/>
  <c r="M1041" i="2"/>
  <c r="N1040" i="2"/>
  <c r="M1040" i="2"/>
  <c r="N1039" i="2"/>
  <c r="M1039" i="2"/>
  <c r="N1038" i="2"/>
  <c r="M1038" i="2"/>
  <c r="N1037" i="2"/>
  <c r="M1037" i="2"/>
  <c r="N1036" i="2"/>
  <c r="M1036" i="2"/>
  <c r="N1035" i="2"/>
  <c r="M1035" i="2"/>
  <c r="N1034" i="2"/>
  <c r="M1034" i="2"/>
  <c r="N1033" i="2"/>
  <c r="M1033" i="2"/>
  <c r="N1032" i="2"/>
  <c r="M1032" i="2"/>
  <c r="N1031" i="2"/>
  <c r="M1031" i="2"/>
  <c r="N1030" i="2"/>
  <c r="M1030" i="2"/>
  <c r="N1029" i="2"/>
  <c r="M1029" i="2"/>
  <c r="N1028" i="2"/>
  <c r="M1028" i="2"/>
  <c r="N1027" i="2"/>
  <c r="M1027" i="2"/>
  <c r="N1026" i="2"/>
  <c r="M1026" i="2"/>
  <c r="N1025" i="2"/>
  <c r="M1025" i="2"/>
  <c r="N1024" i="2"/>
  <c r="M1024" i="2"/>
  <c r="N1023" i="2"/>
  <c r="M1023" i="2"/>
  <c r="N1022" i="2"/>
  <c r="M1022" i="2"/>
  <c r="N1021" i="2"/>
  <c r="M1021" i="2"/>
  <c r="N1020" i="2"/>
  <c r="M1020" i="2"/>
  <c r="N1019" i="2"/>
  <c r="M1019" i="2"/>
  <c r="N1018" i="2"/>
  <c r="M1018" i="2"/>
  <c r="N1017" i="2"/>
  <c r="M1017" i="2"/>
  <c r="N1016" i="2"/>
  <c r="M1016" i="2"/>
  <c r="N1015" i="2"/>
  <c r="M1015" i="2"/>
  <c r="N1014" i="2"/>
  <c r="M1014" i="2"/>
  <c r="N1013" i="2"/>
  <c r="M1013" i="2"/>
  <c r="N1012" i="2"/>
  <c r="M1012" i="2"/>
  <c r="N1011" i="2"/>
  <c r="M1011" i="2"/>
  <c r="N1010" i="2"/>
  <c r="M1010" i="2"/>
  <c r="N1009" i="2"/>
  <c r="M1009" i="2"/>
  <c r="N1008" i="2"/>
  <c r="M1008" i="2"/>
  <c r="N1007" i="2"/>
  <c r="M1007" i="2"/>
  <c r="N1006" i="2"/>
  <c r="M1006" i="2"/>
  <c r="N1005" i="2"/>
  <c r="M1005" i="2"/>
  <c r="N1004" i="2"/>
  <c r="M1004" i="2"/>
  <c r="N1003" i="2"/>
  <c r="M1003" i="2"/>
  <c r="N1002" i="2"/>
  <c r="M1002" i="2"/>
  <c r="N1001" i="2"/>
  <c r="M1001" i="2"/>
  <c r="N1000" i="2"/>
  <c r="M1000" i="2"/>
  <c r="N999" i="2"/>
  <c r="M999" i="2"/>
  <c r="N998" i="2"/>
  <c r="M998" i="2"/>
  <c r="N997" i="2"/>
  <c r="M997" i="2"/>
  <c r="N996" i="2"/>
  <c r="M996" i="2"/>
  <c r="N995" i="2"/>
  <c r="M995" i="2"/>
  <c r="N994" i="2"/>
  <c r="M994" i="2"/>
  <c r="N993" i="2"/>
  <c r="M993" i="2"/>
  <c r="N992" i="2"/>
  <c r="M992" i="2"/>
  <c r="N991" i="2"/>
  <c r="M991" i="2"/>
  <c r="N990" i="2"/>
  <c r="M990" i="2"/>
  <c r="N989" i="2"/>
  <c r="M989" i="2"/>
  <c r="N988" i="2"/>
  <c r="M988" i="2"/>
  <c r="N987" i="2"/>
  <c r="M987" i="2"/>
  <c r="N986" i="2"/>
  <c r="M986" i="2"/>
  <c r="N985" i="2"/>
  <c r="M985" i="2"/>
  <c r="N984" i="2"/>
  <c r="M984" i="2"/>
  <c r="N983" i="2"/>
  <c r="M983" i="2"/>
  <c r="N982" i="2"/>
  <c r="M982" i="2"/>
  <c r="N981" i="2"/>
  <c r="M981" i="2"/>
  <c r="N980" i="2"/>
  <c r="M980" i="2"/>
  <c r="N979" i="2"/>
  <c r="M979" i="2"/>
  <c r="N978" i="2"/>
  <c r="M978" i="2"/>
  <c r="N977" i="2"/>
  <c r="M977" i="2"/>
  <c r="N976" i="2"/>
  <c r="M976" i="2"/>
  <c r="N975" i="2"/>
  <c r="M975" i="2"/>
  <c r="N974" i="2"/>
  <c r="M974" i="2"/>
  <c r="N973" i="2"/>
  <c r="M973" i="2"/>
  <c r="N972" i="2"/>
  <c r="M972" i="2"/>
  <c r="N971" i="2"/>
  <c r="M971" i="2"/>
  <c r="N970" i="2"/>
  <c r="M970" i="2"/>
  <c r="N969" i="2"/>
  <c r="M969" i="2"/>
  <c r="N968" i="2"/>
  <c r="M968" i="2"/>
  <c r="N967" i="2"/>
  <c r="M967" i="2"/>
  <c r="N966" i="2"/>
  <c r="M966" i="2"/>
  <c r="N965" i="2"/>
  <c r="M965" i="2"/>
  <c r="N964" i="2"/>
  <c r="M964" i="2"/>
  <c r="N963" i="2"/>
  <c r="M963" i="2"/>
  <c r="N962" i="2"/>
  <c r="M962" i="2"/>
  <c r="N961" i="2"/>
  <c r="M961" i="2"/>
  <c r="N960" i="2"/>
  <c r="M960" i="2"/>
  <c r="N959" i="2"/>
  <c r="M959" i="2"/>
  <c r="N958" i="2"/>
  <c r="M958" i="2"/>
  <c r="N957" i="2"/>
  <c r="M957" i="2"/>
  <c r="N956" i="2"/>
  <c r="M956" i="2"/>
  <c r="N955" i="2"/>
  <c r="M955" i="2"/>
  <c r="N954" i="2"/>
  <c r="M954" i="2"/>
  <c r="N953" i="2"/>
  <c r="M953" i="2"/>
  <c r="N952" i="2"/>
  <c r="M952" i="2"/>
  <c r="N951" i="2"/>
  <c r="M951" i="2"/>
  <c r="N950" i="2"/>
  <c r="M950" i="2"/>
  <c r="N949" i="2"/>
  <c r="M949" i="2"/>
  <c r="N948" i="2"/>
  <c r="M948" i="2"/>
  <c r="N947" i="2"/>
  <c r="M947" i="2"/>
  <c r="N946" i="2"/>
  <c r="M946" i="2"/>
  <c r="N945" i="2"/>
  <c r="M945" i="2"/>
  <c r="N944" i="2"/>
  <c r="M944" i="2"/>
  <c r="N943" i="2"/>
  <c r="M943" i="2"/>
  <c r="N942" i="2"/>
  <c r="M942" i="2"/>
  <c r="N941" i="2"/>
  <c r="M941" i="2"/>
  <c r="N940" i="2"/>
  <c r="M940" i="2"/>
  <c r="N939" i="2"/>
  <c r="M939" i="2"/>
  <c r="N938" i="2"/>
  <c r="M938" i="2"/>
  <c r="N937" i="2"/>
  <c r="M937" i="2"/>
  <c r="N936" i="2"/>
  <c r="M936" i="2"/>
  <c r="N935" i="2"/>
  <c r="M935" i="2"/>
  <c r="N934" i="2"/>
  <c r="M934" i="2"/>
  <c r="N933" i="2"/>
  <c r="M933" i="2"/>
  <c r="N932" i="2"/>
  <c r="M932" i="2"/>
  <c r="N931" i="2"/>
  <c r="M931" i="2"/>
  <c r="N930" i="2"/>
  <c r="M930" i="2"/>
  <c r="N929" i="2"/>
  <c r="M929" i="2"/>
  <c r="N928" i="2"/>
  <c r="M928" i="2"/>
  <c r="N927" i="2"/>
  <c r="M927" i="2"/>
  <c r="N926" i="2"/>
  <c r="M926" i="2"/>
  <c r="N925" i="2"/>
  <c r="M925" i="2"/>
  <c r="N924" i="2"/>
  <c r="M924" i="2"/>
  <c r="N923" i="2"/>
  <c r="M923" i="2"/>
  <c r="N922" i="2"/>
  <c r="M922" i="2"/>
  <c r="N921" i="2"/>
  <c r="M921" i="2"/>
  <c r="N920" i="2"/>
  <c r="M920" i="2"/>
  <c r="N919" i="2"/>
  <c r="M919" i="2"/>
  <c r="N918" i="2"/>
  <c r="M918" i="2"/>
  <c r="N917" i="2"/>
  <c r="M917" i="2"/>
  <c r="N916" i="2"/>
  <c r="M916" i="2"/>
  <c r="N915" i="2"/>
  <c r="M915" i="2"/>
  <c r="N914" i="2"/>
  <c r="M914" i="2"/>
  <c r="N913" i="2"/>
  <c r="M913" i="2"/>
  <c r="N912" i="2"/>
  <c r="M912" i="2"/>
  <c r="N911" i="2"/>
  <c r="M911" i="2"/>
  <c r="N910" i="2"/>
  <c r="M910" i="2"/>
  <c r="N909" i="2"/>
  <c r="M909" i="2"/>
  <c r="N908" i="2"/>
  <c r="M908" i="2"/>
  <c r="N907" i="2"/>
  <c r="M907" i="2"/>
  <c r="N906" i="2"/>
  <c r="M906" i="2"/>
  <c r="N905" i="2"/>
  <c r="M905" i="2"/>
  <c r="N904" i="2"/>
  <c r="M904" i="2"/>
  <c r="N903" i="2"/>
  <c r="M903" i="2"/>
  <c r="N902" i="2"/>
  <c r="M902" i="2"/>
  <c r="N901" i="2"/>
  <c r="M901" i="2"/>
  <c r="N900" i="2"/>
  <c r="M900" i="2"/>
  <c r="N899" i="2"/>
  <c r="M899" i="2"/>
  <c r="N898" i="2"/>
  <c r="M898" i="2"/>
  <c r="N897" i="2"/>
  <c r="M897" i="2"/>
  <c r="N896" i="2"/>
  <c r="M896" i="2"/>
  <c r="N895" i="2"/>
  <c r="M895" i="2"/>
  <c r="N894" i="2"/>
  <c r="M894" i="2"/>
  <c r="N893" i="2"/>
  <c r="M893" i="2"/>
  <c r="N892" i="2"/>
  <c r="M892" i="2"/>
  <c r="N891" i="2"/>
  <c r="M891" i="2"/>
  <c r="N890" i="2"/>
  <c r="M890" i="2"/>
  <c r="N889" i="2"/>
  <c r="M889" i="2"/>
  <c r="N888" i="2"/>
  <c r="M888" i="2"/>
  <c r="N887" i="2"/>
  <c r="M887" i="2"/>
  <c r="N886" i="2"/>
  <c r="M886" i="2"/>
  <c r="N885" i="2"/>
  <c r="M885" i="2"/>
  <c r="N884" i="2"/>
  <c r="M884" i="2"/>
  <c r="N883" i="2"/>
  <c r="M883" i="2"/>
  <c r="N882" i="2"/>
  <c r="M882" i="2"/>
  <c r="N881" i="2"/>
  <c r="M881" i="2"/>
  <c r="N880" i="2"/>
  <c r="M880" i="2"/>
  <c r="N879" i="2"/>
  <c r="M879" i="2"/>
  <c r="N878" i="2"/>
  <c r="M878" i="2"/>
  <c r="N877" i="2"/>
  <c r="M877" i="2"/>
  <c r="N876" i="2"/>
  <c r="M876" i="2"/>
  <c r="N875" i="2"/>
  <c r="M875" i="2"/>
  <c r="N874" i="2"/>
  <c r="M874" i="2"/>
  <c r="N873" i="2"/>
  <c r="M873" i="2"/>
  <c r="N872" i="2"/>
  <c r="M872" i="2"/>
  <c r="N871" i="2"/>
  <c r="M871" i="2"/>
  <c r="N870" i="2"/>
  <c r="M870" i="2"/>
  <c r="N869" i="2"/>
  <c r="M869" i="2"/>
  <c r="N868" i="2"/>
  <c r="M868" i="2"/>
  <c r="N867" i="2"/>
  <c r="M867" i="2"/>
  <c r="N866" i="2"/>
  <c r="M866" i="2"/>
  <c r="N865" i="2"/>
  <c r="M865" i="2"/>
  <c r="N864" i="2"/>
  <c r="M864" i="2"/>
  <c r="N863" i="2"/>
  <c r="M863" i="2"/>
  <c r="N862" i="2"/>
  <c r="M862" i="2"/>
  <c r="N861" i="2"/>
  <c r="M861" i="2"/>
  <c r="N860" i="2"/>
  <c r="M860" i="2"/>
  <c r="N859" i="2"/>
  <c r="M859" i="2"/>
  <c r="N858" i="2"/>
  <c r="M858" i="2"/>
  <c r="N857" i="2"/>
  <c r="M857" i="2"/>
  <c r="N856" i="2"/>
  <c r="M856" i="2"/>
  <c r="N855" i="2"/>
  <c r="M855" i="2"/>
  <c r="N854" i="2"/>
  <c r="M854" i="2"/>
  <c r="N853" i="2"/>
  <c r="M853" i="2"/>
  <c r="N852" i="2"/>
  <c r="M852" i="2"/>
  <c r="N851" i="2"/>
  <c r="M851" i="2"/>
  <c r="N850" i="2"/>
  <c r="M850" i="2"/>
  <c r="N849" i="2"/>
  <c r="M849" i="2"/>
  <c r="N848" i="2"/>
  <c r="M848" i="2"/>
  <c r="N847" i="2"/>
  <c r="M847" i="2"/>
  <c r="N846" i="2"/>
  <c r="M846" i="2"/>
  <c r="N845" i="2"/>
  <c r="M845" i="2"/>
  <c r="N844" i="2"/>
  <c r="M844" i="2"/>
  <c r="N843" i="2"/>
  <c r="M843" i="2"/>
  <c r="N842" i="2"/>
  <c r="M842" i="2"/>
  <c r="N841" i="2"/>
  <c r="M841" i="2"/>
  <c r="N840" i="2"/>
  <c r="M840" i="2"/>
  <c r="N839" i="2"/>
  <c r="M839" i="2"/>
  <c r="N838" i="2"/>
  <c r="M838" i="2"/>
  <c r="N837" i="2"/>
  <c r="M837" i="2"/>
  <c r="N836" i="2"/>
  <c r="M836" i="2"/>
  <c r="N835" i="2"/>
  <c r="M835" i="2"/>
  <c r="N834" i="2"/>
  <c r="M834" i="2"/>
  <c r="N833" i="2"/>
  <c r="M833" i="2"/>
  <c r="N832" i="2"/>
  <c r="M832" i="2"/>
  <c r="N831" i="2"/>
  <c r="M831" i="2"/>
  <c r="N830" i="2"/>
  <c r="M830" i="2"/>
  <c r="N829" i="2"/>
  <c r="M829" i="2"/>
  <c r="N828" i="2"/>
  <c r="M828" i="2"/>
  <c r="N827" i="2"/>
  <c r="M827" i="2"/>
  <c r="N826" i="2"/>
  <c r="M826" i="2"/>
  <c r="N825" i="2"/>
  <c r="M825" i="2"/>
  <c r="N824" i="2"/>
  <c r="M824" i="2"/>
  <c r="N823" i="2"/>
  <c r="M823" i="2"/>
  <c r="N822" i="2"/>
  <c r="M822" i="2"/>
  <c r="N821" i="2"/>
  <c r="M821" i="2"/>
  <c r="N820" i="2"/>
  <c r="M820" i="2"/>
  <c r="N819" i="2"/>
  <c r="M819" i="2"/>
  <c r="N818" i="2"/>
  <c r="M818" i="2"/>
  <c r="N817" i="2"/>
  <c r="M817" i="2"/>
  <c r="N816" i="2"/>
  <c r="M816" i="2"/>
  <c r="N815" i="2"/>
  <c r="M815" i="2"/>
  <c r="N814" i="2"/>
  <c r="M814" i="2"/>
  <c r="N813" i="2"/>
  <c r="M813" i="2"/>
  <c r="N812" i="2"/>
  <c r="M812" i="2"/>
  <c r="N811" i="2"/>
  <c r="M811" i="2"/>
  <c r="N810" i="2"/>
  <c r="M810" i="2"/>
  <c r="N809" i="2"/>
  <c r="M809" i="2"/>
  <c r="N808" i="2"/>
  <c r="M808" i="2"/>
  <c r="N807" i="2"/>
  <c r="M807" i="2"/>
  <c r="N806" i="2"/>
  <c r="M806" i="2"/>
  <c r="N805" i="2"/>
  <c r="M805" i="2"/>
  <c r="N804" i="2"/>
  <c r="M804" i="2"/>
  <c r="N803" i="2"/>
  <c r="M803" i="2"/>
  <c r="N802" i="2"/>
  <c r="M802" i="2"/>
  <c r="N801" i="2"/>
  <c r="M801" i="2"/>
  <c r="N800" i="2"/>
  <c r="M800" i="2"/>
  <c r="N799" i="2"/>
  <c r="M799" i="2"/>
  <c r="N798" i="2"/>
  <c r="M798" i="2"/>
  <c r="N797" i="2"/>
  <c r="M797" i="2"/>
  <c r="N796" i="2"/>
  <c r="M796" i="2"/>
  <c r="N795" i="2"/>
  <c r="M795" i="2"/>
  <c r="N794" i="2"/>
  <c r="M794" i="2"/>
  <c r="N793" i="2"/>
  <c r="M793" i="2"/>
  <c r="N792" i="2"/>
  <c r="M792" i="2"/>
  <c r="N791" i="2"/>
  <c r="M791" i="2"/>
  <c r="N790" i="2"/>
  <c r="M790" i="2"/>
  <c r="N789" i="2"/>
  <c r="M789" i="2"/>
  <c r="N788" i="2"/>
  <c r="M788" i="2"/>
  <c r="N787" i="2"/>
  <c r="M787" i="2"/>
  <c r="N786" i="2"/>
  <c r="M786" i="2"/>
  <c r="N785" i="2"/>
  <c r="M785" i="2"/>
  <c r="N784" i="2"/>
  <c r="M784" i="2"/>
  <c r="N783" i="2"/>
  <c r="M783" i="2"/>
  <c r="N782" i="2"/>
  <c r="M782" i="2"/>
  <c r="N781" i="2"/>
  <c r="M781" i="2"/>
  <c r="N780" i="2"/>
  <c r="M780" i="2"/>
  <c r="N779" i="2"/>
  <c r="M779" i="2"/>
  <c r="N778" i="2"/>
  <c r="M778" i="2"/>
  <c r="N777" i="2"/>
  <c r="M777" i="2"/>
  <c r="N776" i="2"/>
  <c r="M776" i="2"/>
  <c r="N775" i="2"/>
  <c r="M775" i="2"/>
  <c r="N774" i="2"/>
  <c r="M774" i="2"/>
  <c r="N773" i="2"/>
  <c r="M773" i="2"/>
  <c r="N772" i="2"/>
  <c r="M772" i="2"/>
  <c r="N771" i="2"/>
  <c r="M771" i="2"/>
  <c r="N770" i="2"/>
  <c r="M770" i="2"/>
  <c r="N769" i="2"/>
  <c r="M769" i="2"/>
  <c r="N768" i="2"/>
  <c r="M768" i="2"/>
  <c r="N767" i="2"/>
  <c r="M767" i="2"/>
  <c r="N766" i="2"/>
  <c r="M766" i="2"/>
  <c r="N765" i="2"/>
  <c r="M765" i="2"/>
  <c r="N764" i="2"/>
  <c r="M764" i="2"/>
  <c r="N763" i="2"/>
  <c r="M763" i="2"/>
  <c r="N762" i="2"/>
  <c r="M762" i="2"/>
  <c r="N761" i="2"/>
  <c r="M761" i="2"/>
  <c r="N760" i="2"/>
  <c r="M760" i="2"/>
  <c r="N759" i="2"/>
  <c r="M759" i="2"/>
  <c r="N758" i="2"/>
  <c r="M758" i="2"/>
  <c r="N757" i="2"/>
  <c r="M757" i="2"/>
  <c r="N756" i="2"/>
  <c r="M756" i="2"/>
  <c r="N755" i="2"/>
  <c r="M755" i="2"/>
  <c r="N754" i="2"/>
  <c r="M754" i="2"/>
  <c r="N753" i="2"/>
  <c r="M753" i="2"/>
  <c r="N752" i="2"/>
  <c r="M752" i="2"/>
  <c r="N751" i="2"/>
  <c r="M751" i="2"/>
  <c r="N750" i="2"/>
  <c r="M750" i="2"/>
  <c r="N749" i="2"/>
  <c r="M749" i="2"/>
  <c r="N748" i="2"/>
  <c r="M748" i="2"/>
  <c r="N747" i="2"/>
  <c r="M747" i="2"/>
  <c r="N746" i="2"/>
  <c r="M746" i="2"/>
  <c r="N745" i="2"/>
  <c r="M745" i="2"/>
  <c r="N744" i="2"/>
  <c r="M744" i="2"/>
  <c r="N743" i="2"/>
  <c r="M743" i="2"/>
  <c r="N742" i="2"/>
  <c r="M742" i="2"/>
  <c r="N741" i="2"/>
  <c r="M741" i="2"/>
  <c r="N740" i="2"/>
  <c r="M740" i="2"/>
  <c r="N739" i="2"/>
  <c r="M739" i="2"/>
  <c r="N738" i="2"/>
  <c r="M738" i="2"/>
  <c r="N737" i="2"/>
  <c r="M737" i="2"/>
  <c r="N736" i="2"/>
  <c r="M736" i="2"/>
  <c r="N735" i="2"/>
  <c r="M735" i="2"/>
  <c r="N734" i="2"/>
  <c r="M734" i="2"/>
  <c r="N733" i="2"/>
  <c r="M733" i="2"/>
  <c r="N732" i="2"/>
  <c r="M732" i="2"/>
  <c r="N731" i="2"/>
  <c r="M731" i="2"/>
  <c r="N730" i="2"/>
  <c r="M730" i="2"/>
  <c r="N729" i="2"/>
  <c r="M729" i="2"/>
  <c r="N728" i="2"/>
  <c r="M728" i="2"/>
  <c r="N727" i="2"/>
  <c r="M727" i="2"/>
  <c r="N726" i="2"/>
  <c r="M726" i="2"/>
  <c r="N725" i="2"/>
  <c r="M725" i="2"/>
  <c r="N724" i="2"/>
  <c r="M724" i="2"/>
  <c r="N723" i="2"/>
  <c r="M723" i="2"/>
  <c r="N722" i="2"/>
  <c r="M722" i="2"/>
  <c r="N721" i="2"/>
  <c r="M721" i="2"/>
  <c r="N720" i="2"/>
  <c r="M720" i="2"/>
  <c r="N719" i="2"/>
  <c r="M719" i="2"/>
  <c r="N718" i="2"/>
  <c r="M718" i="2"/>
  <c r="N717" i="2"/>
  <c r="M717" i="2"/>
  <c r="N716" i="2"/>
  <c r="M716" i="2"/>
  <c r="N715" i="2"/>
  <c r="M715" i="2"/>
  <c r="N714" i="2"/>
  <c r="M714" i="2"/>
  <c r="N713" i="2"/>
  <c r="M713" i="2"/>
  <c r="N712" i="2"/>
  <c r="M712" i="2"/>
  <c r="N711" i="2"/>
  <c r="M711" i="2"/>
  <c r="N710" i="2"/>
  <c r="M710" i="2"/>
  <c r="N709" i="2"/>
  <c r="M709" i="2"/>
  <c r="N708" i="2"/>
  <c r="M708" i="2"/>
  <c r="N707" i="2"/>
  <c r="M707" i="2"/>
  <c r="N706" i="2"/>
  <c r="M706" i="2"/>
  <c r="N705" i="2"/>
  <c r="M705" i="2"/>
  <c r="N704" i="2"/>
  <c r="M704" i="2"/>
  <c r="N703" i="2"/>
  <c r="M703" i="2"/>
  <c r="N702" i="2"/>
  <c r="M702" i="2"/>
  <c r="N701" i="2"/>
  <c r="M701" i="2"/>
  <c r="N700" i="2"/>
  <c r="M700" i="2"/>
  <c r="N699" i="2"/>
  <c r="M699" i="2"/>
  <c r="N698" i="2"/>
  <c r="M698" i="2"/>
  <c r="N697" i="2"/>
  <c r="M697" i="2"/>
  <c r="N696" i="2"/>
  <c r="M696" i="2"/>
  <c r="N695" i="2"/>
  <c r="M695" i="2"/>
  <c r="N694" i="2"/>
  <c r="M694" i="2"/>
  <c r="N693" i="2"/>
  <c r="M693" i="2"/>
  <c r="N692" i="2"/>
  <c r="M692" i="2"/>
  <c r="N691" i="2"/>
  <c r="M691" i="2"/>
  <c r="N690" i="2"/>
  <c r="M690" i="2"/>
  <c r="N689" i="2"/>
  <c r="M689" i="2"/>
  <c r="N688" i="2"/>
  <c r="M688" i="2"/>
  <c r="N687" i="2"/>
  <c r="M687" i="2"/>
  <c r="N686" i="2"/>
  <c r="M686" i="2"/>
  <c r="N685" i="2"/>
  <c r="M685" i="2"/>
  <c r="N684" i="2"/>
  <c r="M684" i="2"/>
  <c r="N683" i="2"/>
  <c r="M683" i="2"/>
  <c r="N682" i="2"/>
  <c r="M682" i="2"/>
  <c r="N681" i="2"/>
  <c r="M681" i="2"/>
  <c r="N680" i="2"/>
  <c r="M680" i="2"/>
  <c r="N679" i="2"/>
  <c r="M679" i="2"/>
  <c r="N678" i="2"/>
  <c r="M678" i="2"/>
  <c r="N677" i="2"/>
  <c r="M677" i="2"/>
  <c r="N676" i="2"/>
  <c r="M676" i="2"/>
  <c r="N675" i="2"/>
  <c r="M675" i="2"/>
  <c r="N674" i="2"/>
  <c r="M674" i="2"/>
  <c r="N673" i="2"/>
  <c r="M673" i="2"/>
  <c r="N672" i="2"/>
  <c r="M672" i="2"/>
  <c r="N671" i="2"/>
  <c r="M671" i="2"/>
  <c r="N670" i="2"/>
  <c r="M670" i="2"/>
  <c r="N669" i="2"/>
  <c r="M669" i="2"/>
  <c r="N668" i="2"/>
  <c r="M668" i="2"/>
  <c r="N667" i="2"/>
  <c r="M667" i="2"/>
  <c r="N666" i="2"/>
  <c r="M666" i="2"/>
  <c r="N665" i="2"/>
  <c r="M665" i="2"/>
  <c r="N664" i="2"/>
  <c r="M664" i="2"/>
  <c r="N663" i="2"/>
  <c r="M663" i="2"/>
  <c r="N662" i="2"/>
  <c r="M662" i="2"/>
  <c r="N661" i="2"/>
  <c r="M661" i="2"/>
  <c r="N660" i="2"/>
  <c r="M660" i="2"/>
  <c r="N659" i="2"/>
  <c r="M659" i="2"/>
  <c r="N658" i="2"/>
  <c r="M658" i="2"/>
  <c r="N657" i="2"/>
  <c r="M657" i="2"/>
  <c r="N656" i="2"/>
  <c r="M656" i="2"/>
  <c r="N655" i="2"/>
  <c r="M655" i="2"/>
  <c r="N654" i="2"/>
  <c r="M654" i="2"/>
  <c r="N653" i="2"/>
  <c r="M653" i="2"/>
  <c r="N652" i="2"/>
  <c r="M652" i="2"/>
  <c r="N651" i="2"/>
  <c r="M651" i="2"/>
  <c r="N650" i="2"/>
  <c r="M650" i="2"/>
  <c r="N649" i="2"/>
  <c r="M649" i="2"/>
  <c r="N648" i="2"/>
  <c r="M648" i="2"/>
  <c r="N647" i="2"/>
  <c r="M647" i="2"/>
  <c r="N646" i="2"/>
  <c r="M646" i="2"/>
  <c r="N645" i="2"/>
  <c r="M645" i="2"/>
  <c r="N644" i="2"/>
  <c r="M644" i="2"/>
  <c r="N643" i="2"/>
  <c r="M643" i="2"/>
  <c r="N642" i="2"/>
  <c r="M642" i="2"/>
  <c r="N641" i="2"/>
  <c r="M641" i="2"/>
  <c r="N640" i="2"/>
  <c r="M640" i="2"/>
  <c r="N639" i="2"/>
  <c r="M639" i="2"/>
  <c r="N638" i="2"/>
  <c r="M638" i="2"/>
  <c r="N637" i="2"/>
  <c r="M637" i="2"/>
  <c r="N636" i="2"/>
  <c r="M636" i="2"/>
  <c r="N635" i="2"/>
  <c r="M635" i="2"/>
  <c r="N634" i="2"/>
  <c r="M634" i="2"/>
  <c r="N633" i="2"/>
  <c r="M633" i="2"/>
  <c r="N632" i="2"/>
  <c r="M632" i="2"/>
  <c r="N631" i="2"/>
  <c r="M631" i="2"/>
  <c r="N630" i="2"/>
  <c r="M630" i="2"/>
  <c r="N629" i="2"/>
  <c r="M629" i="2"/>
  <c r="N628" i="2"/>
  <c r="M628" i="2"/>
  <c r="N627" i="2"/>
  <c r="M627" i="2"/>
  <c r="N626" i="2"/>
  <c r="M626" i="2"/>
  <c r="N625" i="2"/>
  <c r="M625" i="2"/>
  <c r="N624" i="2"/>
  <c r="M624" i="2"/>
  <c r="N623" i="2"/>
  <c r="M623" i="2"/>
  <c r="N622" i="2"/>
  <c r="M622" i="2"/>
  <c r="N621" i="2"/>
  <c r="M621" i="2"/>
  <c r="N620" i="2"/>
  <c r="M620" i="2"/>
  <c r="N619" i="2"/>
  <c r="M619" i="2"/>
  <c r="N618" i="2"/>
  <c r="M618" i="2"/>
  <c r="N617" i="2"/>
  <c r="M617" i="2"/>
  <c r="N616" i="2"/>
  <c r="M616" i="2"/>
  <c r="N615" i="2"/>
  <c r="M615" i="2"/>
  <c r="N614" i="2"/>
  <c r="M614" i="2"/>
  <c r="N613" i="2"/>
  <c r="M613" i="2"/>
  <c r="N612" i="2"/>
  <c r="M612" i="2"/>
  <c r="N611" i="2"/>
  <c r="M611" i="2"/>
  <c r="N610" i="2"/>
  <c r="M610" i="2"/>
  <c r="N609" i="2"/>
  <c r="M609" i="2"/>
  <c r="N608" i="2"/>
  <c r="M608" i="2"/>
  <c r="N607" i="2"/>
  <c r="M607" i="2"/>
  <c r="N606" i="2"/>
  <c r="M606" i="2"/>
  <c r="N605" i="2"/>
  <c r="M605" i="2"/>
  <c r="N604" i="2"/>
  <c r="M604" i="2"/>
  <c r="N603" i="2"/>
  <c r="M603" i="2"/>
  <c r="N602" i="2"/>
  <c r="M602" i="2"/>
  <c r="N601" i="2"/>
  <c r="M601" i="2"/>
  <c r="N600" i="2"/>
  <c r="M600" i="2"/>
  <c r="N599" i="2"/>
  <c r="M599" i="2"/>
  <c r="N598" i="2"/>
  <c r="M598" i="2"/>
  <c r="N597" i="2"/>
  <c r="M597" i="2"/>
  <c r="N596" i="2"/>
  <c r="M596" i="2"/>
  <c r="N595" i="2"/>
  <c r="M595" i="2"/>
  <c r="N594" i="2"/>
  <c r="M594" i="2"/>
  <c r="N593" i="2"/>
  <c r="M593" i="2"/>
  <c r="N592" i="2"/>
  <c r="M592" i="2"/>
  <c r="N591" i="2"/>
  <c r="M591" i="2"/>
  <c r="N590" i="2"/>
  <c r="M590" i="2"/>
  <c r="N589" i="2"/>
  <c r="M589" i="2"/>
  <c r="N588" i="2"/>
  <c r="M588" i="2"/>
  <c r="N587" i="2"/>
  <c r="M587" i="2"/>
  <c r="N586" i="2"/>
  <c r="M586" i="2"/>
  <c r="N585" i="2"/>
  <c r="M585" i="2"/>
  <c r="N584" i="2"/>
  <c r="M584" i="2"/>
  <c r="N583" i="2"/>
  <c r="M583" i="2"/>
  <c r="N582" i="2"/>
  <c r="M582" i="2"/>
  <c r="N581" i="2"/>
  <c r="M581" i="2"/>
  <c r="N580" i="2"/>
  <c r="M580" i="2"/>
  <c r="N579" i="2"/>
  <c r="M579" i="2"/>
  <c r="N578" i="2"/>
  <c r="M578" i="2"/>
  <c r="N577" i="2"/>
  <c r="M577" i="2"/>
  <c r="N576" i="2"/>
  <c r="M576" i="2"/>
  <c r="N575" i="2"/>
  <c r="M575" i="2"/>
  <c r="N574" i="2"/>
  <c r="M574" i="2"/>
  <c r="N573" i="2"/>
  <c r="M573" i="2"/>
  <c r="N572" i="2"/>
  <c r="M572" i="2"/>
  <c r="N571" i="2"/>
  <c r="M571" i="2"/>
  <c r="N570" i="2"/>
  <c r="M570" i="2"/>
  <c r="N569" i="2"/>
  <c r="M569" i="2"/>
  <c r="N568" i="2"/>
  <c r="M568" i="2"/>
  <c r="N567" i="2"/>
  <c r="M567" i="2"/>
  <c r="N566" i="2"/>
  <c r="M566" i="2"/>
  <c r="N565" i="2"/>
  <c r="M565" i="2"/>
  <c r="N564" i="2"/>
  <c r="M564" i="2"/>
  <c r="N563" i="2"/>
  <c r="M563" i="2"/>
  <c r="N562" i="2"/>
  <c r="M562" i="2"/>
  <c r="N561" i="2"/>
  <c r="M561" i="2"/>
  <c r="N560" i="2"/>
  <c r="M560" i="2"/>
  <c r="N559" i="2"/>
  <c r="M559" i="2"/>
  <c r="N558" i="2"/>
  <c r="M558" i="2"/>
  <c r="N557" i="2"/>
  <c r="M557" i="2"/>
  <c r="N556" i="2"/>
  <c r="M556" i="2"/>
  <c r="N555" i="2"/>
  <c r="M555" i="2"/>
  <c r="N554" i="2"/>
  <c r="M554" i="2"/>
  <c r="N553" i="2"/>
  <c r="M553" i="2"/>
  <c r="N552" i="2"/>
  <c r="M552" i="2"/>
  <c r="N551" i="2"/>
  <c r="M551" i="2"/>
  <c r="N550" i="2"/>
  <c r="M550" i="2"/>
  <c r="N549" i="2"/>
  <c r="M549" i="2"/>
  <c r="N548" i="2"/>
  <c r="M548" i="2"/>
  <c r="N547" i="2"/>
  <c r="M547" i="2"/>
  <c r="N546" i="2"/>
  <c r="M546" i="2"/>
  <c r="N545" i="2"/>
  <c r="M545" i="2"/>
  <c r="N544" i="2"/>
  <c r="M544" i="2"/>
  <c r="N543" i="2"/>
  <c r="M543" i="2"/>
  <c r="N542" i="2"/>
  <c r="M542" i="2"/>
  <c r="N541" i="2"/>
  <c r="M541" i="2"/>
  <c r="N540" i="2"/>
  <c r="M540" i="2"/>
  <c r="N539" i="2"/>
  <c r="M539" i="2"/>
  <c r="N538" i="2"/>
  <c r="M538" i="2"/>
  <c r="N537" i="2"/>
  <c r="M537" i="2"/>
  <c r="N536" i="2"/>
  <c r="M536" i="2"/>
  <c r="N535" i="2"/>
  <c r="M535" i="2"/>
  <c r="N534" i="2"/>
  <c r="M534" i="2"/>
  <c r="N533" i="2"/>
  <c r="M533" i="2"/>
  <c r="N532" i="2"/>
  <c r="M532" i="2"/>
  <c r="N531" i="2"/>
  <c r="M531" i="2"/>
  <c r="N530" i="2"/>
  <c r="M530" i="2"/>
  <c r="N529" i="2"/>
  <c r="M529" i="2"/>
  <c r="N528" i="2"/>
  <c r="M528" i="2"/>
  <c r="N527" i="2"/>
  <c r="M527" i="2"/>
  <c r="N526" i="2"/>
  <c r="M526" i="2"/>
  <c r="N525" i="2"/>
  <c r="M525" i="2"/>
  <c r="N524" i="2"/>
  <c r="M524" i="2"/>
  <c r="N523" i="2"/>
  <c r="M523" i="2"/>
  <c r="N522" i="2"/>
  <c r="M522" i="2"/>
  <c r="N521" i="2"/>
  <c r="M521" i="2"/>
  <c r="N520" i="2"/>
  <c r="M520" i="2"/>
  <c r="N519" i="2"/>
  <c r="M519" i="2"/>
  <c r="N518" i="2"/>
  <c r="M518" i="2"/>
  <c r="N517" i="2"/>
  <c r="M517" i="2"/>
  <c r="N516" i="2"/>
  <c r="M516" i="2"/>
  <c r="N515" i="2"/>
  <c r="M515" i="2"/>
  <c r="N514" i="2"/>
  <c r="M514" i="2"/>
  <c r="N513" i="2"/>
  <c r="M513" i="2"/>
  <c r="N512" i="2"/>
  <c r="M512" i="2"/>
  <c r="N511" i="2"/>
  <c r="M511" i="2"/>
  <c r="N510" i="2"/>
  <c r="M510" i="2"/>
  <c r="N509" i="2"/>
  <c r="M50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N501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N476" i="2"/>
  <c r="M476" i="2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N462" i="2"/>
  <c r="M462" i="2"/>
  <c r="N461" i="2"/>
  <c r="M461" i="2"/>
  <c r="N460" i="2"/>
  <c r="M460" i="2"/>
  <c r="N459" i="2"/>
  <c r="M459" i="2"/>
  <c r="N458" i="2"/>
  <c r="M458" i="2"/>
  <c r="N457" i="2"/>
  <c r="M457" i="2"/>
  <c r="N456" i="2"/>
  <c r="M456" i="2"/>
  <c r="N455" i="2"/>
  <c r="M455" i="2"/>
  <c r="N454" i="2"/>
  <c r="M454" i="2"/>
  <c r="N453" i="2"/>
  <c r="M453" i="2"/>
  <c r="N452" i="2"/>
  <c r="M452" i="2"/>
  <c r="N451" i="2"/>
  <c r="M451" i="2"/>
  <c r="N450" i="2"/>
  <c r="M450" i="2"/>
  <c r="N449" i="2"/>
  <c r="M449" i="2"/>
  <c r="N448" i="2"/>
  <c r="M448" i="2"/>
  <c r="N447" i="2"/>
  <c r="M447" i="2"/>
  <c r="N446" i="2"/>
  <c r="M446" i="2"/>
  <c r="N445" i="2"/>
  <c r="M445" i="2"/>
  <c r="N444" i="2"/>
  <c r="M444" i="2"/>
  <c r="N443" i="2"/>
  <c r="M443" i="2"/>
  <c r="N442" i="2"/>
  <c r="M442" i="2"/>
  <c r="N441" i="2"/>
  <c r="M441" i="2"/>
  <c r="N440" i="2"/>
  <c r="M440" i="2"/>
  <c r="N439" i="2"/>
  <c r="M439" i="2"/>
  <c r="N438" i="2"/>
  <c r="M438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429" i="2"/>
  <c r="M429" i="2"/>
  <c r="N428" i="2"/>
  <c r="M428" i="2"/>
  <c r="N427" i="2"/>
  <c r="M427" i="2"/>
  <c r="N426" i="2"/>
  <c r="M426" i="2"/>
  <c r="N425" i="2"/>
  <c r="M425" i="2"/>
  <c r="N424" i="2"/>
  <c r="M424" i="2"/>
  <c r="N423" i="2"/>
  <c r="M423" i="2"/>
  <c r="N422" i="2"/>
  <c r="M422" i="2"/>
  <c r="N421" i="2"/>
  <c r="M421" i="2"/>
  <c r="N420" i="2"/>
  <c r="M420" i="2"/>
  <c r="N419" i="2"/>
  <c r="M419" i="2"/>
  <c r="N418" i="2"/>
  <c r="M418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N410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M371" i="2"/>
  <c r="N370" i="2"/>
  <c r="M370" i="2"/>
  <c r="N369" i="2"/>
  <c r="M369" i="2"/>
  <c r="N368" i="2"/>
  <c r="M368" i="2"/>
  <c r="N367" i="2"/>
  <c r="M367" i="2"/>
  <c r="N366" i="2"/>
  <c r="M366" i="2"/>
  <c r="N365" i="2"/>
  <c r="M365" i="2"/>
  <c r="N364" i="2"/>
  <c r="M364" i="2"/>
  <c r="N363" i="2"/>
  <c r="M363" i="2"/>
  <c r="N362" i="2"/>
  <c r="M362" i="2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45" i="2"/>
  <c r="M345" i="2"/>
  <c r="N344" i="2"/>
  <c r="M344" i="2"/>
  <c r="N343" i="2"/>
  <c r="M343" i="2"/>
  <c r="N342" i="2"/>
  <c r="M342" i="2"/>
  <c r="N341" i="2"/>
  <c r="M341" i="2"/>
  <c r="N340" i="2"/>
  <c r="M340" i="2"/>
  <c r="N339" i="2"/>
  <c r="M339" i="2"/>
  <c r="N338" i="2"/>
  <c r="M338" i="2"/>
  <c r="N337" i="2"/>
  <c r="M337" i="2"/>
  <c r="N336" i="2"/>
  <c r="M336" i="2"/>
  <c r="N335" i="2"/>
  <c r="M335" i="2"/>
  <c r="N334" i="2"/>
  <c r="M334" i="2"/>
  <c r="N333" i="2"/>
  <c r="M333" i="2"/>
  <c r="N332" i="2"/>
  <c r="M332" i="2"/>
  <c r="N331" i="2"/>
  <c r="M331" i="2"/>
  <c r="N330" i="2"/>
  <c r="M330" i="2"/>
  <c r="N329" i="2"/>
  <c r="M329" i="2"/>
  <c r="N328" i="2"/>
  <c r="M328" i="2"/>
  <c r="N327" i="2"/>
  <c r="M327" i="2"/>
  <c r="N326" i="2"/>
  <c r="M326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N317" i="2"/>
  <c r="M317" i="2"/>
  <c r="N316" i="2"/>
  <c r="M316" i="2"/>
  <c r="N315" i="2"/>
  <c r="M315" i="2"/>
  <c r="N314" i="2"/>
  <c r="M314" i="2"/>
  <c r="N313" i="2"/>
  <c r="M313" i="2"/>
  <c r="N312" i="2"/>
  <c r="M312" i="2"/>
  <c r="N311" i="2"/>
  <c r="M311" i="2"/>
  <c r="N310" i="2"/>
  <c r="M310" i="2"/>
  <c r="N309" i="2"/>
  <c r="M309" i="2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E3213" i="2"/>
  <c r="F3213" i="2" s="1"/>
  <c r="C3213" i="2"/>
  <c r="A3213" i="2"/>
  <c r="E3212" i="2"/>
  <c r="F3212" i="2" s="1"/>
  <c r="C3212" i="2"/>
  <c r="A3212" i="2"/>
  <c r="E3211" i="2"/>
  <c r="F3211" i="2" s="1"/>
  <c r="C3211" i="2"/>
  <c r="A3211" i="2"/>
  <c r="E3210" i="2"/>
  <c r="F3210" i="2" s="1"/>
  <c r="C3210" i="2"/>
  <c r="A3210" i="2"/>
  <c r="E3209" i="2"/>
  <c r="F3209" i="2" s="1"/>
  <c r="C3209" i="2"/>
  <c r="A3209" i="2"/>
  <c r="E3208" i="2"/>
  <c r="F3208" i="2" s="1"/>
  <c r="C3208" i="2"/>
  <c r="A3208" i="2"/>
  <c r="E3207" i="2"/>
  <c r="F3207" i="2" s="1"/>
  <c r="C3207" i="2"/>
  <c r="A3207" i="2"/>
  <c r="E3206" i="2"/>
  <c r="F3206" i="2" s="1"/>
  <c r="C3206" i="2"/>
  <c r="A3206" i="2"/>
  <c r="E3205" i="2"/>
  <c r="F3205" i="2" s="1"/>
  <c r="C3205" i="2"/>
  <c r="A3205" i="2"/>
  <c r="E3204" i="2"/>
  <c r="F3204" i="2" s="1"/>
  <c r="C3204" i="2"/>
  <c r="A3204" i="2"/>
  <c r="E3203" i="2"/>
  <c r="F3203" i="2" s="1"/>
  <c r="C3203" i="2"/>
  <c r="A3203" i="2"/>
  <c r="E3202" i="2"/>
  <c r="F3202" i="2" s="1"/>
  <c r="C3202" i="2"/>
  <c r="A3202" i="2"/>
  <c r="E3201" i="2"/>
  <c r="F3201" i="2" s="1"/>
  <c r="C3201" i="2"/>
  <c r="A3201" i="2"/>
  <c r="E3200" i="2"/>
  <c r="F3200" i="2" s="1"/>
  <c r="C3200" i="2"/>
  <c r="A3200" i="2"/>
  <c r="E3199" i="2"/>
  <c r="F3199" i="2" s="1"/>
  <c r="C3199" i="2"/>
  <c r="A3199" i="2"/>
  <c r="E3198" i="2"/>
  <c r="F3198" i="2" s="1"/>
  <c r="C3198" i="2"/>
  <c r="A3198" i="2"/>
  <c r="E3197" i="2"/>
  <c r="F3197" i="2" s="1"/>
  <c r="C3197" i="2"/>
  <c r="A3197" i="2"/>
  <c r="E3196" i="2"/>
  <c r="F3196" i="2" s="1"/>
  <c r="C3196" i="2"/>
  <c r="A3196" i="2"/>
  <c r="E3195" i="2"/>
  <c r="F3195" i="2" s="1"/>
  <c r="C3195" i="2"/>
  <c r="A3195" i="2"/>
  <c r="E3194" i="2"/>
  <c r="F3194" i="2" s="1"/>
  <c r="C3194" i="2"/>
  <c r="A3194" i="2"/>
  <c r="E3193" i="2"/>
  <c r="F3193" i="2" s="1"/>
  <c r="C3193" i="2"/>
  <c r="A3193" i="2"/>
  <c r="E3192" i="2"/>
  <c r="F3192" i="2" s="1"/>
  <c r="C3192" i="2"/>
  <c r="A3192" i="2"/>
  <c r="E3191" i="2"/>
  <c r="F3191" i="2" s="1"/>
  <c r="C3191" i="2"/>
  <c r="A3191" i="2"/>
  <c r="E3190" i="2"/>
  <c r="F3190" i="2" s="1"/>
  <c r="C3190" i="2"/>
  <c r="A3190" i="2"/>
  <c r="E3189" i="2"/>
  <c r="F3189" i="2" s="1"/>
  <c r="C3189" i="2"/>
  <c r="A3189" i="2"/>
  <c r="E3188" i="2"/>
  <c r="F3188" i="2" s="1"/>
  <c r="C3188" i="2"/>
  <c r="A3188" i="2"/>
  <c r="E3187" i="2"/>
  <c r="F3187" i="2" s="1"/>
  <c r="C3187" i="2"/>
  <c r="A3187" i="2"/>
  <c r="E3186" i="2"/>
  <c r="F3186" i="2" s="1"/>
  <c r="C3186" i="2"/>
  <c r="A3186" i="2"/>
  <c r="E3185" i="2"/>
  <c r="F3185" i="2" s="1"/>
  <c r="C3185" i="2"/>
  <c r="A3185" i="2"/>
  <c r="E3184" i="2"/>
  <c r="F3184" i="2" s="1"/>
  <c r="C3184" i="2"/>
  <c r="A3184" i="2"/>
  <c r="E3183" i="2"/>
  <c r="F3183" i="2" s="1"/>
  <c r="C3183" i="2"/>
  <c r="A3183" i="2"/>
  <c r="E3182" i="2"/>
  <c r="F3182" i="2" s="1"/>
  <c r="C3182" i="2"/>
  <c r="A3182" i="2"/>
  <c r="E3181" i="2"/>
  <c r="F3181" i="2" s="1"/>
  <c r="C3181" i="2"/>
  <c r="A3181" i="2"/>
  <c r="E3180" i="2"/>
  <c r="F3180" i="2" s="1"/>
  <c r="C3180" i="2"/>
  <c r="A3180" i="2"/>
  <c r="E3179" i="2"/>
  <c r="F3179" i="2" s="1"/>
  <c r="C3179" i="2"/>
  <c r="A3179" i="2"/>
  <c r="E3178" i="2"/>
  <c r="F3178" i="2" s="1"/>
  <c r="C3178" i="2"/>
  <c r="A3178" i="2"/>
  <c r="E3177" i="2"/>
  <c r="F3177" i="2" s="1"/>
  <c r="C3177" i="2"/>
  <c r="A3177" i="2"/>
  <c r="E3176" i="2"/>
  <c r="F3176" i="2" s="1"/>
  <c r="C3176" i="2"/>
  <c r="A3176" i="2"/>
  <c r="E3175" i="2"/>
  <c r="F3175" i="2" s="1"/>
  <c r="C3175" i="2"/>
  <c r="A3175" i="2"/>
  <c r="E3174" i="2"/>
  <c r="F3174" i="2" s="1"/>
  <c r="C3174" i="2"/>
  <c r="A3174" i="2"/>
  <c r="E3173" i="2"/>
  <c r="F3173" i="2" s="1"/>
  <c r="C3173" i="2"/>
  <c r="A3173" i="2"/>
  <c r="E3172" i="2"/>
  <c r="F3172" i="2" s="1"/>
  <c r="C3172" i="2"/>
  <c r="A3172" i="2"/>
  <c r="E3171" i="2"/>
  <c r="F3171" i="2" s="1"/>
  <c r="C3171" i="2"/>
  <c r="A3171" i="2"/>
  <c r="E3170" i="2"/>
  <c r="F3170" i="2" s="1"/>
  <c r="C3170" i="2"/>
  <c r="A3170" i="2"/>
  <c r="E3169" i="2"/>
  <c r="F3169" i="2" s="1"/>
  <c r="C3169" i="2"/>
  <c r="A3169" i="2"/>
  <c r="E3168" i="2"/>
  <c r="F3168" i="2" s="1"/>
  <c r="C3168" i="2"/>
  <c r="A3168" i="2"/>
  <c r="E3167" i="2"/>
  <c r="F3167" i="2" s="1"/>
  <c r="C3167" i="2"/>
  <c r="A3167" i="2"/>
  <c r="E3166" i="2"/>
  <c r="F3166" i="2" s="1"/>
  <c r="C3166" i="2"/>
  <c r="A3166" i="2"/>
  <c r="E3165" i="2"/>
  <c r="F3165" i="2" s="1"/>
  <c r="C3165" i="2"/>
  <c r="A3165" i="2"/>
  <c r="E3164" i="2"/>
  <c r="F3164" i="2" s="1"/>
  <c r="C3164" i="2"/>
  <c r="A3164" i="2"/>
  <c r="E3163" i="2"/>
  <c r="F3163" i="2" s="1"/>
  <c r="C3163" i="2"/>
  <c r="A3163" i="2"/>
  <c r="E3162" i="2"/>
  <c r="F3162" i="2" s="1"/>
  <c r="C3162" i="2"/>
  <c r="A3162" i="2"/>
  <c r="E3161" i="2"/>
  <c r="F3161" i="2" s="1"/>
  <c r="C3161" i="2"/>
  <c r="A3161" i="2"/>
  <c r="E3160" i="2"/>
  <c r="F3160" i="2" s="1"/>
  <c r="C3160" i="2"/>
  <c r="A3160" i="2"/>
  <c r="E3159" i="2"/>
  <c r="F3159" i="2" s="1"/>
  <c r="C3159" i="2"/>
  <c r="A3159" i="2"/>
  <c r="E3158" i="2"/>
  <c r="F3158" i="2" s="1"/>
  <c r="C3158" i="2"/>
  <c r="A3158" i="2"/>
  <c r="E3157" i="2"/>
  <c r="F3157" i="2" s="1"/>
  <c r="C3157" i="2"/>
  <c r="A3157" i="2"/>
  <c r="E3156" i="2"/>
  <c r="F3156" i="2" s="1"/>
  <c r="C3156" i="2"/>
  <c r="A3156" i="2"/>
  <c r="E3155" i="2"/>
  <c r="F3155" i="2" s="1"/>
  <c r="C3155" i="2"/>
  <c r="A3155" i="2"/>
  <c r="E3154" i="2"/>
  <c r="F3154" i="2" s="1"/>
  <c r="C3154" i="2"/>
  <c r="A3154" i="2"/>
  <c r="E3153" i="2"/>
  <c r="F3153" i="2" s="1"/>
  <c r="C3153" i="2"/>
  <c r="A3153" i="2"/>
  <c r="E3152" i="2"/>
  <c r="F3152" i="2" s="1"/>
  <c r="C3152" i="2"/>
  <c r="A3152" i="2"/>
  <c r="E3151" i="2"/>
  <c r="F3151" i="2" s="1"/>
  <c r="C3151" i="2"/>
  <c r="A3151" i="2"/>
  <c r="E3150" i="2"/>
  <c r="F3150" i="2" s="1"/>
  <c r="C3150" i="2"/>
  <c r="A3150" i="2"/>
  <c r="E3149" i="2"/>
  <c r="F3149" i="2" s="1"/>
  <c r="C3149" i="2"/>
  <c r="A3149" i="2"/>
  <c r="E3148" i="2"/>
  <c r="F3148" i="2" s="1"/>
  <c r="C3148" i="2"/>
  <c r="A3148" i="2"/>
  <c r="E3147" i="2"/>
  <c r="F3147" i="2" s="1"/>
  <c r="C3147" i="2"/>
  <c r="A3147" i="2"/>
  <c r="E3146" i="2"/>
  <c r="F3146" i="2" s="1"/>
  <c r="C3146" i="2"/>
  <c r="A3146" i="2"/>
  <c r="E3145" i="2"/>
  <c r="F3145" i="2" s="1"/>
  <c r="C3145" i="2"/>
  <c r="A3145" i="2"/>
  <c r="E3144" i="2"/>
  <c r="F3144" i="2" s="1"/>
  <c r="C3144" i="2"/>
  <c r="A3144" i="2"/>
  <c r="E3143" i="2"/>
  <c r="F3143" i="2" s="1"/>
  <c r="C3143" i="2"/>
  <c r="A3143" i="2"/>
  <c r="E3142" i="2"/>
  <c r="F3142" i="2" s="1"/>
  <c r="C3142" i="2"/>
  <c r="A3142" i="2"/>
  <c r="E3141" i="2"/>
  <c r="F3141" i="2" s="1"/>
  <c r="C3141" i="2"/>
  <c r="A3141" i="2"/>
  <c r="E3140" i="2"/>
  <c r="F3140" i="2" s="1"/>
  <c r="C3140" i="2"/>
  <c r="A3140" i="2"/>
  <c r="E3139" i="2"/>
  <c r="F3139" i="2" s="1"/>
  <c r="C3139" i="2"/>
  <c r="A3139" i="2"/>
  <c r="E3138" i="2"/>
  <c r="F3138" i="2" s="1"/>
  <c r="C3138" i="2"/>
  <c r="A3138" i="2"/>
  <c r="E3137" i="2"/>
  <c r="F3137" i="2" s="1"/>
  <c r="C3137" i="2"/>
  <c r="A3137" i="2"/>
  <c r="E3136" i="2"/>
  <c r="F3136" i="2" s="1"/>
  <c r="C3136" i="2"/>
  <c r="A3136" i="2"/>
  <c r="E3135" i="2"/>
  <c r="F3135" i="2" s="1"/>
  <c r="C3135" i="2"/>
  <c r="A3135" i="2"/>
  <c r="E3134" i="2"/>
  <c r="F3134" i="2" s="1"/>
  <c r="C3134" i="2"/>
  <c r="A3134" i="2"/>
  <c r="E3133" i="2"/>
  <c r="F3133" i="2" s="1"/>
  <c r="C3133" i="2"/>
  <c r="A3133" i="2"/>
  <c r="E3132" i="2"/>
  <c r="F3132" i="2" s="1"/>
  <c r="C3132" i="2"/>
  <c r="A3132" i="2"/>
  <c r="E3131" i="2"/>
  <c r="F3131" i="2" s="1"/>
  <c r="C3131" i="2"/>
  <c r="A3131" i="2"/>
  <c r="E3130" i="2"/>
  <c r="F3130" i="2" s="1"/>
  <c r="C3130" i="2"/>
  <c r="A3130" i="2"/>
  <c r="E3129" i="2"/>
  <c r="F3129" i="2" s="1"/>
  <c r="C3129" i="2"/>
  <c r="A3129" i="2"/>
  <c r="E3128" i="2"/>
  <c r="F3128" i="2" s="1"/>
  <c r="C3128" i="2"/>
  <c r="A3128" i="2"/>
  <c r="E3127" i="2"/>
  <c r="F3127" i="2" s="1"/>
  <c r="C3127" i="2"/>
  <c r="A3127" i="2"/>
  <c r="E3126" i="2"/>
  <c r="F3126" i="2" s="1"/>
  <c r="C3126" i="2"/>
  <c r="A3126" i="2"/>
  <c r="E3125" i="2"/>
  <c r="F3125" i="2" s="1"/>
  <c r="C3125" i="2"/>
  <c r="A3125" i="2"/>
  <c r="E3124" i="2"/>
  <c r="F3124" i="2" s="1"/>
  <c r="C3124" i="2"/>
  <c r="A3124" i="2"/>
  <c r="E3123" i="2"/>
  <c r="F3123" i="2" s="1"/>
  <c r="C3123" i="2"/>
  <c r="A3123" i="2"/>
  <c r="E3122" i="2"/>
  <c r="F3122" i="2" s="1"/>
  <c r="C3122" i="2"/>
  <c r="A3122" i="2"/>
  <c r="E3121" i="2"/>
  <c r="F3121" i="2" s="1"/>
  <c r="C3121" i="2"/>
  <c r="A3121" i="2"/>
  <c r="E3120" i="2"/>
  <c r="F3120" i="2" s="1"/>
  <c r="C3120" i="2"/>
  <c r="A3120" i="2"/>
  <c r="E3119" i="2"/>
  <c r="F3119" i="2" s="1"/>
  <c r="C3119" i="2"/>
  <c r="A3119" i="2"/>
  <c r="E3118" i="2"/>
  <c r="F3118" i="2" s="1"/>
  <c r="C3118" i="2"/>
  <c r="A3118" i="2"/>
  <c r="E3117" i="2"/>
  <c r="F3117" i="2" s="1"/>
  <c r="C3117" i="2"/>
  <c r="A3117" i="2"/>
  <c r="E3116" i="2"/>
  <c r="F3116" i="2" s="1"/>
  <c r="C3116" i="2"/>
  <c r="A3116" i="2"/>
  <c r="E3115" i="2"/>
  <c r="F3115" i="2" s="1"/>
  <c r="C3115" i="2"/>
  <c r="A3115" i="2"/>
  <c r="E3114" i="2"/>
  <c r="F3114" i="2" s="1"/>
  <c r="C3114" i="2"/>
  <c r="A3114" i="2"/>
  <c r="E3113" i="2"/>
  <c r="F3113" i="2" s="1"/>
  <c r="C3113" i="2"/>
  <c r="A3113" i="2"/>
  <c r="E3112" i="2"/>
  <c r="F3112" i="2" s="1"/>
  <c r="C3112" i="2"/>
  <c r="A3112" i="2"/>
  <c r="E3111" i="2"/>
  <c r="F3111" i="2" s="1"/>
  <c r="C3111" i="2"/>
  <c r="A3111" i="2"/>
  <c r="E3110" i="2"/>
  <c r="F3110" i="2" s="1"/>
  <c r="C3110" i="2"/>
  <c r="A3110" i="2"/>
  <c r="E3109" i="2"/>
  <c r="F3109" i="2" s="1"/>
  <c r="C3109" i="2"/>
  <c r="A3109" i="2"/>
  <c r="E3108" i="2"/>
  <c r="F3108" i="2" s="1"/>
  <c r="C3108" i="2"/>
  <c r="A3108" i="2"/>
  <c r="E3107" i="2"/>
  <c r="F3107" i="2" s="1"/>
  <c r="C3107" i="2"/>
  <c r="A3107" i="2"/>
  <c r="E3106" i="2"/>
  <c r="F3106" i="2" s="1"/>
  <c r="C3106" i="2"/>
  <c r="A3106" i="2"/>
  <c r="E3105" i="2"/>
  <c r="F3105" i="2" s="1"/>
  <c r="C3105" i="2"/>
  <c r="A3105" i="2"/>
  <c r="E3104" i="2"/>
  <c r="F3104" i="2" s="1"/>
  <c r="C3104" i="2"/>
  <c r="A3104" i="2"/>
  <c r="E3103" i="2"/>
  <c r="F3103" i="2" s="1"/>
  <c r="C3103" i="2"/>
  <c r="A3103" i="2"/>
  <c r="E3102" i="2"/>
  <c r="F3102" i="2" s="1"/>
  <c r="C3102" i="2"/>
  <c r="A3102" i="2"/>
  <c r="E3101" i="2"/>
  <c r="F3101" i="2" s="1"/>
  <c r="C3101" i="2"/>
  <c r="A3101" i="2"/>
  <c r="E3100" i="2"/>
  <c r="F3100" i="2" s="1"/>
  <c r="C3100" i="2"/>
  <c r="A3100" i="2"/>
  <c r="E3099" i="2"/>
  <c r="F3099" i="2" s="1"/>
  <c r="C3099" i="2"/>
  <c r="A3099" i="2"/>
  <c r="E3098" i="2"/>
  <c r="F3098" i="2" s="1"/>
  <c r="C3098" i="2"/>
  <c r="A3098" i="2"/>
  <c r="E3097" i="2"/>
  <c r="F3097" i="2" s="1"/>
  <c r="C3097" i="2"/>
  <c r="A3097" i="2"/>
  <c r="E3096" i="2"/>
  <c r="F3096" i="2" s="1"/>
  <c r="C3096" i="2"/>
  <c r="A3096" i="2"/>
  <c r="E3095" i="2"/>
  <c r="F3095" i="2" s="1"/>
  <c r="C3095" i="2"/>
  <c r="A3095" i="2"/>
  <c r="E3094" i="2"/>
  <c r="F3094" i="2" s="1"/>
  <c r="C3094" i="2"/>
  <c r="A3094" i="2"/>
  <c r="E3093" i="2"/>
  <c r="F3093" i="2" s="1"/>
  <c r="C3093" i="2"/>
  <c r="A3093" i="2"/>
  <c r="E3092" i="2"/>
  <c r="F3092" i="2" s="1"/>
  <c r="C3092" i="2"/>
  <c r="A3092" i="2"/>
  <c r="E3091" i="2"/>
  <c r="F3091" i="2" s="1"/>
  <c r="C3091" i="2"/>
  <c r="A3091" i="2"/>
  <c r="E3090" i="2"/>
  <c r="F3090" i="2" s="1"/>
  <c r="C3090" i="2"/>
  <c r="A3090" i="2"/>
  <c r="E3089" i="2"/>
  <c r="F3089" i="2" s="1"/>
  <c r="C3089" i="2"/>
  <c r="A3089" i="2"/>
  <c r="E3088" i="2"/>
  <c r="F3088" i="2" s="1"/>
  <c r="C3088" i="2"/>
  <c r="A3088" i="2"/>
  <c r="E3087" i="2"/>
  <c r="F3087" i="2" s="1"/>
  <c r="C3087" i="2"/>
  <c r="A3087" i="2"/>
  <c r="E3086" i="2"/>
  <c r="F3086" i="2" s="1"/>
  <c r="C3086" i="2"/>
  <c r="A3086" i="2"/>
  <c r="E3085" i="2"/>
  <c r="F3085" i="2" s="1"/>
  <c r="C3085" i="2"/>
  <c r="A3085" i="2"/>
  <c r="E3084" i="2"/>
  <c r="F3084" i="2" s="1"/>
  <c r="C3084" i="2"/>
  <c r="A3084" i="2"/>
  <c r="E3083" i="2"/>
  <c r="F3083" i="2" s="1"/>
  <c r="C3083" i="2"/>
  <c r="A3083" i="2"/>
  <c r="E3082" i="2"/>
  <c r="F3082" i="2" s="1"/>
  <c r="C3082" i="2"/>
  <c r="A3082" i="2"/>
  <c r="E3081" i="2"/>
  <c r="F3081" i="2" s="1"/>
  <c r="C3081" i="2"/>
  <c r="A3081" i="2"/>
  <c r="E3080" i="2"/>
  <c r="F3080" i="2" s="1"/>
  <c r="C3080" i="2"/>
  <c r="A3080" i="2"/>
  <c r="E3079" i="2"/>
  <c r="F3079" i="2" s="1"/>
  <c r="C3079" i="2"/>
  <c r="A3079" i="2"/>
  <c r="E3078" i="2"/>
  <c r="F3078" i="2" s="1"/>
  <c r="C3078" i="2"/>
  <c r="A3078" i="2"/>
  <c r="E3077" i="2"/>
  <c r="F3077" i="2" s="1"/>
  <c r="C3077" i="2"/>
  <c r="A3077" i="2"/>
  <c r="E3076" i="2"/>
  <c r="F3076" i="2" s="1"/>
  <c r="C3076" i="2"/>
  <c r="A3076" i="2"/>
  <c r="E3075" i="2"/>
  <c r="F3075" i="2" s="1"/>
  <c r="C3075" i="2"/>
  <c r="A3075" i="2"/>
  <c r="E3074" i="2"/>
  <c r="F3074" i="2" s="1"/>
  <c r="C3074" i="2"/>
  <c r="A3074" i="2"/>
  <c r="E3073" i="2"/>
  <c r="F3073" i="2" s="1"/>
  <c r="C3073" i="2"/>
  <c r="A3073" i="2"/>
  <c r="E3072" i="2"/>
  <c r="F3072" i="2" s="1"/>
  <c r="C3072" i="2"/>
  <c r="A3072" i="2"/>
  <c r="E3071" i="2"/>
  <c r="F3071" i="2" s="1"/>
  <c r="C3071" i="2"/>
  <c r="A3071" i="2"/>
  <c r="E3070" i="2"/>
  <c r="F3070" i="2" s="1"/>
  <c r="C3070" i="2"/>
  <c r="A3070" i="2"/>
  <c r="E3069" i="2"/>
  <c r="F3069" i="2" s="1"/>
  <c r="C3069" i="2"/>
  <c r="A3069" i="2"/>
  <c r="E3068" i="2"/>
  <c r="F3068" i="2" s="1"/>
  <c r="C3068" i="2"/>
  <c r="A3068" i="2"/>
  <c r="E3067" i="2"/>
  <c r="F3067" i="2" s="1"/>
  <c r="C3067" i="2"/>
  <c r="A3067" i="2"/>
  <c r="E3066" i="2"/>
  <c r="F3066" i="2" s="1"/>
  <c r="C3066" i="2"/>
  <c r="A3066" i="2"/>
  <c r="E3065" i="2"/>
  <c r="F3065" i="2" s="1"/>
  <c r="C3065" i="2"/>
  <c r="A3065" i="2"/>
  <c r="E3064" i="2"/>
  <c r="F3064" i="2" s="1"/>
  <c r="C3064" i="2"/>
  <c r="A3064" i="2"/>
  <c r="E3063" i="2"/>
  <c r="F3063" i="2" s="1"/>
  <c r="C3063" i="2"/>
  <c r="A3063" i="2"/>
  <c r="E3062" i="2"/>
  <c r="F3062" i="2" s="1"/>
  <c r="C3062" i="2"/>
  <c r="A3062" i="2"/>
  <c r="E3061" i="2"/>
  <c r="F3061" i="2" s="1"/>
  <c r="C3061" i="2"/>
  <c r="A3061" i="2"/>
  <c r="E3060" i="2"/>
  <c r="F3060" i="2" s="1"/>
  <c r="C3060" i="2"/>
  <c r="A3060" i="2"/>
  <c r="E3059" i="2"/>
  <c r="F3059" i="2" s="1"/>
  <c r="C3059" i="2"/>
  <c r="A3059" i="2"/>
  <c r="E3058" i="2"/>
  <c r="F3058" i="2" s="1"/>
  <c r="C3058" i="2"/>
  <c r="A3058" i="2"/>
  <c r="E3057" i="2"/>
  <c r="F3057" i="2" s="1"/>
  <c r="C3057" i="2"/>
  <c r="A3057" i="2"/>
  <c r="E3056" i="2"/>
  <c r="F3056" i="2" s="1"/>
  <c r="C3056" i="2"/>
  <c r="A3056" i="2"/>
  <c r="E3055" i="2"/>
  <c r="F3055" i="2" s="1"/>
  <c r="C3055" i="2"/>
  <c r="A3055" i="2"/>
  <c r="E3054" i="2"/>
  <c r="F3054" i="2" s="1"/>
  <c r="C3054" i="2"/>
  <c r="A3054" i="2"/>
  <c r="E3053" i="2"/>
  <c r="F3053" i="2" s="1"/>
  <c r="C3053" i="2"/>
  <c r="A3053" i="2"/>
  <c r="E3052" i="2"/>
  <c r="F3052" i="2" s="1"/>
  <c r="C3052" i="2"/>
  <c r="A3052" i="2"/>
  <c r="E3051" i="2"/>
  <c r="F3051" i="2" s="1"/>
  <c r="C3051" i="2"/>
  <c r="A3051" i="2"/>
  <c r="E3050" i="2"/>
  <c r="F3050" i="2" s="1"/>
  <c r="C3050" i="2"/>
  <c r="A3050" i="2"/>
  <c r="E3049" i="2"/>
  <c r="F3049" i="2" s="1"/>
  <c r="C3049" i="2"/>
  <c r="A3049" i="2"/>
  <c r="E3048" i="2"/>
  <c r="F3048" i="2" s="1"/>
  <c r="C3048" i="2"/>
  <c r="A3048" i="2"/>
  <c r="E3047" i="2"/>
  <c r="F3047" i="2" s="1"/>
  <c r="C3047" i="2"/>
  <c r="A3047" i="2"/>
  <c r="E3046" i="2"/>
  <c r="F3046" i="2" s="1"/>
  <c r="C3046" i="2"/>
  <c r="A3046" i="2"/>
  <c r="E3045" i="2"/>
  <c r="F3045" i="2" s="1"/>
  <c r="C3045" i="2"/>
  <c r="A3045" i="2"/>
  <c r="E3044" i="2"/>
  <c r="F3044" i="2" s="1"/>
  <c r="C3044" i="2"/>
  <c r="A3044" i="2"/>
  <c r="E3043" i="2"/>
  <c r="F3043" i="2" s="1"/>
  <c r="C3043" i="2"/>
  <c r="A3043" i="2"/>
  <c r="E3042" i="2"/>
  <c r="F3042" i="2" s="1"/>
  <c r="C3042" i="2"/>
  <c r="A3042" i="2"/>
  <c r="E3041" i="2"/>
  <c r="F3041" i="2" s="1"/>
  <c r="C3041" i="2"/>
  <c r="A3041" i="2"/>
  <c r="E3040" i="2"/>
  <c r="F3040" i="2" s="1"/>
  <c r="C3040" i="2"/>
  <c r="A3040" i="2"/>
  <c r="E3039" i="2"/>
  <c r="F3039" i="2" s="1"/>
  <c r="C3039" i="2"/>
  <c r="A3039" i="2"/>
  <c r="E3038" i="2"/>
  <c r="F3038" i="2" s="1"/>
  <c r="C3038" i="2"/>
  <c r="A3038" i="2"/>
  <c r="E3037" i="2"/>
  <c r="F3037" i="2" s="1"/>
  <c r="C3037" i="2"/>
  <c r="A3037" i="2"/>
  <c r="E3036" i="2"/>
  <c r="F3036" i="2" s="1"/>
  <c r="C3036" i="2"/>
  <c r="A3036" i="2"/>
  <c r="E3035" i="2"/>
  <c r="F3035" i="2" s="1"/>
  <c r="C3035" i="2"/>
  <c r="A3035" i="2"/>
  <c r="E3034" i="2"/>
  <c r="F3034" i="2" s="1"/>
  <c r="C3034" i="2"/>
  <c r="A3034" i="2"/>
  <c r="E3033" i="2"/>
  <c r="F3033" i="2" s="1"/>
  <c r="C3033" i="2"/>
  <c r="A3033" i="2"/>
  <c r="E3032" i="2"/>
  <c r="F3032" i="2" s="1"/>
  <c r="C3032" i="2"/>
  <c r="A3032" i="2"/>
  <c r="E3031" i="2"/>
  <c r="F3031" i="2" s="1"/>
  <c r="C3031" i="2"/>
  <c r="A3031" i="2"/>
  <c r="E3030" i="2"/>
  <c r="F3030" i="2" s="1"/>
  <c r="C3030" i="2"/>
  <c r="A3030" i="2"/>
  <c r="E3029" i="2"/>
  <c r="F3029" i="2" s="1"/>
  <c r="C3029" i="2"/>
  <c r="A3029" i="2"/>
  <c r="E3028" i="2"/>
  <c r="F3028" i="2" s="1"/>
  <c r="C3028" i="2"/>
  <c r="A3028" i="2"/>
  <c r="E3027" i="2"/>
  <c r="F3027" i="2" s="1"/>
  <c r="C3027" i="2"/>
  <c r="A3027" i="2"/>
  <c r="E3026" i="2"/>
  <c r="F3026" i="2" s="1"/>
  <c r="C3026" i="2"/>
  <c r="A3026" i="2"/>
  <c r="E3025" i="2"/>
  <c r="F3025" i="2" s="1"/>
  <c r="C3025" i="2"/>
  <c r="A3025" i="2"/>
  <c r="E3024" i="2"/>
  <c r="F3024" i="2" s="1"/>
  <c r="C3024" i="2"/>
  <c r="A3024" i="2"/>
  <c r="E3023" i="2"/>
  <c r="F3023" i="2" s="1"/>
  <c r="C3023" i="2"/>
  <c r="A3023" i="2"/>
  <c r="E3022" i="2"/>
  <c r="F3022" i="2" s="1"/>
  <c r="C3022" i="2"/>
  <c r="A3022" i="2"/>
  <c r="E3021" i="2"/>
  <c r="F3021" i="2" s="1"/>
  <c r="C3021" i="2"/>
  <c r="A3021" i="2"/>
  <c r="E3020" i="2"/>
  <c r="F3020" i="2" s="1"/>
  <c r="C3020" i="2"/>
  <c r="A3020" i="2"/>
  <c r="E3019" i="2"/>
  <c r="F3019" i="2" s="1"/>
  <c r="C3019" i="2"/>
  <c r="A3019" i="2"/>
  <c r="E3018" i="2"/>
  <c r="F3018" i="2" s="1"/>
  <c r="C3018" i="2"/>
  <c r="A3018" i="2"/>
  <c r="E3017" i="2"/>
  <c r="F3017" i="2" s="1"/>
  <c r="C3017" i="2"/>
  <c r="A3017" i="2"/>
  <c r="E3016" i="2"/>
  <c r="F3016" i="2" s="1"/>
  <c r="C3016" i="2"/>
  <c r="A3016" i="2"/>
  <c r="E3015" i="2"/>
  <c r="F3015" i="2" s="1"/>
  <c r="C3015" i="2"/>
  <c r="A3015" i="2"/>
  <c r="E3014" i="2"/>
  <c r="F3014" i="2" s="1"/>
  <c r="C3014" i="2"/>
  <c r="A3014" i="2"/>
  <c r="E3013" i="2"/>
  <c r="F3013" i="2" s="1"/>
  <c r="C3013" i="2"/>
  <c r="A3013" i="2"/>
  <c r="E3012" i="2"/>
  <c r="F3012" i="2" s="1"/>
  <c r="C3012" i="2"/>
  <c r="A3012" i="2"/>
  <c r="E3011" i="2"/>
  <c r="F3011" i="2" s="1"/>
  <c r="C3011" i="2"/>
  <c r="A3011" i="2"/>
  <c r="E3010" i="2"/>
  <c r="F3010" i="2" s="1"/>
  <c r="C3010" i="2"/>
  <c r="A3010" i="2"/>
  <c r="E3009" i="2"/>
  <c r="F3009" i="2" s="1"/>
  <c r="C3009" i="2"/>
  <c r="A3009" i="2"/>
  <c r="E3008" i="2"/>
  <c r="F3008" i="2" s="1"/>
  <c r="C3008" i="2"/>
  <c r="A3008" i="2"/>
  <c r="E3007" i="2"/>
  <c r="F3007" i="2" s="1"/>
  <c r="C3007" i="2"/>
  <c r="A3007" i="2"/>
  <c r="E3006" i="2"/>
  <c r="F3006" i="2" s="1"/>
  <c r="C3006" i="2"/>
  <c r="A3006" i="2"/>
  <c r="E3005" i="2"/>
  <c r="F3005" i="2" s="1"/>
  <c r="C3005" i="2"/>
  <c r="A3005" i="2"/>
  <c r="E3004" i="2"/>
  <c r="F3004" i="2" s="1"/>
  <c r="C3004" i="2"/>
  <c r="A3004" i="2"/>
  <c r="E3003" i="2"/>
  <c r="F3003" i="2" s="1"/>
  <c r="C3003" i="2"/>
  <c r="A3003" i="2"/>
  <c r="E3002" i="2"/>
  <c r="F3002" i="2" s="1"/>
  <c r="C3002" i="2"/>
  <c r="A3002" i="2"/>
  <c r="E3001" i="2"/>
  <c r="F3001" i="2" s="1"/>
  <c r="C3001" i="2"/>
  <c r="A3001" i="2"/>
  <c r="E3000" i="2"/>
  <c r="F3000" i="2" s="1"/>
  <c r="C3000" i="2"/>
  <c r="A3000" i="2"/>
  <c r="E2999" i="2"/>
  <c r="F2999" i="2" s="1"/>
  <c r="C2999" i="2"/>
  <c r="A2999" i="2"/>
  <c r="E2998" i="2"/>
  <c r="F2998" i="2" s="1"/>
  <c r="C2998" i="2"/>
  <c r="A2998" i="2"/>
  <c r="E2997" i="2"/>
  <c r="F2997" i="2" s="1"/>
  <c r="C2997" i="2"/>
  <c r="A2997" i="2"/>
  <c r="E2996" i="2"/>
  <c r="F2996" i="2" s="1"/>
  <c r="C2996" i="2"/>
  <c r="A2996" i="2"/>
  <c r="E2995" i="2"/>
  <c r="F2995" i="2" s="1"/>
  <c r="C2995" i="2"/>
  <c r="A2995" i="2"/>
  <c r="E2994" i="2"/>
  <c r="F2994" i="2" s="1"/>
  <c r="C2994" i="2"/>
  <c r="A2994" i="2"/>
  <c r="E2993" i="2"/>
  <c r="F2993" i="2" s="1"/>
  <c r="C2993" i="2"/>
  <c r="A2993" i="2"/>
  <c r="E2992" i="2"/>
  <c r="F2992" i="2" s="1"/>
  <c r="C2992" i="2"/>
  <c r="A2992" i="2"/>
  <c r="E2991" i="2"/>
  <c r="F2991" i="2" s="1"/>
  <c r="C2991" i="2"/>
  <c r="A2991" i="2"/>
  <c r="E2990" i="2"/>
  <c r="F2990" i="2" s="1"/>
  <c r="C2990" i="2"/>
  <c r="A2990" i="2"/>
  <c r="E2989" i="2"/>
  <c r="F2989" i="2" s="1"/>
  <c r="C2989" i="2"/>
  <c r="A2989" i="2"/>
  <c r="E2988" i="2"/>
  <c r="F2988" i="2" s="1"/>
  <c r="C2988" i="2"/>
  <c r="A2988" i="2"/>
  <c r="E2987" i="2"/>
  <c r="F2987" i="2" s="1"/>
  <c r="C2987" i="2"/>
  <c r="A2987" i="2"/>
  <c r="E2986" i="2"/>
  <c r="F2986" i="2" s="1"/>
  <c r="C2986" i="2"/>
  <c r="A2986" i="2"/>
  <c r="E2985" i="2"/>
  <c r="F2985" i="2" s="1"/>
  <c r="C2985" i="2"/>
  <c r="A2985" i="2"/>
  <c r="E2984" i="2"/>
  <c r="F2984" i="2" s="1"/>
  <c r="C2984" i="2"/>
  <c r="A2984" i="2"/>
  <c r="E2983" i="2"/>
  <c r="F2983" i="2" s="1"/>
  <c r="C2983" i="2"/>
  <c r="A2983" i="2"/>
  <c r="E2982" i="2"/>
  <c r="F2982" i="2" s="1"/>
  <c r="C2982" i="2"/>
  <c r="A2982" i="2"/>
  <c r="E2981" i="2"/>
  <c r="F2981" i="2" s="1"/>
  <c r="C2981" i="2"/>
  <c r="A2981" i="2"/>
  <c r="E2980" i="2"/>
  <c r="F2980" i="2" s="1"/>
  <c r="C2980" i="2"/>
  <c r="A2980" i="2"/>
  <c r="E2979" i="2"/>
  <c r="F2979" i="2" s="1"/>
  <c r="C2979" i="2"/>
  <c r="A2979" i="2"/>
  <c r="E2978" i="2"/>
  <c r="F2978" i="2" s="1"/>
  <c r="C2978" i="2"/>
  <c r="A2978" i="2"/>
  <c r="E2977" i="2"/>
  <c r="F2977" i="2" s="1"/>
  <c r="C2977" i="2"/>
  <c r="A2977" i="2"/>
  <c r="E2976" i="2"/>
  <c r="F2976" i="2" s="1"/>
  <c r="C2976" i="2"/>
  <c r="A2976" i="2"/>
  <c r="E2975" i="2"/>
  <c r="F2975" i="2" s="1"/>
  <c r="C2975" i="2"/>
  <c r="A2975" i="2"/>
  <c r="E2974" i="2"/>
  <c r="F2974" i="2" s="1"/>
  <c r="C2974" i="2"/>
  <c r="A2974" i="2"/>
  <c r="E2973" i="2"/>
  <c r="F2973" i="2" s="1"/>
  <c r="C2973" i="2"/>
  <c r="A2973" i="2"/>
  <c r="E2972" i="2"/>
  <c r="F2972" i="2" s="1"/>
  <c r="C2972" i="2"/>
  <c r="A2972" i="2"/>
  <c r="E2971" i="2"/>
  <c r="F2971" i="2" s="1"/>
  <c r="C2971" i="2"/>
  <c r="A2971" i="2"/>
  <c r="E2970" i="2"/>
  <c r="F2970" i="2" s="1"/>
  <c r="C2970" i="2"/>
  <c r="A2970" i="2"/>
  <c r="E2969" i="2"/>
  <c r="F2969" i="2" s="1"/>
  <c r="C2969" i="2"/>
  <c r="A2969" i="2"/>
  <c r="E2968" i="2"/>
  <c r="F2968" i="2" s="1"/>
  <c r="C2968" i="2"/>
  <c r="A2968" i="2"/>
  <c r="E2967" i="2"/>
  <c r="F2967" i="2" s="1"/>
  <c r="C2967" i="2"/>
  <c r="A2967" i="2"/>
  <c r="E2966" i="2"/>
  <c r="F2966" i="2" s="1"/>
  <c r="C2966" i="2"/>
  <c r="A2966" i="2"/>
  <c r="E2965" i="2"/>
  <c r="F2965" i="2" s="1"/>
  <c r="C2965" i="2"/>
  <c r="A2965" i="2"/>
  <c r="E2964" i="2"/>
  <c r="F2964" i="2" s="1"/>
  <c r="C2964" i="2"/>
  <c r="A2964" i="2"/>
  <c r="E2963" i="2"/>
  <c r="F2963" i="2" s="1"/>
  <c r="C2963" i="2"/>
  <c r="A2963" i="2"/>
  <c r="E2962" i="2"/>
  <c r="F2962" i="2" s="1"/>
  <c r="C2962" i="2"/>
  <c r="A2962" i="2"/>
  <c r="E2961" i="2"/>
  <c r="F2961" i="2" s="1"/>
  <c r="C2961" i="2"/>
  <c r="A2961" i="2"/>
  <c r="E2960" i="2"/>
  <c r="F2960" i="2" s="1"/>
  <c r="C2960" i="2"/>
  <c r="A2960" i="2"/>
  <c r="E2959" i="2"/>
  <c r="F2959" i="2" s="1"/>
  <c r="C2959" i="2"/>
  <c r="A2959" i="2"/>
  <c r="E2958" i="2"/>
  <c r="F2958" i="2" s="1"/>
  <c r="C2958" i="2"/>
  <c r="A2958" i="2"/>
  <c r="E2957" i="2"/>
  <c r="F2957" i="2" s="1"/>
  <c r="C2957" i="2"/>
  <c r="A2957" i="2"/>
  <c r="E2956" i="2"/>
  <c r="F2956" i="2" s="1"/>
  <c r="C2956" i="2"/>
  <c r="A2956" i="2"/>
  <c r="E2955" i="2"/>
  <c r="F2955" i="2" s="1"/>
  <c r="C2955" i="2"/>
  <c r="A2955" i="2"/>
  <c r="E2954" i="2"/>
  <c r="F2954" i="2" s="1"/>
  <c r="C2954" i="2"/>
  <c r="A2954" i="2"/>
  <c r="E2953" i="2"/>
  <c r="F2953" i="2" s="1"/>
  <c r="C2953" i="2"/>
  <c r="A2953" i="2"/>
  <c r="E2952" i="2"/>
  <c r="F2952" i="2" s="1"/>
  <c r="C2952" i="2"/>
  <c r="A2952" i="2"/>
  <c r="E2951" i="2"/>
  <c r="F2951" i="2" s="1"/>
  <c r="C2951" i="2"/>
  <c r="A2951" i="2"/>
  <c r="E2950" i="2"/>
  <c r="F2950" i="2" s="1"/>
  <c r="C2950" i="2"/>
  <c r="A2950" i="2"/>
  <c r="E2949" i="2"/>
  <c r="F2949" i="2" s="1"/>
  <c r="C2949" i="2"/>
  <c r="A2949" i="2"/>
  <c r="E2948" i="2"/>
  <c r="F2948" i="2" s="1"/>
  <c r="C2948" i="2"/>
  <c r="A2948" i="2"/>
  <c r="E2947" i="2"/>
  <c r="F2947" i="2" s="1"/>
  <c r="C2947" i="2"/>
  <c r="A2947" i="2"/>
  <c r="E2946" i="2"/>
  <c r="F2946" i="2" s="1"/>
  <c r="C2946" i="2"/>
  <c r="A2946" i="2"/>
  <c r="E2945" i="2"/>
  <c r="F2945" i="2" s="1"/>
  <c r="C2945" i="2"/>
  <c r="A2945" i="2"/>
  <c r="E2944" i="2"/>
  <c r="F2944" i="2" s="1"/>
  <c r="C2944" i="2"/>
  <c r="A2944" i="2"/>
  <c r="E2943" i="2"/>
  <c r="F2943" i="2" s="1"/>
  <c r="C2943" i="2"/>
  <c r="A2943" i="2"/>
  <c r="E2942" i="2"/>
  <c r="F2942" i="2" s="1"/>
  <c r="C2942" i="2"/>
  <c r="A2942" i="2"/>
  <c r="E2941" i="2"/>
  <c r="F2941" i="2" s="1"/>
  <c r="C2941" i="2"/>
  <c r="A2941" i="2"/>
  <c r="E2940" i="2"/>
  <c r="F2940" i="2" s="1"/>
  <c r="C2940" i="2"/>
  <c r="A2940" i="2"/>
  <c r="E2939" i="2"/>
  <c r="F2939" i="2" s="1"/>
  <c r="C2939" i="2"/>
  <c r="A2939" i="2"/>
  <c r="E2938" i="2"/>
  <c r="F2938" i="2" s="1"/>
  <c r="C2938" i="2"/>
  <c r="A2938" i="2"/>
  <c r="E2937" i="2"/>
  <c r="F2937" i="2" s="1"/>
  <c r="C2937" i="2"/>
  <c r="A2937" i="2"/>
  <c r="E2936" i="2"/>
  <c r="F2936" i="2" s="1"/>
  <c r="C2936" i="2"/>
  <c r="A2936" i="2"/>
  <c r="E2935" i="2"/>
  <c r="F2935" i="2" s="1"/>
  <c r="C2935" i="2"/>
  <c r="A2935" i="2"/>
  <c r="E2934" i="2"/>
  <c r="F2934" i="2" s="1"/>
  <c r="C2934" i="2"/>
  <c r="A2934" i="2"/>
  <c r="E2933" i="2"/>
  <c r="F2933" i="2" s="1"/>
  <c r="C2933" i="2"/>
  <c r="A2933" i="2"/>
  <c r="E2932" i="2"/>
  <c r="F2932" i="2" s="1"/>
  <c r="C2932" i="2"/>
  <c r="A2932" i="2"/>
  <c r="E2931" i="2"/>
  <c r="F2931" i="2" s="1"/>
  <c r="C2931" i="2"/>
  <c r="A2931" i="2"/>
  <c r="E2930" i="2"/>
  <c r="F2930" i="2" s="1"/>
  <c r="C2930" i="2"/>
  <c r="A2930" i="2"/>
  <c r="E2929" i="2"/>
  <c r="F2929" i="2" s="1"/>
  <c r="C2929" i="2"/>
  <c r="A2929" i="2"/>
  <c r="E2928" i="2"/>
  <c r="F2928" i="2" s="1"/>
  <c r="C2928" i="2"/>
  <c r="A2928" i="2"/>
  <c r="E2927" i="2"/>
  <c r="F2927" i="2" s="1"/>
  <c r="C2927" i="2"/>
  <c r="A2927" i="2"/>
  <c r="E2926" i="2"/>
  <c r="F2926" i="2" s="1"/>
  <c r="C2926" i="2"/>
  <c r="A2926" i="2"/>
  <c r="E2925" i="2"/>
  <c r="F2925" i="2" s="1"/>
  <c r="C2925" i="2"/>
  <c r="A2925" i="2"/>
  <c r="E2924" i="2"/>
  <c r="F2924" i="2" s="1"/>
  <c r="C2924" i="2"/>
  <c r="A2924" i="2"/>
  <c r="E2923" i="2"/>
  <c r="F2923" i="2" s="1"/>
  <c r="C2923" i="2"/>
  <c r="A2923" i="2"/>
  <c r="E2922" i="2"/>
  <c r="F2922" i="2" s="1"/>
  <c r="C2922" i="2"/>
  <c r="A2922" i="2"/>
  <c r="E2921" i="2"/>
  <c r="F2921" i="2" s="1"/>
  <c r="C2921" i="2"/>
  <c r="A2921" i="2"/>
  <c r="E2920" i="2"/>
  <c r="F2920" i="2" s="1"/>
  <c r="C2920" i="2"/>
  <c r="A2920" i="2"/>
  <c r="E2919" i="2"/>
  <c r="F2919" i="2" s="1"/>
  <c r="C2919" i="2"/>
  <c r="A2919" i="2"/>
  <c r="E2918" i="2"/>
  <c r="F2918" i="2" s="1"/>
  <c r="C2918" i="2"/>
  <c r="A2918" i="2"/>
  <c r="E2917" i="2"/>
  <c r="F2917" i="2" s="1"/>
  <c r="C2917" i="2"/>
  <c r="A2917" i="2"/>
  <c r="E2916" i="2"/>
  <c r="F2916" i="2" s="1"/>
  <c r="C2916" i="2"/>
  <c r="A2916" i="2"/>
  <c r="E2915" i="2"/>
  <c r="F2915" i="2" s="1"/>
  <c r="C2915" i="2"/>
  <c r="A2915" i="2"/>
  <c r="E2914" i="2"/>
  <c r="F2914" i="2" s="1"/>
  <c r="C2914" i="2"/>
  <c r="A2914" i="2"/>
  <c r="E2913" i="2"/>
  <c r="F2913" i="2" s="1"/>
  <c r="C2913" i="2"/>
  <c r="A2913" i="2"/>
  <c r="E2912" i="2"/>
  <c r="F2912" i="2" s="1"/>
  <c r="C2912" i="2"/>
  <c r="A2912" i="2"/>
  <c r="E2911" i="2"/>
  <c r="F2911" i="2" s="1"/>
  <c r="C2911" i="2"/>
  <c r="A2911" i="2"/>
  <c r="E2910" i="2"/>
  <c r="F2910" i="2" s="1"/>
  <c r="C2910" i="2"/>
  <c r="A2910" i="2"/>
  <c r="E2909" i="2"/>
  <c r="F2909" i="2" s="1"/>
  <c r="C2909" i="2"/>
  <c r="A2909" i="2"/>
  <c r="E2908" i="2"/>
  <c r="F2908" i="2" s="1"/>
  <c r="C2908" i="2"/>
  <c r="A2908" i="2"/>
  <c r="E2907" i="2"/>
  <c r="F2907" i="2" s="1"/>
  <c r="C2907" i="2"/>
  <c r="A2907" i="2"/>
  <c r="E2906" i="2"/>
  <c r="F2906" i="2" s="1"/>
  <c r="C2906" i="2"/>
  <c r="A2906" i="2"/>
  <c r="E2905" i="2"/>
  <c r="F2905" i="2" s="1"/>
  <c r="C2905" i="2"/>
  <c r="A2905" i="2"/>
  <c r="E2904" i="2"/>
  <c r="F2904" i="2" s="1"/>
  <c r="C2904" i="2"/>
  <c r="A2904" i="2"/>
  <c r="E2903" i="2"/>
  <c r="F2903" i="2" s="1"/>
  <c r="C2903" i="2"/>
  <c r="A2903" i="2"/>
  <c r="E2902" i="2"/>
  <c r="F2902" i="2" s="1"/>
  <c r="C2902" i="2"/>
  <c r="A2902" i="2"/>
  <c r="E2901" i="2"/>
  <c r="F2901" i="2" s="1"/>
  <c r="C2901" i="2"/>
  <c r="A2901" i="2"/>
  <c r="E2900" i="2"/>
  <c r="F2900" i="2" s="1"/>
  <c r="C2900" i="2"/>
  <c r="A2900" i="2"/>
  <c r="E2899" i="2"/>
  <c r="F2899" i="2" s="1"/>
  <c r="C2899" i="2"/>
  <c r="A2899" i="2"/>
  <c r="E2898" i="2"/>
  <c r="F2898" i="2" s="1"/>
  <c r="C2898" i="2"/>
  <c r="A2898" i="2"/>
  <c r="E2897" i="2"/>
  <c r="F2897" i="2" s="1"/>
  <c r="C2897" i="2"/>
  <c r="A2897" i="2"/>
  <c r="E2896" i="2"/>
  <c r="F2896" i="2" s="1"/>
  <c r="C2896" i="2"/>
  <c r="A2896" i="2"/>
  <c r="E2895" i="2"/>
  <c r="F2895" i="2" s="1"/>
  <c r="C2895" i="2"/>
  <c r="A2895" i="2"/>
  <c r="E2894" i="2"/>
  <c r="F2894" i="2" s="1"/>
  <c r="C2894" i="2"/>
  <c r="A2894" i="2"/>
  <c r="E2893" i="2"/>
  <c r="F2893" i="2" s="1"/>
  <c r="C2893" i="2"/>
  <c r="A2893" i="2"/>
  <c r="E2892" i="2"/>
  <c r="F2892" i="2" s="1"/>
  <c r="C2892" i="2"/>
  <c r="A2892" i="2"/>
  <c r="E2891" i="2"/>
  <c r="F2891" i="2" s="1"/>
  <c r="C2891" i="2"/>
  <c r="A2891" i="2"/>
  <c r="E2890" i="2"/>
  <c r="F2890" i="2" s="1"/>
  <c r="C2890" i="2"/>
  <c r="A2890" i="2"/>
  <c r="E2889" i="2"/>
  <c r="F2889" i="2" s="1"/>
  <c r="C2889" i="2"/>
  <c r="A2889" i="2"/>
  <c r="E2888" i="2"/>
  <c r="F2888" i="2" s="1"/>
  <c r="C2888" i="2"/>
  <c r="A2888" i="2"/>
  <c r="E2887" i="2"/>
  <c r="F2887" i="2" s="1"/>
  <c r="C2887" i="2"/>
  <c r="A2887" i="2"/>
  <c r="E2886" i="2"/>
  <c r="F2886" i="2" s="1"/>
  <c r="C2886" i="2"/>
  <c r="A2886" i="2"/>
  <c r="E2885" i="2"/>
  <c r="F2885" i="2" s="1"/>
  <c r="C2885" i="2"/>
  <c r="A2885" i="2"/>
  <c r="E2884" i="2"/>
  <c r="F2884" i="2" s="1"/>
  <c r="C2884" i="2"/>
  <c r="A2884" i="2"/>
  <c r="E2883" i="2"/>
  <c r="F2883" i="2" s="1"/>
  <c r="C2883" i="2"/>
  <c r="A2883" i="2"/>
  <c r="E2882" i="2"/>
  <c r="F2882" i="2" s="1"/>
  <c r="C2882" i="2"/>
  <c r="A2882" i="2"/>
  <c r="E2881" i="2"/>
  <c r="F2881" i="2" s="1"/>
  <c r="C2881" i="2"/>
  <c r="A2881" i="2"/>
  <c r="E2880" i="2"/>
  <c r="F2880" i="2" s="1"/>
  <c r="C2880" i="2"/>
  <c r="A2880" i="2"/>
  <c r="E2879" i="2"/>
  <c r="F2879" i="2" s="1"/>
  <c r="C2879" i="2"/>
  <c r="A2879" i="2"/>
  <c r="E2878" i="2"/>
  <c r="F2878" i="2" s="1"/>
  <c r="C2878" i="2"/>
  <c r="A2878" i="2"/>
  <c r="E2877" i="2"/>
  <c r="F2877" i="2" s="1"/>
  <c r="C2877" i="2"/>
  <c r="A2877" i="2"/>
  <c r="E2876" i="2"/>
  <c r="F2876" i="2" s="1"/>
  <c r="C2876" i="2"/>
  <c r="A2876" i="2"/>
  <c r="E2875" i="2"/>
  <c r="F2875" i="2" s="1"/>
  <c r="C2875" i="2"/>
  <c r="A2875" i="2"/>
  <c r="E2874" i="2"/>
  <c r="F2874" i="2" s="1"/>
  <c r="C2874" i="2"/>
  <c r="A2874" i="2"/>
  <c r="E2873" i="2"/>
  <c r="F2873" i="2" s="1"/>
  <c r="C2873" i="2"/>
  <c r="A2873" i="2"/>
  <c r="E2872" i="2"/>
  <c r="F2872" i="2" s="1"/>
  <c r="C2872" i="2"/>
  <c r="A2872" i="2"/>
  <c r="E2871" i="2"/>
  <c r="F2871" i="2" s="1"/>
  <c r="C2871" i="2"/>
  <c r="A2871" i="2"/>
  <c r="E2870" i="2"/>
  <c r="F2870" i="2" s="1"/>
  <c r="C2870" i="2"/>
  <c r="A2870" i="2"/>
  <c r="E2869" i="2"/>
  <c r="F2869" i="2" s="1"/>
  <c r="C2869" i="2"/>
  <c r="A2869" i="2"/>
  <c r="E2868" i="2"/>
  <c r="F2868" i="2" s="1"/>
  <c r="C2868" i="2"/>
  <c r="A2868" i="2"/>
  <c r="E2867" i="2"/>
  <c r="F2867" i="2" s="1"/>
  <c r="C2867" i="2"/>
  <c r="A2867" i="2"/>
  <c r="E2866" i="2"/>
  <c r="F2866" i="2" s="1"/>
  <c r="C2866" i="2"/>
  <c r="A2866" i="2"/>
  <c r="E2865" i="2"/>
  <c r="F2865" i="2" s="1"/>
  <c r="C2865" i="2"/>
  <c r="A2865" i="2"/>
  <c r="E2864" i="2"/>
  <c r="F2864" i="2" s="1"/>
  <c r="C2864" i="2"/>
  <c r="A2864" i="2"/>
  <c r="E2863" i="2"/>
  <c r="F2863" i="2" s="1"/>
  <c r="C2863" i="2"/>
  <c r="A2863" i="2"/>
  <c r="E2862" i="2"/>
  <c r="F2862" i="2" s="1"/>
  <c r="C2862" i="2"/>
  <c r="A2862" i="2"/>
  <c r="E2861" i="2"/>
  <c r="F2861" i="2" s="1"/>
  <c r="C2861" i="2"/>
  <c r="A2861" i="2"/>
  <c r="E2860" i="2"/>
  <c r="F2860" i="2" s="1"/>
  <c r="C2860" i="2"/>
  <c r="A2860" i="2"/>
  <c r="E2859" i="2"/>
  <c r="F2859" i="2" s="1"/>
  <c r="C2859" i="2"/>
  <c r="A2859" i="2"/>
  <c r="E2858" i="2"/>
  <c r="F2858" i="2" s="1"/>
  <c r="C2858" i="2"/>
  <c r="A2858" i="2"/>
  <c r="E2857" i="2"/>
  <c r="F2857" i="2" s="1"/>
  <c r="C2857" i="2"/>
  <c r="A2857" i="2"/>
  <c r="E2856" i="2"/>
  <c r="F2856" i="2" s="1"/>
  <c r="C2856" i="2"/>
  <c r="A2856" i="2"/>
  <c r="E2855" i="2"/>
  <c r="F2855" i="2" s="1"/>
  <c r="C2855" i="2"/>
  <c r="A2855" i="2"/>
  <c r="E2854" i="2"/>
  <c r="F2854" i="2" s="1"/>
  <c r="C2854" i="2"/>
  <c r="A2854" i="2"/>
  <c r="E2853" i="2"/>
  <c r="F2853" i="2" s="1"/>
  <c r="C2853" i="2"/>
  <c r="A2853" i="2"/>
  <c r="E2852" i="2"/>
  <c r="F2852" i="2" s="1"/>
  <c r="C2852" i="2"/>
  <c r="A2852" i="2"/>
  <c r="E2851" i="2"/>
  <c r="F2851" i="2" s="1"/>
  <c r="C2851" i="2"/>
  <c r="A2851" i="2"/>
  <c r="E2850" i="2"/>
  <c r="F2850" i="2" s="1"/>
  <c r="C2850" i="2"/>
  <c r="A2850" i="2"/>
  <c r="E2849" i="2"/>
  <c r="F2849" i="2" s="1"/>
  <c r="C2849" i="2"/>
  <c r="A2849" i="2"/>
  <c r="E2848" i="2"/>
  <c r="F2848" i="2" s="1"/>
  <c r="C2848" i="2"/>
  <c r="A2848" i="2"/>
  <c r="E2847" i="2"/>
  <c r="F2847" i="2" s="1"/>
  <c r="C2847" i="2"/>
  <c r="A2847" i="2"/>
  <c r="E2846" i="2"/>
  <c r="F2846" i="2" s="1"/>
  <c r="C2846" i="2"/>
  <c r="A2846" i="2"/>
  <c r="E2845" i="2"/>
  <c r="F2845" i="2" s="1"/>
  <c r="C2845" i="2"/>
  <c r="A2845" i="2"/>
  <c r="E2844" i="2"/>
  <c r="F2844" i="2" s="1"/>
  <c r="C2844" i="2"/>
  <c r="A2844" i="2"/>
  <c r="E2843" i="2"/>
  <c r="F2843" i="2" s="1"/>
  <c r="C2843" i="2"/>
  <c r="A2843" i="2"/>
  <c r="E2842" i="2"/>
  <c r="F2842" i="2" s="1"/>
  <c r="C2842" i="2"/>
  <c r="A2842" i="2"/>
  <c r="E2841" i="2"/>
  <c r="F2841" i="2" s="1"/>
  <c r="C2841" i="2"/>
  <c r="A2841" i="2"/>
  <c r="E2840" i="2"/>
  <c r="F2840" i="2" s="1"/>
  <c r="C2840" i="2"/>
  <c r="A2840" i="2"/>
  <c r="E2839" i="2"/>
  <c r="F2839" i="2" s="1"/>
  <c r="C2839" i="2"/>
  <c r="A2839" i="2"/>
  <c r="E2838" i="2"/>
  <c r="F2838" i="2" s="1"/>
  <c r="C2838" i="2"/>
  <c r="A2838" i="2"/>
  <c r="E2837" i="2"/>
  <c r="F2837" i="2" s="1"/>
  <c r="C2837" i="2"/>
  <c r="A2837" i="2"/>
  <c r="E2836" i="2"/>
  <c r="F2836" i="2" s="1"/>
  <c r="C2836" i="2"/>
  <c r="A2836" i="2"/>
  <c r="E2835" i="2"/>
  <c r="F2835" i="2" s="1"/>
  <c r="C2835" i="2"/>
  <c r="A2835" i="2"/>
  <c r="E2834" i="2"/>
  <c r="F2834" i="2" s="1"/>
  <c r="C2834" i="2"/>
  <c r="A2834" i="2"/>
  <c r="E2833" i="2"/>
  <c r="F2833" i="2" s="1"/>
  <c r="C2833" i="2"/>
  <c r="A2833" i="2"/>
  <c r="E2832" i="2"/>
  <c r="F2832" i="2" s="1"/>
  <c r="C2832" i="2"/>
  <c r="A2832" i="2"/>
  <c r="E2831" i="2"/>
  <c r="F2831" i="2" s="1"/>
  <c r="C2831" i="2"/>
  <c r="A2831" i="2"/>
  <c r="E2830" i="2"/>
  <c r="F2830" i="2" s="1"/>
  <c r="C2830" i="2"/>
  <c r="A2830" i="2"/>
  <c r="E2829" i="2"/>
  <c r="F2829" i="2" s="1"/>
  <c r="C2829" i="2"/>
  <c r="A2829" i="2"/>
  <c r="E2828" i="2"/>
  <c r="F2828" i="2" s="1"/>
  <c r="C2828" i="2"/>
  <c r="A2828" i="2"/>
  <c r="E2827" i="2"/>
  <c r="F2827" i="2" s="1"/>
  <c r="C2827" i="2"/>
  <c r="A2827" i="2"/>
  <c r="E2826" i="2"/>
  <c r="F2826" i="2" s="1"/>
  <c r="C2826" i="2"/>
  <c r="A2826" i="2"/>
  <c r="E2825" i="2"/>
  <c r="F2825" i="2" s="1"/>
  <c r="C2825" i="2"/>
  <c r="A2825" i="2"/>
  <c r="E2824" i="2"/>
  <c r="F2824" i="2" s="1"/>
  <c r="C2824" i="2"/>
  <c r="A2824" i="2"/>
  <c r="E2823" i="2"/>
  <c r="F2823" i="2" s="1"/>
  <c r="C2823" i="2"/>
  <c r="A2823" i="2"/>
  <c r="E2822" i="2"/>
  <c r="F2822" i="2" s="1"/>
  <c r="C2822" i="2"/>
  <c r="A2822" i="2"/>
  <c r="E2821" i="2"/>
  <c r="F2821" i="2" s="1"/>
  <c r="C2821" i="2"/>
  <c r="A2821" i="2"/>
  <c r="E2820" i="2"/>
  <c r="F2820" i="2" s="1"/>
  <c r="C2820" i="2"/>
  <c r="A2820" i="2"/>
  <c r="E2819" i="2"/>
  <c r="F2819" i="2" s="1"/>
  <c r="C2819" i="2"/>
  <c r="A2819" i="2"/>
  <c r="E2818" i="2"/>
  <c r="F2818" i="2" s="1"/>
  <c r="C2818" i="2"/>
  <c r="A2818" i="2"/>
  <c r="E2817" i="2"/>
  <c r="F2817" i="2" s="1"/>
  <c r="C2817" i="2"/>
  <c r="A2817" i="2"/>
  <c r="E2816" i="2"/>
  <c r="F2816" i="2" s="1"/>
  <c r="C2816" i="2"/>
  <c r="A2816" i="2"/>
  <c r="E2815" i="2"/>
  <c r="F2815" i="2" s="1"/>
  <c r="C2815" i="2"/>
  <c r="A2815" i="2"/>
  <c r="E2814" i="2"/>
  <c r="F2814" i="2" s="1"/>
  <c r="C2814" i="2"/>
  <c r="A2814" i="2"/>
  <c r="E2813" i="2"/>
  <c r="F2813" i="2" s="1"/>
  <c r="C2813" i="2"/>
  <c r="A2813" i="2"/>
  <c r="E2812" i="2"/>
  <c r="F2812" i="2" s="1"/>
  <c r="C2812" i="2"/>
  <c r="A2812" i="2"/>
  <c r="E2811" i="2"/>
  <c r="F2811" i="2" s="1"/>
  <c r="C2811" i="2"/>
  <c r="A2811" i="2"/>
  <c r="E2810" i="2"/>
  <c r="F2810" i="2" s="1"/>
  <c r="C2810" i="2"/>
  <c r="A2810" i="2"/>
  <c r="E2809" i="2"/>
  <c r="F2809" i="2" s="1"/>
  <c r="C2809" i="2"/>
  <c r="A2809" i="2"/>
  <c r="E2808" i="2"/>
  <c r="F2808" i="2" s="1"/>
  <c r="C2808" i="2"/>
  <c r="A2808" i="2"/>
  <c r="E2807" i="2"/>
  <c r="F2807" i="2" s="1"/>
  <c r="C2807" i="2"/>
  <c r="A2807" i="2"/>
  <c r="E2806" i="2"/>
  <c r="F2806" i="2" s="1"/>
  <c r="C2806" i="2"/>
  <c r="A2806" i="2"/>
  <c r="E2805" i="2"/>
  <c r="F2805" i="2" s="1"/>
  <c r="C2805" i="2"/>
  <c r="A2805" i="2"/>
  <c r="E2804" i="2"/>
  <c r="F2804" i="2" s="1"/>
  <c r="C2804" i="2"/>
  <c r="A2804" i="2"/>
  <c r="E2803" i="2"/>
  <c r="F2803" i="2" s="1"/>
  <c r="C2803" i="2"/>
  <c r="A2803" i="2"/>
  <c r="E2802" i="2"/>
  <c r="F2802" i="2" s="1"/>
  <c r="C2802" i="2"/>
  <c r="A2802" i="2"/>
  <c r="E2801" i="2"/>
  <c r="F2801" i="2" s="1"/>
  <c r="C2801" i="2"/>
  <c r="A2801" i="2"/>
  <c r="E2800" i="2"/>
  <c r="F2800" i="2" s="1"/>
  <c r="C2800" i="2"/>
  <c r="A2800" i="2"/>
  <c r="E2799" i="2"/>
  <c r="F2799" i="2" s="1"/>
  <c r="C2799" i="2"/>
  <c r="A2799" i="2"/>
  <c r="E2798" i="2"/>
  <c r="F2798" i="2" s="1"/>
  <c r="C2798" i="2"/>
  <c r="A2798" i="2"/>
  <c r="E2797" i="2"/>
  <c r="F2797" i="2" s="1"/>
  <c r="C2797" i="2"/>
  <c r="A2797" i="2"/>
  <c r="E2796" i="2"/>
  <c r="F2796" i="2" s="1"/>
  <c r="C2796" i="2"/>
  <c r="A2796" i="2"/>
  <c r="E2795" i="2"/>
  <c r="F2795" i="2" s="1"/>
  <c r="C2795" i="2"/>
  <c r="A2795" i="2"/>
  <c r="E2794" i="2"/>
  <c r="F2794" i="2" s="1"/>
  <c r="C2794" i="2"/>
  <c r="A2794" i="2"/>
  <c r="E2793" i="2"/>
  <c r="F2793" i="2" s="1"/>
  <c r="C2793" i="2"/>
  <c r="A2793" i="2"/>
  <c r="E2792" i="2"/>
  <c r="F2792" i="2" s="1"/>
  <c r="C2792" i="2"/>
  <c r="A2792" i="2"/>
  <c r="E2791" i="2"/>
  <c r="F2791" i="2" s="1"/>
  <c r="C2791" i="2"/>
  <c r="A2791" i="2"/>
  <c r="E2790" i="2"/>
  <c r="F2790" i="2" s="1"/>
  <c r="C2790" i="2"/>
  <c r="A2790" i="2"/>
  <c r="E2789" i="2"/>
  <c r="F2789" i="2" s="1"/>
  <c r="C2789" i="2"/>
  <c r="A2789" i="2"/>
  <c r="E2788" i="2"/>
  <c r="F2788" i="2" s="1"/>
  <c r="C2788" i="2"/>
  <c r="A2788" i="2"/>
  <c r="E2787" i="2"/>
  <c r="F2787" i="2" s="1"/>
  <c r="C2787" i="2"/>
  <c r="A2787" i="2"/>
  <c r="E2786" i="2"/>
  <c r="F2786" i="2" s="1"/>
  <c r="C2786" i="2"/>
  <c r="A2786" i="2"/>
  <c r="E2785" i="2"/>
  <c r="F2785" i="2" s="1"/>
  <c r="C2785" i="2"/>
  <c r="A2785" i="2"/>
  <c r="E2784" i="2"/>
  <c r="F2784" i="2" s="1"/>
  <c r="C2784" i="2"/>
  <c r="A2784" i="2"/>
  <c r="E2783" i="2"/>
  <c r="F2783" i="2" s="1"/>
  <c r="C2783" i="2"/>
  <c r="A2783" i="2"/>
  <c r="E2782" i="2"/>
  <c r="F2782" i="2" s="1"/>
  <c r="C2782" i="2"/>
  <c r="A2782" i="2"/>
  <c r="E2781" i="2"/>
  <c r="F2781" i="2" s="1"/>
  <c r="C2781" i="2"/>
  <c r="A2781" i="2"/>
  <c r="E2780" i="2"/>
  <c r="F2780" i="2" s="1"/>
  <c r="C2780" i="2"/>
  <c r="A2780" i="2"/>
  <c r="E2779" i="2"/>
  <c r="F2779" i="2" s="1"/>
  <c r="C2779" i="2"/>
  <c r="A2779" i="2"/>
  <c r="E2778" i="2"/>
  <c r="F2778" i="2" s="1"/>
  <c r="C2778" i="2"/>
  <c r="A2778" i="2"/>
  <c r="E2777" i="2"/>
  <c r="F2777" i="2" s="1"/>
  <c r="C2777" i="2"/>
  <c r="A2777" i="2"/>
  <c r="E2776" i="2"/>
  <c r="F2776" i="2" s="1"/>
  <c r="C2776" i="2"/>
  <c r="A2776" i="2"/>
  <c r="E2775" i="2"/>
  <c r="F2775" i="2" s="1"/>
  <c r="C2775" i="2"/>
  <c r="A2775" i="2"/>
  <c r="E2774" i="2"/>
  <c r="F2774" i="2" s="1"/>
  <c r="C2774" i="2"/>
  <c r="A2774" i="2"/>
  <c r="E2773" i="2"/>
  <c r="F2773" i="2" s="1"/>
  <c r="C2773" i="2"/>
  <c r="A2773" i="2"/>
  <c r="E2772" i="2"/>
  <c r="F2772" i="2" s="1"/>
  <c r="C2772" i="2"/>
  <c r="A2772" i="2"/>
  <c r="E2771" i="2"/>
  <c r="F2771" i="2" s="1"/>
  <c r="C2771" i="2"/>
  <c r="A2771" i="2"/>
  <c r="E2770" i="2"/>
  <c r="F2770" i="2" s="1"/>
  <c r="C2770" i="2"/>
  <c r="A2770" i="2"/>
  <c r="E2769" i="2"/>
  <c r="F2769" i="2" s="1"/>
  <c r="C2769" i="2"/>
  <c r="A2769" i="2"/>
  <c r="E2768" i="2"/>
  <c r="F2768" i="2" s="1"/>
  <c r="C2768" i="2"/>
  <c r="A2768" i="2"/>
  <c r="E2767" i="2"/>
  <c r="F2767" i="2" s="1"/>
  <c r="C2767" i="2"/>
  <c r="A2767" i="2"/>
  <c r="E2766" i="2"/>
  <c r="F2766" i="2" s="1"/>
  <c r="C2766" i="2"/>
  <c r="A2766" i="2"/>
  <c r="E2765" i="2"/>
  <c r="F2765" i="2" s="1"/>
  <c r="C2765" i="2"/>
  <c r="A2765" i="2"/>
  <c r="E2764" i="2"/>
  <c r="F2764" i="2" s="1"/>
  <c r="C2764" i="2"/>
  <c r="A2764" i="2"/>
  <c r="E2763" i="2"/>
  <c r="F2763" i="2" s="1"/>
  <c r="C2763" i="2"/>
  <c r="A2763" i="2"/>
  <c r="E2762" i="2"/>
  <c r="F2762" i="2" s="1"/>
  <c r="C2762" i="2"/>
  <c r="A2762" i="2"/>
  <c r="E2761" i="2"/>
  <c r="F2761" i="2" s="1"/>
  <c r="C2761" i="2"/>
  <c r="A2761" i="2"/>
  <c r="E2760" i="2"/>
  <c r="F2760" i="2" s="1"/>
  <c r="C2760" i="2"/>
  <c r="A2760" i="2"/>
  <c r="E2759" i="2"/>
  <c r="F2759" i="2" s="1"/>
  <c r="C2759" i="2"/>
  <c r="A2759" i="2"/>
  <c r="E2758" i="2"/>
  <c r="F2758" i="2" s="1"/>
  <c r="C2758" i="2"/>
  <c r="A2758" i="2"/>
  <c r="E2757" i="2"/>
  <c r="F2757" i="2" s="1"/>
  <c r="C2757" i="2"/>
  <c r="A2757" i="2"/>
  <c r="E2756" i="2"/>
  <c r="F2756" i="2" s="1"/>
  <c r="C2756" i="2"/>
  <c r="A2756" i="2"/>
  <c r="E2755" i="2"/>
  <c r="F2755" i="2" s="1"/>
  <c r="C2755" i="2"/>
  <c r="A2755" i="2"/>
  <c r="E2754" i="2"/>
  <c r="F2754" i="2" s="1"/>
  <c r="C2754" i="2"/>
  <c r="A2754" i="2"/>
  <c r="E2753" i="2"/>
  <c r="F2753" i="2" s="1"/>
  <c r="C2753" i="2"/>
  <c r="A2753" i="2"/>
  <c r="E2752" i="2"/>
  <c r="F2752" i="2" s="1"/>
  <c r="C2752" i="2"/>
  <c r="A2752" i="2"/>
  <c r="E2751" i="2"/>
  <c r="F2751" i="2" s="1"/>
  <c r="C2751" i="2"/>
  <c r="A2751" i="2"/>
  <c r="E2750" i="2"/>
  <c r="F2750" i="2" s="1"/>
  <c r="C2750" i="2"/>
  <c r="A2750" i="2"/>
  <c r="E2749" i="2"/>
  <c r="F2749" i="2" s="1"/>
  <c r="C2749" i="2"/>
  <c r="A2749" i="2"/>
  <c r="E2748" i="2"/>
  <c r="F2748" i="2" s="1"/>
  <c r="C2748" i="2"/>
  <c r="A2748" i="2"/>
  <c r="E2747" i="2"/>
  <c r="F2747" i="2" s="1"/>
  <c r="C2747" i="2"/>
  <c r="A2747" i="2"/>
  <c r="E2746" i="2"/>
  <c r="F2746" i="2" s="1"/>
  <c r="C2746" i="2"/>
  <c r="A2746" i="2"/>
  <c r="E2745" i="2"/>
  <c r="F2745" i="2" s="1"/>
  <c r="C2745" i="2"/>
  <c r="A2745" i="2"/>
  <c r="E2744" i="2"/>
  <c r="F2744" i="2" s="1"/>
  <c r="C2744" i="2"/>
  <c r="A2744" i="2"/>
  <c r="E2743" i="2"/>
  <c r="F2743" i="2" s="1"/>
  <c r="C2743" i="2"/>
  <c r="A2743" i="2"/>
  <c r="E2742" i="2"/>
  <c r="F2742" i="2" s="1"/>
  <c r="C2742" i="2"/>
  <c r="A2742" i="2"/>
  <c r="E2741" i="2"/>
  <c r="F2741" i="2" s="1"/>
  <c r="C2741" i="2"/>
  <c r="A2741" i="2"/>
  <c r="E2740" i="2"/>
  <c r="F2740" i="2" s="1"/>
  <c r="C2740" i="2"/>
  <c r="A2740" i="2"/>
  <c r="E2739" i="2"/>
  <c r="F2739" i="2" s="1"/>
  <c r="C2739" i="2"/>
  <c r="A2739" i="2"/>
  <c r="E2738" i="2"/>
  <c r="F2738" i="2" s="1"/>
  <c r="C2738" i="2"/>
  <c r="A2738" i="2"/>
  <c r="E2737" i="2"/>
  <c r="F2737" i="2" s="1"/>
  <c r="C2737" i="2"/>
  <c r="A2737" i="2"/>
  <c r="E2736" i="2"/>
  <c r="F2736" i="2" s="1"/>
  <c r="C2736" i="2"/>
  <c r="A2736" i="2"/>
  <c r="E2735" i="2"/>
  <c r="F2735" i="2" s="1"/>
  <c r="C2735" i="2"/>
  <c r="A2735" i="2"/>
  <c r="E2734" i="2"/>
  <c r="F2734" i="2" s="1"/>
  <c r="C2734" i="2"/>
  <c r="A2734" i="2"/>
  <c r="E2733" i="2"/>
  <c r="F2733" i="2" s="1"/>
  <c r="C2733" i="2"/>
  <c r="A2733" i="2"/>
  <c r="E2732" i="2"/>
  <c r="F2732" i="2" s="1"/>
  <c r="C2732" i="2"/>
  <c r="A2732" i="2"/>
  <c r="E2731" i="2"/>
  <c r="F2731" i="2" s="1"/>
  <c r="C2731" i="2"/>
  <c r="A2731" i="2"/>
  <c r="E2730" i="2"/>
  <c r="F2730" i="2" s="1"/>
  <c r="C2730" i="2"/>
  <c r="A2730" i="2"/>
  <c r="E2729" i="2"/>
  <c r="F2729" i="2" s="1"/>
  <c r="C2729" i="2"/>
  <c r="A2729" i="2"/>
  <c r="E2728" i="2"/>
  <c r="F2728" i="2" s="1"/>
  <c r="C2728" i="2"/>
  <c r="A2728" i="2"/>
  <c r="E2727" i="2"/>
  <c r="F2727" i="2" s="1"/>
  <c r="C2727" i="2"/>
  <c r="A2727" i="2"/>
  <c r="E2726" i="2"/>
  <c r="F2726" i="2" s="1"/>
  <c r="C2726" i="2"/>
  <c r="A2726" i="2"/>
  <c r="E2725" i="2"/>
  <c r="F2725" i="2" s="1"/>
  <c r="C2725" i="2"/>
  <c r="A2725" i="2"/>
  <c r="E2724" i="2"/>
  <c r="F2724" i="2" s="1"/>
  <c r="C2724" i="2"/>
  <c r="A2724" i="2"/>
  <c r="E2723" i="2"/>
  <c r="F2723" i="2" s="1"/>
  <c r="C2723" i="2"/>
  <c r="A2723" i="2"/>
  <c r="E2722" i="2"/>
  <c r="F2722" i="2" s="1"/>
  <c r="C2722" i="2"/>
  <c r="A2722" i="2"/>
  <c r="E2721" i="2"/>
  <c r="F2721" i="2" s="1"/>
  <c r="C2721" i="2"/>
  <c r="A2721" i="2"/>
  <c r="E2720" i="2"/>
  <c r="F2720" i="2" s="1"/>
  <c r="C2720" i="2"/>
  <c r="A2720" i="2"/>
  <c r="E2719" i="2"/>
  <c r="F2719" i="2" s="1"/>
  <c r="C2719" i="2"/>
  <c r="A2719" i="2"/>
  <c r="E2718" i="2"/>
  <c r="F2718" i="2" s="1"/>
  <c r="C2718" i="2"/>
  <c r="A2718" i="2"/>
  <c r="E2717" i="2"/>
  <c r="F2717" i="2" s="1"/>
  <c r="C2717" i="2"/>
  <c r="A2717" i="2"/>
  <c r="E2716" i="2"/>
  <c r="F2716" i="2" s="1"/>
  <c r="C2716" i="2"/>
  <c r="A2716" i="2"/>
  <c r="E2715" i="2"/>
  <c r="F2715" i="2" s="1"/>
  <c r="C2715" i="2"/>
  <c r="A2715" i="2"/>
  <c r="E2714" i="2"/>
  <c r="F2714" i="2" s="1"/>
  <c r="C2714" i="2"/>
  <c r="A2714" i="2"/>
  <c r="E2713" i="2"/>
  <c r="F2713" i="2" s="1"/>
  <c r="C2713" i="2"/>
  <c r="A2713" i="2"/>
  <c r="E2712" i="2"/>
  <c r="F2712" i="2" s="1"/>
  <c r="C2712" i="2"/>
  <c r="A2712" i="2"/>
  <c r="E2711" i="2"/>
  <c r="F2711" i="2" s="1"/>
  <c r="C2711" i="2"/>
  <c r="A2711" i="2"/>
  <c r="E2710" i="2"/>
  <c r="F2710" i="2" s="1"/>
  <c r="C2710" i="2"/>
  <c r="A2710" i="2"/>
  <c r="E2709" i="2"/>
  <c r="F2709" i="2" s="1"/>
  <c r="C2709" i="2"/>
  <c r="A2709" i="2"/>
  <c r="E2708" i="2"/>
  <c r="F2708" i="2" s="1"/>
  <c r="C2708" i="2"/>
  <c r="A2708" i="2"/>
  <c r="E2707" i="2"/>
  <c r="F2707" i="2" s="1"/>
  <c r="C2707" i="2"/>
  <c r="A2707" i="2"/>
  <c r="E2706" i="2"/>
  <c r="F2706" i="2" s="1"/>
  <c r="C2706" i="2"/>
  <c r="A2706" i="2"/>
  <c r="E2705" i="2"/>
  <c r="F2705" i="2" s="1"/>
  <c r="C2705" i="2"/>
  <c r="A2705" i="2"/>
  <c r="E2704" i="2"/>
  <c r="F2704" i="2" s="1"/>
  <c r="C2704" i="2"/>
  <c r="A2704" i="2"/>
  <c r="E2703" i="2"/>
  <c r="F2703" i="2" s="1"/>
  <c r="C2703" i="2"/>
  <c r="A2703" i="2"/>
  <c r="E2702" i="2"/>
  <c r="F2702" i="2" s="1"/>
  <c r="C2702" i="2"/>
  <c r="A2702" i="2"/>
  <c r="E2701" i="2"/>
  <c r="F2701" i="2" s="1"/>
  <c r="C2701" i="2"/>
  <c r="A2701" i="2"/>
  <c r="E2700" i="2"/>
  <c r="F2700" i="2" s="1"/>
  <c r="C2700" i="2"/>
  <c r="A2700" i="2"/>
  <c r="E2699" i="2"/>
  <c r="F2699" i="2" s="1"/>
  <c r="C2699" i="2"/>
  <c r="A2699" i="2"/>
  <c r="E2698" i="2"/>
  <c r="F2698" i="2" s="1"/>
  <c r="C2698" i="2"/>
  <c r="A2698" i="2"/>
  <c r="E2697" i="2"/>
  <c r="F2697" i="2" s="1"/>
  <c r="C2697" i="2"/>
  <c r="A2697" i="2"/>
  <c r="E2696" i="2"/>
  <c r="F2696" i="2" s="1"/>
  <c r="C2696" i="2"/>
  <c r="A2696" i="2"/>
  <c r="E2695" i="2"/>
  <c r="F2695" i="2" s="1"/>
  <c r="C2695" i="2"/>
  <c r="A2695" i="2"/>
  <c r="E2694" i="2"/>
  <c r="F2694" i="2" s="1"/>
  <c r="C2694" i="2"/>
  <c r="A2694" i="2"/>
  <c r="E2693" i="2"/>
  <c r="F2693" i="2" s="1"/>
  <c r="C2693" i="2"/>
  <c r="A2693" i="2"/>
  <c r="E2692" i="2"/>
  <c r="F2692" i="2" s="1"/>
  <c r="C2692" i="2"/>
  <c r="A2692" i="2"/>
  <c r="E2691" i="2"/>
  <c r="F2691" i="2" s="1"/>
  <c r="C2691" i="2"/>
  <c r="A2691" i="2"/>
  <c r="E2690" i="2"/>
  <c r="F2690" i="2" s="1"/>
  <c r="C2690" i="2"/>
  <c r="A2690" i="2"/>
  <c r="E2689" i="2"/>
  <c r="F2689" i="2" s="1"/>
  <c r="C2689" i="2"/>
  <c r="A2689" i="2"/>
  <c r="E2688" i="2"/>
  <c r="F2688" i="2" s="1"/>
  <c r="C2688" i="2"/>
  <c r="A2688" i="2"/>
  <c r="E2687" i="2"/>
  <c r="F2687" i="2" s="1"/>
  <c r="C2687" i="2"/>
  <c r="A2687" i="2"/>
  <c r="E2686" i="2"/>
  <c r="F2686" i="2" s="1"/>
  <c r="C2686" i="2"/>
  <c r="A2686" i="2"/>
  <c r="E2685" i="2"/>
  <c r="F2685" i="2" s="1"/>
  <c r="C2685" i="2"/>
  <c r="A2685" i="2"/>
  <c r="E2684" i="2"/>
  <c r="F2684" i="2" s="1"/>
  <c r="C2684" i="2"/>
  <c r="A2684" i="2"/>
  <c r="E2683" i="2"/>
  <c r="F2683" i="2" s="1"/>
  <c r="C2683" i="2"/>
  <c r="A2683" i="2"/>
  <c r="E2682" i="2"/>
  <c r="F2682" i="2" s="1"/>
  <c r="C2682" i="2"/>
  <c r="A2682" i="2"/>
  <c r="E2681" i="2"/>
  <c r="F2681" i="2" s="1"/>
  <c r="C2681" i="2"/>
  <c r="A2681" i="2"/>
  <c r="E2680" i="2"/>
  <c r="F2680" i="2" s="1"/>
  <c r="C2680" i="2"/>
  <c r="A2680" i="2"/>
  <c r="E2679" i="2"/>
  <c r="F2679" i="2" s="1"/>
  <c r="C2679" i="2"/>
  <c r="A2679" i="2"/>
  <c r="E2678" i="2"/>
  <c r="F2678" i="2" s="1"/>
  <c r="C2678" i="2"/>
  <c r="A2678" i="2"/>
  <c r="E2677" i="2"/>
  <c r="F2677" i="2" s="1"/>
  <c r="C2677" i="2"/>
  <c r="A2677" i="2"/>
  <c r="E2676" i="2"/>
  <c r="F2676" i="2" s="1"/>
  <c r="C2676" i="2"/>
  <c r="A2676" i="2"/>
  <c r="E2675" i="2"/>
  <c r="F2675" i="2" s="1"/>
  <c r="C2675" i="2"/>
  <c r="A2675" i="2"/>
  <c r="E2674" i="2"/>
  <c r="F2674" i="2" s="1"/>
  <c r="C2674" i="2"/>
  <c r="A2674" i="2"/>
  <c r="E2673" i="2"/>
  <c r="F2673" i="2" s="1"/>
  <c r="C2673" i="2"/>
  <c r="A2673" i="2"/>
  <c r="E2672" i="2"/>
  <c r="F2672" i="2" s="1"/>
  <c r="C2672" i="2"/>
  <c r="A2672" i="2"/>
  <c r="E2671" i="2"/>
  <c r="F2671" i="2" s="1"/>
  <c r="C2671" i="2"/>
  <c r="A2671" i="2"/>
  <c r="E2670" i="2"/>
  <c r="F2670" i="2" s="1"/>
  <c r="C2670" i="2"/>
  <c r="A2670" i="2"/>
  <c r="E2669" i="2"/>
  <c r="F2669" i="2" s="1"/>
  <c r="C2669" i="2"/>
  <c r="A2669" i="2"/>
  <c r="E2668" i="2"/>
  <c r="F2668" i="2" s="1"/>
  <c r="C2668" i="2"/>
  <c r="A2668" i="2"/>
  <c r="E2667" i="2"/>
  <c r="F2667" i="2" s="1"/>
  <c r="C2667" i="2"/>
  <c r="A2667" i="2"/>
  <c r="E2666" i="2"/>
  <c r="F2666" i="2" s="1"/>
  <c r="C2666" i="2"/>
  <c r="A2666" i="2"/>
  <c r="E2665" i="2"/>
  <c r="F2665" i="2" s="1"/>
  <c r="C2665" i="2"/>
  <c r="A2665" i="2"/>
  <c r="E2664" i="2"/>
  <c r="F2664" i="2" s="1"/>
  <c r="C2664" i="2"/>
  <c r="A2664" i="2"/>
  <c r="E2663" i="2"/>
  <c r="F2663" i="2" s="1"/>
  <c r="C2663" i="2"/>
  <c r="A2663" i="2"/>
  <c r="E2662" i="2"/>
  <c r="F2662" i="2" s="1"/>
  <c r="C2662" i="2"/>
  <c r="A2662" i="2"/>
  <c r="E2661" i="2"/>
  <c r="F2661" i="2" s="1"/>
  <c r="C2661" i="2"/>
  <c r="A2661" i="2"/>
  <c r="E2660" i="2"/>
  <c r="F2660" i="2" s="1"/>
  <c r="C2660" i="2"/>
  <c r="A2660" i="2"/>
  <c r="E2659" i="2"/>
  <c r="F2659" i="2" s="1"/>
  <c r="C2659" i="2"/>
  <c r="A2659" i="2"/>
  <c r="E2658" i="2"/>
  <c r="F2658" i="2" s="1"/>
  <c r="C2658" i="2"/>
  <c r="A2658" i="2"/>
  <c r="E2657" i="2"/>
  <c r="F2657" i="2" s="1"/>
  <c r="C2657" i="2"/>
  <c r="A2657" i="2"/>
  <c r="E2656" i="2"/>
  <c r="F2656" i="2" s="1"/>
  <c r="C2656" i="2"/>
  <c r="A2656" i="2"/>
  <c r="E2655" i="2"/>
  <c r="F2655" i="2" s="1"/>
  <c r="C2655" i="2"/>
  <c r="A2655" i="2"/>
  <c r="E2654" i="2"/>
  <c r="F2654" i="2" s="1"/>
  <c r="C2654" i="2"/>
  <c r="A2654" i="2"/>
  <c r="E2653" i="2"/>
  <c r="F2653" i="2" s="1"/>
  <c r="C2653" i="2"/>
  <c r="A2653" i="2"/>
  <c r="E2652" i="2"/>
  <c r="F2652" i="2" s="1"/>
  <c r="C2652" i="2"/>
  <c r="A2652" i="2"/>
  <c r="E2651" i="2"/>
  <c r="F2651" i="2" s="1"/>
  <c r="C2651" i="2"/>
  <c r="A2651" i="2"/>
  <c r="E2650" i="2"/>
  <c r="F2650" i="2" s="1"/>
  <c r="C2650" i="2"/>
  <c r="A2650" i="2"/>
  <c r="E2649" i="2"/>
  <c r="F2649" i="2" s="1"/>
  <c r="C2649" i="2"/>
  <c r="A2649" i="2"/>
  <c r="E2648" i="2"/>
  <c r="F2648" i="2" s="1"/>
  <c r="C2648" i="2"/>
  <c r="A2648" i="2"/>
  <c r="E2647" i="2"/>
  <c r="F2647" i="2" s="1"/>
  <c r="C2647" i="2"/>
  <c r="A2647" i="2"/>
  <c r="E2646" i="2"/>
  <c r="F2646" i="2" s="1"/>
  <c r="C2646" i="2"/>
  <c r="A2646" i="2"/>
  <c r="E2645" i="2"/>
  <c r="F2645" i="2" s="1"/>
  <c r="C2645" i="2"/>
  <c r="A2645" i="2"/>
  <c r="E2644" i="2"/>
  <c r="F2644" i="2" s="1"/>
  <c r="C2644" i="2"/>
  <c r="A2644" i="2"/>
  <c r="E2643" i="2"/>
  <c r="F2643" i="2" s="1"/>
  <c r="C2643" i="2"/>
  <c r="A2643" i="2"/>
  <c r="E2642" i="2"/>
  <c r="F2642" i="2" s="1"/>
  <c r="C2642" i="2"/>
  <c r="A2642" i="2"/>
  <c r="E2641" i="2"/>
  <c r="F2641" i="2" s="1"/>
  <c r="C2641" i="2"/>
  <c r="A2641" i="2"/>
  <c r="E2640" i="2"/>
  <c r="F2640" i="2" s="1"/>
  <c r="C2640" i="2"/>
  <c r="A2640" i="2"/>
  <c r="E2639" i="2"/>
  <c r="F2639" i="2" s="1"/>
  <c r="C2639" i="2"/>
  <c r="A2639" i="2"/>
  <c r="E2638" i="2"/>
  <c r="F2638" i="2" s="1"/>
  <c r="C2638" i="2"/>
  <c r="A2638" i="2"/>
  <c r="E2637" i="2"/>
  <c r="F2637" i="2" s="1"/>
  <c r="C2637" i="2"/>
  <c r="A2637" i="2"/>
  <c r="E2636" i="2"/>
  <c r="F2636" i="2" s="1"/>
  <c r="C2636" i="2"/>
  <c r="A2636" i="2"/>
  <c r="E2635" i="2"/>
  <c r="F2635" i="2" s="1"/>
  <c r="C2635" i="2"/>
  <c r="A2635" i="2"/>
  <c r="E2634" i="2"/>
  <c r="F2634" i="2" s="1"/>
  <c r="C2634" i="2"/>
  <c r="A2634" i="2"/>
  <c r="E2633" i="2"/>
  <c r="F2633" i="2" s="1"/>
  <c r="C2633" i="2"/>
  <c r="A2633" i="2"/>
  <c r="E2632" i="2"/>
  <c r="F2632" i="2" s="1"/>
  <c r="C2632" i="2"/>
  <c r="A2632" i="2"/>
  <c r="E2631" i="2"/>
  <c r="F2631" i="2" s="1"/>
  <c r="C2631" i="2"/>
  <c r="A2631" i="2"/>
  <c r="E2630" i="2"/>
  <c r="F2630" i="2" s="1"/>
  <c r="C2630" i="2"/>
  <c r="A2630" i="2"/>
  <c r="E2629" i="2"/>
  <c r="F2629" i="2" s="1"/>
  <c r="C2629" i="2"/>
  <c r="A2629" i="2"/>
  <c r="E2628" i="2"/>
  <c r="F2628" i="2" s="1"/>
  <c r="C2628" i="2"/>
  <c r="A2628" i="2"/>
  <c r="E2627" i="2"/>
  <c r="F2627" i="2" s="1"/>
  <c r="C2627" i="2"/>
  <c r="A2627" i="2"/>
  <c r="E2626" i="2"/>
  <c r="F2626" i="2" s="1"/>
  <c r="C2626" i="2"/>
  <c r="A2626" i="2"/>
  <c r="E2625" i="2"/>
  <c r="F2625" i="2" s="1"/>
  <c r="C2625" i="2"/>
  <c r="A2625" i="2"/>
  <c r="E2624" i="2"/>
  <c r="F2624" i="2" s="1"/>
  <c r="C2624" i="2"/>
  <c r="A2624" i="2"/>
  <c r="E2623" i="2"/>
  <c r="F2623" i="2" s="1"/>
  <c r="C2623" i="2"/>
  <c r="A2623" i="2"/>
  <c r="E2622" i="2"/>
  <c r="F2622" i="2" s="1"/>
  <c r="C2622" i="2"/>
  <c r="A2622" i="2"/>
  <c r="E2621" i="2"/>
  <c r="F2621" i="2" s="1"/>
  <c r="C2621" i="2"/>
  <c r="A2621" i="2"/>
  <c r="E2620" i="2"/>
  <c r="F2620" i="2" s="1"/>
  <c r="C2620" i="2"/>
  <c r="A2620" i="2"/>
  <c r="E2619" i="2"/>
  <c r="F2619" i="2" s="1"/>
  <c r="C2619" i="2"/>
  <c r="A2619" i="2"/>
  <c r="E2618" i="2"/>
  <c r="F2618" i="2" s="1"/>
  <c r="C2618" i="2"/>
  <c r="A2618" i="2"/>
  <c r="E2617" i="2"/>
  <c r="F2617" i="2" s="1"/>
  <c r="C2617" i="2"/>
  <c r="A2617" i="2"/>
  <c r="E2616" i="2"/>
  <c r="F2616" i="2" s="1"/>
  <c r="C2616" i="2"/>
  <c r="A2616" i="2"/>
  <c r="E2615" i="2"/>
  <c r="F2615" i="2" s="1"/>
  <c r="C2615" i="2"/>
  <c r="A2615" i="2"/>
  <c r="E2614" i="2"/>
  <c r="F2614" i="2" s="1"/>
  <c r="C2614" i="2"/>
  <c r="A2614" i="2"/>
  <c r="E2613" i="2"/>
  <c r="F2613" i="2" s="1"/>
  <c r="C2613" i="2"/>
  <c r="A2613" i="2"/>
  <c r="E2612" i="2"/>
  <c r="F2612" i="2" s="1"/>
  <c r="C2612" i="2"/>
  <c r="A2612" i="2"/>
  <c r="E2611" i="2"/>
  <c r="F2611" i="2" s="1"/>
  <c r="C2611" i="2"/>
  <c r="A2611" i="2"/>
  <c r="E2610" i="2"/>
  <c r="F2610" i="2" s="1"/>
  <c r="C2610" i="2"/>
  <c r="A2610" i="2"/>
  <c r="E2609" i="2"/>
  <c r="F2609" i="2" s="1"/>
  <c r="C2609" i="2"/>
  <c r="A2609" i="2"/>
  <c r="E2608" i="2"/>
  <c r="F2608" i="2" s="1"/>
  <c r="C2608" i="2"/>
  <c r="A2608" i="2"/>
  <c r="E2607" i="2"/>
  <c r="F2607" i="2" s="1"/>
  <c r="C2607" i="2"/>
  <c r="A2607" i="2"/>
  <c r="E2606" i="2"/>
  <c r="F2606" i="2" s="1"/>
  <c r="C2606" i="2"/>
  <c r="A2606" i="2"/>
  <c r="E2605" i="2"/>
  <c r="F2605" i="2" s="1"/>
  <c r="C2605" i="2"/>
  <c r="A2605" i="2"/>
  <c r="E2604" i="2"/>
  <c r="F2604" i="2" s="1"/>
  <c r="C2604" i="2"/>
  <c r="A2604" i="2"/>
  <c r="E2603" i="2"/>
  <c r="F2603" i="2" s="1"/>
  <c r="C2603" i="2"/>
  <c r="A2603" i="2"/>
  <c r="E2602" i="2"/>
  <c r="F2602" i="2" s="1"/>
  <c r="C2602" i="2"/>
  <c r="A2602" i="2"/>
  <c r="E2601" i="2"/>
  <c r="F2601" i="2" s="1"/>
  <c r="C2601" i="2"/>
  <c r="A2601" i="2"/>
  <c r="E2600" i="2"/>
  <c r="F2600" i="2" s="1"/>
  <c r="C2600" i="2"/>
  <c r="A2600" i="2"/>
  <c r="E2599" i="2"/>
  <c r="F2599" i="2" s="1"/>
  <c r="C2599" i="2"/>
  <c r="A2599" i="2"/>
  <c r="E2598" i="2"/>
  <c r="F2598" i="2" s="1"/>
  <c r="C2598" i="2"/>
  <c r="A2598" i="2"/>
  <c r="E2597" i="2"/>
  <c r="F2597" i="2" s="1"/>
  <c r="C2597" i="2"/>
  <c r="A2597" i="2"/>
  <c r="E2596" i="2"/>
  <c r="F2596" i="2" s="1"/>
  <c r="C2596" i="2"/>
  <c r="A2596" i="2"/>
  <c r="E2595" i="2"/>
  <c r="F2595" i="2" s="1"/>
  <c r="C2595" i="2"/>
  <c r="A2595" i="2"/>
  <c r="E2594" i="2"/>
  <c r="F2594" i="2" s="1"/>
  <c r="C2594" i="2"/>
  <c r="A2594" i="2"/>
  <c r="E2593" i="2"/>
  <c r="F2593" i="2" s="1"/>
  <c r="C2593" i="2"/>
  <c r="A2593" i="2"/>
  <c r="E2592" i="2"/>
  <c r="F2592" i="2" s="1"/>
  <c r="C2592" i="2"/>
  <c r="A2592" i="2"/>
  <c r="E2591" i="2"/>
  <c r="F2591" i="2" s="1"/>
  <c r="C2591" i="2"/>
  <c r="A2591" i="2"/>
  <c r="E2590" i="2"/>
  <c r="F2590" i="2" s="1"/>
  <c r="C2590" i="2"/>
  <c r="A2590" i="2"/>
  <c r="E2589" i="2"/>
  <c r="F2589" i="2" s="1"/>
  <c r="C2589" i="2"/>
  <c r="A2589" i="2"/>
  <c r="E2588" i="2"/>
  <c r="F2588" i="2" s="1"/>
  <c r="C2588" i="2"/>
  <c r="A2588" i="2"/>
  <c r="E2587" i="2"/>
  <c r="F2587" i="2" s="1"/>
  <c r="C2587" i="2"/>
  <c r="A2587" i="2"/>
  <c r="E2586" i="2"/>
  <c r="F2586" i="2" s="1"/>
  <c r="C2586" i="2"/>
  <c r="A2586" i="2"/>
  <c r="E2585" i="2"/>
  <c r="F2585" i="2" s="1"/>
  <c r="C2585" i="2"/>
  <c r="A2585" i="2"/>
  <c r="E2584" i="2"/>
  <c r="F2584" i="2" s="1"/>
  <c r="C2584" i="2"/>
  <c r="A2584" i="2"/>
  <c r="E2583" i="2"/>
  <c r="F2583" i="2" s="1"/>
  <c r="C2583" i="2"/>
  <c r="A2583" i="2"/>
  <c r="E2582" i="2"/>
  <c r="F2582" i="2" s="1"/>
  <c r="C2582" i="2"/>
  <c r="A2582" i="2"/>
  <c r="E2581" i="2"/>
  <c r="F2581" i="2" s="1"/>
  <c r="C2581" i="2"/>
  <c r="A2581" i="2"/>
  <c r="E2580" i="2"/>
  <c r="F2580" i="2" s="1"/>
  <c r="C2580" i="2"/>
  <c r="A2580" i="2"/>
  <c r="E2579" i="2"/>
  <c r="F2579" i="2" s="1"/>
  <c r="C2579" i="2"/>
  <c r="A2579" i="2"/>
  <c r="E2578" i="2"/>
  <c r="F2578" i="2" s="1"/>
  <c r="C2578" i="2"/>
  <c r="A2578" i="2"/>
  <c r="E2577" i="2"/>
  <c r="F2577" i="2" s="1"/>
  <c r="C2577" i="2"/>
  <c r="A2577" i="2"/>
  <c r="E2576" i="2"/>
  <c r="F2576" i="2" s="1"/>
  <c r="C2576" i="2"/>
  <c r="A2576" i="2"/>
  <c r="E2575" i="2"/>
  <c r="F2575" i="2" s="1"/>
  <c r="C2575" i="2"/>
  <c r="A2575" i="2"/>
  <c r="E2574" i="2"/>
  <c r="F2574" i="2" s="1"/>
  <c r="C2574" i="2"/>
  <c r="A2574" i="2"/>
  <c r="E2573" i="2"/>
  <c r="F2573" i="2" s="1"/>
  <c r="C2573" i="2"/>
  <c r="A2573" i="2"/>
  <c r="E2572" i="2"/>
  <c r="F2572" i="2" s="1"/>
  <c r="C2572" i="2"/>
  <c r="A2572" i="2"/>
  <c r="E2571" i="2"/>
  <c r="F2571" i="2" s="1"/>
  <c r="C2571" i="2"/>
  <c r="A2571" i="2"/>
  <c r="E2570" i="2"/>
  <c r="F2570" i="2" s="1"/>
  <c r="C2570" i="2"/>
  <c r="A2570" i="2"/>
  <c r="E2569" i="2"/>
  <c r="F2569" i="2" s="1"/>
  <c r="C2569" i="2"/>
  <c r="A2569" i="2"/>
  <c r="E2568" i="2"/>
  <c r="F2568" i="2" s="1"/>
  <c r="C2568" i="2"/>
  <c r="A2568" i="2"/>
  <c r="E2567" i="2"/>
  <c r="F2567" i="2" s="1"/>
  <c r="C2567" i="2"/>
  <c r="A2567" i="2"/>
  <c r="E2566" i="2"/>
  <c r="F2566" i="2" s="1"/>
  <c r="C2566" i="2"/>
  <c r="A2566" i="2"/>
  <c r="E2565" i="2"/>
  <c r="F2565" i="2" s="1"/>
  <c r="C2565" i="2"/>
  <c r="A2565" i="2"/>
  <c r="E2564" i="2"/>
  <c r="F2564" i="2" s="1"/>
  <c r="C2564" i="2"/>
  <c r="A2564" i="2"/>
  <c r="E2563" i="2"/>
  <c r="F2563" i="2" s="1"/>
  <c r="C2563" i="2"/>
  <c r="A2563" i="2"/>
  <c r="E2562" i="2"/>
  <c r="F2562" i="2" s="1"/>
  <c r="C2562" i="2"/>
  <c r="A2562" i="2"/>
  <c r="E2561" i="2"/>
  <c r="F2561" i="2" s="1"/>
  <c r="C2561" i="2"/>
  <c r="A2561" i="2"/>
  <c r="E2560" i="2"/>
  <c r="F2560" i="2" s="1"/>
  <c r="C2560" i="2"/>
  <c r="A2560" i="2"/>
  <c r="E2559" i="2"/>
  <c r="F2559" i="2" s="1"/>
  <c r="C2559" i="2"/>
  <c r="A2559" i="2"/>
  <c r="E2558" i="2"/>
  <c r="F2558" i="2" s="1"/>
  <c r="C2558" i="2"/>
  <c r="A2558" i="2"/>
  <c r="E2557" i="2"/>
  <c r="F2557" i="2" s="1"/>
  <c r="C2557" i="2"/>
  <c r="A2557" i="2"/>
  <c r="E2556" i="2"/>
  <c r="F2556" i="2" s="1"/>
  <c r="C2556" i="2"/>
  <c r="A2556" i="2"/>
  <c r="E2555" i="2"/>
  <c r="F2555" i="2" s="1"/>
  <c r="C2555" i="2"/>
  <c r="A2555" i="2"/>
  <c r="E2554" i="2"/>
  <c r="F2554" i="2" s="1"/>
  <c r="C2554" i="2"/>
  <c r="A2554" i="2"/>
  <c r="E2553" i="2"/>
  <c r="F2553" i="2" s="1"/>
  <c r="C2553" i="2"/>
  <c r="A2553" i="2"/>
  <c r="E2552" i="2"/>
  <c r="F2552" i="2" s="1"/>
  <c r="C2552" i="2"/>
  <c r="A2552" i="2"/>
  <c r="E2551" i="2"/>
  <c r="F2551" i="2" s="1"/>
  <c r="C2551" i="2"/>
  <c r="A2551" i="2"/>
  <c r="E2550" i="2"/>
  <c r="F2550" i="2" s="1"/>
  <c r="C2550" i="2"/>
  <c r="A2550" i="2"/>
  <c r="E2549" i="2"/>
  <c r="F2549" i="2" s="1"/>
  <c r="C2549" i="2"/>
  <c r="A2549" i="2"/>
  <c r="E2548" i="2"/>
  <c r="F2548" i="2" s="1"/>
  <c r="C2548" i="2"/>
  <c r="A2548" i="2"/>
  <c r="E2547" i="2"/>
  <c r="F2547" i="2" s="1"/>
  <c r="C2547" i="2"/>
  <c r="A2547" i="2"/>
  <c r="E2546" i="2"/>
  <c r="F2546" i="2" s="1"/>
  <c r="C2546" i="2"/>
  <c r="A2546" i="2"/>
  <c r="E2545" i="2"/>
  <c r="F2545" i="2" s="1"/>
  <c r="C2545" i="2"/>
  <c r="A2545" i="2"/>
  <c r="E2544" i="2"/>
  <c r="F2544" i="2" s="1"/>
  <c r="C2544" i="2"/>
  <c r="A2544" i="2"/>
  <c r="E2543" i="2"/>
  <c r="F2543" i="2" s="1"/>
  <c r="C2543" i="2"/>
  <c r="A2543" i="2"/>
  <c r="E2542" i="2"/>
  <c r="F2542" i="2" s="1"/>
  <c r="C2542" i="2"/>
  <c r="A2542" i="2"/>
  <c r="E2541" i="2"/>
  <c r="F2541" i="2" s="1"/>
  <c r="C2541" i="2"/>
  <c r="A2541" i="2"/>
  <c r="E2540" i="2"/>
  <c r="F2540" i="2" s="1"/>
  <c r="C2540" i="2"/>
  <c r="A2540" i="2"/>
  <c r="E2539" i="2"/>
  <c r="F2539" i="2" s="1"/>
  <c r="C2539" i="2"/>
  <c r="A2539" i="2"/>
  <c r="E2538" i="2"/>
  <c r="F2538" i="2" s="1"/>
  <c r="C2538" i="2"/>
  <c r="A2538" i="2"/>
  <c r="E2537" i="2"/>
  <c r="F2537" i="2" s="1"/>
  <c r="C2537" i="2"/>
  <c r="A2537" i="2"/>
  <c r="E2536" i="2"/>
  <c r="F2536" i="2" s="1"/>
  <c r="C2536" i="2"/>
  <c r="A2536" i="2"/>
  <c r="E2535" i="2"/>
  <c r="F2535" i="2" s="1"/>
  <c r="C2535" i="2"/>
  <c r="A2535" i="2"/>
  <c r="E2534" i="2"/>
  <c r="F2534" i="2" s="1"/>
  <c r="C2534" i="2"/>
  <c r="A2534" i="2"/>
  <c r="E2533" i="2"/>
  <c r="F2533" i="2" s="1"/>
  <c r="C2533" i="2"/>
  <c r="A2533" i="2"/>
  <c r="E2532" i="2"/>
  <c r="F2532" i="2" s="1"/>
  <c r="C2532" i="2"/>
  <c r="A2532" i="2"/>
  <c r="E2531" i="2"/>
  <c r="F2531" i="2" s="1"/>
  <c r="C2531" i="2"/>
  <c r="A2531" i="2"/>
  <c r="E2530" i="2"/>
  <c r="F2530" i="2" s="1"/>
  <c r="C2530" i="2"/>
  <c r="A2530" i="2"/>
  <c r="E2529" i="2"/>
  <c r="F2529" i="2" s="1"/>
  <c r="C2529" i="2"/>
  <c r="A2529" i="2"/>
  <c r="E2528" i="2"/>
  <c r="F2528" i="2" s="1"/>
  <c r="C2528" i="2"/>
  <c r="A2528" i="2"/>
  <c r="E2527" i="2"/>
  <c r="F2527" i="2" s="1"/>
  <c r="C2527" i="2"/>
  <c r="A2527" i="2"/>
  <c r="E2526" i="2"/>
  <c r="F2526" i="2" s="1"/>
  <c r="C2526" i="2"/>
  <c r="A2526" i="2"/>
  <c r="E2525" i="2"/>
  <c r="F2525" i="2" s="1"/>
  <c r="C2525" i="2"/>
  <c r="A2525" i="2"/>
  <c r="E2524" i="2"/>
  <c r="F2524" i="2" s="1"/>
  <c r="C2524" i="2"/>
  <c r="A2524" i="2"/>
  <c r="E2523" i="2"/>
  <c r="F2523" i="2" s="1"/>
  <c r="C2523" i="2"/>
  <c r="A2523" i="2"/>
  <c r="E2522" i="2"/>
  <c r="F2522" i="2" s="1"/>
  <c r="C2522" i="2"/>
  <c r="A2522" i="2"/>
  <c r="E2521" i="2"/>
  <c r="F2521" i="2" s="1"/>
  <c r="C2521" i="2"/>
  <c r="A2521" i="2"/>
  <c r="E2520" i="2"/>
  <c r="F2520" i="2" s="1"/>
  <c r="C2520" i="2"/>
  <c r="A2520" i="2"/>
  <c r="E2519" i="2"/>
  <c r="F2519" i="2" s="1"/>
  <c r="C2519" i="2"/>
  <c r="A2519" i="2"/>
  <c r="E2518" i="2"/>
  <c r="F2518" i="2" s="1"/>
  <c r="C2518" i="2"/>
  <c r="A2518" i="2"/>
  <c r="E2517" i="2"/>
  <c r="F2517" i="2" s="1"/>
  <c r="C2517" i="2"/>
  <c r="A2517" i="2"/>
  <c r="E2516" i="2"/>
  <c r="F2516" i="2" s="1"/>
  <c r="C2516" i="2"/>
  <c r="A2516" i="2"/>
  <c r="E2515" i="2"/>
  <c r="F2515" i="2" s="1"/>
  <c r="C2515" i="2"/>
  <c r="A2515" i="2"/>
  <c r="E2514" i="2"/>
  <c r="F2514" i="2" s="1"/>
  <c r="C2514" i="2"/>
  <c r="A2514" i="2"/>
  <c r="E2513" i="2"/>
  <c r="F2513" i="2" s="1"/>
  <c r="C2513" i="2"/>
  <c r="A2513" i="2"/>
  <c r="E2512" i="2"/>
  <c r="F2512" i="2" s="1"/>
  <c r="C2512" i="2"/>
  <c r="A2512" i="2"/>
  <c r="E2511" i="2"/>
  <c r="F2511" i="2" s="1"/>
  <c r="C2511" i="2"/>
  <c r="A2511" i="2"/>
  <c r="E2510" i="2"/>
  <c r="F2510" i="2" s="1"/>
  <c r="C2510" i="2"/>
  <c r="A2510" i="2"/>
  <c r="E2509" i="2"/>
  <c r="F2509" i="2" s="1"/>
  <c r="C2509" i="2"/>
  <c r="A2509" i="2"/>
  <c r="E2508" i="2"/>
  <c r="F2508" i="2" s="1"/>
  <c r="C2508" i="2"/>
  <c r="A2508" i="2"/>
  <c r="E2507" i="2"/>
  <c r="F2507" i="2" s="1"/>
  <c r="C2507" i="2"/>
  <c r="A2507" i="2"/>
  <c r="E2506" i="2"/>
  <c r="F2506" i="2" s="1"/>
  <c r="C2506" i="2"/>
  <c r="A2506" i="2"/>
  <c r="E2505" i="2"/>
  <c r="F2505" i="2" s="1"/>
  <c r="C2505" i="2"/>
  <c r="A2505" i="2"/>
  <c r="E2504" i="2"/>
  <c r="F2504" i="2" s="1"/>
  <c r="C2504" i="2"/>
  <c r="A2504" i="2"/>
  <c r="E2503" i="2"/>
  <c r="F2503" i="2" s="1"/>
  <c r="C2503" i="2"/>
  <c r="A2503" i="2"/>
  <c r="E2502" i="2"/>
  <c r="F2502" i="2" s="1"/>
  <c r="C2502" i="2"/>
  <c r="A2502" i="2"/>
  <c r="E2501" i="2"/>
  <c r="F2501" i="2" s="1"/>
  <c r="C2501" i="2"/>
  <c r="A2501" i="2"/>
  <c r="E2500" i="2"/>
  <c r="F2500" i="2" s="1"/>
  <c r="C2500" i="2"/>
  <c r="A2500" i="2"/>
  <c r="E2499" i="2"/>
  <c r="F2499" i="2" s="1"/>
  <c r="C2499" i="2"/>
  <c r="A2499" i="2"/>
  <c r="E2498" i="2"/>
  <c r="F2498" i="2" s="1"/>
  <c r="C2498" i="2"/>
  <c r="A2498" i="2"/>
  <c r="E2497" i="2"/>
  <c r="F2497" i="2" s="1"/>
  <c r="C2497" i="2"/>
  <c r="A2497" i="2"/>
  <c r="E2496" i="2"/>
  <c r="F2496" i="2" s="1"/>
  <c r="C2496" i="2"/>
  <c r="A2496" i="2"/>
  <c r="E2495" i="2"/>
  <c r="F2495" i="2" s="1"/>
  <c r="C2495" i="2"/>
  <c r="A2495" i="2"/>
  <c r="E2494" i="2"/>
  <c r="F2494" i="2" s="1"/>
  <c r="C2494" i="2"/>
  <c r="A2494" i="2"/>
  <c r="E2493" i="2"/>
  <c r="F2493" i="2" s="1"/>
  <c r="C2493" i="2"/>
  <c r="A2493" i="2"/>
  <c r="E2492" i="2"/>
  <c r="F2492" i="2" s="1"/>
  <c r="C2492" i="2"/>
  <c r="A2492" i="2"/>
  <c r="E2491" i="2"/>
  <c r="F2491" i="2" s="1"/>
  <c r="C2491" i="2"/>
  <c r="A2491" i="2"/>
  <c r="E2490" i="2"/>
  <c r="F2490" i="2" s="1"/>
  <c r="C2490" i="2"/>
  <c r="A2490" i="2"/>
  <c r="E2489" i="2"/>
  <c r="F2489" i="2" s="1"/>
  <c r="C2489" i="2"/>
  <c r="A2489" i="2"/>
  <c r="E2488" i="2"/>
  <c r="F2488" i="2" s="1"/>
  <c r="C2488" i="2"/>
  <c r="A2488" i="2"/>
  <c r="E2487" i="2"/>
  <c r="F2487" i="2" s="1"/>
  <c r="C2487" i="2"/>
  <c r="A2487" i="2"/>
  <c r="E2486" i="2"/>
  <c r="F2486" i="2" s="1"/>
  <c r="C2486" i="2"/>
  <c r="A2486" i="2"/>
  <c r="E2485" i="2"/>
  <c r="F2485" i="2" s="1"/>
  <c r="C2485" i="2"/>
  <c r="A2485" i="2"/>
  <c r="E2484" i="2"/>
  <c r="F2484" i="2" s="1"/>
  <c r="C2484" i="2"/>
  <c r="A2484" i="2"/>
  <c r="E2483" i="2"/>
  <c r="F2483" i="2" s="1"/>
  <c r="C2483" i="2"/>
  <c r="A2483" i="2"/>
  <c r="E2482" i="2"/>
  <c r="F2482" i="2" s="1"/>
  <c r="C2482" i="2"/>
  <c r="A2482" i="2"/>
  <c r="E2481" i="2"/>
  <c r="F2481" i="2" s="1"/>
  <c r="C2481" i="2"/>
  <c r="A2481" i="2"/>
  <c r="E2480" i="2"/>
  <c r="F2480" i="2" s="1"/>
  <c r="C2480" i="2"/>
  <c r="A2480" i="2"/>
  <c r="E2479" i="2"/>
  <c r="F2479" i="2" s="1"/>
  <c r="C2479" i="2"/>
  <c r="A2479" i="2"/>
  <c r="E2478" i="2"/>
  <c r="F2478" i="2" s="1"/>
  <c r="C2478" i="2"/>
  <c r="A2478" i="2"/>
  <c r="E2477" i="2"/>
  <c r="F2477" i="2" s="1"/>
  <c r="C2477" i="2"/>
  <c r="A2477" i="2"/>
  <c r="E2476" i="2"/>
  <c r="F2476" i="2" s="1"/>
  <c r="C2476" i="2"/>
  <c r="A2476" i="2"/>
  <c r="E2475" i="2"/>
  <c r="F2475" i="2" s="1"/>
  <c r="C2475" i="2"/>
  <c r="A2475" i="2"/>
  <c r="E2474" i="2"/>
  <c r="F2474" i="2" s="1"/>
  <c r="C2474" i="2"/>
  <c r="A2474" i="2"/>
  <c r="E2473" i="2"/>
  <c r="F2473" i="2" s="1"/>
  <c r="C2473" i="2"/>
  <c r="A2473" i="2"/>
  <c r="E2472" i="2"/>
  <c r="F2472" i="2" s="1"/>
  <c r="C2472" i="2"/>
  <c r="A2472" i="2"/>
  <c r="E2471" i="2"/>
  <c r="F2471" i="2" s="1"/>
  <c r="C2471" i="2"/>
  <c r="A2471" i="2"/>
  <c r="E2470" i="2"/>
  <c r="F2470" i="2" s="1"/>
  <c r="C2470" i="2"/>
  <c r="A2470" i="2"/>
  <c r="E2469" i="2"/>
  <c r="F2469" i="2" s="1"/>
  <c r="C2469" i="2"/>
  <c r="A2469" i="2"/>
  <c r="E2468" i="2"/>
  <c r="F2468" i="2" s="1"/>
  <c r="C2468" i="2"/>
  <c r="A2468" i="2"/>
  <c r="E2467" i="2"/>
  <c r="F2467" i="2" s="1"/>
  <c r="C2467" i="2"/>
  <c r="A2467" i="2"/>
  <c r="E2466" i="2"/>
  <c r="F2466" i="2" s="1"/>
  <c r="C2466" i="2"/>
  <c r="A2466" i="2"/>
  <c r="E2465" i="2"/>
  <c r="F2465" i="2" s="1"/>
  <c r="C2465" i="2"/>
  <c r="A2465" i="2"/>
  <c r="E2464" i="2"/>
  <c r="F2464" i="2" s="1"/>
  <c r="C2464" i="2"/>
  <c r="A2464" i="2"/>
  <c r="E2463" i="2"/>
  <c r="F2463" i="2" s="1"/>
  <c r="C2463" i="2"/>
  <c r="A2463" i="2"/>
  <c r="E2462" i="2"/>
  <c r="F2462" i="2" s="1"/>
  <c r="C2462" i="2"/>
  <c r="A2462" i="2"/>
  <c r="E2461" i="2"/>
  <c r="F2461" i="2" s="1"/>
  <c r="C2461" i="2"/>
  <c r="A2461" i="2"/>
  <c r="E2460" i="2"/>
  <c r="F2460" i="2" s="1"/>
  <c r="C2460" i="2"/>
  <c r="A2460" i="2"/>
  <c r="E2459" i="2"/>
  <c r="F2459" i="2" s="1"/>
  <c r="C2459" i="2"/>
  <c r="A2459" i="2"/>
  <c r="E2458" i="2"/>
  <c r="F2458" i="2" s="1"/>
  <c r="C2458" i="2"/>
  <c r="A2458" i="2"/>
  <c r="E2457" i="2"/>
  <c r="F2457" i="2" s="1"/>
  <c r="C2457" i="2"/>
  <c r="A2457" i="2"/>
  <c r="E2456" i="2"/>
  <c r="F2456" i="2" s="1"/>
  <c r="C2456" i="2"/>
  <c r="A2456" i="2"/>
  <c r="E2455" i="2"/>
  <c r="F2455" i="2" s="1"/>
  <c r="C2455" i="2"/>
  <c r="A2455" i="2"/>
  <c r="E2454" i="2"/>
  <c r="F2454" i="2" s="1"/>
  <c r="C2454" i="2"/>
  <c r="A2454" i="2"/>
  <c r="E2453" i="2"/>
  <c r="F2453" i="2" s="1"/>
  <c r="C2453" i="2"/>
  <c r="A2453" i="2"/>
  <c r="E2452" i="2"/>
  <c r="F2452" i="2" s="1"/>
  <c r="C2452" i="2"/>
  <c r="A2452" i="2"/>
  <c r="E2451" i="2"/>
  <c r="F2451" i="2" s="1"/>
  <c r="C2451" i="2"/>
  <c r="A2451" i="2"/>
  <c r="E2450" i="2"/>
  <c r="F2450" i="2" s="1"/>
  <c r="C2450" i="2"/>
  <c r="A2450" i="2"/>
  <c r="E2449" i="2"/>
  <c r="F2449" i="2" s="1"/>
  <c r="C2449" i="2"/>
  <c r="A2449" i="2"/>
  <c r="E2448" i="2"/>
  <c r="F2448" i="2" s="1"/>
  <c r="C2448" i="2"/>
  <c r="A2448" i="2"/>
  <c r="E2447" i="2"/>
  <c r="F2447" i="2" s="1"/>
  <c r="C2447" i="2"/>
  <c r="A2447" i="2"/>
  <c r="E2446" i="2"/>
  <c r="F2446" i="2" s="1"/>
  <c r="C2446" i="2"/>
  <c r="A2446" i="2"/>
  <c r="E2445" i="2"/>
  <c r="F2445" i="2" s="1"/>
  <c r="C2445" i="2"/>
  <c r="A2445" i="2"/>
  <c r="E2444" i="2"/>
  <c r="F2444" i="2" s="1"/>
  <c r="C2444" i="2"/>
  <c r="A2444" i="2"/>
  <c r="E2443" i="2"/>
  <c r="F2443" i="2" s="1"/>
  <c r="C2443" i="2"/>
  <c r="A2443" i="2"/>
  <c r="E2442" i="2"/>
  <c r="F2442" i="2" s="1"/>
  <c r="C2442" i="2"/>
  <c r="A2442" i="2"/>
  <c r="E2441" i="2"/>
  <c r="F2441" i="2" s="1"/>
  <c r="C2441" i="2"/>
  <c r="A2441" i="2"/>
  <c r="E2440" i="2"/>
  <c r="F2440" i="2" s="1"/>
  <c r="C2440" i="2"/>
  <c r="A2440" i="2"/>
  <c r="E2439" i="2"/>
  <c r="F2439" i="2" s="1"/>
  <c r="C2439" i="2"/>
  <c r="A2439" i="2"/>
  <c r="E2438" i="2"/>
  <c r="F2438" i="2" s="1"/>
  <c r="C2438" i="2"/>
  <c r="A2438" i="2"/>
  <c r="E2437" i="2"/>
  <c r="F2437" i="2" s="1"/>
  <c r="C2437" i="2"/>
  <c r="A2437" i="2"/>
  <c r="E2436" i="2"/>
  <c r="F2436" i="2" s="1"/>
  <c r="C2436" i="2"/>
  <c r="A2436" i="2"/>
  <c r="E2435" i="2"/>
  <c r="F2435" i="2" s="1"/>
  <c r="C2435" i="2"/>
  <c r="A2435" i="2"/>
  <c r="E2434" i="2"/>
  <c r="F2434" i="2" s="1"/>
  <c r="C2434" i="2"/>
  <c r="A2434" i="2"/>
  <c r="E2433" i="2"/>
  <c r="F2433" i="2" s="1"/>
  <c r="C2433" i="2"/>
  <c r="A2433" i="2"/>
  <c r="E2432" i="2"/>
  <c r="F2432" i="2" s="1"/>
  <c r="C2432" i="2"/>
  <c r="A2432" i="2"/>
  <c r="E2431" i="2"/>
  <c r="F2431" i="2" s="1"/>
  <c r="C2431" i="2"/>
  <c r="A2431" i="2"/>
  <c r="E2430" i="2"/>
  <c r="F2430" i="2" s="1"/>
  <c r="C2430" i="2"/>
  <c r="A2430" i="2"/>
  <c r="E2429" i="2"/>
  <c r="F2429" i="2" s="1"/>
  <c r="C2429" i="2"/>
  <c r="A2429" i="2"/>
  <c r="E2428" i="2"/>
  <c r="F2428" i="2" s="1"/>
  <c r="C2428" i="2"/>
  <c r="A2428" i="2"/>
  <c r="E2427" i="2"/>
  <c r="F2427" i="2" s="1"/>
  <c r="C2427" i="2"/>
  <c r="A2427" i="2"/>
  <c r="E2426" i="2"/>
  <c r="F2426" i="2" s="1"/>
  <c r="C2426" i="2"/>
  <c r="A2426" i="2"/>
  <c r="E2425" i="2"/>
  <c r="F2425" i="2" s="1"/>
  <c r="C2425" i="2"/>
  <c r="A2425" i="2"/>
  <c r="E2424" i="2"/>
  <c r="F2424" i="2" s="1"/>
  <c r="C2424" i="2"/>
  <c r="A2424" i="2"/>
  <c r="E2423" i="2"/>
  <c r="F2423" i="2" s="1"/>
  <c r="C2423" i="2"/>
  <c r="A2423" i="2"/>
  <c r="E2422" i="2"/>
  <c r="F2422" i="2" s="1"/>
  <c r="C2422" i="2"/>
  <c r="A2422" i="2"/>
  <c r="E2421" i="2"/>
  <c r="F2421" i="2" s="1"/>
  <c r="C2421" i="2"/>
  <c r="A2421" i="2"/>
  <c r="E2420" i="2"/>
  <c r="F2420" i="2" s="1"/>
  <c r="C2420" i="2"/>
  <c r="A2420" i="2"/>
  <c r="E2419" i="2"/>
  <c r="F2419" i="2" s="1"/>
  <c r="C2419" i="2"/>
  <c r="A2419" i="2"/>
  <c r="E2418" i="2"/>
  <c r="F2418" i="2" s="1"/>
  <c r="C2418" i="2"/>
  <c r="A2418" i="2"/>
  <c r="E2417" i="2"/>
  <c r="F2417" i="2" s="1"/>
  <c r="C2417" i="2"/>
  <c r="A2417" i="2"/>
  <c r="E2416" i="2"/>
  <c r="F2416" i="2" s="1"/>
  <c r="C2416" i="2"/>
  <c r="A2416" i="2"/>
  <c r="E2415" i="2"/>
  <c r="F2415" i="2" s="1"/>
  <c r="C2415" i="2"/>
  <c r="A2415" i="2"/>
  <c r="E2414" i="2"/>
  <c r="F2414" i="2" s="1"/>
  <c r="C2414" i="2"/>
  <c r="A2414" i="2"/>
  <c r="E2413" i="2"/>
  <c r="F2413" i="2" s="1"/>
  <c r="C2413" i="2"/>
  <c r="A2413" i="2"/>
  <c r="E2412" i="2"/>
  <c r="F2412" i="2" s="1"/>
  <c r="C2412" i="2"/>
  <c r="A2412" i="2"/>
  <c r="E2411" i="2"/>
  <c r="F2411" i="2" s="1"/>
  <c r="C2411" i="2"/>
  <c r="A2411" i="2"/>
  <c r="E2410" i="2"/>
  <c r="F2410" i="2" s="1"/>
  <c r="C2410" i="2"/>
  <c r="A2410" i="2"/>
  <c r="E2409" i="2"/>
  <c r="F2409" i="2" s="1"/>
  <c r="C2409" i="2"/>
  <c r="A2409" i="2"/>
  <c r="E2408" i="2"/>
  <c r="F2408" i="2" s="1"/>
  <c r="C2408" i="2"/>
  <c r="A2408" i="2"/>
  <c r="E2407" i="2"/>
  <c r="F2407" i="2" s="1"/>
  <c r="C2407" i="2"/>
  <c r="A2407" i="2"/>
  <c r="E2406" i="2"/>
  <c r="F2406" i="2" s="1"/>
  <c r="C2406" i="2"/>
  <c r="A2406" i="2"/>
  <c r="E2405" i="2"/>
  <c r="F2405" i="2" s="1"/>
  <c r="C2405" i="2"/>
  <c r="A2405" i="2"/>
  <c r="E2404" i="2"/>
  <c r="F2404" i="2" s="1"/>
  <c r="C2404" i="2"/>
  <c r="A2404" i="2"/>
  <c r="E2403" i="2"/>
  <c r="F2403" i="2" s="1"/>
  <c r="C2403" i="2"/>
  <c r="A2403" i="2"/>
  <c r="E2402" i="2"/>
  <c r="F2402" i="2" s="1"/>
  <c r="C2402" i="2"/>
  <c r="A2402" i="2"/>
  <c r="E2401" i="2"/>
  <c r="F2401" i="2" s="1"/>
  <c r="C2401" i="2"/>
  <c r="A2401" i="2"/>
  <c r="E2400" i="2"/>
  <c r="F2400" i="2" s="1"/>
  <c r="C2400" i="2"/>
  <c r="A2400" i="2"/>
  <c r="E2399" i="2"/>
  <c r="F2399" i="2" s="1"/>
  <c r="C2399" i="2"/>
  <c r="A2399" i="2"/>
  <c r="E2398" i="2"/>
  <c r="F2398" i="2" s="1"/>
  <c r="C2398" i="2"/>
  <c r="A2398" i="2"/>
  <c r="E2397" i="2"/>
  <c r="F2397" i="2" s="1"/>
  <c r="C2397" i="2"/>
  <c r="A2397" i="2"/>
  <c r="E2396" i="2"/>
  <c r="F2396" i="2" s="1"/>
  <c r="C2396" i="2"/>
  <c r="A2396" i="2"/>
  <c r="E2395" i="2"/>
  <c r="F2395" i="2" s="1"/>
  <c r="C2395" i="2"/>
  <c r="A2395" i="2"/>
  <c r="E2394" i="2"/>
  <c r="F2394" i="2" s="1"/>
  <c r="C2394" i="2"/>
  <c r="A2394" i="2"/>
  <c r="E2393" i="2"/>
  <c r="F2393" i="2" s="1"/>
  <c r="C2393" i="2"/>
  <c r="A2393" i="2"/>
  <c r="E2392" i="2"/>
  <c r="F2392" i="2" s="1"/>
  <c r="C2392" i="2"/>
  <c r="A2392" i="2"/>
  <c r="E2391" i="2"/>
  <c r="F2391" i="2" s="1"/>
  <c r="C2391" i="2"/>
  <c r="A2391" i="2"/>
  <c r="E2390" i="2"/>
  <c r="F2390" i="2" s="1"/>
  <c r="C2390" i="2"/>
  <c r="A2390" i="2"/>
  <c r="E2389" i="2"/>
  <c r="F2389" i="2" s="1"/>
  <c r="C2389" i="2"/>
  <c r="A2389" i="2"/>
  <c r="E2388" i="2"/>
  <c r="F2388" i="2" s="1"/>
  <c r="C2388" i="2"/>
  <c r="A2388" i="2"/>
  <c r="E2387" i="2"/>
  <c r="F2387" i="2" s="1"/>
  <c r="C2387" i="2"/>
  <c r="A2387" i="2"/>
  <c r="E2386" i="2"/>
  <c r="F2386" i="2" s="1"/>
  <c r="C2386" i="2"/>
  <c r="A2386" i="2"/>
  <c r="E2385" i="2"/>
  <c r="F2385" i="2" s="1"/>
  <c r="C2385" i="2"/>
  <c r="A2385" i="2"/>
  <c r="E2384" i="2"/>
  <c r="F2384" i="2" s="1"/>
  <c r="C2384" i="2"/>
  <c r="A2384" i="2"/>
  <c r="E2383" i="2"/>
  <c r="F2383" i="2" s="1"/>
  <c r="C2383" i="2"/>
  <c r="A2383" i="2"/>
  <c r="E2382" i="2"/>
  <c r="F2382" i="2" s="1"/>
  <c r="C2382" i="2"/>
  <c r="A2382" i="2"/>
  <c r="E2381" i="2"/>
  <c r="F2381" i="2" s="1"/>
  <c r="C2381" i="2"/>
  <c r="A2381" i="2"/>
  <c r="E2380" i="2"/>
  <c r="F2380" i="2" s="1"/>
  <c r="C2380" i="2"/>
  <c r="A2380" i="2"/>
  <c r="E2379" i="2"/>
  <c r="F2379" i="2" s="1"/>
  <c r="C2379" i="2"/>
  <c r="A2379" i="2"/>
  <c r="E2378" i="2"/>
  <c r="F2378" i="2" s="1"/>
  <c r="C2378" i="2"/>
  <c r="A2378" i="2"/>
  <c r="E2377" i="2"/>
  <c r="F2377" i="2" s="1"/>
  <c r="C2377" i="2"/>
  <c r="A2377" i="2"/>
  <c r="E2376" i="2"/>
  <c r="F2376" i="2" s="1"/>
  <c r="C2376" i="2"/>
  <c r="A2376" i="2"/>
  <c r="E2375" i="2"/>
  <c r="F2375" i="2" s="1"/>
  <c r="C2375" i="2"/>
  <c r="A2375" i="2"/>
  <c r="E2374" i="2"/>
  <c r="F2374" i="2" s="1"/>
  <c r="C2374" i="2"/>
  <c r="A2374" i="2"/>
  <c r="E2373" i="2"/>
  <c r="F2373" i="2" s="1"/>
  <c r="C2373" i="2"/>
  <c r="A2373" i="2"/>
  <c r="E2372" i="2"/>
  <c r="F2372" i="2" s="1"/>
  <c r="C2372" i="2"/>
  <c r="A2372" i="2"/>
  <c r="E2371" i="2"/>
  <c r="F2371" i="2" s="1"/>
  <c r="C2371" i="2"/>
  <c r="A2371" i="2"/>
  <c r="E2370" i="2"/>
  <c r="F2370" i="2" s="1"/>
  <c r="C2370" i="2"/>
  <c r="A2370" i="2"/>
  <c r="E2369" i="2"/>
  <c r="F2369" i="2" s="1"/>
  <c r="C2369" i="2"/>
  <c r="A2369" i="2"/>
  <c r="E2368" i="2"/>
  <c r="F2368" i="2" s="1"/>
  <c r="C2368" i="2"/>
  <c r="A2368" i="2"/>
  <c r="E2367" i="2"/>
  <c r="F2367" i="2" s="1"/>
  <c r="C2367" i="2"/>
  <c r="A2367" i="2"/>
  <c r="E2366" i="2"/>
  <c r="F2366" i="2" s="1"/>
  <c r="C2366" i="2"/>
  <c r="A2366" i="2"/>
  <c r="E2365" i="2"/>
  <c r="F2365" i="2" s="1"/>
  <c r="C2365" i="2"/>
  <c r="A2365" i="2"/>
  <c r="E2364" i="2"/>
  <c r="F2364" i="2" s="1"/>
  <c r="C2364" i="2"/>
  <c r="A2364" i="2"/>
  <c r="E2363" i="2"/>
  <c r="F2363" i="2" s="1"/>
  <c r="C2363" i="2"/>
  <c r="A2363" i="2"/>
  <c r="E2362" i="2"/>
  <c r="F2362" i="2" s="1"/>
  <c r="C2362" i="2"/>
  <c r="A2362" i="2"/>
  <c r="E2361" i="2"/>
  <c r="F2361" i="2" s="1"/>
  <c r="C2361" i="2"/>
  <c r="A2361" i="2"/>
  <c r="E2360" i="2"/>
  <c r="F2360" i="2" s="1"/>
  <c r="C2360" i="2"/>
  <c r="A2360" i="2"/>
  <c r="E2359" i="2"/>
  <c r="F2359" i="2" s="1"/>
  <c r="C2359" i="2"/>
  <c r="A2359" i="2"/>
  <c r="E2358" i="2"/>
  <c r="F2358" i="2" s="1"/>
  <c r="C2358" i="2"/>
  <c r="A2358" i="2"/>
  <c r="E2357" i="2"/>
  <c r="F2357" i="2" s="1"/>
  <c r="C2357" i="2"/>
  <c r="A2357" i="2"/>
  <c r="E2356" i="2"/>
  <c r="F2356" i="2" s="1"/>
  <c r="C2356" i="2"/>
  <c r="A2356" i="2"/>
  <c r="E2355" i="2"/>
  <c r="F2355" i="2" s="1"/>
  <c r="C2355" i="2"/>
  <c r="A2355" i="2"/>
  <c r="E2354" i="2"/>
  <c r="F2354" i="2" s="1"/>
  <c r="C2354" i="2"/>
  <c r="A2354" i="2"/>
  <c r="E2353" i="2"/>
  <c r="F2353" i="2" s="1"/>
  <c r="C2353" i="2"/>
  <c r="A2353" i="2"/>
  <c r="E2352" i="2"/>
  <c r="F2352" i="2" s="1"/>
  <c r="C2352" i="2"/>
  <c r="A2352" i="2"/>
  <c r="E2351" i="2"/>
  <c r="F2351" i="2" s="1"/>
  <c r="C2351" i="2"/>
  <c r="A2351" i="2"/>
  <c r="E2350" i="2"/>
  <c r="F2350" i="2" s="1"/>
  <c r="C2350" i="2"/>
  <c r="A2350" i="2"/>
  <c r="E2349" i="2"/>
  <c r="F2349" i="2" s="1"/>
  <c r="C2349" i="2"/>
  <c r="A2349" i="2"/>
  <c r="E2348" i="2"/>
  <c r="F2348" i="2" s="1"/>
  <c r="C2348" i="2"/>
  <c r="A2348" i="2"/>
  <c r="E2347" i="2"/>
  <c r="F2347" i="2" s="1"/>
  <c r="C2347" i="2"/>
  <c r="A2347" i="2"/>
  <c r="E2346" i="2"/>
  <c r="F2346" i="2" s="1"/>
  <c r="C2346" i="2"/>
  <c r="A2346" i="2"/>
  <c r="E2345" i="2"/>
  <c r="F2345" i="2" s="1"/>
  <c r="C2345" i="2"/>
  <c r="A2345" i="2"/>
  <c r="E2344" i="2"/>
  <c r="F2344" i="2" s="1"/>
  <c r="C2344" i="2"/>
  <c r="A2344" i="2"/>
  <c r="E2343" i="2"/>
  <c r="F2343" i="2" s="1"/>
  <c r="C2343" i="2"/>
  <c r="A2343" i="2"/>
  <c r="E2342" i="2"/>
  <c r="F2342" i="2" s="1"/>
  <c r="C2342" i="2"/>
  <c r="A2342" i="2"/>
  <c r="E2341" i="2"/>
  <c r="F2341" i="2" s="1"/>
  <c r="C2341" i="2"/>
  <c r="A2341" i="2"/>
  <c r="E2340" i="2"/>
  <c r="F2340" i="2" s="1"/>
  <c r="C2340" i="2"/>
  <c r="A2340" i="2"/>
  <c r="E2339" i="2"/>
  <c r="F2339" i="2" s="1"/>
  <c r="C2339" i="2"/>
  <c r="A2339" i="2"/>
  <c r="E2338" i="2"/>
  <c r="F2338" i="2" s="1"/>
  <c r="C2338" i="2"/>
  <c r="A2338" i="2"/>
  <c r="E2337" i="2"/>
  <c r="F2337" i="2" s="1"/>
  <c r="C2337" i="2"/>
  <c r="A2337" i="2"/>
  <c r="E2336" i="2"/>
  <c r="F2336" i="2" s="1"/>
  <c r="C2336" i="2"/>
  <c r="A2336" i="2"/>
  <c r="E2335" i="2"/>
  <c r="F2335" i="2" s="1"/>
  <c r="C2335" i="2"/>
  <c r="A2335" i="2"/>
  <c r="E2334" i="2"/>
  <c r="F2334" i="2" s="1"/>
  <c r="C2334" i="2"/>
  <c r="A2334" i="2"/>
  <c r="E2333" i="2"/>
  <c r="F2333" i="2" s="1"/>
  <c r="C2333" i="2"/>
  <c r="A2333" i="2"/>
  <c r="E2332" i="2"/>
  <c r="F2332" i="2" s="1"/>
  <c r="C2332" i="2"/>
  <c r="A2332" i="2"/>
  <c r="E2331" i="2"/>
  <c r="F2331" i="2" s="1"/>
  <c r="C2331" i="2"/>
  <c r="A2331" i="2"/>
  <c r="E2330" i="2"/>
  <c r="F2330" i="2" s="1"/>
  <c r="C2330" i="2"/>
  <c r="A2330" i="2"/>
  <c r="E2329" i="2"/>
  <c r="F2329" i="2" s="1"/>
  <c r="C2329" i="2"/>
  <c r="A2329" i="2"/>
  <c r="E2328" i="2"/>
  <c r="F2328" i="2" s="1"/>
  <c r="C2328" i="2"/>
  <c r="A2328" i="2"/>
  <c r="E2327" i="2"/>
  <c r="F2327" i="2" s="1"/>
  <c r="C2327" i="2"/>
  <c r="A2327" i="2"/>
  <c r="E2326" i="2"/>
  <c r="F2326" i="2" s="1"/>
  <c r="C2326" i="2"/>
  <c r="A2326" i="2"/>
  <c r="E2325" i="2"/>
  <c r="F2325" i="2" s="1"/>
  <c r="C2325" i="2"/>
  <c r="A2325" i="2"/>
  <c r="E2324" i="2"/>
  <c r="F2324" i="2" s="1"/>
  <c r="C2324" i="2"/>
  <c r="A2324" i="2"/>
  <c r="E2323" i="2"/>
  <c r="F2323" i="2" s="1"/>
  <c r="C2323" i="2"/>
  <c r="A2323" i="2"/>
  <c r="E2322" i="2"/>
  <c r="F2322" i="2" s="1"/>
  <c r="C2322" i="2"/>
  <c r="A2322" i="2"/>
  <c r="E2321" i="2"/>
  <c r="F2321" i="2" s="1"/>
  <c r="C2321" i="2"/>
  <c r="A2321" i="2"/>
  <c r="E2320" i="2"/>
  <c r="F2320" i="2" s="1"/>
  <c r="C2320" i="2"/>
  <c r="A2320" i="2"/>
  <c r="E2319" i="2"/>
  <c r="F2319" i="2" s="1"/>
  <c r="C2319" i="2"/>
  <c r="A2319" i="2"/>
  <c r="E2318" i="2"/>
  <c r="F2318" i="2" s="1"/>
  <c r="C2318" i="2"/>
  <c r="A2318" i="2"/>
  <c r="E2317" i="2"/>
  <c r="F2317" i="2" s="1"/>
  <c r="C2317" i="2"/>
  <c r="A2317" i="2"/>
  <c r="E2316" i="2"/>
  <c r="F2316" i="2" s="1"/>
  <c r="C2316" i="2"/>
  <c r="A2316" i="2"/>
  <c r="E2315" i="2"/>
  <c r="F2315" i="2" s="1"/>
  <c r="C2315" i="2"/>
  <c r="A2315" i="2"/>
  <c r="E2314" i="2"/>
  <c r="F2314" i="2" s="1"/>
  <c r="C2314" i="2"/>
  <c r="A2314" i="2"/>
  <c r="E2313" i="2"/>
  <c r="F2313" i="2" s="1"/>
  <c r="C2313" i="2"/>
  <c r="A2313" i="2"/>
  <c r="E2312" i="2"/>
  <c r="F2312" i="2" s="1"/>
  <c r="C2312" i="2"/>
  <c r="A2312" i="2"/>
  <c r="E2311" i="2"/>
  <c r="F2311" i="2" s="1"/>
  <c r="C2311" i="2"/>
  <c r="A2311" i="2"/>
  <c r="E2310" i="2"/>
  <c r="F2310" i="2" s="1"/>
  <c r="C2310" i="2"/>
  <c r="A2310" i="2"/>
  <c r="E2309" i="2"/>
  <c r="F2309" i="2" s="1"/>
  <c r="C2309" i="2"/>
  <c r="A2309" i="2"/>
  <c r="E2308" i="2"/>
  <c r="F2308" i="2" s="1"/>
  <c r="C2308" i="2"/>
  <c r="A2308" i="2"/>
  <c r="E2307" i="2"/>
  <c r="F2307" i="2" s="1"/>
  <c r="C2307" i="2"/>
  <c r="A2307" i="2"/>
  <c r="E2306" i="2"/>
  <c r="F2306" i="2" s="1"/>
  <c r="C2306" i="2"/>
  <c r="A2306" i="2"/>
  <c r="E2305" i="2"/>
  <c r="F2305" i="2" s="1"/>
  <c r="C2305" i="2"/>
  <c r="A2305" i="2"/>
  <c r="E2304" i="2"/>
  <c r="F2304" i="2" s="1"/>
  <c r="C2304" i="2"/>
  <c r="A2304" i="2"/>
  <c r="E2303" i="2"/>
  <c r="F2303" i="2" s="1"/>
  <c r="C2303" i="2"/>
  <c r="A2303" i="2"/>
  <c r="E2302" i="2"/>
  <c r="F2302" i="2" s="1"/>
  <c r="C2302" i="2"/>
  <c r="A2302" i="2"/>
  <c r="E2301" i="2"/>
  <c r="F2301" i="2" s="1"/>
  <c r="C2301" i="2"/>
  <c r="A2301" i="2"/>
  <c r="E2300" i="2"/>
  <c r="F2300" i="2" s="1"/>
  <c r="C2300" i="2"/>
  <c r="A2300" i="2"/>
  <c r="E2299" i="2"/>
  <c r="F2299" i="2" s="1"/>
  <c r="C2299" i="2"/>
  <c r="A2299" i="2"/>
  <c r="E2298" i="2"/>
  <c r="F2298" i="2" s="1"/>
  <c r="C2298" i="2"/>
  <c r="A2298" i="2"/>
  <c r="E2297" i="2"/>
  <c r="F2297" i="2" s="1"/>
  <c r="C2297" i="2"/>
  <c r="A2297" i="2"/>
  <c r="E2296" i="2"/>
  <c r="F2296" i="2" s="1"/>
  <c r="C2296" i="2"/>
  <c r="A2296" i="2"/>
  <c r="E2295" i="2"/>
  <c r="F2295" i="2" s="1"/>
  <c r="C2295" i="2"/>
  <c r="A2295" i="2"/>
  <c r="E2294" i="2"/>
  <c r="F2294" i="2" s="1"/>
  <c r="C2294" i="2"/>
  <c r="A2294" i="2"/>
  <c r="E2293" i="2"/>
  <c r="F2293" i="2" s="1"/>
  <c r="C2293" i="2"/>
  <c r="A2293" i="2"/>
  <c r="E2292" i="2"/>
  <c r="F2292" i="2" s="1"/>
  <c r="C2292" i="2"/>
  <c r="A2292" i="2"/>
  <c r="E2291" i="2"/>
  <c r="F2291" i="2" s="1"/>
  <c r="C2291" i="2"/>
  <c r="A2291" i="2"/>
  <c r="E2290" i="2"/>
  <c r="F2290" i="2" s="1"/>
  <c r="C2290" i="2"/>
  <c r="A2290" i="2"/>
  <c r="E2289" i="2"/>
  <c r="F2289" i="2" s="1"/>
  <c r="C2289" i="2"/>
  <c r="A2289" i="2"/>
  <c r="E2288" i="2"/>
  <c r="F2288" i="2" s="1"/>
  <c r="C2288" i="2"/>
  <c r="A2288" i="2"/>
  <c r="E2287" i="2"/>
  <c r="F2287" i="2" s="1"/>
  <c r="C2287" i="2"/>
  <c r="A2287" i="2"/>
  <c r="E2286" i="2"/>
  <c r="F2286" i="2" s="1"/>
  <c r="C2286" i="2"/>
  <c r="A2286" i="2"/>
  <c r="E2285" i="2"/>
  <c r="F2285" i="2" s="1"/>
  <c r="C2285" i="2"/>
  <c r="A2285" i="2"/>
  <c r="E2284" i="2"/>
  <c r="F2284" i="2" s="1"/>
  <c r="C2284" i="2"/>
  <c r="A2284" i="2"/>
  <c r="E2283" i="2"/>
  <c r="F2283" i="2" s="1"/>
  <c r="C2283" i="2"/>
  <c r="A2283" i="2"/>
  <c r="E2282" i="2"/>
  <c r="F2282" i="2" s="1"/>
  <c r="C2282" i="2"/>
  <c r="A2282" i="2"/>
  <c r="E2281" i="2"/>
  <c r="F2281" i="2" s="1"/>
  <c r="C2281" i="2"/>
  <c r="A2281" i="2"/>
  <c r="E2280" i="2"/>
  <c r="F2280" i="2" s="1"/>
  <c r="C2280" i="2"/>
  <c r="A2280" i="2"/>
  <c r="E2279" i="2"/>
  <c r="F2279" i="2" s="1"/>
  <c r="C2279" i="2"/>
  <c r="A2279" i="2"/>
  <c r="E2278" i="2"/>
  <c r="F2278" i="2" s="1"/>
  <c r="C2278" i="2"/>
  <c r="A2278" i="2"/>
  <c r="E2277" i="2"/>
  <c r="F2277" i="2" s="1"/>
  <c r="C2277" i="2"/>
  <c r="A2277" i="2"/>
  <c r="E2276" i="2"/>
  <c r="F2276" i="2" s="1"/>
  <c r="C2276" i="2"/>
  <c r="A2276" i="2"/>
  <c r="E2275" i="2"/>
  <c r="F2275" i="2" s="1"/>
  <c r="C2275" i="2"/>
  <c r="A2275" i="2"/>
  <c r="E2274" i="2"/>
  <c r="F2274" i="2" s="1"/>
  <c r="C2274" i="2"/>
  <c r="A2274" i="2"/>
  <c r="E2273" i="2"/>
  <c r="F2273" i="2" s="1"/>
  <c r="C2273" i="2"/>
  <c r="A2273" i="2"/>
  <c r="E2272" i="2"/>
  <c r="F2272" i="2" s="1"/>
  <c r="C2272" i="2"/>
  <c r="A2272" i="2"/>
  <c r="E2271" i="2"/>
  <c r="F2271" i="2" s="1"/>
  <c r="C2271" i="2"/>
  <c r="A2271" i="2"/>
  <c r="E2270" i="2"/>
  <c r="F2270" i="2" s="1"/>
  <c r="C2270" i="2"/>
  <c r="A2270" i="2"/>
  <c r="E2269" i="2"/>
  <c r="F2269" i="2" s="1"/>
  <c r="C2269" i="2"/>
  <c r="A2269" i="2"/>
  <c r="E2268" i="2"/>
  <c r="F2268" i="2" s="1"/>
  <c r="C2268" i="2"/>
  <c r="A2268" i="2"/>
  <c r="E2267" i="2"/>
  <c r="F2267" i="2" s="1"/>
  <c r="C2267" i="2"/>
  <c r="A2267" i="2"/>
  <c r="E2266" i="2"/>
  <c r="F2266" i="2" s="1"/>
  <c r="C2266" i="2"/>
  <c r="A2266" i="2"/>
  <c r="E2265" i="2"/>
  <c r="F2265" i="2" s="1"/>
  <c r="C2265" i="2"/>
  <c r="A2265" i="2"/>
  <c r="E2264" i="2"/>
  <c r="F2264" i="2" s="1"/>
  <c r="C2264" i="2"/>
  <c r="A2264" i="2"/>
  <c r="E2263" i="2"/>
  <c r="F2263" i="2" s="1"/>
  <c r="C2263" i="2"/>
  <c r="A2263" i="2"/>
  <c r="E2262" i="2"/>
  <c r="F2262" i="2" s="1"/>
  <c r="C2262" i="2"/>
  <c r="A2262" i="2"/>
  <c r="E2261" i="2"/>
  <c r="F2261" i="2" s="1"/>
  <c r="C2261" i="2"/>
  <c r="A2261" i="2"/>
  <c r="E2260" i="2"/>
  <c r="F2260" i="2" s="1"/>
  <c r="C2260" i="2"/>
  <c r="A2260" i="2"/>
  <c r="E2259" i="2"/>
  <c r="F2259" i="2" s="1"/>
  <c r="C2259" i="2"/>
  <c r="A2259" i="2"/>
  <c r="E2258" i="2"/>
  <c r="F2258" i="2" s="1"/>
  <c r="C2258" i="2"/>
  <c r="A2258" i="2"/>
  <c r="E2257" i="2"/>
  <c r="F2257" i="2" s="1"/>
  <c r="C2257" i="2"/>
  <c r="A2257" i="2"/>
  <c r="E2256" i="2"/>
  <c r="F2256" i="2" s="1"/>
  <c r="C2256" i="2"/>
  <c r="A2256" i="2"/>
  <c r="E2255" i="2"/>
  <c r="F2255" i="2" s="1"/>
  <c r="C2255" i="2"/>
  <c r="A2255" i="2"/>
  <c r="E2254" i="2"/>
  <c r="F2254" i="2" s="1"/>
  <c r="C2254" i="2"/>
  <c r="A2254" i="2"/>
  <c r="E2253" i="2"/>
  <c r="F2253" i="2" s="1"/>
  <c r="C2253" i="2"/>
  <c r="A2253" i="2"/>
  <c r="E2252" i="2"/>
  <c r="F2252" i="2" s="1"/>
  <c r="C2252" i="2"/>
  <c r="A2252" i="2"/>
  <c r="E2251" i="2"/>
  <c r="F2251" i="2" s="1"/>
  <c r="C2251" i="2"/>
  <c r="A2251" i="2"/>
  <c r="E2250" i="2"/>
  <c r="F2250" i="2" s="1"/>
  <c r="C2250" i="2"/>
  <c r="A2250" i="2"/>
  <c r="E2249" i="2"/>
  <c r="F2249" i="2" s="1"/>
  <c r="C2249" i="2"/>
  <c r="A2249" i="2"/>
  <c r="E2248" i="2"/>
  <c r="F2248" i="2" s="1"/>
  <c r="C2248" i="2"/>
  <c r="A2248" i="2"/>
  <c r="E2247" i="2"/>
  <c r="F2247" i="2" s="1"/>
  <c r="C2247" i="2"/>
  <c r="A2247" i="2"/>
  <c r="E2246" i="2"/>
  <c r="F2246" i="2" s="1"/>
  <c r="C2246" i="2"/>
  <c r="A2246" i="2"/>
  <c r="E2245" i="2"/>
  <c r="F2245" i="2" s="1"/>
  <c r="C2245" i="2"/>
  <c r="A2245" i="2"/>
  <c r="E2244" i="2"/>
  <c r="F2244" i="2" s="1"/>
  <c r="C2244" i="2"/>
  <c r="A2244" i="2"/>
  <c r="E2243" i="2"/>
  <c r="F2243" i="2" s="1"/>
  <c r="C2243" i="2"/>
  <c r="A2243" i="2"/>
  <c r="E2242" i="2"/>
  <c r="F2242" i="2" s="1"/>
  <c r="C2242" i="2"/>
  <c r="A2242" i="2"/>
  <c r="E2241" i="2"/>
  <c r="F2241" i="2" s="1"/>
  <c r="C2241" i="2"/>
  <c r="A2241" i="2"/>
  <c r="E2240" i="2"/>
  <c r="F2240" i="2" s="1"/>
  <c r="C2240" i="2"/>
  <c r="A2240" i="2"/>
  <c r="E2239" i="2"/>
  <c r="F2239" i="2" s="1"/>
  <c r="C2239" i="2"/>
  <c r="A2239" i="2"/>
  <c r="E2238" i="2"/>
  <c r="F2238" i="2" s="1"/>
  <c r="C2238" i="2"/>
  <c r="A2238" i="2"/>
  <c r="E2237" i="2"/>
  <c r="F2237" i="2" s="1"/>
  <c r="C2237" i="2"/>
  <c r="A2237" i="2"/>
  <c r="E2236" i="2"/>
  <c r="F2236" i="2" s="1"/>
  <c r="C2236" i="2"/>
  <c r="A2236" i="2"/>
  <c r="E2235" i="2"/>
  <c r="F2235" i="2" s="1"/>
  <c r="C2235" i="2"/>
  <c r="A2235" i="2"/>
  <c r="E2234" i="2"/>
  <c r="F2234" i="2" s="1"/>
  <c r="C2234" i="2"/>
  <c r="A2234" i="2"/>
  <c r="E2233" i="2"/>
  <c r="F2233" i="2" s="1"/>
  <c r="C2233" i="2"/>
  <c r="A2233" i="2"/>
  <c r="E2232" i="2"/>
  <c r="F2232" i="2" s="1"/>
  <c r="C2232" i="2"/>
  <c r="A2232" i="2"/>
  <c r="E2231" i="2"/>
  <c r="F2231" i="2" s="1"/>
  <c r="C2231" i="2"/>
  <c r="A2231" i="2"/>
  <c r="E2230" i="2"/>
  <c r="F2230" i="2" s="1"/>
  <c r="C2230" i="2"/>
  <c r="A2230" i="2"/>
  <c r="E2229" i="2"/>
  <c r="F2229" i="2" s="1"/>
  <c r="C2229" i="2"/>
  <c r="A2229" i="2"/>
  <c r="E2228" i="2"/>
  <c r="F2228" i="2" s="1"/>
  <c r="C2228" i="2"/>
  <c r="A2228" i="2"/>
  <c r="E2227" i="2"/>
  <c r="F2227" i="2" s="1"/>
  <c r="C2227" i="2"/>
  <c r="A2227" i="2"/>
  <c r="E2226" i="2"/>
  <c r="F2226" i="2" s="1"/>
  <c r="C2226" i="2"/>
  <c r="A2226" i="2"/>
  <c r="E2225" i="2"/>
  <c r="F2225" i="2" s="1"/>
  <c r="C2225" i="2"/>
  <c r="A2225" i="2"/>
  <c r="E2224" i="2"/>
  <c r="F2224" i="2" s="1"/>
  <c r="C2224" i="2"/>
  <c r="A2224" i="2"/>
  <c r="E2223" i="2"/>
  <c r="F2223" i="2" s="1"/>
  <c r="C2223" i="2"/>
  <c r="A2223" i="2"/>
  <c r="E2222" i="2"/>
  <c r="F2222" i="2" s="1"/>
  <c r="C2222" i="2"/>
  <c r="A2222" i="2"/>
  <c r="E2221" i="2"/>
  <c r="F2221" i="2" s="1"/>
  <c r="C2221" i="2"/>
  <c r="A2221" i="2"/>
  <c r="E2220" i="2"/>
  <c r="F2220" i="2" s="1"/>
  <c r="C2220" i="2"/>
  <c r="A2220" i="2"/>
  <c r="E2219" i="2"/>
  <c r="F2219" i="2" s="1"/>
  <c r="C2219" i="2"/>
  <c r="A2219" i="2"/>
  <c r="E2218" i="2"/>
  <c r="F2218" i="2" s="1"/>
  <c r="C2218" i="2"/>
  <c r="A2218" i="2"/>
  <c r="E2217" i="2"/>
  <c r="F2217" i="2" s="1"/>
  <c r="C2217" i="2"/>
  <c r="A2217" i="2"/>
  <c r="E2216" i="2"/>
  <c r="F2216" i="2" s="1"/>
  <c r="C2216" i="2"/>
  <c r="A2216" i="2"/>
  <c r="E2215" i="2"/>
  <c r="F2215" i="2" s="1"/>
  <c r="C2215" i="2"/>
  <c r="A2215" i="2"/>
  <c r="E2214" i="2"/>
  <c r="F2214" i="2" s="1"/>
  <c r="C2214" i="2"/>
  <c r="A2214" i="2"/>
  <c r="E2213" i="2"/>
  <c r="F2213" i="2" s="1"/>
  <c r="C2213" i="2"/>
  <c r="A2213" i="2"/>
  <c r="E2212" i="2"/>
  <c r="F2212" i="2" s="1"/>
  <c r="C2212" i="2"/>
  <c r="A2212" i="2"/>
  <c r="E2211" i="2"/>
  <c r="F2211" i="2" s="1"/>
  <c r="C2211" i="2"/>
  <c r="A2211" i="2"/>
  <c r="E2210" i="2"/>
  <c r="F2210" i="2" s="1"/>
  <c r="C2210" i="2"/>
  <c r="A2210" i="2"/>
  <c r="E2209" i="2"/>
  <c r="F2209" i="2" s="1"/>
  <c r="C2209" i="2"/>
  <c r="A2209" i="2"/>
  <c r="E2208" i="2"/>
  <c r="F2208" i="2" s="1"/>
  <c r="C2208" i="2"/>
  <c r="A2208" i="2"/>
  <c r="E2207" i="2"/>
  <c r="F2207" i="2" s="1"/>
  <c r="C2207" i="2"/>
  <c r="A2207" i="2"/>
  <c r="E2206" i="2"/>
  <c r="F2206" i="2" s="1"/>
  <c r="C2206" i="2"/>
  <c r="A2206" i="2"/>
  <c r="E2205" i="2"/>
  <c r="F2205" i="2" s="1"/>
  <c r="C2205" i="2"/>
  <c r="A2205" i="2"/>
  <c r="E2204" i="2"/>
  <c r="F2204" i="2" s="1"/>
  <c r="C2204" i="2"/>
  <c r="A2204" i="2"/>
  <c r="E2203" i="2"/>
  <c r="F2203" i="2" s="1"/>
  <c r="C2203" i="2"/>
  <c r="A2203" i="2"/>
  <c r="E2202" i="2"/>
  <c r="F2202" i="2" s="1"/>
  <c r="C2202" i="2"/>
  <c r="A2202" i="2"/>
  <c r="E2201" i="2"/>
  <c r="F2201" i="2" s="1"/>
  <c r="C2201" i="2"/>
  <c r="A2201" i="2"/>
  <c r="E2200" i="2"/>
  <c r="F2200" i="2" s="1"/>
  <c r="C2200" i="2"/>
  <c r="A2200" i="2"/>
  <c r="E2199" i="2"/>
  <c r="F2199" i="2" s="1"/>
  <c r="C2199" i="2"/>
  <c r="A2199" i="2"/>
  <c r="E2198" i="2"/>
  <c r="F2198" i="2" s="1"/>
  <c r="C2198" i="2"/>
  <c r="A2198" i="2"/>
  <c r="E2197" i="2"/>
  <c r="F2197" i="2" s="1"/>
  <c r="C2197" i="2"/>
  <c r="A2197" i="2"/>
  <c r="E2196" i="2"/>
  <c r="F2196" i="2" s="1"/>
  <c r="C2196" i="2"/>
  <c r="A2196" i="2"/>
  <c r="E2195" i="2"/>
  <c r="F2195" i="2" s="1"/>
  <c r="C2195" i="2"/>
  <c r="A2195" i="2"/>
  <c r="E2194" i="2"/>
  <c r="F2194" i="2" s="1"/>
  <c r="C2194" i="2"/>
  <c r="A2194" i="2"/>
  <c r="E2193" i="2"/>
  <c r="F2193" i="2" s="1"/>
  <c r="C2193" i="2"/>
  <c r="A2193" i="2"/>
  <c r="E2192" i="2"/>
  <c r="F2192" i="2" s="1"/>
  <c r="C2192" i="2"/>
  <c r="A2192" i="2"/>
  <c r="E2191" i="2"/>
  <c r="F2191" i="2" s="1"/>
  <c r="C2191" i="2"/>
  <c r="A2191" i="2"/>
  <c r="E2190" i="2"/>
  <c r="F2190" i="2" s="1"/>
  <c r="C2190" i="2"/>
  <c r="A2190" i="2"/>
  <c r="E2189" i="2"/>
  <c r="F2189" i="2" s="1"/>
  <c r="C2189" i="2"/>
  <c r="A2189" i="2"/>
  <c r="E2188" i="2"/>
  <c r="F2188" i="2" s="1"/>
  <c r="C2188" i="2"/>
  <c r="A2188" i="2"/>
  <c r="E2187" i="2"/>
  <c r="F2187" i="2" s="1"/>
  <c r="C2187" i="2"/>
  <c r="A2187" i="2"/>
  <c r="E2186" i="2"/>
  <c r="F2186" i="2" s="1"/>
  <c r="C2186" i="2"/>
  <c r="A2186" i="2"/>
  <c r="E2185" i="2"/>
  <c r="F2185" i="2" s="1"/>
  <c r="C2185" i="2"/>
  <c r="A2185" i="2"/>
  <c r="E2184" i="2"/>
  <c r="F2184" i="2" s="1"/>
  <c r="C2184" i="2"/>
  <c r="A2184" i="2"/>
  <c r="E2183" i="2"/>
  <c r="F2183" i="2" s="1"/>
  <c r="C2183" i="2"/>
  <c r="A2183" i="2"/>
  <c r="E2182" i="2"/>
  <c r="F2182" i="2" s="1"/>
  <c r="C2182" i="2"/>
  <c r="A2182" i="2"/>
  <c r="E2181" i="2"/>
  <c r="F2181" i="2" s="1"/>
  <c r="C2181" i="2"/>
  <c r="A2181" i="2"/>
  <c r="E2180" i="2"/>
  <c r="F2180" i="2" s="1"/>
  <c r="C2180" i="2"/>
  <c r="A2180" i="2"/>
  <c r="E2179" i="2"/>
  <c r="F2179" i="2" s="1"/>
  <c r="C2179" i="2"/>
  <c r="A2179" i="2"/>
  <c r="E2178" i="2"/>
  <c r="F2178" i="2" s="1"/>
  <c r="C2178" i="2"/>
  <c r="A2178" i="2"/>
  <c r="E2177" i="2"/>
  <c r="F2177" i="2" s="1"/>
  <c r="C2177" i="2"/>
  <c r="A2177" i="2"/>
  <c r="E2176" i="2"/>
  <c r="F2176" i="2" s="1"/>
  <c r="C2176" i="2"/>
  <c r="A2176" i="2"/>
  <c r="E2175" i="2"/>
  <c r="F2175" i="2" s="1"/>
  <c r="C2175" i="2"/>
  <c r="A2175" i="2"/>
  <c r="E2174" i="2"/>
  <c r="F2174" i="2" s="1"/>
  <c r="C2174" i="2"/>
  <c r="A2174" i="2"/>
  <c r="E2173" i="2"/>
  <c r="F2173" i="2" s="1"/>
  <c r="C2173" i="2"/>
  <c r="A2173" i="2"/>
  <c r="E2172" i="2"/>
  <c r="F2172" i="2" s="1"/>
  <c r="C2172" i="2"/>
  <c r="A2172" i="2"/>
  <c r="E2171" i="2"/>
  <c r="F2171" i="2" s="1"/>
  <c r="C2171" i="2"/>
  <c r="A2171" i="2"/>
  <c r="E2170" i="2"/>
  <c r="F2170" i="2" s="1"/>
  <c r="C2170" i="2"/>
  <c r="A2170" i="2"/>
  <c r="E2169" i="2"/>
  <c r="F2169" i="2" s="1"/>
  <c r="C2169" i="2"/>
  <c r="A2169" i="2"/>
  <c r="E2168" i="2"/>
  <c r="F2168" i="2" s="1"/>
  <c r="C2168" i="2"/>
  <c r="A2168" i="2"/>
  <c r="E2167" i="2"/>
  <c r="F2167" i="2" s="1"/>
  <c r="C2167" i="2"/>
  <c r="A2167" i="2"/>
  <c r="E2166" i="2"/>
  <c r="F2166" i="2" s="1"/>
  <c r="C2166" i="2"/>
  <c r="A2166" i="2"/>
  <c r="E2165" i="2"/>
  <c r="F2165" i="2" s="1"/>
  <c r="C2165" i="2"/>
  <c r="A2165" i="2"/>
  <c r="E2164" i="2"/>
  <c r="F2164" i="2" s="1"/>
  <c r="C2164" i="2"/>
  <c r="A2164" i="2"/>
  <c r="E2163" i="2"/>
  <c r="F2163" i="2" s="1"/>
  <c r="C2163" i="2"/>
  <c r="A2163" i="2"/>
  <c r="E2162" i="2"/>
  <c r="F2162" i="2" s="1"/>
  <c r="C2162" i="2"/>
  <c r="A2162" i="2"/>
  <c r="E2161" i="2"/>
  <c r="F2161" i="2" s="1"/>
  <c r="C2161" i="2"/>
  <c r="A2161" i="2"/>
  <c r="E2160" i="2"/>
  <c r="F2160" i="2" s="1"/>
  <c r="C2160" i="2"/>
  <c r="A2160" i="2"/>
  <c r="E2159" i="2"/>
  <c r="F2159" i="2" s="1"/>
  <c r="C2159" i="2"/>
  <c r="A2159" i="2"/>
  <c r="E2158" i="2"/>
  <c r="F2158" i="2" s="1"/>
  <c r="C2158" i="2"/>
  <c r="A2158" i="2"/>
  <c r="E2157" i="2"/>
  <c r="F2157" i="2" s="1"/>
  <c r="C2157" i="2"/>
  <c r="A2157" i="2"/>
  <c r="E2156" i="2"/>
  <c r="F2156" i="2" s="1"/>
  <c r="C2156" i="2"/>
  <c r="A2156" i="2"/>
  <c r="E2155" i="2"/>
  <c r="F2155" i="2" s="1"/>
  <c r="C2155" i="2"/>
  <c r="A2155" i="2"/>
  <c r="E2154" i="2"/>
  <c r="F2154" i="2" s="1"/>
  <c r="C2154" i="2"/>
  <c r="A2154" i="2"/>
  <c r="E2153" i="2"/>
  <c r="F2153" i="2" s="1"/>
  <c r="C2153" i="2"/>
  <c r="A2153" i="2"/>
  <c r="E2152" i="2"/>
  <c r="F2152" i="2" s="1"/>
  <c r="C2152" i="2"/>
  <c r="A2152" i="2"/>
  <c r="E2151" i="2"/>
  <c r="F2151" i="2" s="1"/>
  <c r="C2151" i="2"/>
  <c r="A2151" i="2"/>
  <c r="E2150" i="2"/>
  <c r="F2150" i="2" s="1"/>
  <c r="C2150" i="2"/>
  <c r="A2150" i="2"/>
  <c r="E2149" i="2"/>
  <c r="F2149" i="2" s="1"/>
  <c r="C2149" i="2"/>
  <c r="A2149" i="2"/>
  <c r="E2148" i="2"/>
  <c r="F2148" i="2" s="1"/>
  <c r="C2148" i="2"/>
  <c r="A2148" i="2"/>
  <c r="E2147" i="2"/>
  <c r="F2147" i="2" s="1"/>
  <c r="C2147" i="2"/>
  <c r="A2147" i="2"/>
  <c r="E2146" i="2"/>
  <c r="F2146" i="2" s="1"/>
  <c r="C2146" i="2"/>
  <c r="A2146" i="2"/>
  <c r="E2145" i="2"/>
  <c r="F2145" i="2" s="1"/>
  <c r="C2145" i="2"/>
  <c r="A2145" i="2"/>
  <c r="E2144" i="2"/>
  <c r="F2144" i="2" s="1"/>
  <c r="C2144" i="2"/>
  <c r="A2144" i="2"/>
  <c r="E2143" i="2"/>
  <c r="F2143" i="2" s="1"/>
  <c r="C2143" i="2"/>
  <c r="A2143" i="2"/>
  <c r="E2142" i="2"/>
  <c r="F2142" i="2" s="1"/>
  <c r="C2142" i="2"/>
  <c r="A2142" i="2"/>
  <c r="E2141" i="2"/>
  <c r="F2141" i="2" s="1"/>
  <c r="C2141" i="2"/>
  <c r="A2141" i="2"/>
  <c r="E2140" i="2"/>
  <c r="F2140" i="2" s="1"/>
  <c r="C2140" i="2"/>
  <c r="A2140" i="2"/>
  <c r="E2139" i="2"/>
  <c r="F2139" i="2" s="1"/>
  <c r="C2139" i="2"/>
  <c r="A2139" i="2"/>
  <c r="E2138" i="2"/>
  <c r="F2138" i="2" s="1"/>
  <c r="C2138" i="2"/>
  <c r="A2138" i="2"/>
  <c r="E2137" i="2"/>
  <c r="F2137" i="2" s="1"/>
  <c r="C2137" i="2"/>
  <c r="A2137" i="2"/>
  <c r="E2136" i="2"/>
  <c r="F2136" i="2" s="1"/>
  <c r="C2136" i="2"/>
  <c r="A2136" i="2"/>
  <c r="E2135" i="2"/>
  <c r="F2135" i="2" s="1"/>
  <c r="C2135" i="2"/>
  <c r="A2135" i="2"/>
  <c r="E2134" i="2"/>
  <c r="F2134" i="2" s="1"/>
  <c r="C2134" i="2"/>
  <c r="A2134" i="2"/>
  <c r="E2133" i="2"/>
  <c r="F2133" i="2" s="1"/>
  <c r="C2133" i="2"/>
  <c r="A2133" i="2"/>
  <c r="E2132" i="2"/>
  <c r="F2132" i="2" s="1"/>
  <c r="C2132" i="2"/>
  <c r="A2132" i="2"/>
  <c r="E2131" i="2"/>
  <c r="F2131" i="2" s="1"/>
  <c r="C2131" i="2"/>
  <c r="A2131" i="2"/>
  <c r="E2130" i="2"/>
  <c r="F2130" i="2" s="1"/>
  <c r="C2130" i="2"/>
  <c r="A2130" i="2"/>
  <c r="E2129" i="2"/>
  <c r="F2129" i="2" s="1"/>
  <c r="C2129" i="2"/>
  <c r="A2129" i="2"/>
  <c r="E2128" i="2"/>
  <c r="F2128" i="2" s="1"/>
  <c r="C2128" i="2"/>
  <c r="A2128" i="2"/>
  <c r="E2127" i="2"/>
  <c r="F2127" i="2" s="1"/>
  <c r="C2127" i="2"/>
  <c r="A2127" i="2"/>
  <c r="E2126" i="2"/>
  <c r="F2126" i="2" s="1"/>
  <c r="C2126" i="2"/>
  <c r="A2126" i="2"/>
  <c r="E2125" i="2"/>
  <c r="F2125" i="2" s="1"/>
  <c r="C2125" i="2"/>
  <c r="A2125" i="2"/>
  <c r="E2124" i="2"/>
  <c r="F2124" i="2" s="1"/>
  <c r="C2124" i="2"/>
  <c r="A2124" i="2"/>
  <c r="E2123" i="2"/>
  <c r="F2123" i="2" s="1"/>
  <c r="C2123" i="2"/>
  <c r="A2123" i="2"/>
  <c r="E2122" i="2"/>
  <c r="F2122" i="2" s="1"/>
  <c r="C2122" i="2"/>
  <c r="A2122" i="2"/>
  <c r="E2121" i="2"/>
  <c r="F2121" i="2" s="1"/>
  <c r="C2121" i="2"/>
  <c r="A2121" i="2"/>
  <c r="E2120" i="2"/>
  <c r="F2120" i="2" s="1"/>
  <c r="C2120" i="2"/>
  <c r="A2120" i="2"/>
  <c r="E2119" i="2"/>
  <c r="F2119" i="2" s="1"/>
  <c r="C2119" i="2"/>
  <c r="A2119" i="2"/>
  <c r="E2118" i="2"/>
  <c r="F2118" i="2" s="1"/>
  <c r="C2118" i="2"/>
  <c r="A2118" i="2"/>
  <c r="E2117" i="2"/>
  <c r="F2117" i="2" s="1"/>
  <c r="C2117" i="2"/>
  <c r="A2117" i="2"/>
  <c r="E2116" i="2"/>
  <c r="F2116" i="2" s="1"/>
  <c r="C2116" i="2"/>
  <c r="A2116" i="2"/>
  <c r="E2115" i="2"/>
  <c r="F2115" i="2" s="1"/>
  <c r="C2115" i="2"/>
  <c r="A2115" i="2"/>
  <c r="E2114" i="2"/>
  <c r="F2114" i="2" s="1"/>
  <c r="C2114" i="2"/>
  <c r="A2114" i="2"/>
  <c r="E2113" i="2"/>
  <c r="F2113" i="2" s="1"/>
  <c r="C2113" i="2"/>
  <c r="A2113" i="2"/>
  <c r="E2112" i="2"/>
  <c r="F2112" i="2" s="1"/>
  <c r="C2112" i="2"/>
  <c r="A2112" i="2"/>
  <c r="E2111" i="2"/>
  <c r="F2111" i="2" s="1"/>
  <c r="C2111" i="2"/>
  <c r="A2111" i="2"/>
  <c r="E2110" i="2"/>
  <c r="F2110" i="2" s="1"/>
  <c r="C2110" i="2"/>
  <c r="A2110" i="2"/>
  <c r="E2109" i="2"/>
  <c r="F2109" i="2" s="1"/>
  <c r="C2109" i="2"/>
  <c r="A2109" i="2"/>
  <c r="E2108" i="2"/>
  <c r="F2108" i="2" s="1"/>
  <c r="C2108" i="2"/>
  <c r="A2108" i="2"/>
  <c r="E2107" i="2"/>
  <c r="F2107" i="2" s="1"/>
  <c r="C2107" i="2"/>
  <c r="A2107" i="2"/>
  <c r="E2106" i="2"/>
  <c r="F2106" i="2" s="1"/>
  <c r="C2106" i="2"/>
  <c r="A2106" i="2"/>
  <c r="E2105" i="2"/>
  <c r="F2105" i="2" s="1"/>
  <c r="C2105" i="2"/>
  <c r="A2105" i="2"/>
  <c r="E2104" i="2"/>
  <c r="F2104" i="2" s="1"/>
  <c r="C2104" i="2"/>
  <c r="A2104" i="2"/>
  <c r="E2103" i="2"/>
  <c r="F2103" i="2" s="1"/>
  <c r="C2103" i="2"/>
  <c r="A2103" i="2"/>
  <c r="E2102" i="2"/>
  <c r="F2102" i="2" s="1"/>
  <c r="C2102" i="2"/>
  <c r="A2102" i="2"/>
  <c r="E2101" i="2"/>
  <c r="F2101" i="2" s="1"/>
  <c r="C2101" i="2"/>
  <c r="A2101" i="2"/>
  <c r="E2100" i="2"/>
  <c r="F2100" i="2" s="1"/>
  <c r="C2100" i="2"/>
  <c r="A2100" i="2"/>
  <c r="E2099" i="2"/>
  <c r="F2099" i="2" s="1"/>
  <c r="C2099" i="2"/>
  <c r="A2099" i="2"/>
  <c r="E2098" i="2"/>
  <c r="F2098" i="2" s="1"/>
  <c r="C2098" i="2"/>
  <c r="A2098" i="2"/>
  <c r="E2097" i="2"/>
  <c r="F2097" i="2" s="1"/>
  <c r="C2097" i="2"/>
  <c r="A2097" i="2"/>
  <c r="E2096" i="2"/>
  <c r="F2096" i="2" s="1"/>
  <c r="C2096" i="2"/>
  <c r="A2096" i="2"/>
  <c r="E2095" i="2"/>
  <c r="F2095" i="2" s="1"/>
  <c r="C2095" i="2"/>
  <c r="A2095" i="2"/>
  <c r="E2094" i="2"/>
  <c r="F2094" i="2" s="1"/>
  <c r="C2094" i="2"/>
  <c r="A2094" i="2"/>
  <c r="E2093" i="2"/>
  <c r="F2093" i="2" s="1"/>
  <c r="C2093" i="2"/>
  <c r="A2093" i="2"/>
  <c r="E2092" i="2"/>
  <c r="F2092" i="2" s="1"/>
  <c r="C2092" i="2"/>
  <c r="A2092" i="2"/>
  <c r="E2091" i="2"/>
  <c r="F2091" i="2" s="1"/>
  <c r="C2091" i="2"/>
  <c r="A2091" i="2"/>
  <c r="E2090" i="2"/>
  <c r="F2090" i="2" s="1"/>
  <c r="C2090" i="2"/>
  <c r="A2090" i="2"/>
  <c r="E2089" i="2"/>
  <c r="F2089" i="2" s="1"/>
  <c r="C2089" i="2"/>
  <c r="A2089" i="2"/>
  <c r="E2088" i="2"/>
  <c r="F2088" i="2" s="1"/>
  <c r="C2088" i="2"/>
  <c r="A2088" i="2"/>
  <c r="E2087" i="2"/>
  <c r="F2087" i="2" s="1"/>
  <c r="C2087" i="2"/>
  <c r="A2087" i="2"/>
  <c r="E2086" i="2"/>
  <c r="F2086" i="2" s="1"/>
  <c r="C2086" i="2"/>
  <c r="A2086" i="2"/>
  <c r="E2085" i="2"/>
  <c r="F2085" i="2" s="1"/>
  <c r="C2085" i="2"/>
  <c r="A2085" i="2"/>
  <c r="E2084" i="2"/>
  <c r="F2084" i="2" s="1"/>
  <c r="C2084" i="2"/>
  <c r="A2084" i="2"/>
  <c r="E2083" i="2"/>
  <c r="F2083" i="2" s="1"/>
  <c r="C2083" i="2"/>
  <c r="A2083" i="2"/>
  <c r="E2082" i="2"/>
  <c r="F2082" i="2" s="1"/>
  <c r="C2082" i="2"/>
  <c r="A2082" i="2"/>
  <c r="E2081" i="2"/>
  <c r="F2081" i="2" s="1"/>
  <c r="C2081" i="2"/>
  <c r="A2081" i="2"/>
  <c r="E2080" i="2"/>
  <c r="F2080" i="2" s="1"/>
  <c r="C2080" i="2"/>
  <c r="A2080" i="2"/>
  <c r="E2079" i="2"/>
  <c r="F2079" i="2" s="1"/>
  <c r="C2079" i="2"/>
  <c r="A2079" i="2"/>
  <c r="E2078" i="2"/>
  <c r="F2078" i="2" s="1"/>
  <c r="C2078" i="2"/>
  <c r="A2078" i="2"/>
  <c r="E2077" i="2"/>
  <c r="F2077" i="2" s="1"/>
  <c r="C2077" i="2"/>
  <c r="A2077" i="2"/>
  <c r="E2076" i="2"/>
  <c r="F2076" i="2" s="1"/>
  <c r="C2076" i="2"/>
  <c r="A2076" i="2"/>
  <c r="E2075" i="2"/>
  <c r="F2075" i="2" s="1"/>
  <c r="C2075" i="2"/>
  <c r="A2075" i="2"/>
  <c r="E2074" i="2"/>
  <c r="F2074" i="2" s="1"/>
  <c r="C2074" i="2"/>
  <c r="A2074" i="2"/>
  <c r="E2073" i="2"/>
  <c r="F2073" i="2" s="1"/>
  <c r="C2073" i="2"/>
  <c r="A2073" i="2"/>
  <c r="E2072" i="2"/>
  <c r="F2072" i="2" s="1"/>
  <c r="C2072" i="2"/>
  <c r="A2072" i="2"/>
  <c r="E2071" i="2"/>
  <c r="F2071" i="2" s="1"/>
  <c r="C2071" i="2"/>
  <c r="A2071" i="2"/>
  <c r="E2070" i="2"/>
  <c r="F2070" i="2" s="1"/>
  <c r="C2070" i="2"/>
  <c r="A2070" i="2"/>
  <c r="E2069" i="2"/>
  <c r="F2069" i="2" s="1"/>
  <c r="C2069" i="2"/>
  <c r="A2069" i="2"/>
  <c r="E2068" i="2"/>
  <c r="F2068" i="2" s="1"/>
  <c r="C2068" i="2"/>
  <c r="A2068" i="2"/>
  <c r="E2067" i="2"/>
  <c r="F2067" i="2" s="1"/>
  <c r="C2067" i="2"/>
  <c r="A2067" i="2"/>
  <c r="E2066" i="2"/>
  <c r="F2066" i="2" s="1"/>
  <c r="C2066" i="2"/>
  <c r="A2066" i="2"/>
  <c r="E2065" i="2"/>
  <c r="F2065" i="2" s="1"/>
  <c r="C2065" i="2"/>
  <c r="A2065" i="2"/>
  <c r="E2064" i="2"/>
  <c r="F2064" i="2" s="1"/>
  <c r="C2064" i="2"/>
  <c r="A2064" i="2"/>
  <c r="E2063" i="2"/>
  <c r="F2063" i="2" s="1"/>
  <c r="C2063" i="2"/>
  <c r="A2063" i="2"/>
  <c r="E2062" i="2"/>
  <c r="F2062" i="2" s="1"/>
  <c r="C2062" i="2"/>
  <c r="A2062" i="2"/>
  <c r="E2061" i="2"/>
  <c r="F2061" i="2" s="1"/>
  <c r="C2061" i="2"/>
  <c r="A2061" i="2"/>
  <c r="E2060" i="2"/>
  <c r="F2060" i="2" s="1"/>
  <c r="C2060" i="2"/>
  <c r="A2060" i="2"/>
  <c r="E2059" i="2"/>
  <c r="F2059" i="2" s="1"/>
  <c r="C2059" i="2"/>
  <c r="A2059" i="2"/>
  <c r="E2058" i="2"/>
  <c r="F2058" i="2" s="1"/>
  <c r="C2058" i="2"/>
  <c r="A2058" i="2"/>
  <c r="E2057" i="2"/>
  <c r="F2057" i="2" s="1"/>
  <c r="C2057" i="2"/>
  <c r="A2057" i="2"/>
  <c r="E2056" i="2"/>
  <c r="F2056" i="2" s="1"/>
  <c r="C2056" i="2"/>
  <c r="A2056" i="2"/>
  <c r="E2055" i="2"/>
  <c r="F2055" i="2" s="1"/>
  <c r="C2055" i="2"/>
  <c r="A2055" i="2"/>
  <c r="E2054" i="2"/>
  <c r="F2054" i="2" s="1"/>
  <c r="C2054" i="2"/>
  <c r="A2054" i="2"/>
  <c r="E2053" i="2"/>
  <c r="F2053" i="2" s="1"/>
  <c r="C2053" i="2"/>
  <c r="A2053" i="2"/>
  <c r="E2052" i="2"/>
  <c r="F2052" i="2" s="1"/>
  <c r="C2052" i="2"/>
  <c r="A2052" i="2"/>
  <c r="E2051" i="2"/>
  <c r="F2051" i="2" s="1"/>
  <c r="C2051" i="2"/>
  <c r="A2051" i="2"/>
  <c r="E2050" i="2"/>
  <c r="F2050" i="2" s="1"/>
  <c r="C2050" i="2"/>
  <c r="A2050" i="2"/>
  <c r="E2049" i="2"/>
  <c r="F2049" i="2" s="1"/>
  <c r="C2049" i="2"/>
  <c r="A2049" i="2"/>
  <c r="E2048" i="2"/>
  <c r="F2048" i="2" s="1"/>
  <c r="C2048" i="2"/>
  <c r="A2048" i="2"/>
  <c r="E2047" i="2"/>
  <c r="F2047" i="2" s="1"/>
  <c r="C2047" i="2"/>
  <c r="A2047" i="2"/>
  <c r="E2046" i="2"/>
  <c r="F2046" i="2" s="1"/>
  <c r="C2046" i="2"/>
  <c r="A2046" i="2"/>
  <c r="E2045" i="2"/>
  <c r="F2045" i="2" s="1"/>
  <c r="C2045" i="2"/>
  <c r="A2045" i="2"/>
  <c r="E2044" i="2"/>
  <c r="F2044" i="2" s="1"/>
  <c r="C2044" i="2"/>
  <c r="A2044" i="2"/>
  <c r="E2043" i="2"/>
  <c r="F2043" i="2" s="1"/>
  <c r="C2043" i="2"/>
  <c r="A2043" i="2"/>
  <c r="E2042" i="2"/>
  <c r="F2042" i="2" s="1"/>
  <c r="C2042" i="2"/>
  <c r="A2042" i="2"/>
  <c r="E2041" i="2"/>
  <c r="F2041" i="2" s="1"/>
  <c r="C2041" i="2"/>
  <c r="A2041" i="2"/>
  <c r="E2040" i="2"/>
  <c r="F2040" i="2" s="1"/>
  <c r="C2040" i="2"/>
  <c r="A2040" i="2"/>
  <c r="E2039" i="2"/>
  <c r="F2039" i="2" s="1"/>
  <c r="C2039" i="2"/>
  <c r="A2039" i="2"/>
  <c r="E2038" i="2"/>
  <c r="F2038" i="2" s="1"/>
  <c r="C2038" i="2"/>
  <c r="A2038" i="2"/>
  <c r="E2037" i="2"/>
  <c r="F2037" i="2" s="1"/>
  <c r="C2037" i="2"/>
  <c r="A2037" i="2"/>
  <c r="E2036" i="2"/>
  <c r="F2036" i="2" s="1"/>
  <c r="C2036" i="2"/>
  <c r="A2036" i="2"/>
  <c r="E2035" i="2"/>
  <c r="F2035" i="2" s="1"/>
  <c r="C2035" i="2"/>
  <c r="A2035" i="2"/>
  <c r="E2034" i="2"/>
  <c r="F2034" i="2" s="1"/>
  <c r="C2034" i="2"/>
  <c r="A2034" i="2"/>
  <c r="E2033" i="2"/>
  <c r="F2033" i="2" s="1"/>
  <c r="C2033" i="2"/>
  <c r="A2033" i="2"/>
  <c r="E2032" i="2"/>
  <c r="F2032" i="2" s="1"/>
  <c r="C2032" i="2"/>
  <c r="A2032" i="2"/>
  <c r="E2031" i="2"/>
  <c r="F2031" i="2" s="1"/>
  <c r="C2031" i="2"/>
  <c r="A2031" i="2"/>
  <c r="E2030" i="2"/>
  <c r="F2030" i="2" s="1"/>
  <c r="C2030" i="2"/>
  <c r="A2030" i="2"/>
  <c r="E2029" i="2"/>
  <c r="F2029" i="2" s="1"/>
  <c r="C2029" i="2"/>
  <c r="A2029" i="2"/>
  <c r="E2028" i="2"/>
  <c r="F2028" i="2" s="1"/>
  <c r="C2028" i="2"/>
  <c r="A2028" i="2"/>
  <c r="E2027" i="2"/>
  <c r="F2027" i="2" s="1"/>
  <c r="C2027" i="2"/>
  <c r="A2027" i="2"/>
  <c r="E2026" i="2"/>
  <c r="F2026" i="2" s="1"/>
  <c r="C2026" i="2"/>
  <c r="A2026" i="2"/>
  <c r="E2025" i="2"/>
  <c r="F2025" i="2" s="1"/>
  <c r="C2025" i="2"/>
  <c r="A2025" i="2"/>
  <c r="E2024" i="2"/>
  <c r="F2024" i="2" s="1"/>
  <c r="C2024" i="2"/>
  <c r="A2024" i="2"/>
  <c r="E2023" i="2"/>
  <c r="F2023" i="2" s="1"/>
  <c r="C2023" i="2"/>
  <c r="A2023" i="2"/>
  <c r="E2022" i="2"/>
  <c r="F2022" i="2" s="1"/>
  <c r="C2022" i="2"/>
  <c r="A2022" i="2"/>
  <c r="E2021" i="2"/>
  <c r="F2021" i="2" s="1"/>
  <c r="C2021" i="2"/>
  <c r="A2021" i="2"/>
  <c r="E2020" i="2"/>
  <c r="F2020" i="2" s="1"/>
  <c r="C2020" i="2"/>
  <c r="A2020" i="2"/>
  <c r="E2019" i="2"/>
  <c r="F2019" i="2" s="1"/>
  <c r="C2019" i="2"/>
  <c r="A2019" i="2"/>
  <c r="E2018" i="2"/>
  <c r="F2018" i="2" s="1"/>
  <c r="C2018" i="2"/>
  <c r="A2018" i="2"/>
  <c r="E2017" i="2"/>
  <c r="F2017" i="2" s="1"/>
  <c r="C2017" i="2"/>
  <c r="A2017" i="2"/>
  <c r="E2016" i="2"/>
  <c r="F2016" i="2" s="1"/>
  <c r="C2016" i="2"/>
  <c r="A2016" i="2"/>
  <c r="E2015" i="2"/>
  <c r="F2015" i="2" s="1"/>
  <c r="C2015" i="2"/>
  <c r="A2015" i="2"/>
  <c r="E2014" i="2"/>
  <c r="F2014" i="2" s="1"/>
  <c r="C2014" i="2"/>
  <c r="A2014" i="2"/>
  <c r="E2013" i="2"/>
  <c r="F2013" i="2" s="1"/>
  <c r="C2013" i="2"/>
  <c r="A2013" i="2"/>
  <c r="E2012" i="2"/>
  <c r="F2012" i="2" s="1"/>
  <c r="C2012" i="2"/>
  <c r="A2012" i="2"/>
  <c r="E2011" i="2"/>
  <c r="F2011" i="2" s="1"/>
  <c r="C2011" i="2"/>
  <c r="A2011" i="2"/>
  <c r="E2010" i="2"/>
  <c r="F2010" i="2" s="1"/>
  <c r="C2010" i="2"/>
  <c r="A2010" i="2"/>
  <c r="E2009" i="2"/>
  <c r="F2009" i="2" s="1"/>
  <c r="C2009" i="2"/>
  <c r="A2009" i="2"/>
  <c r="E2008" i="2"/>
  <c r="F2008" i="2" s="1"/>
  <c r="C2008" i="2"/>
  <c r="A2008" i="2"/>
  <c r="E2007" i="2"/>
  <c r="F2007" i="2" s="1"/>
  <c r="C2007" i="2"/>
  <c r="A2007" i="2"/>
  <c r="E2006" i="2"/>
  <c r="F2006" i="2" s="1"/>
  <c r="C2006" i="2"/>
  <c r="A2006" i="2"/>
  <c r="E2005" i="2"/>
  <c r="F2005" i="2" s="1"/>
  <c r="C2005" i="2"/>
  <c r="A2005" i="2"/>
  <c r="E2004" i="2"/>
  <c r="F2004" i="2" s="1"/>
  <c r="C2004" i="2"/>
  <c r="A2004" i="2"/>
  <c r="E2003" i="2"/>
  <c r="F2003" i="2" s="1"/>
  <c r="C2003" i="2"/>
  <c r="A2003" i="2"/>
  <c r="E2002" i="2"/>
  <c r="F2002" i="2" s="1"/>
  <c r="C2002" i="2"/>
  <c r="A2002" i="2"/>
  <c r="E2001" i="2"/>
  <c r="F2001" i="2" s="1"/>
  <c r="C2001" i="2"/>
  <c r="A2001" i="2"/>
  <c r="E2000" i="2"/>
  <c r="F2000" i="2" s="1"/>
  <c r="C2000" i="2"/>
  <c r="A2000" i="2"/>
  <c r="E1999" i="2"/>
  <c r="F1999" i="2" s="1"/>
  <c r="C1999" i="2"/>
  <c r="A1999" i="2"/>
  <c r="E1998" i="2"/>
  <c r="F1998" i="2" s="1"/>
  <c r="C1998" i="2"/>
  <c r="A1998" i="2"/>
  <c r="E1997" i="2"/>
  <c r="F1997" i="2" s="1"/>
  <c r="C1997" i="2"/>
  <c r="A1997" i="2"/>
  <c r="E1996" i="2"/>
  <c r="F1996" i="2" s="1"/>
  <c r="C1996" i="2"/>
  <c r="A1996" i="2"/>
  <c r="E1995" i="2"/>
  <c r="F1995" i="2" s="1"/>
  <c r="C1995" i="2"/>
  <c r="A1995" i="2"/>
  <c r="E1994" i="2"/>
  <c r="F1994" i="2" s="1"/>
  <c r="C1994" i="2"/>
  <c r="A1994" i="2"/>
  <c r="E1993" i="2"/>
  <c r="F1993" i="2" s="1"/>
  <c r="C1993" i="2"/>
  <c r="A1993" i="2"/>
  <c r="E1992" i="2"/>
  <c r="F1992" i="2" s="1"/>
  <c r="C1992" i="2"/>
  <c r="A1992" i="2"/>
  <c r="E1991" i="2"/>
  <c r="F1991" i="2" s="1"/>
  <c r="C1991" i="2"/>
  <c r="A1991" i="2"/>
  <c r="E1990" i="2"/>
  <c r="F1990" i="2" s="1"/>
  <c r="C1990" i="2"/>
  <c r="A1990" i="2"/>
  <c r="E1989" i="2"/>
  <c r="F1989" i="2" s="1"/>
  <c r="C1989" i="2"/>
  <c r="A1989" i="2"/>
  <c r="E1988" i="2"/>
  <c r="F1988" i="2" s="1"/>
  <c r="C1988" i="2"/>
  <c r="A1988" i="2"/>
  <c r="E1987" i="2"/>
  <c r="F1987" i="2" s="1"/>
  <c r="C1987" i="2"/>
  <c r="A1987" i="2"/>
  <c r="E1986" i="2"/>
  <c r="F1986" i="2" s="1"/>
  <c r="C1986" i="2"/>
  <c r="A1986" i="2"/>
  <c r="E1985" i="2"/>
  <c r="F1985" i="2" s="1"/>
  <c r="C1985" i="2"/>
  <c r="A1985" i="2"/>
  <c r="E1984" i="2"/>
  <c r="F1984" i="2" s="1"/>
  <c r="C1984" i="2"/>
  <c r="A1984" i="2"/>
  <c r="E1983" i="2"/>
  <c r="F1983" i="2" s="1"/>
  <c r="C1983" i="2"/>
  <c r="A1983" i="2"/>
  <c r="E1982" i="2"/>
  <c r="F1982" i="2" s="1"/>
  <c r="C1982" i="2"/>
  <c r="A1982" i="2"/>
  <c r="E1981" i="2"/>
  <c r="F1981" i="2" s="1"/>
  <c r="C1981" i="2"/>
  <c r="A1981" i="2"/>
  <c r="E1980" i="2"/>
  <c r="F1980" i="2" s="1"/>
  <c r="C1980" i="2"/>
  <c r="A1980" i="2"/>
  <c r="E1979" i="2"/>
  <c r="F1979" i="2" s="1"/>
  <c r="C1979" i="2"/>
  <c r="A1979" i="2"/>
  <c r="E1978" i="2"/>
  <c r="F1978" i="2" s="1"/>
  <c r="C1978" i="2"/>
  <c r="A1978" i="2"/>
  <c r="E1977" i="2"/>
  <c r="F1977" i="2" s="1"/>
  <c r="C1977" i="2"/>
  <c r="A1977" i="2"/>
  <c r="E1976" i="2"/>
  <c r="F1976" i="2" s="1"/>
  <c r="C1976" i="2"/>
  <c r="A1976" i="2"/>
  <c r="E1975" i="2"/>
  <c r="F1975" i="2" s="1"/>
  <c r="C1975" i="2"/>
  <c r="A1975" i="2"/>
  <c r="E1974" i="2"/>
  <c r="F1974" i="2" s="1"/>
  <c r="C1974" i="2"/>
  <c r="A1974" i="2"/>
  <c r="E1973" i="2"/>
  <c r="F1973" i="2" s="1"/>
  <c r="C1973" i="2"/>
  <c r="A1973" i="2"/>
  <c r="E1972" i="2"/>
  <c r="F1972" i="2" s="1"/>
  <c r="C1972" i="2"/>
  <c r="A1972" i="2"/>
  <c r="E1971" i="2"/>
  <c r="F1971" i="2" s="1"/>
  <c r="C1971" i="2"/>
  <c r="A1971" i="2"/>
  <c r="E1970" i="2"/>
  <c r="F1970" i="2" s="1"/>
  <c r="C1970" i="2"/>
  <c r="A1970" i="2"/>
  <c r="E1969" i="2"/>
  <c r="F1969" i="2" s="1"/>
  <c r="C1969" i="2"/>
  <c r="A1969" i="2"/>
  <c r="E1968" i="2"/>
  <c r="F1968" i="2" s="1"/>
  <c r="C1968" i="2"/>
  <c r="A1968" i="2"/>
  <c r="E1967" i="2"/>
  <c r="F1967" i="2" s="1"/>
  <c r="C1967" i="2"/>
  <c r="A1967" i="2"/>
  <c r="E1966" i="2"/>
  <c r="F1966" i="2" s="1"/>
  <c r="C1966" i="2"/>
  <c r="A1966" i="2"/>
  <c r="E1965" i="2"/>
  <c r="F1965" i="2" s="1"/>
  <c r="C1965" i="2"/>
  <c r="A1965" i="2"/>
  <c r="E1964" i="2"/>
  <c r="F1964" i="2" s="1"/>
  <c r="C1964" i="2"/>
  <c r="A1964" i="2"/>
  <c r="E1963" i="2"/>
  <c r="F1963" i="2" s="1"/>
  <c r="C1963" i="2"/>
  <c r="A1963" i="2"/>
  <c r="E1962" i="2"/>
  <c r="F1962" i="2" s="1"/>
  <c r="C1962" i="2"/>
  <c r="A1962" i="2"/>
  <c r="E1961" i="2"/>
  <c r="F1961" i="2" s="1"/>
  <c r="C1961" i="2"/>
  <c r="A1961" i="2"/>
  <c r="E1960" i="2"/>
  <c r="F1960" i="2" s="1"/>
  <c r="C1960" i="2"/>
  <c r="A1960" i="2"/>
  <c r="E1959" i="2"/>
  <c r="F1959" i="2" s="1"/>
  <c r="C1959" i="2"/>
  <c r="A1959" i="2"/>
  <c r="E1958" i="2"/>
  <c r="F1958" i="2" s="1"/>
  <c r="C1958" i="2"/>
  <c r="A1958" i="2"/>
  <c r="E1957" i="2"/>
  <c r="F1957" i="2" s="1"/>
  <c r="C1957" i="2"/>
  <c r="A1957" i="2"/>
  <c r="E1956" i="2"/>
  <c r="F1956" i="2" s="1"/>
  <c r="C1956" i="2"/>
  <c r="A1956" i="2"/>
  <c r="E1955" i="2"/>
  <c r="F1955" i="2" s="1"/>
  <c r="C1955" i="2"/>
  <c r="A1955" i="2"/>
  <c r="E1954" i="2"/>
  <c r="F1954" i="2" s="1"/>
  <c r="C1954" i="2"/>
  <c r="A1954" i="2"/>
  <c r="E1953" i="2"/>
  <c r="F1953" i="2" s="1"/>
  <c r="C1953" i="2"/>
  <c r="A1953" i="2"/>
  <c r="E1952" i="2"/>
  <c r="F1952" i="2" s="1"/>
  <c r="C1952" i="2"/>
  <c r="A1952" i="2"/>
  <c r="E1951" i="2"/>
  <c r="F1951" i="2" s="1"/>
  <c r="C1951" i="2"/>
  <c r="A1951" i="2"/>
  <c r="E1950" i="2"/>
  <c r="F1950" i="2" s="1"/>
  <c r="C1950" i="2"/>
  <c r="A1950" i="2"/>
  <c r="E1949" i="2"/>
  <c r="F1949" i="2" s="1"/>
  <c r="C1949" i="2"/>
  <c r="A1949" i="2"/>
  <c r="E1948" i="2"/>
  <c r="F1948" i="2" s="1"/>
  <c r="C1948" i="2"/>
  <c r="A1948" i="2"/>
  <c r="E1947" i="2"/>
  <c r="F1947" i="2" s="1"/>
  <c r="C1947" i="2"/>
  <c r="A1947" i="2"/>
  <c r="E1946" i="2"/>
  <c r="F1946" i="2" s="1"/>
  <c r="C1946" i="2"/>
  <c r="A1946" i="2"/>
  <c r="E1945" i="2"/>
  <c r="F1945" i="2" s="1"/>
  <c r="C1945" i="2"/>
  <c r="A1945" i="2"/>
  <c r="E1944" i="2"/>
  <c r="F1944" i="2" s="1"/>
  <c r="C1944" i="2"/>
  <c r="A1944" i="2"/>
  <c r="E1943" i="2"/>
  <c r="F1943" i="2" s="1"/>
  <c r="C1943" i="2"/>
  <c r="A1943" i="2"/>
  <c r="E1942" i="2"/>
  <c r="F1942" i="2" s="1"/>
  <c r="C1942" i="2"/>
  <c r="A1942" i="2"/>
  <c r="E1941" i="2"/>
  <c r="F1941" i="2" s="1"/>
  <c r="C1941" i="2"/>
  <c r="A1941" i="2"/>
  <c r="E1940" i="2"/>
  <c r="F1940" i="2" s="1"/>
  <c r="C1940" i="2"/>
  <c r="A1940" i="2"/>
  <c r="E1939" i="2"/>
  <c r="F1939" i="2" s="1"/>
  <c r="C1939" i="2"/>
  <c r="A1939" i="2"/>
  <c r="E1938" i="2"/>
  <c r="F1938" i="2" s="1"/>
  <c r="C1938" i="2"/>
  <c r="A1938" i="2"/>
  <c r="E1937" i="2"/>
  <c r="F1937" i="2" s="1"/>
  <c r="C1937" i="2"/>
  <c r="A1937" i="2"/>
  <c r="E1936" i="2"/>
  <c r="F1936" i="2" s="1"/>
  <c r="C1936" i="2"/>
  <c r="A1936" i="2"/>
  <c r="E1935" i="2"/>
  <c r="F1935" i="2" s="1"/>
  <c r="C1935" i="2"/>
  <c r="A1935" i="2"/>
  <c r="E1934" i="2"/>
  <c r="F1934" i="2" s="1"/>
  <c r="C1934" i="2"/>
  <c r="A1934" i="2"/>
  <c r="E1933" i="2"/>
  <c r="F1933" i="2" s="1"/>
  <c r="C1933" i="2"/>
  <c r="A1933" i="2"/>
  <c r="E1932" i="2"/>
  <c r="F1932" i="2" s="1"/>
  <c r="C1932" i="2"/>
  <c r="A1932" i="2"/>
  <c r="E1931" i="2"/>
  <c r="F1931" i="2" s="1"/>
  <c r="C1931" i="2"/>
  <c r="A1931" i="2"/>
  <c r="E1930" i="2"/>
  <c r="F1930" i="2" s="1"/>
  <c r="C1930" i="2"/>
  <c r="A1930" i="2"/>
  <c r="E1929" i="2"/>
  <c r="F1929" i="2" s="1"/>
  <c r="C1929" i="2"/>
  <c r="A1929" i="2"/>
  <c r="E1928" i="2"/>
  <c r="F1928" i="2" s="1"/>
  <c r="C1928" i="2"/>
  <c r="A1928" i="2"/>
  <c r="E1927" i="2"/>
  <c r="F1927" i="2" s="1"/>
  <c r="C1927" i="2"/>
  <c r="A1927" i="2"/>
  <c r="E1926" i="2"/>
  <c r="F1926" i="2" s="1"/>
  <c r="C1926" i="2"/>
  <c r="A1926" i="2"/>
  <c r="E1925" i="2"/>
  <c r="F1925" i="2" s="1"/>
  <c r="C1925" i="2"/>
  <c r="A1925" i="2"/>
  <c r="E1924" i="2"/>
  <c r="F1924" i="2" s="1"/>
  <c r="C1924" i="2"/>
  <c r="A1924" i="2"/>
  <c r="E1923" i="2"/>
  <c r="F1923" i="2" s="1"/>
  <c r="C1923" i="2"/>
  <c r="A1923" i="2"/>
  <c r="E1922" i="2"/>
  <c r="F1922" i="2" s="1"/>
  <c r="C1922" i="2"/>
  <c r="A1922" i="2"/>
  <c r="E1921" i="2"/>
  <c r="F1921" i="2" s="1"/>
  <c r="C1921" i="2"/>
  <c r="A1921" i="2"/>
  <c r="E1920" i="2"/>
  <c r="F1920" i="2" s="1"/>
  <c r="C1920" i="2"/>
  <c r="A1920" i="2"/>
  <c r="E1919" i="2"/>
  <c r="F1919" i="2" s="1"/>
  <c r="C1919" i="2"/>
  <c r="A1919" i="2"/>
  <c r="E1918" i="2"/>
  <c r="F1918" i="2" s="1"/>
  <c r="C1918" i="2"/>
  <c r="A1918" i="2"/>
  <c r="E1917" i="2"/>
  <c r="F1917" i="2" s="1"/>
  <c r="C1917" i="2"/>
  <c r="A1917" i="2"/>
  <c r="E1916" i="2"/>
  <c r="F1916" i="2" s="1"/>
  <c r="C1916" i="2"/>
  <c r="A1916" i="2"/>
  <c r="E1915" i="2"/>
  <c r="F1915" i="2" s="1"/>
  <c r="C1915" i="2"/>
  <c r="A1915" i="2"/>
  <c r="E1914" i="2"/>
  <c r="F1914" i="2" s="1"/>
  <c r="C1914" i="2"/>
  <c r="A1914" i="2"/>
  <c r="E1913" i="2"/>
  <c r="F1913" i="2" s="1"/>
  <c r="C1913" i="2"/>
  <c r="A1913" i="2"/>
  <c r="E1912" i="2"/>
  <c r="F1912" i="2" s="1"/>
  <c r="C1912" i="2"/>
  <c r="A1912" i="2"/>
  <c r="E1911" i="2"/>
  <c r="F1911" i="2" s="1"/>
  <c r="C1911" i="2"/>
  <c r="A1911" i="2"/>
  <c r="E1910" i="2"/>
  <c r="F1910" i="2" s="1"/>
  <c r="C1910" i="2"/>
  <c r="A1910" i="2"/>
  <c r="E1909" i="2"/>
  <c r="F1909" i="2" s="1"/>
  <c r="C1909" i="2"/>
  <c r="A1909" i="2"/>
  <c r="E1908" i="2"/>
  <c r="F1908" i="2" s="1"/>
  <c r="C1908" i="2"/>
  <c r="A1908" i="2"/>
  <c r="E1907" i="2"/>
  <c r="F1907" i="2" s="1"/>
  <c r="C1907" i="2"/>
  <c r="A1907" i="2"/>
  <c r="E1906" i="2"/>
  <c r="F1906" i="2" s="1"/>
  <c r="C1906" i="2"/>
  <c r="A1906" i="2"/>
  <c r="E1905" i="2"/>
  <c r="F1905" i="2" s="1"/>
  <c r="C1905" i="2"/>
  <c r="A1905" i="2"/>
  <c r="E1904" i="2"/>
  <c r="F1904" i="2" s="1"/>
  <c r="C1904" i="2"/>
  <c r="A1904" i="2"/>
  <c r="E1903" i="2"/>
  <c r="F1903" i="2" s="1"/>
  <c r="C1903" i="2"/>
  <c r="A1903" i="2"/>
  <c r="E1902" i="2"/>
  <c r="F1902" i="2" s="1"/>
  <c r="C1902" i="2"/>
  <c r="A1902" i="2"/>
  <c r="E1901" i="2"/>
  <c r="F1901" i="2" s="1"/>
  <c r="C1901" i="2"/>
  <c r="A1901" i="2"/>
  <c r="E1900" i="2"/>
  <c r="F1900" i="2" s="1"/>
  <c r="C1900" i="2"/>
  <c r="A1900" i="2"/>
  <c r="E1899" i="2"/>
  <c r="F1899" i="2" s="1"/>
  <c r="C1899" i="2"/>
  <c r="A1899" i="2"/>
  <c r="E1898" i="2"/>
  <c r="F1898" i="2" s="1"/>
  <c r="C1898" i="2"/>
  <c r="A1898" i="2"/>
  <c r="E1897" i="2"/>
  <c r="F1897" i="2" s="1"/>
  <c r="C1897" i="2"/>
  <c r="A1897" i="2"/>
  <c r="E1896" i="2"/>
  <c r="F1896" i="2" s="1"/>
  <c r="C1896" i="2"/>
  <c r="A1896" i="2"/>
  <c r="E1895" i="2"/>
  <c r="F1895" i="2" s="1"/>
  <c r="C1895" i="2"/>
  <c r="A1895" i="2"/>
  <c r="E1894" i="2"/>
  <c r="F1894" i="2" s="1"/>
  <c r="C1894" i="2"/>
  <c r="A1894" i="2"/>
  <c r="E1893" i="2"/>
  <c r="F1893" i="2" s="1"/>
  <c r="C1893" i="2"/>
  <c r="A1893" i="2"/>
  <c r="E1892" i="2"/>
  <c r="F1892" i="2" s="1"/>
  <c r="C1892" i="2"/>
  <c r="A1892" i="2"/>
  <c r="E1891" i="2"/>
  <c r="F1891" i="2" s="1"/>
  <c r="C1891" i="2"/>
  <c r="A1891" i="2"/>
  <c r="E1890" i="2"/>
  <c r="F1890" i="2" s="1"/>
  <c r="C1890" i="2"/>
  <c r="A1890" i="2"/>
  <c r="E1889" i="2"/>
  <c r="F1889" i="2" s="1"/>
  <c r="C1889" i="2"/>
  <c r="A1889" i="2"/>
  <c r="E1888" i="2"/>
  <c r="F1888" i="2" s="1"/>
  <c r="C1888" i="2"/>
  <c r="A1888" i="2"/>
  <c r="E1887" i="2"/>
  <c r="F1887" i="2" s="1"/>
  <c r="C1887" i="2"/>
  <c r="A1887" i="2"/>
  <c r="E1886" i="2"/>
  <c r="F1886" i="2" s="1"/>
  <c r="C1886" i="2"/>
  <c r="A1886" i="2"/>
  <c r="E1885" i="2"/>
  <c r="F1885" i="2" s="1"/>
  <c r="C1885" i="2"/>
  <c r="A1885" i="2"/>
  <c r="E1884" i="2"/>
  <c r="F1884" i="2" s="1"/>
  <c r="C1884" i="2"/>
  <c r="A1884" i="2"/>
  <c r="E1883" i="2"/>
  <c r="F1883" i="2" s="1"/>
  <c r="C1883" i="2"/>
  <c r="A1883" i="2"/>
  <c r="E1882" i="2"/>
  <c r="F1882" i="2" s="1"/>
  <c r="C1882" i="2"/>
  <c r="A1882" i="2"/>
  <c r="E1881" i="2"/>
  <c r="F1881" i="2" s="1"/>
  <c r="C1881" i="2"/>
  <c r="A1881" i="2"/>
  <c r="E1880" i="2"/>
  <c r="F1880" i="2" s="1"/>
  <c r="C1880" i="2"/>
  <c r="A1880" i="2"/>
  <c r="E1879" i="2"/>
  <c r="F1879" i="2" s="1"/>
  <c r="C1879" i="2"/>
  <c r="A1879" i="2"/>
  <c r="E1878" i="2"/>
  <c r="F1878" i="2" s="1"/>
  <c r="C1878" i="2"/>
  <c r="A1878" i="2"/>
  <c r="E1877" i="2"/>
  <c r="F1877" i="2" s="1"/>
  <c r="C1877" i="2"/>
  <c r="A1877" i="2"/>
  <c r="E1876" i="2"/>
  <c r="F1876" i="2" s="1"/>
  <c r="C1876" i="2"/>
  <c r="A1876" i="2"/>
  <c r="E1875" i="2"/>
  <c r="F1875" i="2" s="1"/>
  <c r="C1875" i="2"/>
  <c r="A1875" i="2"/>
  <c r="E1874" i="2"/>
  <c r="F1874" i="2" s="1"/>
  <c r="C1874" i="2"/>
  <c r="A1874" i="2"/>
  <c r="E1873" i="2"/>
  <c r="F1873" i="2" s="1"/>
  <c r="C1873" i="2"/>
  <c r="A1873" i="2"/>
  <c r="E1872" i="2"/>
  <c r="F1872" i="2" s="1"/>
  <c r="C1872" i="2"/>
  <c r="A1872" i="2"/>
  <c r="E1871" i="2"/>
  <c r="F1871" i="2" s="1"/>
  <c r="C1871" i="2"/>
  <c r="A1871" i="2"/>
  <c r="E1870" i="2"/>
  <c r="F1870" i="2" s="1"/>
  <c r="C1870" i="2"/>
  <c r="A1870" i="2"/>
  <c r="E1869" i="2"/>
  <c r="F1869" i="2" s="1"/>
  <c r="C1869" i="2"/>
  <c r="A1869" i="2"/>
  <c r="E1868" i="2"/>
  <c r="F1868" i="2" s="1"/>
  <c r="C1868" i="2"/>
  <c r="A1868" i="2"/>
  <c r="E1867" i="2"/>
  <c r="F1867" i="2" s="1"/>
  <c r="C1867" i="2"/>
  <c r="A1867" i="2"/>
  <c r="E1866" i="2"/>
  <c r="F1866" i="2" s="1"/>
  <c r="C1866" i="2"/>
  <c r="A1866" i="2"/>
  <c r="E1865" i="2"/>
  <c r="F1865" i="2" s="1"/>
  <c r="C1865" i="2"/>
  <c r="A1865" i="2"/>
  <c r="E1864" i="2"/>
  <c r="F1864" i="2" s="1"/>
  <c r="C1864" i="2"/>
  <c r="A1864" i="2"/>
  <c r="E1863" i="2"/>
  <c r="F1863" i="2" s="1"/>
  <c r="C1863" i="2"/>
  <c r="A1863" i="2"/>
  <c r="E1862" i="2"/>
  <c r="F1862" i="2" s="1"/>
  <c r="C1862" i="2"/>
  <c r="A1862" i="2"/>
  <c r="E1861" i="2"/>
  <c r="F1861" i="2" s="1"/>
  <c r="C1861" i="2"/>
  <c r="A1861" i="2"/>
  <c r="E1860" i="2"/>
  <c r="F1860" i="2" s="1"/>
  <c r="C1860" i="2"/>
  <c r="A1860" i="2"/>
  <c r="E1859" i="2"/>
  <c r="F1859" i="2" s="1"/>
  <c r="C1859" i="2"/>
  <c r="A1859" i="2"/>
  <c r="E1858" i="2"/>
  <c r="F1858" i="2" s="1"/>
  <c r="C1858" i="2"/>
  <c r="A1858" i="2"/>
  <c r="E1857" i="2"/>
  <c r="F1857" i="2" s="1"/>
  <c r="C1857" i="2"/>
  <c r="A1857" i="2"/>
  <c r="E1856" i="2"/>
  <c r="F1856" i="2" s="1"/>
  <c r="C1856" i="2"/>
  <c r="A1856" i="2"/>
  <c r="E1855" i="2"/>
  <c r="F1855" i="2" s="1"/>
  <c r="C1855" i="2"/>
  <c r="A1855" i="2"/>
  <c r="E1854" i="2"/>
  <c r="F1854" i="2" s="1"/>
  <c r="C1854" i="2"/>
  <c r="A1854" i="2"/>
  <c r="E1853" i="2"/>
  <c r="F1853" i="2" s="1"/>
  <c r="C1853" i="2"/>
  <c r="A1853" i="2"/>
  <c r="E1852" i="2"/>
  <c r="F1852" i="2" s="1"/>
  <c r="C1852" i="2"/>
  <c r="A1852" i="2"/>
  <c r="E1851" i="2"/>
  <c r="F1851" i="2" s="1"/>
  <c r="C1851" i="2"/>
  <c r="A1851" i="2"/>
  <c r="E1850" i="2"/>
  <c r="F1850" i="2" s="1"/>
  <c r="C1850" i="2"/>
  <c r="A1850" i="2"/>
  <c r="E1849" i="2"/>
  <c r="F1849" i="2" s="1"/>
  <c r="C1849" i="2"/>
  <c r="A1849" i="2"/>
  <c r="E1848" i="2"/>
  <c r="F1848" i="2" s="1"/>
  <c r="C1848" i="2"/>
  <c r="A1848" i="2"/>
  <c r="E1847" i="2"/>
  <c r="F1847" i="2" s="1"/>
  <c r="C1847" i="2"/>
  <c r="A1847" i="2"/>
  <c r="E1846" i="2"/>
  <c r="F1846" i="2" s="1"/>
  <c r="C1846" i="2"/>
  <c r="A1846" i="2"/>
  <c r="E1845" i="2"/>
  <c r="F1845" i="2" s="1"/>
  <c r="C1845" i="2"/>
  <c r="A1845" i="2"/>
  <c r="E1844" i="2"/>
  <c r="F1844" i="2" s="1"/>
  <c r="C1844" i="2"/>
  <c r="A1844" i="2"/>
  <c r="E1843" i="2"/>
  <c r="F1843" i="2" s="1"/>
  <c r="C1843" i="2"/>
  <c r="A1843" i="2"/>
  <c r="E1842" i="2"/>
  <c r="F1842" i="2" s="1"/>
  <c r="C1842" i="2"/>
  <c r="A1842" i="2"/>
  <c r="E1841" i="2"/>
  <c r="F1841" i="2" s="1"/>
  <c r="C1841" i="2"/>
  <c r="A1841" i="2"/>
  <c r="E1840" i="2"/>
  <c r="F1840" i="2" s="1"/>
  <c r="C1840" i="2"/>
  <c r="A1840" i="2"/>
  <c r="E1839" i="2"/>
  <c r="F1839" i="2" s="1"/>
  <c r="C1839" i="2"/>
  <c r="A1839" i="2"/>
  <c r="E1838" i="2"/>
  <c r="F1838" i="2" s="1"/>
  <c r="C1838" i="2"/>
  <c r="A1838" i="2"/>
  <c r="E1837" i="2"/>
  <c r="F1837" i="2" s="1"/>
  <c r="C1837" i="2"/>
  <c r="A1837" i="2"/>
  <c r="E1836" i="2"/>
  <c r="F1836" i="2" s="1"/>
  <c r="C1836" i="2"/>
  <c r="A1836" i="2"/>
  <c r="E1835" i="2"/>
  <c r="F1835" i="2" s="1"/>
  <c r="C1835" i="2"/>
  <c r="A1835" i="2"/>
  <c r="E1834" i="2"/>
  <c r="F1834" i="2" s="1"/>
  <c r="C1834" i="2"/>
  <c r="A1834" i="2"/>
  <c r="E1833" i="2"/>
  <c r="F1833" i="2" s="1"/>
  <c r="C1833" i="2"/>
  <c r="A1833" i="2"/>
  <c r="E1832" i="2"/>
  <c r="F1832" i="2" s="1"/>
  <c r="C1832" i="2"/>
  <c r="A1832" i="2"/>
  <c r="E1831" i="2"/>
  <c r="F1831" i="2" s="1"/>
  <c r="C1831" i="2"/>
  <c r="A1831" i="2"/>
  <c r="E1830" i="2"/>
  <c r="F1830" i="2" s="1"/>
  <c r="C1830" i="2"/>
  <c r="A1830" i="2"/>
  <c r="E1829" i="2"/>
  <c r="F1829" i="2" s="1"/>
  <c r="C1829" i="2"/>
  <c r="A1829" i="2"/>
  <c r="E1828" i="2"/>
  <c r="F1828" i="2" s="1"/>
  <c r="C1828" i="2"/>
  <c r="A1828" i="2"/>
  <c r="E1827" i="2"/>
  <c r="F1827" i="2" s="1"/>
  <c r="C1827" i="2"/>
  <c r="A1827" i="2"/>
  <c r="E1826" i="2"/>
  <c r="F1826" i="2" s="1"/>
  <c r="C1826" i="2"/>
  <c r="A1826" i="2"/>
  <c r="E1825" i="2"/>
  <c r="F1825" i="2" s="1"/>
  <c r="C1825" i="2"/>
  <c r="A1825" i="2"/>
  <c r="E1824" i="2"/>
  <c r="F1824" i="2" s="1"/>
  <c r="C1824" i="2"/>
  <c r="A1824" i="2"/>
  <c r="E1823" i="2"/>
  <c r="F1823" i="2" s="1"/>
  <c r="C1823" i="2"/>
  <c r="A1823" i="2"/>
  <c r="E1822" i="2"/>
  <c r="F1822" i="2" s="1"/>
  <c r="C1822" i="2"/>
  <c r="A1822" i="2"/>
  <c r="E1821" i="2"/>
  <c r="F1821" i="2" s="1"/>
  <c r="C1821" i="2"/>
  <c r="A1821" i="2"/>
  <c r="E1820" i="2"/>
  <c r="F1820" i="2" s="1"/>
  <c r="C1820" i="2"/>
  <c r="A1820" i="2"/>
  <c r="E1819" i="2"/>
  <c r="F1819" i="2" s="1"/>
  <c r="C1819" i="2"/>
  <c r="A1819" i="2"/>
  <c r="E1818" i="2"/>
  <c r="F1818" i="2" s="1"/>
  <c r="C1818" i="2"/>
  <c r="A1818" i="2"/>
  <c r="E1817" i="2"/>
  <c r="F1817" i="2" s="1"/>
  <c r="C1817" i="2"/>
  <c r="A1817" i="2"/>
  <c r="E1816" i="2"/>
  <c r="F1816" i="2" s="1"/>
  <c r="C1816" i="2"/>
  <c r="A1816" i="2"/>
  <c r="E1815" i="2"/>
  <c r="F1815" i="2" s="1"/>
  <c r="C1815" i="2"/>
  <c r="A1815" i="2"/>
  <c r="E1814" i="2"/>
  <c r="F1814" i="2" s="1"/>
  <c r="C1814" i="2"/>
  <c r="A1814" i="2"/>
  <c r="E1813" i="2"/>
  <c r="F1813" i="2" s="1"/>
  <c r="C1813" i="2"/>
  <c r="A1813" i="2"/>
  <c r="E1812" i="2"/>
  <c r="F1812" i="2" s="1"/>
  <c r="C1812" i="2"/>
  <c r="A1812" i="2"/>
  <c r="E1811" i="2"/>
  <c r="F1811" i="2" s="1"/>
  <c r="C1811" i="2"/>
  <c r="A1811" i="2"/>
  <c r="E1810" i="2"/>
  <c r="F1810" i="2" s="1"/>
  <c r="C1810" i="2"/>
  <c r="A1810" i="2"/>
  <c r="E1809" i="2"/>
  <c r="F1809" i="2" s="1"/>
  <c r="C1809" i="2"/>
  <c r="A1809" i="2"/>
  <c r="E1808" i="2"/>
  <c r="F1808" i="2" s="1"/>
  <c r="C1808" i="2"/>
  <c r="A1808" i="2"/>
  <c r="E1807" i="2"/>
  <c r="F1807" i="2" s="1"/>
  <c r="C1807" i="2"/>
  <c r="A1807" i="2"/>
  <c r="E1806" i="2"/>
  <c r="F1806" i="2" s="1"/>
  <c r="C1806" i="2"/>
  <c r="A1806" i="2"/>
  <c r="E1805" i="2"/>
  <c r="F1805" i="2" s="1"/>
  <c r="C1805" i="2"/>
  <c r="A1805" i="2"/>
  <c r="E1804" i="2"/>
  <c r="F1804" i="2" s="1"/>
  <c r="C1804" i="2"/>
  <c r="A1804" i="2"/>
  <c r="E1803" i="2"/>
  <c r="F1803" i="2" s="1"/>
  <c r="C1803" i="2"/>
  <c r="A1803" i="2"/>
  <c r="E1802" i="2"/>
  <c r="F1802" i="2" s="1"/>
  <c r="C1802" i="2"/>
  <c r="A1802" i="2"/>
  <c r="E1801" i="2"/>
  <c r="F1801" i="2" s="1"/>
  <c r="C1801" i="2"/>
  <c r="A1801" i="2"/>
  <c r="E1800" i="2"/>
  <c r="F1800" i="2" s="1"/>
  <c r="C1800" i="2"/>
  <c r="A1800" i="2"/>
  <c r="E1799" i="2"/>
  <c r="F1799" i="2" s="1"/>
  <c r="C1799" i="2"/>
  <c r="A1799" i="2"/>
  <c r="E1798" i="2"/>
  <c r="F1798" i="2" s="1"/>
  <c r="C1798" i="2"/>
  <c r="A1798" i="2"/>
  <c r="E1797" i="2"/>
  <c r="F1797" i="2" s="1"/>
  <c r="C1797" i="2"/>
  <c r="A1797" i="2"/>
  <c r="E1796" i="2"/>
  <c r="F1796" i="2" s="1"/>
  <c r="C1796" i="2"/>
  <c r="A1796" i="2"/>
  <c r="E1795" i="2"/>
  <c r="F1795" i="2" s="1"/>
  <c r="C1795" i="2"/>
  <c r="A1795" i="2"/>
  <c r="E1794" i="2"/>
  <c r="F1794" i="2" s="1"/>
  <c r="C1794" i="2"/>
  <c r="A1794" i="2"/>
  <c r="E1793" i="2"/>
  <c r="F1793" i="2" s="1"/>
  <c r="C1793" i="2"/>
  <c r="A1793" i="2"/>
  <c r="E1792" i="2"/>
  <c r="F1792" i="2" s="1"/>
  <c r="C1792" i="2"/>
  <c r="A1792" i="2"/>
  <c r="E1791" i="2"/>
  <c r="F1791" i="2" s="1"/>
  <c r="C1791" i="2"/>
  <c r="A1791" i="2"/>
  <c r="E1790" i="2"/>
  <c r="F1790" i="2" s="1"/>
  <c r="C1790" i="2"/>
  <c r="A1790" i="2"/>
  <c r="E1789" i="2"/>
  <c r="F1789" i="2" s="1"/>
  <c r="C1789" i="2"/>
  <c r="A1789" i="2"/>
  <c r="E1788" i="2"/>
  <c r="F1788" i="2" s="1"/>
  <c r="C1788" i="2"/>
  <c r="A1788" i="2"/>
  <c r="E1787" i="2"/>
  <c r="F1787" i="2" s="1"/>
  <c r="C1787" i="2"/>
  <c r="A1787" i="2"/>
  <c r="E1786" i="2"/>
  <c r="F1786" i="2" s="1"/>
  <c r="C1786" i="2"/>
  <c r="A1786" i="2"/>
  <c r="E1785" i="2"/>
  <c r="F1785" i="2" s="1"/>
  <c r="C1785" i="2"/>
  <c r="A1785" i="2"/>
  <c r="E1784" i="2"/>
  <c r="F1784" i="2" s="1"/>
  <c r="C1784" i="2"/>
  <c r="A1784" i="2"/>
  <c r="E1783" i="2"/>
  <c r="F1783" i="2" s="1"/>
  <c r="C1783" i="2"/>
  <c r="A1783" i="2"/>
  <c r="E1782" i="2"/>
  <c r="F1782" i="2" s="1"/>
  <c r="C1782" i="2"/>
  <c r="A1782" i="2"/>
  <c r="E1781" i="2"/>
  <c r="F1781" i="2" s="1"/>
  <c r="C1781" i="2"/>
  <c r="A1781" i="2"/>
  <c r="E1780" i="2"/>
  <c r="F1780" i="2" s="1"/>
  <c r="C1780" i="2"/>
  <c r="A1780" i="2"/>
  <c r="E1779" i="2"/>
  <c r="F1779" i="2" s="1"/>
  <c r="C1779" i="2"/>
  <c r="A1779" i="2"/>
  <c r="E1778" i="2"/>
  <c r="F1778" i="2" s="1"/>
  <c r="C1778" i="2"/>
  <c r="A1778" i="2"/>
  <c r="E1777" i="2"/>
  <c r="F1777" i="2" s="1"/>
  <c r="C1777" i="2"/>
  <c r="A1777" i="2"/>
  <c r="E1776" i="2"/>
  <c r="F1776" i="2" s="1"/>
  <c r="C1776" i="2"/>
  <c r="A1776" i="2"/>
  <c r="E1775" i="2"/>
  <c r="F1775" i="2" s="1"/>
  <c r="C1775" i="2"/>
  <c r="A1775" i="2"/>
  <c r="E1774" i="2"/>
  <c r="F1774" i="2" s="1"/>
  <c r="C1774" i="2"/>
  <c r="A1774" i="2"/>
  <c r="E1773" i="2"/>
  <c r="F1773" i="2" s="1"/>
  <c r="C1773" i="2"/>
  <c r="A1773" i="2"/>
  <c r="E1772" i="2"/>
  <c r="F1772" i="2" s="1"/>
  <c r="C1772" i="2"/>
  <c r="A1772" i="2"/>
  <c r="E1771" i="2"/>
  <c r="F1771" i="2" s="1"/>
  <c r="C1771" i="2"/>
  <c r="A1771" i="2"/>
  <c r="E1770" i="2"/>
  <c r="F1770" i="2" s="1"/>
  <c r="C1770" i="2"/>
  <c r="A1770" i="2"/>
  <c r="E1769" i="2"/>
  <c r="F1769" i="2" s="1"/>
  <c r="C1769" i="2"/>
  <c r="A1769" i="2"/>
  <c r="E1768" i="2"/>
  <c r="F1768" i="2" s="1"/>
  <c r="C1768" i="2"/>
  <c r="A1768" i="2"/>
  <c r="E1767" i="2"/>
  <c r="F1767" i="2" s="1"/>
  <c r="C1767" i="2"/>
  <c r="A1767" i="2"/>
  <c r="E1766" i="2"/>
  <c r="F1766" i="2" s="1"/>
  <c r="C1766" i="2"/>
  <c r="A1766" i="2"/>
  <c r="E1765" i="2"/>
  <c r="F1765" i="2" s="1"/>
  <c r="C1765" i="2"/>
  <c r="A1765" i="2"/>
  <c r="E1764" i="2"/>
  <c r="F1764" i="2" s="1"/>
  <c r="C1764" i="2"/>
  <c r="A1764" i="2"/>
  <c r="E1763" i="2"/>
  <c r="F1763" i="2" s="1"/>
  <c r="C1763" i="2"/>
  <c r="A1763" i="2"/>
  <c r="E1762" i="2"/>
  <c r="F1762" i="2" s="1"/>
  <c r="C1762" i="2"/>
  <c r="A1762" i="2"/>
  <c r="E1761" i="2"/>
  <c r="F1761" i="2" s="1"/>
  <c r="C1761" i="2"/>
  <c r="A1761" i="2"/>
  <c r="E1760" i="2"/>
  <c r="F1760" i="2" s="1"/>
  <c r="C1760" i="2"/>
  <c r="A1760" i="2"/>
  <c r="E1759" i="2"/>
  <c r="F1759" i="2" s="1"/>
  <c r="C1759" i="2"/>
  <c r="A1759" i="2"/>
  <c r="E1758" i="2"/>
  <c r="F1758" i="2" s="1"/>
  <c r="C1758" i="2"/>
  <c r="A1758" i="2"/>
  <c r="E1757" i="2"/>
  <c r="F1757" i="2" s="1"/>
  <c r="C1757" i="2"/>
  <c r="A1757" i="2"/>
  <c r="E1756" i="2"/>
  <c r="F1756" i="2" s="1"/>
  <c r="C1756" i="2"/>
  <c r="A1756" i="2"/>
  <c r="E1755" i="2"/>
  <c r="F1755" i="2" s="1"/>
  <c r="C1755" i="2"/>
  <c r="A1755" i="2"/>
  <c r="E1754" i="2"/>
  <c r="F1754" i="2" s="1"/>
  <c r="C1754" i="2"/>
  <c r="A1754" i="2"/>
  <c r="E1753" i="2"/>
  <c r="F1753" i="2" s="1"/>
  <c r="C1753" i="2"/>
  <c r="A1753" i="2"/>
  <c r="E1752" i="2"/>
  <c r="F1752" i="2" s="1"/>
  <c r="C1752" i="2"/>
  <c r="A1752" i="2"/>
  <c r="E1751" i="2"/>
  <c r="F1751" i="2" s="1"/>
  <c r="C1751" i="2"/>
  <c r="A1751" i="2"/>
  <c r="E1750" i="2"/>
  <c r="F1750" i="2" s="1"/>
  <c r="C1750" i="2"/>
  <c r="A1750" i="2"/>
  <c r="E1749" i="2"/>
  <c r="F1749" i="2" s="1"/>
  <c r="C1749" i="2"/>
  <c r="A1749" i="2"/>
  <c r="E1748" i="2"/>
  <c r="F1748" i="2" s="1"/>
  <c r="C1748" i="2"/>
  <c r="A1748" i="2"/>
  <c r="E1747" i="2"/>
  <c r="F1747" i="2" s="1"/>
  <c r="C1747" i="2"/>
  <c r="A1747" i="2"/>
  <c r="E1746" i="2"/>
  <c r="F1746" i="2" s="1"/>
  <c r="C1746" i="2"/>
  <c r="A1746" i="2"/>
  <c r="E1745" i="2"/>
  <c r="F1745" i="2" s="1"/>
  <c r="C1745" i="2"/>
  <c r="A1745" i="2"/>
  <c r="E1744" i="2"/>
  <c r="F1744" i="2" s="1"/>
  <c r="C1744" i="2"/>
  <c r="A1744" i="2"/>
  <c r="E1743" i="2"/>
  <c r="F1743" i="2" s="1"/>
  <c r="C1743" i="2"/>
  <c r="A1743" i="2"/>
  <c r="E1742" i="2"/>
  <c r="F1742" i="2" s="1"/>
  <c r="C1742" i="2"/>
  <c r="A1742" i="2"/>
  <c r="E1741" i="2"/>
  <c r="F1741" i="2" s="1"/>
  <c r="C1741" i="2"/>
  <c r="A1741" i="2"/>
  <c r="E1740" i="2"/>
  <c r="F1740" i="2" s="1"/>
  <c r="C1740" i="2"/>
  <c r="A1740" i="2"/>
  <c r="E1739" i="2"/>
  <c r="F1739" i="2" s="1"/>
  <c r="C1739" i="2"/>
  <c r="A1739" i="2"/>
  <c r="E1738" i="2"/>
  <c r="F1738" i="2" s="1"/>
  <c r="C1738" i="2"/>
  <c r="A1738" i="2"/>
  <c r="E1737" i="2"/>
  <c r="F1737" i="2" s="1"/>
  <c r="C1737" i="2"/>
  <c r="A1737" i="2"/>
  <c r="E1736" i="2"/>
  <c r="F1736" i="2" s="1"/>
  <c r="C1736" i="2"/>
  <c r="A1736" i="2"/>
  <c r="E1735" i="2"/>
  <c r="F1735" i="2" s="1"/>
  <c r="C1735" i="2"/>
  <c r="A1735" i="2"/>
  <c r="E1734" i="2"/>
  <c r="F1734" i="2" s="1"/>
  <c r="C1734" i="2"/>
  <c r="A1734" i="2"/>
  <c r="E1733" i="2"/>
  <c r="F1733" i="2" s="1"/>
  <c r="C1733" i="2"/>
  <c r="A1733" i="2"/>
  <c r="E1732" i="2"/>
  <c r="F1732" i="2" s="1"/>
  <c r="C1732" i="2"/>
  <c r="A1732" i="2"/>
  <c r="E1731" i="2"/>
  <c r="F1731" i="2" s="1"/>
  <c r="C1731" i="2"/>
  <c r="A1731" i="2"/>
  <c r="E1730" i="2"/>
  <c r="F1730" i="2" s="1"/>
  <c r="C1730" i="2"/>
  <c r="A1730" i="2"/>
  <c r="E1729" i="2"/>
  <c r="F1729" i="2" s="1"/>
  <c r="C1729" i="2"/>
  <c r="A1729" i="2"/>
  <c r="E1728" i="2"/>
  <c r="F1728" i="2" s="1"/>
  <c r="C1728" i="2"/>
  <c r="A1728" i="2"/>
  <c r="E1727" i="2"/>
  <c r="F1727" i="2" s="1"/>
  <c r="C1727" i="2"/>
  <c r="A1727" i="2"/>
  <c r="E1726" i="2"/>
  <c r="F1726" i="2" s="1"/>
  <c r="C1726" i="2"/>
  <c r="A1726" i="2"/>
  <c r="E1725" i="2"/>
  <c r="F1725" i="2" s="1"/>
  <c r="C1725" i="2"/>
  <c r="A1725" i="2"/>
  <c r="E1724" i="2"/>
  <c r="F1724" i="2" s="1"/>
  <c r="C1724" i="2"/>
  <c r="A1724" i="2"/>
  <c r="E1723" i="2"/>
  <c r="F1723" i="2" s="1"/>
  <c r="C1723" i="2"/>
  <c r="A1723" i="2"/>
  <c r="E1722" i="2"/>
  <c r="F1722" i="2" s="1"/>
  <c r="C1722" i="2"/>
  <c r="A1722" i="2"/>
  <c r="E1721" i="2"/>
  <c r="F1721" i="2" s="1"/>
  <c r="C1721" i="2"/>
  <c r="A1721" i="2"/>
  <c r="E1720" i="2"/>
  <c r="F1720" i="2" s="1"/>
  <c r="C1720" i="2"/>
  <c r="A1720" i="2"/>
  <c r="E1719" i="2"/>
  <c r="F1719" i="2" s="1"/>
  <c r="C1719" i="2"/>
  <c r="A1719" i="2"/>
  <c r="E1718" i="2"/>
  <c r="F1718" i="2" s="1"/>
  <c r="C1718" i="2"/>
  <c r="A1718" i="2"/>
  <c r="E1717" i="2"/>
  <c r="F1717" i="2" s="1"/>
  <c r="C1717" i="2"/>
  <c r="A1717" i="2"/>
  <c r="E1716" i="2"/>
  <c r="F1716" i="2" s="1"/>
  <c r="C1716" i="2"/>
  <c r="A1716" i="2"/>
  <c r="E1715" i="2"/>
  <c r="F1715" i="2" s="1"/>
  <c r="C1715" i="2"/>
  <c r="A1715" i="2"/>
  <c r="E1714" i="2"/>
  <c r="F1714" i="2" s="1"/>
  <c r="C1714" i="2"/>
  <c r="A1714" i="2"/>
  <c r="E1713" i="2"/>
  <c r="F1713" i="2" s="1"/>
  <c r="C1713" i="2"/>
  <c r="A1713" i="2"/>
  <c r="E1712" i="2"/>
  <c r="F1712" i="2" s="1"/>
  <c r="C1712" i="2"/>
  <c r="A1712" i="2"/>
  <c r="E1711" i="2"/>
  <c r="F1711" i="2" s="1"/>
  <c r="C1711" i="2"/>
  <c r="A1711" i="2"/>
  <c r="E1710" i="2"/>
  <c r="F1710" i="2" s="1"/>
  <c r="C1710" i="2"/>
  <c r="A1710" i="2"/>
  <c r="E1709" i="2"/>
  <c r="F1709" i="2" s="1"/>
  <c r="C1709" i="2"/>
  <c r="A1709" i="2"/>
  <c r="E1708" i="2"/>
  <c r="F1708" i="2" s="1"/>
  <c r="C1708" i="2"/>
  <c r="A1708" i="2"/>
  <c r="E1707" i="2"/>
  <c r="F1707" i="2" s="1"/>
  <c r="C1707" i="2"/>
  <c r="A1707" i="2"/>
  <c r="E1706" i="2"/>
  <c r="F1706" i="2" s="1"/>
  <c r="C1706" i="2"/>
  <c r="A1706" i="2"/>
  <c r="E1705" i="2"/>
  <c r="F1705" i="2" s="1"/>
  <c r="C1705" i="2"/>
  <c r="A1705" i="2"/>
  <c r="E1704" i="2"/>
  <c r="F1704" i="2" s="1"/>
  <c r="C1704" i="2"/>
  <c r="A1704" i="2"/>
  <c r="E1703" i="2"/>
  <c r="F1703" i="2" s="1"/>
  <c r="C1703" i="2"/>
  <c r="A1703" i="2"/>
  <c r="E1702" i="2"/>
  <c r="F1702" i="2" s="1"/>
  <c r="C1702" i="2"/>
  <c r="A1702" i="2"/>
  <c r="E1701" i="2"/>
  <c r="F1701" i="2" s="1"/>
  <c r="C1701" i="2"/>
  <c r="A1701" i="2"/>
  <c r="E1700" i="2"/>
  <c r="F1700" i="2" s="1"/>
  <c r="C1700" i="2"/>
  <c r="A1700" i="2"/>
  <c r="E1699" i="2"/>
  <c r="F1699" i="2" s="1"/>
  <c r="C1699" i="2"/>
  <c r="A1699" i="2"/>
  <c r="E1698" i="2"/>
  <c r="F1698" i="2" s="1"/>
  <c r="C1698" i="2"/>
  <c r="A1698" i="2"/>
  <c r="E1697" i="2"/>
  <c r="F1697" i="2" s="1"/>
  <c r="C1697" i="2"/>
  <c r="A1697" i="2"/>
  <c r="E1696" i="2"/>
  <c r="F1696" i="2" s="1"/>
  <c r="C1696" i="2"/>
  <c r="A1696" i="2"/>
  <c r="E1695" i="2"/>
  <c r="F1695" i="2" s="1"/>
  <c r="C1695" i="2"/>
  <c r="A1695" i="2"/>
  <c r="E1694" i="2"/>
  <c r="F1694" i="2" s="1"/>
  <c r="C1694" i="2"/>
  <c r="A1694" i="2"/>
  <c r="E1693" i="2"/>
  <c r="F1693" i="2" s="1"/>
  <c r="C1693" i="2"/>
  <c r="A1693" i="2"/>
  <c r="E1692" i="2"/>
  <c r="F1692" i="2" s="1"/>
  <c r="C1692" i="2"/>
  <c r="A1692" i="2"/>
  <c r="E1691" i="2"/>
  <c r="F1691" i="2" s="1"/>
  <c r="C1691" i="2"/>
  <c r="A1691" i="2"/>
  <c r="E1690" i="2"/>
  <c r="F1690" i="2" s="1"/>
  <c r="C1690" i="2"/>
  <c r="A1690" i="2"/>
  <c r="E1689" i="2"/>
  <c r="F1689" i="2" s="1"/>
  <c r="C1689" i="2"/>
  <c r="A1689" i="2"/>
  <c r="E1688" i="2"/>
  <c r="F1688" i="2" s="1"/>
  <c r="C1688" i="2"/>
  <c r="A1688" i="2"/>
  <c r="E1687" i="2"/>
  <c r="F1687" i="2" s="1"/>
  <c r="C1687" i="2"/>
  <c r="A1687" i="2"/>
  <c r="E1686" i="2"/>
  <c r="F1686" i="2" s="1"/>
  <c r="C1686" i="2"/>
  <c r="A1686" i="2"/>
  <c r="E1685" i="2"/>
  <c r="F1685" i="2" s="1"/>
  <c r="C1685" i="2"/>
  <c r="A1685" i="2"/>
  <c r="E1684" i="2"/>
  <c r="F1684" i="2" s="1"/>
  <c r="C1684" i="2"/>
  <c r="A1684" i="2"/>
  <c r="E1683" i="2"/>
  <c r="F1683" i="2" s="1"/>
  <c r="C1683" i="2"/>
  <c r="A1683" i="2"/>
  <c r="E1682" i="2"/>
  <c r="F1682" i="2" s="1"/>
  <c r="C1682" i="2"/>
  <c r="A1682" i="2"/>
  <c r="E1681" i="2"/>
  <c r="F1681" i="2" s="1"/>
  <c r="C1681" i="2"/>
  <c r="A1681" i="2"/>
  <c r="E1680" i="2"/>
  <c r="F1680" i="2" s="1"/>
  <c r="C1680" i="2"/>
  <c r="A1680" i="2"/>
  <c r="E1679" i="2"/>
  <c r="F1679" i="2" s="1"/>
  <c r="C1679" i="2"/>
  <c r="A1679" i="2"/>
  <c r="E1678" i="2"/>
  <c r="F1678" i="2" s="1"/>
  <c r="C1678" i="2"/>
  <c r="A1678" i="2"/>
  <c r="E1677" i="2"/>
  <c r="F1677" i="2" s="1"/>
  <c r="C1677" i="2"/>
  <c r="A1677" i="2"/>
  <c r="E1676" i="2"/>
  <c r="F1676" i="2" s="1"/>
  <c r="C1676" i="2"/>
  <c r="A1676" i="2"/>
  <c r="E1675" i="2"/>
  <c r="F1675" i="2" s="1"/>
  <c r="C1675" i="2"/>
  <c r="A1675" i="2"/>
  <c r="E1674" i="2"/>
  <c r="F1674" i="2" s="1"/>
  <c r="C1674" i="2"/>
  <c r="A1674" i="2"/>
  <c r="E1673" i="2"/>
  <c r="F1673" i="2" s="1"/>
  <c r="C1673" i="2"/>
  <c r="A1673" i="2"/>
  <c r="E1672" i="2"/>
  <c r="F1672" i="2" s="1"/>
  <c r="C1672" i="2"/>
  <c r="A1672" i="2"/>
  <c r="E1671" i="2"/>
  <c r="F1671" i="2" s="1"/>
  <c r="C1671" i="2"/>
  <c r="A1671" i="2"/>
  <c r="E1670" i="2"/>
  <c r="F1670" i="2" s="1"/>
  <c r="C1670" i="2"/>
  <c r="A1670" i="2"/>
  <c r="E1669" i="2"/>
  <c r="F1669" i="2" s="1"/>
  <c r="C1669" i="2"/>
  <c r="A1669" i="2"/>
  <c r="E1668" i="2"/>
  <c r="F1668" i="2" s="1"/>
  <c r="C1668" i="2"/>
  <c r="A1668" i="2"/>
  <c r="E1667" i="2"/>
  <c r="F1667" i="2" s="1"/>
  <c r="C1667" i="2"/>
  <c r="A1667" i="2"/>
  <c r="E1666" i="2"/>
  <c r="F1666" i="2" s="1"/>
  <c r="C1666" i="2"/>
  <c r="A1666" i="2"/>
  <c r="E1665" i="2"/>
  <c r="F1665" i="2" s="1"/>
  <c r="C1665" i="2"/>
  <c r="A1665" i="2"/>
  <c r="E1664" i="2"/>
  <c r="F1664" i="2" s="1"/>
  <c r="C1664" i="2"/>
  <c r="A1664" i="2"/>
  <c r="E1663" i="2"/>
  <c r="F1663" i="2" s="1"/>
  <c r="C1663" i="2"/>
  <c r="A1663" i="2"/>
  <c r="E1662" i="2"/>
  <c r="F1662" i="2" s="1"/>
  <c r="C1662" i="2"/>
  <c r="A1662" i="2"/>
  <c r="E1661" i="2"/>
  <c r="F1661" i="2" s="1"/>
  <c r="C1661" i="2"/>
  <c r="A1661" i="2"/>
  <c r="E1660" i="2"/>
  <c r="F1660" i="2" s="1"/>
  <c r="C1660" i="2"/>
  <c r="A1660" i="2"/>
  <c r="E1659" i="2"/>
  <c r="F1659" i="2" s="1"/>
  <c r="C1659" i="2"/>
  <c r="A1659" i="2"/>
  <c r="E1658" i="2"/>
  <c r="F1658" i="2" s="1"/>
  <c r="C1658" i="2"/>
  <c r="A1658" i="2"/>
  <c r="E1657" i="2"/>
  <c r="F1657" i="2" s="1"/>
  <c r="C1657" i="2"/>
  <c r="A1657" i="2"/>
  <c r="E1656" i="2"/>
  <c r="F1656" i="2" s="1"/>
  <c r="C1656" i="2"/>
  <c r="A1656" i="2"/>
  <c r="E1655" i="2"/>
  <c r="F1655" i="2" s="1"/>
  <c r="C1655" i="2"/>
  <c r="A1655" i="2"/>
  <c r="E1654" i="2"/>
  <c r="F1654" i="2" s="1"/>
  <c r="C1654" i="2"/>
  <c r="A1654" i="2"/>
  <c r="E1653" i="2"/>
  <c r="F1653" i="2" s="1"/>
  <c r="C1653" i="2"/>
  <c r="A1653" i="2"/>
  <c r="E1652" i="2"/>
  <c r="F1652" i="2" s="1"/>
  <c r="C1652" i="2"/>
  <c r="A1652" i="2"/>
  <c r="E1651" i="2"/>
  <c r="F1651" i="2" s="1"/>
  <c r="C1651" i="2"/>
  <c r="A1651" i="2"/>
  <c r="E1650" i="2"/>
  <c r="F1650" i="2" s="1"/>
  <c r="C1650" i="2"/>
  <c r="A1650" i="2"/>
  <c r="E1649" i="2"/>
  <c r="F1649" i="2" s="1"/>
  <c r="C1649" i="2"/>
  <c r="A1649" i="2"/>
  <c r="E1648" i="2"/>
  <c r="F1648" i="2" s="1"/>
  <c r="C1648" i="2"/>
  <c r="A1648" i="2"/>
  <c r="E1647" i="2"/>
  <c r="F1647" i="2" s="1"/>
  <c r="C1647" i="2"/>
  <c r="A1647" i="2"/>
  <c r="E1646" i="2"/>
  <c r="F1646" i="2" s="1"/>
  <c r="C1646" i="2"/>
  <c r="A1646" i="2"/>
  <c r="E1645" i="2"/>
  <c r="F1645" i="2" s="1"/>
  <c r="C1645" i="2"/>
  <c r="A1645" i="2"/>
  <c r="E1644" i="2"/>
  <c r="F1644" i="2" s="1"/>
  <c r="C1644" i="2"/>
  <c r="A1644" i="2"/>
  <c r="E1643" i="2"/>
  <c r="F1643" i="2" s="1"/>
  <c r="C1643" i="2"/>
  <c r="A1643" i="2"/>
  <c r="E1642" i="2"/>
  <c r="F1642" i="2" s="1"/>
  <c r="C1642" i="2"/>
  <c r="A1642" i="2"/>
  <c r="E1641" i="2"/>
  <c r="F1641" i="2" s="1"/>
  <c r="C1641" i="2"/>
  <c r="A1641" i="2"/>
  <c r="E1640" i="2"/>
  <c r="F1640" i="2" s="1"/>
  <c r="C1640" i="2"/>
  <c r="A1640" i="2"/>
  <c r="E1639" i="2"/>
  <c r="F1639" i="2" s="1"/>
  <c r="C1639" i="2"/>
  <c r="A1639" i="2"/>
  <c r="E1638" i="2"/>
  <c r="F1638" i="2" s="1"/>
  <c r="C1638" i="2"/>
  <c r="A1638" i="2"/>
  <c r="E1637" i="2"/>
  <c r="F1637" i="2" s="1"/>
  <c r="C1637" i="2"/>
  <c r="A1637" i="2"/>
  <c r="E1636" i="2"/>
  <c r="F1636" i="2" s="1"/>
  <c r="C1636" i="2"/>
  <c r="A1636" i="2"/>
  <c r="E1635" i="2"/>
  <c r="F1635" i="2" s="1"/>
  <c r="C1635" i="2"/>
  <c r="A1635" i="2"/>
  <c r="E1634" i="2"/>
  <c r="F1634" i="2" s="1"/>
  <c r="C1634" i="2"/>
  <c r="A1634" i="2"/>
  <c r="E1633" i="2"/>
  <c r="F1633" i="2" s="1"/>
  <c r="C1633" i="2"/>
  <c r="A1633" i="2"/>
  <c r="E1632" i="2"/>
  <c r="F1632" i="2" s="1"/>
  <c r="C1632" i="2"/>
  <c r="A1632" i="2"/>
  <c r="E1631" i="2"/>
  <c r="F1631" i="2" s="1"/>
  <c r="C1631" i="2"/>
  <c r="A1631" i="2"/>
  <c r="E1630" i="2"/>
  <c r="F1630" i="2" s="1"/>
  <c r="C1630" i="2"/>
  <c r="A1630" i="2"/>
  <c r="E1629" i="2"/>
  <c r="F1629" i="2" s="1"/>
  <c r="C1629" i="2"/>
  <c r="A1629" i="2"/>
  <c r="E1628" i="2"/>
  <c r="F1628" i="2" s="1"/>
  <c r="C1628" i="2"/>
  <c r="A1628" i="2"/>
  <c r="E1627" i="2"/>
  <c r="F1627" i="2" s="1"/>
  <c r="C1627" i="2"/>
  <c r="A1627" i="2"/>
  <c r="E1626" i="2"/>
  <c r="F1626" i="2" s="1"/>
  <c r="C1626" i="2"/>
  <c r="A1626" i="2"/>
  <c r="E1625" i="2"/>
  <c r="F1625" i="2" s="1"/>
  <c r="C1625" i="2"/>
  <c r="A1625" i="2"/>
  <c r="E1624" i="2"/>
  <c r="F1624" i="2" s="1"/>
  <c r="C1624" i="2"/>
  <c r="A1624" i="2"/>
  <c r="E1623" i="2"/>
  <c r="F1623" i="2" s="1"/>
  <c r="C1623" i="2"/>
  <c r="A1623" i="2"/>
  <c r="E1622" i="2"/>
  <c r="F1622" i="2" s="1"/>
  <c r="C1622" i="2"/>
  <c r="A1622" i="2"/>
  <c r="E1621" i="2"/>
  <c r="F1621" i="2" s="1"/>
  <c r="C1621" i="2"/>
  <c r="A1621" i="2"/>
  <c r="E1620" i="2"/>
  <c r="F1620" i="2" s="1"/>
  <c r="C1620" i="2"/>
  <c r="A1620" i="2"/>
  <c r="E1619" i="2"/>
  <c r="F1619" i="2" s="1"/>
  <c r="C1619" i="2"/>
  <c r="A1619" i="2"/>
  <c r="E1618" i="2"/>
  <c r="F1618" i="2" s="1"/>
  <c r="C1618" i="2"/>
  <c r="A1618" i="2"/>
  <c r="E1617" i="2"/>
  <c r="F1617" i="2" s="1"/>
  <c r="C1617" i="2"/>
  <c r="A1617" i="2"/>
  <c r="E1616" i="2"/>
  <c r="F1616" i="2" s="1"/>
  <c r="C1616" i="2"/>
  <c r="A1616" i="2"/>
  <c r="E1615" i="2"/>
  <c r="F1615" i="2" s="1"/>
  <c r="C1615" i="2"/>
  <c r="A1615" i="2"/>
  <c r="E1614" i="2"/>
  <c r="F1614" i="2" s="1"/>
  <c r="C1614" i="2"/>
  <c r="A1614" i="2"/>
  <c r="E1613" i="2"/>
  <c r="F1613" i="2" s="1"/>
  <c r="C1613" i="2"/>
  <c r="A1613" i="2"/>
  <c r="E1612" i="2"/>
  <c r="F1612" i="2" s="1"/>
  <c r="C1612" i="2"/>
  <c r="A1612" i="2"/>
  <c r="E1611" i="2"/>
  <c r="F1611" i="2" s="1"/>
  <c r="C1611" i="2"/>
  <c r="A1611" i="2"/>
  <c r="E1610" i="2"/>
  <c r="F1610" i="2" s="1"/>
  <c r="C1610" i="2"/>
  <c r="A1610" i="2"/>
  <c r="E1609" i="2"/>
  <c r="F1609" i="2" s="1"/>
  <c r="C1609" i="2"/>
  <c r="A1609" i="2"/>
  <c r="E1608" i="2"/>
  <c r="F1608" i="2" s="1"/>
  <c r="C1608" i="2"/>
  <c r="A1608" i="2"/>
  <c r="E1607" i="2"/>
  <c r="F1607" i="2" s="1"/>
  <c r="C1607" i="2"/>
  <c r="A1607" i="2"/>
  <c r="E1606" i="2"/>
  <c r="F1606" i="2" s="1"/>
  <c r="C1606" i="2"/>
  <c r="A1606" i="2"/>
  <c r="E1605" i="2"/>
  <c r="F1605" i="2" s="1"/>
  <c r="C1605" i="2"/>
  <c r="A1605" i="2"/>
  <c r="E1604" i="2"/>
  <c r="F1604" i="2" s="1"/>
  <c r="C1604" i="2"/>
  <c r="A1604" i="2"/>
  <c r="E1603" i="2"/>
  <c r="F1603" i="2" s="1"/>
  <c r="C1603" i="2"/>
  <c r="A1603" i="2"/>
  <c r="E1602" i="2"/>
  <c r="F1602" i="2" s="1"/>
  <c r="C1602" i="2"/>
  <c r="A1602" i="2"/>
  <c r="E1601" i="2"/>
  <c r="F1601" i="2" s="1"/>
  <c r="C1601" i="2"/>
  <c r="A1601" i="2"/>
  <c r="E1600" i="2"/>
  <c r="F1600" i="2" s="1"/>
  <c r="C1600" i="2"/>
  <c r="A1600" i="2"/>
  <c r="E1599" i="2"/>
  <c r="F1599" i="2" s="1"/>
  <c r="C1599" i="2"/>
  <c r="A1599" i="2"/>
  <c r="E1598" i="2"/>
  <c r="F1598" i="2" s="1"/>
  <c r="C1598" i="2"/>
  <c r="A1598" i="2"/>
  <c r="E1597" i="2"/>
  <c r="F1597" i="2" s="1"/>
  <c r="C1597" i="2"/>
  <c r="A1597" i="2"/>
  <c r="E1596" i="2"/>
  <c r="F1596" i="2" s="1"/>
  <c r="C1596" i="2"/>
  <c r="A1596" i="2"/>
  <c r="E1595" i="2"/>
  <c r="F1595" i="2" s="1"/>
  <c r="C1595" i="2"/>
  <c r="A1595" i="2"/>
  <c r="E1594" i="2"/>
  <c r="F1594" i="2" s="1"/>
  <c r="C1594" i="2"/>
  <c r="A1594" i="2"/>
  <c r="E1593" i="2"/>
  <c r="F1593" i="2" s="1"/>
  <c r="C1593" i="2"/>
  <c r="A1593" i="2"/>
  <c r="E1592" i="2"/>
  <c r="F1592" i="2" s="1"/>
  <c r="C1592" i="2"/>
  <c r="A1592" i="2"/>
  <c r="E1591" i="2"/>
  <c r="F1591" i="2" s="1"/>
  <c r="C1591" i="2"/>
  <c r="A1591" i="2"/>
  <c r="E1590" i="2"/>
  <c r="F1590" i="2" s="1"/>
  <c r="C1590" i="2"/>
  <c r="A1590" i="2"/>
  <c r="E1589" i="2"/>
  <c r="F1589" i="2" s="1"/>
  <c r="C1589" i="2"/>
  <c r="A1589" i="2"/>
  <c r="E1588" i="2"/>
  <c r="F1588" i="2" s="1"/>
  <c r="C1588" i="2"/>
  <c r="A1588" i="2"/>
  <c r="E1587" i="2"/>
  <c r="F1587" i="2" s="1"/>
  <c r="C1587" i="2"/>
  <c r="A1587" i="2"/>
  <c r="E1586" i="2"/>
  <c r="F1586" i="2" s="1"/>
  <c r="C1586" i="2"/>
  <c r="A1586" i="2"/>
  <c r="E1585" i="2"/>
  <c r="F1585" i="2" s="1"/>
  <c r="C1585" i="2"/>
  <c r="A1585" i="2"/>
  <c r="E1584" i="2"/>
  <c r="F1584" i="2" s="1"/>
  <c r="C1584" i="2"/>
  <c r="A1584" i="2"/>
  <c r="E1583" i="2"/>
  <c r="F1583" i="2" s="1"/>
  <c r="C1583" i="2"/>
  <c r="A1583" i="2"/>
  <c r="E1582" i="2"/>
  <c r="F1582" i="2" s="1"/>
  <c r="C1582" i="2"/>
  <c r="A1582" i="2"/>
  <c r="E1581" i="2"/>
  <c r="F1581" i="2" s="1"/>
  <c r="C1581" i="2"/>
  <c r="A1581" i="2"/>
  <c r="E1580" i="2"/>
  <c r="F1580" i="2" s="1"/>
  <c r="C1580" i="2"/>
  <c r="A1580" i="2"/>
  <c r="E1579" i="2"/>
  <c r="F1579" i="2" s="1"/>
  <c r="C1579" i="2"/>
  <c r="A1579" i="2"/>
  <c r="E1578" i="2"/>
  <c r="F1578" i="2" s="1"/>
  <c r="C1578" i="2"/>
  <c r="A1578" i="2"/>
  <c r="E1577" i="2"/>
  <c r="F1577" i="2" s="1"/>
  <c r="C1577" i="2"/>
  <c r="A1577" i="2"/>
  <c r="E1576" i="2"/>
  <c r="F1576" i="2" s="1"/>
  <c r="C1576" i="2"/>
  <c r="A1576" i="2"/>
  <c r="E1575" i="2"/>
  <c r="F1575" i="2" s="1"/>
  <c r="C1575" i="2"/>
  <c r="A1575" i="2"/>
  <c r="E1574" i="2"/>
  <c r="F1574" i="2" s="1"/>
  <c r="C1574" i="2"/>
  <c r="A1574" i="2"/>
  <c r="E1573" i="2"/>
  <c r="F1573" i="2" s="1"/>
  <c r="C1573" i="2"/>
  <c r="A1573" i="2"/>
  <c r="E1572" i="2"/>
  <c r="F1572" i="2" s="1"/>
  <c r="C1572" i="2"/>
  <c r="A1572" i="2"/>
  <c r="E1571" i="2"/>
  <c r="F1571" i="2" s="1"/>
  <c r="C1571" i="2"/>
  <c r="A1571" i="2"/>
  <c r="E1570" i="2"/>
  <c r="F1570" i="2" s="1"/>
  <c r="C1570" i="2"/>
  <c r="A1570" i="2"/>
  <c r="E1569" i="2"/>
  <c r="F1569" i="2" s="1"/>
  <c r="C1569" i="2"/>
  <c r="A1569" i="2"/>
  <c r="E1568" i="2"/>
  <c r="F1568" i="2" s="1"/>
  <c r="C1568" i="2"/>
  <c r="A1568" i="2"/>
  <c r="E1567" i="2"/>
  <c r="F1567" i="2" s="1"/>
  <c r="C1567" i="2"/>
  <c r="A1567" i="2"/>
  <c r="E1566" i="2"/>
  <c r="F1566" i="2" s="1"/>
  <c r="C1566" i="2"/>
  <c r="A1566" i="2"/>
  <c r="E1565" i="2"/>
  <c r="F1565" i="2" s="1"/>
  <c r="C1565" i="2"/>
  <c r="A1565" i="2"/>
  <c r="E1564" i="2"/>
  <c r="F1564" i="2" s="1"/>
  <c r="C1564" i="2"/>
  <c r="A1564" i="2"/>
  <c r="E1563" i="2"/>
  <c r="F1563" i="2" s="1"/>
  <c r="C1563" i="2"/>
  <c r="A1563" i="2"/>
  <c r="E1562" i="2"/>
  <c r="F1562" i="2" s="1"/>
  <c r="C1562" i="2"/>
  <c r="A1562" i="2"/>
  <c r="E1561" i="2"/>
  <c r="F1561" i="2" s="1"/>
  <c r="C1561" i="2"/>
  <c r="A1561" i="2"/>
  <c r="E1560" i="2"/>
  <c r="F1560" i="2" s="1"/>
  <c r="C1560" i="2"/>
  <c r="A1560" i="2"/>
  <c r="E1559" i="2"/>
  <c r="F1559" i="2" s="1"/>
  <c r="C1559" i="2"/>
  <c r="A1559" i="2"/>
  <c r="E1558" i="2"/>
  <c r="F1558" i="2" s="1"/>
  <c r="C1558" i="2"/>
  <c r="A1558" i="2"/>
  <c r="E1557" i="2"/>
  <c r="F1557" i="2" s="1"/>
  <c r="C1557" i="2"/>
  <c r="A1557" i="2"/>
  <c r="E1556" i="2"/>
  <c r="F1556" i="2" s="1"/>
  <c r="C1556" i="2"/>
  <c r="A1556" i="2"/>
  <c r="E1555" i="2"/>
  <c r="F1555" i="2" s="1"/>
  <c r="C1555" i="2"/>
  <c r="A1555" i="2"/>
  <c r="E1554" i="2"/>
  <c r="F1554" i="2" s="1"/>
  <c r="C1554" i="2"/>
  <c r="A1554" i="2"/>
  <c r="E1553" i="2"/>
  <c r="F1553" i="2" s="1"/>
  <c r="C1553" i="2"/>
  <c r="A1553" i="2"/>
  <c r="E1552" i="2"/>
  <c r="F1552" i="2" s="1"/>
  <c r="C1552" i="2"/>
  <c r="A1552" i="2"/>
  <c r="E1551" i="2"/>
  <c r="F1551" i="2" s="1"/>
  <c r="C1551" i="2"/>
  <c r="A1551" i="2"/>
  <c r="E1550" i="2"/>
  <c r="F1550" i="2" s="1"/>
  <c r="C1550" i="2"/>
  <c r="A1550" i="2"/>
  <c r="E1549" i="2"/>
  <c r="F1549" i="2" s="1"/>
  <c r="C1549" i="2"/>
  <c r="A1549" i="2"/>
  <c r="E1548" i="2"/>
  <c r="F1548" i="2" s="1"/>
  <c r="C1548" i="2"/>
  <c r="A1548" i="2"/>
  <c r="E1547" i="2"/>
  <c r="F1547" i="2" s="1"/>
  <c r="C1547" i="2"/>
  <c r="A1547" i="2"/>
  <c r="E1546" i="2"/>
  <c r="F1546" i="2" s="1"/>
  <c r="C1546" i="2"/>
  <c r="A1546" i="2"/>
  <c r="E1545" i="2"/>
  <c r="F1545" i="2" s="1"/>
  <c r="C1545" i="2"/>
  <c r="A1545" i="2"/>
  <c r="E1544" i="2"/>
  <c r="F1544" i="2" s="1"/>
  <c r="C1544" i="2"/>
  <c r="A1544" i="2"/>
  <c r="E1543" i="2"/>
  <c r="F1543" i="2" s="1"/>
  <c r="C1543" i="2"/>
  <c r="A1543" i="2"/>
  <c r="E1542" i="2"/>
  <c r="F1542" i="2" s="1"/>
  <c r="C1542" i="2"/>
  <c r="A1542" i="2"/>
  <c r="E1541" i="2"/>
  <c r="F1541" i="2" s="1"/>
  <c r="C1541" i="2"/>
  <c r="A1541" i="2"/>
  <c r="E1540" i="2"/>
  <c r="F1540" i="2" s="1"/>
  <c r="C1540" i="2"/>
  <c r="A1540" i="2"/>
  <c r="E1539" i="2"/>
  <c r="F1539" i="2" s="1"/>
  <c r="C1539" i="2"/>
  <c r="A1539" i="2"/>
  <c r="E1538" i="2"/>
  <c r="F1538" i="2" s="1"/>
  <c r="C1538" i="2"/>
  <c r="A1538" i="2"/>
  <c r="E1537" i="2"/>
  <c r="F1537" i="2" s="1"/>
  <c r="C1537" i="2"/>
  <c r="A1537" i="2"/>
  <c r="E1536" i="2"/>
  <c r="F1536" i="2" s="1"/>
  <c r="C1536" i="2"/>
  <c r="A1536" i="2"/>
  <c r="E1535" i="2"/>
  <c r="F1535" i="2" s="1"/>
  <c r="C1535" i="2"/>
  <c r="A1535" i="2"/>
  <c r="E1534" i="2"/>
  <c r="F1534" i="2" s="1"/>
  <c r="C1534" i="2"/>
  <c r="A1534" i="2"/>
  <c r="E1533" i="2"/>
  <c r="F1533" i="2" s="1"/>
  <c r="C1533" i="2"/>
  <c r="A1533" i="2"/>
  <c r="E1532" i="2"/>
  <c r="F1532" i="2" s="1"/>
  <c r="C1532" i="2"/>
  <c r="A1532" i="2"/>
  <c r="E1531" i="2"/>
  <c r="F1531" i="2" s="1"/>
  <c r="C1531" i="2"/>
  <c r="A1531" i="2"/>
  <c r="E1530" i="2"/>
  <c r="F1530" i="2" s="1"/>
  <c r="C1530" i="2"/>
  <c r="A1530" i="2"/>
  <c r="E1529" i="2"/>
  <c r="F1529" i="2" s="1"/>
  <c r="C1529" i="2"/>
  <c r="A1529" i="2"/>
  <c r="E1528" i="2"/>
  <c r="F1528" i="2" s="1"/>
  <c r="C1528" i="2"/>
  <c r="A1528" i="2"/>
  <c r="E1527" i="2"/>
  <c r="F1527" i="2" s="1"/>
  <c r="C1527" i="2"/>
  <c r="A1527" i="2"/>
  <c r="E1526" i="2"/>
  <c r="F1526" i="2" s="1"/>
  <c r="C1526" i="2"/>
  <c r="A1526" i="2"/>
  <c r="E1525" i="2"/>
  <c r="F1525" i="2" s="1"/>
  <c r="C1525" i="2"/>
  <c r="A1525" i="2"/>
  <c r="E1524" i="2"/>
  <c r="F1524" i="2" s="1"/>
  <c r="C1524" i="2"/>
  <c r="A1524" i="2"/>
  <c r="E1523" i="2"/>
  <c r="F1523" i="2" s="1"/>
  <c r="C1523" i="2"/>
  <c r="A1523" i="2"/>
  <c r="E1522" i="2"/>
  <c r="F1522" i="2" s="1"/>
  <c r="C1522" i="2"/>
  <c r="A1522" i="2"/>
  <c r="E1521" i="2"/>
  <c r="F1521" i="2" s="1"/>
  <c r="C1521" i="2"/>
  <c r="A1521" i="2"/>
  <c r="E1520" i="2"/>
  <c r="F1520" i="2" s="1"/>
  <c r="C1520" i="2"/>
  <c r="A1520" i="2"/>
  <c r="E1519" i="2"/>
  <c r="F1519" i="2" s="1"/>
  <c r="C1519" i="2"/>
  <c r="A1519" i="2"/>
  <c r="E1518" i="2"/>
  <c r="F1518" i="2" s="1"/>
  <c r="C1518" i="2"/>
  <c r="A1518" i="2"/>
  <c r="E1517" i="2"/>
  <c r="F1517" i="2" s="1"/>
  <c r="C1517" i="2"/>
  <c r="A1517" i="2"/>
  <c r="E1516" i="2"/>
  <c r="F1516" i="2" s="1"/>
  <c r="C1516" i="2"/>
  <c r="A1516" i="2"/>
  <c r="E1515" i="2"/>
  <c r="F1515" i="2" s="1"/>
  <c r="C1515" i="2"/>
  <c r="A1515" i="2"/>
  <c r="E1514" i="2"/>
  <c r="F1514" i="2" s="1"/>
  <c r="C1514" i="2"/>
  <c r="A1514" i="2"/>
  <c r="E1513" i="2"/>
  <c r="F1513" i="2" s="1"/>
  <c r="C1513" i="2"/>
  <c r="A1513" i="2"/>
  <c r="E1512" i="2"/>
  <c r="F1512" i="2" s="1"/>
  <c r="C1512" i="2"/>
  <c r="A1512" i="2"/>
  <c r="E1511" i="2"/>
  <c r="F1511" i="2" s="1"/>
  <c r="C1511" i="2"/>
  <c r="A1511" i="2"/>
  <c r="E1510" i="2"/>
  <c r="F1510" i="2" s="1"/>
  <c r="C1510" i="2"/>
  <c r="A1510" i="2"/>
  <c r="E1509" i="2"/>
  <c r="F1509" i="2" s="1"/>
  <c r="C1509" i="2"/>
  <c r="A1509" i="2"/>
  <c r="E1508" i="2"/>
  <c r="F1508" i="2" s="1"/>
  <c r="C1508" i="2"/>
  <c r="A1508" i="2"/>
  <c r="E1507" i="2"/>
  <c r="F1507" i="2" s="1"/>
  <c r="C1507" i="2"/>
  <c r="A1507" i="2"/>
  <c r="E1506" i="2"/>
  <c r="F1506" i="2" s="1"/>
  <c r="C1506" i="2"/>
  <c r="A1506" i="2"/>
  <c r="E1505" i="2"/>
  <c r="F1505" i="2" s="1"/>
  <c r="C1505" i="2"/>
  <c r="A1505" i="2"/>
  <c r="E1504" i="2"/>
  <c r="F1504" i="2" s="1"/>
  <c r="C1504" i="2"/>
  <c r="A1504" i="2"/>
  <c r="E1503" i="2"/>
  <c r="F1503" i="2" s="1"/>
  <c r="C1503" i="2"/>
  <c r="A1503" i="2"/>
  <c r="E1502" i="2"/>
  <c r="F1502" i="2" s="1"/>
  <c r="C1502" i="2"/>
  <c r="A1502" i="2"/>
  <c r="E1501" i="2"/>
  <c r="F1501" i="2" s="1"/>
  <c r="C1501" i="2"/>
  <c r="A1501" i="2"/>
  <c r="E1500" i="2"/>
  <c r="F1500" i="2" s="1"/>
  <c r="C1500" i="2"/>
  <c r="A1500" i="2"/>
  <c r="E1499" i="2"/>
  <c r="F1499" i="2" s="1"/>
  <c r="C1499" i="2"/>
  <c r="A1499" i="2"/>
  <c r="E1498" i="2"/>
  <c r="F1498" i="2" s="1"/>
  <c r="C1498" i="2"/>
  <c r="A1498" i="2"/>
  <c r="E1497" i="2"/>
  <c r="F1497" i="2" s="1"/>
  <c r="C1497" i="2"/>
  <c r="A1497" i="2"/>
  <c r="E1496" i="2"/>
  <c r="F1496" i="2" s="1"/>
  <c r="C1496" i="2"/>
  <c r="A1496" i="2"/>
  <c r="E1495" i="2"/>
  <c r="F1495" i="2" s="1"/>
  <c r="C1495" i="2"/>
  <c r="A1495" i="2"/>
  <c r="E1494" i="2"/>
  <c r="F1494" i="2" s="1"/>
  <c r="C1494" i="2"/>
  <c r="A1494" i="2"/>
  <c r="E1493" i="2"/>
  <c r="F1493" i="2" s="1"/>
  <c r="C1493" i="2"/>
  <c r="A1493" i="2"/>
  <c r="E1492" i="2"/>
  <c r="F1492" i="2" s="1"/>
  <c r="C1492" i="2"/>
  <c r="A1492" i="2"/>
  <c r="E1491" i="2"/>
  <c r="F1491" i="2" s="1"/>
  <c r="C1491" i="2"/>
  <c r="A1491" i="2"/>
  <c r="E1490" i="2"/>
  <c r="F1490" i="2" s="1"/>
  <c r="C1490" i="2"/>
  <c r="A1490" i="2"/>
  <c r="E1489" i="2"/>
  <c r="F1489" i="2" s="1"/>
  <c r="C1489" i="2"/>
  <c r="A1489" i="2"/>
  <c r="E1488" i="2"/>
  <c r="F1488" i="2" s="1"/>
  <c r="C1488" i="2"/>
  <c r="A1488" i="2"/>
  <c r="E1487" i="2"/>
  <c r="F1487" i="2" s="1"/>
  <c r="C1487" i="2"/>
  <c r="A1487" i="2"/>
  <c r="E1486" i="2"/>
  <c r="F1486" i="2" s="1"/>
  <c r="C1486" i="2"/>
  <c r="A1486" i="2"/>
  <c r="E1485" i="2"/>
  <c r="F1485" i="2" s="1"/>
  <c r="C1485" i="2"/>
  <c r="A1485" i="2"/>
  <c r="E1484" i="2"/>
  <c r="F1484" i="2" s="1"/>
  <c r="C1484" i="2"/>
  <c r="A1484" i="2"/>
  <c r="E1483" i="2"/>
  <c r="F1483" i="2" s="1"/>
  <c r="C1483" i="2"/>
  <c r="A1483" i="2"/>
  <c r="E1482" i="2"/>
  <c r="F1482" i="2" s="1"/>
  <c r="C1482" i="2"/>
  <c r="A1482" i="2"/>
  <c r="E1481" i="2"/>
  <c r="F1481" i="2" s="1"/>
  <c r="C1481" i="2"/>
  <c r="A1481" i="2"/>
  <c r="E1480" i="2"/>
  <c r="F1480" i="2" s="1"/>
  <c r="C1480" i="2"/>
  <c r="A1480" i="2"/>
  <c r="E1479" i="2"/>
  <c r="F1479" i="2" s="1"/>
  <c r="C1479" i="2"/>
  <c r="A1479" i="2"/>
  <c r="E1478" i="2"/>
  <c r="F1478" i="2" s="1"/>
  <c r="C1478" i="2"/>
  <c r="A1478" i="2"/>
  <c r="E1477" i="2"/>
  <c r="F1477" i="2" s="1"/>
  <c r="C1477" i="2"/>
  <c r="A1477" i="2"/>
  <c r="E1476" i="2"/>
  <c r="F1476" i="2" s="1"/>
  <c r="C1476" i="2"/>
  <c r="A1476" i="2"/>
  <c r="E1475" i="2"/>
  <c r="F1475" i="2" s="1"/>
  <c r="C1475" i="2"/>
  <c r="A1475" i="2"/>
  <c r="E1474" i="2"/>
  <c r="F1474" i="2" s="1"/>
  <c r="C1474" i="2"/>
  <c r="A1474" i="2"/>
  <c r="E1473" i="2"/>
  <c r="F1473" i="2" s="1"/>
  <c r="C1473" i="2"/>
  <c r="A1473" i="2"/>
  <c r="E1472" i="2"/>
  <c r="F1472" i="2" s="1"/>
  <c r="C1472" i="2"/>
  <c r="A1472" i="2"/>
  <c r="E1471" i="2"/>
  <c r="F1471" i="2" s="1"/>
  <c r="C1471" i="2"/>
  <c r="A1471" i="2"/>
  <c r="E1470" i="2"/>
  <c r="F1470" i="2" s="1"/>
  <c r="C1470" i="2"/>
  <c r="A1470" i="2"/>
  <c r="E1469" i="2"/>
  <c r="F1469" i="2" s="1"/>
  <c r="C1469" i="2"/>
  <c r="A1469" i="2"/>
  <c r="E1468" i="2"/>
  <c r="F1468" i="2" s="1"/>
  <c r="C1468" i="2"/>
  <c r="A1468" i="2"/>
  <c r="E1467" i="2"/>
  <c r="F1467" i="2" s="1"/>
  <c r="C1467" i="2"/>
  <c r="A1467" i="2"/>
  <c r="E1466" i="2"/>
  <c r="F1466" i="2" s="1"/>
  <c r="C1466" i="2"/>
  <c r="A1466" i="2"/>
  <c r="E1465" i="2"/>
  <c r="F1465" i="2" s="1"/>
  <c r="C1465" i="2"/>
  <c r="A1465" i="2"/>
  <c r="E1464" i="2"/>
  <c r="F1464" i="2" s="1"/>
  <c r="C1464" i="2"/>
  <c r="A1464" i="2"/>
  <c r="E1463" i="2"/>
  <c r="F1463" i="2" s="1"/>
  <c r="C1463" i="2"/>
  <c r="A1463" i="2"/>
  <c r="E1462" i="2"/>
  <c r="F1462" i="2" s="1"/>
  <c r="C1462" i="2"/>
  <c r="A1462" i="2"/>
  <c r="E1461" i="2"/>
  <c r="F1461" i="2" s="1"/>
  <c r="C1461" i="2"/>
  <c r="A1461" i="2"/>
  <c r="E1460" i="2"/>
  <c r="F1460" i="2" s="1"/>
  <c r="C1460" i="2"/>
  <c r="A1460" i="2"/>
  <c r="E1459" i="2"/>
  <c r="F1459" i="2" s="1"/>
  <c r="C1459" i="2"/>
  <c r="A1459" i="2"/>
  <c r="E1458" i="2"/>
  <c r="F1458" i="2" s="1"/>
  <c r="C1458" i="2"/>
  <c r="A1458" i="2"/>
  <c r="E1457" i="2"/>
  <c r="F1457" i="2" s="1"/>
  <c r="C1457" i="2"/>
  <c r="A1457" i="2"/>
  <c r="E1456" i="2"/>
  <c r="F1456" i="2" s="1"/>
  <c r="C1456" i="2"/>
  <c r="A1456" i="2"/>
  <c r="E1455" i="2"/>
  <c r="F1455" i="2" s="1"/>
  <c r="C1455" i="2"/>
  <c r="A1455" i="2"/>
  <c r="E1454" i="2"/>
  <c r="F1454" i="2" s="1"/>
  <c r="C1454" i="2"/>
  <c r="A1454" i="2"/>
  <c r="E1453" i="2"/>
  <c r="F1453" i="2" s="1"/>
  <c r="C1453" i="2"/>
  <c r="A1453" i="2"/>
  <c r="E1452" i="2"/>
  <c r="F1452" i="2" s="1"/>
  <c r="C1452" i="2"/>
  <c r="A1452" i="2"/>
  <c r="E1451" i="2"/>
  <c r="F1451" i="2" s="1"/>
  <c r="C1451" i="2"/>
  <c r="A1451" i="2"/>
  <c r="E1450" i="2"/>
  <c r="F1450" i="2" s="1"/>
  <c r="C1450" i="2"/>
  <c r="A1450" i="2"/>
  <c r="E1449" i="2"/>
  <c r="F1449" i="2" s="1"/>
  <c r="C1449" i="2"/>
  <c r="A1449" i="2"/>
  <c r="E1448" i="2"/>
  <c r="F1448" i="2" s="1"/>
  <c r="C1448" i="2"/>
  <c r="A1448" i="2"/>
  <c r="E1447" i="2"/>
  <c r="F1447" i="2" s="1"/>
  <c r="C1447" i="2"/>
  <c r="A1447" i="2"/>
  <c r="E1446" i="2"/>
  <c r="F1446" i="2" s="1"/>
  <c r="C1446" i="2"/>
  <c r="A1446" i="2"/>
  <c r="E1445" i="2"/>
  <c r="F1445" i="2" s="1"/>
  <c r="C1445" i="2"/>
  <c r="A1445" i="2"/>
  <c r="E1444" i="2"/>
  <c r="F1444" i="2" s="1"/>
  <c r="C1444" i="2"/>
  <c r="A1444" i="2"/>
  <c r="E1443" i="2"/>
  <c r="F1443" i="2" s="1"/>
  <c r="C1443" i="2"/>
  <c r="A1443" i="2"/>
  <c r="E1442" i="2"/>
  <c r="F1442" i="2" s="1"/>
  <c r="C1442" i="2"/>
  <c r="A1442" i="2"/>
  <c r="E1441" i="2"/>
  <c r="F1441" i="2" s="1"/>
  <c r="C1441" i="2"/>
  <c r="A1441" i="2"/>
  <c r="E1440" i="2"/>
  <c r="F1440" i="2" s="1"/>
  <c r="C1440" i="2"/>
  <c r="A1440" i="2"/>
  <c r="E1439" i="2"/>
  <c r="F1439" i="2" s="1"/>
  <c r="C1439" i="2"/>
  <c r="A1439" i="2"/>
  <c r="E1438" i="2"/>
  <c r="F1438" i="2" s="1"/>
  <c r="C1438" i="2"/>
  <c r="A1438" i="2"/>
  <c r="E1437" i="2"/>
  <c r="F1437" i="2" s="1"/>
  <c r="C1437" i="2"/>
  <c r="A1437" i="2"/>
  <c r="E1436" i="2"/>
  <c r="F1436" i="2" s="1"/>
  <c r="C1436" i="2"/>
  <c r="A1436" i="2"/>
  <c r="E1435" i="2"/>
  <c r="F1435" i="2" s="1"/>
  <c r="C1435" i="2"/>
  <c r="A1435" i="2"/>
  <c r="E1434" i="2"/>
  <c r="F1434" i="2" s="1"/>
  <c r="C1434" i="2"/>
  <c r="A1434" i="2"/>
  <c r="E1433" i="2"/>
  <c r="F1433" i="2" s="1"/>
  <c r="C1433" i="2"/>
  <c r="A1433" i="2"/>
  <c r="E1432" i="2"/>
  <c r="F1432" i="2" s="1"/>
  <c r="C1432" i="2"/>
  <c r="A1432" i="2"/>
  <c r="E1431" i="2"/>
  <c r="F1431" i="2" s="1"/>
  <c r="C1431" i="2"/>
  <c r="A1431" i="2"/>
  <c r="E1430" i="2"/>
  <c r="F1430" i="2" s="1"/>
  <c r="C1430" i="2"/>
  <c r="A1430" i="2"/>
  <c r="E1429" i="2"/>
  <c r="F1429" i="2" s="1"/>
  <c r="C1429" i="2"/>
  <c r="A1429" i="2"/>
  <c r="E1428" i="2"/>
  <c r="F1428" i="2" s="1"/>
  <c r="C1428" i="2"/>
  <c r="A1428" i="2"/>
  <c r="E1427" i="2"/>
  <c r="F1427" i="2" s="1"/>
  <c r="C1427" i="2"/>
  <c r="A1427" i="2"/>
  <c r="E1426" i="2"/>
  <c r="F1426" i="2" s="1"/>
  <c r="C1426" i="2"/>
  <c r="A1426" i="2"/>
  <c r="E1425" i="2"/>
  <c r="F1425" i="2" s="1"/>
  <c r="C1425" i="2"/>
  <c r="A1425" i="2"/>
  <c r="E1424" i="2"/>
  <c r="F1424" i="2" s="1"/>
  <c r="C1424" i="2"/>
  <c r="A1424" i="2"/>
  <c r="E1423" i="2"/>
  <c r="F1423" i="2" s="1"/>
  <c r="C1423" i="2"/>
  <c r="A1423" i="2"/>
  <c r="E1422" i="2"/>
  <c r="F1422" i="2" s="1"/>
  <c r="C1422" i="2"/>
  <c r="A1422" i="2"/>
  <c r="E1421" i="2"/>
  <c r="F1421" i="2" s="1"/>
  <c r="C1421" i="2"/>
  <c r="A1421" i="2"/>
  <c r="E1420" i="2"/>
  <c r="F1420" i="2" s="1"/>
  <c r="C1420" i="2"/>
  <c r="A1420" i="2"/>
  <c r="E1419" i="2"/>
  <c r="F1419" i="2" s="1"/>
  <c r="C1419" i="2"/>
  <c r="A1419" i="2"/>
  <c r="E1418" i="2"/>
  <c r="F1418" i="2" s="1"/>
  <c r="C1418" i="2"/>
  <c r="A1418" i="2"/>
  <c r="E1417" i="2"/>
  <c r="F1417" i="2" s="1"/>
  <c r="C1417" i="2"/>
  <c r="A1417" i="2"/>
  <c r="E1416" i="2"/>
  <c r="F1416" i="2" s="1"/>
  <c r="C1416" i="2"/>
  <c r="A1416" i="2"/>
  <c r="E1415" i="2"/>
  <c r="F1415" i="2" s="1"/>
  <c r="C1415" i="2"/>
  <c r="A1415" i="2"/>
  <c r="E1414" i="2"/>
  <c r="F1414" i="2" s="1"/>
  <c r="C1414" i="2"/>
  <c r="A1414" i="2"/>
  <c r="E1413" i="2"/>
  <c r="F1413" i="2" s="1"/>
  <c r="C1413" i="2"/>
  <c r="A1413" i="2"/>
  <c r="E1412" i="2"/>
  <c r="F1412" i="2" s="1"/>
  <c r="C1412" i="2"/>
  <c r="A1412" i="2"/>
  <c r="E1411" i="2"/>
  <c r="F1411" i="2" s="1"/>
  <c r="C1411" i="2"/>
  <c r="A1411" i="2"/>
  <c r="E1410" i="2"/>
  <c r="F1410" i="2" s="1"/>
  <c r="C1410" i="2"/>
  <c r="A1410" i="2"/>
  <c r="E1409" i="2"/>
  <c r="F1409" i="2" s="1"/>
  <c r="C1409" i="2"/>
  <c r="A1409" i="2"/>
  <c r="E1408" i="2"/>
  <c r="F1408" i="2" s="1"/>
  <c r="C1408" i="2"/>
  <c r="A1408" i="2"/>
  <c r="E1407" i="2"/>
  <c r="F1407" i="2" s="1"/>
  <c r="C1407" i="2"/>
  <c r="A1407" i="2"/>
  <c r="E1406" i="2"/>
  <c r="F1406" i="2" s="1"/>
  <c r="C1406" i="2"/>
  <c r="A1406" i="2"/>
  <c r="E1405" i="2"/>
  <c r="F1405" i="2" s="1"/>
  <c r="C1405" i="2"/>
  <c r="A1405" i="2"/>
  <c r="E1404" i="2"/>
  <c r="F1404" i="2" s="1"/>
  <c r="C1404" i="2"/>
  <c r="A1404" i="2"/>
  <c r="E1403" i="2"/>
  <c r="F1403" i="2" s="1"/>
  <c r="C1403" i="2"/>
  <c r="A1403" i="2"/>
  <c r="E1402" i="2"/>
  <c r="F1402" i="2" s="1"/>
  <c r="C1402" i="2"/>
  <c r="A1402" i="2"/>
  <c r="E1401" i="2"/>
  <c r="F1401" i="2" s="1"/>
  <c r="C1401" i="2"/>
  <c r="A1401" i="2"/>
  <c r="E1400" i="2"/>
  <c r="F1400" i="2" s="1"/>
  <c r="C1400" i="2"/>
  <c r="A1400" i="2"/>
  <c r="E1399" i="2"/>
  <c r="F1399" i="2" s="1"/>
  <c r="C1399" i="2"/>
  <c r="A1399" i="2"/>
  <c r="E1398" i="2"/>
  <c r="F1398" i="2" s="1"/>
  <c r="C1398" i="2"/>
  <c r="A1398" i="2"/>
  <c r="E1397" i="2"/>
  <c r="F1397" i="2" s="1"/>
  <c r="C1397" i="2"/>
  <c r="A1397" i="2"/>
  <c r="E1396" i="2"/>
  <c r="F1396" i="2" s="1"/>
  <c r="C1396" i="2"/>
  <c r="A1396" i="2"/>
  <c r="E1395" i="2"/>
  <c r="F1395" i="2" s="1"/>
  <c r="C1395" i="2"/>
  <c r="A1395" i="2"/>
  <c r="E1394" i="2"/>
  <c r="F1394" i="2" s="1"/>
  <c r="C1394" i="2"/>
  <c r="A1394" i="2"/>
  <c r="E1393" i="2"/>
  <c r="F1393" i="2" s="1"/>
  <c r="C1393" i="2"/>
  <c r="A1393" i="2"/>
  <c r="E1392" i="2"/>
  <c r="F1392" i="2" s="1"/>
  <c r="C1392" i="2"/>
  <c r="A1392" i="2"/>
  <c r="E1391" i="2"/>
  <c r="F1391" i="2" s="1"/>
  <c r="C1391" i="2"/>
  <c r="A1391" i="2"/>
  <c r="E1390" i="2"/>
  <c r="F1390" i="2" s="1"/>
  <c r="C1390" i="2"/>
  <c r="A1390" i="2"/>
  <c r="E1389" i="2"/>
  <c r="F1389" i="2" s="1"/>
  <c r="C1389" i="2"/>
  <c r="A1389" i="2"/>
  <c r="E1388" i="2"/>
  <c r="F1388" i="2" s="1"/>
  <c r="C1388" i="2"/>
  <c r="A1388" i="2"/>
  <c r="E1387" i="2"/>
  <c r="F1387" i="2" s="1"/>
  <c r="C1387" i="2"/>
  <c r="A1387" i="2"/>
  <c r="E1386" i="2"/>
  <c r="F1386" i="2" s="1"/>
  <c r="C1386" i="2"/>
  <c r="A1386" i="2"/>
  <c r="E1385" i="2"/>
  <c r="F1385" i="2" s="1"/>
  <c r="C1385" i="2"/>
  <c r="A1385" i="2"/>
  <c r="E1384" i="2"/>
  <c r="F1384" i="2" s="1"/>
  <c r="C1384" i="2"/>
  <c r="A1384" i="2"/>
  <c r="E1383" i="2"/>
  <c r="F1383" i="2" s="1"/>
  <c r="C1383" i="2"/>
  <c r="A1383" i="2"/>
  <c r="E1382" i="2"/>
  <c r="F1382" i="2" s="1"/>
  <c r="C1382" i="2"/>
  <c r="A1382" i="2"/>
  <c r="E1381" i="2"/>
  <c r="F1381" i="2" s="1"/>
  <c r="C1381" i="2"/>
  <c r="A1381" i="2"/>
  <c r="E1380" i="2"/>
  <c r="F1380" i="2" s="1"/>
  <c r="C1380" i="2"/>
  <c r="A1380" i="2"/>
  <c r="E1379" i="2"/>
  <c r="F1379" i="2" s="1"/>
  <c r="C1379" i="2"/>
  <c r="A1379" i="2"/>
  <c r="E1378" i="2"/>
  <c r="F1378" i="2" s="1"/>
  <c r="C1378" i="2"/>
  <c r="A1378" i="2"/>
  <c r="E1377" i="2"/>
  <c r="F1377" i="2" s="1"/>
  <c r="C1377" i="2"/>
  <c r="A1377" i="2"/>
  <c r="E1376" i="2"/>
  <c r="F1376" i="2" s="1"/>
  <c r="C1376" i="2"/>
  <c r="A1376" i="2"/>
  <c r="E1375" i="2"/>
  <c r="F1375" i="2" s="1"/>
  <c r="C1375" i="2"/>
  <c r="A1375" i="2"/>
  <c r="E1374" i="2"/>
  <c r="F1374" i="2" s="1"/>
  <c r="C1374" i="2"/>
  <c r="A1374" i="2"/>
  <c r="E1373" i="2"/>
  <c r="F1373" i="2" s="1"/>
  <c r="C1373" i="2"/>
  <c r="A1373" i="2"/>
  <c r="E1372" i="2"/>
  <c r="F1372" i="2" s="1"/>
  <c r="C1372" i="2"/>
  <c r="A1372" i="2"/>
  <c r="E1371" i="2"/>
  <c r="F1371" i="2" s="1"/>
  <c r="C1371" i="2"/>
  <c r="A1371" i="2"/>
  <c r="E1370" i="2"/>
  <c r="F1370" i="2" s="1"/>
  <c r="C1370" i="2"/>
  <c r="A1370" i="2"/>
  <c r="E1369" i="2"/>
  <c r="F1369" i="2" s="1"/>
  <c r="C1369" i="2"/>
  <c r="A1369" i="2"/>
  <c r="E1368" i="2"/>
  <c r="F1368" i="2" s="1"/>
  <c r="C1368" i="2"/>
  <c r="A1368" i="2"/>
  <c r="E1367" i="2"/>
  <c r="F1367" i="2" s="1"/>
  <c r="C1367" i="2"/>
  <c r="A1367" i="2"/>
  <c r="E1366" i="2"/>
  <c r="F1366" i="2" s="1"/>
  <c r="C1366" i="2"/>
  <c r="A1366" i="2"/>
  <c r="E1365" i="2"/>
  <c r="F1365" i="2" s="1"/>
  <c r="C1365" i="2"/>
  <c r="A1365" i="2"/>
  <c r="E1364" i="2"/>
  <c r="F1364" i="2" s="1"/>
  <c r="C1364" i="2"/>
  <c r="A1364" i="2"/>
  <c r="E1363" i="2"/>
  <c r="F1363" i="2" s="1"/>
  <c r="C1363" i="2"/>
  <c r="A1363" i="2"/>
  <c r="E1362" i="2"/>
  <c r="F1362" i="2" s="1"/>
  <c r="C1362" i="2"/>
  <c r="A1362" i="2"/>
  <c r="E1361" i="2"/>
  <c r="F1361" i="2" s="1"/>
  <c r="C1361" i="2"/>
  <c r="A1361" i="2"/>
  <c r="E1360" i="2"/>
  <c r="F1360" i="2" s="1"/>
  <c r="C1360" i="2"/>
  <c r="A1360" i="2"/>
  <c r="E1359" i="2"/>
  <c r="F1359" i="2" s="1"/>
  <c r="C1359" i="2"/>
  <c r="A1359" i="2"/>
  <c r="E1358" i="2"/>
  <c r="F1358" i="2" s="1"/>
  <c r="C1358" i="2"/>
  <c r="A1358" i="2"/>
  <c r="E1357" i="2"/>
  <c r="F1357" i="2" s="1"/>
  <c r="C1357" i="2"/>
  <c r="A1357" i="2"/>
  <c r="E1356" i="2"/>
  <c r="F1356" i="2" s="1"/>
  <c r="C1356" i="2"/>
  <c r="A1356" i="2"/>
  <c r="E1355" i="2"/>
  <c r="F1355" i="2" s="1"/>
  <c r="C1355" i="2"/>
  <c r="A1355" i="2"/>
  <c r="E1354" i="2"/>
  <c r="F1354" i="2" s="1"/>
  <c r="C1354" i="2"/>
  <c r="A1354" i="2"/>
  <c r="E1353" i="2"/>
  <c r="F1353" i="2" s="1"/>
  <c r="C1353" i="2"/>
  <c r="A1353" i="2"/>
  <c r="E1352" i="2"/>
  <c r="F1352" i="2" s="1"/>
  <c r="C1352" i="2"/>
  <c r="A1352" i="2"/>
  <c r="E1351" i="2"/>
  <c r="F1351" i="2" s="1"/>
  <c r="C1351" i="2"/>
  <c r="A1351" i="2"/>
  <c r="E1350" i="2"/>
  <c r="F1350" i="2" s="1"/>
  <c r="C1350" i="2"/>
  <c r="A1350" i="2"/>
  <c r="E1349" i="2"/>
  <c r="F1349" i="2" s="1"/>
  <c r="C1349" i="2"/>
  <c r="A1349" i="2"/>
  <c r="E1348" i="2"/>
  <c r="F1348" i="2" s="1"/>
  <c r="C1348" i="2"/>
  <c r="A1348" i="2"/>
  <c r="E1347" i="2"/>
  <c r="F1347" i="2" s="1"/>
  <c r="C1347" i="2"/>
  <c r="A1347" i="2"/>
  <c r="E1346" i="2"/>
  <c r="F1346" i="2" s="1"/>
  <c r="C1346" i="2"/>
  <c r="A1346" i="2"/>
  <c r="E1345" i="2"/>
  <c r="F1345" i="2" s="1"/>
  <c r="C1345" i="2"/>
  <c r="A1345" i="2"/>
  <c r="E1344" i="2"/>
  <c r="F1344" i="2" s="1"/>
  <c r="C1344" i="2"/>
  <c r="A1344" i="2"/>
  <c r="E1343" i="2"/>
  <c r="F1343" i="2" s="1"/>
  <c r="C1343" i="2"/>
  <c r="A1343" i="2"/>
  <c r="E1342" i="2"/>
  <c r="F1342" i="2" s="1"/>
  <c r="C1342" i="2"/>
  <c r="A1342" i="2"/>
  <c r="E1341" i="2"/>
  <c r="F1341" i="2" s="1"/>
  <c r="C1341" i="2"/>
  <c r="A1341" i="2"/>
  <c r="E1340" i="2"/>
  <c r="F1340" i="2" s="1"/>
  <c r="C1340" i="2"/>
  <c r="A1340" i="2"/>
  <c r="E1339" i="2"/>
  <c r="F1339" i="2" s="1"/>
  <c r="C1339" i="2"/>
  <c r="A1339" i="2"/>
  <c r="E1338" i="2"/>
  <c r="F1338" i="2" s="1"/>
  <c r="C1338" i="2"/>
  <c r="A1338" i="2"/>
  <c r="E1337" i="2"/>
  <c r="F1337" i="2" s="1"/>
  <c r="C1337" i="2"/>
  <c r="A1337" i="2"/>
  <c r="E1336" i="2"/>
  <c r="F1336" i="2" s="1"/>
  <c r="C1336" i="2"/>
  <c r="A1336" i="2"/>
  <c r="E1335" i="2"/>
  <c r="F1335" i="2" s="1"/>
  <c r="C1335" i="2"/>
  <c r="A1335" i="2"/>
  <c r="E1334" i="2"/>
  <c r="F1334" i="2" s="1"/>
  <c r="C1334" i="2"/>
  <c r="A1334" i="2"/>
  <c r="E1333" i="2"/>
  <c r="F1333" i="2" s="1"/>
  <c r="C1333" i="2"/>
  <c r="A1333" i="2"/>
  <c r="E1332" i="2"/>
  <c r="F1332" i="2" s="1"/>
  <c r="C1332" i="2"/>
  <c r="A1332" i="2"/>
  <c r="E1331" i="2"/>
  <c r="F1331" i="2" s="1"/>
  <c r="C1331" i="2"/>
  <c r="A1331" i="2"/>
  <c r="E1330" i="2"/>
  <c r="F1330" i="2" s="1"/>
  <c r="C1330" i="2"/>
  <c r="A1330" i="2"/>
  <c r="E1329" i="2"/>
  <c r="F1329" i="2" s="1"/>
  <c r="C1329" i="2"/>
  <c r="A1329" i="2"/>
  <c r="E1328" i="2"/>
  <c r="F1328" i="2" s="1"/>
  <c r="C1328" i="2"/>
  <c r="A1328" i="2"/>
  <c r="E1327" i="2"/>
  <c r="F1327" i="2" s="1"/>
  <c r="C1327" i="2"/>
  <c r="A1327" i="2"/>
  <c r="E1326" i="2"/>
  <c r="F1326" i="2" s="1"/>
  <c r="C1326" i="2"/>
  <c r="A1326" i="2"/>
  <c r="E1325" i="2"/>
  <c r="F1325" i="2" s="1"/>
  <c r="C1325" i="2"/>
  <c r="A1325" i="2"/>
  <c r="E1324" i="2"/>
  <c r="F1324" i="2" s="1"/>
  <c r="C1324" i="2"/>
  <c r="A1324" i="2"/>
  <c r="E1323" i="2"/>
  <c r="F1323" i="2" s="1"/>
  <c r="C1323" i="2"/>
  <c r="A1323" i="2"/>
  <c r="E1322" i="2"/>
  <c r="F1322" i="2" s="1"/>
  <c r="C1322" i="2"/>
  <c r="A1322" i="2"/>
  <c r="E1321" i="2"/>
  <c r="F1321" i="2" s="1"/>
  <c r="C1321" i="2"/>
  <c r="A1321" i="2"/>
  <c r="E1320" i="2"/>
  <c r="F1320" i="2" s="1"/>
  <c r="C1320" i="2"/>
  <c r="A1320" i="2"/>
  <c r="E1319" i="2"/>
  <c r="F1319" i="2" s="1"/>
  <c r="C1319" i="2"/>
  <c r="A1319" i="2"/>
  <c r="E1318" i="2"/>
  <c r="F1318" i="2" s="1"/>
  <c r="C1318" i="2"/>
  <c r="A1318" i="2"/>
  <c r="E1317" i="2"/>
  <c r="F1317" i="2" s="1"/>
  <c r="C1317" i="2"/>
  <c r="A1317" i="2"/>
  <c r="E1316" i="2"/>
  <c r="F1316" i="2" s="1"/>
  <c r="C1316" i="2"/>
  <c r="A1316" i="2"/>
  <c r="E1315" i="2"/>
  <c r="F1315" i="2" s="1"/>
  <c r="C1315" i="2"/>
  <c r="A1315" i="2"/>
  <c r="E1314" i="2"/>
  <c r="F1314" i="2" s="1"/>
  <c r="C1314" i="2"/>
  <c r="A1314" i="2"/>
  <c r="E1313" i="2"/>
  <c r="F1313" i="2" s="1"/>
  <c r="C1313" i="2"/>
  <c r="A1313" i="2"/>
  <c r="E1312" i="2"/>
  <c r="F1312" i="2" s="1"/>
  <c r="C1312" i="2"/>
  <c r="A1312" i="2"/>
  <c r="E1311" i="2"/>
  <c r="F1311" i="2" s="1"/>
  <c r="C1311" i="2"/>
  <c r="A1311" i="2"/>
  <c r="E1310" i="2"/>
  <c r="F1310" i="2" s="1"/>
  <c r="C1310" i="2"/>
  <c r="A1310" i="2"/>
  <c r="E1309" i="2"/>
  <c r="F1309" i="2" s="1"/>
  <c r="C1309" i="2"/>
  <c r="A1309" i="2"/>
  <c r="E1308" i="2"/>
  <c r="F1308" i="2" s="1"/>
  <c r="C1308" i="2"/>
  <c r="A1308" i="2"/>
  <c r="E1307" i="2"/>
  <c r="F1307" i="2" s="1"/>
  <c r="C1307" i="2"/>
  <c r="A1307" i="2"/>
  <c r="E1306" i="2"/>
  <c r="F1306" i="2" s="1"/>
  <c r="C1306" i="2"/>
  <c r="A1306" i="2"/>
  <c r="E1305" i="2"/>
  <c r="F1305" i="2" s="1"/>
  <c r="C1305" i="2"/>
  <c r="A1305" i="2"/>
  <c r="E1304" i="2"/>
  <c r="F1304" i="2" s="1"/>
  <c r="C1304" i="2"/>
  <c r="A1304" i="2"/>
  <c r="E1303" i="2"/>
  <c r="F1303" i="2" s="1"/>
  <c r="C1303" i="2"/>
  <c r="A1303" i="2"/>
  <c r="E1302" i="2"/>
  <c r="F1302" i="2" s="1"/>
  <c r="C1302" i="2"/>
  <c r="A1302" i="2"/>
  <c r="E1301" i="2"/>
  <c r="F1301" i="2" s="1"/>
  <c r="C1301" i="2"/>
  <c r="A1301" i="2"/>
  <c r="E1300" i="2"/>
  <c r="F1300" i="2" s="1"/>
  <c r="C1300" i="2"/>
  <c r="A1300" i="2"/>
  <c r="E1299" i="2"/>
  <c r="F1299" i="2" s="1"/>
  <c r="C1299" i="2"/>
  <c r="A1299" i="2"/>
  <c r="E1298" i="2"/>
  <c r="F1298" i="2" s="1"/>
  <c r="C1298" i="2"/>
  <c r="A1298" i="2"/>
  <c r="E1297" i="2"/>
  <c r="F1297" i="2" s="1"/>
  <c r="C1297" i="2"/>
  <c r="A1297" i="2"/>
  <c r="E1296" i="2"/>
  <c r="F1296" i="2" s="1"/>
  <c r="C1296" i="2"/>
  <c r="A1296" i="2"/>
  <c r="E1295" i="2"/>
  <c r="F1295" i="2" s="1"/>
  <c r="C1295" i="2"/>
  <c r="A1295" i="2"/>
  <c r="E1294" i="2"/>
  <c r="F1294" i="2" s="1"/>
  <c r="C1294" i="2"/>
  <c r="A1294" i="2"/>
  <c r="E1293" i="2"/>
  <c r="F1293" i="2" s="1"/>
  <c r="C1293" i="2"/>
  <c r="A1293" i="2"/>
  <c r="E1292" i="2"/>
  <c r="F1292" i="2" s="1"/>
  <c r="C1292" i="2"/>
  <c r="A1292" i="2"/>
  <c r="E1291" i="2"/>
  <c r="F1291" i="2" s="1"/>
  <c r="C1291" i="2"/>
  <c r="A1291" i="2"/>
  <c r="E1290" i="2"/>
  <c r="F1290" i="2" s="1"/>
  <c r="C1290" i="2"/>
  <c r="A1290" i="2"/>
  <c r="E1289" i="2"/>
  <c r="F1289" i="2" s="1"/>
  <c r="C1289" i="2"/>
  <c r="A1289" i="2"/>
  <c r="E1288" i="2"/>
  <c r="F1288" i="2" s="1"/>
  <c r="C1288" i="2"/>
  <c r="A1288" i="2"/>
  <c r="E1287" i="2"/>
  <c r="F1287" i="2" s="1"/>
  <c r="C1287" i="2"/>
  <c r="A1287" i="2"/>
  <c r="E1286" i="2"/>
  <c r="F1286" i="2" s="1"/>
  <c r="C1286" i="2"/>
  <c r="A1286" i="2"/>
  <c r="E1285" i="2"/>
  <c r="F1285" i="2" s="1"/>
  <c r="C1285" i="2"/>
  <c r="A1285" i="2"/>
  <c r="E1284" i="2"/>
  <c r="F1284" i="2" s="1"/>
  <c r="C1284" i="2"/>
  <c r="A1284" i="2"/>
  <c r="E1283" i="2"/>
  <c r="F1283" i="2" s="1"/>
  <c r="C1283" i="2"/>
  <c r="A1283" i="2"/>
  <c r="E1282" i="2"/>
  <c r="F1282" i="2" s="1"/>
  <c r="C1282" i="2"/>
  <c r="A1282" i="2"/>
  <c r="E1281" i="2"/>
  <c r="F1281" i="2" s="1"/>
  <c r="C1281" i="2"/>
  <c r="A1281" i="2"/>
  <c r="E1280" i="2"/>
  <c r="F1280" i="2" s="1"/>
  <c r="C1280" i="2"/>
  <c r="A1280" i="2"/>
  <c r="E1279" i="2"/>
  <c r="F1279" i="2" s="1"/>
  <c r="C1279" i="2"/>
  <c r="A1279" i="2"/>
  <c r="E1278" i="2"/>
  <c r="F1278" i="2" s="1"/>
  <c r="C1278" i="2"/>
  <c r="A1278" i="2"/>
  <c r="E1277" i="2"/>
  <c r="F1277" i="2" s="1"/>
  <c r="C1277" i="2"/>
  <c r="A1277" i="2"/>
  <c r="E1276" i="2"/>
  <c r="F1276" i="2" s="1"/>
  <c r="C1276" i="2"/>
  <c r="A1276" i="2"/>
  <c r="E1275" i="2"/>
  <c r="F1275" i="2" s="1"/>
  <c r="C1275" i="2"/>
  <c r="A1275" i="2"/>
  <c r="E1274" i="2"/>
  <c r="F1274" i="2" s="1"/>
  <c r="C1274" i="2"/>
  <c r="A1274" i="2"/>
  <c r="E1273" i="2"/>
  <c r="F1273" i="2" s="1"/>
  <c r="C1273" i="2"/>
  <c r="A1273" i="2"/>
  <c r="E1272" i="2"/>
  <c r="F1272" i="2" s="1"/>
  <c r="C1272" i="2"/>
  <c r="A1272" i="2"/>
  <c r="E1271" i="2"/>
  <c r="F1271" i="2" s="1"/>
  <c r="C1271" i="2"/>
  <c r="A1271" i="2"/>
  <c r="E1270" i="2"/>
  <c r="F1270" i="2" s="1"/>
  <c r="C1270" i="2"/>
  <c r="A1270" i="2"/>
  <c r="E1269" i="2"/>
  <c r="F1269" i="2" s="1"/>
  <c r="C1269" i="2"/>
  <c r="A1269" i="2"/>
  <c r="E1268" i="2"/>
  <c r="F1268" i="2" s="1"/>
  <c r="C1268" i="2"/>
  <c r="A1268" i="2"/>
  <c r="E1267" i="2"/>
  <c r="F1267" i="2" s="1"/>
  <c r="C1267" i="2"/>
  <c r="A1267" i="2"/>
  <c r="E1266" i="2"/>
  <c r="F1266" i="2" s="1"/>
  <c r="C1266" i="2"/>
  <c r="A1266" i="2"/>
  <c r="E1265" i="2"/>
  <c r="F1265" i="2" s="1"/>
  <c r="C1265" i="2"/>
  <c r="A1265" i="2"/>
  <c r="E1264" i="2"/>
  <c r="F1264" i="2" s="1"/>
  <c r="C1264" i="2"/>
  <c r="A1264" i="2"/>
  <c r="E1263" i="2"/>
  <c r="F1263" i="2" s="1"/>
  <c r="C1263" i="2"/>
  <c r="A1263" i="2"/>
  <c r="E1262" i="2"/>
  <c r="F1262" i="2" s="1"/>
  <c r="C1262" i="2"/>
  <c r="A1262" i="2"/>
  <c r="E1261" i="2"/>
  <c r="F1261" i="2" s="1"/>
  <c r="C1261" i="2"/>
  <c r="A1261" i="2"/>
  <c r="E1260" i="2"/>
  <c r="F1260" i="2" s="1"/>
  <c r="C1260" i="2"/>
  <c r="A1260" i="2"/>
  <c r="E1259" i="2"/>
  <c r="F1259" i="2" s="1"/>
  <c r="C1259" i="2"/>
  <c r="A1259" i="2"/>
  <c r="E1258" i="2"/>
  <c r="F1258" i="2" s="1"/>
  <c r="C1258" i="2"/>
  <c r="A1258" i="2"/>
  <c r="E1257" i="2"/>
  <c r="F1257" i="2" s="1"/>
  <c r="C1257" i="2"/>
  <c r="A1257" i="2"/>
  <c r="E1256" i="2"/>
  <c r="F1256" i="2" s="1"/>
  <c r="C1256" i="2"/>
  <c r="A1256" i="2"/>
  <c r="E1255" i="2"/>
  <c r="F1255" i="2" s="1"/>
  <c r="C1255" i="2"/>
  <c r="A1255" i="2"/>
  <c r="E1254" i="2"/>
  <c r="F1254" i="2" s="1"/>
  <c r="C1254" i="2"/>
  <c r="A1254" i="2"/>
  <c r="E1253" i="2"/>
  <c r="F1253" i="2" s="1"/>
  <c r="C1253" i="2"/>
  <c r="A1253" i="2"/>
  <c r="E1252" i="2"/>
  <c r="F1252" i="2" s="1"/>
  <c r="C1252" i="2"/>
  <c r="A1252" i="2"/>
  <c r="E1251" i="2"/>
  <c r="F1251" i="2" s="1"/>
  <c r="C1251" i="2"/>
  <c r="A1251" i="2"/>
  <c r="E1250" i="2"/>
  <c r="F1250" i="2" s="1"/>
  <c r="C1250" i="2"/>
  <c r="A1250" i="2"/>
  <c r="E1249" i="2"/>
  <c r="F1249" i="2" s="1"/>
  <c r="C1249" i="2"/>
  <c r="A1249" i="2"/>
  <c r="E1248" i="2"/>
  <c r="F1248" i="2" s="1"/>
  <c r="C1248" i="2"/>
  <c r="A1248" i="2"/>
  <c r="E1247" i="2"/>
  <c r="F1247" i="2" s="1"/>
  <c r="C1247" i="2"/>
  <c r="A1247" i="2"/>
  <c r="E1246" i="2"/>
  <c r="F1246" i="2" s="1"/>
  <c r="C1246" i="2"/>
  <c r="A1246" i="2"/>
  <c r="E1245" i="2"/>
  <c r="F1245" i="2" s="1"/>
  <c r="C1245" i="2"/>
  <c r="A1245" i="2"/>
  <c r="E1244" i="2"/>
  <c r="F1244" i="2" s="1"/>
  <c r="C1244" i="2"/>
  <c r="A1244" i="2"/>
  <c r="E1243" i="2"/>
  <c r="F1243" i="2" s="1"/>
  <c r="C1243" i="2"/>
  <c r="A1243" i="2"/>
  <c r="E1242" i="2"/>
  <c r="F1242" i="2" s="1"/>
  <c r="C1242" i="2"/>
  <c r="A1242" i="2"/>
  <c r="E1241" i="2"/>
  <c r="F1241" i="2" s="1"/>
  <c r="C1241" i="2"/>
  <c r="A1241" i="2"/>
  <c r="E1240" i="2"/>
  <c r="F1240" i="2" s="1"/>
  <c r="C1240" i="2"/>
  <c r="A1240" i="2"/>
  <c r="E1239" i="2"/>
  <c r="F1239" i="2" s="1"/>
  <c r="C1239" i="2"/>
  <c r="A1239" i="2"/>
  <c r="E1238" i="2"/>
  <c r="F1238" i="2" s="1"/>
  <c r="C1238" i="2"/>
  <c r="A1238" i="2"/>
  <c r="E1237" i="2"/>
  <c r="F1237" i="2" s="1"/>
  <c r="C1237" i="2"/>
  <c r="A1237" i="2"/>
  <c r="E1236" i="2"/>
  <c r="F1236" i="2" s="1"/>
  <c r="C1236" i="2"/>
  <c r="A1236" i="2"/>
  <c r="E1235" i="2"/>
  <c r="F1235" i="2" s="1"/>
  <c r="C1235" i="2"/>
  <c r="A1235" i="2"/>
  <c r="E1234" i="2"/>
  <c r="F1234" i="2" s="1"/>
  <c r="C1234" i="2"/>
  <c r="A1234" i="2"/>
  <c r="E1233" i="2"/>
  <c r="F1233" i="2" s="1"/>
  <c r="C1233" i="2"/>
  <c r="A1233" i="2"/>
  <c r="E1232" i="2"/>
  <c r="F1232" i="2" s="1"/>
  <c r="C1232" i="2"/>
  <c r="A1232" i="2"/>
  <c r="E1231" i="2"/>
  <c r="F1231" i="2" s="1"/>
  <c r="C1231" i="2"/>
  <c r="A1231" i="2"/>
  <c r="E1230" i="2"/>
  <c r="F1230" i="2" s="1"/>
  <c r="C1230" i="2"/>
  <c r="A1230" i="2"/>
  <c r="E1229" i="2"/>
  <c r="F1229" i="2" s="1"/>
  <c r="C1229" i="2"/>
  <c r="A1229" i="2"/>
  <c r="E1228" i="2"/>
  <c r="F1228" i="2" s="1"/>
  <c r="C1228" i="2"/>
  <c r="A1228" i="2"/>
  <c r="E1227" i="2"/>
  <c r="F1227" i="2" s="1"/>
  <c r="C1227" i="2"/>
  <c r="A1227" i="2"/>
  <c r="E1226" i="2"/>
  <c r="F1226" i="2" s="1"/>
  <c r="C1226" i="2"/>
  <c r="A1226" i="2"/>
  <c r="E1225" i="2"/>
  <c r="F1225" i="2" s="1"/>
  <c r="C1225" i="2"/>
  <c r="A1225" i="2"/>
  <c r="E1224" i="2"/>
  <c r="F1224" i="2" s="1"/>
  <c r="C1224" i="2"/>
  <c r="A1224" i="2"/>
  <c r="E1223" i="2"/>
  <c r="F1223" i="2" s="1"/>
  <c r="C1223" i="2"/>
  <c r="A1223" i="2"/>
  <c r="E1222" i="2"/>
  <c r="F1222" i="2" s="1"/>
  <c r="C1222" i="2"/>
  <c r="A1222" i="2"/>
  <c r="E1221" i="2"/>
  <c r="F1221" i="2" s="1"/>
  <c r="C1221" i="2"/>
  <c r="A1221" i="2"/>
  <c r="E1220" i="2"/>
  <c r="F1220" i="2" s="1"/>
  <c r="C1220" i="2"/>
  <c r="A1220" i="2"/>
  <c r="E1219" i="2"/>
  <c r="F1219" i="2" s="1"/>
  <c r="C1219" i="2"/>
  <c r="A1219" i="2"/>
  <c r="E1218" i="2"/>
  <c r="F1218" i="2" s="1"/>
  <c r="C1218" i="2"/>
  <c r="A1218" i="2"/>
  <c r="E1217" i="2"/>
  <c r="F1217" i="2" s="1"/>
  <c r="C1217" i="2"/>
  <c r="A1217" i="2"/>
  <c r="E1216" i="2"/>
  <c r="F1216" i="2" s="1"/>
  <c r="C1216" i="2"/>
  <c r="A1216" i="2"/>
  <c r="E1215" i="2"/>
  <c r="F1215" i="2" s="1"/>
  <c r="C1215" i="2"/>
  <c r="A1215" i="2"/>
  <c r="E1214" i="2"/>
  <c r="F1214" i="2" s="1"/>
  <c r="C1214" i="2"/>
  <c r="A1214" i="2"/>
  <c r="E1213" i="2"/>
  <c r="F1213" i="2" s="1"/>
  <c r="C1213" i="2"/>
  <c r="A1213" i="2"/>
  <c r="E1212" i="2"/>
  <c r="F1212" i="2" s="1"/>
  <c r="C1212" i="2"/>
  <c r="A1212" i="2"/>
  <c r="E1211" i="2"/>
  <c r="F1211" i="2" s="1"/>
  <c r="C1211" i="2"/>
  <c r="A1211" i="2"/>
  <c r="E1210" i="2"/>
  <c r="F1210" i="2" s="1"/>
  <c r="C1210" i="2"/>
  <c r="A1210" i="2"/>
  <c r="E1209" i="2"/>
  <c r="F1209" i="2" s="1"/>
  <c r="C1209" i="2"/>
  <c r="A1209" i="2"/>
  <c r="E1208" i="2"/>
  <c r="F1208" i="2" s="1"/>
  <c r="C1208" i="2"/>
  <c r="A1208" i="2"/>
  <c r="E1207" i="2"/>
  <c r="F1207" i="2" s="1"/>
  <c r="C1207" i="2"/>
  <c r="A1207" i="2"/>
  <c r="E1206" i="2"/>
  <c r="F1206" i="2" s="1"/>
  <c r="C1206" i="2"/>
  <c r="A1206" i="2"/>
  <c r="E1205" i="2"/>
  <c r="F1205" i="2" s="1"/>
  <c r="C1205" i="2"/>
  <c r="A1205" i="2"/>
  <c r="E1204" i="2"/>
  <c r="F1204" i="2" s="1"/>
  <c r="C1204" i="2"/>
  <c r="A1204" i="2"/>
  <c r="E1203" i="2"/>
  <c r="F1203" i="2" s="1"/>
  <c r="C1203" i="2"/>
  <c r="A1203" i="2"/>
  <c r="E1202" i="2"/>
  <c r="F1202" i="2" s="1"/>
  <c r="C1202" i="2"/>
  <c r="A1202" i="2"/>
  <c r="E1201" i="2"/>
  <c r="F1201" i="2" s="1"/>
  <c r="C1201" i="2"/>
  <c r="A1201" i="2"/>
  <c r="E1200" i="2"/>
  <c r="F1200" i="2" s="1"/>
  <c r="C1200" i="2"/>
  <c r="A1200" i="2"/>
  <c r="E1199" i="2"/>
  <c r="F1199" i="2" s="1"/>
  <c r="C1199" i="2"/>
  <c r="A1199" i="2"/>
  <c r="E1198" i="2"/>
  <c r="F1198" i="2" s="1"/>
  <c r="C1198" i="2"/>
  <c r="A1198" i="2"/>
  <c r="E1197" i="2"/>
  <c r="F1197" i="2" s="1"/>
  <c r="C1197" i="2"/>
  <c r="A1197" i="2"/>
  <c r="E1196" i="2"/>
  <c r="F1196" i="2" s="1"/>
  <c r="C1196" i="2"/>
  <c r="A1196" i="2"/>
  <c r="E1195" i="2"/>
  <c r="F1195" i="2" s="1"/>
  <c r="C1195" i="2"/>
  <c r="A1195" i="2"/>
  <c r="E1194" i="2"/>
  <c r="F1194" i="2" s="1"/>
  <c r="C1194" i="2"/>
  <c r="A1194" i="2"/>
  <c r="E1193" i="2"/>
  <c r="F1193" i="2" s="1"/>
  <c r="C1193" i="2"/>
  <c r="A1193" i="2"/>
  <c r="E1192" i="2"/>
  <c r="F1192" i="2" s="1"/>
  <c r="C1192" i="2"/>
  <c r="A1192" i="2"/>
  <c r="E1191" i="2"/>
  <c r="F1191" i="2" s="1"/>
  <c r="C1191" i="2"/>
  <c r="A1191" i="2"/>
  <c r="E1190" i="2"/>
  <c r="F1190" i="2" s="1"/>
  <c r="C1190" i="2"/>
  <c r="A1190" i="2"/>
  <c r="E1189" i="2"/>
  <c r="F1189" i="2" s="1"/>
  <c r="C1189" i="2"/>
  <c r="A1189" i="2"/>
  <c r="E1188" i="2"/>
  <c r="F1188" i="2" s="1"/>
  <c r="C1188" i="2"/>
  <c r="A1188" i="2"/>
  <c r="E1187" i="2"/>
  <c r="F1187" i="2" s="1"/>
  <c r="C1187" i="2"/>
  <c r="A1187" i="2"/>
  <c r="E1186" i="2"/>
  <c r="F1186" i="2" s="1"/>
  <c r="C1186" i="2"/>
  <c r="A1186" i="2"/>
  <c r="E1185" i="2"/>
  <c r="F1185" i="2" s="1"/>
  <c r="C1185" i="2"/>
  <c r="A1185" i="2"/>
  <c r="E1184" i="2"/>
  <c r="F1184" i="2" s="1"/>
  <c r="C1184" i="2"/>
  <c r="A1184" i="2"/>
  <c r="E1183" i="2"/>
  <c r="F1183" i="2" s="1"/>
  <c r="C1183" i="2"/>
  <c r="A1183" i="2"/>
  <c r="E1182" i="2"/>
  <c r="F1182" i="2" s="1"/>
  <c r="C1182" i="2"/>
  <c r="A1182" i="2"/>
  <c r="E1181" i="2"/>
  <c r="F1181" i="2" s="1"/>
  <c r="C1181" i="2"/>
  <c r="A1181" i="2"/>
  <c r="E1180" i="2"/>
  <c r="F1180" i="2" s="1"/>
  <c r="C1180" i="2"/>
  <c r="A1180" i="2"/>
  <c r="E1179" i="2"/>
  <c r="F1179" i="2" s="1"/>
  <c r="C1179" i="2"/>
  <c r="A1179" i="2"/>
  <c r="E1178" i="2"/>
  <c r="F1178" i="2" s="1"/>
  <c r="C1178" i="2"/>
  <c r="A1178" i="2"/>
  <c r="E1177" i="2"/>
  <c r="F1177" i="2" s="1"/>
  <c r="C1177" i="2"/>
  <c r="A1177" i="2"/>
  <c r="E1176" i="2"/>
  <c r="F1176" i="2" s="1"/>
  <c r="C1176" i="2"/>
  <c r="A1176" i="2"/>
  <c r="E1175" i="2"/>
  <c r="F1175" i="2" s="1"/>
  <c r="C1175" i="2"/>
  <c r="A1175" i="2"/>
  <c r="E1174" i="2"/>
  <c r="F1174" i="2" s="1"/>
  <c r="C1174" i="2"/>
  <c r="A1174" i="2"/>
  <c r="E1173" i="2"/>
  <c r="F1173" i="2" s="1"/>
  <c r="C1173" i="2"/>
  <c r="A1173" i="2"/>
  <c r="E1172" i="2"/>
  <c r="F1172" i="2" s="1"/>
  <c r="C1172" i="2"/>
  <c r="A1172" i="2"/>
  <c r="E1171" i="2"/>
  <c r="F1171" i="2" s="1"/>
  <c r="C1171" i="2"/>
  <c r="A1171" i="2"/>
  <c r="E1170" i="2"/>
  <c r="F1170" i="2" s="1"/>
  <c r="C1170" i="2"/>
  <c r="A1170" i="2"/>
  <c r="E1169" i="2"/>
  <c r="F1169" i="2" s="1"/>
  <c r="C1169" i="2"/>
  <c r="A1169" i="2"/>
  <c r="E1168" i="2"/>
  <c r="F1168" i="2" s="1"/>
  <c r="C1168" i="2"/>
  <c r="A1168" i="2"/>
  <c r="E1167" i="2"/>
  <c r="F1167" i="2" s="1"/>
  <c r="C1167" i="2"/>
  <c r="A1167" i="2"/>
  <c r="E1166" i="2"/>
  <c r="F1166" i="2" s="1"/>
  <c r="C1166" i="2"/>
  <c r="A1166" i="2"/>
  <c r="E1165" i="2"/>
  <c r="F1165" i="2" s="1"/>
  <c r="C1165" i="2"/>
  <c r="A1165" i="2"/>
  <c r="E1164" i="2"/>
  <c r="F1164" i="2" s="1"/>
  <c r="C1164" i="2"/>
  <c r="A1164" i="2"/>
  <c r="E1163" i="2"/>
  <c r="F1163" i="2" s="1"/>
  <c r="C1163" i="2"/>
  <c r="A1163" i="2"/>
  <c r="E1162" i="2"/>
  <c r="F1162" i="2" s="1"/>
  <c r="C1162" i="2"/>
  <c r="A1162" i="2"/>
  <c r="E1161" i="2"/>
  <c r="F1161" i="2" s="1"/>
  <c r="C1161" i="2"/>
  <c r="A1161" i="2"/>
  <c r="E1160" i="2"/>
  <c r="F1160" i="2" s="1"/>
  <c r="C1160" i="2"/>
  <c r="A1160" i="2"/>
  <c r="E1159" i="2"/>
  <c r="F1159" i="2" s="1"/>
  <c r="C1159" i="2"/>
  <c r="A1159" i="2"/>
  <c r="E1158" i="2"/>
  <c r="F1158" i="2" s="1"/>
  <c r="C1158" i="2"/>
  <c r="A1158" i="2"/>
  <c r="E1157" i="2"/>
  <c r="F1157" i="2" s="1"/>
  <c r="C1157" i="2"/>
  <c r="A1157" i="2"/>
  <c r="E1156" i="2"/>
  <c r="F1156" i="2" s="1"/>
  <c r="C1156" i="2"/>
  <c r="A1156" i="2"/>
  <c r="E1155" i="2"/>
  <c r="F1155" i="2" s="1"/>
  <c r="C1155" i="2"/>
  <c r="A1155" i="2"/>
  <c r="E1154" i="2"/>
  <c r="F1154" i="2" s="1"/>
  <c r="C1154" i="2"/>
  <c r="A1154" i="2"/>
  <c r="E1153" i="2"/>
  <c r="F1153" i="2" s="1"/>
  <c r="C1153" i="2"/>
  <c r="A1153" i="2"/>
  <c r="E1152" i="2"/>
  <c r="F1152" i="2" s="1"/>
  <c r="C1152" i="2"/>
  <c r="A1152" i="2"/>
  <c r="E1151" i="2"/>
  <c r="F1151" i="2" s="1"/>
  <c r="C1151" i="2"/>
  <c r="A1151" i="2"/>
  <c r="E1150" i="2"/>
  <c r="F1150" i="2" s="1"/>
  <c r="C1150" i="2"/>
  <c r="A1150" i="2"/>
  <c r="E1149" i="2"/>
  <c r="F1149" i="2" s="1"/>
  <c r="C1149" i="2"/>
  <c r="A1149" i="2"/>
  <c r="E1148" i="2"/>
  <c r="F1148" i="2" s="1"/>
  <c r="C1148" i="2"/>
  <c r="A1148" i="2"/>
  <c r="E1147" i="2"/>
  <c r="F1147" i="2" s="1"/>
  <c r="C1147" i="2"/>
  <c r="A1147" i="2"/>
  <c r="E1146" i="2"/>
  <c r="F1146" i="2" s="1"/>
  <c r="C1146" i="2"/>
  <c r="A1146" i="2"/>
  <c r="E1145" i="2"/>
  <c r="F1145" i="2" s="1"/>
  <c r="C1145" i="2"/>
  <c r="A1145" i="2"/>
  <c r="E1144" i="2"/>
  <c r="F1144" i="2" s="1"/>
  <c r="C1144" i="2"/>
  <c r="A1144" i="2"/>
  <c r="E1143" i="2"/>
  <c r="F1143" i="2" s="1"/>
  <c r="C1143" i="2"/>
  <c r="A1143" i="2"/>
  <c r="E1142" i="2"/>
  <c r="F1142" i="2" s="1"/>
  <c r="C1142" i="2"/>
  <c r="A1142" i="2"/>
  <c r="E1141" i="2"/>
  <c r="F1141" i="2" s="1"/>
  <c r="C1141" i="2"/>
  <c r="A1141" i="2"/>
  <c r="E1140" i="2"/>
  <c r="F1140" i="2" s="1"/>
  <c r="C1140" i="2"/>
  <c r="A1140" i="2"/>
  <c r="E1139" i="2"/>
  <c r="F1139" i="2" s="1"/>
  <c r="C1139" i="2"/>
  <c r="A1139" i="2"/>
  <c r="E1138" i="2"/>
  <c r="F1138" i="2" s="1"/>
  <c r="C1138" i="2"/>
  <c r="A1138" i="2"/>
  <c r="E1137" i="2"/>
  <c r="F1137" i="2" s="1"/>
  <c r="C1137" i="2"/>
  <c r="A1137" i="2"/>
  <c r="E1136" i="2"/>
  <c r="F1136" i="2" s="1"/>
  <c r="C1136" i="2"/>
  <c r="A1136" i="2"/>
  <c r="E1135" i="2"/>
  <c r="F1135" i="2" s="1"/>
  <c r="C1135" i="2"/>
  <c r="A1135" i="2"/>
  <c r="E1134" i="2"/>
  <c r="F1134" i="2" s="1"/>
  <c r="C1134" i="2"/>
  <c r="A1134" i="2"/>
  <c r="E1133" i="2"/>
  <c r="F1133" i="2" s="1"/>
  <c r="C1133" i="2"/>
  <c r="A1133" i="2"/>
  <c r="E1132" i="2"/>
  <c r="F1132" i="2" s="1"/>
  <c r="C1132" i="2"/>
  <c r="A1132" i="2"/>
  <c r="E1131" i="2"/>
  <c r="F1131" i="2" s="1"/>
  <c r="C1131" i="2"/>
  <c r="A1131" i="2"/>
  <c r="E1130" i="2"/>
  <c r="F1130" i="2" s="1"/>
  <c r="C1130" i="2"/>
  <c r="A1130" i="2"/>
  <c r="E1129" i="2"/>
  <c r="F1129" i="2" s="1"/>
  <c r="C1129" i="2"/>
  <c r="A1129" i="2"/>
  <c r="E1128" i="2"/>
  <c r="F1128" i="2" s="1"/>
  <c r="C1128" i="2"/>
  <c r="A1128" i="2"/>
  <c r="E1127" i="2"/>
  <c r="F1127" i="2" s="1"/>
  <c r="C1127" i="2"/>
  <c r="A1127" i="2"/>
  <c r="E1126" i="2"/>
  <c r="F1126" i="2" s="1"/>
  <c r="C1126" i="2"/>
  <c r="A1126" i="2"/>
  <c r="E1125" i="2"/>
  <c r="F1125" i="2" s="1"/>
  <c r="C1125" i="2"/>
  <c r="A1125" i="2"/>
  <c r="E1124" i="2"/>
  <c r="F1124" i="2" s="1"/>
  <c r="C1124" i="2"/>
  <c r="A1124" i="2"/>
  <c r="E1123" i="2"/>
  <c r="F1123" i="2" s="1"/>
  <c r="C1123" i="2"/>
  <c r="A1123" i="2"/>
  <c r="E1122" i="2"/>
  <c r="F1122" i="2" s="1"/>
  <c r="C1122" i="2"/>
  <c r="A1122" i="2"/>
  <c r="E1121" i="2"/>
  <c r="F1121" i="2" s="1"/>
  <c r="C1121" i="2"/>
  <c r="A1121" i="2"/>
  <c r="E1120" i="2"/>
  <c r="F1120" i="2" s="1"/>
  <c r="C1120" i="2"/>
  <c r="A1120" i="2"/>
  <c r="E1119" i="2"/>
  <c r="F1119" i="2" s="1"/>
  <c r="C1119" i="2"/>
  <c r="A1119" i="2"/>
  <c r="E1118" i="2"/>
  <c r="F1118" i="2" s="1"/>
  <c r="C1118" i="2"/>
  <c r="A1118" i="2"/>
  <c r="E1117" i="2"/>
  <c r="F1117" i="2" s="1"/>
  <c r="C1117" i="2"/>
  <c r="A1117" i="2"/>
  <c r="E1116" i="2"/>
  <c r="F1116" i="2" s="1"/>
  <c r="C1116" i="2"/>
  <c r="A1116" i="2"/>
  <c r="E1115" i="2"/>
  <c r="F1115" i="2" s="1"/>
  <c r="C1115" i="2"/>
  <c r="A1115" i="2"/>
  <c r="E1114" i="2"/>
  <c r="F1114" i="2" s="1"/>
  <c r="C1114" i="2"/>
  <c r="A1114" i="2"/>
  <c r="E1113" i="2"/>
  <c r="F1113" i="2" s="1"/>
  <c r="C1113" i="2"/>
  <c r="A1113" i="2"/>
  <c r="E1112" i="2"/>
  <c r="F1112" i="2" s="1"/>
  <c r="C1112" i="2"/>
  <c r="A1112" i="2"/>
  <c r="E1111" i="2"/>
  <c r="F1111" i="2" s="1"/>
  <c r="C1111" i="2"/>
  <c r="A1111" i="2"/>
  <c r="E1110" i="2"/>
  <c r="F1110" i="2" s="1"/>
  <c r="C1110" i="2"/>
  <c r="A1110" i="2"/>
  <c r="E1109" i="2"/>
  <c r="F1109" i="2" s="1"/>
  <c r="C1109" i="2"/>
  <c r="A1109" i="2"/>
  <c r="E1108" i="2"/>
  <c r="F1108" i="2" s="1"/>
  <c r="C1108" i="2"/>
  <c r="A1108" i="2"/>
  <c r="E1107" i="2"/>
  <c r="F1107" i="2" s="1"/>
  <c r="C1107" i="2"/>
  <c r="A1107" i="2"/>
  <c r="E1106" i="2"/>
  <c r="F1106" i="2" s="1"/>
  <c r="C1106" i="2"/>
  <c r="A1106" i="2"/>
  <c r="E1105" i="2"/>
  <c r="F1105" i="2" s="1"/>
  <c r="C1105" i="2"/>
  <c r="A1105" i="2"/>
  <c r="E1104" i="2"/>
  <c r="F1104" i="2" s="1"/>
  <c r="C1104" i="2"/>
  <c r="A1104" i="2"/>
  <c r="E1103" i="2"/>
  <c r="F1103" i="2" s="1"/>
  <c r="C1103" i="2"/>
  <c r="A1103" i="2"/>
  <c r="E1102" i="2"/>
  <c r="F1102" i="2" s="1"/>
  <c r="C1102" i="2"/>
  <c r="A1102" i="2"/>
  <c r="E1101" i="2"/>
  <c r="F1101" i="2" s="1"/>
  <c r="C1101" i="2"/>
  <c r="A1101" i="2"/>
  <c r="E1100" i="2"/>
  <c r="F1100" i="2" s="1"/>
  <c r="C1100" i="2"/>
  <c r="A1100" i="2"/>
  <c r="E1099" i="2"/>
  <c r="F1099" i="2" s="1"/>
  <c r="C1099" i="2"/>
  <c r="A1099" i="2"/>
  <c r="E1098" i="2"/>
  <c r="F1098" i="2" s="1"/>
  <c r="C1098" i="2"/>
  <c r="A1098" i="2"/>
  <c r="E1097" i="2"/>
  <c r="F1097" i="2" s="1"/>
  <c r="C1097" i="2"/>
  <c r="A1097" i="2"/>
  <c r="E1096" i="2"/>
  <c r="F1096" i="2" s="1"/>
  <c r="C1096" i="2"/>
  <c r="A1096" i="2"/>
  <c r="E1095" i="2"/>
  <c r="F1095" i="2" s="1"/>
  <c r="C1095" i="2"/>
  <c r="A1095" i="2"/>
  <c r="E1094" i="2"/>
  <c r="F1094" i="2" s="1"/>
  <c r="C1094" i="2"/>
  <c r="A1094" i="2"/>
  <c r="E1093" i="2"/>
  <c r="F1093" i="2" s="1"/>
  <c r="C1093" i="2"/>
  <c r="A1093" i="2"/>
  <c r="E1092" i="2"/>
  <c r="F1092" i="2" s="1"/>
  <c r="C1092" i="2"/>
  <c r="A1092" i="2"/>
  <c r="E1091" i="2"/>
  <c r="F1091" i="2" s="1"/>
  <c r="C1091" i="2"/>
  <c r="A1091" i="2"/>
  <c r="E1090" i="2"/>
  <c r="F1090" i="2" s="1"/>
  <c r="C1090" i="2"/>
  <c r="A1090" i="2"/>
  <c r="E1089" i="2"/>
  <c r="F1089" i="2" s="1"/>
  <c r="C1089" i="2"/>
  <c r="A1089" i="2"/>
  <c r="E1088" i="2"/>
  <c r="F1088" i="2" s="1"/>
  <c r="C1088" i="2"/>
  <c r="A1088" i="2"/>
  <c r="E1087" i="2"/>
  <c r="F1087" i="2" s="1"/>
  <c r="C1087" i="2"/>
  <c r="A1087" i="2"/>
  <c r="E1086" i="2"/>
  <c r="F1086" i="2" s="1"/>
  <c r="C1086" i="2"/>
  <c r="A1086" i="2"/>
  <c r="E1085" i="2"/>
  <c r="F1085" i="2" s="1"/>
  <c r="C1085" i="2"/>
  <c r="A1085" i="2"/>
  <c r="E1084" i="2"/>
  <c r="F1084" i="2" s="1"/>
  <c r="C1084" i="2"/>
  <c r="A1084" i="2"/>
  <c r="E1083" i="2"/>
  <c r="F1083" i="2" s="1"/>
  <c r="C1083" i="2"/>
  <c r="A1083" i="2"/>
  <c r="E1082" i="2"/>
  <c r="F1082" i="2" s="1"/>
  <c r="C1082" i="2"/>
  <c r="A1082" i="2"/>
  <c r="E1081" i="2"/>
  <c r="F1081" i="2" s="1"/>
  <c r="C1081" i="2"/>
  <c r="A1081" i="2"/>
  <c r="E1080" i="2"/>
  <c r="F1080" i="2" s="1"/>
  <c r="C1080" i="2"/>
  <c r="A1080" i="2"/>
  <c r="E1079" i="2"/>
  <c r="F1079" i="2" s="1"/>
  <c r="C1079" i="2"/>
  <c r="A1079" i="2"/>
  <c r="E1078" i="2"/>
  <c r="F1078" i="2" s="1"/>
  <c r="C1078" i="2"/>
  <c r="A1078" i="2"/>
  <c r="E1077" i="2"/>
  <c r="F1077" i="2" s="1"/>
  <c r="C1077" i="2"/>
  <c r="A1077" i="2"/>
  <c r="E1076" i="2"/>
  <c r="F1076" i="2" s="1"/>
  <c r="C1076" i="2"/>
  <c r="A1076" i="2"/>
  <c r="E1075" i="2"/>
  <c r="F1075" i="2" s="1"/>
  <c r="C1075" i="2"/>
  <c r="A1075" i="2"/>
  <c r="E1074" i="2"/>
  <c r="F1074" i="2" s="1"/>
  <c r="C1074" i="2"/>
  <c r="A1074" i="2"/>
  <c r="E1073" i="2"/>
  <c r="F1073" i="2" s="1"/>
  <c r="C1073" i="2"/>
  <c r="A1073" i="2"/>
  <c r="E1072" i="2"/>
  <c r="F1072" i="2" s="1"/>
  <c r="C1072" i="2"/>
  <c r="A1072" i="2"/>
  <c r="E1071" i="2"/>
  <c r="F1071" i="2" s="1"/>
  <c r="C1071" i="2"/>
  <c r="A1071" i="2"/>
  <c r="E1070" i="2"/>
  <c r="F1070" i="2" s="1"/>
  <c r="C1070" i="2"/>
  <c r="A1070" i="2"/>
  <c r="E1069" i="2"/>
  <c r="F1069" i="2" s="1"/>
  <c r="C1069" i="2"/>
  <c r="A1069" i="2"/>
  <c r="E1068" i="2"/>
  <c r="F1068" i="2" s="1"/>
  <c r="C1068" i="2"/>
  <c r="A1068" i="2"/>
  <c r="E1067" i="2"/>
  <c r="F1067" i="2" s="1"/>
  <c r="C1067" i="2"/>
  <c r="A1067" i="2"/>
  <c r="E1066" i="2"/>
  <c r="F1066" i="2" s="1"/>
  <c r="C1066" i="2"/>
  <c r="A1066" i="2"/>
  <c r="E1065" i="2"/>
  <c r="F1065" i="2" s="1"/>
  <c r="C1065" i="2"/>
  <c r="A1065" i="2"/>
  <c r="E1064" i="2"/>
  <c r="F1064" i="2" s="1"/>
  <c r="C1064" i="2"/>
  <c r="A1064" i="2"/>
  <c r="E1063" i="2"/>
  <c r="F1063" i="2" s="1"/>
  <c r="C1063" i="2"/>
  <c r="A1063" i="2"/>
  <c r="E1062" i="2"/>
  <c r="F1062" i="2" s="1"/>
  <c r="C1062" i="2"/>
  <c r="A1062" i="2"/>
  <c r="E1061" i="2"/>
  <c r="F1061" i="2" s="1"/>
  <c r="C1061" i="2"/>
  <c r="A1061" i="2"/>
  <c r="E1060" i="2"/>
  <c r="F1060" i="2" s="1"/>
  <c r="C1060" i="2"/>
  <c r="A1060" i="2"/>
  <c r="E1059" i="2"/>
  <c r="F1059" i="2" s="1"/>
  <c r="C1059" i="2"/>
  <c r="A1059" i="2"/>
  <c r="E1058" i="2"/>
  <c r="F1058" i="2" s="1"/>
  <c r="C1058" i="2"/>
  <c r="A1058" i="2"/>
  <c r="E1057" i="2"/>
  <c r="F1057" i="2" s="1"/>
  <c r="C1057" i="2"/>
  <c r="A1057" i="2"/>
  <c r="E1056" i="2"/>
  <c r="F1056" i="2" s="1"/>
  <c r="C1056" i="2"/>
  <c r="A1056" i="2"/>
  <c r="E1055" i="2"/>
  <c r="F1055" i="2" s="1"/>
  <c r="C1055" i="2"/>
  <c r="A1055" i="2"/>
  <c r="E1054" i="2"/>
  <c r="F1054" i="2" s="1"/>
  <c r="C1054" i="2"/>
  <c r="A1054" i="2"/>
  <c r="E1053" i="2"/>
  <c r="F1053" i="2" s="1"/>
  <c r="C1053" i="2"/>
  <c r="A1053" i="2"/>
  <c r="E1052" i="2"/>
  <c r="F1052" i="2" s="1"/>
  <c r="C1052" i="2"/>
  <c r="A1052" i="2"/>
  <c r="E1051" i="2"/>
  <c r="F1051" i="2" s="1"/>
  <c r="C1051" i="2"/>
  <c r="A1051" i="2"/>
  <c r="E1050" i="2"/>
  <c r="F1050" i="2" s="1"/>
  <c r="C1050" i="2"/>
  <c r="A1050" i="2"/>
  <c r="E1049" i="2"/>
  <c r="F1049" i="2" s="1"/>
  <c r="C1049" i="2"/>
  <c r="A1049" i="2"/>
  <c r="E1048" i="2"/>
  <c r="F1048" i="2" s="1"/>
  <c r="C1048" i="2"/>
  <c r="A1048" i="2"/>
  <c r="E1047" i="2"/>
  <c r="F1047" i="2" s="1"/>
  <c r="C1047" i="2"/>
  <c r="A1047" i="2"/>
  <c r="E1046" i="2"/>
  <c r="F1046" i="2" s="1"/>
  <c r="C1046" i="2"/>
  <c r="A1046" i="2"/>
  <c r="E1045" i="2"/>
  <c r="F1045" i="2" s="1"/>
  <c r="C1045" i="2"/>
  <c r="A1045" i="2"/>
  <c r="E1044" i="2"/>
  <c r="F1044" i="2" s="1"/>
  <c r="C1044" i="2"/>
  <c r="A1044" i="2"/>
  <c r="E1043" i="2"/>
  <c r="F1043" i="2" s="1"/>
  <c r="C1043" i="2"/>
  <c r="A1043" i="2"/>
  <c r="E1042" i="2"/>
  <c r="F1042" i="2" s="1"/>
  <c r="C1042" i="2"/>
  <c r="A1042" i="2"/>
  <c r="E1041" i="2"/>
  <c r="F1041" i="2" s="1"/>
  <c r="C1041" i="2"/>
  <c r="A1041" i="2"/>
  <c r="E1040" i="2"/>
  <c r="F1040" i="2" s="1"/>
  <c r="C1040" i="2"/>
  <c r="A1040" i="2"/>
  <c r="E1039" i="2"/>
  <c r="F1039" i="2" s="1"/>
  <c r="C1039" i="2"/>
  <c r="A1039" i="2"/>
  <c r="E1038" i="2"/>
  <c r="F1038" i="2" s="1"/>
  <c r="C1038" i="2"/>
  <c r="A1038" i="2"/>
  <c r="E1037" i="2"/>
  <c r="F1037" i="2" s="1"/>
  <c r="C1037" i="2"/>
  <c r="A1037" i="2"/>
  <c r="E1036" i="2"/>
  <c r="F1036" i="2" s="1"/>
  <c r="C1036" i="2"/>
  <c r="A1036" i="2"/>
  <c r="E1035" i="2"/>
  <c r="F1035" i="2" s="1"/>
  <c r="C1035" i="2"/>
  <c r="A1035" i="2"/>
  <c r="E1034" i="2"/>
  <c r="F1034" i="2" s="1"/>
  <c r="C1034" i="2"/>
  <c r="A1034" i="2"/>
  <c r="E1033" i="2"/>
  <c r="F1033" i="2" s="1"/>
  <c r="C1033" i="2"/>
  <c r="A1033" i="2"/>
  <c r="E1032" i="2"/>
  <c r="F1032" i="2" s="1"/>
  <c r="C1032" i="2"/>
  <c r="A1032" i="2"/>
  <c r="E1031" i="2"/>
  <c r="F1031" i="2" s="1"/>
  <c r="C1031" i="2"/>
  <c r="A1031" i="2"/>
  <c r="E1030" i="2"/>
  <c r="F1030" i="2" s="1"/>
  <c r="C1030" i="2"/>
  <c r="A1030" i="2"/>
  <c r="E1029" i="2"/>
  <c r="F1029" i="2" s="1"/>
  <c r="C1029" i="2"/>
  <c r="A1029" i="2"/>
  <c r="E1028" i="2"/>
  <c r="F1028" i="2" s="1"/>
  <c r="C1028" i="2"/>
  <c r="A1028" i="2"/>
  <c r="E1027" i="2"/>
  <c r="F1027" i="2" s="1"/>
  <c r="C1027" i="2"/>
  <c r="A1027" i="2"/>
  <c r="E1026" i="2"/>
  <c r="F1026" i="2" s="1"/>
  <c r="C1026" i="2"/>
  <c r="A1026" i="2"/>
  <c r="E1025" i="2"/>
  <c r="F1025" i="2" s="1"/>
  <c r="C1025" i="2"/>
  <c r="A1025" i="2"/>
  <c r="E1024" i="2"/>
  <c r="F1024" i="2" s="1"/>
  <c r="C1024" i="2"/>
  <c r="A1024" i="2"/>
  <c r="E1023" i="2"/>
  <c r="F1023" i="2" s="1"/>
  <c r="C1023" i="2"/>
  <c r="A1023" i="2"/>
  <c r="E1022" i="2"/>
  <c r="F1022" i="2" s="1"/>
  <c r="C1022" i="2"/>
  <c r="A1022" i="2"/>
  <c r="E1021" i="2"/>
  <c r="F1021" i="2" s="1"/>
  <c r="C1021" i="2"/>
  <c r="A1021" i="2"/>
  <c r="E1020" i="2"/>
  <c r="F1020" i="2" s="1"/>
  <c r="C1020" i="2"/>
  <c r="A1020" i="2"/>
  <c r="E1019" i="2"/>
  <c r="F1019" i="2" s="1"/>
  <c r="C1019" i="2"/>
  <c r="A1019" i="2"/>
  <c r="E1018" i="2"/>
  <c r="F1018" i="2" s="1"/>
  <c r="C1018" i="2"/>
  <c r="A1018" i="2"/>
  <c r="E1017" i="2"/>
  <c r="F1017" i="2" s="1"/>
  <c r="C1017" i="2"/>
  <c r="A1017" i="2"/>
  <c r="E1016" i="2"/>
  <c r="F1016" i="2" s="1"/>
  <c r="C1016" i="2"/>
  <c r="A1016" i="2"/>
  <c r="E1015" i="2"/>
  <c r="F1015" i="2" s="1"/>
  <c r="C1015" i="2"/>
  <c r="A1015" i="2"/>
  <c r="E1014" i="2"/>
  <c r="F1014" i="2" s="1"/>
  <c r="C1014" i="2"/>
  <c r="A1014" i="2"/>
  <c r="E1013" i="2"/>
  <c r="F1013" i="2" s="1"/>
  <c r="C1013" i="2"/>
  <c r="A1013" i="2"/>
  <c r="E1012" i="2"/>
  <c r="F1012" i="2" s="1"/>
  <c r="C1012" i="2"/>
  <c r="A1012" i="2"/>
  <c r="E1011" i="2"/>
  <c r="F1011" i="2" s="1"/>
  <c r="C1011" i="2"/>
  <c r="A1011" i="2"/>
  <c r="E1010" i="2"/>
  <c r="F1010" i="2" s="1"/>
  <c r="C1010" i="2"/>
  <c r="A1010" i="2"/>
  <c r="E1009" i="2"/>
  <c r="F1009" i="2" s="1"/>
  <c r="C1009" i="2"/>
  <c r="A1009" i="2"/>
  <c r="E1008" i="2"/>
  <c r="F1008" i="2" s="1"/>
  <c r="C1008" i="2"/>
  <c r="A1008" i="2"/>
  <c r="E1007" i="2"/>
  <c r="F1007" i="2" s="1"/>
  <c r="C1007" i="2"/>
  <c r="A1007" i="2"/>
  <c r="E1006" i="2"/>
  <c r="F1006" i="2" s="1"/>
  <c r="C1006" i="2"/>
  <c r="A1006" i="2"/>
  <c r="E1005" i="2"/>
  <c r="F1005" i="2" s="1"/>
  <c r="C1005" i="2"/>
  <c r="A1005" i="2"/>
  <c r="E1004" i="2"/>
  <c r="F1004" i="2" s="1"/>
  <c r="C1004" i="2"/>
  <c r="A1004" i="2"/>
  <c r="E1003" i="2"/>
  <c r="F1003" i="2" s="1"/>
  <c r="C1003" i="2"/>
  <c r="A1003" i="2"/>
  <c r="E1002" i="2"/>
  <c r="F1002" i="2" s="1"/>
  <c r="C1002" i="2"/>
  <c r="A1002" i="2"/>
  <c r="E1001" i="2"/>
  <c r="F1001" i="2" s="1"/>
  <c r="C1001" i="2"/>
  <c r="A1001" i="2"/>
  <c r="E1000" i="2"/>
  <c r="F1000" i="2" s="1"/>
  <c r="C1000" i="2"/>
  <c r="A1000" i="2"/>
  <c r="E999" i="2"/>
  <c r="F999" i="2" s="1"/>
  <c r="C999" i="2"/>
  <c r="A999" i="2"/>
  <c r="E998" i="2"/>
  <c r="F998" i="2" s="1"/>
  <c r="C998" i="2"/>
  <c r="A998" i="2"/>
  <c r="E997" i="2"/>
  <c r="F997" i="2" s="1"/>
  <c r="C997" i="2"/>
  <c r="A997" i="2"/>
  <c r="E996" i="2"/>
  <c r="F996" i="2" s="1"/>
  <c r="C996" i="2"/>
  <c r="A996" i="2"/>
  <c r="E995" i="2"/>
  <c r="F995" i="2" s="1"/>
  <c r="C995" i="2"/>
  <c r="A995" i="2"/>
  <c r="E994" i="2"/>
  <c r="F994" i="2" s="1"/>
  <c r="C994" i="2"/>
  <c r="A994" i="2"/>
  <c r="E993" i="2"/>
  <c r="F993" i="2" s="1"/>
  <c r="C993" i="2"/>
  <c r="A993" i="2"/>
  <c r="E992" i="2"/>
  <c r="F992" i="2" s="1"/>
  <c r="C992" i="2"/>
  <c r="A992" i="2"/>
  <c r="E991" i="2"/>
  <c r="F991" i="2" s="1"/>
  <c r="C991" i="2"/>
  <c r="A991" i="2"/>
  <c r="E990" i="2"/>
  <c r="F990" i="2" s="1"/>
  <c r="C990" i="2"/>
  <c r="A990" i="2"/>
  <c r="E989" i="2"/>
  <c r="F989" i="2" s="1"/>
  <c r="C989" i="2"/>
  <c r="A989" i="2"/>
  <c r="E988" i="2"/>
  <c r="F988" i="2" s="1"/>
  <c r="C988" i="2"/>
  <c r="A988" i="2"/>
  <c r="E987" i="2"/>
  <c r="F987" i="2" s="1"/>
  <c r="C987" i="2"/>
  <c r="A987" i="2"/>
  <c r="E986" i="2"/>
  <c r="F986" i="2" s="1"/>
  <c r="C986" i="2"/>
  <c r="A986" i="2"/>
  <c r="E985" i="2"/>
  <c r="F985" i="2" s="1"/>
  <c r="C985" i="2"/>
  <c r="A985" i="2"/>
  <c r="E984" i="2"/>
  <c r="F984" i="2" s="1"/>
  <c r="C984" i="2"/>
  <c r="A984" i="2"/>
  <c r="E983" i="2"/>
  <c r="F983" i="2" s="1"/>
  <c r="C983" i="2"/>
  <c r="A983" i="2"/>
  <c r="E982" i="2"/>
  <c r="F982" i="2" s="1"/>
  <c r="C982" i="2"/>
  <c r="A982" i="2"/>
  <c r="E981" i="2"/>
  <c r="F981" i="2" s="1"/>
  <c r="C981" i="2"/>
  <c r="A981" i="2"/>
  <c r="E980" i="2"/>
  <c r="F980" i="2" s="1"/>
  <c r="C980" i="2"/>
  <c r="A980" i="2"/>
  <c r="E979" i="2"/>
  <c r="F979" i="2" s="1"/>
  <c r="C979" i="2"/>
  <c r="A979" i="2"/>
  <c r="E978" i="2"/>
  <c r="F978" i="2" s="1"/>
  <c r="C978" i="2"/>
  <c r="A978" i="2"/>
  <c r="E977" i="2"/>
  <c r="F977" i="2" s="1"/>
  <c r="C977" i="2"/>
  <c r="A977" i="2"/>
  <c r="E976" i="2"/>
  <c r="F976" i="2" s="1"/>
  <c r="C976" i="2"/>
  <c r="A976" i="2"/>
  <c r="E975" i="2"/>
  <c r="F975" i="2" s="1"/>
  <c r="C975" i="2"/>
  <c r="A975" i="2"/>
  <c r="E974" i="2"/>
  <c r="F974" i="2" s="1"/>
  <c r="C974" i="2"/>
  <c r="A974" i="2"/>
  <c r="E973" i="2"/>
  <c r="F973" i="2" s="1"/>
  <c r="C973" i="2"/>
  <c r="A973" i="2"/>
  <c r="E972" i="2"/>
  <c r="F972" i="2" s="1"/>
  <c r="C972" i="2"/>
  <c r="A972" i="2"/>
  <c r="E971" i="2"/>
  <c r="F971" i="2" s="1"/>
  <c r="C971" i="2"/>
  <c r="A971" i="2"/>
  <c r="E970" i="2"/>
  <c r="F970" i="2" s="1"/>
  <c r="C970" i="2"/>
  <c r="A970" i="2"/>
  <c r="E969" i="2"/>
  <c r="F969" i="2" s="1"/>
  <c r="C969" i="2"/>
  <c r="A969" i="2"/>
  <c r="E968" i="2"/>
  <c r="F968" i="2" s="1"/>
  <c r="C968" i="2"/>
  <c r="A968" i="2"/>
  <c r="E967" i="2"/>
  <c r="F967" i="2" s="1"/>
  <c r="C967" i="2"/>
  <c r="A967" i="2"/>
  <c r="E966" i="2"/>
  <c r="F966" i="2" s="1"/>
  <c r="C966" i="2"/>
  <c r="A966" i="2"/>
  <c r="E965" i="2"/>
  <c r="F965" i="2" s="1"/>
  <c r="C965" i="2"/>
  <c r="A965" i="2"/>
  <c r="E964" i="2"/>
  <c r="F964" i="2" s="1"/>
  <c r="C964" i="2"/>
  <c r="A964" i="2"/>
  <c r="E963" i="2"/>
  <c r="F963" i="2" s="1"/>
  <c r="C963" i="2"/>
  <c r="A963" i="2"/>
  <c r="E962" i="2"/>
  <c r="F962" i="2" s="1"/>
  <c r="C962" i="2"/>
  <c r="A962" i="2"/>
  <c r="E961" i="2"/>
  <c r="F961" i="2" s="1"/>
  <c r="C961" i="2"/>
  <c r="A961" i="2"/>
  <c r="E960" i="2"/>
  <c r="F960" i="2" s="1"/>
  <c r="C960" i="2"/>
  <c r="A960" i="2"/>
  <c r="E959" i="2"/>
  <c r="F959" i="2" s="1"/>
  <c r="C959" i="2"/>
  <c r="A959" i="2"/>
  <c r="E958" i="2"/>
  <c r="F958" i="2" s="1"/>
  <c r="C958" i="2"/>
  <c r="A958" i="2"/>
  <c r="E957" i="2"/>
  <c r="F957" i="2" s="1"/>
  <c r="C957" i="2"/>
  <c r="A957" i="2"/>
  <c r="E956" i="2"/>
  <c r="F956" i="2" s="1"/>
  <c r="C956" i="2"/>
  <c r="A956" i="2"/>
  <c r="E955" i="2"/>
  <c r="F955" i="2" s="1"/>
  <c r="C955" i="2"/>
  <c r="A955" i="2"/>
  <c r="E954" i="2"/>
  <c r="F954" i="2" s="1"/>
  <c r="C954" i="2"/>
  <c r="A954" i="2"/>
  <c r="E953" i="2"/>
  <c r="F953" i="2" s="1"/>
  <c r="C953" i="2"/>
  <c r="A953" i="2"/>
  <c r="E952" i="2"/>
  <c r="F952" i="2" s="1"/>
  <c r="C952" i="2"/>
  <c r="A952" i="2"/>
  <c r="E951" i="2"/>
  <c r="F951" i="2" s="1"/>
  <c r="C951" i="2"/>
  <c r="A951" i="2"/>
  <c r="E950" i="2"/>
  <c r="F950" i="2" s="1"/>
  <c r="C950" i="2"/>
  <c r="A950" i="2"/>
  <c r="E949" i="2"/>
  <c r="F949" i="2" s="1"/>
  <c r="C949" i="2"/>
  <c r="A949" i="2"/>
  <c r="E948" i="2"/>
  <c r="F948" i="2" s="1"/>
  <c r="C948" i="2"/>
  <c r="A948" i="2"/>
  <c r="E947" i="2"/>
  <c r="F947" i="2" s="1"/>
  <c r="C947" i="2"/>
  <c r="A947" i="2"/>
  <c r="E946" i="2"/>
  <c r="F946" i="2" s="1"/>
  <c r="C946" i="2"/>
  <c r="A946" i="2"/>
  <c r="E945" i="2"/>
  <c r="F945" i="2" s="1"/>
  <c r="C945" i="2"/>
  <c r="A945" i="2"/>
  <c r="E944" i="2"/>
  <c r="F944" i="2" s="1"/>
  <c r="C944" i="2"/>
  <c r="A944" i="2"/>
  <c r="E943" i="2"/>
  <c r="F943" i="2" s="1"/>
  <c r="C943" i="2"/>
  <c r="A943" i="2"/>
  <c r="E942" i="2"/>
  <c r="F942" i="2" s="1"/>
  <c r="C942" i="2"/>
  <c r="A942" i="2"/>
  <c r="E941" i="2"/>
  <c r="F941" i="2" s="1"/>
  <c r="C941" i="2"/>
  <c r="A941" i="2"/>
  <c r="E940" i="2"/>
  <c r="F940" i="2" s="1"/>
  <c r="C940" i="2"/>
  <c r="A940" i="2"/>
  <c r="E939" i="2"/>
  <c r="F939" i="2" s="1"/>
  <c r="C939" i="2"/>
  <c r="A939" i="2"/>
  <c r="E938" i="2"/>
  <c r="F938" i="2" s="1"/>
  <c r="C938" i="2"/>
  <c r="A938" i="2"/>
  <c r="E937" i="2"/>
  <c r="F937" i="2" s="1"/>
  <c r="C937" i="2"/>
  <c r="A937" i="2"/>
  <c r="E936" i="2"/>
  <c r="F936" i="2" s="1"/>
  <c r="C936" i="2"/>
  <c r="A936" i="2"/>
  <c r="E935" i="2"/>
  <c r="F935" i="2" s="1"/>
  <c r="C935" i="2"/>
  <c r="A935" i="2"/>
  <c r="E934" i="2"/>
  <c r="F934" i="2" s="1"/>
  <c r="C934" i="2"/>
  <c r="A934" i="2"/>
  <c r="E933" i="2"/>
  <c r="F933" i="2" s="1"/>
  <c r="C933" i="2"/>
  <c r="A933" i="2"/>
  <c r="E932" i="2"/>
  <c r="F932" i="2" s="1"/>
  <c r="C932" i="2"/>
  <c r="A932" i="2"/>
  <c r="E931" i="2"/>
  <c r="F931" i="2" s="1"/>
  <c r="C931" i="2"/>
  <c r="A931" i="2"/>
  <c r="E930" i="2"/>
  <c r="F930" i="2" s="1"/>
  <c r="C930" i="2"/>
  <c r="A930" i="2"/>
  <c r="E929" i="2"/>
  <c r="F929" i="2" s="1"/>
  <c r="C929" i="2"/>
  <c r="A929" i="2"/>
  <c r="E928" i="2"/>
  <c r="F928" i="2" s="1"/>
  <c r="C928" i="2"/>
  <c r="A928" i="2"/>
  <c r="E927" i="2"/>
  <c r="F927" i="2" s="1"/>
  <c r="C927" i="2"/>
  <c r="A927" i="2"/>
  <c r="E926" i="2"/>
  <c r="F926" i="2" s="1"/>
  <c r="C926" i="2"/>
  <c r="A926" i="2"/>
  <c r="E925" i="2"/>
  <c r="F925" i="2" s="1"/>
  <c r="C925" i="2"/>
  <c r="A925" i="2"/>
  <c r="E924" i="2"/>
  <c r="F924" i="2" s="1"/>
  <c r="C924" i="2"/>
  <c r="A924" i="2"/>
  <c r="E923" i="2"/>
  <c r="F923" i="2" s="1"/>
  <c r="C923" i="2"/>
  <c r="A923" i="2"/>
  <c r="E922" i="2"/>
  <c r="F922" i="2" s="1"/>
  <c r="C922" i="2"/>
  <c r="A922" i="2"/>
  <c r="E921" i="2"/>
  <c r="F921" i="2" s="1"/>
  <c r="C921" i="2"/>
  <c r="A921" i="2"/>
  <c r="E920" i="2"/>
  <c r="F920" i="2" s="1"/>
  <c r="C920" i="2"/>
  <c r="A920" i="2"/>
  <c r="E919" i="2"/>
  <c r="F919" i="2" s="1"/>
  <c r="C919" i="2"/>
  <c r="A919" i="2"/>
  <c r="E918" i="2"/>
  <c r="F918" i="2" s="1"/>
  <c r="C918" i="2"/>
  <c r="A918" i="2"/>
  <c r="E917" i="2"/>
  <c r="F917" i="2" s="1"/>
  <c r="C917" i="2"/>
  <c r="A917" i="2"/>
  <c r="E916" i="2"/>
  <c r="F916" i="2" s="1"/>
  <c r="C916" i="2"/>
  <c r="A916" i="2"/>
  <c r="E915" i="2"/>
  <c r="F915" i="2" s="1"/>
  <c r="C915" i="2"/>
  <c r="A915" i="2"/>
  <c r="E914" i="2"/>
  <c r="F914" i="2" s="1"/>
  <c r="C914" i="2"/>
  <c r="A914" i="2"/>
  <c r="E913" i="2"/>
  <c r="F913" i="2" s="1"/>
  <c r="C913" i="2"/>
  <c r="A913" i="2"/>
  <c r="E912" i="2"/>
  <c r="F912" i="2" s="1"/>
  <c r="C912" i="2"/>
  <c r="A912" i="2"/>
  <c r="E911" i="2"/>
  <c r="F911" i="2" s="1"/>
  <c r="C911" i="2"/>
  <c r="A911" i="2"/>
  <c r="E910" i="2"/>
  <c r="F910" i="2" s="1"/>
  <c r="C910" i="2"/>
  <c r="A910" i="2"/>
  <c r="E909" i="2"/>
  <c r="F909" i="2" s="1"/>
  <c r="C909" i="2"/>
  <c r="A909" i="2"/>
  <c r="E908" i="2"/>
  <c r="F908" i="2" s="1"/>
  <c r="C908" i="2"/>
  <c r="A908" i="2"/>
  <c r="E907" i="2"/>
  <c r="F907" i="2" s="1"/>
  <c r="C907" i="2"/>
  <c r="A907" i="2"/>
  <c r="E906" i="2"/>
  <c r="F906" i="2" s="1"/>
  <c r="C906" i="2"/>
  <c r="A906" i="2"/>
  <c r="E905" i="2"/>
  <c r="F905" i="2" s="1"/>
  <c r="C905" i="2"/>
  <c r="A905" i="2"/>
  <c r="E904" i="2"/>
  <c r="F904" i="2" s="1"/>
  <c r="C904" i="2"/>
  <c r="A904" i="2"/>
  <c r="E903" i="2"/>
  <c r="F903" i="2" s="1"/>
  <c r="C903" i="2"/>
  <c r="A903" i="2"/>
  <c r="E902" i="2"/>
  <c r="F902" i="2" s="1"/>
  <c r="C902" i="2"/>
  <c r="A902" i="2"/>
  <c r="E901" i="2"/>
  <c r="F901" i="2" s="1"/>
  <c r="C901" i="2"/>
  <c r="A901" i="2"/>
  <c r="E900" i="2"/>
  <c r="F900" i="2" s="1"/>
  <c r="C900" i="2"/>
  <c r="A900" i="2"/>
  <c r="E899" i="2"/>
  <c r="F899" i="2" s="1"/>
  <c r="C899" i="2"/>
  <c r="A899" i="2"/>
  <c r="E898" i="2"/>
  <c r="F898" i="2" s="1"/>
  <c r="C898" i="2"/>
  <c r="A898" i="2"/>
  <c r="E897" i="2"/>
  <c r="F897" i="2" s="1"/>
  <c r="C897" i="2"/>
  <c r="A897" i="2"/>
  <c r="E896" i="2"/>
  <c r="F896" i="2" s="1"/>
  <c r="C896" i="2"/>
  <c r="A896" i="2"/>
  <c r="E895" i="2"/>
  <c r="F895" i="2" s="1"/>
  <c r="C895" i="2"/>
  <c r="A895" i="2"/>
  <c r="E894" i="2"/>
  <c r="F894" i="2" s="1"/>
  <c r="C894" i="2"/>
  <c r="A894" i="2"/>
  <c r="E893" i="2"/>
  <c r="F893" i="2" s="1"/>
  <c r="C893" i="2"/>
  <c r="A893" i="2"/>
  <c r="E892" i="2"/>
  <c r="F892" i="2" s="1"/>
  <c r="C892" i="2"/>
  <c r="A892" i="2"/>
  <c r="E891" i="2"/>
  <c r="F891" i="2" s="1"/>
  <c r="C891" i="2"/>
  <c r="A891" i="2"/>
  <c r="E890" i="2"/>
  <c r="F890" i="2" s="1"/>
  <c r="C890" i="2"/>
  <c r="A890" i="2"/>
  <c r="E889" i="2"/>
  <c r="F889" i="2" s="1"/>
  <c r="C889" i="2"/>
  <c r="A889" i="2"/>
  <c r="E888" i="2"/>
  <c r="F888" i="2" s="1"/>
  <c r="C888" i="2"/>
  <c r="A888" i="2"/>
  <c r="E887" i="2"/>
  <c r="F887" i="2" s="1"/>
  <c r="C887" i="2"/>
  <c r="A887" i="2"/>
  <c r="E886" i="2"/>
  <c r="F886" i="2" s="1"/>
  <c r="C886" i="2"/>
  <c r="A886" i="2"/>
  <c r="E885" i="2"/>
  <c r="F885" i="2" s="1"/>
  <c r="C885" i="2"/>
  <c r="A885" i="2"/>
  <c r="E884" i="2"/>
  <c r="F884" i="2" s="1"/>
  <c r="C884" i="2"/>
  <c r="A884" i="2"/>
  <c r="E883" i="2"/>
  <c r="F883" i="2" s="1"/>
  <c r="C883" i="2"/>
  <c r="A883" i="2"/>
  <c r="E882" i="2"/>
  <c r="F882" i="2" s="1"/>
  <c r="C882" i="2"/>
  <c r="A882" i="2"/>
  <c r="E881" i="2"/>
  <c r="F881" i="2" s="1"/>
  <c r="C881" i="2"/>
  <c r="A881" i="2"/>
  <c r="E880" i="2"/>
  <c r="F880" i="2" s="1"/>
  <c r="C880" i="2"/>
  <c r="A880" i="2"/>
  <c r="E879" i="2"/>
  <c r="F879" i="2" s="1"/>
  <c r="C879" i="2"/>
  <c r="A879" i="2"/>
  <c r="E878" i="2"/>
  <c r="F878" i="2" s="1"/>
  <c r="C878" i="2"/>
  <c r="A878" i="2"/>
  <c r="E877" i="2"/>
  <c r="F877" i="2" s="1"/>
  <c r="C877" i="2"/>
  <c r="A877" i="2"/>
  <c r="E876" i="2"/>
  <c r="F876" i="2" s="1"/>
  <c r="C876" i="2"/>
  <c r="A876" i="2"/>
  <c r="E875" i="2"/>
  <c r="F875" i="2" s="1"/>
  <c r="C875" i="2"/>
  <c r="A875" i="2"/>
  <c r="E874" i="2"/>
  <c r="F874" i="2" s="1"/>
  <c r="C874" i="2"/>
  <c r="A874" i="2"/>
  <c r="E873" i="2"/>
  <c r="F873" i="2" s="1"/>
  <c r="C873" i="2"/>
  <c r="A873" i="2"/>
  <c r="E872" i="2"/>
  <c r="F872" i="2" s="1"/>
  <c r="C872" i="2"/>
  <c r="A872" i="2"/>
  <c r="E871" i="2"/>
  <c r="F871" i="2" s="1"/>
  <c r="C871" i="2"/>
  <c r="A871" i="2"/>
  <c r="E870" i="2"/>
  <c r="F870" i="2" s="1"/>
  <c r="C870" i="2"/>
  <c r="A870" i="2"/>
  <c r="E869" i="2"/>
  <c r="F869" i="2" s="1"/>
  <c r="C869" i="2"/>
  <c r="A869" i="2"/>
  <c r="E868" i="2"/>
  <c r="F868" i="2" s="1"/>
  <c r="C868" i="2"/>
  <c r="A868" i="2"/>
  <c r="E867" i="2"/>
  <c r="F867" i="2" s="1"/>
  <c r="C867" i="2"/>
  <c r="A867" i="2"/>
  <c r="E866" i="2"/>
  <c r="F866" i="2" s="1"/>
  <c r="C866" i="2"/>
  <c r="A866" i="2"/>
  <c r="E865" i="2"/>
  <c r="F865" i="2" s="1"/>
  <c r="C865" i="2"/>
  <c r="A865" i="2"/>
  <c r="E864" i="2"/>
  <c r="F864" i="2" s="1"/>
  <c r="C864" i="2"/>
  <c r="A864" i="2"/>
  <c r="E863" i="2"/>
  <c r="F863" i="2" s="1"/>
  <c r="C863" i="2"/>
  <c r="A863" i="2"/>
  <c r="E862" i="2"/>
  <c r="F862" i="2" s="1"/>
  <c r="C862" i="2"/>
  <c r="A862" i="2"/>
  <c r="E861" i="2"/>
  <c r="F861" i="2" s="1"/>
  <c r="C861" i="2"/>
  <c r="A861" i="2"/>
  <c r="E860" i="2"/>
  <c r="F860" i="2" s="1"/>
  <c r="C860" i="2"/>
  <c r="A860" i="2"/>
  <c r="E859" i="2"/>
  <c r="F859" i="2" s="1"/>
  <c r="C859" i="2"/>
  <c r="A859" i="2"/>
  <c r="E858" i="2"/>
  <c r="F858" i="2" s="1"/>
  <c r="C858" i="2"/>
  <c r="A858" i="2"/>
  <c r="E857" i="2"/>
  <c r="F857" i="2" s="1"/>
  <c r="C857" i="2"/>
  <c r="A857" i="2"/>
  <c r="E856" i="2"/>
  <c r="F856" i="2" s="1"/>
  <c r="C856" i="2"/>
  <c r="A856" i="2"/>
  <c r="E855" i="2"/>
  <c r="F855" i="2" s="1"/>
  <c r="C855" i="2"/>
  <c r="A855" i="2"/>
  <c r="E854" i="2"/>
  <c r="F854" i="2" s="1"/>
  <c r="C854" i="2"/>
  <c r="A854" i="2"/>
  <c r="E853" i="2"/>
  <c r="F853" i="2" s="1"/>
  <c r="C853" i="2"/>
  <c r="A853" i="2"/>
  <c r="E852" i="2"/>
  <c r="F852" i="2" s="1"/>
  <c r="C852" i="2"/>
  <c r="A852" i="2"/>
  <c r="E851" i="2"/>
  <c r="F851" i="2" s="1"/>
  <c r="C851" i="2"/>
  <c r="A851" i="2"/>
  <c r="E850" i="2"/>
  <c r="F850" i="2" s="1"/>
  <c r="C850" i="2"/>
  <c r="A850" i="2"/>
  <c r="E849" i="2"/>
  <c r="F849" i="2" s="1"/>
  <c r="C849" i="2"/>
  <c r="A849" i="2"/>
  <c r="E848" i="2"/>
  <c r="F848" i="2" s="1"/>
  <c r="C848" i="2"/>
  <c r="A848" i="2"/>
  <c r="E847" i="2"/>
  <c r="F847" i="2" s="1"/>
  <c r="C847" i="2"/>
  <c r="A847" i="2"/>
  <c r="E846" i="2"/>
  <c r="F846" i="2" s="1"/>
  <c r="C846" i="2"/>
  <c r="A846" i="2"/>
  <c r="E845" i="2"/>
  <c r="F845" i="2" s="1"/>
  <c r="C845" i="2"/>
  <c r="A845" i="2"/>
  <c r="E844" i="2"/>
  <c r="F844" i="2" s="1"/>
  <c r="C844" i="2"/>
  <c r="A844" i="2"/>
  <c r="E843" i="2"/>
  <c r="F843" i="2" s="1"/>
  <c r="C843" i="2"/>
  <c r="A843" i="2"/>
  <c r="E842" i="2"/>
  <c r="F842" i="2" s="1"/>
  <c r="C842" i="2"/>
  <c r="A842" i="2"/>
  <c r="E841" i="2"/>
  <c r="F841" i="2" s="1"/>
  <c r="C841" i="2"/>
  <c r="A841" i="2"/>
  <c r="E840" i="2"/>
  <c r="F840" i="2" s="1"/>
  <c r="C840" i="2"/>
  <c r="A840" i="2"/>
  <c r="E839" i="2"/>
  <c r="F839" i="2" s="1"/>
  <c r="C839" i="2"/>
  <c r="A839" i="2"/>
  <c r="E838" i="2"/>
  <c r="F838" i="2" s="1"/>
  <c r="C838" i="2"/>
  <c r="A838" i="2"/>
  <c r="E837" i="2"/>
  <c r="F837" i="2" s="1"/>
  <c r="C837" i="2"/>
  <c r="A837" i="2"/>
  <c r="E836" i="2"/>
  <c r="F836" i="2" s="1"/>
  <c r="C836" i="2"/>
  <c r="A836" i="2"/>
  <c r="E835" i="2"/>
  <c r="F835" i="2" s="1"/>
  <c r="C835" i="2"/>
  <c r="A835" i="2"/>
  <c r="E834" i="2"/>
  <c r="F834" i="2" s="1"/>
  <c r="C834" i="2"/>
  <c r="A834" i="2"/>
  <c r="E833" i="2"/>
  <c r="F833" i="2" s="1"/>
  <c r="C833" i="2"/>
  <c r="A833" i="2"/>
  <c r="E832" i="2"/>
  <c r="F832" i="2" s="1"/>
  <c r="C832" i="2"/>
  <c r="A832" i="2"/>
  <c r="E831" i="2"/>
  <c r="F831" i="2" s="1"/>
  <c r="C831" i="2"/>
  <c r="A831" i="2"/>
  <c r="E830" i="2"/>
  <c r="F830" i="2" s="1"/>
  <c r="C830" i="2"/>
  <c r="A830" i="2"/>
  <c r="E829" i="2"/>
  <c r="F829" i="2" s="1"/>
  <c r="C829" i="2"/>
  <c r="A829" i="2"/>
  <c r="E828" i="2"/>
  <c r="F828" i="2" s="1"/>
  <c r="C828" i="2"/>
  <c r="A828" i="2"/>
  <c r="E827" i="2"/>
  <c r="F827" i="2" s="1"/>
  <c r="C827" i="2"/>
  <c r="A827" i="2"/>
  <c r="E826" i="2"/>
  <c r="F826" i="2" s="1"/>
  <c r="C826" i="2"/>
  <c r="A826" i="2"/>
  <c r="E825" i="2"/>
  <c r="F825" i="2" s="1"/>
  <c r="C825" i="2"/>
  <c r="A825" i="2"/>
  <c r="E824" i="2"/>
  <c r="F824" i="2" s="1"/>
  <c r="C824" i="2"/>
  <c r="A824" i="2"/>
  <c r="E823" i="2"/>
  <c r="F823" i="2" s="1"/>
  <c r="C823" i="2"/>
  <c r="A823" i="2"/>
  <c r="E822" i="2"/>
  <c r="F822" i="2" s="1"/>
  <c r="C822" i="2"/>
  <c r="A822" i="2"/>
  <c r="E821" i="2"/>
  <c r="F821" i="2" s="1"/>
  <c r="C821" i="2"/>
  <c r="A821" i="2"/>
  <c r="E820" i="2"/>
  <c r="F820" i="2" s="1"/>
  <c r="C820" i="2"/>
  <c r="A820" i="2"/>
  <c r="E819" i="2"/>
  <c r="F819" i="2" s="1"/>
  <c r="C819" i="2"/>
  <c r="A819" i="2"/>
  <c r="E818" i="2"/>
  <c r="F818" i="2" s="1"/>
  <c r="C818" i="2"/>
  <c r="A818" i="2"/>
  <c r="E817" i="2"/>
  <c r="F817" i="2" s="1"/>
  <c r="C817" i="2"/>
  <c r="A817" i="2"/>
  <c r="E816" i="2"/>
  <c r="F816" i="2" s="1"/>
  <c r="C816" i="2"/>
  <c r="A816" i="2"/>
  <c r="E815" i="2"/>
  <c r="F815" i="2" s="1"/>
  <c r="C815" i="2"/>
  <c r="A815" i="2"/>
  <c r="E814" i="2"/>
  <c r="F814" i="2" s="1"/>
  <c r="C814" i="2"/>
  <c r="A814" i="2"/>
  <c r="E813" i="2"/>
  <c r="F813" i="2" s="1"/>
  <c r="C813" i="2"/>
  <c r="A813" i="2"/>
  <c r="E812" i="2"/>
  <c r="F812" i="2" s="1"/>
  <c r="C812" i="2"/>
  <c r="A812" i="2"/>
  <c r="E811" i="2"/>
  <c r="F811" i="2" s="1"/>
  <c r="C811" i="2"/>
  <c r="A811" i="2"/>
  <c r="E810" i="2"/>
  <c r="F810" i="2" s="1"/>
  <c r="C810" i="2"/>
  <c r="A810" i="2"/>
  <c r="E809" i="2"/>
  <c r="F809" i="2" s="1"/>
  <c r="C809" i="2"/>
  <c r="A809" i="2"/>
  <c r="E808" i="2"/>
  <c r="F808" i="2" s="1"/>
  <c r="C808" i="2"/>
  <c r="A808" i="2"/>
  <c r="E807" i="2"/>
  <c r="F807" i="2" s="1"/>
  <c r="C807" i="2"/>
  <c r="A807" i="2"/>
  <c r="E806" i="2"/>
  <c r="F806" i="2" s="1"/>
  <c r="C806" i="2"/>
  <c r="A806" i="2"/>
  <c r="E805" i="2"/>
  <c r="F805" i="2" s="1"/>
  <c r="C805" i="2"/>
  <c r="A805" i="2"/>
  <c r="E804" i="2"/>
  <c r="F804" i="2" s="1"/>
  <c r="C804" i="2"/>
  <c r="A804" i="2"/>
  <c r="E803" i="2"/>
  <c r="F803" i="2" s="1"/>
  <c r="C803" i="2"/>
  <c r="A803" i="2"/>
  <c r="E802" i="2"/>
  <c r="F802" i="2" s="1"/>
  <c r="C802" i="2"/>
  <c r="A802" i="2"/>
  <c r="E801" i="2"/>
  <c r="F801" i="2" s="1"/>
  <c r="C801" i="2"/>
  <c r="A801" i="2"/>
  <c r="E800" i="2"/>
  <c r="F800" i="2" s="1"/>
  <c r="C800" i="2"/>
  <c r="A800" i="2"/>
  <c r="E799" i="2"/>
  <c r="F799" i="2" s="1"/>
  <c r="C799" i="2"/>
  <c r="A799" i="2"/>
  <c r="E798" i="2"/>
  <c r="F798" i="2" s="1"/>
  <c r="C798" i="2"/>
  <c r="A798" i="2"/>
  <c r="E797" i="2"/>
  <c r="F797" i="2" s="1"/>
  <c r="C797" i="2"/>
  <c r="A797" i="2"/>
  <c r="E796" i="2"/>
  <c r="F796" i="2" s="1"/>
  <c r="C796" i="2"/>
  <c r="A796" i="2"/>
  <c r="E795" i="2"/>
  <c r="F795" i="2" s="1"/>
  <c r="C795" i="2"/>
  <c r="A795" i="2"/>
  <c r="E794" i="2"/>
  <c r="F794" i="2" s="1"/>
  <c r="C794" i="2"/>
  <c r="A794" i="2"/>
  <c r="E793" i="2"/>
  <c r="F793" i="2" s="1"/>
  <c r="C793" i="2"/>
  <c r="A793" i="2"/>
  <c r="E792" i="2"/>
  <c r="F792" i="2" s="1"/>
  <c r="C792" i="2"/>
  <c r="A792" i="2"/>
  <c r="E791" i="2"/>
  <c r="F791" i="2" s="1"/>
  <c r="C791" i="2"/>
  <c r="A791" i="2"/>
  <c r="E790" i="2"/>
  <c r="F790" i="2" s="1"/>
  <c r="C790" i="2"/>
  <c r="A790" i="2"/>
  <c r="E789" i="2"/>
  <c r="F789" i="2" s="1"/>
  <c r="C789" i="2"/>
  <c r="A789" i="2"/>
  <c r="E788" i="2"/>
  <c r="F788" i="2" s="1"/>
  <c r="C788" i="2"/>
  <c r="A788" i="2"/>
  <c r="E787" i="2"/>
  <c r="F787" i="2" s="1"/>
  <c r="C787" i="2"/>
  <c r="A787" i="2"/>
  <c r="E786" i="2"/>
  <c r="F786" i="2" s="1"/>
  <c r="C786" i="2"/>
  <c r="A786" i="2"/>
  <c r="E785" i="2"/>
  <c r="F785" i="2" s="1"/>
  <c r="C785" i="2"/>
  <c r="A785" i="2"/>
  <c r="E784" i="2"/>
  <c r="F784" i="2" s="1"/>
  <c r="C784" i="2"/>
  <c r="A784" i="2"/>
  <c r="E783" i="2"/>
  <c r="F783" i="2" s="1"/>
  <c r="C783" i="2"/>
  <c r="A783" i="2"/>
  <c r="E782" i="2"/>
  <c r="F782" i="2" s="1"/>
  <c r="C782" i="2"/>
  <c r="A782" i="2"/>
  <c r="E781" i="2"/>
  <c r="F781" i="2" s="1"/>
  <c r="C781" i="2"/>
  <c r="A781" i="2"/>
  <c r="E780" i="2"/>
  <c r="F780" i="2" s="1"/>
  <c r="C780" i="2"/>
  <c r="A780" i="2"/>
  <c r="E779" i="2"/>
  <c r="F779" i="2" s="1"/>
  <c r="C779" i="2"/>
  <c r="A779" i="2"/>
  <c r="E778" i="2"/>
  <c r="F778" i="2" s="1"/>
  <c r="C778" i="2"/>
  <c r="A778" i="2"/>
  <c r="E777" i="2"/>
  <c r="F777" i="2" s="1"/>
  <c r="C777" i="2"/>
  <c r="A777" i="2"/>
  <c r="E776" i="2"/>
  <c r="F776" i="2" s="1"/>
  <c r="C776" i="2"/>
  <c r="A776" i="2"/>
  <c r="E775" i="2"/>
  <c r="F775" i="2" s="1"/>
  <c r="C775" i="2"/>
  <c r="A775" i="2"/>
  <c r="E774" i="2"/>
  <c r="F774" i="2" s="1"/>
  <c r="C774" i="2"/>
  <c r="A774" i="2"/>
  <c r="E773" i="2"/>
  <c r="F773" i="2" s="1"/>
  <c r="C773" i="2"/>
  <c r="A773" i="2"/>
  <c r="E772" i="2"/>
  <c r="F772" i="2" s="1"/>
  <c r="C772" i="2"/>
  <c r="A772" i="2"/>
  <c r="E771" i="2"/>
  <c r="F771" i="2" s="1"/>
  <c r="C771" i="2"/>
  <c r="A771" i="2"/>
  <c r="E770" i="2"/>
  <c r="F770" i="2" s="1"/>
  <c r="C770" i="2"/>
  <c r="A770" i="2"/>
  <c r="E769" i="2"/>
  <c r="F769" i="2" s="1"/>
  <c r="C769" i="2"/>
  <c r="A769" i="2"/>
  <c r="E768" i="2"/>
  <c r="F768" i="2" s="1"/>
  <c r="C768" i="2"/>
  <c r="A768" i="2"/>
  <c r="E767" i="2"/>
  <c r="F767" i="2" s="1"/>
  <c r="C767" i="2"/>
  <c r="A767" i="2"/>
  <c r="E766" i="2"/>
  <c r="F766" i="2" s="1"/>
  <c r="C766" i="2"/>
  <c r="A766" i="2"/>
  <c r="E765" i="2"/>
  <c r="F765" i="2" s="1"/>
  <c r="C765" i="2"/>
  <c r="A765" i="2"/>
  <c r="E764" i="2"/>
  <c r="F764" i="2" s="1"/>
  <c r="C764" i="2"/>
  <c r="A764" i="2"/>
  <c r="E763" i="2"/>
  <c r="F763" i="2" s="1"/>
  <c r="C763" i="2"/>
  <c r="A763" i="2"/>
  <c r="E762" i="2"/>
  <c r="F762" i="2" s="1"/>
  <c r="C762" i="2"/>
  <c r="A762" i="2"/>
  <c r="E761" i="2"/>
  <c r="F761" i="2" s="1"/>
  <c r="C761" i="2"/>
  <c r="A761" i="2"/>
  <c r="E760" i="2"/>
  <c r="F760" i="2" s="1"/>
  <c r="C760" i="2"/>
  <c r="A760" i="2"/>
  <c r="E759" i="2"/>
  <c r="F759" i="2" s="1"/>
  <c r="C759" i="2"/>
  <c r="A759" i="2"/>
  <c r="E758" i="2"/>
  <c r="F758" i="2" s="1"/>
  <c r="C758" i="2"/>
  <c r="A758" i="2"/>
  <c r="E757" i="2"/>
  <c r="F757" i="2" s="1"/>
  <c r="C757" i="2"/>
  <c r="A757" i="2"/>
  <c r="E756" i="2"/>
  <c r="F756" i="2" s="1"/>
  <c r="C756" i="2"/>
  <c r="A756" i="2"/>
  <c r="E755" i="2"/>
  <c r="F755" i="2" s="1"/>
  <c r="C755" i="2"/>
  <c r="A755" i="2"/>
  <c r="E754" i="2"/>
  <c r="F754" i="2" s="1"/>
  <c r="C754" i="2"/>
  <c r="A754" i="2"/>
  <c r="E753" i="2"/>
  <c r="F753" i="2" s="1"/>
  <c r="C753" i="2"/>
  <c r="A753" i="2"/>
  <c r="E752" i="2"/>
  <c r="F752" i="2" s="1"/>
  <c r="C752" i="2"/>
  <c r="A752" i="2"/>
  <c r="E751" i="2"/>
  <c r="F751" i="2" s="1"/>
  <c r="C751" i="2"/>
  <c r="A751" i="2"/>
  <c r="E750" i="2"/>
  <c r="F750" i="2" s="1"/>
  <c r="C750" i="2"/>
  <c r="A750" i="2"/>
  <c r="E749" i="2"/>
  <c r="F749" i="2" s="1"/>
  <c r="C749" i="2"/>
  <c r="A749" i="2"/>
  <c r="E748" i="2"/>
  <c r="F748" i="2" s="1"/>
  <c r="C748" i="2"/>
  <c r="A748" i="2"/>
  <c r="E747" i="2"/>
  <c r="F747" i="2" s="1"/>
  <c r="C747" i="2"/>
  <c r="A747" i="2"/>
  <c r="E746" i="2"/>
  <c r="F746" i="2" s="1"/>
  <c r="C746" i="2"/>
  <c r="A746" i="2"/>
  <c r="E745" i="2"/>
  <c r="F745" i="2" s="1"/>
  <c r="C745" i="2"/>
  <c r="A745" i="2"/>
  <c r="E744" i="2"/>
  <c r="F744" i="2" s="1"/>
  <c r="C744" i="2"/>
  <c r="A744" i="2"/>
  <c r="E743" i="2"/>
  <c r="F743" i="2" s="1"/>
  <c r="C743" i="2"/>
  <c r="A743" i="2"/>
  <c r="E742" i="2"/>
  <c r="F742" i="2" s="1"/>
  <c r="C742" i="2"/>
  <c r="A742" i="2"/>
  <c r="E741" i="2"/>
  <c r="F741" i="2" s="1"/>
  <c r="C741" i="2"/>
  <c r="A741" i="2"/>
  <c r="E740" i="2"/>
  <c r="F740" i="2" s="1"/>
  <c r="C740" i="2"/>
  <c r="A740" i="2"/>
  <c r="E739" i="2"/>
  <c r="F739" i="2" s="1"/>
  <c r="C739" i="2"/>
  <c r="A739" i="2"/>
  <c r="E738" i="2"/>
  <c r="F738" i="2" s="1"/>
  <c r="C738" i="2"/>
  <c r="A738" i="2"/>
  <c r="E737" i="2"/>
  <c r="F737" i="2" s="1"/>
  <c r="C737" i="2"/>
  <c r="A737" i="2"/>
  <c r="E736" i="2"/>
  <c r="F736" i="2" s="1"/>
  <c r="C736" i="2"/>
  <c r="A736" i="2"/>
  <c r="E735" i="2"/>
  <c r="F735" i="2" s="1"/>
  <c r="C735" i="2"/>
  <c r="A735" i="2"/>
  <c r="E734" i="2"/>
  <c r="F734" i="2" s="1"/>
  <c r="C734" i="2"/>
  <c r="A734" i="2"/>
  <c r="E733" i="2"/>
  <c r="F733" i="2" s="1"/>
  <c r="C733" i="2"/>
  <c r="A733" i="2"/>
  <c r="E732" i="2"/>
  <c r="F732" i="2" s="1"/>
  <c r="C732" i="2"/>
  <c r="A732" i="2"/>
  <c r="E731" i="2"/>
  <c r="F731" i="2" s="1"/>
  <c r="C731" i="2"/>
  <c r="A731" i="2"/>
  <c r="E730" i="2"/>
  <c r="F730" i="2" s="1"/>
  <c r="C730" i="2"/>
  <c r="A730" i="2"/>
  <c r="E729" i="2"/>
  <c r="F729" i="2" s="1"/>
  <c r="C729" i="2"/>
  <c r="A729" i="2"/>
  <c r="E728" i="2"/>
  <c r="F728" i="2" s="1"/>
  <c r="C728" i="2"/>
  <c r="A728" i="2"/>
  <c r="E727" i="2"/>
  <c r="F727" i="2" s="1"/>
  <c r="C727" i="2"/>
  <c r="A727" i="2"/>
  <c r="E726" i="2"/>
  <c r="F726" i="2" s="1"/>
  <c r="C726" i="2"/>
  <c r="A726" i="2"/>
  <c r="E725" i="2"/>
  <c r="F725" i="2" s="1"/>
  <c r="C725" i="2"/>
  <c r="A725" i="2"/>
  <c r="E724" i="2"/>
  <c r="F724" i="2" s="1"/>
  <c r="C724" i="2"/>
  <c r="A724" i="2"/>
  <c r="E723" i="2"/>
  <c r="F723" i="2" s="1"/>
  <c r="C723" i="2"/>
  <c r="A723" i="2"/>
  <c r="E722" i="2"/>
  <c r="F722" i="2" s="1"/>
  <c r="C722" i="2"/>
  <c r="A722" i="2"/>
  <c r="E721" i="2"/>
  <c r="F721" i="2" s="1"/>
  <c r="C721" i="2"/>
  <c r="A721" i="2"/>
  <c r="E720" i="2"/>
  <c r="F720" i="2" s="1"/>
  <c r="C720" i="2"/>
  <c r="A720" i="2"/>
  <c r="E719" i="2"/>
  <c r="F719" i="2" s="1"/>
  <c r="C719" i="2"/>
  <c r="A719" i="2"/>
  <c r="E718" i="2"/>
  <c r="F718" i="2" s="1"/>
  <c r="C718" i="2"/>
  <c r="A718" i="2"/>
  <c r="E717" i="2"/>
  <c r="F717" i="2" s="1"/>
  <c r="C717" i="2"/>
  <c r="A717" i="2"/>
  <c r="E716" i="2"/>
  <c r="F716" i="2" s="1"/>
  <c r="C716" i="2"/>
  <c r="A716" i="2"/>
  <c r="E715" i="2"/>
  <c r="F715" i="2" s="1"/>
  <c r="C715" i="2"/>
  <c r="A715" i="2"/>
  <c r="E714" i="2"/>
  <c r="F714" i="2" s="1"/>
  <c r="C714" i="2"/>
  <c r="A714" i="2"/>
  <c r="E713" i="2"/>
  <c r="F713" i="2" s="1"/>
  <c r="C713" i="2"/>
  <c r="A713" i="2"/>
  <c r="E712" i="2"/>
  <c r="F712" i="2" s="1"/>
  <c r="C712" i="2"/>
  <c r="A712" i="2"/>
  <c r="E711" i="2"/>
  <c r="F711" i="2" s="1"/>
  <c r="C711" i="2"/>
  <c r="A711" i="2"/>
  <c r="E710" i="2"/>
  <c r="F710" i="2" s="1"/>
  <c r="C710" i="2"/>
  <c r="A710" i="2"/>
  <c r="E709" i="2"/>
  <c r="F709" i="2" s="1"/>
  <c r="C709" i="2"/>
  <c r="A709" i="2"/>
  <c r="E708" i="2"/>
  <c r="F708" i="2" s="1"/>
  <c r="C708" i="2"/>
  <c r="A708" i="2"/>
  <c r="E707" i="2"/>
  <c r="F707" i="2" s="1"/>
  <c r="C707" i="2"/>
  <c r="A707" i="2"/>
  <c r="E706" i="2"/>
  <c r="F706" i="2" s="1"/>
  <c r="C706" i="2"/>
  <c r="A706" i="2"/>
  <c r="E705" i="2"/>
  <c r="F705" i="2" s="1"/>
  <c r="C705" i="2"/>
  <c r="A705" i="2"/>
  <c r="E704" i="2"/>
  <c r="F704" i="2" s="1"/>
  <c r="C704" i="2"/>
  <c r="A704" i="2"/>
  <c r="E703" i="2"/>
  <c r="F703" i="2" s="1"/>
  <c r="C703" i="2"/>
  <c r="A703" i="2"/>
  <c r="E702" i="2"/>
  <c r="F702" i="2" s="1"/>
  <c r="C702" i="2"/>
  <c r="A702" i="2"/>
  <c r="E701" i="2"/>
  <c r="F701" i="2" s="1"/>
  <c r="C701" i="2"/>
  <c r="A701" i="2"/>
  <c r="E700" i="2"/>
  <c r="F700" i="2" s="1"/>
  <c r="C700" i="2"/>
  <c r="A700" i="2"/>
  <c r="E699" i="2"/>
  <c r="F699" i="2" s="1"/>
  <c r="C699" i="2"/>
  <c r="A699" i="2"/>
  <c r="E698" i="2"/>
  <c r="F698" i="2" s="1"/>
  <c r="C698" i="2"/>
  <c r="A698" i="2"/>
  <c r="E697" i="2"/>
  <c r="F697" i="2" s="1"/>
  <c r="C697" i="2"/>
  <c r="A697" i="2"/>
  <c r="E696" i="2"/>
  <c r="F696" i="2" s="1"/>
  <c r="C696" i="2"/>
  <c r="A696" i="2"/>
  <c r="E695" i="2"/>
  <c r="F695" i="2" s="1"/>
  <c r="C695" i="2"/>
  <c r="A695" i="2"/>
  <c r="E694" i="2"/>
  <c r="F694" i="2" s="1"/>
  <c r="C694" i="2"/>
  <c r="A694" i="2"/>
  <c r="E693" i="2"/>
  <c r="F693" i="2" s="1"/>
  <c r="C693" i="2"/>
  <c r="A693" i="2"/>
  <c r="E692" i="2"/>
  <c r="F692" i="2" s="1"/>
  <c r="C692" i="2"/>
  <c r="A692" i="2"/>
  <c r="E691" i="2"/>
  <c r="F691" i="2" s="1"/>
  <c r="C691" i="2"/>
  <c r="A691" i="2"/>
  <c r="E690" i="2"/>
  <c r="F690" i="2" s="1"/>
  <c r="C690" i="2"/>
  <c r="A690" i="2"/>
  <c r="E689" i="2"/>
  <c r="F689" i="2" s="1"/>
  <c r="C689" i="2"/>
  <c r="A689" i="2"/>
  <c r="E688" i="2"/>
  <c r="F688" i="2" s="1"/>
  <c r="C688" i="2"/>
  <c r="A688" i="2"/>
  <c r="E687" i="2"/>
  <c r="F687" i="2" s="1"/>
  <c r="C687" i="2"/>
  <c r="A687" i="2"/>
  <c r="E686" i="2"/>
  <c r="F686" i="2" s="1"/>
  <c r="C686" i="2"/>
  <c r="A686" i="2"/>
  <c r="E685" i="2"/>
  <c r="F685" i="2" s="1"/>
  <c r="C685" i="2"/>
  <c r="A685" i="2"/>
  <c r="E684" i="2"/>
  <c r="F684" i="2" s="1"/>
  <c r="C684" i="2"/>
  <c r="A684" i="2"/>
  <c r="E683" i="2"/>
  <c r="F683" i="2" s="1"/>
  <c r="C683" i="2"/>
  <c r="A683" i="2"/>
  <c r="E682" i="2"/>
  <c r="F682" i="2" s="1"/>
  <c r="C682" i="2"/>
  <c r="A682" i="2"/>
  <c r="E681" i="2"/>
  <c r="F681" i="2" s="1"/>
  <c r="C681" i="2"/>
  <c r="A681" i="2"/>
  <c r="E680" i="2"/>
  <c r="F680" i="2" s="1"/>
  <c r="C680" i="2"/>
  <c r="A680" i="2"/>
  <c r="E679" i="2"/>
  <c r="F679" i="2" s="1"/>
  <c r="C679" i="2"/>
  <c r="A679" i="2"/>
  <c r="E678" i="2"/>
  <c r="F678" i="2" s="1"/>
  <c r="C678" i="2"/>
  <c r="A678" i="2"/>
  <c r="E677" i="2"/>
  <c r="F677" i="2" s="1"/>
  <c r="C677" i="2"/>
  <c r="A677" i="2"/>
  <c r="E676" i="2"/>
  <c r="F676" i="2" s="1"/>
  <c r="C676" i="2"/>
  <c r="A676" i="2"/>
  <c r="E675" i="2"/>
  <c r="F675" i="2" s="1"/>
  <c r="C675" i="2"/>
  <c r="A675" i="2"/>
  <c r="E674" i="2"/>
  <c r="F674" i="2" s="1"/>
  <c r="C674" i="2"/>
  <c r="A674" i="2"/>
  <c r="E673" i="2"/>
  <c r="F673" i="2" s="1"/>
  <c r="C673" i="2"/>
  <c r="A673" i="2"/>
  <c r="E672" i="2"/>
  <c r="F672" i="2" s="1"/>
  <c r="C672" i="2"/>
  <c r="A672" i="2"/>
  <c r="E671" i="2"/>
  <c r="F671" i="2" s="1"/>
  <c r="C671" i="2"/>
  <c r="A671" i="2"/>
  <c r="E670" i="2"/>
  <c r="F670" i="2" s="1"/>
  <c r="C670" i="2"/>
  <c r="A670" i="2"/>
  <c r="E669" i="2"/>
  <c r="F669" i="2" s="1"/>
  <c r="C669" i="2"/>
  <c r="A669" i="2"/>
  <c r="E668" i="2"/>
  <c r="F668" i="2" s="1"/>
  <c r="C668" i="2"/>
  <c r="A668" i="2"/>
  <c r="E667" i="2"/>
  <c r="F667" i="2" s="1"/>
  <c r="C667" i="2"/>
  <c r="A667" i="2"/>
  <c r="E666" i="2"/>
  <c r="F666" i="2" s="1"/>
  <c r="C666" i="2"/>
  <c r="A666" i="2"/>
  <c r="E665" i="2"/>
  <c r="F665" i="2" s="1"/>
  <c r="C665" i="2"/>
  <c r="A665" i="2"/>
  <c r="E664" i="2"/>
  <c r="F664" i="2" s="1"/>
  <c r="C664" i="2"/>
  <c r="A664" i="2"/>
  <c r="E663" i="2"/>
  <c r="F663" i="2" s="1"/>
  <c r="C663" i="2"/>
  <c r="A663" i="2"/>
  <c r="E662" i="2"/>
  <c r="F662" i="2" s="1"/>
  <c r="C662" i="2"/>
  <c r="A662" i="2"/>
  <c r="E661" i="2"/>
  <c r="F661" i="2" s="1"/>
  <c r="C661" i="2"/>
  <c r="A661" i="2"/>
  <c r="E660" i="2"/>
  <c r="F660" i="2" s="1"/>
  <c r="C660" i="2"/>
  <c r="A660" i="2"/>
  <c r="E659" i="2"/>
  <c r="F659" i="2" s="1"/>
  <c r="C659" i="2"/>
  <c r="A659" i="2"/>
  <c r="E658" i="2"/>
  <c r="F658" i="2" s="1"/>
  <c r="C658" i="2"/>
  <c r="A658" i="2"/>
  <c r="E657" i="2"/>
  <c r="F657" i="2" s="1"/>
  <c r="C657" i="2"/>
  <c r="A657" i="2"/>
  <c r="E656" i="2"/>
  <c r="F656" i="2" s="1"/>
  <c r="C656" i="2"/>
  <c r="A656" i="2"/>
  <c r="E655" i="2"/>
  <c r="F655" i="2" s="1"/>
  <c r="C655" i="2"/>
  <c r="A655" i="2"/>
  <c r="E654" i="2"/>
  <c r="F654" i="2" s="1"/>
  <c r="C654" i="2"/>
  <c r="A654" i="2"/>
  <c r="E653" i="2"/>
  <c r="F653" i="2" s="1"/>
  <c r="C653" i="2"/>
  <c r="A653" i="2"/>
  <c r="E652" i="2"/>
  <c r="F652" i="2" s="1"/>
  <c r="C652" i="2"/>
  <c r="A652" i="2"/>
  <c r="E651" i="2"/>
  <c r="F651" i="2" s="1"/>
  <c r="C651" i="2"/>
  <c r="A651" i="2"/>
  <c r="E650" i="2"/>
  <c r="F650" i="2" s="1"/>
  <c r="C650" i="2"/>
  <c r="A650" i="2"/>
  <c r="E649" i="2"/>
  <c r="F649" i="2" s="1"/>
  <c r="C649" i="2"/>
  <c r="A649" i="2"/>
  <c r="E648" i="2"/>
  <c r="F648" i="2" s="1"/>
  <c r="C648" i="2"/>
  <c r="A648" i="2"/>
  <c r="E647" i="2"/>
  <c r="F647" i="2" s="1"/>
  <c r="C647" i="2"/>
  <c r="A647" i="2"/>
  <c r="E646" i="2"/>
  <c r="F646" i="2" s="1"/>
  <c r="C646" i="2"/>
  <c r="A646" i="2"/>
  <c r="E645" i="2"/>
  <c r="F645" i="2" s="1"/>
  <c r="C645" i="2"/>
  <c r="A645" i="2"/>
  <c r="E644" i="2"/>
  <c r="F644" i="2" s="1"/>
  <c r="C644" i="2"/>
  <c r="A644" i="2"/>
  <c r="E643" i="2"/>
  <c r="F643" i="2" s="1"/>
  <c r="C643" i="2"/>
  <c r="A643" i="2"/>
  <c r="E642" i="2"/>
  <c r="F642" i="2" s="1"/>
  <c r="C642" i="2"/>
  <c r="A642" i="2"/>
  <c r="E641" i="2"/>
  <c r="F641" i="2" s="1"/>
  <c r="C641" i="2"/>
  <c r="A641" i="2"/>
  <c r="E640" i="2"/>
  <c r="F640" i="2" s="1"/>
  <c r="C640" i="2"/>
  <c r="A640" i="2"/>
  <c r="E639" i="2"/>
  <c r="F639" i="2" s="1"/>
  <c r="C639" i="2"/>
  <c r="A639" i="2"/>
  <c r="E638" i="2"/>
  <c r="F638" i="2" s="1"/>
  <c r="C638" i="2"/>
  <c r="A638" i="2"/>
  <c r="E637" i="2"/>
  <c r="F637" i="2" s="1"/>
  <c r="C637" i="2"/>
  <c r="A637" i="2"/>
  <c r="E636" i="2"/>
  <c r="F636" i="2" s="1"/>
  <c r="C636" i="2"/>
  <c r="A636" i="2"/>
  <c r="E635" i="2"/>
  <c r="F635" i="2" s="1"/>
  <c r="C635" i="2"/>
  <c r="A635" i="2"/>
  <c r="E634" i="2"/>
  <c r="F634" i="2" s="1"/>
  <c r="C634" i="2"/>
  <c r="A634" i="2"/>
  <c r="E633" i="2"/>
  <c r="F633" i="2" s="1"/>
  <c r="C633" i="2"/>
  <c r="A633" i="2"/>
  <c r="E632" i="2"/>
  <c r="F632" i="2" s="1"/>
  <c r="C632" i="2"/>
  <c r="A632" i="2"/>
  <c r="E631" i="2"/>
  <c r="F631" i="2" s="1"/>
  <c r="C631" i="2"/>
  <c r="A631" i="2"/>
  <c r="E630" i="2"/>
  <c r="F630" i="2" s="1"/>
  <c r="C630" i="2"/>
  <c r="A630" i="2"/>
  <c r="E629" i="2"/>
  <c r="F629" i="2" s="1"/>
  <c r="C629" i="2"/>
  <c r="A629" i="2"/>
  <c r="E628" i="2"/>
  <c r="F628" i="2" s="1"/>
  <c r="C628" i="2"/>
  <c r="A628" i="2"/>
  <c r="E627" i="2"/>
  <c r="F627" i="2" s="1"/>
  <c r="C627" i="2"/>
  <c r="A627" i="2"/>
  <c r="E626" i="2"/>
  <c r="F626" i="2" s="1"/>
  <c r="C626" i="2"/>
  <c r="A626" i="2"/>
  <c r="E625" i="2"/>
  <c r="F625" i="2" s="1"/>
  <c r="C625" i="2"/>
  <c r="A625" i="2"/>
  <c r="E624" i="2"/>
  <c r="F624" i="2" s="1"/>
  <c r="C624" i="2"/>
  <c r="A624" i="2"/>
  <c r="E623" i="2"/>
  <c r="F623" i="2" s="1"/>
  <c r="C623" i="2"/>
  <c r="A623" i="2"/>
  <c r="E622" i="2"/>
  <c r="F622" i="2" s="1"/>
  <c r="C622" i="2"/>
  <c r="A622" i="2"/>
  <c r="E621" i="2"/>
  <c r="F621" i="2" s="1"/>
  <c r="C621" i="2"/>
  <c r="A621" i="2"/>
  <c r="E620" i="2"/>
  <c r="F620" i="2" s="1"/>
  <c r="C620" i="2"/>
  <c r="A620" i="2"/>
  <c r="E619" i="2"/>
  <c r="F619" i="2" s="1"/>
  <c r="C619" i="2"/>
  <c r="A619" i="2"/>
  <c r="E618" i="2"/>
  <c r="F618" i="2" s="1"/>
  <c r="C618" i="2"/>
  <c r="A618" i="2"/>
  <c r="E617" i="2"/>
  <c r="F617" i="2" s="1"/>
  <c r="C617" i="2"/>
  <c r="A617" i="2"/>
  <c r="E616" i="2"/>
  <c r="F616" i="2" s="1"/>
  <c r="C616" i="2"/>
  <c r="A616" i="2"/>
  <c r="E615" i="2"/>
  <c r="F615" i="2" s="1"/>
  <c r="C615" i="2"/>
  <c r="A615" i="2"/>
  <c r="E614" i="2"/>
  <c r="F614" i="2" s="1"/>
  <c r="C614" i="2"/>
  <c r="A614" i="2"/>
  <c r="E613" i="2"/>
  <c r="F613" i="2" s="1"/>
  <c r="C613" i="2"/>
  <c r="A613" i="2"/>
  <c r="E612" i="2"/>
  <c r="F612" i="2" s="1"/>
  <c r="C612" i="2"/>
  <c r="A612" i="2"/>
  <c r="E611" i="2"/>
  <c r="F611" i="2" s="1"/>
  <c r="C611" i="2"/>
  <c r="A611" i="2"/>
  <c r="E610" i="2"/>
  <c r="F610" i="2" s="1"/>
  <c r="C610" i="2"/>
  <c r="A610" i="2"/>
  <c r="E609" i="2"/>
  <c r="F609" i="2" s="1"/>
  <c r="C609" i="2"/>
  <c r="A609" i="2"/>
  <c r="E608" i="2"/>
  <c r="F608" i="2" s="1"/>
  <c r="C608" i="2"/>
  <c r="A608" i="2"/>
  <c r="E607" i="2"/>
  <c r="F607" i="2" s="1"/>
  <c r="C607" i="2"/>
  <c r="A607" i="2"/>
  <c r="E606" i="2"/>
  <c r="F606" i="2" s="1"/>
  <c r="C606" i="2"/>
  <c r="A606" i="2"/>
  <c r="E605" i="2"/>
  <c r="F605" i="2" s="1"/>
  <c r="C605" i="2"/>
  <c r="A605" i="2"/>
  <c r="E604" i="2"/>
  <c r="F604" i="2" s="1"/>
  <c r="C604" i="2"/>
  <c r="A604" i="2"/>
  <c r="E603" i="2"/>
  <c r="F603" i="2" s="1"/>
  <c r="C603" i="2"/>
  <c r="A603" i="2"/>
  <c r="E602" i="2"/>
  <c r="F602" i="2" s="1"/>
  <c r="C602" i="2"/>
  <c r="A602" i="2"/>
  <c r="E601" i="2"/>
  <c r="F601" i="2" s="1"/>
  <c r="C601" i="2"/>
  <c r="A601" i="2"/>
  <c r="E600" i="2"/>
  <c r="F600" i="2" s="1"/>
  <c r="C600" i="2"/>
  <c r="A600" i="2"/>
  <c r="E599" i="2"/>
  <c r="F599" i="2" s="1"/>
  <c r="C599" i="2"/>
  <c r="A599" i="2"/>
  <c r="E598" i="2"/>
  <c r="F598" i="2" s="1"/>
  <c r="C598" i="2"/>
  <c r="A598" i="2"/>
  <c r="E597" i="2"/>
  <c r="F597" i="2" s="1"/>
  <c r="C597" i="2"/>
  <c r="A597" i="2"/>
  <c r="E596" i="2"/>
  <c r="F596" i="2" s="1"/>
  <c r="C596" i="2"/>
  <c r="A596" i="2"/>
  <c r="E595" i="2"/>
  <c r="F595" i="2" s="1"/>
  <c r="C595" i="2"/>
  <c r="A595" i="2"/>
  <c r="E594" i="2"/>
  <c r="F594" i="2" s="1"/>
  <c r="C594" i="2"/>
  <c r="A594" i="2"/>
  <c r="E593" i="2"/>
  <c r="F593" i="2" s="1"/>
  <c r="C593" i="2"/>
  <c r="A593" i="2"/>
  <c r="E592" i="2"/>
  <c r="F592" i="2" s="1"/>
  <c r="C592" i="2"/>
  <c r="A592" i="2"/>
  <c r="E591" i="2"/>
  <c r="F591" i="2" s="1"/>
  <c r="C591" i="2"/>
  <c r="A591" i="2"/>
  <c r="E590" i="2"/>
  <c r="F590" i="2" s="1"/>
  <c r="C590" i="2"/>
  <c r="A590" i="2"/>
  <c r="E589" i="2"/>
  <c r="F589" i="2" s="1"/>
  <c r="C589" i="2"/>
  <c r="A589" i="2"/>
  <c r="E588" i="2"/>
  <c r="F588" i="2" s="1"/>
  <c r="C588" i="2"/>
  <c r="A588" i="2"/>
  <c r="E587" i="2"/>
  <c r="F587" i="2" s="1"/>
  <c r="C587" i="2"/>
  <c r="A587" i="2"/>
  <c r="E586" i="2"/>
  <c r="F586" i="2" s="1"/>
  <c r="C586" i="2"/>
  <c r="A586" i="2"/>
  <c r="E585" i="2"/>
  <c r="F585" i="2" s="1"/>
  <c r="C585" i="2"/>
  <c r="A585" i="2"/>
  <c r="E584" i="2"/>
  <c r="F584" i="2" s="1"/>
  <c r="C584" i="2"/>
  <c r="A584" i="2"/>
  <c r="E583" i="2"/>
  <c r="F583" i="2" s="1"/>
  <c r="C583" i="2"/>
  <c r="A583" i="2"/>
  <c r="E582" i="2"/>
  <c r="F582" i="2" s="1"/>
  <c r="C582" i="2"/>
  <c r="A582" i="2"/>
  <c r="E581" i="2"/>
  <c r="F581" i="2" s="1"/>
  <c r="C581" i="2"/>
  <c r="A581" i="2"/>
  <c r="E580" i="2"/>
  <c r="F580" i="2" s="1"/>
  <c r="C580" i="2"/>
  <c r="A580" i="2"/>
  <c r="E579" i="2"/>
  <c r="F579" i="2" s="1"/>
  <c r="C579" i="2"/>
  <c r="A579" i="2"/>
  <c r="E578" i="2"/>
  <c r="F578" i="2" s="1"/>
  <c r="C578" i="2"/>
  <c r="A578" i="2"/>
  <c r="E577" i="2"/>
  <c r="F577" i="2" s="1"/>
  <c r="C577" i="2"/>
  <c r="A577" i="2"/>
  <c r="E576" i="2"/>
  <c r="F576" i="2" s="1"/>
  <c r="C576" i="2"/>
  <c r="A576" i="2"/>
  <c r="E575" i="2"/>
  <c r="F575" i="2" s="1"/>
  <c r="C575" i="2"/>
  <c r="A575" i="2"/>
  <c r="E574" i="2"/>
  <c r="F574" i="2" s="1"/>
  <c r="C574" i="2"/>
  <c r="A574" i="2"/>
  <c r="E573" i="2"/>
  <c r="F573" i="2" s="1"/>
  <c r="C573" i="2"/>
  <c r="A573" i="2"/>
  <c r="E572" i="2"/>
  <c r="F572" i="2" s="1"/>
  <c r="C572" i="2"/>
  <c r="A572" i="2"/>
  <c r="E571" i="2"/>
  <c r="F571" i="2" s="1"/>
  <c r="C571" i="2"/>
  <c r="A571" i="2"/>
  <c r="E570" i="2"/>
  <c r="F570" i="2" s="1"/>
  <c r="C570" i="2"/>
  <c r="A570" i="2"/>
  <c r="E569" i="2"/>
  <c r="F569" i="2" s="1"/>
  <c r="C569" i="2"/>
  <c r="A569" i="2"/>
  <c r="E568" i="2"/>
  <c r="F568" i="2" s="1"/>
  <c r="C568" i="2"/>
  <c r="A568" i="2"/>
  <c r="E567" i="2"/>
  <c r="F567" i="2" s="1"/>
  <c r="C567" i="2"/>
  <c r="A567" i="2"/>
  <c r="E566" i="2"/>
  <c r="F566" i="2" s="1"/>
  <c r="C566" i="2"/>
  <c r="A566" i="2"/>
  <c r="E565" i="2"/>
  <c r="F565" i="2" s="1"/>
  <c r="C565" i="2"/>
  <c r="A565" i="2"/>
  <c r="E564" i="2"/>
  <c r="F564" i="2" s="1"/>
  <c r="C564" i="2"/>
  <c r="A564" i="2"/>
  <c r="E563" i="2"/>
  <c r="F563" i="2" s="1"/>
  <c r="C563" i="2"/>
  <c r="A563" i="2"/>
  <c r="E562" i="2"/>
  <c r="F562" i="2" s="1"/>
  <c r="C562" i="2"/>
  <c r="A562" i="2"/>
  <c r="E561" i="2"/>
  <c r="F561" i="2" s="1"/>
  <c r="C561" i="2"/>
  <c r="A561" i="2"/>
  <c r="E560" i="2"/>
  <c r="F560" i="2" s="1"/>
  <c r="C560" i="2"/>
  <c r="A560" i="2"/>
  <c r="E559" i="2"/>
  <c r="F559" i="2" s="1"/>
  <c r="C559" i="2"/>
  <c r="A559" i="2"/>
  <c r="E558" i="2"/>
  <c r="F558" i="2" s="1"/>
  <c r="C558" i="2"/>
  <c r="A558" i="2"/>
  <c r="E557" i="2"/>
  <c r="F557" i="2" s="1"/>
  <c r="C557" i="2"/>
  <c r="A557" i="2"/>
  <c r="E556" i="2"/>
  <c r="F556" i="2" s="1"/>
  <c r="C556" i="2"/>
  <c r="A556" i="2"/>
  <c r="E555" i="2"/>
  <c r="F555" i="2" s="1"/>
  <c r="C555" i="2"/>
  <c r="A555" i="2"/>
  <c r="E554" i="2"/>
  <c r="F554" i="2" s="1"/>
  <c r="C554" i="2"/>
  <c r="A554" i="2"/>
  <c r="E553" i="2"/>
  <c r="F553" i="2" s="1"/>
  <c r="C553" i="2"/>
  <c r="A553" i="2"/>
  <c r="E552" i="2"/>
  <c r="F552" i="2" s="1"/>
  <c r="C552" i="2"/>
  <c r="A552" i="2"/>
  <c r="E551" i="2"/>
  <c r="F551" i="2" s="1"/>
  <c r="C551" i="2"/>
  <c r="A551" i="2"/>
  <c r="E550" i="2"/>
  <c r="F550" i="2" s="1"/>
  <c r="C550" i="2"/>
  <c r="A550" i="2"/>
  <c r="E549" i="2"/>
  <c r="F549" i="2" s="1"/>
  <c r="C549" i="2"/>
  <c r="A549" i="2"/>
  <c r="E548" i="2"/>
  <c r="F548" i="2" s="1"/>
  <c r="C548" i="2"/>
  <c r="A548" i="2"/>
  <c r="E547" i="2"/>
  <c r="F547" i="2" s="1"/>
  <c r="C547" i="2"/>
  <c r="A547" i="2"/>
  <c r="E546" i="2"/>
  <c r="F546" i="2" s="1"/>
  <c r="C546" i="2"/>
  <c r="A546" i="2"/>
  <c r="E545" i="2"/>
  <c r="F545" i="2" s="1"/>
  <c r="C545" i="2"/>
  <c r="A545" i="2"/>
  <c r="E544" i="2"/>
  <c r="F544" i="2" s="1"/>
  <c r="C544" i="2"/>
  <c r="A544" i="2"/>
  <c r="E543" i="2"/>
  <c r="F543" i="2" s="1"/>
  <c r="C543" i="2"/>
  <c r="A543" i="2"/>
  <c r="E542" i="2"/>
  <c r="F542" i="2" s="1"/>
  <c r="C542" i="2"/>
  <c r="A542" i="2"/>
  <c r="E541" i="2"/>
  <c r="F541" i="2" s="1"/>
  <c r="C541" i="2"/>
  <c r="A541" i="2"/>
  <c r="E540" i="2"/>
  <c r="F540" i="2" s="1"/>
  <c r="C540" i="2"/>
  <c r="A540" i="2"/>
  <c r="E539" i="2"/>
  <c r="F539" i="2" s="1"/>
  <c r="C539" i="2"/>
  <c r="A539" i="2"/>
  <c r="E538" i="2"/>
  <c r="F538" i="2" s="1"/>
  <c r="C538" i="2"/>
  <c r="A538" i="2"/>
  <c r="E537" i="2"/>
  <c r="F537" i="2" s="1"/>
  <c r="C537" i="2"/>
  <c r="A537" i="2"/>
  <c r="E536" i="2"/>
  <c r="F536" i="2" s="1"/>
  <c r="C536" i="2"/>
  <c r="A536" i="2"/>
  <c r="E535" i="2"/>
  <c r="F535" i="2" s="1"/>
  <c r="C535" i="2"/>
  <c r="A535" i="2"/>
  <c r="E534" i="2"/>
  <c r="F534" i="2" s="1"/>
  <c r="C534" i="2"/>
  <c r="A534" i="2"/>
  <c r="E533" i="2"/>
  <c r="F533" i="2" s="1"/>
  <c r="C533" i="2"/>
  <c r="A533" i="2"/>
  <c r="E532" i="2"/>
  <c r="F532" i="2" s="1"/>
  <c r="C532" i="2"/>
  <c r="A532" i="2"/>
  <c r="E531" i="2"/>
  <c r="F531" i="2" s="1"/>
  <c r="C531" i="2"/>
  <c r="A531" i="2"/>
  <c r="E530" i="2"/>
  <c r="F530" i="2" s="1"/>
  <c r="C530" i="2"/>
  <c r="A530" i="2"/>
  <c r="E529" i="2"/>
  <c r="F529" i="2" s="1"/>
  <c r="C529" i="2"/>
  <c r="A529" i="2"/>
  <c r="E528" i="2"/>
  <c r="F528" i="2" s="1"/>
  <c r="C528" i="2"/>
  <c r="A528" i="2"/>
  <c r="E527" i="2"/>
  <c r="F527" i="2" s="1"/>
  <c r="C527" i="2"/>
  <c r="A527" i="2"/>
  <c r="E526" i="2"/>
  <c r="F526" i="2" s="1"/>
  <c r="C526" i="2"/>
  <c r="A526" i="2"/>
  <c r="E525" i="2"/>
  <c r="F525" i="2" s="1"/>
  <c r="C525" i="2"/>
  <c r="A525" i="2"/>
  <c r="E524" i="2"/>
  <c r="F524" i="2" s="1"/>
  <c r="C524" i="2"/>
  <c r="A524" i="2"/>
  <c r="E523" i="2"/>
  <c r="F523" i="2" s="1"/>
  <c r="C523" i="2"/>
  <c r="A523" i="2"/>
  <c r="E522" i="2"/>
  <c r="F522" i="2" s="1"/>
  <c r="C522" i="2"/>
  <c r="A522" i="2"/>
  <c r="E521" i="2"/>
  <c r="F521" i="2" s="1"/>
  <c r="C521" i="2"/>
  <c r="A521" i="2"/>
  <c r="E520" i="2"/>
  <c r="F520" i="2" s="1"/>
  <c r="C520" i="2"/>
  <c r="A520" i="2"/>
  <c r="E519" i="2"/>
  <c r="F519" i="2" s="1"/>
  <c r="C519" i="2"/>
  <c r="A519" i="2"/>
  <c r="E518" i="2"/>
  <c r="F518" i="2" s="1"/>
  <c r="C518" i="2"/>
  <c r="A518" i="2"/>
  <c r="E517" i="2"/>
  <c r="F517" i="2" s="1"/>
  <c r="C517" i="2"/>
  <c r="A517" i="2"/>
  <c r="E516" i="2"/>
  <c r="F516" i="2" s="1"/>
  <c r="C516" i="2"/>
  <c r="A516" i="2"/>
  <c r="E515" i="2"/>
  <c r="F515" i="2" s="1"/>
  <c r="C515" i="2"/>
  <c r="A515" i="2"/>
  <c r="E514" i="2"/>
  <c r="F514" i="2" s="1"/>
  <c r="C514" i="2"/>
  <c r="A514" i="2"/>
  <c r="E513" i="2"/>
  <c r="F513" i="2" s="1"/>
  <c r="C513" i="2"/>
  <c r="A513" i="2"/>
  <c r="E512" i="2"/>
  <c r="F512" i="2" s="1"/>
  <c r="C512" i="2"/>
  <c r="A512" i="2"/>
  <c r="E511" i="2"/>
  <c r="F511" i="2" s="1"/>
  <c r="C511" i="2"/>
  <c r="A511" i="2"/>
  <c r="E510" i="2"/>
  <c r="F510" i="2" s="1"/>
  <c r="C510" i="2"/>
  <c r="A510" i="2"/>
  <c r="E509" i="2"/>
  <c r="F509" i="2" s="1"/>
  <c r="C509" i="2"/>
  <c r="A509" i="2"/>
  <c r="E508" i="2"/>
  <c r="F508" i="2" s="1"/>
  <c r="C508" i="2"/>
  <c r="A508" i="2"/>
  <c r="E507" i="2"/>
  <c r="F507" i="2" s="1"/>
  <c r="C507" i="2"/>
  <c r="A507" i="2"/>
  <c r="E506" i="2"/>
  <c r="F506" i="2" s="1"/>
  <c r="C506" i="2"/>
  <c r="A506" i="2"/>
  <c r="E505" i="2"/>
  <c r="F505" i="2" s="1"/>
  <c r="C505" i="2"/>
  <c r="A505" i="2"/>
  <c r="E504" i="2"/>
  <c r="F504" i="2" s="1"/>
  <c r="C504" i="2"/>
  <c r="A504" i="2"/>
  <c r="E503" i="2"/>
  <c r="F503" i="2" s="1"/>
  <c r="C503" i="2"/>
  <c r="A503" i="2"/>
  <c r="E502" i="2"/>
  <c r="F502" i="2" s="1"/>
  <c r="C502" i="2"/>
  <c r="A502" i="2"/>
  <c r="E501" i="2"/>
  <c r="F501" i="2" s="1"/>
  <c r="C501" i="2"/>
  <c r="A501" i="2"/>
  <c r="E500" i="2"/>
  <c r="F500" i="2" s="1"/>
  <c r="C500" i="2"/>
  <c r="A500" i="2"/>
  <c r="E499" i="2"/>
  <c r="F499" i="2" s="1"/>
  <c r="C499" i="2"/>
  <c r="A499" i="2"/>
  <c r="E498" i="2"/>
  <c r="F498" i="2" s="1"/>
  <c r="C498" i="2"/>
  <c r="A498" i="2"/>
  <c r="E497" i="2"/>
  <c r="F497" i="2" s="1"/>
  <c r="C497" i="2"/>
  <c r="A497" i="2"/>
  <c r="E496" i="2"/>
  <c r="F496" i="2" s="1"/>
  <c r="C496" i="2"/>
  <c r="A496" i="2"/>
  <c r="E495" i="2"/>
  <c r="F495" i="2" s="1"/>
  <c r="C495" i="2"/>
  <c r="A495" i="2"/>
  <c r="E494" i="2"/>
  <c r="F494" i="2" s="1"/>
  <c r="C494" i="2"/>
  <c r="A494" i="2"/>
  <c r="E493" i="2"/>
  <c r="F493" i="2" s="1"/>
  <c r="C493" i="2"/>
  <c r="A493" i="2"/>
  <c r="E492" i="2"/>
  <c r="F492" i="2" s="1"/>
  <c r="C492" i="2"/>
  <c r="A492" i="2"/>
  <c r="E491" i="2"/>
  <c r="F491" i="2" s="1"/>
  <c r="C491" i="2"/>
  <c r="A491" i="2"/>
  <c r="E490" i="2"/>
  <c r="F490" i="2" s="1"/>
  <c r="C490" i="2"/>
  <c r="A490" i="2"/>
  <c r="E489" i="2"/>
  <c r="F489" i="2" s="1"/>
  <c r="C489" i="2"/>
  <c r="A489" i="2"/>
  <c r="E488" i="2"/>
  <c r="F488" i="2" s="1"/>
  <c r="C488" i="2"/>
  <c r="A488" i="2"/>
  <c r="E487" i="2"/>
  <c r="F487" i="2" s="1"/>
  <c r="C487" i="2"/>
  <c r="A487" i="2"/>
  <c r="E486" i="2"/>
  <c r="F486" i="2" s="1"/>
  <c r="C486" i="2"/>
  <c r="A486" i="2"/>
  <c r="E485" i="2"/>
  <c r="F485" i="2" s="1"/>
  <c r="C485" i="2"/>
  <c r="A485" i="2"/>
  <c r="E484" i="2"/>
  <c r="F484" i="2" s="1"/>
  <c r="C484" i="2"/>
  <c r="A484" i="2"/>
  <c r="E483" i="2"/>
  <c r="F483" i="2" s="1"/>
  <c r="C483" i="2"/>
  <c r="A483" i="2"/>
  <c r="E482" i="2"/>
  <c r="F482" i="2" s="1"/>
  <c r="C482" i="2"/>
  <c r="A482" i="2"/>
  <c r="E481" i="2"/>
  <c r="F481" i="2" s="1"/>
  <c r="C481" i="2"/>
  <c r="A481" i="2"/>
  <c r="E480" i="2"/>
  <c r="F480" i="2" s="1"/>
  <c r="C480" i="2"/>
  <c r="A480" i="2"/>
  <c r="E479" i="2"/>
  <c r="F479" i="2" s="1"/>
  <c r="C479" i="2"/>
  <c r="A479" i="2"/>
  <c r="E478" i="2"/>
  <c r="F478" i="2" s="1"/>
  <c r="C478" i="2"/>
  <c r="A478" i="2"/>
  <c r="E477" i="2"/>
  <c r="F477" i="2" s="1"/>
  <c r="C477" i="2"/>
  <c r="A477" i="2"/>
  <c r="E476" i="2"/>
  <c r="F476" i="2" s="1"/>
  <c r="C476" i="2"/>
  <c r="A476" i="2"/>
  <c r="E475" i="2"/>
  <c r="F475" i="2" s="1"/>
  <c r="C475" i="2"/>
  <c r="A475" i="2"/>
  <c r="E474" i="2"/>
  <c r="F474" i="2" s="1"/>
  <c r="C474" i="2"/>
  <c r="A474" i="2"/>
  <c r="E473" i="2"/>
  <c r="F473" i="2" s="1"/>
  <c r="C473" i="2"/>
  <c r="A473" i="2"/>
  <c r="E472" i="2"/>
  <c r="F472" i="2" s="1"/>
  <c r="C472" i="2"/>
  <c r="A472" i="2"/>
  <c r="E471" i="2"/>
  <c r="F471" i="2" s="1"/>
  <c r="C471" i="2"/>
  <c r="A471" i="2"/>
  <c r="E470" i="2"/>
  <c r="F470" i="2" s="1"/>
  <c r="C470" i="2"/>
  <c r="A470" i="2"/>
  <c r="E469" i="2"/>
  <c r="F469" i="2" s="1"/>
  <c r="C469" i="2"/>
  <c r="A469" i="2"/>
  <c r="E468" i="2"/>
  <c r="F468" i="2" s="1"/>
  <c r="C468" i="2"/>
  <c r="A468" i="2"/>
  <c r="E467" i="2"/>
  <c r="F467" i="2" s="1"/>
  <c r="C467" i="2"/>
  <c r="A467" i="2"/>
  <c r="E466" i="2"/>
  <c r="F466" i="2" s="1"/>
  <c r="C466" i="2"/>
  <c r="A466" i="2"/>
  <c r="E465" i="2"/>
  <c r="F465" i="2" s="1"/>
  <c r="C465" i="2"/>
  <c r="A465" i="2"/>
  <c r="E464" i="2"/>
  <c r="F464" i="2" s="1"/>
  <c r="C464" i="2"/>
  <c r="A464" i="2"/>
  <c r="E463" i="2"/>
  <c r="F463" i="2" s="1"/>
  <c r="C463" i="2"/>
  <c r="A463" i="2"/>
  <c r="E462" i="2"/>
  <c r="F462" i="2" s="1"/>
  <c r="C462" i="2"/>
  <c r="A462" i="2"/>
  <c r="E461" i="2"/>
  <c r="F461" i="2" s="1"/>
  <c r="C461" i="2"/>
  <c r="A461" i="2"/>
  <c r="E460" i="2"/>
  <c r="F460" i="2" s="1"/>
  <c r="C460" i="2"/>
  <c r="A460" i="2"/>
  <c r="E459" i="2"/>
  <c r="F459" i="2" s="1"/>
  <c r="C459" i="2"/>
  <c r="A459" i="2"/>
  <c r="E458" i="2"/>
  <c r="F458" i="2" s="1"/>
  <c r="C458" i="2"/>
  <c r="A458" i="2"/>
  <c r="E457" i="2"/>
  <c r="F457" i="2" s="1"/>
  <c r="C457" i="2"/>
  <c r="A457" i="2"/>
  <c r="E456" i="2"/>
  <c r="F456" i="2" s="1"/>
  <c r="C456" i="2"/>
  <c r="A456" i="2"/>
  <c r="E455" i="2"/>
  <c r="F455" i="2" s="1"/>
  <c r="C455" i="2"/>
  <c r="A455" i="2"/>
  <c r="E454" i="2"/>
  <c r="F454" i="2" s="1"/>
  <c r="C454" i="2"/>
  <c r="A454" i="2"/>
  <c r="E453" i="2"/>
  <c r="F453" i="2" s="1"/>
  <c r="C453" i="2"/>
  <c r="A453" i="2"/>
  <c r="E452" i="2"/>
  <c r="F452" i="2" s="1"/>
  <c r="C452" i="2"/>
  <c r="A452" i="2"/>
  <c r="E451" i="2"/>
  <c r="F451" i="2" s="1"/>
  <c r="C451" i="2"/>
  <c r="A451" i="2"/>
  <c r="E450" i="2"/>
  <c r="F450" i="2" s="1"/>
  <c r="C450" i="2"/>
  <c r="A450" i="2"/>
  <c r="E449" i="2"/>
  <c r="F449" i="2" s="1"/>
  <c r="C449" i="2"/>
  <c r="A449" i="2"/>
  <c r="E448" i="2"/>
  <c r="F448" i="2" s="1"/>
  <c r="C448" i="2"/>
  <c r="A448" i="2"/>
  <c r="E447" i="2"/>
  <c r="F447" i="2" s="1"/>
  <c r="C447" i="2"/>
  <c r="A447" i="2"/>
  <c r="E446" i="2"/>
  <c r="F446" i="2" s="1"/>
  <c r="C446" i="2"/>
  <c r="A446" i="2"/>
  <c r="E445" i="2"/>
  <c r="F445" i="2" s="1"/>
  <c r="C445" i="2"/>
  <c r="A445" i="2"/>
  <c r="E444" i="2"/>
  <c r="F444" i="2" s="1"/>
  <c r="C444" i="2"/>
  <c r="A444" i="2"/>
  <c r="E443" i="2"/>
  <c r="F443" i="2" s="1"/>
  <c r="C443" i="2"/>
  <c r="A443" i="2"/>
  <c r="E442" i="2"/>
  <c r="F442" i="2" s="1"/>
  <c r="C442" i="2"/>
  <c r="A442" i="2"/>
  <c r="E441" i="2"/>
  <c r="F441" i="2" s="1"/>
  <c r="C441" i="2"/>
  <c r="A441" i="2"/>
  <c r="E440" i="2"/>
  <c r="F440" i="2" s="1"/>
  <c r="C440" i="2"/>
  <c r="A440" i="2"/>
  <c r="E439" i="2"/>
  <c r="F439" i="2" s="1"/>
  <c r="C439" i="2"/>
  <c r="A439" i="2"/>
  <c r="E438" i="2"/>
  <c r="F438" i="2" s="1"/>
  <c r="C438" i="2"/>
  <c r="A438" i="2"/>
  <c r="E437" i="2"/>
  <c r="F437" i="2" s="1"/>
  <c r="C437" i="2"/>
  <c r="A437" i="2"/>
  <c r="E436" i="2"/>
  <c r="F436" i="2" s="1"/>
  <c r="C436" i="2"/>
  <c r="A436" i="2"/>
  <c r="E435" i="2"/>
  <c r="F435" i="2" s="1"/>
  <c r="C435" i="2"/>
  <c r="A435" i="2"/>
  <c r="E434" i="2"/>
  <c r="F434" i="2" s="1"/>
  <c r="C434" i="2"/>
  <c r="A434" i="2"/>
  <c r="E433" i="2"/>
  <c r="F433" i="2" s="1"/>
  <c r="C433" i="2"/>
  <c r="A433" i="2"/>
  <c r="E432" i="2"/>
  <c r="F432" i="2" s="1"/>
  <c r="C432" i="2"/>
  <c r="A432" i="2"/>
  <c r="E431" i="2"/>
  <c r="F431" i="2" s="1"/>
  <c r="C431" i="2"/>
  <c r="A431" i="2"/>
  <c r="E430" i="2"/>
  <c r="F430" i="2" s="1"/>
  <c r="C430" i="2"/>
  <c r="A430" i="2"/>
  <c r="E429" i="2"/>
  <c r="F429" i="2" s="1"/>
  <c r="C429" i="2"/>
  <c r="A429" i="2"/>
  <c r="E428" i="2"/>
  <c r="F428" i="2" s="1"/>
  <c r="C428" i="2"/>
  <c r="A428" i="2"/>
  <c r="E427" i="2"/>
  <c r="F427" i="2" s="1"/>
  <c r="C427" i="2"/>
  <c r="A427" i="2"/>
  <c r="E426" i="2"/>
  <c r="F426" i="2" s="1"/>
  <c r="C426" i="2"/>
  <c r="A426" i="2"/>
  <c r="E425" i="2"/>
  <c r="F425" i="2" s="1"/>
  <c r="C425" i="2"/>
  <c r="A425" i="2"/>
  <c r="E424" i="2"/>
  <c r="F424" i="2" s="1"/>
  <c r="C424" i="2"/>
  <c r="A424" i="2"/>
  <c r="E423" i="2"/>
  <c r="F423" i="2" s="1"/>
  <c r="C423" i="2"/>
  <c r="A423" i="2"/>
  <c r="E422" i="2"/>
  <c r="F422" i="2" s="1"/>
  <c r="C422" i="2"/>
  <c r="A422" i="2"/>
  <c r="E421" i="2"/>
  <c r="F421" i="2" s="1"/>
  <c r="C421" i="2"/>
  <c r="A421" i="2"/>
  <c r="E420" i="2"/>
  <c r="F420" i="2" s="1"/>
  <c r="C420" i="2"/>
  <c r="A420" i="2"/>
  <c r="E419" i="2"/>
  <c r="F419" i="2" s="1"/>
  <c r="C419" i="2"/>
  <c r="A419" i="2"/>
  <c r="E418" i="2"/>
  <c r="F418" i="2" s="1"/>
  <c r="C418" i="2"/>
  <c r="A418" i="2"/>
  <c r="E417" i="2"/>
  <c r="F417" i="2" s="1"/>
  <c r="C417" i="2"/>
  <c r="A417" i="2"/>
  <c r="E416" i="2"/>
  <c r="F416" i="2" s="1"/>
  <c r="C416" i="2"/>
  <c r="A416" i="2"/>
  <c r="E415" i="2"/>
  <c r="F415" i="2" s="1"/>
  <c r="C415" i="2"/>
  <c r="A415" i="2"/>
  <c r="E414" i="2"/>
  <c r="F414" i="2" s="1"/>
  <c r="C414" i="2"/>
  <c r="A414" i="2"/>
  <c r="E413" i="2"/>
  <c r="F413" i="2" s="1"/>
  <c r="C413" i="2"/>
  <c r="A413" i="2"/>
  <c r="E412" i="2"/>
  <c r="F412" i="2" s="1"/>
  <c r="C412" i="2"/>
  <c r="A412" i="2"/>
  <c r="E411" i="2"/>
  <c r="F411" i="2" s="1"/>
  <c r="C411" i="2"/>
  <c r="A411" i="2"/>
  <c r="E410" i="2"/>
  <c r="F410" i="2" s="1"/>
  <c r="C410" i="2"/>
  <c r="A410" i="2"/>
  <c r="E409" i="2"/>
  <c r="F409" i="2" s="1"/>
  <c r="C409" i="2"/>
  <c r="A409" i="2"/>
  <c r="E408" i="2"/>
  <c r="F408" i="2" s="1"/>
  <c r="C408" i="2"/>
  <c r="A408" i="2"/>
  <c r="E407" i="2"/>
  <c r="F407" i="2" s="1"/>
  <c r="C407" i="2"/>
  <c r="A407" i="2"/>
  <c r="E406" i="2"/>
  <c r="F406" i="2" s="1"/>
  <c r="C406" i="2"/>
  <c r="A406" i="2"/>
  <c r="E405" i="2"/>
  <c r="F405" i="2" s="1"/>
  <c r="C405" i="2"/>
  <c r="A405" i="2"/>
  <c r="E404" i="2"/>
  <c r="F404" i="2" s="1"/>
  <c r="C404" i="2"/>
  <c r="A404" i="2"/>
  <c r="E403" i="2"/>
  <c r="F403" i="2" s="1"/>
  <c r="C403" i="2"/>
  <c r="A403" i="2"/>
  <c r="E402" i="2"/>
  <c r="F402" i="2" s="1"/>
  <c r="C402" i="2"/>
  <c r="A402" i="2"/>
  <c r="E401" i="2"/>
  <c r="F401" i="2" s="1"/>
  <c r="C401" i="2"/>
  <c r="A401" i="2"/>
  <c r="E400" i="2"/>
  <c r="F400" i="2" s="1"/>
  <c r="C400" i="2"/>
  <c r="A400" i="2"/>
  <c r="E399" i="2"/>
  <c r="F399" i="2" s="1"/>
  <c r="C399" i="2"/>
  <c r="A399" i="2"/>
  <c r="E398" i="2"/>
  <c r="F398" i="2" s="1"/>
  <c r="C398" i="2"/>
  <c r="A398" i="2"/>
  <c r="E397" i="2"/>
  <c r="F397" i="2" s="1"/>
  <c r="C397" i="2"/>
  <c r="A397" i="2"/>
  <c r="E396" i="2"/>
  <c r="F396" i="2" s="1"/>
  <c r="C396" i="2"/>
  <c r="A396" i="2"/>
  <c r="E395" i="2"/>
  <c r="F395" i="2" s="1"/>
  <c r="C395" i="2"/>
  <c r="A395" i="2"/>
  <c r="E394" i="2"/>
  <c r="F394" i="2" s="1"/>
  <c r="C394" i="2"/>
  <c r="A394" i="2"/>
  <c r="E393" i="2"/>
  <c r="F393" i="2" s="1"/>
  <c r="C393" i="2"/>
  <c r="A393" i="2"/>
  <c r="E392" i="2"/>
  <c r="F392" i="2" s="1"/>
  <c r="C392" i="2"/>
  <c r="A392" i="2"/>
  <c r="E391" i="2"/>
  <c r="F391" i="2" s="1"/>
  <c r="C391" i="2"/>
  <c r="A391" i="2"/>
  <c r="E390" i="2"/>
  <c r="F390" i="2" s="1"/>
  <c r="C390" i="2"/>
  <c r="A390" i="2"/>
  <c r="E389" i="2"/>
  <c r="F389" i="2" s="1"/>
  <c r="C389" i="2"/>
  <c r="A389" i="2"/>
  <c r="E388" i="2"/>
  <c r="F388" i="2" s="1"/>
  <c r="C388" i="2"/>
  <c r="A388" i="2"/>
  <c r="E387" i="2"/>
  <c r="F387" i="2" s="1"/>
  <c r="C387" i="2"/>
  <c r="A387" i="2"/>
  <c r="E386" i="2"/>
  <c r="F386" i="2" s="1"/>
  <c r="C386" i="2"/>
  <c r="A386" i="2"/>
  <c r="E385" i="2"/>
  <c r="F385" i="2" s="1"/>
  <c r="C385" i="2"/>
  <c r="A385" i="2"/>
  <c r="E384" i="2"/>
  <c r="F384" i="2" s="1"/>
  <c r="C384" i="2"/>
  <c r="A384" i="2"/>
  <c r="E383" i="2"/>
  <c r="F383" i="2" s="1"/>
  <c r="C383" i="2"/>
  <c r="A383" i="2"/>
  <c r="E382" i="2"/>
  <c r="F382" i="2" s="1"/>
  <c r="C382" i="2"/>
  <c r="A382" i="2"/>
  <c r="E381" i="2"/>
  <c r="F381" i="2" s="1"/>
  <c r="C381" i="2"/>
  <c r="A381" i="2"/>
  <c r="E380" i="2"/>
  <c r="F380" i="2" s="1"/>
  <c r="C380" i="2"/>
  <c r="A380" i="2"/>
  <c r="E379" i="2"/>
  <c r="F379" i="2" s="1"/>
  <c r="C379" i="2"/>
  <c r="A379" i="2"/>
  <c r="E378" i="2"/>
  <c r="F378" i="2" s="1"/>
  <c r="C378" i="2"/>
  <c r="A378" i="2"/>
  <c r="E377" i="2"/>
  <c r="F377" i="2" s="1"/>
  <c r="C377" i="2"/>
  <c r="A377" i="2"/>
  <c r="E376" i="2"/>
  <c r="F376" i="2" s="1"/>
  <c r="C376" i="2"/>
  <c r="A376" i="2"/>
  <c r="E375" i="2"/>
  <c r="F375" i="2" s="1"/>
  <c r="C375" i="2"/>
  <c r="A375" i="2"/>
  <c r="E374" i="2"/>
  <c r="F374" i="2" s="1"/>
  <c r="C374" i="2"/>
  <c r="A374" i="2"/>
  <c r="E373" i="2"/>
  <c r="F373" i="2" s="1"/>
  <c r="C373" i="2"/>
  <c r="A373" i="2"/>
  <c r="E372" i="2"/>
  <c r="F372" i="2" s="1"/>
  <c r="C372" i="2"/>
  <c r="A372" i="2"/>
  <c r="E371" i="2"/>
  <c r="F371" i="2" s="1"/>
  <c r="C371" i="2"/>
  <c r="A371" i="2"/>
  <c r="E370" i="2"/>
  <c r="F370" i="2" s="1"/>
  <c r="C370" i="2"/>
  <c r="A370" i="2"/>
  <c r="E369" i="2"/>
  <c r="F369" i="2" s="1"/>
  <c r="C369" i="2"/>
  <c r="A369" i="2"/>
  <c r="E368" i="2"/>
  <c r="F368" i="2" s="1"/>
  <c r="C368" i="2"/>
  <c r="A368" i="2"/>
  <c r="E367" i="2"/>
  <c r="F367" i="2" s="1"/>
  <c r="C367" i="2"/>
  <c r="A367" i="2"/>
  <c r="E366" i="2"/>
  <c r="F366" i="2" s="1"/>
  <c r="C366" i="2"/>
  <c r="A366" i="2"/>
  <c r="E365" i="2"/>
  <c r="F365" i="2" s="1"/>
  <c r="C365" i="2"/>
  <c r="A365" i="2"/>
  <c r="E364" i="2"/>
  <c r="F364" i="2" s="1"/>
  <c r="C364" i="2"/>
  <c r="A364" i="2"/>
  <c r="E363" i="2"/>
  <c r="F363" i="2" s="1"/>
  <c r="C363" i="2"/>
  <c r="A363" i="2"/>
  <c r="E362" i="2"/>
  <c r="F362" i="2" s="1"/>
  <c r="C362" i="2"/>
  <c r="A362" i="2"/>
  <c r="E361" i="2"/>
  <c r="F361" i="2" s="1"/>
  <c r="C361" i="2"/>
  <c r="A361" i="2"/>
  <c r="E360" i="2"/>
  <c r="F360" i="2" s="1"/>
  <c r="C360" i="2"/>
  <c r="A360" i="2"/>
  <c r="E359" i="2"/>
  <c r="F359" i="2" s="1"/>
  <c r="C359" i="2"/>
  <c r="A359" i="2"/>
  <c r="E358" i="2"/>
  <c r="F358" i="2" s="1"/>
  <c r="C358" i="2"/>
  <c r="A358" i="2"/>
  <c r="E357" i="2"/>
  <c r="F357" i="2" s="1"/>
  <c r="C357" i="2"/>
  <c r="A357" i="2"/>
  <c r="E356" i="2"/>
  <c r="F356" i="2" s="1"/>
  <c r="C356" i="2"/>
  <c r="A356" i="2"/>
  <c r="E355" i="2"/>
  <c r="F355" i="2" s="1"/>
  <c r="C355" i="2"/>
  <c r="A355" i="2"/>
  <c r="E354" i="2"/>
  <c r="F354" i="2" s="1"/>
  <c r="C354" i="2"/>
  <c r="A354" i="2"/>
  <c r="E353" i="2"/>
  <c r="F353" i="2" s="1"/>
  <c r="C353" i="2"/>
  <c r="A353" i="2"/>
  <c r="E352" i="2"/>
  <c r="F352" i="2" s="1"/>
  <c r="C352" i="2"/>
  <c r="A352" i="2"/>
  <c r="E351" i="2"/>
  <c r="F351" i="2" s="1"/>
  <c r="C351" i="2"/>
  <c r="A351" i="2"/>
  <c r="E350" i="2"/>
  <c r="F350" i="2" s="1"/>
  <c r="C350" i="2"/>
  <c r="A350" i="2"/>
  <c r="E349" i="2"/>
  <c r="F349" i="2" s="1"/>
  <c r="C349" i="2"/>
  <c r="A349" i="2"/>
  <c r="E348" i="2"/>
  <c r="F348" i="2" s="1"/>
  <c r="C348" i="2"/>
  <c r="A348" i="2"/>
  <c r="E347" i="2"/>
  <c r="F347" i="2" s="1"/>
  <c r="C347" i="2"/>
  <c r="A347" i="2"/>
  <c r="E346" i="2"/>
  <c r="F346" i="2" s="1"/>
  <c r="C346" i="2"/>
  <c r="A346" i="2"/>
  <c r="E345" i="2"/>
  <c r="F345" i="2" s="1"/>
  <c r="C345" i="2"/>
  <c r="A345" i="2"/>
  <c r="E344" i="2"/>
  <c r="F344" i="2" s="1"/>
  <c r="C344" i="2"/>
  <c r="A344" i="2"/>
  <c r="E343" i="2"/>
  <c r="F343" i="2" s="1"/>
  <c r="C343" i="2"/>
  <c r="A343" i="2"/>
  <c r="E342" i="2"/>
  <c r="F342" i="2" s="1"/>
  <c r="C342" i="2"/>
  <c r="A342" i="2"/>
  <c r="E341" i="2"/>
  <c r="F341" i="2" s="1"/>
  <c r="C341" i="2"/>
  <c r="A341" i="2"/>
  <c r="E340" i="2"/>
  <c r="F340" i="2" s="1"/>
  <c r="C340" i="2"/>
  <c r="A340" i="2"/>
  <c r="E339" i="2"/>
  <c r="F339" i="2" s="1"/>
  <c r="C339" i="2"/>
  <c r="A339" i="2"/>
  <c r="E338" i="2"/>
  <c r="F338" i="2" s="1"/>
  <c r="C338" i="2"/>
  <c r="A338" i="2"/>
  <c r="E337" i="2"/>
  <c r="F337" i="2" s="1"/>
  <c r="C337" i="2"/>
  <c r="A337" i="2"/>
  <c r="E336" i="2"/>
  <c r="F336" i="2" s="1"/>
  <c r="C336" i="2"/>
  <c r="A336" i="2"/>
  <c r="E335" i="2"/>
  <c r="F335" i="2" s="1"/>
  <c r="C335" i="2"/>
  <c r="A335" i="2"/>
  <c r="E334" i="2"/>
  <c r="F334" i="2" s="1"/>
  <c r="C334" i="2"/>
  <c r="A334" i="2"/>
  <c r="E333" i="2"/>
  <c r="F333" i="2" s="1"/>
  <c r="C333" i="2"/>
  <c r="A333" i="2"/>
  <c r="E332" i="2"/>
  <c r="F332" i="2" s="1"/>
  <c r="C332" i="2"/>
  <c r="A332" i="2"/>
  <c r="E331" i="2"/>
  <c r="F331" i="2" s="1"/>
  <c r="C331" i="2"/>
  <c r="A331" i="2"/>
  <c r="E330" i="2"/>
  <c r="F330" i="2" s="1"/>
  <c r="C330" i="2"/>
  <c r="A330" i="2"/>
  <c r="E329" i="2"/>
  <c r="F329" i="2" s="1"/>
  <c r="C329" i="2"/>
  <c r="A329" i="2"/>
  <c r="E328" i="2"/>
  <c r="F328" i="2" s="1"/>
  <c r="C328" i="2"/>
  <c r="A328" i="2"/>
  <c r="E327" i="2"/>
  <c r="F327" i="2" s="1"/>
  <c r="C327" i="2"/>
  <c r="A327" i="2"/>
  <c r="E326" i="2"/>
  <c r="F326" i="2" s="1"/>
  <c r="C326" i="2"/>
  <c r="A326" i="2"/>
  <c r="E325" i="2"/>
  <c r="F325" i="2" s="1"/>
  <c r="C325" i="2"/>
  <c r="A325" i="2"/>
  <c r="E324" i="2"/>
  <c r="F324" i="2" s="1"/>
  <c r="C324" i="2"/>
  <c r="A324" i="2"/>
  <c r="E323" i="2"/>
  <c r="F323" i="2" s="1"/>
  <c r="C323" i="2"/>
  <c r="A323" i="2"/>
  <c r="E322" i="2"/>
  <c r="F322" i="2" s="1"/>
  <c r="C322" i="2"/>
  <c r="A322" i="2"/>
  <c r="E321" i="2"/>
  <c r="F321" i="2" s="1"/>
  <c r="C321" i="2"/>
  <c r="A321" i="2"/>
  <c r="E320" i="2"/>
  <c r="F320" i="2" s="1"/>
  <c r="C320" i="2"/>
  <c r="A320" i="2"/>
  <c r="E319" i="2"/>
  <c r="F319" i="2" s="1"/>
  <c r="C319" i="2"/>
  <c r="A319" i="2"/>
  <c r="E318" i="2"/>
  <c r="F318" i="2" s="1"/>
  <c r="C318" i="2"/>
  <c r="A318" i="2"/>
  <c r="E317" i="2"/>
  <c r="F317" i="2" s="1"/>
  <c r="C317" i="2"/>
  <c r="A317" i="2"/>
  <c r="E316" i="2"/>
  <c r="F316" i="2" s="1"/>
  <c r="C316" i="2"/>
  <c r="A316" i="2"/>
  <c r="E315" i="2"/>
  <c r="F315" i="2" s="1"/>
  <c r="C315" i="2"/>
  <c r="A315" i="2"/>
  <c r="E314" i="2"/>
  <c r="F314" i="2" s="1"/>
  <c r="C314" i="2"/>
  <c r="A314" i="2"/>
  <c r="E313" i="2"/>
  <c r="F313" i="2" s="1"/>
  <c r="C313" i="2"/>
  <c r="A313" i="2"/>
  <c r="E312" i="2"/>
  <c r="F312" i="2" s="1"/>
  <c r="C312" i="2"/>
  <c r="A312" i="2"/>
  <c r="E311" i="2"/>
  <c r="F311" i="2" s="1"/>
  <c r="C311" i="2"/>
  <c r="A311" i="2"/>
  <c r="E310" i="2"/>
  <c r="F310" i="2" s="1"/>
  <c r="C310" i="2"/>
  <c r="A310" i="2"/>
  <c r="E309" i="2"/>
  <c r="F309" i="2" s="1"/>
  <c r="C309" i="2"/>
  <c r="A309" i="2"/>
  <c r="E308" i="2"/>
  <c r="F308" i="2" s="1"/>
  <c r="C308" i="2"/>
  <c r="A308" i="2"/>
  <c r="E307" i="2"/>
  <c r="F307" i="2" s="1"/>
  <c r="C307" i="2"/>
  <c r="A307" i="2"/>
  <c r="E306" i="2"/>
  <c r="F306" i="2" s="1"/>
  <c r="C306" i="2"/>
  <c r="A306" i="2"/>
  <c r="E305" i="2"/>
  <c r="F305" i="2" s="1"/>
  <c r="C305" i="2"/>
  <c r="A305" i="2"/>
  <c r="E304" i="2"/>
  <c r="F304" i="2" s="1"/>
  <c r="C304" i="2"/>
  <c r="A304" i="2"/>
  <c r="E303" i="2"/>
  <c r="F303" i="2" s="1"/>
  <c r="C303" i="2"/>
  <c r="A303" i="2"/>
  <c r="E302" i="2"/>
  <c r="F302" i="2" s="1"/>
  <c r="C302" i="2"/>
  <c r="A302" i="2"/>
  <c r="E301" i="2"/>
  <c r="F301" i="2" s="1"/>
  <c r="C301" i="2"/>
  <c r="A301" i="2"/>
  <c r="E300" i="2"/>
  <c r="F300" i="2" s="1"/>
  <c r="C300" i="2"/>
  <c r="A300" i="2"/>
  <c r="E299" i="2"/>
  <c r="F299" i="2" s="1"/>
  <c r="C299" i="2"/>
  <c r="A299" i="2"/>
  <c r="E298" i="2"/>
  <c r="F298" i="2" s="1"/>
  <c r="C298" i="2"/>
  <c r="A298" i="2"/>
  <c r="E297" i="2"/>
  <c r="F297" i="2" s="1"/>
  <c r="C297" i="2"/>
  <c r="A297" i="2"/>
  <c r="E296" i="2"/>
  <c r="F296" i="2" s="1"/>
  <c r="C296" i="2"/>
  <c r="A296" i="2"/>
  <c r="E295" i="2"/>
  <c r="F295" i="2" s="1"/>
  <c r="C295" i="2"/>
  <c r="A295" i="2"/>
  <c r="E294" i="2"/>
  <c r="F294" i="2" s="1"/>
  <c r="C294" i="2"/>
  <c r="A294" i="2"/>
  <c r="E293" i="2"/>
  <c r="F293" i="2" s="1"/>
  <c r="C293" i="2"/>
  <c r="A293" i="2"/>
  <c r="E292" i="2"/>
  <c r="F292" i="2" s="1"/>
  <c r="C292" i="2"/>
  <c r="A292" i="2"/>
  <c r="E291" i="2"/>
  <c r="F291" i="2" s="1"/>
  <c r="C291" i="2"/>
  <c r="A291" i="2"/>
  <c r="E290" i="2"/>
  <c r="F290" i="2" s="1"/>
  <c r="C290" i="2"/>
  <c r="A290" i="2"/>
  <c r="E289" i="2"/>
  <c r="F289" i="2" s="1"/>
  <c r="C289" i="2"/>
  <c r="A289" i="2"/>
  <c r="E288" i="2"/>
  <c r="F288" i="2" s="1"/>
  <c r="C288" i="2"/>
  <c r="A288" i="2"/>
  <c r="E287" i="2"/>
  <c r="F287" i="2" s="1"/>
  <c r="C287" i="2"/>
  <c r="A287" i="2"/>
  <c r="E286" i="2"/>
  <c r="F286" i="2" s="1"/>
  <c r="C286" i="2"/>
  <c r="A286" i="2"/>
  <c r="E285" i="2"/>
  <c r="F285" i="2" s="1"/>
  <c r="C285" i="2"/>
  <c r="A285" i="2"/>
  <c r="E284" i="2"/>
  <c r="F284" i="2" s="1"/>
  <c r="C284" i="2"/>
  <c r="A284" i="2"/>
  <c r="E283" i="2"/>
  <c r="F283" i="2" s="1"/>
  <c r="C283" i="2"/>
  <c r="A283" i="2"/>
  <c r="E282" i="2"/>
  <c r="F282" i="2" s="1"/>
  <c r="C282" i="2"/>
  <c r="A282" i="2"/>
  <c r="E281" i="2"/>
  <c r="F281" i="2" s="1"/>
  <c r="C281" i="2"/>
  <c r="A281" i="2"/>
  <c r="E280" i="2"/>
  <c r="F280" i="2" s="1"/>
  <c r="C280" i="2"/>
  <c r="A280" i="2"/>
  <c r="E279" i="2"/>
  <c r="F279" i="2" s="1"/>
  <c r="C279" i="2"/>
  <c r="A279" i="2"/>
  <c r="E278" i="2"/>
  <c r="F278" i="2" s="1"/>
  <c r="C278" i="2"/>
  <c r="A278" i="2"/>
  <c r="E277" i="2"/>
  <c r="F277" i="2" s="1"/>
  <c r="C277" i="2"/>
  <c r="A277" i="2"/>
  <c r="E276" i="2"/>
  <c r="F276" i="2" s="1"/>
  <c r="C276" i="2"/>
  <c r="A276" i="2"/>
  <c r="E275" i="2"/>
  <c r="F275" i="2" s="1"/>
  <c r="C275" i="2"/>
  <c r="A275" i="2"/>
  <c r="E274" i="2"/>
  <c r="F274" i="2" s="1"/>
  <c r="C274" i="2"/>
  <c r="A274" i="2"/>
  <c r="E273" i="2"/>
  <c r="F273" i="2" s="1"/>
  <c r="C273" i="2"/>
  <c r="A273" i="2"/>
  <c r="E272" i="2"/>
  <c r="F272" i="2" s="1"/>
  <c r="C272" i="2"/>
  <c r="A272" i="2"/>
  <c r="E271" i="2"/>
  <c r="F271" i="2" s="1"/>
  <c r="C271" i="2"/>
  <c r="A271" i="2"/>
  <c r="E270" i="2"/>
  <c r="F270" i="2" s="1"/>
  <c r="C270" i="2"/>
  <c r="A270" i="2"/>
  <c r="E269" i="2"/>
  <c r="F269" i="2" s="1"/>
  <c r="C269" i="2"/>
  <c r="A269" i="2"/>
  <c r="E268" i="2"/>
  <c r="F268" i="2" s="1"/>
  <c r="C268" i="2"/>
  <c r="A268" i="2"/>
  <c r="E267" i="2"/>
  <c r="F267" i="2" s="1"/>
  <c r="C267" i="2"/>
  <c r="A267" i="2"/>
  <c r="E266" i="2"/>
  <c r="F266" i="2" s="1"/>
  <c r="C266" i="2"/>
  <c r="A266" i="2"/>
  <c r="E265" i="2"/>
  <c r="F265" i="2" s="1"/>
  <c r="C265" i="2"/>
  <c r="A265" i="2"/>
  <c r="E264" i="2"/>
  <c r="F264" i="2" s="1"/>
  <c r="C264" i="2"/>
  <c r="A264" i="2"/>
  <c r="E263" i="2"/>
  <c r="F263" i="2" s="1"/>
  <c r="C263" i="2"/>
  <c r="A263" i="2"/>
  <c r="E262" i="2"/>
  <c r="F262" i="2" s="1"/>
  <c r="C262" i="2"/>
  <c r="A262" i="2"/>
  <c r="E261" i="2"/>
  <c r="F261" i="2" s="1"/>
  <c r="C261" i="2"/>
  <c r="A261" i="2"/>
  <c r="E260" i="2"/>
  <c r="F260" i="2" s="1"/>
  <c r="C260" i="2"/>
  <c r="A260" i="2"/>
  <c r="E259" i="2"/>
  <c r="F259" i="2" s="1"/>
  <c r="C259" i="2"/>
  <c r="A259" i="2"/>
  <c r="E258" i="2"/>
  <c r="F258" i="2" s="1"/>
  <c r="C258" i="2"/>
  <c r="A258" i="2"/>
  <c r="E257" i="2"/>
  <c r="F257" i="2" s="1"/>
  <c r="C257" i="2"/>
  <c r="A257" i="2"/>
  <c r="E256" i="2"/>
  <c r="F256" i="2" s="1"/>
  <c r="C256" i="2"/>
  <c r="A256" i="2"/>
  <c r="E255" i="2"/>
  <c r="F255" i="2" s="1"/>
  <c r="C255" i="2"/>
  <c r="A255" i="2"/>
  <c r="E254" i="2"/>
  <c r="F254" i="2" s="1"/>
  <c r="C254" i="2"/>
  <c r="A254" i="2"/>
  <c r="E253" i="2"/>
  <c r="F253" i="2" s="1"/>
  <c r="C253" i="2"/>
  <c r="A253" i="2"/>
  <c r="E252" i="2"/>
  <c r="F252" i="2" s="1"/>
  <c r="C252" i="2"/>
  <c r="A252" i="2"/>
  <c r="E251" i="2"/>
  <c r="F251" i="2" s="1"/>
  <c r="C251" i="2"/>
  <c r="A251" i="2"/>
  <c r="E250" i="2"/>
  <c r="F250" i="2" s="1"/>
  <c r="C250" i="2"/>
  <c r="A250" i="2"/>
  <c r="E249" i="2"/>
  <c r="F249" i="2" s="1"/>
  <c r="C249" i="2"/>
  <c r="A249" i="2"/>
  <c r="E248" i="2"/>
  <c r="F248" i="2" s="1"/>
  <c r="C248" i="2"/>
  <c r="A248" i="2"/>
  <c r="E247" i="2"/>
  <c r="F247" i="2" s="1"/>
  <c r="C247" i="2"/>
  <c r="A247" i="2"/>
  <c r="E246" i="2"/>
  <c r="F246" i="2" s="1"/>
  <c r="C246" i="2"/>
  <c r="A246" i="2"/>
  <c r="E245" i="2"/>
  <c r="F245" i="2" s="1"/>
  <c r="C245" i="2"/>
  <c r="A245" i="2"/>
  <c r="E244" i="2"/>
  <c r="F244" i="2" s="1"/>
  <c r="C244" i="2"/>
  <c r="A244" i="2"/>
  <c r="E243" i="2"/>
  <c r="F243" i="2" s="1"/>
  <c r="C243" i="2"/>
  <c r="A243" i="2"/>
  <c r="E242" i="2"/>
  <c r="F242" i="2" s="1"/>
  <c r="C242" i="2"/>
  <c r="A242" i="2"/>
  <c r="E241" i="2"/>
  <c r="F241" i="2" s="1"/>
  <c r="C241" i="2"/>
  <c r="A241" i="2"/>
  <c r="E240" i="2"/>
  <c r="F240" i="2" s="1"/>
  <c r="C240" i="2"/>
  <c r="A240" i="2"/>
  <c r="E239" i="2"/>
  <c r="F239" i="2" s="1"/>
  <c r="C239" i="2"/>
  <c r="A239" i="2"/>
  <c r="E238" i="2"/>
  <c r="F238" i="2" s="1"/>
  <c r="C238" i="2"/>
  <c r="A238" i="2"/>
  <c r="E237" i="2"/>
  <c r="F237" i="2" s="1"/>
  <c r="C237" i="2"/>
  <c r="A237" i="2"/>
  <c r="E236" i="2"/>
  <c r="F236" i="2" s="1"/>
  <c r="C236" i="2"/>
  <c r="A236" i="2"/>
  <c r="E235" i="2"/>
  <c r="F235" i="2" s="1"/>
  <c r="C235" i="2"/>
  <c r="A235" i="2"/>
  <c r="E234" i="2"/>
  <c r="F234" i="2" s="1"/>
  <c r="C234" i="2"/>
  <c r="A234" i="2"/>
  <c r="E233" i="2"/>
  <c r="F233" i="2" s="1"/>
  <c r="C233" i="2"/>
  <c r="A233" i="2"/>
  <c r="E232" i="2"/>
  <c r="F232" i="2" s="1"/>
  <c r="C232" i="2"/>
  <c r="A232" i="2"/>
  <c r="E231" i="2"/>
  <c r="F231" i="2" s="1"/>
  <c r="C231" i="2"/>
  <c r="A231" i="2"/>
  <c r="E230" i="2"/>
  <c r="F230" i="2" s="1"/>
  <c r="C230" i="2"/>
  <c r="A230" i="2"/>
  <c r="E229" i="2"/>
  <c r="F229" i="2" s="1"/>
  <c r="C229" i="2"/>
  <c r="A229" i="2"/>
  <c r="E228" i="2"/>
  <c r="F228" i="2" s="1"/>
  <c r="C228" i="2"/>
  <c r="A228" i="2"/>
  <c r="E227" i="2"/>
  <c r="F227" i="2" s="1"/>
  <c r="C227" i="2"/>
  <c r="A227" i="2"/>
  <c r="E226" i="2"/>
  <c r="F226" i="2" s="1"/>
  <c r="C226" i="2"/>
  <c r="A226" i="2"/>
  <c r="E225" i="2"/>
  <c r="F225" i="2" s="1"/>
  <c r="C225" i="2"/>
  <c r="A225" i="2"/>
  <c r="E224" i="2"/>
  <c r="F224" i="2" s="1"/>
  <c r="C224" i="2"/>
  <c r="A224" i="2"/>
  <c r="E223" i="2"/>
  <c r="F223" i="2" s="1"/>
  <c r="C223" i="2"/>
  <c r="A223" i="2"/>
  <c r="E222" i="2"/>
  <c r="F222" i="2" s="1"/>
  <c r="C222" i="2"/>
  <c r="A222" i="2"/>
  <c r="E221" i="2"/>
  <c r="F221" i="2" s="1"/>
  <c r="C221" i="2"/>
  <c r="A221" i="2"/>
  <c r="E220" i="2"/>
  <c r="F220" i="2" s="1"/>
  <c r="C220" i="2"/>
  <c r="A220" i="2"/>
  <c r="E219" i="2"/>
  <c r="F219" i="2" s="1"/>
  <c r="C219" i="2"/>
  <c r="A219" i="2"/>
  <c r="E218" i="2"/>
  <c r="F218" i="2" s="1"/>
  <c r="C218" i="2"/>
  <c r="A218" i="2"/>
  <c r="E217" i="2"/>
  <c r="F217" i="2" s="1"/>
  <c r="C217" i="2"/>
  <c r="A217" i="2"/>
  <c r="E216" i="2"/>
  <c r="F216" i="2" s="1"/>
  <c r="C216" i="2"/>
  <c r="A216" i="2"/>
  <c r="E215" i="2"/>
  <c r="F215" i="2" s="1"/>
  <c r="C215" i="2"/>
  <c r="A215" i="2"/>
  <c r="E214" i="2"/>
  <c r="F214" i="2" s="1"/>
  <c r="C214" i="2"/>
  <c r="A214" i="2"/>
  <c r="E213" i="2"/>
  <c r="F213" i="2" s="1"/>
  <c r="C213" i="2"/>
  <c r="A213" i="2"/>
  <c r="E212" i="2"/>
  <c r="F212" i="2" s="1"/>
  <c r="C212" i="2"/>
  <c r="A212" i="2"/>
  <c r="E211" i="2"/>
  <c r="F211" i="2" s="1"/>
  <c r="C211" i="2"/>
  <c r="A211" i="2"/>
  <c r="E210" i="2"/>
  <c r="F210" i="2" s="1"/>
  <c r="C210" i="2"/>
  <c r="A210" i="2"/>
  <c r="E209" i="2"/>
  <c r="F209" i="2" s="1"/>
  <c r="C209" i="2"/>
  <c r="A209" i="2"/>
  <c r="E208" i="2"/>
  <c r="F208" i="2" s="1"/>
  <c r="C208" i="2"/>
  <c r="A208" i="2"/>
  <c r="E207" i="2"/>
  <c r="F207" i="2" s="1"/>
  <c r="C207" i="2"/>
  <c r="A207" i="2"/>
  <c r="E206" i="2"/>
  <c r="F206" i="2" s="1"/>
  <c r="C206" i="2"/>
  <c r="A206" i="2"/>
  <c r="E205" i="2"/>
  <c r="F205" i="2" s="1"/>
  <c r="C205" i="2"/>
  <c r="A205" i="2"/>
  <c r="E204" i="2"/>
  <c r="F204" i="2" s="1"/>
  <c r="C204" i="2"/>
  <c r="A204" i="2"/>
  <c r="E203" i="2"/>
  <c r="F203" i="2" s="1"/>
  <c r="C203" i="2"/>
  <c r="A203" i="2"/>
  <c r="E202" i="2"/>
  <c r="F202" i="2" s="1"/>
  <c r="C202" i="2"/>
  <c r="A202" i="2"/>
  <c r="E201" i="2"/>
  <c r="F201" i="2" s="1"/>
  <c r="C201" i="2"/>
  <c r="A201" i="2"/>
  <c r="E200" i="2"/>
  <c r="F200" i="2" s="1"/>
  <c r="C200" i="2"/>
  <c r="A200" i="2"/>
  <c r="E199" i="2"/>
  <c r="F199" i="2" s="1"/>
  <c r="C199" i="2"/>
  <c r="A199" i="2"/>
  <c r="E198" i="2"/>
  <c r="F198" i="2" s="1"/>
  <c r="C198" i="2"/>
  <c r="A198" i="2"/>
  <c r="E197" i="2"/>
  <c r="F197" i="2" s="1"/>
  <c r="C197" i="2"/>
  <c r="A197" i="2"/>
  <c r="E196" i="2"/>
  <c r="F196" i="2" s="1"/>
  <c r="C196" i="2"/>
  <c r="A196" i="2"/>
  <c r="E195" i="2"/>
  <c r="F195" i="2" s="1"/>
  <c r="C195" i="2"/>
  <c r="A195" i="2"/>
  <c r="E194" i="2"/>
  <c r="F194" i="2" s="1"/>
  <c r="C194" i="2"/>
  <c r="A194" i="2"/>
  <c r="E193" i="2"/>
  <c r="F193" i="2" s="1"/>
  <c r="C193" i="2"/>
  <c r="A193" i="2"/>
  <c r="E192" i="2"/>
  <c r="F192" i="2" s="1"/>
  <c r="C192" i="2"/>
  <c r="A192" i="2"/>
  <c r="E191" i="2"/>
  <c r="F191" i="2" s="1"/>
  <c r="C191" i="2"/>
  <c r="A191" i="2"/>
  <c r="E190" i="2"/>
  <c r="F190" i="2" s="1"/>
  <c r="C190" i="2"/>
  <c r="A190" i="2"/>
  <c r="E189" i="2"/>
  <c r="F189" i="2" s="1"/>
  <c r="C189" i="2"/>
  <c r="A189" i="2"/>
  <c r="E188" i="2"/>
  <c r="F188" i="2" s="1"/>
  <c r="C188" i="2"/>
  <c r="A188" i="2"/>
  <c r="E187" i="2"/>
  <c r="F187" i="2" s="1"/>
  <c r="C187" i="2"/>
  <c r="A187" i="2"/>
  <c r="E186" i="2"/>
  <c r="F186" i="2" s="1"/>
  <c r="C186" i="2"/>
  <c r="A186" i="2"/>
  <c r="E185" i="2"/>
  <c r="F185" i="2" s="1"/>
  <c r="C185" i="2"/>
  <c r="A185" i="2"/>
  <c r="E184" i="2"/>
  <c r="F184" i="2" s="1"/>
  <c r="C184" i="2"/>
  <c r="A184" i="2"/>
  <c r="E183" i="2"/>
  <c r="F183" i="2" s="1"/>
  <c r="C183" i="2"/>
  <c r="A183" i="2"/>
  <c r="E182" i="2"/>
  <c r="F182" i="2" s="1"/>
  <c r="C182" i="2"/>
  <c r="A182" i="2"/>
  <c r="E181" i="2"/>
  <c r="F181" i="2" s="1"/>
  <c r="C181" i="2"/>
  <c r="A181" i="2"/>
  <c r="E180" i="2"/>
  <c r="F180" i="2" s="1"/>
  <c r="C180" i="2"/>
  <c r="A180" i="2"/>
  <c r="E179" i="2"/>
  <c r="F179" i="2" s="1"/>
  <c r="C179" i="2"/>
  <c r="A179" i="2"/>
  <c r="E178" i="2"/>
  <c r="F178" i="2" s="1"/>
  <c r="C178" i="2"/>
  <c r="A178" i="2"/>
  <c r="E177" i="2"/>
  <c r="F177" i="2" s="1"/>
  <c r="C177" i="2"/>
  <c r="A177" i="2"/>
  <c r="E176" i="2"/>
  <c r="F176" i="2" s="1"/>
  <c r="C176" i="2"/>
  <c r="A176" i="2"/>
  <c r="E175" i="2"/>
  <c r="F175" i="2" s="1"/>
  <c r="C175" i="2"/>
  <c r="A175" i="2"/>
  <c r="E174" i="2"/>
  <c r="F174" i="2" s="1"/>
  <c r="C174" i="2"/>
  <c r="A174" i="2"/>
  <c r="E173" i="2"/>
  <c r="F173" i="2" s="1"/>
  <c r="C173" i="2"/>
  <c r="A173" i="2"/>
  <c r="E172" i="2"/>
  <c r="F172" i="2" s="1"/>
  <c r="C172" i="2"/>
  <c r="A172" i="2"/>
  <c r="E171" i="2"/>
  <c r="F171" i="2" s="1"/>
  <c r="C171" i="2"/>
  <c r="A171" i="2"/>
  <c r="E170" i="2"/>
  <c r="F170" i="2" s="1"/>
  <c r="C170" i="2"/>
  <c r="A170" i="2"/>
  <c r="E169" i="2"/>
  <c r="F169" i="2" s="1"/>
  <c r="C169" i="2"/>
  <c r="A169" i="2"/>
  <c r="E168" i="2"/>
  <c r="F168" i="2" s="1"/>
  <c r="C168" i="2"/>
  <c r="A168" i="2"/>
  <c r="E167" i="2"/>
  <c r="F167" i="2" s="1"/>
  <c r="C167" i="2"/>
  <c r="A167" i="2"/>
  <c r="E166" i="2"/>
  <c r="F166" i="2" s="1"/>
  <c r="C166" i="2"/>
  <c r="A166" i="2"/>
  <c r="E165" i="2"/>
  <c r="F165" i="2" s="1"/>
  <c r="C165" i="2"/>
  <c r="A165" i="2"/>
  <c r="E164" i="2"/>
  <c r="F164" i="2" s="1"/>
  <c r="C164" i="2"/>
  <c r="A164" i="2"/>
  <c r="E163" i="2"/>
  <c r="F163" i="2" s="1"/>
  <c r="C163" i="2"/>
  <c r="A163" i="2"/>
  <c r="E162" i="2"/>
  <c r="F162" i="2" s="1"/>
  <c r="C162" i="2"/>
  <c r="A162" i="2"/>
  <c r="E161" i="2"/>
  <c r="F161" i="2" s="1"/>
  <c r="C161" i="2"/>
  <c r="A161" i="2"/>
  <c r="E160" i="2"/>
  <c r="F160" i="2" s="1"/>
  <c r="C160" i="2"/>
  <c r="A160" i="2"/>
  <c r="E159" i="2"/>
  <c r="F159" i="2" s="1"/>
  <c r="C159" i="2"/>
  <c r="A159" i="2"/>
  <c r="E158" i="2"/>
  <c r="F158" i="2" s="1"/>
  <c r="C158" i="2"/>
  <c r="A158" i="2"/>
  <c r="E157" i="2"/>
  <c r="F157" i="2" s="1"/>
  <c r="C157" i="2"/>
  <c r="A157" i="2"/>
  <c r="E156" i="2"/>
  <c r="F156" i="2" s="1"/>
  <c r="C156" i="2"/>
  <c r="A156" i="2"/>
  <c r="E155" i="2"/>
  <c r="F155" i="2" s="1"/>
  <c r="C155" i="2"/>
  <c r="A155" i="2"/>
  <c r="E154" i="2"/>
  <c r="F154" i="2" s="1"/>
  <c r="C154" i="2"/>
  <c r="A154" i="2"/>
  <c r="E153" i="2"/>
  <c r="F153" i="2" s="1"/>
  <c r="C153" i="2"/>
  <c r="A153" i="2"/>
  <c r="E152" i="2"/>
  <c r="F152" i="2" s="1"/>
  <c r="C152" i="2"/>
  <c r="A152" i="2"/>
  <c r="E151" i="2"/>
  <c r="F151" i="2" s="1"/>
  <c r="C151" i="2"/>
  <c r="A151" i="2"/>
  <c r="E150" i="2"/>
  <c r="F150" i="2" s="1"/>
  <c r="C150" i="2"/>
  <c r="A150" i="2"/>
  <c r="E149" i="2"/>
  <c r="F149" i="2" s="1"/>
  <c r="C149" i="2"/>
  <c r="A149" i="2"/>
  <c r="E148" i="2"/>
  <c r="F148" i="2" s="1"/>
  <c r="C148" i="2"/>
  <c r="A148" i="2"/>
  <c r="E147" i="2"/>
  <c r="F147" i="2" s="1"/>
  <c r="C147" i="2"/>
  <c r="A147" i="2"/>
  <c r="E146" i="2"/>
  <c r="F146" i="2" s="1"/>
  <c r="C146" i="2"/>
  <c r="A146" i="2"/>
  <c r="E145" i="2"/>
  <c r="F145" i="2" s="1"/>
  <c r="C145" i="2"/>
  <c r="A145" i="2"/>
  <c r="E144" i="2"/>
  <c r="F144" i="2" s="1"/>
  <c r="C144" i="2"/>
  <c r="A144" i="2"/>
  <c r="E143" i="2"/>
  <c r="F143" i="2" s="1"/>
  <c r="C143" i="2"/>
  <c r="A143" i="2"/>
  <c r="E142" i="2"/>
  <c r="F142" i="2" s="1"/>
  <c r="C142" i="2"/>
  <c r="A142" i="2"/>
  <c r="E141" i="2"/>
  <c r="F141" i="2" s="1"/>
  <c r="C141" i="2"/>
  <c r="A141" i="2"/>
  <c r="E140" i="2"/>
  <c r="F140" i="2" s="1"/>
  <c r="C140" i="2"/>
  <c r="A140" i="2"/>
  <c r="E139" i="2"/>
  <c r="F139" i="2" s="1"/>
  <c r="C139" i="2"/>
  <c r="A139" i="2"/>
  <c r="E138" i="2"/>
  <c r="F138" i="2" s="1"/>
  <c r="C138" i="2"/>
  <c r="A138" i="2"/>
  <c r="E137" i="2"/>
  <c r="F137" i="2" s="1"/>
  <c r="C137" i="2"/>
  <c r="A137" i="2"/>
  <c r="E136" i="2"/>
  <c r="F136" i="2" s="1"/>
  <c r="C136" i="2"/>
  <c r="A136" i="2"/>
  <c r="E135" i="2"/>
  <c r="F135" i="2" s="1"/>
  <c r="C135" i="2"/>
  <c r="A135" i="2"/>
  <c r="E134" i="2"/>
  <c r="F134" i="2" s="1"/>
  <c r="C134" i="2"/>
  <c r="A134" i="2"/>
  <c r="E133" i="2"/>
  <c r="F133" i="2" s="1"/>
  <c r="C133" i="2"/>
  <c r="A133" i="2"/>
  <c r="E132" i="2"/>
  <c r="F132" i="2" s="1"/>
  <c r="C132" i="2"/>
  <c r="A132" i="2"/>
  <c r="E131" i="2"/>
  <c r="F131" i="2" s="1"/>
  <c r="C131" i="2"/>
  <c r="A131" i="2"/>
  <c r="E130" i="2"/>
  <c r="F130" i="2" s="1"/>
  <c r="C130" i="2"/>
  <c r="A130" i="2"/>
  <c r="E129" i="2"/>
  <c r="F129" i="2" s="1"/>
  <c r="C129" i="2"/>
  <c r="A129" i="2"/>
  <c r="E128" i="2"/>
  <c r="F128" i="2" s="1"/>
  <c r="C128" i="2"/>
  <c r="A128" i="2"/>
  <c r="E127" i="2"/>
  <c r="F127" i="2" s="1"/>
  <c r="C127" i="2"/>
  <c r="A127" i="2"/>
  <c r="E126" i="2"/>
  <c r="F126" i="2" s="1"/>
  <c r="C126" i="2"/>
  <c r="A126" i="2"/>
  <c r="E125" i="2"/>
  <c r="F125" i="2" s="1"/>
  <c r="C125" i="2"/>
  <c r="A125" i="2"/>
  <c r="E124" i="2"/>
  <c r="F124" i="2" s="1"/>
  <c r="C124" i="2"/>
  <c r="A124" i="2"/>
  <c r="E123" i="2"/>
  <c r="F123" i="2" s="1"/>
  <c r="C123" i="2"/>
  <c r="A123" i="2"/>
  <c r="E122" i="2"/>
  <c r="F122" i="2" s="1"/>
  <c r="C122" i="2"/>
  <c r="A122" i="2"/>
  <c r="E121" i="2"/>
  <c r="F121" i="2" s="1"/>
  <c r="C121" i="2"/>
  <c r="A121" i="2"/>
  <c r="E120" i="2"/>
  <c r="F120" i="2" s="1"/>
  <c r="C120" i="2"/>
  <c r="A120" i="2"/>
  <c r="E119" i="2"/>
  <c r="F119" i="2" s="1"/>
  <c r="C119" i="2"/>
  <c r="A119" i="2"/>
  <c r="E118" i="2"/>
  <c r="F118" i="2" s="1"/>
  <c r="C118" i="2"/>
  <c r="A118" i="2"/>
  <c r="E117" i="2"/>
  <c r="F117" i="2" s="1"/>
  <c r="C117" i="2"/>
  <c r="A117" i="2"/>
  <c r="E116" i="2"/>
  <c r="F116" i="2" s="1"/>
  <c r="C116" i="2"/>
  <c r="A116" i="2"/>
  <c r="E115" i="2"/>
  <c r="F115" i="2" s="1"/>
  <c r="C115" i="2"/>
  <c r="A115" i="2"/>
  <c r="E114" i="2"/>
  <c r="F114" i="2" s="1"/>
  <c r="C114" i="2"/>
  <c r="A114" i="2"/>
  <c r="E113" i="2"/>
  <c r="F113" i="2" s="1"/>
  <c r="C113" i="2"/>
  <c r="A113" i="2"/>
  <c r="E112" i="2"/>
  <c r="F112" i="2" s="1"/>
  <c r="C112" i="2"/>
  <c r="A112" i="2"/>
  <c r="E111" i="2"/>
  <c r="F111" i="2" s="1"/>
  <c r="C111" i="2"/>
  <c r="A111" i="2"/>
  <c r="E110" i="2"/>
  <c r="F110" i="2" s="1"/>
  <c r="C110" i="2"/>
  <c r="A110" i="2"/>
  <c r="E109" i="2"/>
  <c r="F109" i="2" s="1"/>
  <c r="C109" i="2"/>
  <c r="A109" i="2"/>
  <c r="E108" i="2"/>
  <c r="F108" i="2" s="1"/>
  <c r="C108" i="2"/>
  <c r="A108" i="2"/>
  <c r="E107" i="2"/>
  <c r="F107" i="2" s="1"/>
  <c r="C107" i="2"/>
  <c r="A107" i="2"/>
  <c r="E106" i="2"/>
  <c r="F106" i="2" s="1"/>
  <c r="C106" i="2"/>
  <c r="A106" i="2"/>
  <c r="E105" i="2"/>
  <c r="F105" i="2" s="1"/>
  <c r="C105" i="2"/>
  <c r="A105" i="2"/>
  <c r="E104" i="2"/>
  <c r="F104" i="2" s="1"/>
  <c r="C104" i="2"/>
  <c r="A104" i="2"/>
  <c r="E103" i="2"/>
  <c r="F103" i="2" s="1"/>
  <c r="C103" i="2"/>
  <c r="A103" i="2"/>
  <c r="E102" i="2"/>
  <c r="F102" i="2" s="1"/>
  <c r="C102" i="2"/>
  <c r="A102" i="2"/>
  <c r="E101" i="2"/>
  <c r="F101" i="2" s="1"/>
  <c r="C101" i="2"/>
  <c r="A101" i="2"/>
  <c r="E100" i="2"/>
  <c r="F100" i="2" s="1"/>
  <c r="C100" i="2"/>
  <c r="A100" i="2"/>
  <c r="E99" i="2"/>
  <c r="F99" i="2" s="1"/>
  <c r="C99" i="2"/>
  <c r="A99" i="2"/>
  <c r="E98" i="2"/>
  <c r="F98" i="2" s="1"/>
  <c r="C98" i="2"/>
  <c r="A98" i="2"/>
  <c r="E97" i="2"/>
  <c r="F97" i="2" s="1"/>
  <c r="C97" i="2"/>
  <c r="A97" i="2"/>
  <c r="E96" i="2"/>
  <c r="F96" i="2" s="1"/>
  <c r="C96" i="2"/>
  <c r="A96" i="2"/>
  <c r="E95" i="2"/>
  <c r="F95" i="2" s="1"/>
  <c r="C95" i="2"/>
  <c r="A95" i="2"/>
  <c r="E94" i="2"/>
  <c r="F94" i="2" s="1"/>
  <c r="C94" i="2"/>
  <c r="A94" i="2"/>
  <c r="E93" i="2"/>
  <c r="F93" i="2" s="1"/>
  <c r="C93" i="2"/>
  <c r="A93" i="2"/>
  <c r="E92" i="2"/>
  <c r="F92" i="2" s="1"/>
  <c r="C92" i="2"/>
  <c r="A92" i="2"/>
  <c r="E91" i="2"/>
  <c r="F91" i="2" s="1"/>
  <c r="C91" i="2"/>
  <c r="A91" i="2"/>
  <c r="E90" i="2"/>
  <c r="F90" i="2" s="1"/>
  <c r="C90" i="2"/>
  <c r="A90" i="2"/>
  <c r="E89" i="2"/>
  <c r="F89" i="2" s="1"/>
  <c r="C89" i="2"/>
  <c r="A89" i="2"/>
  <c r="E88" i="2"/>
  <c r="F88" i="2" s="1"/>
  <c r="C88" i="2"/>
  <c r="A88" i="2"/>
  <c r="E87" i="2"/>
  <c r="F87" i="2" s="1"/>
  <c r="C87" i="2"/>
  <c r="A87" i="2"/>
  <c r="E86" i="2"/>
  <c r="F86" i="2" s="1"/>
  <c r="C86" i="2"/>
  <c r="A86" i="2"/>
  <c r="E85" i="2"/>
  <c r="F85" i="2" s="1"/>
  <c r="C85" i="2"/>
  <c r="A85" i="2"/>
  <c r="E84" i="2"/>
  <c r="F84" i="2" s="1"/>
  <c r="C84" i="2"/>
  <c r="A84" i="2"/>
  <c r="E83" i="2"/>
  <c r="F83" i="2" s="1"/>
  <c r="C83" i="2"/>
  <c r="A83" i="2"/>
  <c r="E82" i="2"/>
  <c r="F82" i="2" s="1"/>
  <c r="C82" i="2"/>
  <c r="A82" i="2"/>
  <c r="E81" i="2"/>
  <c r="F81" i="2" s="1"/>
  <c r="C81" i="2"/>
  <c r="A81" i="2"/>
  <c r="E80" i="2"/>
  <c r="F80" i="2" s="1"/>
  <c r="C80" i="2"/>
  <c r="A80" i="2"/>
  <c r="E79" i="2"/>
  <c r="F79" i="2" s="1"/>
  <c r="C79" i="2"/>
  <c r="A79" i="2"/>
  <c r="E78" i="2"/>
  <c r="F78" i="2" s="1"/>
  <c r="C78" i="2"/>
  <c r="A78" i="2"/>
  <c r="E77" i="2"/>
  <c r="F77" i="2" s="1"/>
  <c r="C77" i="2"/>
  <c r="A77" i="2"/>
  <c r="E76" i="2"/>
  <c r="F76" i="2" s="1"/>
  <c r="C76" i="2"/>
  <c r="A76" i="2"/>
  <c r="E75" i="2"/>
  <c r="F75" i="2" s="1"/>
  <c r="C75" i="2"/>
  <c r="A75" i="2"/>
  <c r="E74" i="2"/>
  <c r="F74" i="2" s="1"/>
  <c r="C74" i="2"/>
  <c r="A74" i="2"/>
  <c r="E73" i="2"/>
  <c r="F73" i="2" s="1"/>
  <c r="C73" i="2"/>
  <c r="A73" i="2"/>
  <c r="E72" i="2"/>
  <c r="F72" i="2" s="1"/>
  <c r="C72" i="2"/>
  <c r="A72" i="2"/>
  <c r="E71" i="2"/>
  <c r="F71" i="2" s="1"/>
  <c r="C71" i="2"/>
  <c r="A71" i="2"/>
  <c r="E70" i="2"/>
  <c r="F70" i="2" s="1"/>
  <c r="C70" i="2"/>
  <c r="A70" i="2"/>
  <c r="E69" i="2"/>
  <c r="F69" i="2" s="1"/>
  <c r="C69" i="2"/>
  <c r="A69" i="2"/>
  <c r="E68" i="2"/>
  <c r="F68" i="2" s="1"/>
  <c r="C68" i="2"/>
  <c r="A68" i="2"/>
  <c r="E67" i="2"/>
  <c r="F67" i="2" s="1"/>
  <c r="C67" i="2"/>
  <c r="A67" i="2"/>
  <c r="E66" i="2"/>
  <c r="F66" i="2" s="1"/>
  <c r="C66" i="2"/>
  <c r="A66" i="2"/>
  <c r="E65" i="2"/>
  <c r="F65" i="2" s="1"/>
  <c r="C65" i="2"/>
  <c r="A65" i="2"/>
  <c r="E64" i="2"/>
  <c r="F64" i="2" s="1"/>
  <c r="C64" i="2"/>
  <c r="A64" i="2"/>
  <c r="E63" i="2"/>
  <c r="F63" i="2" s="1"/>
  <c r="C63" i="2"/>
  <c r="A63" i="2"/>
  <c r="E62" i="2"/>
  <c r="F62" i="2" s="1"/>
  <c r="C62" i="2"/>
  <c r="A62" i="2"/>
  <c r="E61" i="2"/>
  <c r="F61" i="2" s="1"/>
  <c r="C61" i="2"/>
  <c r="A61" i="2"/>
  <c r="E60" i="2"/>
  <c r="F60" i="2" s="1"/>
  <c r="C60" i="2"/>
  <c r="A60" i="2"/>
  <c r="E59" i="2"/>
  <c r="F59" i="2" s="1"/>
  <c r="C59" i="2"/>
  <c r="A59" i="2"/>
  <c r="E58" i="2"/>
  <c r="F58" i="2" s="1"/>
  <c r="C58" i="2"/>
  <c r="A58" i="2"/>
  <c r="E57" i="2"/>
  <c r="F57" i="2" s="1"/>
  <c r="C57" i="2"/>
  <c r="A57" i="2"/>
  <c r="E56" i="2"/>
  <c r="F56" i="2" s="1"/>
  <c r="C56" i="2"/>
  <c r="A56" i="2"/>
  <c r="E55" i="2"/>
  <c r="F55" i="2" s="1"/>
  <c r="C55" i="2"/>
  <c r="A55" i="2"/>
  <c r="E54" i="2"/>
  <c r="F54" i="2" s="1"/>
  <c r="C54" i="2"/>
  <c r="A54" i="2"/>
  <c r="E53" i="2"/>
  <c r="F53" i="2" s="1"/>
  <c r="C53" i="2"/>
  <c r="A53" i="2"/>
  <c r="E52" i="2"/>
  <c r="F52" i="2" s="1"/>
  <c r="C52" i="2"/>
  <c r="A52" i="2"/>
  <c r="E51" i="2"/>
  <c r="F51" i="2" s="1"/>
  <c r="C51" i="2"/>
  <c r="A51" i="2"/>
  <c r="E50" i="2"/>
  <c r="F50" i="2" s="1"/>
  <c r="C50" i="2"/>
  <c r="A50" i="2"/>
  <c r="E49" i="2"/>
  <c r="F49" i="2" s="1"/>
  <c r="C49" i="2"/>
  <c r="A49" i="2"/>
  <c r="E48" i="2"/>
  <c r="F48" i="2" s="1"/>
  <c r="C48" i="2"/>
  <c r="A48" i="2"/>
  <c r="E47" i="2"/>
  <c r="F47" i="2" s="1"/>
  <c r="C47" i="2"/>
  <c r="A47" i="2"/>
  <c r="E46" i="2"/>
  <c r="F46" i="2" s="1"/>
  <c r="C46" i="2"/>
  <c r="A46" i="2"/>
  <c r="E45" i="2"/>
  <c r="F45" i="2" s="1"/>
  <c r="C45" i="2"/>
  <c r="A45" i="2"/>
  <c r="E44" i="2"/>
  <c r="F44" i="2" s="1"/>
  <c r="C44" i="2"/>
  <c r="A44" i="2"/>
  <c r="E43" i="2"/>
  <c r="F43" i="2" s="1"/>
  <c r="C43" i="2"/>
  <c r="A43" i="2"/>
  <c r="E42" i="2"/>
  <c r="F42" i="2" s="1"/>
  <c r="C42" i="2"/>
  <c r="A42" i="2"/>
  <c r="E41" i="2"/>
  <c r="F41" i="2" s="1"/>
  <c r="C41" i="2"/>
  <c r="A41" i="2"/>
  <c r="E40" i="2"/>
  <c r="F40" i="2" s="1"/>
  <c r="C40" i="2"/>
  <c r="A40" i="2"/>
  <c r="E39" i="2"/>
  <c r="F39" i="2" s="1"/>
  <c r="C39" i="2"/>
  <c r="A39" i="2"/>
  <c r="E38" i="2"/>
  <c r="F38" i="2" s="1"/>
  <c r="C38" i="2"/>
  <c r="A38" i="2"/>
  <c r="E37" i="2"/>
  <c r="F37" i="2" s="1"/>
  <c r="C37" i="2"/>
  <c r="A37" i="2"/>
  <c r="E36" i="2"/>
  <c r="F36" i="2" s="1"/>
  <c r="C36" i="2"/>
  <c r="A36" i="2"/>
  <c r="E35" i="2"/>
  <c r="F35" i="2" s="1"/>
  <c r="C35" i="2"/>
  <c r="A35" i="2"/>
  <c r="E34" i="2"/>
  <c r="F34" i="2" s="1"/>
  <c r="C34" i="2"/>
  <c r="A34" i="2"/>
  <c r="E33" i="2"/>
  <c r="F33" i="2" s="1"/>
  <c r="C33" i="2"/>
  <c r="A33" i="2"/>
  <c r="E32" i="2"/>
  <c r="F32" i="2" s="1"/>
  <c r="C32" i="2"/>
  <c r="A32" i="2"/>
  <c r="E31" i="2"/>
  <c r="F31" i="2" s="1"/>
  <c r="C31" i="2"/>
  <c r="A31" i="2"/>
  <c r="E30" i="2"/>
  <c r="F30" i="2" s="1"/>
  <c r="C30" i="2"/>
  <c r="A30" i="2"/>
  <c r="E29" i="2"/>
  <c r="F29" i="2" s="1"/>
  <c r="C29" i="2"/>
  <c r="A29" i="2"/>
  <c r="E28" i="2"/>
  <c r="F28" i="2" s="1"/>
  <c r="C28" i="2"/>
  <c r="A28" i="2"/>
  <c r="E27" i="2"/>
  <c r="F27" i="2" s="1"/>
  <c r="C27" i="2"/>
  <c r="A27" i="2"/>
  <c r="E26" i="2"/>
  <c r="F26" i="2" s="1"/>
  <c r="C26" i="2"/>
  <c r="A26" i="2"/>
  <c r="E25" i="2"/>
  <c r="F25" i="2" s="1"/>
  <c r="C25" i="2"/>
  <c r="A25" i="2"/>
  <c r="E24" i="2"/>
  <c r="F24" i="2" s="1"/>
  <c r="C24" i="2"/>
  <c r="A24" i="2"/>
  <c r="E23" i="2"/>
  <c r="F23" i="2" s="1"/>
  <c r="C23" i="2"/>
  <c r="A23" i="2"/>
  <c r="E22" i="2"/>
  <c r="F22" i="2" s="1"/>
  <c r="C22" i="2"/>
  <c r="A22" i="2"/>
  <c r="E21" i="2"/>
  <c r="F21" i="2" s="1"/>
  <c r="C21" i="2"/>
  <c r="A21" i="2"/>
  <c r="E20" i="2"/>
  <c r="F20" i="2" s="1"/>
  <c r="C20" i="2"/>
  <c r="A20" i="2"/>
  <c r="E19" i="2"/>
  <c r="F19" i="2" s="1"/>
  <c r="C19" i="2"/>
  <c r="A19" i="2"/>
  <c r="E18" i="2"/>
  <c r="F18" i="2" s="1"/>
  <c r="C18" i="2"/>
  <c r="A18" i="2"/>
  <c r="E17" i="2"/>
  <c r="F17" i="2" s="1"/>
  <c r="C17" i="2"/>
  <c r="A17" i="2"/>
  <c r="E16" i="2"/>
  <c r="F16" i="2" s="1"/>
  <c r="C16" i="2"/>
  <c r="A16" i="2"/>
  <c r="E15" i="2"/>
  <c r="F15" i="2" s="1"/>
  <c r="C15" i="2"/>
  <c r="A15" i="2"/>
  <c r="E14" i="2"/>
  <c r="F14" i="2" s="1"/>
  <c r="C14" i="2"/>
  <c r="A14" i="2"/>
  <c r="E13" i="2"/>
  <c r="F13" i="2" s="1"/>
  <c r="C13" i="2"/>
  <c r="A13" i="2"/>
  <c r="E12" i="2"/>
  <c r="F12" i="2" s="1"/>
  <c r="C12" i="2"/>
  <c r="A12" i="2"/>
  <c r="E11" i="2"/>
  <c r="F11" i="2" s="1"/>
  <c r="C11" i="2"/>
  <c r="A11" i="2"/>
  <c r="E10" i="2"/>
  <c r="F10" i="2" s="1"/>
  <c r="C10" i="2"/>
  <c r="A10" i="2"/>
  <c r="E9" i="2"/>
  <c r="F9" i="2" s="1"/>
  <c r="C9" i="2"/>
  <c r="A9" i="2"/>
  <c r="E8" i="2"/>
  <c r="F8" i="2" s="1"/>
  <c r="C8" i="2"/>
  <c r="A8" i="2"/>
  <c r="E7" i="2"/>
  <c r="F7" i="2" s="1"/>
  <c r="C7" i="2"/>
  <c r="A7" i="2"/>
  <c r="E6" i="2"/>
  <c r="F6" i="2" s="1"/>
  <c r="C6" i="2"/>
  <c r="A6" i="2"/>
  <c r="T3" i="2" l="1"/>
  <c r="T4" i="2"/>
  <c r="T5" i="2"/>
  <c r="T2" i="2"/>
  <c r="N3" i="2"/>
  <c r="N4" i="2"/>
  <c r="N5" i="2"/>
  <c r="N2" i="2"/>
  <c r="M3" i="2"/>
  <c r="M4" i="2"/>
  <c r="M5" i="2"/>
  <c r="M2" i="2"/>
  <c r="W3" i="2"/>
  <c r="W4" i="2"/>
  <c r="W5" i="2"/>
  <c r="W2" i="2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" i="4"/>
  <c r="G5" i="2" s="1"/>
  <c r="E3" i="2"/>
  <c r="F3" i="2" s="1"/>
  <c r="E4" i="2"/>
  <c r="F4" i="2" s="1"/>
  <c r="E5" i="2"/>
  <c r="F5" i="2" s="1"/>
  <c r="E2" i="2"/>
  <c r="F2" i="2" s="1"/>
  <c r="C3" i="2"/>
  <c r="C4" i="2"/>
  <c r="C5" i="2"/>
  <c r="C2" i="2"/>
  <c r="G2" i="2" l="1"/>
  <c r="G4" i="2"/>
  <c r="G3213" i="2"/>
  <c r="G3212" i="2"/>
  <c r="G3211" i="2"/>
  <c r="G3210" i="2"/>
  <c r="G3209" i="2"/>
  <c r="G3208" i="2"/>
  <c r="G3207" i="2"/>
  <c r="G3206" i="2"/>
  <c r="G3205" i="2"/>
  <c r="G3204" i="2"/>
  <c r="G3203" i="2"/>
  <c r="G3202" i="2"/>
  <c r="G3201" i="2"/>
  <c r="G3200" i="2"/>
  <c r="G3199" i="2"/>
  <c r="G3198" i="2"/>
  <c r="G3197" i="2"/>
  <c r="G3196" i="2"/>
  <c r="G3195" i="2"/>
  <c r="G3194" i="2"/>
  <c r="G3193" i="2"/>
  <c r="G3192" i="2"/>
  <c r="G3191" i="2"/>
  <c r="G3190" i="2"/>
  <c r="G3189" i="2"/>
  <c r="G3188" i="2"/>
  <c r="G3187" i="2"/>
  <c r="G3186" i="2"/>
  <c r="G3185" i="2"/>
  <c r="G3184" i="2"/>
  <c r="G3183" i="2"/>
  <c r="G3182" i="2"/>
  <c r="G3181" i="2"/>
  <c r="G3180" i="2"/>
  <c r="G3179" i="2"/>
  <c r="G3178" i="2"/>
  <c r="G3177" i="2"/>
  <c r="G3176" i="2"/>
  <c r="G3175" i="2"/>
  <c r="G3174" i="2"/>
  <c r="G3173" i="2"/>
  <c r="G3172" i="2"/>
  <c r="G3171" i="2"/>
  <c r="G3170" i="2"/>
  <c r="G3169" i="2"/>
  <c r="G3168" i="2"/>
  <c r="G3167" i="2"/>
  <c r="G3166" i="2"/>
  <c r="G3165" i="2"/>
  <c r="G3164" i="2"/>
  <c r="G3163" i="2"/>
  <c r="G3162" i="2"/>
  <c r="G3161" i="2"/>
  <c r="G3160" i="2"/>
  <c r="G3159" i="2"/>
  <c r="G3158" i="2"/>
  <c r="G3157" i="2"/>
  <c r="G3156" i="2"/>
  <c r="G3155" i="2"/>
  <c r="G3154" i="2"/>
  <c r="G3153" i="2"/>
  <c r="G3152" i="2"/>
  <c r="G3151" i="2"/>
  <c r="G3150" i="2"/>
  <c r="G3149" i="2"/>
  <c r="G3148" i="2"/>
  <c r="G3147" i="2"/>
  <c r="G3146" i="2"/>
  <c r="G3145" i="2"/>
  <c r="G3144" i="2"/>
  <c r="G3143" i="2"/>
  <c r="G3142" i="2"/>
  <c r="G3141" i="2"/>
  <c r="G3140" i="2"/>
  <c r="G3139" i="2"/>
  <c r="G3138" i="2"/>
  <c r="G3137" i="2"/>
  <c r="G3136" i="2"/>
  <c r="G3135" i="2"/>
  <c r="G3134" i="2"/>
  <c r="G3133" i="2"/>
  <c r="G3132" i="2"/>
  <c r="G3131" i="2"/>
  <c r="G3129" i="2"/>
  <c r="G3127" i="2"/>
  <c r="G3125" i="2"/>
  <c r="G3124" i="2"/>
  <c r="G3122" i="2"/>
  <c r="G3120" i="2"/>
  <c r="G3118" i="2"/>
  <c r="G3116" i="2"/>
  <c r="G3114" i="2"/>
  <c r="G3112" i="2"/>
  <c r="G3110" i="2"/>
  <c r="G3109" i="2"/>
  <c r="G3107" i="2"/>
  <c r="G3104" i="2"/>
  <c r="G3102" i="2"/>
  <c r="G3101" i="2"/>
  <c r="G3099" i="2"/>
  <c r="G3097" i="2"/>
  <c r="G3095" i="2"/>
  <c r="G3093" i="2"/>
  <c r="G3091" i="2"/>
  <c r="G3089" i="2"/>
  <c r="G3088" i="2"/>
  <c r="G3086" i="2"/>
  <c r="G3084" i="2"/>
  <c r="G3082" i="2"/>
  <c r="G3080" i="2"/>
  <c r="G3078" i="2"/>
  <c r="G3076" i="2"/>
  <c r="G3074" i="2"/>
  <c r="G3072" i="2"/>
  <c r="G3070" i="2"/>
  <c r="G3068" i="2"/>
  <c r="G3065" i="2"/>
  <c r="G3064" i="2"/>
  <c r="G3062" i="2"/>
  <c r="G3060" i="2"/>
  <c r="G3058" i="2"/>
  <c r="G3056" i="2"/>
  <c r="G3054" i="2"/>
  <c r="G3052" i="2"/>
  <c r="G3050" i="2"/>
  <c r="G3049" i="2"/>
  <c r="G3047" i="2"/>
  <c r="G3045" i="2"/>
  <c r="G3043" i="2"/>
  <c r="G3041" i="2"/>
  <c r="G3039" i="2"/>
  <c r="G3037" i="2"/>
  <c r="G3035" i="2"/>
  <c r="G3033" i="2"/>
  <c r="G3031" i="2"/>
  <c r="G3029" i="2"/>
  <c r="G3027" i="2"/>
  <c r="G3025" i="2"/>
  <c r="G3023" i="2"/>
  <c r="G3021" i="2"/>
  <c r="G3019" i="2"/>
  <c r="G3017" i="2"/>
  <c r="G3015" i="2"/>
  <c r="G3013" i="2"/>
  <c r="G3011" i="2"/>
  <c r="G3009" i="2"/>
  <c r="G3007" i="2"/>
  <c r="G3005" i="2"/>
  <c r="G3002" i="2"/>
  <c r="G3000" i="2"/>
  <c r="G2998" i="2"/>
  <c r="G2996" i="2"/>
  <c r="G2994" i="2"/>
  <c r="G2993" i="2"/>
  <c r="G2991" i="2"/>
  <c r="G2989" i="2"/>
  <c r="G2987" i="2"/>
  <c r="G2985" i="2"/>
  <c r="G2983" i="2"/>
  <c r="G2981" i="2"/>
  <c r="G2978" i="2"/>
  <c r="G2976" i="2"/>
  <c r="G2974" i="2"/>
  <c r="G2972" i="2"/>
  <c r="G2970" i="2"/>
  <c r="G2968" i="2"/>
  <c r="G2966" i="2"/>
  <c r="G2964" i="2"/>
  <c r="G2962" i="2"/>
  <c r="G2960" i="2"/>
  <c r="G2958" i="2"/>
  <c r="G2955" i="2"/>
  <c r="G3130" i="2"/>
  <c r="G3126" i="2"/>
  <c r="G3123" i="2"/>
  <c r="G3121" i="2"/>
  <c r="G3119" i="2"/>
  <c r="G3117" i="2"/>
  <c r="G3115" i="2"/>
  <c r="G3113" i="2"/>
  <c r="G3111" i="2"/>
  <c r="G3108" i="2"/>
  <c r="G3106" i="2"/>
  <c r="G3105" i="2"/>
  <c r="G3103" i="2"/>
  <c r="G3100" i="2"/>
  <c r="G3098" i="2"/>
  <c r="G3096" i="2"/>
  <c r="G3094" i="2"/>
  <c r="G3092" i="2"/>
  <c r="G3090" i="2"/>
  <c r="G3087" i="2"/>
  <c r="G3085" i="2"/>
  <c r="G3083" i="2"/>
  <c r="G3081" i="2"/>
  <c r="G3079" i="2"/>
  <c r="G3077" i="2"/>
  <c r="G3075" i="2"/>
  <c r="G3073" i="2"/>
  <c r="G3071" i="2"/>
  <c r="G3069" i="2"/>
  <c r="G3067" i="2"/>
  <c r="G3066" i="2"/>
  <c r="G3063" i="2"/>
  <c r="G3061" i="2"/>
  <c r="G3059" i="2"/>
  <c r="G3057" i="2"/>
  <c r="G3055" i="2"/>
  <c r="G3053" i="2"/>
  <c r="G3051" i="2"/>
  <c r="G3048" i="2"/>
  <c r="G3046" i="2"/>
  <c r="G3044" i="2"/>
  <c r="G3042" i="2"/>
  <c r="G3040" i="2"/>
  <c r="G3038" i="2"/>
  <c r="G3036" i="2"/>
  <c r="G3034" i="2"/>
  <c r="G3032" i="2"/>
  <c r="G3030" i="2"/>
  <c r="G3028" i="2"/>
  <c r="G3026" i="2"/>
  <c r="G3024" i="2"/>
  <c r="G3022" i="2"/>
  <c r="G3020" i="2"/>
  <c r="G3018" i="2"/>
  <c r="G3016" i="2"/>
  <c r="G3014" i="2"/>
  <c r="G3012" i="2"/>
  <c r="G3010" i="2"/>
  <c r="G3008" i="2"/>
  <c r="G3006" i="2"/>
  <c r="G3004" i="2"/>
  <c r="G3003" i="2"/>
  <c r="G3001" i="2"/>
  <c r="G2999" i="2"/>
  <c r="G2997" i="2"/>
  <c r="G2995" i="2"/>
  <c r="G2992" i="2"/>
  <c r="G2990" i="2"/>
  <c r="G2988" i="2"/>
  <c r="G2986" i="2"/>
  <c r="G2984" i="2"/>
  <c r="G2982" i="2"/>
  <c r="G2980" i="2"/>
  <c r="G2979" i="2"/>
  <c r="G2977" i="2"/>
  <c r="G2975" i="2"/>
  <c r="G2973" i="2"/>
  <c r="G2971" i="2"/>
  <c r="G2969" i="2"/>
  <c r="G2967" i="2"/>
  <c r="G2965" i="2"/>
  <c r="G2963" i="2"/>
  <c r="G2961" i="2"/>
  <c r="G2959" i="2"/>
  <c r="G2957" i="2"/>
  <c r="G3128" i="2"/>
  <c r="G2954" i="2"/>
  <c r="G2953" i="2"/>
  <c r="G2952" i="2"/>
  <c r="G2951" i="2"/>
  <c r="G2950" i="2"/>
  <c r="G2949" i="2"/>
  <c r="G2948" i="2"/>
  <c r="G2947" i="2"/>
  <c r="G2946" i="2"/>
  <c r="G2945" i="2"/>
  <c r="G2944" i="2"/>
  <c r="G2943" i="2"/>
  <c r="G2942" i="2"/>
  <c r="G2941" i="2"/>
  <c r="G2940" i="2"/>
  <c r="G2939" i="2"/>
  <c r="G2938" i="2"/>
  <c r="G2937" i="2"/>
  <c r="G2936" i="2"/>
  <c r="G2935" i="2"/>
  <c r="G2934" i="2"/>
  <c r="G2933" i="2"/>
  <c r="G2932" i="2"/>
  <c r="G2931" i="2"/>
  <c r="G2930" i="2"/>
  <c r="G2929" i="2"/>
  <c r="G2928" i="2"/>
  <c r="G2927" i="2"/>
  <c r="G2926" i="2"/>
  <c r="G2925" i="2"/>
  <c r="G2924" i="2"/>
  <c r="G2923" i="2"/>
  <c r="G2922" i="2"/>
  <c r="G2921" i="2"/>
  <c r="G2920" i="2"/>
  <c r="G2919" i="2"/>
  <c r="G2918" i="2"/>
  <c r="G2917" i="2"/>
  <c r="G2916" i="2"/>
  <c r="G2915" i="2"/>
  <c r="G2914" i="2"/>
  <c r="G2913" i="2"/>
  <c r="G2912" i="2"/>
  <c r="G2911" i="2"/>
  <c r="G2910" i="2"/>
  <c r="G2909" i="2"/>
  <c r="G2908" i="2"/>
  <c r="G2907" i="2"/>
  <c r="G2906" i="2"/>
  <c r="G2905" i="2"/>
  <c r="G2904" i="2"/>
  <c r="G2903" i="2"/>
  <c r="G2902" i="2"/>
  <c r="G2901" i="2"/>
  <c r="G2900" i="2"/>
  <c r="G2899" i="2"/>
  <c r="G2898" i="2"/>
  <c r="G2897" i="2"/>
  <c r="G2896" i="2"/>
  <c r="G2895" i="2"/>
  <c r="G2893" i="2"/>
  <c r="G2892" i="2"/>
  <c r="G2891" i="2"/>
  <c r="G2890" i="2"/>
  <c r="G2889" i="2"/>
  <c r="G2888" i="2"/>
  <c r="G2886" i="2"/>
  <c r="G2885" i="2"/>
  <c r="G2884" i="2"/>
  <c r="G2883" i="2"/>
  <c r="G2882" i="2"/>
  <c r="G2881" i="2"/>
  <c r="G2880" i="2"/>
  <c r="G2879" i="2"/>
  <c r="G2878" i="2"/>
  <c r="G2877" i="2"/>
  <c r="G2876" i="2"/>
  <c r="G2874" i="2"/>
  <c r="G2873" i="2"/>
  <c r="G2872" i="2"/>
  <c r="G2871" i="2"/>
  <c r="G2870" i="2"/>
  <c r="G2869" i="2"/>
  <c r="G2868" i="2"/>
  <c r="G2867" i="2"/>
  <c r="G2866" i="2"/>
  <c r="G2865" i="2"/>
  <c r="G2864" i="2"/>
  <c r="G2863" i="2"/>
  <c r="G2862" i="2"/>
  <c r="G2861" i="2"/>
  <c r="G2860" i="2"/>
  <c r="G2859" i="2"/>
  <c r="G2858" i="2"/>
  <c r="G2857" i="2"/>
  <c r="G2856" i="2"/>
  <c r="G2855" i="2"/>
  <c r="G2854" i="2"/>
  <c r="G2853" i="2"/>
  <c r="G2852" i="2"/>
  <c r="G2851" i="2"/>
  <c r="G2850" i="2"/>
  <c r="G2849" i="2"/>
  <c r="G2848" i="2"/>
  <c r="G2847" i="2"/>
  <c r="G2846" i="2"/>
  <c r="G2845" i="2"/>
  <c r="G2844" i="2"/>
  <c r="G2843" i="2"/>
  <c r="G2842" i="2"/>
  <c r="G2841" i="2"/>
  <c r="G2840" i="2"/>
  <c r="G2839" i="2"/>
  <c r="G2838" i="2"/>
  <c r="G2837" i="2"/>
  <c r="G2836" i="2"/>
  <c r="G2835" i="2"/>
  <c r="G2834" i="2"/>
  <c r="G2833" i="2"/>
  <c r="G2832" i="2"/>
  <c r="G2831" i="2"/>
  <c r="G2830" i="2"/>
  <c r="G2829" i="2"/>
  <c r="G2828" i="2"/>
  <c r="G2827" i="2"/>
  <c r="G2826" i="2"/>
  <c r="G2825" i="2"/>
  <c r="G2824" i="2"/>
  <c r="G2823" i="2"/>
  <c r="G2822" i="2"/>
  <c r="G2821" i="2"/>
  <c r="G2820" i="2"/>
  <c r="G2819" i="2"/>
  <c r="G2818" i="2"/>
  <c r="G2817" i="2"/>
  <c r="G2816" i="2"/>
  <c r="G2815" i="2"/>
  <c r="G2814" i="2"/>
  <c r="G2813" i="2"/>
  <c r="G2812" i="2"/>
  <c r="G2811" i="2"/>
  <c r="G2810" i="2"/>
  <c r="G2809" i="2"/>
  <c r="G2808" i="2"/>
  <c r="G2807" i="2"/>
  <c r="G2806" i="2"/>
  <c r="G2805" i="2"/>
  <c r="G2804" i="2"/>
  <c r="G2803" i="2"/>
  <c r="G2802" i="2"/>
  <c r="G2801" i="2"/>
  <c r="G2800" i="2"/>
  <c r="G2799" i="2"/>
  <c r="G2797" i="2"/>
  <c r="G2796" i="2"/>
  <c r="G2794" i="2"/>
  <c r="G2792" i="2"/>
  <c r="G2790" i="2"/>
  <c r="G2787" i="2"/>
  <c r="G2784" i="2"/>
  <c r="G2781" i="2"/>
  <c r="G2778" i="2"/>
  <c r="G2775" i="2"/>
  <c r="G2771" i="2"/>
  <c r="G2767" i="2"/>
  <c r="G2765" i="2"/>
  <c r="G2762" i="2"/>
  <c r="G2758" i="2"/>
  <c r="G2956" i="2"/>
  <c r="G2887" i="2"/>
  <c r="G2798" i="2"/>
  <c r="G2793" i="2"/>
  <c r="G2791" i="2"/>
  <c r="G2789" i="2"/>
  <c r="G2786" i="2"/>
  <c r="G2783" i="2"/>
  <c r="G2780" i="2"/>
  <c r="G2777" i="2"/>
  <c r="G2774" i="2"/>
  <c r="G2772" i="2"/>
  <c r="G2769" i="2"/>
  <c r="G2766" i="2"/>
  <c r="G2763" i="2"/>
  <c r="G2759" i="2"/>
  <c r="G2756" i="2"/>
  <c r="G2875" i="2"/>
  <c r="G2770" i="2"/>
  <c r="G2760" i="2"/>
  <c r="G2755" i="2"/>
  <c r="G2894" i="2"/>
  <c r="G2795" i="2"/>
  <c r="G2788" i="2"/>
  <c r="G2785" i="2"/>
  <c r="G2782" i="2"/>
  <c r="G2779" i="2"/>
  <c r="G2776" i="2"/>
  <c r="G2773" i="2"/>
  <c r="G2768" i="2"/>
  <c r="G2764" i="2"/>
  <c r="G2761" i="2"/>
  <c r="G2757" i="2"/>
  <c r="G2754" i="2"/>
  <c r="G2753" i="2"/>
  <c r="G2752" i="2"/>
  <c r="G2751" i="2"/>
  <c r="G2750" i="2"/>
  <c r="G2749" i="2"/>
  <c r="G2748" i="2"/>
  <c r="G2747" i="2"/>
  <c r="G2746" i="2"/>
  <c r="G2745" i="2"/>
  <c r="G2744" i="2"/>
  <c r="G2743" i="2"/>
  <c r="G2742" i="2"/>
  <c r="G2741" i="2"/>
  <c r="G2740" i="2"/>
  <c r="G2739" i="2"/>
  <c r="G2738" i="2"/>
  <c r="G2737" i="2"/>
  <c r="G2736" i="2"/>
  <c r="G2735" i="2"/>
  <c r="G2734" i="2"/>
  <c r="G2733" i="2"/>
  <c r="G2732" i="2"/>
  <c r="G2731" i="2"/>
  <c r="G2730" i="2"/>
  <c r="G2729" i="2"/>
  <c r="G2728" i="2"/>
  <c r="G2727" i="2"/>
  <c r="G2726" i="2"/>
  <c r="G2725" i="2"/>
  <c r="G2724" i="2"/>
  <c r="G2723" i="2"/>
  <c r="G2722" i="2"/>
  <c r="G2721" i="2"/>
  <c r="G2720" i="2"/>
  <c r="G2719" i="2"/>
  <c r="G2718" i="2"/>
  <c r="G2717" i="2"/>
  <c r="G2716" i="2"/>
  <c r="G2715" i="2"/>
  <c r="G2714" i="2"/>
  <c r="G2713" i="2"/>
  <c r="G2712" i="2"/>
  <c r="G2711" i="2"/>
  <c r="G2710" i="2"/>
  <c r="G2709" i="2"/>
  <c r="G2708" i="2"/>
  <c r="G2707" i="2"/>
  <c r="G2706" i="2"/>
  <c r="G2705" i="2"/>
  <c r="G2704" i="2"/>
  <c r="G2703" i="2"/>
  <c r="G2702" i="2"/>
  <c r="G2701" i="2"/>
  <c r="G2700" i="2"/>
  <c r="G2699" i="2"/>
  <c r="G2698" i="2"/>
  <c r="G2697" i="2"/>
  <c r="G2696" i="2"/>
  <c r="G2695" i="2"/>
  <c r="G2694" i="2"/>
  <c r="G2693" i="2"/>
  <c r="G2692" i="2"/>
  <c r="G2691" i="2"/>
  <c r="G2690" i="2"/>
  <c r="G2689" i="2"/>
  <c r="G2688" i="2"/>
  <c r="G2687" i="2"/>
  <c r="G2686" i="2"/>
  <c r="G2685" i="2"/>
  <c r="G2684" i="2"/>
  <c r="G2683" i="2"/>
  <c r="G2682" i="2"/>
  <c r="G2681" i="2"/>
  <c r="G2680" i="2"/>
  <c r="G2679" i="2"/>
  <c r="G2678" i="2"/>
  <c r="G2677" i="2"/>
  <c r="G2676" i="2"/>
  <c r="G2675" i="2"/>
  <c r="G2674" i="2"/>
  <c r="G2673" i="2"/>
  <c r="G2672" i="2"/>
  <c r="G2671" i="2"/>
  <c r="G2670" i="2"/>
  <c r="G2669" i="2"/>
  <c r="G2668" i="2"/>
  <c r="G2667" i="2"/>
  <c r="G2666" i="2"/>
  <c r="G2665" i="2"/>
  <c r="G2664" i="2"/>
  <c r="G2663" i="2"/>
  <c r="G2662" i="2"/>
  <c r="G2661" i="2"/>
  <c r="G2660" i="2"/>
  <c r="G2659" i="2"/>
  <c r="G2658" i="2"/>
  <c r="G2657" i="2"/>
  <c r="G2656" i="2"/>
  <c r="G2655" i="2"/>
  <c r="G2654" i="2"/>
  <c r="G2653" i="2"/>
  <c r="G2652" i="2"/>
  <c r="G2651" i="2"/>
  <c r="G2650" i="2"/>
  <c r="G2649" i="2"/>
  <c r="G2648" i="2"/>
  <c r="G2647" i="2"/>
  <c r="G2646" i="2"/>
  <c r="G2645" i="2"/>
  <c r="G2643" i="2"/>
  <c r="G2642" i="2"/>
  <c r="G2641" i="2"/>
  <c r="G2640" i="2"/>
  <c r="G2639" i="2"/>
  <c r="G2638" i="2"/>
  <c r="G2637" i="2"/>
  <c r="G2636" i="2"/>
  <c r="G2635" i="2"/>
  <c r="G2634" i="2"/>
  <c r="G2633" i="2"/>
  <c r="G2632" i="2"/>
  <c r="G2631" i="2"/>
  <c r="G2630" i="2"/>
  <c r="G2629" i="2"/>
  <c r="G2628" i="2"/>
  <c r="G2627" i="2"/>
  <c r="G2626" i="2"/>
  <c r="G2625" i="2"/>
  <c r="G2624" i="2"/>
  <c r="G2623" i="2"/>
  <c r="G2622" i="2"/>
  <c r="G2621" i="2"/>
  <c r="G2620" i="2"/>
  <c r="G2619" i="2"/>
  <c r="G2618" i="2"/>
  <c r="G2617" i="2"/>
  <c r="G2616" i="2"/>
  <c r="G2615" i="2"/>
  <c r="G2614" i="2"/>
  <c r="G2613" i="2"/>
  <c r="G2612" i="2"/>
  <c r="G2611" i="2"/>
  <c r="G2610" i="2"/>
  <c r="G2609" i="2"/>
  <c r="G2608" i="2"/>
  <c r="G2607" i="2"/>
  <c r="G2606" i="2"/>
  <c r="G2605" i="2"/>
  <c r="G2604" i="2"/>
  <c r="G2603" i="2"/>
  <c r="G2602" i="2"/>
  <c r="G2601" i="2"/>
  <c r="G2600" i="2"/>
  <c r="G2599" i="2"/>
  <c r="G2598" i="2"/>
  <c r="G2597" i="2"/>
  <c r="G2596" i="2"/>
  <c r="G2595" i="2"/>
  <c r="G2594" i="2"/>
  <c r="G2593" i="2"/>
  <c r="G2592" i="2"/>
  <c r="G2591" i="2"/>
  <c r="G2590" i="2"/>
  <c r="G2589" i="2"/>
  <c r="G2588" i="2"/>
  <c r="G2587" i="2"/>
  <c r="G2586" i="2"/>
  <c r="G2585" i="2"/>
  <c r="G2584" i="2"/>
  <c r="G2644" i="2"/>
  <c r="G2583" i="2"/>
  <c r="G2582" i="2"/>
  <c r="G2581" i="2"/>
  <c r="G2580" i="2"/>
  <c r="G2579" i="2"/>
  <c r="G2578" i="2"/>
  <c r="G2577" i="2"/>
  <c r="G2576" i="2"/>
  <c r="G2575" i="2"/>
  <c r="G2574" i="2"/>
  <c r="G2573" i="2"/>
  <c r="G2572" i="2"/>
  <c r="G2571" i="2"/>
  <c r="G2570" i="2"/>
  <c r="G2569" i="2"/>
  <c r="G2568" i="2"/>
  <c r="G2567" i="2"/>
  <c r="G2566" i="2"/>
  <c r="G2565" i="2"/>
  <c r="G2564" i="2"/>
  <c r="G2563" i="2"/>
  <c r="G2562" i="2"/>
  <c r="G2561" i="2"/>
  <c r="G2560" i="2"/>
  <c r="G2559" i="2"/>
  <c r="G2558" i="2"/>
  <c r="G2557" i="2"/>
  <c r="G2556" i="2"/>
  <c r="G2555" i="2"/>
  <c r="G2554" i="2"/>
  <c r="G2553" i="2"/>
  <c r="G2552" i="2"/>
  <c r="G2551" i="2"/>
  <c r="G2550" i="2"/>
  <c r="G2549" i="2"/>
  <c r="G2548" i="2"/>
  <c r="G2547" i="2"/>
  <c r="G2546" i="2"/>
  <c r="G2545" i="2"/>
  <c r="G2544" i="2"/>
  <c r="G2543" i="2"/>
  <c r="G2542" i="2"/>
  <c r="G2541" i="2"/>
  <c r="G2539" i="2"/>
  <c r="G2538" i="2"/>
  <c r="G2536" i="2"/>
  <c r="G2535" i="2"/>
  <c r="G2534" i="2"/>
  <c r="G2533" i="2"/>
  <c r="G2532" i="2"/>
  <c r="G2531" i="2"/>
  <c r="G2530" i="2"/>
  <c r="G2529" i="2"/>
  <c r="G2528" i="2"/>
  <c r="G2527" i="2"/>
  <c r="G2526" i="2"/>
  <c r="G2525" i="2"/>
  <c r="G2524" i="2"/>
  <c r="G2523" i="2"/>
  <c r="G2522" i="2"/>
  <c r="G2521" i="2"/>
  <c r="G2520" i="2"/>
  <c r="G2519" i="2"/>
  <c r="G2518" i="2"/>
  <c r="G2517" i="2"/>
  <c r="G2516" i="2"/>
  <c r="G2515" i="2"/>
  <c r="G2514" i="2"/>
  <c r="G2513" i="2"/>
  <c r="G2512" i="2"/>
  <c r="G2511" i="2"/>
  <c r="G2510" i="2"/>
  <c r="G2509" i="2"/>
  <c r="G2508" i="2"/>
  <c r="G2507" i="2"/>
  <c r="G2506" i="2"/>
  <c r="G2505" i="2"/>
  <c r="G2504" i="2"/>
  <c r="G2503" i="2"/>
  <c r="G2502" i="2"/>
  <c r="G2501" i="2"/>
  <c r="G2500" i="2"/>
  <c r="G2499" i="2"/>
  <c r="G2498" i="2"/>
  <c r="G2537" i="2"/>
  <c r="G2497" i="2"/>
  <c r="G2496" i="2"/>
  <c r="G2495" i="2"/>
  <c r="G2494" i="2"/>
  <c r="G2493" i="2"/>
  <c r="G2492" i="2"/>
  <c r="G2491" i="2"/>
  <c r="G2490" i="2"/>
  <c r="G2489" i="2"/>
  <c r="G2488" i="2"/>
  <c r="G2487" i="2"/>
  <c r="G2486" i="2"/>
  <c r="G2485" i="2"/>
  <c r="G2484" i="2"/>
  <c r="G2483" i="2"/>
  <c r="G2482" i="2"/>
  <c r="G2481" i="2"/>
  <c r="G2480" i="2"/>
  <c r="G2479" i="2"/>
  <c r="G2478" i="2"/>
  <c r="G2477" i="2"/>
  <c r="G2476" i="2"/>
  <c r="G2475" i="2"/>
  <c r="G2474" i="2"/>
  <c r="G2473" i="2"/>
  <c r="G2472" i="2"/>
  <c r="G2471" i="2"/>
  <c r="G2470" i="2"/>
  <c r="G2469" i="2"/>
  <c r="G2468" i="2"/>
  <c r="G2467" i="2"/>
  <c r="G2466" i="2"/>
  <c r="G2465" i="2"/>
  <c r="G2464" i="2"/>
  <c r="G2463" i="2"/>
  <c r="G2462" i="2"/>
  <c r="G2461" i="2"/>
  <c r="G2460" i="2"/>
  <c r="G2459" i="2"/>
  <c r="G2458" i="2"/>
  <c r="G2457" i="2"/>
  <c r="G2456" i="2"/>
  <c r="G2455" i="2"/>
  <c r="G2454" i="2"/>
  <c r="G2453" i="2"/>
  <c r="G2452" i="2"/>
  <c r="G2451" i="2"/>
  <c r="G2450" i="2"/>
  <c r="G2449" i="2"/>
  <c r="G2448" i="2"/>
  <c r="G2447" i="2"/>
  <c r="G2446" i="2"/>
  <c r="G2445" i="2"/>
  <c r="G2444" i="2"/>
  <c r="G2443" i="2"/>
  <c r="G2442" i="2"/>
  <c r="G2441" i="2"/>
  <c r="G2440" i="2"/>
  <c r="G2439" i="2"/>
  <c r="G2438" i="2"/>
  <c r="G2437" i="2"/>
  <c r="G2436" i="2"/>
  <c r="G2435" i="2"/>
  <c r="G2434" i="2"/>
  <c r="G2433" i="2"/>
  <c r="G2432" i="2"/>
  <c r="G2431" i="2"/>
  <c r="G2430" i="2"/>
  <c r="G2429" i="2"/>
  <c r="G2428" i="2"/>
  <c r="G2427" i="2"/>
  <c r="G2426" i="2"/>
  <c r="G2425" i="2"/>
  <c r="G2424" i="2"/>
  <c r="G2423" i="2"/>
  <c r="G2422" i="2"/>
  <c r="G2421" i="2"/>
  <c r="G2420" i="2"/>
  <c r="G2419" i="2"/>
  <c r="G2418" i="2"/>
  <c r="G2417" i="2"/>
  <c r="G2416" i="2"/>
  <c r="G2415" i="2"/>
  <c r="G2414" i="2"/>
  <c r="G2413" i="2"/>
  <c r="G2412" i="2"/>
  <c r="G2411" i="2"/>
  <c r="G2410" i="2"/>
  <c r="G2409" i="2"/>
  <c r="G2408" i="2"/>
  <c r="G2407" i="2"/>
  <c r="G2406" i="2"/>
  <c r="G2405" i="2"/>
  <c r="G2404" i="2"/>
  <c r="G2403" i="2"/>
  <c r="G2402" i="2"/>
  <c r="G2401" i="2"/>
  <c r="G2399" i="2"/>
  <c r="G2398" i="2"/>
  <c r="G2397" i="2"/>
  <c r="G2396" i="2"/>
  <c r="G2395" i="2"/>
  <c r="G2394" i="2"/>
  <c r="G2393" i="2"/>
  <c r="G2392" i="2"/>
  <c r="G2391" i="2"/>
  <c r="G2390" i="2"/>
  <c r="G2389" i="2"/>
  <c r="G2388" i="2"/>
  <c r="G2387" i="2"/>
  <c r="G2386" i="2"/>
  <c r="G2384" i="2"/>
  <c r="G2383" i="2"/>
  <c r="G2381" i="2"/>
  <c r="G2379" i="2"/>
  <c r="G2377" i="2"/>
  <c r="G2375" i="2"/>
  <c r="G2373" i="2"/>
  <c r="G2371" i="2"/>
  <c r="G2369" i="2"/>
  <c r="G2367" i="2"/>
  <c r="G2365" i="2"/>
  <c r="G2363" i="2"/>
  <c r="G2361" i="2"/>
  <c r="G2359" i="2"/>
  <c r="G2357" i="2"/>
  <c r="G2355" i="2"/>
  <c r="G2353" i="2"/>
  <c r="G2351" i="2"/>
  <c r="G2349" i="2"/>
  <c r="G2348" i="2"/>
  <c r="G2346" i="2"/>
  <c r="G2344" i="2"/>
  <c r="G2342" i="2"/>
  <c r="G2340" i="2"/>
  <c r="G2338" i="2"/>
  <c r="G2336" i="2"/>
  <c r="G2333" i="2"/>
  <c r="G2331" i="2"/>
  <c r="G2330" i="2"/>
  <c r="G2328" i="2"/>
  <c r="G2326" i="2"/>
  <c r="G2324" i="2"/>
  <c r="G2322" i="2"/>
  <c r="G2320" i="2"/>
  <c r="G2319" i="2"/>
  <c r="G2317" i="2"/>
  <c r="G2315" i="2"/>
  <c r="G2313" i="2"/>
  <c r="G2311" i="2"/>
  <c r="G2309" i="2"/>
  <c r="G2307" i="2"/>
  <c r="G2305" i="2"/>
  <c r="G2303" i="2"/>
  <c r="G2301" i="2"/>
  <c r="G2299" i="2"/>
  <c r="G2297" i="2"/>
  <c r="G2295" i="2"/>
  <c r="G2293" i="2"/>
  <c r="G2291" i="2"/>
  <c r="G2289" i="2"/>
  <c r="G2287" i="2"/>
  <c r="G2285" i="2"/>
  <c r="G2283" i="2"/>
  <c r="G2281" i="2"/>
  <c r="G2278" i="2"/>
  <c r="G2276" i="2"/>
  <c r="G2274" i="2"/>
  <c r="G2272" i="2"/>
  <c r="G2270" i="2"/>
  <c r="G2269" i="2"/>
  <c r="G2266" i="2"/>
  <c r="G2264" i="2"/>
  <c r="G2262" i="2"/>
  <c r="G2260" i="2"/>
  <c r="G2259" i="2"/>
  <c r="G2257" i="2"/>
  <c r="G2254" i="2"/>
  <c r="G2253" i="2"/>
  <c r="G2251" i="2"/>
  <c r="G2249" i="2"/>
  <c r="G2247" i="2"/>
  <c r="G2245" i="2"/>
  <c r="G2243" i="2"/>
  <c r="G2241" i="2"/>
  <c r="G2239" i="2"/>
  <c r="G2236" i="2"/>
  <c r="G2234" i="2"/>
  <c r="G2232" i="2"/>
  <c r="G2231" i="2"/>
  <c r="G2229" i="2"/>
  <c r="G2227" i="2"/>
  <c r="G2225" i="2"/>
  <c r="G2223" i="2"/>
  <c r="G2220" i="2"/>
  <c r="G2218" i="2"/>
  <c r="G2216" i="2"/>
  <c r="G2215" i="2"/>
  <c r="G2213" i="2"/>
  <c r="G2211" i="2"/>
  <c r="G2209" i="2"/>
  <c r="G2207" i="2"/>
  <c r="G2206" i="2"/>
  <c r="G2204" i="2"/>
  <c r="G2201" i="2"/>
  <c r="G2199" i="2"/>
  <c r="G2198" i="2"/>
  <c r="G2196" i="2"/>
  <c r="G2194" i="2"/>
  <c r="G2192" i="2"/>
  <c r="G2190" i="2"/>
  <c r="G2188" i="2"/>
  <c r="G2186" i="2"/>
  <c r="G2184" i="2"/>
  <c r="G2182" i="2"/>
  <c r="G2180" i="2"/>
  <c r="G2179" i="2"/>
  <c r="G2176" i="2"/>
  <c r="G2174" i="2"/>
  <c r="G2172" i="2"/>
  <c r="G2170" i="2"/>
  <c r="G2168" i="2"/>
  <c r="G2166" i="2"/>
  <c r="G2164" i="2"/>
  <c r="G2162" i="2"/>
  <c r="G2160" i="2"/>
  <c r="G2158" i="2"/>
  <c r="G2156" i="2"/>
  <c r="G2155" i="2"/>
  <c r="G2153" i="2"/>
  <c r="G2151" i="2"/>
  <c r="G2149" i="2"/>
  <c r="G2147" i="2"/>
  <c r="G2145" i="2"/>
  <c r="G2143" i="2"/>
  <c r="G2140" i="2"/>
  <c r="G2138" i="2"/>
  <c r="G2137" i="2"/>
  <c r="G2135" i="2"/>
  <c r="G2133" i="2"/>
  <c r="G2130" i="2"/>
  <c r="G2128" i="2"/>
  <c r="G2127" i="2"/>
  <c r="G2124" i="2"/>
  <c r="G2122" i="2"/>
  <c r="G2121" i="2"/>
  <c r="G2119" i="2"/>
  <c r="G2116" i="2"/>
  <c r="G2114" i="2"/>
  <c r="G2112" i="2"/>
  <c r="G2111" i="2"/>
  <c r="G2109" i="2"/>
  <c r="G2107" i="2"/>
  <c r="G2106" i="2"/>
  <c r="G2540" i="2"/>
  <c r="G2400" i="2"/>
  <c r="G2385" i="2"/>
  <c r="G2382" i="2"/>
  <c r="G2380" i="2"/>
  <c r="G2378" i="2"/>
  <c r="G2376" i="2"/>
  <c r="G2374" i="2"/>
  <c r="G2372" i="2"/>
  <c r="G2370" i="2"/>
  <c r="G2368" i="2"/>
  <c r="G2366" i="2"/>
  <c r="G2364" i="2"/>
  <c r="G2362" i="2"/>
  <c r="G2360" i="2"/>
  <c r="G2358" i="2"/>
  <c r="G2356" i="2"/>
  <c r="G2354" i="2"/>
  <c r="G2352" i="2"/>
  <c r="G2350" i="2"/>
  <c r="G2347" i="2"/>
  <c r="G2345" i="2"/>
  <c r="G2343" i="2"/>
  <c r="G2341" i="2"/>
  <c r="G2339" i="2"/>
  <c r="G2337" i="2"/>
  <c r="G2335" i="2"/>
  <c r="G2334" i="2"/>
  <c r="G2332" i="2"/>
  <c r="G2329" i="2"/>
  <c r="G2327" i="2"/>
  <c r="G2325" i="2"/>
  <c r="G2323" i="2"/>
  <c r="G2321" i="2"/>
  <c r="G2318" i="2"/>
  <c r="G2316" i="2"/>
  <c r="G2314" i="2"/>
  <c r="G2312" i="2"/>
  <c r="G2310" i="2"/>
  <c r="G2308" i="2"/>
  <c r="G2306" i="2"/>
  <c r="G2304" i="2"/>
  <c r="G2302" i="2"/>
  <c r="G2300" i="2"/>
  <c r="G2298" i="2"/>
  <c r="G2296" i="2"/>
  <c r="G2294" i="2"/>
  <c r="G2292" i="2"/>
  <c r="G2290" i="2"/>
  <c r="G2288" i="2"/>
  <c r="G2286" i="2"/>
  <c r="G2284" i="2"/>
  <c r="G2282" i="2"/>
  <c r="G2280" i="2"/>
  <c r="G2279" i="2"/>
  <c r="G2277" i="2"/>
  <c r="G2275" i="2"/>
  <c r="G2273" i="2"/>
  <c r="G2271" i="2"/>
  <c r="G2268" i="2"/>
  <c r="G2267" i="2"/>
  <c r="G2265" i="2"/>
  <c r="G2263" i="2"/>
  <c r="G2261" i="2"/>
  <c r="G2258" i="2"/>
  <c r="G2256" i="2"/>
  <c r="G2255" i="2"/>
  <c r="G2252" i="2"/>
  <c r="G2250" i="2"/>
  <c r="G2248" i="2"/>
  <c r="G2246" i="2"/>
  <c r="G2244" i="2"/>
  <c r="G2242" i="2"/>
  <c r="G2240" i="2"/>
  <c r="G2238" i="2"/>
  <c r="G2237" i="2"/>
  <c r="G2235" i="2"/>
  <c r="G2233" i="2"/>
  <c r="G2230" i="2"/>
  <c r="G2228" i="2"/>
  <c r="G2226" i="2"/>
  <c r="G2224" i="2"/>
  <c r="G2222" i="2"/>
  <c r="G2221" i="2"/>
  <c r="G2219" i="2"/>
  <c r="G2217" i="2"/>
  <c r="G2214" i="2"/>
  <c r="G2212" i="2"/>
  <c r="G2210" i="2"/>
  <c r="G2208" i="2"/>
  <c r="G2205" i="2"/>
  <c r="G2203" i="2"/>
  <c r="G2202" i="2"/>
  <c r="G2200" i="2"/>
  <c r="G2197" i="2"/>
  <c r="G2195" i="2"/>
  <c r="G2193" i="2"/>
  <c r="G2191" i="2"/>
  <c r="G2189" i="2"/>
  <c r="G2187" i="2"/>
  <c r="G2185" i="2"/>
  <c r="G2183" i="2"/>
  <c r="G2181" i="2"/>
  <c r="G2178" i="2"/>
  <c r="G2177" i="2"/>
  <c r="G2175" i="2"/>
  <c r="G2173" i="2"/>
  <c r="G2171" i="2"/>
  <c r="G2169" i="2"/>
  <c r="G2167" i="2"/>
  <c r="G2165" i="2"/>
  <c r="G2163" i="2"/>
  <c r="G2161" i="2"/>
  <c r="G2159" i="2"/>
  <c r="G2157" i="2"/>
  <c r="G2154" i="2"/>
  <c r="G2152" i="2"/>
  <c r="G2150" i="2"/>
  <c r="G2148" i="2"/>
  <c r="G2146" i="2"/>
  <c r="G2144" i="2"/>
  <c r="G2142" i="2"/>
  <c r="G2141" i="2"/>
  <c r="G2139" i="2"/>
  <c r="G2136" i="2"/>
  <c r="G2134" i="2"/>
  <c r="G2132" i="2"/>
  <c r="G2131" i="2"/>
  <c r="G2129" i="2"/>
  <c r="G2126" i="2"/>
  <c r="G2125" i="2"/>
  <c r="G2123" i="2"/>
  <c r="G2120" i="2"/>
  <c r="G2118" i="2"/>
  <c r="G2117" i="2"/>
  <c r="G2115" i="2"/>
  <c r="G2113" i="2"/>
  <c r="G2110" i="2"/>
  <c r="G2108" i="2"/>
  <c r="G2105" i="2"/>
  <c r="G2104" i="2"/>
  <c r="G2103" i="2"/>
  <c r="G2102" i="2"/>
  <c r="G2101" i="2"/>
  <c r="G2100" i="2"/>
  <c r="G2099" i="2"/>
  <c r="G2098" i="2"/>
  <c r="G2097" i="2"/>
  <c r="G2096" i="2"/>
  <c r="G2095" i="2"/>
  <c r="G2094" i="2"/>
  <c r="G2093" i="2"/>
  <c r="G2092" i="2"/>
  <c r="G2091" i="2"/>
  <c r="G2090" i="2"/>
  <c r="G2089" i="2"/>
  <c r="G2088" i="2"/>
  <c r="G2087" i="2"/>
  <c r="G2086" i="2"/>
  <c r="G2085" i="2"/>
  <c r="G2084" i="2"/>
  <c r="G2083" i="2"/>
  <c r="G2082" i="2"/>
  <c r="G2081" i="2"/>
  <c r="G2080" i="2"/>
  <c r="G2079" i="2"/>
  <c r="G2078" i="2"/>
  <c r="G2077" i="2"/>
  <c r="G2076" i="2"/>
  <c r="G2075" i="2"/>
  <c r="G2074" i="2"/>
  <c r="G2073" i="2"/>
  <c r="G2072" i="2"/>
  <c r="G2071" i="2"/>
  <c r="G2070" i="2"/>
  <c r="G2069" i="2"/>
  <c r="G2068" i="2"/>
  <c r="G2067" i="2"/>
  <c r="G2066" i="2"/>
  <c r="G2065" i="2"/>
  <c r="G2064" i="2"/>
  <c r="G2063" i="2"/>
  <c r="G2062" i="2"/>
  <c r="G2061" i="2"/>
  <c r="G2060" i="2"/>
  <c r="G2059" i="2"/>
  <c r="G2058" i="2"/>
  <c r="G2057" i="2"/>
  <c r="G2056" i="2"/>
  <c r="G2055" i="2"/>
  <c r="G2054" i="2"/>
  <c r="G2053" i="2"/>
  <c r="G2052" i="2"/>
  <c r="G2051" i="2"/>
  <c r="G2050" i="2"/>
  <c r="G2049" i="2"/>
  <c r="G2048" i="2"/>
  <c r="G2047" i="2"/>
  <c r="G2046" i="2"/>
  <c r="G2045" i="2"/>
  <c r="G2044" i="2"/>
  <c r="G2043" i="2"/>
  <c r="G2042" i="2"/>
  <c r="G2041" i="2"/>
  <c r="G2040" i="2"/>
  <c r="G2039" i="2"/>
  <c r="G2038" i="2"/>
  <c r="G2037" i="2"/>
  <c r="G2036" i="2"/>
  <c r="G2035" i="2"/>
  <c r="G2034" i="2"/>
  <c r="G2033" i="2"/>
  <c r="G2032" i="2"/>
  <c r="G2031" i="2"/>
  <c r="G2030" i="2"/>
  <c r="G2029" i="2"/>
  <c r="G2028" i="2"/>
  <c r="G2027" i="2"/>
  <c r="G2026" i="2"/>
  <c r="G2025" i="2"/>
  <c r="G2024" i="2"/>
  <c r="G2023" i="2"/>
  <c r="G2022" i="2"/>
  <c r="G2021" i="2"/>
  <c r="G2020" i="2"/>
  <c r="G2019" i="2"/>
  <c r="G2018" i="2"/>
  <c r="G2017" i="2"/>
  <c r="G2016" i="2"/>
  <c r="G2015" i="2"/>
  <c r="G2014" i="2"/>
  <c r="G2013" i="2"/>
  <c r="G2012" i="2"/>
  <c r="G2011" i="2"/>
  <c r="G2010" i="2"/>
  <c r="G2009" i="2"/>
  <c r="G2008" i="2"/>
  <c r="G2007" i="2"/>
  <c r="G2006" i="2"/>
  <c r="G2005" i="2"/>
  <c r="G2004" i="2"/>
  <c r="G2003" i="2"/>
  <c r="G2002" i="2"/>
  <c r="G2001" i="2"/>
  <c r="G2000" i="2"/>
  <c r="G1999" i="2"/>
  <c r="G1998" i="2"/>
  <c r="G1997" i="2"/>
  <c r="G1996" i="2"/>
  <c r="G1995" i="2"/>
  <c r="G1994" i="2"/>
  <c r="G1993" i="2"/>
  <c r="G1992" i="2"/>
  <c r="G1991" i="2"/>
  <c r="G1990" i="2"/>
  <c r="G1989" i="2"/>
  <c r="G1988" i="2"/>
  <c r="G1987" i="2"/>
  <c r="G1986" i="2"/>
  <c r="G1985" i="2"/>
  <c r="G1984" i="2"/>
  <c r="G1983" i="2"/>
  <c r="G1982" i="2"/>
  <c r="G1981" i="2"/>
  <c r="G1980" i="2"/>
  <c r="G1979" i="2"/>
  <c r="G1978" i="2"/>
  <c r="G1977" i="2"/>
  <c r="G1976" i="2"/>
  <c r="G1975" i="2"/>
  <c r="G1974" i="2"/>
  <c r="G1973" i="2"/>
  <c r="G1972" i="2"/>
  <c r="G1971" i="2"/>
  <c r="G1970" i="2"/>
  <c r="G1969" i="2"/>
  <c r="G1968" i="2"/>
  <c r="G1967" i="2"/>
  <c r="G1966" i="2"/>
  <c r="G1965" i="2"/>
  <c r="G1964" i="2"/>
  <c r="G1963" i="2"/>
  <c r="G1962" i="2"/>
  <c r="G1961" i="2"/>
  <c r="G1960" i="2"/>
  <c r="G1959" i="2"/>
  <c r="G1958" i="2"/>
  <c r="G1957" i="2"/>
  <c r="G1956" i="2"/>
  <c r="G1955" i="2"/>
  <c r="G1954" i="2"/>
  <c r="G1953" i="2"/>
  <c r="G1952" i="2"/>
  <c r="G1951" i="2"/>
  <c r="G1950" i="2"/>
  <c r="G1949" i="2"/>
  <c r="G1948" i="2"/>
  <c r="G1947" i="2"/>
  <c r="G1946" i="2"/>
  <c r="G1945" i="2"/>
  <c r="G1944" i="2"/>
  <c r="G1943" i="2"/>
  <c r="G1942" i="2"/>
  <c r="G1941" i="2"/>
  <c r="G1940" i="2"/>
  <c r="G1939" i="2"/>
  <c r="G1938" i="2"/>
  <c r="G1937" i="2"/>
  <c r="G1936" i="2"/>
  <c r="G1935" i="2"/>
  <c r="G1934" i="2"/>
  <c r="G1933" i="2"/>
  <c r="G1932" i="2"/>
  <c r="G1931" i="2"/>
  <c r="G1930" i="2"/>
  <c r="G1929" i="2"/>
  <c r="G1928" i="2"/>
  <c r="G1927" i="2"/>
  <c r="G1926" i="2"/>
  <c r="G1925" i="2"/>
  <c r="G1924" i="2"/>
  <c r="G1923" i="2"/>
  <c r="G1922" i="2"/>
  <c r="G1921" i="2"/>
  <c r="G1920" i="2"/>
  <c r="G1919" i="2"/>
  <c r="G1918" i="2"/>
  <c r="G1917" i="2"/>
  <c r="G1916" i="2"/>
  <c r="G1915" i="2"/>
  <c r="G1914" i="2"/>
  <c r="G1913" i="2"/>
  <c r="G1912" i="2"/>
  <c r="G1911" i="2"/>
  <c r="G1910" i="2"/>
  <c r="G1909" i="2"/>
  <c r="G1908" i="2"/>
  <c r="G1907" i="2"/>
  <c r="G1906" i="2"/>
  <c r="G1905" i="2"/>
  <c r="G1904" i="2"/>
  <c r="G1903" i="2"/>
  <c r="G1902" i="2"/>
  <c r="G1901" i="2"/>
  <c r="G1900" i="2"/>
  <c r="G1899" i="2"/>
  <c r="G1898" i="2"/>
  <c r="G1897" i="2"/>
  <c r="G1896" i="2"/>
  <c r="G1895" i="2"/>
  <c r="G1894" i="2"/>
  <c r="G1893" i="2"/>
  <c r="G1892" i="2"/>
  <c r="G1891" i="2"/>
  <c r="G1890" i="2"/>
  <c r="G1889" i="2"/>
  <c r="G1888" i="2"/>
  <c r="G1887" i="2"/>
  <c r="G1886" i="2"/>
  <c r="G1885" i="2"/>
  <c r="G1884" i="2"/>
  <c r="G1883" i="2"/>
  <c r="G1882" i="2"/>
  <c r="G1881" i="2"/>
  <c r="G1880" i="2"/>
  <c r="G1879" i="2"/>
  <c r="G1878" i="2"/>
  <c r="G1877" i="2"/>
  <c r="G1876" i="2"/>
  <c r="G1875" i="2"/>
  <c r="G1874" i="2"/>
  <c r="G1873" i="2"/>
  <c r="G1872" i="2"/>
  <c r="G1871" i="2"/>
  <c r="G1870" i="2"/>
  <c r="G1869" i="2"/>
  <c r="G1868" i="2"/>
  <c r="G1867" i="2"/>
  <c r="G1866" i="2"/>
  <c r="G1865" i="2"/>
  <c r="G1864" i="2"/>
  <c r="G1863" i="2"/>
  <c r="G1862" i="2"/>
  <c r="G1861" i="2"/>
  <c r="G1860" i="2"/>
  <c r="G1859" i="2"/>
  <c r="G1858" i="2"/>
  <c r="G1857" i="2"/>
  <c r="G1856" i="2"/>
  <c r="G1855" i="2"/>
  <c r="G1854" i="2"/>
  <c r="G1853" i="2"/>
  <c r="G1852" i="2"/>
  <c r="G1851" i="2"/>
  <c r="G1850" i="2"/>
  <c r="G1849" i="2"/>
  <c r="G1848" i="2"/>
  <c r="G1847" i="2"/>
  <c r="G1846" i="2"/>
  <c r="G1845" i="2"/>
  <c r="G1844" i="2"/>
  <c r="G1843" i="2"/>
  <c r="G1842" i="2"/>
  <c r="G1841" i="2"/>
  <c r="G1840" i="2"/>
  <c r="G1839" i="2"/>
  <c r="G1838" i="2"/>
  <c r="G1837" i="2"/>
  <c r="G1836" i="2"/>
  <c r="G1835" i="2"/>
  <c r="G1834" i="2"/>
  <c r="G1833" i="2"/>
  <c r="G1832" i="2"/>
  <c r="G1831" i="2"/>
  <c r="G1830" i="2"/>
  <c r="G1829" i="2"/>
  <c r="G1828" i="2"/>
  <c r="G1827" i="2"/>
  <c r="G1826" i="2"/>
  <c r="G1825" i="2"/>
  <c r="G1824" i="2"/>
  <c r="G1823" i="2"/>
  <c r="G1822" i="2"/>
  <c r="G1821" i="2"/>
  <c r="G1820" i="2"/>
  <c r="G1819" i="2"/>
  <c r="G1818" i="2"/>
  <c r="G1817" i="2"/>
  <c r="G1816" i="2"/>
  <c r="G1815" i="2"/>
  <c r="G1814" i="2"/>
  <c r="G1813" i="2"/>
  <c r="G1812" i="2"/>
  <c r="G1811" i="2"/>
  <c r="G1810" i="2"/>
  <c r="G1809" i="2"/>
  <c r="G1808" i="2"/>
  <c r="G1807" i="2"/>
  <c r="G1806" i="2"/>
  <c r="G1805" i="2"/>
  <c r="G1804" i="2"/>
  <c r="G1803" i="2"/>
  <c r="G1802" i="2"/>
  <c r="G1801" i="2"/>
  <c r="G1800" i="2"/>
  <c r="G1799" i="2"/>
  <c r="G1798" i="2"/>
  <c r="G1797" i="2"/>
  <c r="G1796" i="2"/>
  <c r="G1795" i="2"/>
  <c r="G1794" i="2"/>
  <c r="G1793" i="2"/>
  <c r="G1792" i="2"/>
  <c r="G1791" i="2"/>
  <c r="G1790" i="2"/>
  <c r="G1789" i="2"/>
  <c r="G1788" i="2"/>
  <c r="G1787" i="2"/>
  <c r="G1786" i="2"/>
  <c r="G1785" i="2"/>
  <c r="G1784" i="2"/>
  <c r="G1783" i="2"/>
  <c r="G1782" i="2"/>
  <c r="G1781" i="2"/>
  <c r="G1780" i="2"/>
  <c r="G1779" i="2"/>
  <c r="G1778" i="2"/>
  <c r="G1777" i="2"/>
  <c r="G1776" i="2"/>
  <c r="G1775" i="2"/>
  <c r="G1774" i="2"/>
  <c r="G1773" i="2"/>
  <c r="G1772" i="2"/>
  <c r="G1771" i="2"/>
  <c r="G1770" i="2"/>
  <c r="G1769" i="2"/>
  <c r="G1768" i="2"/>
  <c r="G1767" i="2"/>
  <c r="G1766" i="2"/>
  <c r="G1765" i="2"/>
  <c r="G1746" i="2"/>
  <c r="G1519" i="2"/>
  <c r="G1475" i="2"/>
  <c r="G1470" i="2"/>
  <c r="G1468" i="2"/>
  <c r="G1466" i="2"/>
  <c r="G1464" i="2"/>
  <c r="G1461" i="2"/>
  <c r="G1459" i="2"/>
  <c r="G1457" i="2"/>
  <c r="G1455" i="2"/>
  <c r="G1452" i="2"/>
  <c r="G1449" i="2"/>
  <c r="G1446" i="2"/>
  <c r="G1443" i="2"/>
  <c r="G1441" i="2"/>
  <c r="G1438" i="2"/>
  <c r="G1434" i="2"/>
  <c r="G1431" i="2"/>
  <c r="G1429" i="2"/>
  <c r="G1426" i="2"/>
  <c r="G1422" i="2"/>
  <c r="G1419" i="2"/>
  <c r="G1415" i="2"/>
  <c r="G1412" i="2"/>
  <c r="G1410" i="2"/>
  <c r="G1405" i="2"/>
  <c r="G1402" i="2"/>
  <c r="G1399" i="2"/>
  <c r="G1396" i="2"/>
  <c r="G1393" i="2"/>
  <c r="G1390" i="2"/>
  <c r="G1388" i="2"/>
  <c r="G1385" i="2"/>
  <c r="G1382" i="2"/>
  <c r="G1379" i="2"/>
  <c r="G1376" i="2"/>
  <c r="G1373" i="2"/>
  <c r="G1370" i="2"/>
  <c r="G1367" i="2"/>
  <c r="G1364" i="2"/>
  <c r="G1360" i="2"/>
  <c r="G1357" i="2"/>
  <c r="G1354" i="2"/>
  <c r="G1351" i="2"/>
  <c r="G1348" i="2"/>
  <c r="G1345" i="2"/>
  <c r="G1342" i="2"/>
  <c r="G1339" i="2"/>
  <c r="G1336" i="2"/>
  <c r="G1332" i="2"/>
  <c r="G1329" i="2"/>
  <c r="G1326" i="2"/>
  <c r="G1325" i="2"/>
  <c r="G1322" i="2"/>
  <c r="G1319" i="2"/>
  <c r="G1316" i="2"/>
  <c r="G1313" i="2"/>
  <c r="G1310" i="2"/>
  <c r="G1307" i="2"/>
  <c r="G1304" i="2"/>
  <c r="G1301" i="2"/>
  <c r="G1298" i="2"/>
  <c r="G1295" i="2"/>
  <c r="G1293" i="2"/>
  <c r="G1290" i="2"/>
  <c r="G1287" i="2"/>
  <c r="G1283" i="2"/>
  <c r="G1280" i="2"/>
  <c r="G1277" i="2"/>
  <c r="G1274" i="2"/>
  <c r="G1271" i="2"/>
  <c r="G1268" i="2"/>
  <c r="G1265" i="2"/>
  <c r="G1262" i="2"/>
  <c r="G1259" i="2"/>
  <c r="G1255" i="2"/>
  <c r="G1252" i="2"/>
  <c r="G1248" i="2"/>
  <c r="G1245" i="2"/>
  <c r="G1242" i="2"/>
  <c r="G1239" i="2"/>
  <c r="G1236" i="2"/>
  <c r="G1233" i="2"/>
  <c r="G1229" i="2"/>
  <c r="G1226" i="2"/>
  <c r="G1222" i="2"/>
  <c r="G1219" i="2"/>
  <c r="G1215" i="2"/>
  <c r="G1212" i="2"/>
  <c r="G1208" i="2"/>
  <c r="G1206" i="2"/>
  <c r="G1203" i="2"/>
  <c r="G1200" i="2"/>
  <c r="G1197" i="2"/>
  <c r="G1194" i="2"/>
  <c r="G1191" i="2"/>
  <c r="G1188" i="2"/>
  <c r="G1185" i="2"/>
  <c r="G1182" i="2"/>
  <c r="G1179" i="2"/>
  <c r="G1176" i="2"/>
  <c r="G1173" i="2"/>
  <c r="G1170" i="2"/>
  <c r="G1167" i="2"/>
  <c r="G1163" i="2"/>
  <c r="G1159" i="2"/>
  <c r="G1156" i="2"/>
  <c r="G1153" i="2"/>
  <c r="G1150" i="2"/>
  <c r="G1147" i="2"/>
  <c r="G1143" i="2"/>
  <c r="G1141" i="2"/>
  <c r="G1138" i="2"/>
  <c r="G1135" i="2"/>
  <c r="G1131" i="2"/>
  <c r="G1128" i="2"/>
  <c r="G1125" i="2"/>
  <c r="G1122" i="2"/>
  <c r="G1119" i="2"/>
  <c r="G1116" i="2"/>
  <c r="G1112" i="2"/>
  <c r="G1110" i="2"/>
  <c r="G1108" i="2"/>
  <c r="G1105" i="2"/>
  <c r="G1102" i="2"/>
  <c r="G1099" i="2"/>
  <c r="G1096" i="2"/>
  <c r="G1764" i="2"/>
  <c r="G1762" i="2"/>
  <c r="G1760" i="2"/>
  <c r="G1758" i="2"/>
  <c r="G1756" i="2"/>
  <c r="G1754" i="2"/>
  <c r="G1752" i="2"/>
  <c r="G1750" i="2"/>
  <c r="G1748" i="2"/>
  <c r="G1745" i="2"/>
  <c r="G1743" i="2"/>
  <c r="G1741" i="2"/>
  <c r="G1739" i="2"/>
  <c r="G1737" i="2"/>
  <c r="G1734" i="2"/>
  <c r="G1732" i="2"/>
  <c r="G1730" i="2"/>
  <c r="G1729" i="2"/>
  <c r="G1727" i="2"/>
  <c r="G1725" i="2"/>
  <c r="G1723" i="2"/>
  <c r="G1721" i="2"/>
  <c r="G1719" i="2"/>
  <c r="G1717" i="2"/>
  <c r="G1715" i="2"/>
  <c r="G1713" i="2"/>
  <c r="G1689" i="2"/>
  <c r="G1685" i="2"/>
  <c r="G1629" i="2"/>
  <c r="G1624" i="2"/>
  <c r="G1621" i="2"/>
  <c r="G1619" i="2"/>
  <c r="G1617" i="2"/>
  <c r="G1615" i="2"/>
  <c r="G1613" i="2"/>
  <c r="G1611" i="2"/>
  <c r="G1609" i="2"/>
  <c r="G1607" i="2"/>
  <c r="G1605" i="2"/>
  <c r="G1603" i="2"/>
  <c r="G1601" i="2"/>
  <c r="G1599" i="2"/>
  <c r="G1597" i="2"/>
  <c r="G1595" i="2"/>
  <c r="G1593" i="2"/>
  <c r="G1591" i="2"/>
  <c r="G1589" i="2"/>
  <c r="G1587" i="2"/>
  <c r="G1585" i="2"/>
  <c r="G1583" i="2"/>
  <c r="G1581" i="2"/>
  <c r="G1579" i="2"/>
  <c r="G1577" i="2"/>
  <c r="G1575" i="2"/>
  <c r="G1573" i="2"/>
  <c r="G1571" i="2"/>
  <c r="G1570" i="2"/>
  <c r="G1568" i="2"/>
  <c r="G1567" i="2"/>
  <c r="G1565" i="2"/>
  <c r="G1563" i="2"/>
  <c r="G1560" i="2"/>
  <c r="G1558" i="2"/>
  <c r="G1556" i="2"/>
  <c r="G1554" i="2"/>
  <c r="G1552" i="2"/>
  <c r="G1550" i="2"/>
  <c r="G1548" i="2"/>
  <c r="G1546" i="2"/>
  <c r="G1544" i="2"/>
  <c r="G1542" i="2"/>
  <c r="G1540" i="2"/>
  <c r="G1538" i="2"/>
  <c r="G1535" i="2"/>
  <c r="G1533" i="2"/>
  <c r="G1531" i="2"/>
  <c r="G1462" i="2"/>
  <c r="G1454" i="2"/>
  <c r="G1451" i="2"/>
  <c r="G1448" i="2"/>
  <c r="G1445" i="2"/>
  <c r="G1442" i="2"/>
  <c r="G1439" i="2"/>
  <c r="G1436" i="2"/>
  <c r="G1433" i="2"/>
  <c r="G1430" i="2"/>
  <c r="G1427" i="2"/>
  <c r="G1424" i="2"/>
  <c r="G1421" i="2"/>
  <c r="G1418" i="2"/>
  <c r="G1416" i="2"/>
  <c r="G1414" i="2"/>
  <c r="G1411" i="2"/>
  <c r="G1408" i="2"/>
  <c r="G1406" i="2"/>
  <c r="G1404" i="2"/>
  <c r="G1401" i="2"/>
  <c r="G1398" i="2"/>
  <c r="G1395" i="2"/>
  <c r="G1392" i="2"/>
  <c r="G1389" i="2"/>
  <c r="G1386" i="2"/>
  <c r="G1384" i="2"/>
  <c r="G1380" i="2"/>
  <c r="G1377" i="2"/>
  <c r="G1374" i="2"/>
  <c r="G1371" i="2"/>
  <c r="G1369" i="2"/>
  <c r="G1366" i="2"/>
  <c r="G1363" i="2"/>
  <c r="G1361" i="2"/>
  <c r="G1358" i="2"/>
  <c r="G1355" i="2"/>
  <c r="G1353" i="2"/>
  <c r="G1350" i="2"/>
  <c r="G1347" i="2"/>
  <c r="G1344" i="2"/>
  <c r="G1341" i="2"/>
  <c r="G1338" i="2"/>
  <c r="G1335" i="2"/>
  <c r="G1333" i="2"/>
  <c r="G1330" i="2"/>
  <c r="G1328" i="2"/>
  <c r="G1323" i="2"/>
  <c r="G1321" i="2"/>
  <c r="G1318" i="2"/>
  <c r="G1315" i="2"/>
  <c r="G1312" i="2"/>
  <c r="G1309" i="2"/>
  <c r="G1305" i="2"/>
  <c r="G1302" i="2"/>
  <c r="G1299" i="2"/>
  <c r="G1297" i="2"/>
  <c r="G1294" i="2"/>
  <c r="G1291" i="2"/>
  <c r="G1288" i="2"/>
  <c r="G1285" i="2"/>
  <c r="G1282" i="2"/>
  <c r="G1279" i="2"/>
  <c r="G1276" i="2"/>
  <c r="G1272" i="2"/>
  <c r="G1269" i="2"/>
  <c r="G1266" i="2"/>
  <c r="G1263" i="2"/>
  <c r="G1261" i="2"/>
  <c r="G1258" i="2"/>
  <c r="G1256" i="2"/>
  <c r="G1253" i="2"/>
  <c r="G1250" i="2"/>
  <c r="G1247" i="2"/>
  <c r="G1244" i="2"/>
  <c r="G1241" i="2"/>
  <c r="G1238" i="2"/>
  <c r="G1235" i="2"/>
  <c r="G1232" i="2"/>
  <c r="G1230" i="2"/>
  <c r="G1228" i="2"/>
  <c r="G1225" i="2"/>
  <c r="G1223" i="2"/>
  <c r="G1220" i="2"/>
  <c r="G1217" i="2"/>
  <c r="G1214" i="2"/>
  <c r="G1211" i="2"/>
  <c r="G1210" i="2"/>
  <c r="G1207" i="2"/>
  <c r="G1204" i="2"/>
  <c r="G1201" i="2"/>
  <c r="G1198" i="2"/>
  <c r="G1195" i="2"/>
  <c r="G1192" i="2"/>
  <c r="G1189" i="2"/>
  <c r="G1186" i="2"/>
  <c r="G1183" i="2"/>
  <c r="G1180" i="2"/>
  <c r="G1177" i="2"/>
  <c r="G1174" i="2"/>
  <c r="G1171" i="2"/>
  <c r="G1168" i="2"/>
  <c r="G1166" i="2"/>
  <c r="G1164" i="2"/>
  <c r="G1161" i="2"/>
  <c r="G1158" i="2"/>
  <c r="G1155" i="2"/>
  <c r="G1152" i="2"/>
  <c r="G1148" i="2"/>
  <c r="G1146" i="2"/>
  <c r="G1144" i="2"/>
  <c r="G1140" i="2"/>
  <c r="G1137" i="2"/>
  <c r="G1134" i="2"/>
  <c r="G1132" i="2"/>
  <c r="G1129" i="2"/>
  <c r="G1126" i="2"/>
  <c r="G1124" i="2"/>
  <c r="G1121" i="2"/>
  <c r="G1118" i="2"/>
  <c r="G1115" i="2"/>
  <c r="G1113" i="2"/>
  <c r="G1109" i="2"/>
  <c r="G1106" i="2"/>
  <c r="G1103" i="2"/>
  <c r="G1100" i="2"/>
  <c r="G1097" i="2"/>
  <c r="G1763" i="2"/>
  <c r="G1761" i="2"/>
  <c r="G1759" i="2"/>
  <c r="G1757" i="2"/>
  <c r="G1755" i="2"/>
  <c r="G1753" i="2"/>
  <c r="G1751" i="2"/>
  <c r="G1749" i="2"/>
  <c r="G1747" i="2"/>
  <c r="G1744" i="2"/>
  <c r="G1742" i="2"/>
  <c r="G1740" i="2"/>
  <c r="G1738" i="2"/>
  <c r="G1736" i="2"/>
  <c r="G1735" i="2"/>
  <c r="G1733" i="2"/>
  <c r="G1731" i="2"/>
  <c r="G1728" i="2"/>
  <c r="G1726" i="2"/>
  <c r="G1724" i="2"/>
  <c r="G1722" i="2"/>
  <c r="G1720" i="2"/>
  <c r="G1718" i="2"/>
  <c r="G1716" i="2"/>
  <c r="G1714" i="2"/>
  <c r="G1712" i="2"/>
  <c r="G1711" i="2"/>
  <c r="G1710" i="2"/>
  <c r="G1709" i="2"/>
  <c r="G1708" i="2"/>
  <c r="G1707" i="2"/>
  <c r="G1706" i="2"/>
  <c r="G1705" i="2"/>
  <c r="G1704" i="2"/>
  <c r="G1703" i="2"/>
  <c r="G1702" i="2"/>
  <c r="G1701" i="2"/>
  <c r="G1700" i="2"/>
  <c r="G1699" i="2"/>
  <c r="G1698" i="2"/>
  <c r="G1697" i="2"/>
  <c r="G1696" i="2"/>
  <c r="G1695" i="2"/>
  <c r="G1694" i="2"/>
  <c r="G1693" i="2"/>
  <c r="G1692" i="2"/>
  <c r="G1691" i="2"/>
  <c r="G1690" i="2"/>
  <c r="G1688" i="2"/>
  <c r="G1687" i="2"/>
  <c r="G1686" i="2"/>
  <c r="G1684" i="2"/>
  <c r="G1683" i="2"/>
  <c r="G1682" i="2"/>
  <c r="G1681" i="2"/>
  <c r="G1680" i="2"/>
  <c r="G1679" i="2"/>
  <c r="G1678" i="2"/>
  <c r="G1677" i="2"/>
  <c r="G1676" i="2"/>
  <c r="G1675" i="2"/>
  <c r="G1674" i="2"/>
  <c r="G1673" i="2"/>
  <c r="G1672" i="2"/>
  <c r="G1671" i="2"/>
  <c r="G1670" i="2"/>
  <c r="G1669" i="2"/>
  <c r="G1668" i="2"/>
  <c r="G1667" i="2"/>
  <c r="G1666" i="2"/>
  <c r="G1665" i="2"/>
  <c r="G1664" i="2"/>
  <c r="G1663" i="2"/>
  <c r="G1662" i="2"/>
  <c r="G1661" i="2"/>
  <c r="G1660" i="2"/>
  <c r="G1659" i="2"/>
  <c r="G1658" i="2"/>
  <c r="G1657" i="2"/>
  <c r="G1656" i="2"/>
  <c r="G1655" i="2"/>
  <c r="G1654" i="2"/>
  <c r="G1653" i="2"/>
  <c r="G1652" i="2"/>
  <c r="G1651" i="2"/>
  <c r="G1650" i="2"/>
  <c r="G1649" i="2"/>
  <c r="G1648" i="2"/>
  <c r="G1647" i="2"/>
  <c r="G1646" i="2"/>
  <c r="G1645" i="2"/>
  <c r="G1644" i="2"/>
  <c r="G1643" i="2"/>
  <c r="G1642" i="2"/>
  <c r="G1641" i="2"/>
  <c r="G1640" i="2"/>
  <c r="G1639" i="2"/>
  <c r="G1638" i="2"/>
  <c r="G1637" i="2"/>
  <c r="G1636" i="2"/>
  <c r="G1635" i="2"/>
  <c r="G1634" i="2"/>
  <c r="G1633" i="2"/>
  <c r="G1632" i="2"/>
  <c r="G1631" i="2"/>
  <c r="G1630" i="2"/>
  <c r="G1628" i="2"/>
  <c r="G1627" i="2"/>
  <c r="G1626" i="2"/>
  <c r="G1625" i="2"/>
  <c r="G1623" i="2"/>
  <c r="G1622" i="2"/>
  <c r="G1620" i="2"/>
  <c r="G1618" i="2"/>
  <c r="G1616" i="2"/>
  <c r="G1614" i="2"/>
  <c r="G1612" i="2"/>
  <c r="G1610" i="2"/>
  <c r="G1608" i="2"/>
  <c r="G1606" i="2"/>
  <c r="G1604" i="2"/>
  <c r="G1602" i="2"/>
  <c r="G1600" i="2"/>
  <c r="G1598" i="2"/>
  <c r="G1596" i="2"/>
  <c r="G1594" i="2"/>
  <c r="G1592" i="2"/>
  <c r="G1590" i="2"/>
  <c r="G1588" i="2"/>
  <c r="G1586" i="2"/>
  <c r="G1584" i="2"/>
  <c r="G1582" i="2"/>
  <c r="G1580" i="2"/>
  <c r="G1578" i="2"/>
  <c r="G1576" i="2"/>
  <c r="G1574" i="2"/>
  <c r="G1572" i="2"/>
  <c r="G1569" i="2"/>
  <c r="G1566" i="2"/>
  <c r="G1564" i="2"/>
  <c r="G1562" i="2"/>
  <c r="G1561" i="2"/>
  <c r="G1559" i="2"/>
  <c r="G1557" i="2"/>
  <c r="G1555" i="2"/>
  <c r="G1553" i="2"/>
  <c r="G1551" i="2"/>
  <c r="G1549" i="2"/>
  <c r="G1547" i="2"/>
  <c r="G1545" i="2"/>
  <c r="G1543" i="2"/>
  <c r="G1541" i="2"/>
  <c r="G1539" i="2"/>
  <c r="G1537" i="2"/>
  <c r="G1536" i="2"/>
  <c r="G1534" i="2"/>
  <c r="G1532" i="2"/>
  <c r="G1530" i="2"/>
  <c r="G1529" i="2"/>
  <c r="G1528" i="2"/>
  <c r="G1527" i="2"/>
  <c r="G1526" i="2"/>
  <c r="G1525" i="2"/>
  <c r="G1524" i="2"/>
  <c r="G1523" i="2"/>
  <c r="G1522" i="2"/>
  <c r="G1521" i="2"/>
  <c r="G1520" i="2"/>
  <c r="G1518" i="2"/>
  <c r="G1517" i="2"/>
  <c r="G1516" i="2"/>
  <c r="G1515" i="2"/>
  <c r="G1514" i="2"/>
  <c r="G1513" i="2"/>
  <c r="G1512" i="2"/>
  <c r="G1511" i="2"/>
  <c r="G1510" i="2"/>
  <c r="G1509" i="2"/>
  <c r="G1508" i="2"/>
  <c r="G1507" i="2"/>
  <c r="G1506" i="2"/>
  <c r="G1505" i="2"/>
  <c r="G1504" i="2"/>
  <c r="G1503" i="2"/>
  <c r="G1502" i="2"/>
  <c r="G1501" i="2"/>
  <c r="G1500" i="2"/>
  <c r="G1499" i="2"/>
  <c r="G1498" i="2"/>
  <c r="G1497" i="2"/>
  <c r="G1496" i="2"/>
  <c r="G1495" i="2"/>
  <c r="G1494" i="2"/>
  <c r="G1493" i="2"/>
  <c r="G1492" i="2"/>
  <c r="G1491" i="2"/>
  <c r="G1490" i="2"/>
  <c r="G1489" i="2"/>
  <c r="G1488" i="2"/>
  <c r="G1487" i="2"/>
  <c r="G1486" i="2"/>
  <c r="G1485" i="2"/>
  <c r="G1484" i="2"/>
  <c r="G1483" i="2"/>
  <c r="G1482" i="2"/>
  <c r="G1481" i="2"/>
  <c r="G1480" i="2"/>
  <c r="G1479" i="2"/>
  <c r="G1478" i="2"/>
  <c r="G1477" i="2"/>
  <c r="G1476" i="2"/>
  <c r="G1474" i="2"/>
  <c r="G1473" i="2"/>
  <c r="G1472" i="2"/>
  <c r="G1471" i="2"/>
  <c r="G1469" i="2"/>
  <c r="G1467" i="2"/>
  <c r="G1465" i="2"/>
  <c r="G1463" i="2"/>
  <c r="G1460" i="2"/>
  <c r="G1458" i="2"/>
  <c r="G1456" i="2"/>
  <c r="G1453" i="2"/>
  <c r="G1450" i="2"/>
  <c r="G1447" i="2"/>
  <c r="G1444" i="2"/>
  <c r="G1440" i="2"/>
  <c r="G1437" i="2"/>
  <c r="G1435" i="2"/>
  <c r="G1432" i="2"/>
  <c r="G1428" i="2"/>
  <c r="G1425" i="2"/>
  <c r="G1423" i="2"/>
  <c r="G1420" i="2"/>
  <c r="G1417" i="2"/>
  <c r="G1413" i="2"/>
  <c r="G1409" i="2"/>
  <c r="G1407" i="2"/>
  <c r="G1403" i="2"/>
  <c r="G1400" i="2"/>
  <c r="G1397" i="2"/>
  <c r="G1394" i="2"/>
  <c r="G1391" i="2"/>
  <c r="G1387" i="2"/>
  <c r="G1383" i="2"/>
  <c r="G1381" i="2"/>
  <c r="G1378" i="2"/>
  <c r="G1375" i="2"/>
  <c r="G1372" i="2"/>
  <c r="G1368" i="2"/>
  <c r="G1365" i="2"/>
  <c r="G1362" i="2"/>
  <c r="G1359" i="2"/>
  <c r="G1356" i="2"/>
  <c r="G1352" i="2"/>
  <c r="G1349" i="2"/>
  <c r="G1346" i="2"/>
  <c r="G1343" i="2"/>
  <c r="G1340" i="2"/>
  <c r="G1337" i="2"/>
  <c r="G1334" i="2"/>
  <c r="G1331" i="2"/>
  <c r="G1327" i="2"/>
  <c r="G1324" i="2"/>
  <c r="G1320" i="2"/>
  <c r="G1317" i="2"/>
  <c r="G1314" i="2"/>
  <c r="G1311" i="2"/>
  <c r="G1308" i="2"/>
  <c r="G1306" i="2"/>
  <c r="G1303" i="2"/>
  <c r="G1300" i="2"/>
  <c r="G1296" i="2"/>
  <c r="G1292" i="2"/>
  <c r="G1289" i="2"/>
  <c r="G1286" i="2"/>
  <c r="G1284" i="2"/>
  <c r="G1281" i="2"/>
  <c r="G1278" i="2"/>
  <c r="G1275" i="2"/>
  <c r="G1273" i="2"/>
  <c r="G1270" i="2"/>
  <c r="G1267" i="2"/>
  <c r="G1264" i="2"/>
  <c r="G1260" i="2"/>
  <c r="G1257" i="2"/>
  <c r="G1254" i="2"/>
  <c r="G1251" i="2"/>
  <c r="G1249" i="2"/>
  <c r="G1246" i="2"/>
  <c r="G1243" i="2"/>
  <c r="G1240" i="2"/>
  <c r="G1237" i="2"/>
  <c r="G1234" i="2"/>
  <c r="G1231" i="2"/>
  <c r="G1227" i="2"/>
  <c r="G1224" i="2"/>
  <c r="G1221" i="2"/>
  <c r="G1218" i="2"/>
  <c r="G1216" i="2"/>
  <c r="G1213" i="2"/>
  <c r="G1209" i="2"/>
  <c r="G1205" i="2"/>
  <c r="G1202" i="2"/>
  <c r="G1199" i="2"/>
  <c r="G1196" i="2"/>
  <c r="G1193" i="2"/>
  <c r="G1190" i="2"/>
  <c r="G1187" i="2"/>
  <c r="G1184" i="2"/>
  <c r="G1181" i="2"/>
  <c r="G1178" i="2"/>
  <c r="G1175" i="2"/>
  <c r="G1172" i="2"/>
  <c r="G1169" i="2"/>
  <c r="G1165" i="2"/>
  <c r="G1162" i="2"/>
  <c r="G1160" i="2"/>
  <c r="G1157" i="2"/>
  <c r="G1154" i="2"/>
  <c r="G1151" i="2"/>
  <c r="G1149" i="2"/>
  <c r="G1145" i="2"/>
  <c r="G1142" i="2"/>
  <c r="G1139" i="2"/>
  <c r="G1136" i="2"/>
  <c r="G1133" i="2"/>
  <c r="G1130" i="2"/>
  <c r="G1127" i="2"/>
  <c r="G1123" i="2"/>
  <c r="G1120" i="2"/>
  <c r="G1117" i="2"/>
  <c r="G1114" i="2"/>
  <c r="G1111" i="2"/>
  <c r="G1107" i="2"/>
  <c r="G1104" i="2"/>
  <c r="G1101" i="2"/>
  <c r="G1098" i="2"/>
  <c r="G865" i="2"/>
  <c r="G834" i="2"/>
  <c r="G830" i="2"/>
  <c r="G828" i="2"/>
  <c r="G825" i="2"/>
  <c r="G822" i="2"/>
  <c r="G820" i="2"/>
  <c r="G818" i="2"/>
  <c r="G815" i="2"/>
  <c r="G812" i="2"/>
  <c r="G809" i="2"/>
  <c r="G806" i="2"/>
  <c r="G801" i="2"/>
  <c r="G798" i="2"/>
  <c r="G795" i="2"/>
  <c r="G792" i="2"/>
  <c r="G789" i="2"/>
  <c r="G786" i="2"/>
  <c r="G783" i="2"/>
  <c r="G780" i="2"/>
  <c r="G777" i="2"/>
  <c r="G775" i="2"/>
  <c r="G772" i="2"/>
  <c r="G769" i="2"/>
  <c r="G766" i="2"/>
  <c r="G761" i="2"/>
  <c r="G758" i="2"/>
  <c r="G755" i="2"/>
  <c r="G752" i="2"/>
  <c r="G749" i="2"/>
  <c r="G745" i="2"/>
  <c r="G742" i="2"/>
  <c r="G740" i="2"/>
  <c r="G738" i="2"/>
  <c r="G734" i="2"/>
  <c r="G731" i="2"/>
  <c r="G728" i="2"/>
  <c r="G725" i="2"/>
  <c r="G722" i="2"/>
  <c r="G719" i="2"/>
  <c r="G717" i="2"/>
  <c r="G713" i="2"/>
  <c r="G711" i="2"/>
  <c r="G707" i="2"/>
  <c r="G704" i="2"/>
  <c r="G701" i="2"/>
  <c r="G698" i="2"/>
  <c r="G696" i="2"/>
  <c r="G693" i="2"/>
  <c r="G690" i="2"/>
  <c r="G687" i="2"/>
  <c r="G684" i="2"/>
  <c r="G682" i="2"/>
  <c r="G678" i="2"/>
  <c r="G675" i="2"/>
  <c r="G672" i="2"/>
  <c r="G668" i="2"/>
  <c r="G666" i="2"/>
  <c r="G664" i="2"/>
  <c r="G661" i="2"/>
  <c r="G658" i="2"/>
  <c r="G655" i="2"/>
  <c r="G651" i="2"/>
  <c r="G648" i="2"/>
  <c r="G646" i="2"/>
  <c r="G642" i="2"/>
  <c r="G639" i="2"/>
  <c r="G636" i="2"/>
  <c r="G633" i="2"/>
  <c r="G630" i="2"/>
  <c r="G627" i="2"/>
  <c r="G624" i="2"/>
  <c r="G621" i="2"/>
  <c r="G618" i="2"/>
  <c r="G615" i="2"/>
  <c r="G612" i="2"/>
  <c r="G610" i="2"/>
  <c r="G607" i="2"/>
  <c r="G603" i="2"/>
  <c r="G600" i="2"/>
  <c r="G598" i="2"/>
  <c r="G595" i="2"/>
  <c r="G592" i="2"/>
  <c r="G590" i="2"/>
  <c r="G587" i="2"/>
  <c r="G585" i="2"/>
  <c r="G583" i="2"/>
  <c r="G581" i="2"/>
  <c r="G577" i="2"/>
  <c r="G575" i="2"/>
  <c r="G447" i="2"/>
  <c r="G438" i="2"/>
  <c r="G436" i="2"/>
  <c r="G433" i="2"/>
  <c r="G431" i="2"/>
  <c r="G429" i="2"/>
  <c r="G398" i="2"/>
  <c r="G394" i="2"/>
  <c r="G392" i="2"/>
  <c r="G390" i="2"/>
  <c r="G388" i="2"/>
  <c r="G386" i="2"/>
  <c r="G384" i="2"/>
  <c r="G382" i="2"/>
  <c r="G380" i="2"/>
  <c r="G378" i="2"/>
  <c r="G377" i="2"/>
  <c r="G376" i="2"/>
  <c r="G375" i="2"/>
  <c r="G373" i="2"/>
  <c r="G371" i="2"/>
  <c r="G369" i="2"/>
  <c r="G367" i="2"/>
  <c r="G365" i="2"/>
  <c r="G363" i="2"/>
  <c r="G360" i="2"/>
  <c r="G358" i="2"/>
  <c r="G356" i="2"/>
  <c r="G354" i="2"/>
  <c r="G352" i="2"/>
  <c r="G349" i="2"/>
  <c r="G346" i="2"/>
  <c r="G343" i="2"/>
  <c r="G341" i="2"/>
  <c r="G338" i="2"/>
  <c r="G335" i="2"/>
  <c r="G332" i="2"/>
  <c r="G328" i="2"/>
  <c r="G325" i="2"/>
  <c r="G322" i="2"/>
  <c r="G319" i="2"/>
  <c r="G316" i="2"/>
  <c r="G314" i="2"/>
  <c r="G312" i="2"/>
  <c r="G308" i="2"/>
  <c r="G305" i="2"/>
  <c r="G302" i="2"/>
  <c r="G299" i="2"/>
  <c r="G296" i="2"/>
  <c r="G293" i="2"/>
  <c r="G290" i="2"/>
  <c r="G288" i="2"/>
  <c r="G285" i="2"/>
  <c r="G282" i="2"/>
  <c r="G279" i="2"/>
  <c r="G276" i="2"/>
  <c r="G273" i="2"/>
  <c r="G270" i="2"/>
  <c r="G268" i="2"/>
  <c r="G265" i="2"/>
  <c r="G262" i="2"/>
  <c r="G259" i="2"/>
  <c r="G255" i="2"/>
  <c r="G252" i="2"/>
  <c r="G250" i="2"/>
  <c r="G247" i="2"/>
  <c r="G244" i="2"/>
  <c r="G241" i="2"/>
  <c r="G238" i="2"/>
  <c r="G235" i="2"/>
  <c r="G232" i="2"/>
  <c r="G229" i="2"/>
  <c r="G226" i="2"/>
  <c r="G223" i="2"/>
  <c r="G219" i="2"/>
  <c r="G202" i="2"/>
  <c r="G198" i="2"/>
  <c r="G195" i="2"/>
  <c r="G192" i="2"/>
  <c r="G189" i="2"/>
  <c r="G186" i="2"/>
  <c r="G182" i="2"/>
  <c r="G179" i="2"/>
  <c r="G176" i="2"/>
  <c r="G172" i="2"/>
  <c r="G169" i="2"/>
  <c r="G166" i="2"/>
  <c r="G163" i="2"/>
  <c r="G160" i="2"/>
  <c r="G156" i="2"/>
  <c r="G153" i="2"/>
  <c r="G150" i="2"/>
  <c r="G147" i="2"/>
  <c r="G144" i="2"/>
  <c r="G141" i="2"/>
  <c r="G138" i="2"/>
  <c r="G136" i="2"/>
  <c r="G133" i="2"/>
  <c r="G130" i="2"/>
  <c r="G127" i="2"/>
  <c r="G124" i="2"/>
  <c r="G121" i="2"/>
  <c r="G118" i="2"/>
  <c r="G115" i="2"/>
  <c r="G112" i="2"/>
  <c r="G109" i="2"/>
  <c r="G106" i="2"/>
  <c r="G103" i="2"/>
  <c r="G99" i="2"/>
  <c r="G95" i="2"/>
  <c r="G92" i="2"/>
  <c r="G90" i="2"/>
  <c r="G87" i="2"/>
  <c r="G84" i="2"/>
  <c r="G80" i="2"/>
  <c r="G75" i="2"/>
  <c r="G72" i="2"/>
  <c r="G69" i="2"/>
  <c r="G66" i="2"/>
  <c r="G63" i="2"/>
  <c r="G61" i="2"/>
  <c r="G58" i="2"/>
  <c r="G55" i="2"/>
  <c r="G51" i="2"/>
  <c r="G48" i="2"/>
  <c r="G45" i="2"/>
  <c r="G41" i="2"/>
  <c r="G38" i="2"/>
  <c r="G35" i="2"/>
  <c r="G32" i="2"/>
  <c r="G29" i="2"/>
  <c r="G26" i="2"/>
  <c r="G22" i="2"/>
  <c r="G19" i="2"/>
  <c r="G15" i="2"/>
  <c r="G11" i="2"/>
  <c r="G8" i="2"/>
  <c r="G6" i="2"/>
  <c r="G868" i="2"/>
  <c r="G835" i="2"/>
  <c r="G831" i="2"/>
  <c r="G827" i="2"/>
  <c r="G826" i="2"/>
  <c r="G823" i="2"/>
  <c r="G817" i="2"/>
  <c r="G814" i="2"/>
  <c r="G811" i="2"/>
  <c r="G808" i="2"/>
  <c r="G805" i="2"/>
  <c r="G803" i="2"/>
  <c r="G800" i="2"/>
  <c r="G797" i="2"/>
  <c r="G794" i="2"/>
  <c r="G791" i="2"/>
  <c r="G788" i="2"/>
  <c r="G785" i="2"/>
  <c r="G782" i="2"/>
  <c r="G779" i="2"/>
  <c r="G776" i="2"/>
  <c r="G773" i="2"/>
  <c r="G771" i="2"/>
  <c r="G768" i="2"/>
  <c r="G765" i="2"/>
  <c r="G763" i="2"/>
  <c r="G759" i="2"/>
  <c r="G757" i="2"/>
  <c r="G754" i="2"/>
  <c r="G751" i="2"/>
  <c r="G748" i="2"/>
  <c r="G747" i="2"/>
  <c r="G744" i="2"/>
  <c r="G737" i="2"/>
  <c r="G735" i="2"/>
  <c r="G732" i="2"/>
  <c r="G730" i="2"/>
  <c r="G727" i="2"/>
  <c r="G724" i="2"/>
  <c r="G721" i="2"/>
  <c r="G718" i="2"/>
  <c r="G716" i="2"/>
  <c r="G714" i="2"/>
  <c r="G710" i="2"/>
  <c r="G708" i="2"/>
  <c r="G706" i="2"/>
  <c r="G703" i="2"/>
  <c r="G700" i="2"/>
  <c r="G697" i="2"/>
  <c r="G694" i="2"/>
  <c r="G691" i="2"/>
  <c r="G689" i="2"/>
  <c r="G686" i="2"/>
  <c r="G683" i="2"/>
  <c r="G680" i="2"/>
  <c r="G679" i="2"/>
  <c r="G676" i="2"/>
  <c r="G673" i="2"/>
  <c r="G670" i="2"/>
  <c r="G667" i="2"/>
  <c r="G663" i="2"/>
  <c r="G660" i="2"/>
  <c r="G657" i="2"/>
  <c r="G654" i="2"/>
  <c r="G650" i="2"/>
  <c r="G647" i="2"/>
  <c r="G645" i="2"/>
  <c r="G643" i="2"/>
  <c r="G640" i="2"/>
  <c r="G637" i="2"/>
  <c r="G634" i="2"/>
  <c r="G632" i="2"/>
  <c r="G629" i="2"/>
  <c r="G626" i="2"/>
  <c r="G623" i="2"/>
  <c r="G620" i="2"/>
  <c r="G617" i="2"/>
  <c r="G614" i="2"/>
  <c r="G611" i="2"/>
  <c r="G609" i="2"/>
  <c r="G606" i="2"/>
  <c r="G604" i="2"/>
  <c r="G601" i="2"/>
  <c r="G597" i="2"/>
  <c r="G594" i="2"/>
  <c r="G591" i="2"/>
  <c r="G588" i="2"/>
  <c r="G586" i="2"/>
  <c r="G584" i="2"/>
  <c r="G582" i="2"/>
  <c r="G580" i="2"/>
  <c r="G578" i="2"/>
  <c r="G576" i="2"/>
  <c r="G573" i="2"/>
  <c r="G571" i="2"/>
  <c r="G569" i="2"/>
  <c r="G566" i="2"/>
  <c r="G564" i="2"/>
  <c r="G562" i="2"/>
  <c r="G560" i="2"/>
  <c r="G558" i="2"/>
  <c r="G557" i="2"/>
  <c r="G457" i="2"/>
  <c r="G449" i="2"/>
  <c r="G445" i="2"/>
  <c r="G362" i="2"/>
  <c r="G353" i="2"/>
  <c r="G350" i="2"/>
  <c r="G347" i="2"/>
  <c r="G344" i="2"/>
  <c r="G340" i="2"/>
  <c r="G337" i="2"/>
  <c r="G334" i="2"/>
  <c r="G331" i="2"/>
  <c r="G329" i="2"/>
  <c r="G326" i="2"/>
  <c r="G323" i="2"/>
  <c r="G320" i="2"/>
  <c r="G317" i="2"/>
  <c r="G313" i="2"/>
  <c r="G311" i="2"/>
  <c r="G309" i="2"/>
  <c r="G306" i="2"/>
  <c r="G303" i="2"/>
  <c r="G300" i="2"/>
  <c r="G298" i="2"/>
  <c r="G295" i="2"/>
  <c r="G292" i="2"/>
  <c r="G289" i="2"/>
  <c r="G286" i="2"/>
  <c r="G283" i="2"/>
  <c r="G281" i="2"/>
  <c r="G278" i="2"/>
  <c r="G275" i="2"/>
  <c r="G271" i="2"/>
  <c r="G267" i="2"/>
  <c r="G264" i="2"/>
  <c r="G261" i="2"/>
  <c r="G258" i="2"/>
  <c r="G256" i="2"/>
  <c r="G254" i="2"/>
  <c r="G251" i="2"/>
  <c r="G248" i="2"/>
  <c r="G245" i="2"/>
  <c r="G242" i="2"/>
  <c r="G239" i="2"/>
  <c r="G236" i="2"/>
  <c r="G233" i="2"/>
  <c r="G230" i="2"/>
  <c r="G227" i="2"/>
  <c r="G225" i="2"/>
  <c r="G222" i="2"/>
  <c r="G220" i="2"/>
  <c r="G218" i="2"/>
  <c r="G216" i="2"/>
  <c r="G214" i="2"/>
  <c r="G213" i="2"/>
  <c r="G211" i="2"/>
  <c r="G209" i="2"/>
  <c r="G207" i="2"/>
  <c r="G205" i="2"/>
  <c r="G203" i="2"/>
  <c r="G200" i="2"/>
  <c r="G197" i="2"/>
  <c r="G194" i="2"/>
  <c r="G191" i="2"/>
  <c r="G188" i="2"/>
  <c r="G185" i="2"/>
  <c r="G183" i="2"/>
  <c r="G181" i="2"/>
  <c r="G178" i="2"/>
  <c r="G175" i="2"/>
  <c r="G173" i="2"/>
  <c r="G170" i="2"/>
  <c r="G167" i="2"/>
  <c r="G165" i="2"/>
  <c r="G162" i="2"/>
  <c r="G159" i="2"/>
  <c r="G157" i="2"/>
  <c r="G154" i="2"/>
  <c r="G151" i="2"/>
  <c r="G148" i="2"/>
  <c r="G145" i="2"/>
  <c r="G142" i="2"/>
  <c r="G139" i="2"/>
  <c r="G137" i="2"/>
  <c r="G134" i="2"/>
  <c r="G131" i="2"/>
  <c r="G128" i="2"/>
  <c r="G125" i="2"/>
  <c r="G122" i="2"/>
  <c r="G119" i="2"/>
  <c r="G116" i="2"/>
  <c r="G113" i="2"/>
  <c r="G110" i="2"/>
  <c r="G107" i="2"/>
  <c r="G104" i="2"/>
  <c r="G102" i="2"/>
  <c r="G100" i="2"/>
  <c r="G97" i="2"/>
  <c r="G94" i="2"/>
  <c r="G91" i="2"/>
  <c r="G88" i="2"/>
  <c r="G85" i="2"/>
  <c r="G83" i="2"/>
  <c r="G81" i="2"/>
  <c r="G78" i="2"/>
  <c r="G77" i="2"/>
  <c r="G74" i="2"/>
  <c r="G70" i="2"/>
  <c r="G68" i="2"/>
  <c r="G65" i="2"/>
  <c r="G62" i="2"/>
  <c r="G59" i="2"/>
  <c r="G57" i="2"/>
  <c r="G53" i="2"/>
  <c r="G50" i="2"/>
  <c r="G47" i="2"/>
  <c r="G44" i="2"/>
  <c r="G42" i="2"/>
  <c r="G39" i="2"/>
  <c r="G36" i="2"/>
  <c r="G33" i="2"/>
  <c r="G31" i="2"/>
  <c r="G28" i="2"/>
  <c r="G25" i="2"/>
  <c r="G23" i="2"/>
  <c r="G20" i="2"/>
  <c r="G17" i="2"/>
  <c r="G14" i="2"/>
  <c r="G12" i="2"/>
  <c r="G9" i="2"/>
  <c r="G7" i="2"/>
  <c r="G1095" i="2"/>
  <c r="G1094" i="2"/>
  <c r="G1093" i="2"/>
  <c r="G1092" i="2"/>
  <c r="G1091" i="2"/>
  <c r="G1090" i="2"/>
  <c r="G1089" i="2"/>
  <c r="G1088" i="2"/>
  <c r="G1087" i="2"/>
  <c r="G1086" i="2"/>
  <c r="G1085" i="2"/>
  <c r="G1084" i="2"/>
  <c r="G1083" i="2"/>
  <c r="G1082" i="2"/>
  <c r="G1081" i="2"/>
  <c r="G1080" i="2"/>
  <c r="G1079" i="2"/>
  <c r="G1078" i="2"/>
  <c r="G1077" i="2"/>
  <c r="G1076" i="2"/>
  <c r="G1075" i="2"/>
  <c r="G1074" i="2"/>
  <c r="G1073" i="2"/>
  <c r="G1072" i="2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1059" i="2"/>
  <c r="G1058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7" i="2"/>
  <c r="G866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3" i="2"/>
  <c r="G832" i="2"/>
  <c r="G829" i="2"/>
  <c r="G824" i="2"/>
  <c r="G821" i="2"/>
  <c r="G819" i="2"/>
  <c r="G816" i="2"/>
  <c r="G813" i="2"/>
  <c r="G810" i="2"/>
  <c r="G807" i="2"/>
  <c r="G804" i="2"/>
  <c r="G802" i="2"/>
  <c r="G799" i="2"/>
  <c r="G796" i="2"/>
  <c r="G793" i="2"/>
  <c r="G790" i="2"/>
  <c r="G787" i="2"/>
  <c r="G784" i="2"/>
  <c r="G781" i="2"/>
  <c r="G778" i="2"/>
  <c r="G774" i="2"/>
  <c r="G770" i="2"/>
  <c r="G767" i="2"/>
  <c r="G764" i="2"/>
  <c r="G762" i="2"/>
  <c r="G760" i="2"/>
  <c r="G756" i="2"/>
  <c r="G753" i="2"/>
  <c r="G750" i="2"/>
  <c r="G746" i="2"/>
  <c r="G743" i="2"/>
  <c r="G741" i="2"/>
  <c r="G739" i="2"/>
  <c r="G736" i="2"/>
  <c r="G733" i="2"/>
  <c r="G729" i="2"/>
  <c r="G726" i="2"/>
  <c r="G723" i="2"/>
  <c r="G720" i="2"/>
  <c r="G715" i="2"/>
  <c r="G712" i="2"/>
  <c r="G709" i="2"/>
  <c r="G705" i="2"/>
  <c r="G702" i="2"/>
  <c r="G699" i="2"/>
  <c r="G695" i="2"/>
  <c r="G692" i="2"/>
  <c r="G688" i="2"/>
  <c r="G685" i="2"/>
  <c r="G681" i="2"/>
  <c r="G677" i="2"/>
  <c r="G674" i="2"/>
  <c r="G671" i="2"/>
  <c r="G669" i="2"/>
  <c r="G665" i="2"/>
  <c r="G662" i="2"/>
  <c r="G659" i="2"/>
  <c r="G656" i="2"/>
  <c r="G653" i="2"/>
  <c r="G652" i="2"/>
  <c r="G649" i="2"/>
  <c r="G644" i="2"/>
  <c r="G641" i="2"/>
  <c r="G638" i="2"/>
  <c r="G635" i="2"/>
  <c r="G631" i="2"/>
  <c r="G628" i="2"/>
  <c r="G625" i="2"/>
  <c r="G622" i="2"/>
  <c r="G619" i="2"/>
  <c r="G616" i="2"/>
  <c r="G613" i="2"/>
  <c r="G608" i="2"/>
  <c r="G605" i="2"/>
  <c r="G602" i="2"/>
  <c r="G599" i="2"/>
  <c r="G596" i="2"/>
  <c r="G593" i="2"/>
  <c r="G589" i="2"/>
  <c r="G579" i="2"/>
  <c r="G574" i="2"/>
  <c r="G572" i="2"/>
  <c r="G570" i="2"/>
  <c r="G568" i="2"/>
  <c r="G567" i="2"/>
  <c r="G565" i="2"/>
  <c r="G563" i="2"/>
  <c r="G561" i="2"/>
  <c r="G559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6" i="2"/>
  <c r="G455" i="2"/>
  <c r="G454" i="2"/>
  <c r="G453" i="2"/>
  <c r="G452" i="2"/>
  <c r="G451" i="2"/>
  <c r="G450" i="2"/>
  <c r="G448" i="2"/>
  <c r="G446" i="2"/>
  <c r="G444" i="2"/>
  <c r="G443" i="2"/>
  <c r="G442" i="2"/>
  <c r="G441" i="2"/>
  <c r="G440" i="2"/>
  <c r="G439" i="2"/>
  <c r="G437" i="2"/>
  <c r="G435" i="2"/>
  <c r="G434" i="2"/>
  <c r="G432" i="2"/>
  <c r="G430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7" i="2"/>
  <c r="G396" i="2"/>
  <c r="G395" i="2"/>
  <c r="G393" i="2"/>
  <c r="G391" i="2"/>
  <c r="G389" i="2"/>
  <c r="G387" i="2"/>
  <c r="G385" i="2"/>
  <c r="G383" i="2"/>
  <c r="G381" i="2"/>
  <c r="G379" i="2"/>
  <c r="G374" i="2"/>
  <c r="G372" i="2"/>
  <c r="G370" i="2"/>
  <c r="G368" i="2"/>
  <c r="G366" i="2"/>
  <c r="G364" i="2"/>
  <c r="G361" i="2"/>
  <c r="G359" i="2"/>
  <c r="G357" i="2"/>
  <c r="G355" i="2"/>
  <c r="G351" i="2"/>
  <c r="G348" i="2"/>
  <c r="G345" i="2"/>
  <c r="G342" i="2"/>
  <c r="G339" i="2"/>
  <c r="G336" i="2"/>
  <c r="G333" i="2"/>
  <c r="G330" i="2"/>
  <c r="G327" i="2"/>
  <c r="G324" i="2"/>
  <c r="G321" i="2"/>
  <c r="G318" i="2"/>
  <c r="G315" i="2"/>
  <c r="G310" i="2"/>
  <c r="G307" i="2"/>
  <c r="G304" i="2"/>
  <c r="G301" i="2"/>
  <c r="G297" i="2"/>
  <c r="G294" i="2"/>
  <c r="G291" i="2"/>
  <c r="G287" i="2"/>
  <c r="G284" i="2"/>
  <c r="G280" i="2"/>
  <c r="G277" i="2"/>
  <c r="G274" i="2"/>
  <c r="G272" i="2"/>
  <c r="G269" i="2"/>
  <c r="G266" i="2"/>
  <c r="G263" i="2"/>
  <c r="G260" i="2"/>
  <c r="G257" i="2"/>
  <c r="G253" i="2"/>
  <c r="G249" i="2"/>
  <c r="G246" i="2"/>
  <c r="G243" i="2"/>
  <c r="G240" i="2"/>
  <c r="G237" i="2"/>
  <c r="G234" i="2"/>
  <c r="G231" i="2"/>
  <c r="G228" i="2"/>
  <c r="G224" i="2"/>
  <c r="G221" i="2"/>
  <c r="G217" i="2"/>
  <c r="G215" i="2"/>
  <c r="G212" i="2"/>
  <c r="G210" i="2"/>
  <c r="G208" i="2"/>
  <c r="G206" i="2"/>
  <c r="G204" i="2"/>
  <c r="G201" i="2"/>
  <c r="G199" i="2"/>
  <c r="G196" i="2"/>
  <c r="G193" i="2"/>
  <c r="G190" i="2"/>
  <c r="G187" i="2"/>
  <c r="G184" i="2"/>
  <c r="G180" i="2"/>
  <c r="G177" i="2"/>
  <c r="G174" i="2"/>
  <c r="G171" i="2"/>
  <c r="G168" i="2"/>
  <c r="G164" i="2"/>
  <c r="G161" i="2"/>
  <c r="G158" i="2"/>
  <c r="G155" i="2"/>
  <c r="G152" i="2"/>
  <c r="G149" i="2"/>
  <c r="G146" i="2"/>
  <c r="G143" i="2"/>
  <c r="G140" i="2"/>
  <c r="G135" i="2"/>
  <c r="G132" i="2"/>
  <c r="G129" i="2"/>
  <c r="G126" i="2"/>
  <c r="G123" i="2"/>
  <c r="G120" i="2"/>
  <c r="G117" i="2"/>
  <c r="G114" i="2"/>
  <c r="G111" i="2"/>
  <c r="G108" i="2"/>
  <c r="G105" i="2"/>
  <c r="G101" i="2"/>
  <c r="G98" i="2"/>
  <c r="G96" i="2"/>
  <c r="G93" i="2"/>
  <c r="G89" i="2"/>
  <c r="G86" i="2"/>
  <c r="G82" i="2"/>
  <c r="G79" i="2"/>
  <c r="G76" i="2"/>
  <c r="G73" i="2"/>
  <c r="G71" i="2"/>
  <c r="G67" i="2"/>
  <c r="G64" i="2"/>
  <c r="G60" i="2"/>
  <c r="G56" i="2"/>
  <c r="G54" i="2"/>
  <c r="G52" i="2"/>
  <c r="G49" i="2"/>
  <c r="G46" i="2"/>
  <c r="G43" i="2"/>
  <c r="G40" i="2"/>
  <c r="G37" i="2"/>
  <c r="G34" i="2"/>
  <c r="G30" i="2"/>
  <c r="G27" i="2"/>
  <c r="G24" i="2"/>
  <c r="G21" i="2"/>
  <c r="G18" i="2"/>
  <c r="G16" i="2"/>
  <c r="G13" i="2"/>
  <c r="G10" i="2"/>
  <c r="G3" i="2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2" i="3"/>
  <c r="A3" i="2"/>
  <c r="A4" i="2"/>
  <c r="A5" i="2"/>
  <c r="A2" i="2"/>
</calcChain>
</file>

<file path=xl/sharedStrings.xml><?xml version="1.0" encoding="utf-8"?>
<sst xmlns="http://schemas.openxmlformats.org/spreadsheetml/2006/main" count="24251" uniqueCount="3803">
  <si>
    <t>M1-统计年月</t>
  </si>
  <si>
    <t>M1-部门</t>
  </si>
  <si>
    <t>I1-产品（财务）</t>
  </si>
  <si>
    <t>品名</t>
  </si>
  <si>
    <t>规格</t>
  </si>
  <si>
    <t>生产企业</t>
  </si>
  <si>
    <t>I1-产品类型</t>
  </si>
  <si>
    <t>I1-实际业务年月</t>
  </si>
  <si>
    <t>I1-销售日期</t>
  </si>
  <si>
    <t>I1-数量</t>
  </si>
  <si>
    <t>I1-销售价格</t>
  </si>
  <si>
    <t>I1-批次</t>
  </si>
  <si>
    <t>I1-购入客户类型（手工录入）</t>
  </si>
  <si>
    <t>I1-购入客户（导入）</t>
  </si>
  <si>
    <t>I1-区县</t>
  </si>
  <si>
    <t>I1-专管经理</t>
  </si>
  <si>
    <t>I1-管理线</t>
  </si>
  <si>
    <t>M1-销售客户</t>
  </si>
  <si>
    <t>M1-客户类型</t>
  </si>
  <si>
    <t>I1-转配客户(名称)</t>
  </si>
  <si>
    <t>I1-转配送客户类型（手工录入）</t>
  </si>
  <si>
    <t>销售客户编号</t>
  </si>
  <si>
    <t>销售客户名称</t>
  </si>
  <si>
    <t>02029238</t>
  </si>
  <si>
    <t>山东康为医药有限公司</t>
  </si>
  <si>
    <t>02029669</t>
  </si>
  <si>
    <t>山东华源天宏药业有限公司临清友和医药分公司</t>
  </si>
  <si>
    <t>02004006</t>
  </si>
  <si>
    <t>山东省飞龙中大药业有限公司</t>
  </si>
  <si>
    <t>02004007</t>
  </si>
  <si>
    <t>山东大洪药业有限公司</t>
  </si>
  <si>
    <t>02004033</t>
  </si>
  <si>
    <t>烟台东信医药有限公司</t>
  </si>
  <si>
    <t>02031871</t>
  </si>
  <si>
    <t>华润菏泽医药有限公司</t>
  </si>
  <si>
    <t>02031912</t>
  </si>
  <si>
    <t>济南同科医药物流有限公司</t>
  </si>
  <si>
    <t>02032120</t>
  </si>
  <si>
    <t>淄博博仁医药有限公司</t>
  </si>
  <si>
    <t>02032289</t>
  </si>
  <si>
    <t>山东耕邦得凯药业有限公司</t>
  </si>
  <si>
    <t>02032475</t>
  </si>
  <si>
    <t>济南华新医药有限公司</t>
  </si>
  <si>
    <t>02032663</t>
  </si>
  <si>
    <t>山东大海医药有限公司</t>
  </si>
  <si>
    <t>02032735</t>
  </si>
  <si>
    <t>山东国信药业有限公司</t>
  </si>
  <si>
    <t>02033447</t>
  </si>
  <si>
    <t>山东舜伟药业有限公司</t>
  </si>
  <si>
    <t>02034443</t>
  </si>
  <si>
    <t>山东聊城百进医药有限公司</t>
  </si>
  <si>
    <t>02034501</t>
  </si>
  <si>
    <t>山东耀泰药业有限公司</t>
  </si>
  <si>
    <t>02034502</t>
  </si>
  <si>
    <t>滨州海王黄河医药有限公司</t>
  </si>
  <si>
    <t>02034558</t>
  </si>
  <si>
    <t>山东厚进药业有限公司</t>
  </si>
  <si>
    <t>02034662</t>
  </si>
  <si>
    <t>济宁海王华森医药有限公司</t>
  </si>
  <si>
    <t>02036377</t>
  </si>
  <si>
    <t>山东海王医药集团有限公司</t>
  </si>
  <si>
    <t>02001561</t>
  </si>
  <si>
    <t>山东诺达医药有限公司</t>
  </si>
  <si>
    <t>02004015</t>
  </si>
  <si>
    <t>山东东惠青岛公司药品经营部</t>
  </si>
  <si>
    <t>02005434</t>
  </si>
  <si>
    <t>山东双威医药有限公司</t>
  </si>
  <si>
    <t>02005462</t>
  </si>
  <si>
    <t>烟台市东江医药有限公司</t>
  </si>
  <si>
    <t>02005465</t>
  </si>
  <si>
    <t>潍坊中源医药有限公司药品分公司</t>
  </si>
  <si>
    <t>02005466</t>
  </si>
  <si>
    <t>山东鸢康医药有限公司</t>
  </si>
  <si>
    <t>02005468</t>
  </si>
  <si>
    <t>山东康裕医药有限公司</t>
  </si>
  <si>
    <t>02005489</t>
  </si>
  <si>
    <t>济宁宗圣医药有限公司</t>
  </si>
  <si>
    <t>02005490</t>
  </si>
  <si>
    <t>山东劲翔药械有限公司</t>
  </si>
  <si>
    <t>02001556</t>
  </si>
  <si>
    <t>山东嘉和药业有限公司</t>
  </si>
  <si>
    <t>02001565</t>
  </si>
  <si>
    <t>济南东盛医药有限责任公司</t>
  </si>
  <si>
    <t>02001571</t>
  </si>
  <si>
    <t>山东天方药业有限公司</t>
  </si>
  <si>
    <t>02001587</t>
  </si>
  <si>
    <t>青岛天合医药集团股份有限公司</t>
  </si>
  <si>
    <t>02003189</t>
  </si>
  <si>
    <t>山东省人民药业有限公司</t>
  </si>
  <si>
    <t>02036557</t>
  </si>
  <si>
    <t>山东茂盛医药有限公司</t>
  </si>
  <si>
    <t>02036810</t>
  </si>
  <si>
    <t>青岛华仁医药配送有限公司</t>
  </si>
  <si>
    <t>02036897</t>
  </si>
  <si>
    <t>华润泰安医药有限公司</t>
  </si>
  <si>
    <t>03002129</t>
  </si>
  <si>
    <t>山东宏熙药业有限公司</t>
  </si>
  <si>
    <t>02005423</t>
  </si>
  <si>
    <t>山东海洲医药有限公司</t>
  </si>
  <si>
    <t>02005429</t>
  </si>
  <si>
    <t>山东九州通医药有限公司</t>
  </si>
  <si>
    <t>02005442</t>
  </si>
  <si>
    <t>淄博恒安医药有限公司</t>
  </si>
  <si>
    <t>02005450</t>
  </si>
  <si>
    <t>淄博为民医药配送有限公司</t>
  </si>
  <si>
    <t>02005480</t>
  </si>
  <si>
    <t>潍坊金凯盛医药有限公司</t>
  </si>
  <si>
    <t>02005492</t>
  </si>
  <si>
    <t>泰安环球医药有限公司</t>
  </si>
  <si>
    <t>02005513</t>
  </si>
  <si>
    <t>山东天奇药业有限公司</t>
  </si>
  <si>
    <t>02006804</t>
  </si>
  <si>
    <t>威海市天福医药有限公司</t>
  </si>
  <si>
    <t>02006808</t>
  </si>
  <si>
    <t>聊城利民华德药品有限公司</t>
  </si>
  <si>
    <t>02005503</t>
  </si>
  <si>
    <t>山东明欣医药有限公司</t>
  </si>
  <si>
    <t>02006771</t>
  </si>
  <si>
    <t>山东三好医药有限公司</t>
  </si>
  <si>
    <t>02010147</t>
  </si>
  <si>
    <t>山东豪诺医药物流有限公司</t>
  </si>
  <si>
    <t>02010213</t>
  </si>
  <si>
    <t>青岛天合医药股份有限公司高科技工业园经营部</t>
  </si>
  <si>
    <t>02010278</t>
  </si>
  <si>
    <t>山东省烟台药材采购供应站</t>
  </si>
  <si>
    <t>02010328</t>
  </si>
  <si>
    <t>华润潍坊远东医药有限公司</t>
  </si>
  <si>
    <t>02010330</t>
  </si>
  <si>
    <t>山东康惠医药有限公司</t>
  </si>
  <si>
    <t>02010421</t>
  </si>
  <si>
    <t>临沂同仁医药有限公司</t>
  </si>
  <si>
    <t>02010426</t>
  </si>
  <si>
    <t>临沂中瑞医药有限公司</t>
  </si>
  <si>
    <t>02010435</t>
  </si>
  <si>
    <t>国药控股鲁南有限公司</t>
  </si>
  <si>
    <t>02014282</t>
  </si>
  <si>
    <t>济南军区济南药材供应站</t>
  </si>
  <si>
    <t>02019534</t>
  </si>
  <si>
    <t>山东仁和万盛医药有限公司</t>
  </si>
  <si>
    <t>02021883</t>
  </si>
  <si>
    <t>山东瑞康医药股份有限公司青岛分公司</t>
  </si>
  <si>
    <t>02010145</t>
  </si>
  <si>
    <t>济南五洲医药有限公司</t>
  </si>
  <si>
    <t>02010148</t>
  </si>
  <si>
    <t>济南万禾医药有限公司</t>
  </si>
  <si>
    <t>02010162</t>
  </si>
  <si>
    <t>济南国康医药有限公司</t>
  </si>
  <si>
    <t>02010188</t>
  </si>
  <si>
    <t>山东瑞朗医药股份有限公司</t>
  </si>
  <si>
    <t>02028417</t>
  </si>
  <si>
    <t>淄博天龙医药有限公司高青分公司</t>
  </si>
  <si>
    <t>02031388</t>
  </si>
  <si>
    <t>山东悦康园通医药有限公司</t>
  </si>
  <si>
    <t>02032386</t>
  </si>
  <si>
    <t>济南罗欣医药有限公司</t>
  </si>
  <si>
    <t>02010202</t>
  </si>
  <si>
    <t>青岛九州通医药有限公司</t>
  </si>
  <si>
    <t>02010221</t>
  </si>
  <si>
    <t>青岛海风药业有限公司</t>
  </si>
  <si>
    <t>02010255</t>
  </si>
  <si>
    <t>淄博齐闽大世界医药有限公司</t>
  </si>
  <si>
    <t>02010269</t>
  </si>
  <si>
    <t>山东省沂源县医药有限公司</t>
  </si>
  <si>
    <t>02010309</t>
  </si>
  <si>
    <t>山东康诺盛世医药有限公司</t>
  </si>
  <si>
    <t>02010316</t>
  </si>
  <si>
    <t>山东德裕昌医药有限公司</t>
  </si>
  <si>
    <t>02010326</t>
  </si>
  <si>
    <t>山东海王银河医药有限公司</t>
  </si>
  <si>
    <t>02010359</t>
  </si>
  <si>
    <t>山东阳光信诺医药有限公司</t>
  </si>
  <si>
    <t>02010361</t>
  </si>
  <si>
    <t>山东叙福医药有限公司</t>
  </si>
  <si>
    <t>02010382</t>
  </si>
  <si>
    <t>山东诺安诺泰药业有限公司</t>
  </si>
  <si>
    <t>02010403</t>
  </si>
  <si>
    <t>山东永鸿医药有限公司</t>
  </si>
  <si>
    <t>02010424</t>
  </si>
  <si>
    <t>仁宏医药有限公司</t>
  </si>
  <si>
    <t>02010428</t>
  </si>
  <si>
    <t>临沂洪福医药有限公司</t>
  </si>
  <si>
    <t>02010443</t>
  </si>
  <si>
    <t>山东省德州泰康药业有限公司</t>
  </si>
  <si>
    <t>02010453</t>
  </si>
  <si>
    <t>山东滨州圣慷药业有限公司</t>
  </si>
  <si>
    <t>02010462</t>
  </si>
  <si>
    <t>山东华源天宏药业有限公司</t>
  </si>
  <si>
    <t>02010468</t>
  </si>
  <si>
    <t>山东奇典医疗有限责任公司</t>
  </si>
  <si>
    <t>02010471</t>
  </si>
  <si>
    <t>菏泽牡丹医药有限责任公司</t>
  </si>
  <si>
    <t>02010473</t>
  </si>
  <si>
    <t>山东菏泽健民医药有限公司</t>
  </si>
  <si>
    <t>02010476</t>
  </si>
  <si>
    <t>巨野天健医药有限公司</t>
  </si>
  <si>
    <t>02016045</t>
  </si>
  <si>
    <t>山东金康医药股份有限公司</t>
  </si>
  <si>
    <t>02023629</t>
  </si>
  <si>
    <t>临沂天地医药有限公司</t>
  </si>
  <si>
    <t>02023919</t>
  </si>
  <si>
    <t>青岛海基医药有限公司</t>
  </si>
  <si>
    <t>02024285</t>
  </si>
  <si>
    <t>泰安市永康医药有限公司</t>
  </si>
  <si>
    <t>02025767</t>
  </si>
  <si>
    <t>滨州市仁信医药有限公司</t>
  </si>
  <si>
    <t>02026233</t>
  </si>
  <si>
    <t>山东特利尔营销策划有限公司医药分公司</t>
  </si>
  <si>
    <t>02027054</t>
  </si>
  <si>
    <t>枣庄市百姓医药有限公司</t>
  </si>
  <si>
    <t>02027153</t>
  </si>
  <si>
    <t>山东三江医药有限公司</t>
  </si>
  <si>
    <t>02001551</t>
  </si>
  <si>
    <t>山东天士力医药有限公司</t>
  </si>
  <si>
    <t>02006790</t>
  </si>
  <si>
    <t>山东康福医药有限公司</t>
  </si>
  <si>
    <t>02031287</t>
  </si>
  <si>
    <t>华润山东医药有限公司淄博分公司</t>
  </si>
  <si>
    <t>02010362</t>
  </si>
  <si>
    <t>嘉祥方达医药有限公司</t>
  </si>
  <si>
    <t>02010474</t>
  </si>
  <si>
    <t>国药控股菏泽有限公司</t>
  </si>
  <si>
    <t>02036558</t>
  </si>
  <si>
    <t>罗欣医药集团山东宏欣医药有限公司</t>
  </si>
  <si>
    <t>02031317</t>
  </si>
  <si>
    <t>瑞康医药（山东）有限公司</t>
  </si>
  <si>
    <t>华润山东医药有限公司</t>
  </si>
  <si>
    <t>康为</t>
    <phoneticPr fontId="57" type="noConversion"/>
  </si>
  <si>
    <t>飞龙</t>
    <phoneticPr fontId="57" type="noConversion"/>
  </si>
  <si>
    <t>同科</t>
    <phoneticPr fontId="57" type="noConversion"/>
  </si>
  <si>
    <t>黄河</t>
    <phoneticPr fontId="57" type="noConversion"/>
  </si>
  <si>
    <t>海王</t>
    <phoneticPr fontId="57" type="noConversion"/>
  </si>
  <si>
    <t>海王银河</t>
    <phoneticPr fontId="57" type="noConversion"/>
  </si>
  <si>
    <t>山东滨州圣慷药业有限公司</t>
    <phoneticPr fontId="57" type="noConversion"/>
  </si>
  <si>
    <t>圣慷</t>
    <phoneticPr fontId="57" type="noConversion"/>
  </si>
  <si>
    <t>仁信</t>
    <phoneticPr fontId="57" type="noConversion"/>
  </si>
  <si>
    <t>圣慷2</t>
    <phoneticPr fontId="57" type="noConversion"/>
  </si>
  <si>
    <t>福华</t>
    <phoneticPr fontId="57" type="noConversion"/>
  </si>
  <si>
    <t>弘德</t>
    <phoneticPr fontId="57" type="noConversion"/>
  </si>
  <si>
    <t>专营商出货价</t>
  </si>
  <si>
    <t>建议零售价</t>
  </si>
  <si>
    <t>基础信息</t>
  </si>
  <si>
    <t>产品名称</t>
  </si>
  <si>
    <t>单位</t>
  </si>
  <si>
    <t>装箱量</t>
  </si>
  <si>
    <t>0020020030ZYZC0508</t>
  </si>
  <si>
    <t>阿莫西林胶囊</t>
  </si>
  <si>
    <t>0.25g*20粒</t>
  </si>
  <si>
    <t>哈药总厂</t>
  </si>
  <si>
    <t>万盒</t>
  </si>
  <si>
    <t>0020020030ZYZC0258</t>
  </si>
  <si>
    <t>0.25g*50粒</t>
  </si>
  <si>
    <t>0020020030ZYZC0286</t>
  </si>
  <si>
    <t>0.5g*10粒</t>
  </si>
  <si>
    <t>0020020030ZYZC0264</t>
  </si>
  <si>
    <t>0.5g*20粒</t>
  </si>
  <si>
    <t>0020020030ZYZC0512</t>
  </si>
  <si>
    <t>0.5g*24s*500盒</t>
  </si>
  <si>
    <t>0020020030ZYZC0274</t>
  </si>
  <si>
    <t>0.5g*30s</t>
  </si>
  <si>
    <t>0020020030ZYZC0289</t>
  </si>
  <si>
    <t>0.5g*36s</t>
  </si>
  <si>
    <t>0020020030SJMS0001</t>
  </si>
  <si>
    <t>0.25*10*2</t>
  </si>
  <si>
    <t>三精明水</t>
  </si>
  <si>
    <t>盒</t>
  </si>
  <si>
    <t>0020020030SJMS0002</t>
  </si>
  <si>
    <t>0.25g*50s</t>
  </si>
  <si>
    <t>0020020030SJMS0018</t>
  </si>
  <si>
    <t>阿莫西林胶囊0.25g×30粒×480盒</t>
  </si>
  <si>
    <t>0.25g×30粒×480盒</t>
  </si>
  <si>
    <t>0020020030SJMS0016</t>
  </si>
  <si>
    <t>阿莫西林胶囊20粒0.5g×10粒×2板×400盒/8000粒</t>
  </si>
  <si>
    <t>0020020040ZYZC0304</t>
  </si>
  <si>
    <t>阿莫西林颗粒(益萨林)</t>
  </si>
  <si>
    <t>0.125g*12袋*200盒</t>
  </si>
  <si>
    <t>0020030021ZYZC0001</t>
  </si>
  <si>
    <t>阿莫西林克拉维酸钾(7:1)分散片</t>
  </si>
  <si>
    <t>0.2285g*10片</t>
  </si>
  <si>
    <t>0020020021ZYZC0341</t>
  </si>
  <si>
    <t>0.2285g*12片</t>
  </si>
  <si>
    <t>0020020021ZYZC0356</t>
  </si>
  <si>
    <t>0.2285g*15片*300盒</t>
  </si>
  <si>
    <t>0020020020ZYZC0489</t>
  </si>
  <si>
    <t>0.2285g*18片</t>
  </si>
  <si>
    <t>0020020020ZYZC0490</t>
  </si>
  <si>
    <t>0.2285g*24片</t>
  </si>
  <si>
    <t>0020020021ZYZC0355</t>
  </si>
  <si>
    <t>0.2285g*8片</t>
  </si>
  <si>
    <t>0020020020ZYZC0472</t>
  </si>
  <si>
    <t>阿莫西林片(益萨林)</t>
  </si>
  <si>
    <t>0.25g*12片</t>
  </si>
  <si>
    <t>0020020021ZYLC0014</t>
  </si>
  <si>
    <t>阿奇霉素分散片</t>
  </si>
  <si>
    <t>0.1g*6片</t>
  </si>
  <si>
    <t>哈药六厂</t>
  </si>
  <si>
    <t>0020020021ZYLC0012</t>
  </si>
  <si>
    <t>0.25g×6片×400盒</t>
  </si>
  <si>
    <t>0020050001SHYT0037</t>
  </si>
  <si>
    <t>艾附暖宫丸（OTC）</t>
  </si>
  <si>
    <t>9g×10丸×100盒</t>
  </si>
  <si>
    <t>世一堂</t>
  </si>
  <si>
    <t>0020040001SHYT0005</t>
  </si>
  <si>
    <t>安宫牛黄丸</t>
  </si>
  <si>
    <t>3g×2丸×40盒</t>
  </si>
  <si>
    <t>丸</t>
  </si>
  <si>
    <t>0020030040SJET0003</t>
  </si>
  <si>
    <t>氨金黄敏颗粒</t>
  </si>
  <si>
    <t>6g×10袋×160盒</t>
  </si>
  <si>
    <t>三精儿童</t>
  </si>
  <si>
    <t>0020030030ZYLC0005</t>
  </si>
  <si>
    <t>氨咖黄敏胶囊</t>
  </si>
  <si>
    <t>20粒</t>
  </si>
  <si>
    <t>0020040001SHYT0027</t>
  </si>
  <si>
    <t>柏子养心丸</t>
  </si>
  <si>
    <t>0020050001SHYT0023</t>
  </si>
  <si>
    <t>保和丸(OTC)</t>
  </si>
  <si>
    <t>0020030040SHYT0006</t>
  </si>
  <si>
    <t>布洛芬颗粒</t>
  </si>
  <si>
    <t>0.2*10袋*300盒</t>
  </si>
  <si>
    <t>0020030040SHYT0010</t>
  </si>
  <si>
    <t>0.2*12袋*300盒</t>
  </si>
  <si>
    <t>0020030040SHYT0009</t>
  </si>
  <si>
    <t>0.2*20袋*300盒</t>
  </si>
  <si>
    <t>0020050090ZYEC0004</t>
  </si>
  <si>
    <t>刺五加脑灵液</t>
  </si>
  <si>
    <t>100ml×60瓶</t>
  </si>
  <si>
    <t>中药二厂</t>
  </si>
  <si>
    <t>12支</t>
  </si>
  <si>
    <t>0020050090ZYEC0027</t>
  </si>
  <si>
    <t>刺五加脑灵液（10ml）</t>
  </si>
  <si>
    <t>10ml×10支×80盒</t>
  </si>
  <si>
    <t>0020070001SJZY0012</t>
  </si>
  <si>
    <t>刺五加王浆口服液</t>
  </si>
  <si>
    <t>10ml×12支×60盒</t>
  </si>
  <si>
    <t>三精制药</t>
  </si>
  <si>
    <t>0020050001SHYT0061</t>
  </si>
  <si>
    <t>大山楂丸(OTC)</t>
  </si>
  <si>
    <t>0020050020SHYT0017</t>
  </si>
  <si>
    <t>丹佛胃尔康颗粒</t>
  </si>
  <si>
    <t>10g*10袋</t>
  </si>
  <si>
    <t>0020050020SHYT0018</t>
  </si>
  <si>
    <t>10g*8袋</t>
  </si>
  <si>
    <t>0020040020SHYT0007</t>
  </si>
  <si>
    <t>丹佛胃尔康颗粒(6袋)6袋×10g</t>
  </si>
  <si>
    <t>6袋×10g</t>
  </si>
  <si>
    <t>0020020020ZYLC0010</t>
  </si>
  <si>
    <t>颠茄磺苄啶片（成人10片）</t>
  </si>
  <si>
    <t>0.48g×10片×600盒</t>
  </si>
  <si>
    <t>0020020020ZYLC0003</t>
  </si>
  <si>
    <t>颠茄磺苄啶片(成人12片盒装)</t>
  </si>
  <si>
    <t>0.48g×12片×400盒</t>
  </si>
  <si>
    <t>0020020020ZYLC0011</t>
  </si>
  <si>
    <t>颠茄磺苄啶片(小儿)</t>
  </si>
  <si>
    <t>0.12g×20片×600盒</t>
  </si>
  <si>
    <t>0020050001SHYT0018</t>
  </si>
  <si>
    <t>跌打丸（OTC）</t>
  </si>
  <si>
    <t>3g×10丸×100盒</t>
  </si>
  <si>
    <t>0020040001SHYT0017</t>
  </si>
  <si>
    <t>定坤丸</t>
  </si>
  <si>
    <t>12g×10丸×80盒</t>
  </si>
  <si>
    <t>0020020030ZYLC0003</t>
  </si>
  <si>
    <t>厄贝沙坦胶囊</t>
  </si>
  <si>
    <t>75mg×12粒×300盒</t>
  </si>
  <si>
    <t>0020020030ZYLC0006</t>
  </si>
  <si>
    <t>75mg×24粒×300盒</t>
  </si>
  <si>
    <t>0020040220SHYT0006</t>
  </si>
  <si>
    <t>妇宁栓(4粒)</t>
  </si>
  <si>
    <t>1.6g×4枚×100盒</t>
  </si>
  <si>
    <t>0020040220SHYT0005</t>
  </si>
  <si>
    <t>妇宁栓(7粒)</t>
  </si>
  <si>
    <t>1.6g×7枚×100盒</t>
  </si>
  <si>
    <t>0020040220SHYT0004</t>
  </si>
  <si>
    <t>妇宁栓(8粒)</t>
  </si>
  <si>
    <t>1.6g×8枚×100盒</t>
  </si>
  <si>
    <t>0020040110SHYT0011</t>
  </si>
  <si>
    <t>附桂骨痛胶囊</t>
  </si>
  <si>
    <t>0.33g×48粒×180盒</t>
  </si>
  <si>
    <t>0020050001SHYT0017</t>
  </si>
  <si>
    <t>附子理中丸(OTC)</t>
  </si>
  <si>
    <t>0020030020ZYLC0006</t>
  </si>
  <si>
    <t>复方氨酚烷胺片</t>
  </si>
  <si>
    <t>12片</t>
  </si>
  <si>
    <t>0020030020ZYZC0335</t>
  </si>
  <si>
    <t>12片×400盒</t>
  </si>
  <si>
    <t>0020030020SJHH0001</t>
  </si>
  <si>
    <t>12*</t>
  </si>
  <si>
    <t>三精黑河</t>
  </si>
  <si>
    <t>0020030020SJSC0025</t>
  </si>
  <si>
    <t>12片×300盒</t>
  </si>
  <si>
    <t>三精四厂</t>
  </si>
  <si>
    <t>0020050020SHYT0016</t>
  </si>
  <si>
    <t>复方金银花颗粒（OTC）</t>
  </si>
  <si>
    <t>10g×10袋×60盒</t>
  </si>
  <si>
    <t>0020030020SJSC0026</t>
  </si>
  <si>
    <t>复方铝酸铋片</t>
  </si>
  <si>
    <t>30片×300盒</t>
  </si>
  <si>
    <t>0020030020SJSC0004</t>
  </si>
  <si>
    <t>50片×300盒</t>
  </si>
  <si>
    <t>0020030040ZYZC0307</t>
  </si>
  <si>
    <t>富马酸亚铁颗粒</t>
  </si>
  <si>
    <t>2g*0.2g*6袋</t>
  </si>
  <si>
    <t>0020070000ZYLC0052</t>
  </si>
  <si>
    <t>钙加锌口服液</t>
  </si>
  <si>
    <t>10ml×12支×80盒</t>
  </si>
  <si>
    <t>0020070001ZYZC0383</t>
  </si>
  <si>
    <t>钙铁锌口服液</t>
  </si>
  <si>
    <t>0020070001ZYZC0369</t>
  </si>
  <si>
    <t>0020070001ZYZC0377</t>
  </si>
  <si>
    <t>10ml×15支×48盒</t>
  </si>
  <si>
    <t>0020070001ZYLC0001</t>
  </si>
  <si>
    <t>钙锌口服液</t>
  </si>
  <si>
    <t>10ml*12支</t>
  </si>
  <si>
    <t>0020070001ZYLC0002</t>
  </si>
  <si>
    <t>10ml*24支</t>
  </si>
  <si>
    <t>0020050020ZYEC0008</t>
  </si>
  <si>
    <t>感冒解毒灵颗粒（10袋）</t>
  </si>
  <si>
    <t>5g×10袋×120盒</t>
  </si>
  <si>
    <t>0020030020ZYZC0362</t>
  </si>
  <si>
    <t>格列齐特片</t>
  </si>
  <si>
    <t>80mg*60片</t>
  </si>
  <si>
    <t>0020050020SHYT0014</t>
  </si>
  <si>
    <t>宫血停颗粒</t>
  </si>
  <si>
    <t>10g×12袋×60盒</t>
  </si>
  <si>
    <t>0020040020SHYT0012</t>
  </si>
  <si>
    <t>宫血停颗粒(无糖型)6袋×10g</t>
  </si>
  <si>
    <t>10g×6袋×60盒</t>
  </si>
  <si>
    <t>0020040001SHYT0028</t>
  </si>
  <si>
    <t>冠心苏合丸</t>
  </si>
  <si>
    <t>1.2g×30丸×180盒</t>
  </si>
  <si>
    <t>0020040004SHYT0001</t>
  </si>
  <si>
    <t>冠心泰丸</t>
  </si>
  <si>
    <t>6g×6袋×180小盒</t>
  </si>
  <si>
    <t>0020020030ZYZC0504</t>
  </si>
  <si>
    <t>红霉素肠溶胶囊（尚宏）</t>
  </si>
  <si>
    <t>0.125g*20粒</t>
  </si>
  <si>
    <t>0020040030SJSC0009</t>
  </si>
  <si>
    <t>护肝片</t>
  </si>
  <si>
    <t>100片×300盒</t>
  </si>
  <si>
    <t>180片</t>
  </si>
  <si>
    <t>0020020030ZYZC0236</t>
  </si>
  <si>
    <t>吉非罗齐胶囊</t>
  </si>
  <si>
    <t>0.3g*20粒</t>
  </si>
  <si>
    <t>0020050001SHYT0027</t>
  </si>
  <si>
    <t>健脾丸</t>
  </si>
  <si>
    <t>9g*10丸</t>
  </si>
  <si>
    <t>0020020030SJMS0026</t>
  </si>
  <si>
    <t>胶体果胶铋胶囊50mg*24粒*480盒</t>
  </si>
  <si>
    <t>50mg*12粒*2板*480盒</t>
  </si>
  <si>
    <t>0020020030SJMS0027</t>
  </si>
  <si>
    <t>胶体果胶铋胶囊50mg*36粒*480盒</t>
  </si>
  <si>
    <t>50mg*12粒*3板*480盒</t>
  </si>
  <si>
    <t>0020040001SHYT0003</t>
  </si>
  <si>
    <t>金匮肾气丸</t>
  </si>
  <si>
    <t>6g×10丸×100中盒</t>
  </si>
  <si>
    <t>0020040003SHYT0002</t>
  </si>
  <si>
    <t>金匮肾气丸(水蜜丸)72g</t>
  </si>
  <si>
    <t>72g×120盒</t>
  </si>
  <si>
    <t>0020040080ZYLC0007</t>
  </si>
  <si>
    <t>精制狗皮膏</t>
  </si>
  <si>
    <t>7*10cm*4</t>
  </si>
  <si>
    <t>0020050030SJSC0007</t>
  </si>
  <si>
    <t>菊梅利咽含片</t>
  </si>
  <si>
    <t>18片×300盒</t>
  </si>
  <si>
    <t>0020050001SHYT0013</t>
  </si>
  <si>
    <t>橘红丸(OTC)</t>
  </si>
  <si>
    <t>6g×10丸×100盒</t>
  </si>
  <si>
    <t>0020050001SHYT0006</t>
  </si>
  <si>
    <t>开郁老蔻丸(OTC)</t>
  </si>
  <si>
    <t>0020020021ZYLC0010</t>
  </si>
  <si>
    <t>克拉霉素分散片</t>
  </si>
  <si>
    <t>0.125g×12片×400盒</t>
  </si>
  <si>
    <t>0020020021ZYLC0015</t>
  </si>
  <si>
    <t>0.125g×24片×300盒</t>
  </si>
  <si>
    <t>0020020020SJMS0027</t>
  </si>
  <si>
    <t>拉西地平片</t>
  </si>
  <si>
    <t>4mg*21片*120盒</t>
  </si>
  <si>
    <t>0020020020SJMS0019</t>
  </si>
  <si>
    <t>4mg*30片*160盒</t>
  </si>
  <si>
    <t>0020020020SJMS0008</t>
  </si>
  <si>
    <t>4mg×15片×160盒</t>
  </si>
  <si>
    <t>0020020030ZYZC0292</t>
  </si>
  <si>
    <t>利福平胶囊</t>
  </si>
  <si>
    <t>0.15g*100粒</t>
  </si>
  <si>
    <t>0020050030SHYT0002</t>
  </si>
  <si>
    <t>羚羊感冒片</t>
  </si>
  <si>
    <t>12片*2板</t>
  </si>
  <si>
    <t>0020050001SHYT0021</t>
  </si>
  <si>
    <t>六味地黄丸（OTC）</t>
  </si>
  <si>
    <t>9g×10丸×120中盒</t>
  </si>
  <si>
    <t>0020050003SHYT0001</t>
  </si>
  <si>
    <t>六味地黄丸(水蜜丸72gOTC)</t>
  </si>
  <si>
    <t>0020050001SHYT0004</t>
  </si>
  <si>
    <t>龙胆泻肝丸(OTC)</t>
  </si>
  <si>
    <t>0020020021ZYLC0011</t>
  </si>
  <si>
    <t>罗红霉素分散片(严迪)</t>
  </si>
  <si>
    <t>150mg×12片×400盒</t>
  </si>
  <si>
    <t>0020020021ZYLC0005</t>
  </si>
  <si>
    <t>50mg×12片×400盒</t>
  </si>
  <si>
    <t>0020020021ZYLC0004</t>
  </si>
  <si>
    <t>75mg×12片×400盒</t>
  </si>
  <si>
    <t>0020020040ZYZC0483</t>
  </si>
  <si>
    <t>罗红霉素颗粒</t>
  </si>
  <si>
    <t>50mg*10袋</t>
  </si>
  <si>
    <t>0020030170ZYEC0003</t>
  </si>
  <si>
    <t>蒙脱石散(12袋)</t>
  </si>
  <si>
    <t>3g×12袋×150盒</t>
  </si>
  <si>
    <t>0020030170ZYEC0004</t>
  </si>
  <si>
    <t>蒙脱石散(6袋)</t>
  </si>
  <si>
    <t>6袋</t>
  </si>
  <si>
    <t>0020040001SHYT0031</t>
  </si>
  <si>
    <t>明目羊肝丸</t>
  </si>
  <si>
    <t>9g×10丸×100中盒</t>
  </si>
  <si>
    <t>0020040030SJSC0007</t>
  </si>
  <si>
    <t>脑安片</t>
  </si>
  <si>
    <t>0.53g*24片*300盒</t>
  </si>
  <si>
    <t>0020020020SJMS0006</t>
  </si>
  <si>
    <t>尼莫地平片</t>
  </si>
  <si>
    <t>20mg*50片素片</t>
  </si>
  <si>
    <t>0020040030SHYT0019</t>
  </si>
  <si>
    <t>牛黄降压片(200盒)</t>
  </si>
  <si>
    <t>20片×200盒</t>
  </si>
  <si>
    <t>0020040001SHYT0011</t>
  </si>
  <si>
    <t>牛黄解毒丸</t>
  </si>
  <si>
    <t>0020040001SHYT0020</t>
  </si>
  <si>
    <t>牛黄清火丸</t>
  </si>
  <si>
    <t>3g×10丸×100中盒</t>
  </si>
  <si>
    <t>0020040001SHYT0012</t>
  </si>
  <si>
    <t>牛黄清胃丸</t>
  </si>
  <si>
    <t>0020040003SHYT0010</t>
  </si>
  <si>
    <t>牛黄清胃丸（水蜜丸）</t>
  </si>
  <si>
    <t>70g×120盒</t>
  </si>
  <si>
    <t>0020040001SHYT0004</t>
  </si>
  <si>
    <t>牛黄清心丸</t>
  </si>
  <si>
    <t>3g×6丸×80盒</t>
  </si>
  <si>
    <t>0020050001SHYT0016</t>
  </si>
  <si>
    <t>牛黄上清丸(OTC)</t>
  </si>
  <si>
    <t>0020040030SHYT0003</t>
  </si>
  <si>
    <t>牛黄消炎片</t>
  </si>
  <si>
    <t>0.05g*30</t>
  </si>
  <si>
    <t>0020040030SHYT0002</t>
  </si>
  <si>
    <t>牛黄消炎片（24片）</t>
  </si>
  <si>
    <t>24片×400盒</t>
  </si>
  <si>
    <t>0020020030ZYZC0510</t>
  </si>
  <si>
    <t>诺氟沙星胶囊</t>
  </si>
  <si>
    <t>0.1g*20s*800盒</t>
  </si>
  <si>
    <t>0020020030ZYZC0296</t>
  </si>
  <si>
    <t>0.1g*30粒</t>
  </si>
  <si>
    <t>0020020030ZYLC0007</t>
  </si>
  <si>
    <t>诺氟沙星胶囊(委托)</t>
  </si>
  <si>
    <t>0.1g×48粒×200盒</t>
  </si>
  <si>
    <t>0020030001SJZY0006</t>
  </si>
  <si>
    <t>葡萄糖酸钙口服溶液（有糖）</t>
  </si>
  <si>
    <t>0020030001SJZY0009</t>
  </si>
  <si>
    <t>葡萄糖酸锌口服溶液（药字号）</t>
  </si>
  <si>
    <t>0020070000SJZY0001</t>
  </si>
  <si>
    <t>葡萄糖酸锌口服液</t>
  </si>
  <si>
    <t>0020070000ZYLC0051</t>
  </si>
  <si>
    <t>朴雪乳酸亚铁口服液</t>
  </si>
  <si>
    <t>0020070000ZYLC0055</t>
  </si>
  <si>
    <t>20ml×10支×30盒</t>
  </si>
  <si>
    <t>0020050001SHYT0014</t>
  </si>
  <si>
    <t>杞菊地黄丸(OTC)</t>
  </si>
  <si>
    <t>0020050001SHYT0001</t>
  </si>
  <si>
    <t>启脾丸（OTC）</t>
  </si>
  <si>
    <t>0020020010SWGC0010</t>
  </si>
  <si>
    <t>前列地尔注射液</t>
  </si>
  <si>
    <t>1ml：5ug</t>
  </si>
  <si>
    <t>生物工程</t>
  </si>
  <si>
    <t>支</t>
  </si>
  <si>
    <t>0020020010SWGC0009</t>
  </si>
  <si>
    <t>2ml：10ug</t>
  </si>
  <si>
    <t>0020050030SJSC0005</t>
  </si>
  <si>
    <t>强力脑清素片</t>
  </si>
  <si>
    <t>60片*180盒</t>
  </si>
  <si>
    <t>0020020020ZYZC0358</t>
  </si>
  <si>
    <t>青霉素V钾片</t>
  </si>
  <si>
    <t>0.236g*12t*600盒</t>
  </si>
  <si>
    <t>0020020020ZYZC0359</t>
  </si>
  <si>
    <t>青霉素V钾片（仙芬）</t>
  </si>
  <si>
    <t>0.236g*24t*600盒</t>
  </si>
  <si>
    <t>0020050090ZYEC0005</t>
  </si>
  <si>
    <t>清热解毒口服液</t>
  </si>
  <si>
    <t>0020070000SJZY0006</t>
  </si>
  <si>
    <t>人参蜂王浆口服液</t>
  </si>
  <si>
    <t>12支*60盒</t>
  </si>
  <si>
    <t>0020020030SJMS0024</t>
  </si>
  <si>
    <t>人工牛黄甲硝唑胶囊</t>
  </si>
  <si>
    <t>10粒×2板×480盒</t>
  </si>
  <si>
    <t>0020020030SJMS0025</t>
  </si>
  <si>
    <t>10粒×3板×480盒</t>
  </si>
  <si>
    <t>0020030020ZYLC0013</t>
  </si>
  <si>
    <t>乳酸菌素片</t>
  </si>
  <si>
    <t>0.4g×36片×10袋×40中盒</t>
  </si>
  <si>
    <t>0020030020ZYLC0010</t>
  </si>
  <si>
    <t>乳酸菌素片“为消”牌</t>
  </si>
  <si>
    <t>0.4g×36片×200盒</t>
  </si>
  <si>
    <t>0029999999SJYM0100</t>
  </si>
  <si>
    <t>三精双黄连植物精华皂102×48块</t>
  </si>
  <si>
    <t>102g*48盒</t>
  </si>
  <si>
    <t>三精英美</t>
  </si>
  <si>
    <t>0020040110SHYT0002</t>
  </si>
  <si>
    <t>麝香接骨胶囊</t>
  </si>
  <si>
    <t>0.3g×40粒×120盒</t>
  </si>
  <si>
    <t>0020050080ZYLC0002</t>
  </si>
  <si>
    <t>麝香壮骨膏</t>
  </si>
  <si>
    <t>2袋*6贴</t>
  </si>
  <si>
    <t>0020050090ZYEC0007</t>
  </si>
  <si>
    <t>生脉饮（党参方）</t>
  </si>
  <si>
    <t>10ml×10支×60盒</t>
  </si>
  <si>
    <t>0020050001SHYT0007</t>
  </si>
  <si>
    <t>十全大补丸(OTC)</t>
  </si>
  <si>
    <t>0020040001SHYT0013</t>
  </si>
  <si>
    <t>舒肝丸</t>
  </si>
  <si>
    <t>0020040201ZYEC0001</t>
  </si>
  <si>
    <t>双黄连粉针（80盒）</t>
  </si>
  <si>
    <t>600mg×12支×80盒</t>
  </si>
  <si>
    <t>万支</t>
  </si>
  <si>
    <t>0020040200ZYEC0003</t>
  </si>
  <si>
    <t>双黄连粉针剂（120盒）</t>
  </si>
  <si>
    <t>600mg×6支×120盒</t>
  </si>
  <si>
    <t>0020050020ZYEC0005</t>
  </si>
  <si>
    <t>双黄连颗粒</t>
  </si>
  <si>
    <t>5gx12袋</t>
  </si>
  <si>
    <t>0020050020ZYEC0004</t>
  </si>
  <si>
    <t>双黄连颗粒（10袋）</t>
  </si>
  <si>
    <t>5g×10袋×100盒</t>
  </si>
  <si>
    <t>0020050020ZYEC0019</t>
  </si>
  <si>
    <t>双黄连颗粒(无蔗糖)</t>
  </si>
  <si>
    <t>5g*10</t>
  </si>
  <si>
    <t>0020050090SJZY0021</t>
  </si>
  <si>
    <t>双黄连口服液</t>
  </si>
  <si>
    <t>0020050090SJZY0001</t>
  </si>
  <si>
    <t>10ml×10支×90盒</t>
  </si>
  <si>
    <t>0020050090SJZY0020</t>
  </si>
  <si>
    <t>20ml*9支</t>
  </si>
  <si>
    <t>0029999999SJYM0099</t>
  </si>
  <si>
    <t>双黄连牙膏（留兰香）</t>
  </si>
  <si>
    <t>150g×54支</t>
  </si>
  <si>
    <t>0020040001SHYT0032</t>
  </si>
  <si>
    <t>天王补心丸</t>
  </si>
  <si>
    <t>0020020030ZYZC0511</t>
  </si>
  <si>
    <t>头孢氨苄胶囊</t>
  </si>
  <si>
    <t>0.125g*20s*600盒</t>
  </si>
  <si>
    <t>0020020030SJMS0019</t>
  </si>
  <si>
    <t>0020020040ZYZC0488</t>
  </si>
  <si>
    <t>头孢氨苄颗粒</t>
  </si>
  <si>
    <t>125mg*12袋*400盒</t>
  </si>
  <si>
    <t>0020020020ZYZC0495</t>
  </si>
  <si>
    <t>头孢氨苄片</t>
  </si>
  <si>
    <t>0.125g*30片</t>
  </si>
  <si>
    <t>0020020020ZYZC0507</t>
  </si>
  <si>
    <t>0.25g*30t*600盒</t>
  </si>
  <si>
    <t>0020020020ZYZC0491</t>
  </si>
  <si>
    <t>0.25g*30片*300瓶</t>
  </si>
  <si>
    <t>0020020030SJMS0009</t>
  </si>
  <si>
    <t>头孢拉定胶囊</t>
  </si>
  <si>
    <t>0.25g*12粒*2板*400盒</t>
  </si>
  <si>
    <t xml:space="preserve"> 三精明水 </t>
  </si>
  <si>
    <t>0020020030ZYZC0246</t>
  </si>
  <si>
    <t>0.25g*20粒*10小盒*40包</t>
  </si>
  <si>
    <t>0020020030ZYZC0283</t>
  </si>
  <si>
    <t>0.25g*24粒*400盒</t>
  </si>
  <si>
    <t>0020020030SJMS0023</t>
  </si>
  <si>
    <t>0.25g*24粒*480盒</t>
  </si>
  <si>
    <t>0020020030SJMS0022</t>
  </si>
  <si>
    <t>0.25g×20粒×480盒</t>
  </si>
  <si>
    <t>0020020030ZYZC0469</t>
  </si>
  <si>
    <t>头孢羟氨苄胶囊</t>
  </si>
  <si>
    <t>0.25g×12粒×600盒</t>
  </si>
  <si>
    <t>0020020030ZYZC0498</t>
  </si>
  <si>
    <t>0.25g×24粒×400盒</t>
  </si>
  <si>
    <t>0020100000ZYLC0002</t>
  </si>
  <si>
    <t>退热贴</t>
  </si>
  <si>
    <t>1贴×3袋×200盒</t>
  </si>
  <si>
    <t>0020100000ZYLC0001</t>
  </si>
  <si>
    <t>2贴×200盒</t>
  </si>
  <si>
    <t>0020030020SJSC0014</t>
  </si>
  <si>
    <t>维D2磷酸氢钙片</t>
  </si>
  <si>
    <t>60片×300盒</t>
  </si>
  <si>
    <t>0020030020SJSC0017</t>
  </si>
  <si>
    <t>80片×300盒</t>
  </si>
  <si>
    <t>0020030020ZYZC0360</t>
  </si>
  <si>
    <t>维生素C咀嚼片</t>
  </si>
  <si>
    <t>100mg×30片</t>
  </si>
  <si>
    <t>0020020020ZYZC0497</t>
  </si>
  <si>
    <t>100mg×60片×200盒</t>
  </si>
  <si>
    <t>0020030032ZYZC0300</t>
  </si>
  <si>
    <t>维生素E软胶囊</t>
  </si>
  <si>
    <t>30粒×200盒</t>
  </si>
  <si>
    <t>0020020030ZYZC0499</t>
  </si>
  <si>
    <t>60粒×200盒</t>
  </si>
  <si>
    <t>0020050001SHYT0026</t>
  </si>
  <si>
    <t>逍遥丸</t>
  </si>
  <si>
    <t>0020050002SHYT0013</t>
  </si>
  <si>
    <t>逍遥丸（水丸）</t>
  </si>
  <si>
    <t>0020040070ZYEC0002</t>
  </si>
  <si>
    <t>消咳喘糖浆</t>
  </si>
  <si>
    <t>100ml×100盒</t>
  </si>
  <si>
    <t>0020020030ZYZC0282</t>
  </si>
  <si>
    <t>小檗碱甲氧苄啶胶囊</t>
  </si>
  <si>
    <t>30粒*10盒*30中盒</t>
  </si>
  <si>
    <t>0020030040ZYLC0001</t>
  </si>
  <si>
    <t>小儿氨酚黄那敏颗粒(护彤)</t>
  </si>
  <si>
    <t>2g×12袋×200盒</t>
  </si>
  <si>
    <t>0020030020ZYLC0005</t>
  </si>
  <si>
    <t>小儿氨酚黄那敏片</t>
  </si>
  <si>
    <t>0.125g×20片×400盒</t>
  </si>
  <si>
    <t>0020040070ZYEC0005</t>
  </si>
  <si>
    <t>小儿百部止咳糖浆</t>
  </si>
  <si>
    <t>0020020020SJSC0013</t>
  </si>
  <si>
    <t>小儿葡磷泛三钙片</t>
  </si>
  <si>
    <t>0020040010SHYT0030</t>
  </si>
  <si>
    <t>小儿吐泻宁</t>
  </si>
  <si>
    <t>3g×10袋×200盒</t>
  </si>
  <si>
    <t>0020040001SHYT0026</t>
  </si>
  <si>
    <t>小活络丸</t>
  </si>
  <si>
    <t>0020020020SJMS0010</t>
  </si>
  <si>
    <t>辛伐他汀片</t>
  </si>
  <si>
    <t>10mg×10片×160盒</t>
  </si>
  <si>
    <t>0020020020SJMS0011</t>
  </si>
  <si>
    <t>10mg×15片×160盒</t>
  </si>
  <si>
    <t>0020070000ZYLC0003</t>
  </si>
  <si>
    <t>新盖中盖牌儿童钙片</t>
  </si>
  <si>
    <t>1.75g×36片×120盒</t>
  </si>
  <si>
    <t>0020070000ZYLC0001</t>
  </si>
  <si>
    <t>新盖中盖牌高钙片</t>
  </si>
  <si>
    <t>2.5g×36片×120盒</t>
  </si>
  <si>
    <t>0020070000ZYLC0002</t>
  </si>
  <si>
    <t>2.5g×60片×80盒</t>
  </si>
  <si>
    <t>0020040001SHYT0014</t>
  </si>
  <si>
    <t>醒脑再造丸</t>
  </si>
  <si>
    <t>0020040001SHYT0018</t>
  </si>
  <si>
    <t>血府逐瘀丸</t>
  </si>
  <si>
    <t>0020040002SHYT0016</t>
  </si>
  <si>
    <t>血府逐瘀丸30袋</t>
  </si>
  <si>
    <t>4g×30袋×60盒</t>
  </si>
  <si>
    <t>0020020030ZYZC0493</t>
  </si>
  <si>
    <t>盐酸氟桂利嗪胶囊</t>
  </si>
  <si>
    <t>5mg*20粒*400盒</t>
  </si>
  <si>
    <t>0020020020ZYLC0005</t>
  </si>
  <si>
    <t>盐酸氟桂利嗪片（孚瑞尔）</t>
  </si>
  <si>
    <t>20片×300盒</t>
  </si>
  <si>
    <t>0020020020ZYLC0007</t>
  </si>
  <si>
    <t>40片×300盒</t>
  </si>
  <si>
    <t>0020020020ZYZC0473</t>
  </si>
  <si>
    <t>盐酸环丙沙星片</t>
  </si>
  <si>
    <t>0.25g×12片×600盒</t>
  </si>
  <si>
    <t>0020020030ZYZC0231</t>
  </si>
  <si>
    <t>盐酸特拉唑嗪胶囊（阿美利特）</t>
  </si>
  <si>
    <t>2mg*10粒</t>
  </si>
  <si>
    <t>0020020030ZYZC0262</t>
  </si>
  <si>
    <t>盐酸伊托必利胶囊(代林)</t>
  </si>
  <si>
    <t>50mg*10粒*10小盒*20中盒</t>
  </si>
  <si>
    <t>0020020030ZYZC0255</t>
  </si>
  <si>
    <t>50mg*10粒*200盒</t>
  </si>
  <si>
    <t>0020020030ZYZC0263</t>
  </si>
  <si>
    <t>50mg*20粒</t>
  </si>
  <si>
    <t>0020020024zylc0002</t>
  </si>
  <si>
    <t>盐酸伊托必利片</t>
  </si>
  <si>
    <t>50mg*12片*300</t>
  </si>
  <si>
    <t>0020020020ZYZC0343</t>
  </si>
  <si>
    <t>盐酸左氧氟沙星片</t>
  </si>
  <si>
    <t>0.1g×12片×10盒×60包</t>
  </si>
  <si>
    <t>0020020020ZYZC0498</t>
  </si>
  <si>
    <t>0.1g×24片×300盒</t>
  </si>
  <si>
    <t>0020040030SJSC0003</t>
  </si>
  <si>
    <t>羊肝明目片</t>
  </si>
  <si>
    <t>0020100000ZYLC0012</t>
  </si>
  <si>
    <t>医用退热贴</t>
  </si>
  <si>
    <t>2贴/袋×10盒×20中包</t>
  </si>
  <si>
    <t>0020100000SJET0016</t>
  </si>
  <si>
    <t>2贴×240盒</t>
  </si>
  <si>
    <t>0020050001SHYT0003</t>
  </si>
  <si>
    <t>益母丸(OTC)</t>
  </si>
  <si>
    <t>0020050004SHYT0001</t>
  </si>
  <si>
    <t>银翘解毒丸（OTC）</t>
  </si>
  <si>
    <t>0020040030SHYT0024</t>
  </si>
  <si>
    <t>银杏叶分散片</t>
  </si>
  <si>
    <t>0.15g×36片×400盒</t>
  </si>
  <si>
    <t>0020050001SHYT0030</t>
  </si>
  <si>
    <t>知柏地黄丸(OTC)</t>
  </si>
  <si>
    <t>0020080001SWGC0009</t>
  </si>
  <si>
    <t>重组人促红素注射液（CHO细胞）</t>
  </si>
  <si>
    <t>2000IU预充式</t>
  </si>
  <si>
    <t>0020080001SWGC0008</t>
  </si>
  <si>
    <t>3000IU</t>
  </si>
  <si>
    <t>0020080001SWGC0012</t>
  </si>
  <si>
    <t>3000IU预充式</t>
  </si>
  <si>
    <t>0020020010SWGC0015</t>
  </si>
  <si>
    <t>4000IU</t>
  </si>
  <si>
    <t>0020080001SWGC0010</t>
  </si>
  <si>
    <t>4000IU预充式</t>
  </si>
  <si>
    <t>0020020010SWGC0016</t>
  </si>
  <si>
    <t>5000IU</t>
  </si>
  <si>
    <t>0020020010SWGC0013</t>
  </si>
  <si>
    <t>5000IU预充式</t>
  </si>
  <si>
    <t>0020020010SWGC0017</t>
  </si>
  <si>
    <t>6000IU</t>
  </si>
  <si>
    <t>0020080001SWGC0011</t>
  </si>
  <si>
    <t>6000IU预充式</t>
  </si>
  <si>
    <t>0020080003SWGC0002</t>
  </si>
  <si>
    <t>重组人干扰素α2b软膏（假单胞菌）</t>
  </si>
  <si>
    <t>10g</t>
  </si>
  <si>
    <t>0020080003SWGC0001</t>
  </si>
  <si>
    <t>5g</t>
  </si>
  <si>
    <t>0020080001SWGC0004</t>
  </si>
  <si>
    <t>重组人粒细胞刺激因子注射液</t>
  </si>
  <si>
    <t>100ug预充式</t>
  </si>
  <si>
    <t>0020080001SWGC0002</t>
  </si>
  <si>
    <t>150ug</t>
  </si>
  <si>
    <t>0020080001SWGC0005</t>
  </si>
  <si>
    <t>150ug预充式</t>
  </si>
  <si>
    <t>0020080001SWGC0006</t>
  </si>
  <si>
    <t>200ug预充式</t>
  </si>
  <si>
    <t>0020080001SWGC0007</t>
  </si>
  <si>
    <t>300ug预充式</t>
  </si>
  <si>
    <t>0020020013ZYZC0021</t>
  </si>
  <si>
    <t>注射用阿莫西林钠(益萨林)</t>
  </si>
  <si>
    <t>0.5g*10支*100盒</t>
  </si>
  <si>
    <t>0020020013ZYZC0022</t>
  </si>
  <si>
    <t>1g*10支*100盒</t>
  </si>
  <si>
    <t>0020020013ZYZC0205</t>
  </si>
  <si>
    <t>2g*10支*60盒</t>
  </si>
  <si>
    <t>0020020013ZYZC0517</t>
  </si>
  <si>
    <t>注射用阿莫西林钠克拉维酸钾(崇美)</t>
  </si>
  <si>
    <t>0.3g</t>
  </si>
  <si>
    <t>0020020013ZYZC0519</t>
  </si>
  <si>
    <t>注射用阿莫西林钠克拉维酸钾（胜艾）</t>
  </si>
  <si>
    <t>1.2g</t>
  </si>
  <si>
    <t>0020020013ZYZC0518</t>
  </si>
  <si>
    <t>注射用阿莫西林钠克拉维酸钾（组能）</t>
  </si>
  <si>
    <t>0.6g</t>
  </si>
  <si>
    <t>0020020013ZYZC0520</t>
  </si>
  <si>
    <t>注射用阿莫西林钠舒巴坦钠</t>
  </si>
  <si>
    <t>0.75g</t>
  </si>
  <si>
    <t>0020020013ZYZC0521</t>
  </si>
  <si>
    <t>1.5g</t>
  </si>
  <si>
    <t>0020020013ZYZC0211</t>
  </si>
  <si>
    <t>3.0g</t>
  </si>
  <si>
    <t>0020020013ZYZC0223</t>
  </si>
  <si>
    <t>注射用氨苄西林钠溶媒法</t>
  </si>
  <si>
    <t>0.5g</t>
  </si>
  <si>
    <t>0020020013ZYZC0224</t>
  </si>
  <si>
    <t>1.0g</t>
  </si>
  <si>
    <t>0020020013ZYZC0472</t>
  </si>
  <si>
    <t>2.0g</t>
  </si>
  <si>
    <t>0020020013ZYZC0210</t>
  </si>
  <si>
    <t>注射用氨苄西林钠舒巴坦钠（凯兰欣）3g*400支</t>
  </si>
  <si>
    <t>3g*400支</t>
  </si>
  <si>
    <t>0020020013ZYZC0571</t>
  </si>
  <si>
    <t>0020020012SWGC0007</t>
  </si>
  <si>
    <t>注射用奥美拉唑钠</t>
  </si>
  <si>
    <t>40mg</t>
  </si>
  <si>
    <t>0020020012SWGC0010</t>
  </si>
  <si>
    <t>注射用奥沙利铂</t>
  </si>
  <si>
    <t>50mg</t>
  </si>
  <si>
    <t>0020020012SWGC0001</t>
  </si>
  <si>
    <t>注射用奥扎格雷钠</t>
  </si>
  <si>
    <t>20mg</t>
  </si>
  <si>
    <t>0020020012SWGC0002</t>
  </si>
  <si>
    <t>0020020012SWGC0003</t>
  </si>
  <si>
    <t>80mg</t>
  </si>
  <si>
    <t>0020040202ZYEC0002</t>
  </si>
  <si>
    <t>注射用丹参(冻干)-60盒</t>
  </si>
  <si>
    <t>400mg×10支×60盒</t>
  </si>
  <si>
    <t>0020020013ZYZC0024</t>
  </si>
  <si>
    <t>注射用对氨基水杨酸钠</t>
  </si>
  <si>
    <t>2g*50支*20盒</t>
  </si>
  <si>
    <t>0020020012SWGC0004</t>
  </si>
  <si>
    <t>注射用更昔洛韦</t>
  </si>
  <si>
    <t>0.25g*1支</t>
  </si>
  <si>
    <t>0020020012SWGC0006</t>
  </si>
  <si>
    <t>注射用甲硫氨酸维B1</t>
  </si>
  <si>
    <t>100mg:10mg</t>
  </si>
  <si>
    <t>0020020012SWGC0005</t>
  </si>
  <si>
    <t>40mg:4mg</t>
  </si>
  <si>
    <t>0020020013ZYZC0025</t>
  </si>
  <si>
    <t>注射用酒石酸吉他霉素</t>
  </si>
  <si>
    <t>20万*50支*20盒</t>
  </si>
  <si>
    <t>0020020013ZYZC0091</t>
  </si>
  <si>
    <t>注射用赖氨匹林(益彼兴)</t>
  </si>
  <si>
    <t>0.9g*10支*40盒</t>
  </si>
  <si>
    <t>0020020013ZYZC0080</t>
  </si>
  <si>
    <t>注射用磷霉素钠</t>
  </si>
  <si>
    <t>1g</t>
  </si>
  <si>
    <t>0020020013ZYZC0213</t>
  </si>
  <si>
    <t>0020020010SJMS0001</t>
  </si>
  <si>
    <t>1g×10支×120盒</t>
  </si>
  <si>
    <t>0020020010SJMS0002</t>
  </si>
  <si>
    <t>2g×10支×100盒</t>
  </si>
  <si>
    <t>0020020010SJMS0003</t>
  </si>
  <si>
    <t>4.0g*2支*5盒*20条/箱</t>
  </si>
  <si>
    <t>0020020013ZYZC0522</t>
  </si>
  <si>
    <t>注射用哌拉西林钠舒巴坦钠(4:1)</t>
  </si>
  <si>
    <t>1.25g*600支</t>
  </si>
  <si>
    <t>0020020013ZYZC0523</t>
  </si>
  <si>
    <t>2.5g*600支</t>
  </si>
  <si>
    <t>0020020012SJJY0014</t>
  </si>
  <si>
    <t>注射用泮托拉唑钠</t>
  </si>
  <si>
    <t>60mgx10支</t>
  </si>
  <si>
    <t>三精加滨</t>
  </si>
  <si>
    <t>0020020013ZYZC0003</t>
  </si>
  <si>
    <t>注射用青霉素钠</t>
  </si>
  <si>
    <t>160万</t>
  </si>
  <si>
    <t>0020020013ZYZC0004</t>
  </si>
  <si>
    <t>400万/600支</t>
  </si>
  <si>
    <t>0020020013ZYZC0049</t>
  </si>
  <si>
    <t>800万</t>
  </si>
  <si>
    <t>0020020013ZYZC0001</t>
  </si>
  <si>
    <t>80万</t>
  </si>
  <si>
    <t>0020020013ZYZC0082</t>
  </si>
  <si>
    <t>注射用乳糖酸阿奇霉素</t>
  </si>
  <si>
    <t>0.125g</t>
  </si>
  <si>
    <t>0020020013ZYZC0081</t>
  </si>
  <si>
    <t>0.25g</t>
  </si>
  <si>
    <t>0020020013ZYZC0490</t>
  </si>
  <si>
    <t>注射用乳糖酸阿奇霉素（齐宏）</t>
  </si>
  <si>
    <t>0020020013ZYZC0491</t>
  </si>
  <si>
    <t>0020020013ZYZC0492</t>
  </si>
  <si>
    <t>0020040202ZYEC0004</t>
  </si>
  <si>
    <t>注射用双黄连（冻干）1.2g×10支×60盒</t>
  </si>
  <si>
    <t>1.2g×10支×60盒</t>
  </si>
  <si>
    <t>0020040202ZYEC0003</t>
  </si>
  <si>
    <t>注射用双黄连（冻干）600mg</t>
  </si>
  <si>
    <t>0020020013ZYZC0465</t>
  </si>
  <si>
    <t>注射用头孢呋辛钠（特兰欣）</t>
  </si>
  <si>
    <t>0020020013ZYZC0466</t>
  </si>
  <si>
    <t>0020020013ZYZC0011</t>
  </si>
  <si>
    <t>注射用头孢拉定</t>
  </si>
  <si>
    <t>0020020013ZYZC0182</t>
  </si>
  <si>
    <t>1g*10支*60盒</t>
  </si>
  <si>
    <t>0020020013ZYZC0178</t>
  </si>
  <si>
    <t>注射用头孢美唑钠</t>
  </si>
  <si>
    <t>0.5g*400支</t>
  </si>
  <si>
    <t>0020020013ZYZC0554</t>
  </si>
  <si>
    <t>0020020013ZYZC0447</t>
  </si>
  <si>
    <t>1g*400支</t>
  </si>
  <si>
    <t>0020020013ZYZC0555</t>
  </si>
  <si>
    <t>0020020013ZYZC0486</t>
  </si>
  <si>
    <t>注射用头孢哌酮钠舒巴坦钠(铃兰欣)</t>
  </si>
  <si>
    <t>1.0g*10支*600盒</t>
  </si>
  <si>
    <t>0020020013ZYZC0539</t>
  </si>
  <si>
    <t>0020020013ZYZC0035</t>
  </si>
  <si>
    <t>注射用头孢哌酮钠舒巴坦钠（铃兰欣）</t>
  </si>
  <si>
    <t>0020020013ZYZC0452</t>
  </si>
  <si>
    <t>0020020013ZYZC0541</t>
  </si>
  <si>
    <t>0020020013ZYZC0497</t>
  </si>
  <si>
    <t>注射用头孢哌酮钠舒巴坦钠（铃兰欣）1.5g*600支</t>
  </si>
  <si>
    <t>1.5g*600支</t>
  </si>
  <si>
    <t>0020020013ZYZC0540</t>
  </si>
  <si>
    <t>0020020013ZYZC0543</t>
  </si>
  <si>
    <t>注射用头孢哌酮钠舒巴坦钠2：1（1.5g*10支*40盒）（特拉欣）</t>
  </si>
  <si>
    <t>0020020013ZYZC0136</t>
  </si>
  <si>
    <t>注射用头孢哌酮钠舒巴坦钠2：1（特拉欣）</t>
  </si>
  <si>
    <t>0020020013ZYZC0478</t>
  </si>
  <si>
    <t>注射用头孢曲松钠</t>
  </si>
  <si>
    <t>0020020013ZYZC0525</t>
  </si>
  <si>
    <t>1.0g*10支*100盒</t>
  </si>
  <si>
    <t>0020020013ZYZC0471</t>
  </si>
  <si>
    <t>注射用头孢曲松钠（凯塞欣）</t>
  </si>
  <si>
    <t>2.0g*10支*60盒</t>
  </si>
  <si>
    <t>0020020013ZYZC0018</t>
  </si>
  <si>
    <t>注射用头孢噻肟钠</t>
  </si>
  <si>
    <t>0020020013ZYZC0019</t>
  </si>
  <si>
    <t>0020020013ZYZC0101</t>
  </si>
  <si>
    <t>注射用头孢他啶</t>
  </si>
  <si>
    <t>1g*600支</t>
  </si>
  <si>
    <t>0020020013ZYZC0511</t>
  </si>
  <si>
    <t>注射用头孢他啶(含精氨酸)(倍欧)1.5g*600支</t>
  </si>
  <si>
    <t>0020020013ZYZC0567</t>
  </si>
  <si>
    <t>0020020013ZYZC0505</t>
  </si>
  <si>
    <t>注射用头孢他啶(益他欣)</t>
  </si>
  <si>
    <t>0.5g*1支*600盒</t>
  </si>
  <si>
    <t>0020020013ZYZC0489</t>
  </si>
  <si>
    <t>注射用头孢替唑钠</t>
  </si>
  <si>
    <t>1.0g*600支</t>
  </si>
  <si>
    <t>0020020013ZYZC0531</t>
  </si>
  <si>
    <t>0020020013ZYZC0008</t>
  </si>
  <si>
    <t>注射用头孢唑林钠</t>
  </si>
  <si>
    <t>0020020013ZYZC0181</t>
  </si>
  <si>
    <t>0020020013ZYZC0010</t>
  </si>
  <si>
    <t>2.0g*600支</t>
  </si>
  <si>
    <t>0020020013ZYZC0501</t>
  </si>
  <si>
    <t>注射用头孢唑肟钠</t>
  </si>
  <si>
    <t>0.75g*600支</t>
  </si>
  <si>
    <t>0020020013ZYZC0546</t>
  </si>
  <si>
    <t>0020020013ZYZC0229</t>
  </si>
  <si>
    <t>1.5g*400支</t>
  </si>
  <si>
    <t>0020020013ZYZC0548</t>
  </si>
  <si>
    <t>0020020013ZYZC0502</t>
  </si>
  <si>
    <t>0020020013ZYZC0547</t>
  </si>
  <si>
    <t>0020020013ZYZC0500</t>
  </si>
  <si>
    <t>注射用头孢唑肟钠（益左欣）</t>
  </si>
  <si>
    <t>0.5g*600支</t>
  </si>
  <si>
    <t>0020020013ZYZC0545</t>
  </si>
  <si>
    <t>0020020012SWGC0009</t>
  </si>
  <si>
    <t>注射用胸腺法新</t>
  </si>
  <si>
    <t>1.6mg</t>
  </si>
  <si>
    <t>0020020012SWGC0008</t>
  </si>
  <si>
    <t>注射用胸腺五肽</t>
  </si>
  <si>
    <t>1mg</t>
  </si>
  <si>
    <t>0020020012SJJY0013</t>
  </si>
  <si>
    <t>注射用炎琥宁</t>
  </si>
  <si>
    <t>80mg*12支*80盒</t>
  </si>
  <si>
    <t>0020020013ZYZC0503</t>
  </si>
  <si>
    <t>注射用盐酸头孢吡肟(若能)</t>
  </si>
  <si>
    <t>0020020013ZYZC0558</t>
  </si>
  <si>
    <t>0020020013ZYZC0504</t>
  </si>
  <si>
    <t>注射用盐酸头孢吡肟(舒肟欣)</t>
  </si>
  <si>
    <t>0020020013ZYZC0559</t>
  </si>
  <si>
    <t>0020020013ZYZC0201</t>
  </si>
  <si>
    <t>注射用盐酸头孢替安</t>
  </si>
  <si>
    <t>0.25g*400支</t>
  </si>
  <si>
    <t>0020020013ZYZC0550</t>
  </si>
  <si>
    <t>0020020013ZYZC0443</t>
  </si>
  <si>
    <t>0020020013ZYZC0551</t>
  </si>
  <si>
    <t>0020020013ZYZC0444</t>
  </si>
  <si>
    <t>0020020013ZYZC0552</t>
  </si>
  <si>
    <t>0020080002SWGC0001</t>
  </si>
  <si>
    <t>注射用重组人干扰素α2b（假单胞菌）</t>
  </si>
  <si>
    <t>100万IU</t>
  </si>
  <si>
    <t>0020080002SWGC0002</t>
  </si>
  <si>
    <t>300万IU</t>
  </si>
  <si>
    <t>0020080002SWGC0003</t>
  </si>
  <si>
    <t>500万IU</t>
  </si>
  <si>
    <t>0020080002SWGC0006</t>
  </si>
  <si>
    <t>注射用重组人粒细胞巨噬细胞刺激因子</t>
  </si>
  <si>
    <t>0020080002SWGC0005</t>
  </si>
  <si>
    <t>75ug</t>
  </si>
  <si>
    <t>0020050030SJSC0010</t>
  </si>
  <si>
    <t>壮肾安神片</t>
  </si>
  <si>
    <t>0.32g*45片*300盒</t>
  </si>
  <si>
    <t>0020050030SJSC0011</t>
  </si>
  <si>
    <t>0.32g*45片*4盒*30中盒</t>
  </si>
  <si>
    <t>0020050070ZYEC0010</t>
  </si>
  <si>
    <t>紫桔止咳糖浆</t>
  </si>
  <si>
    <t>100ml×100瓶</t>
  </si>
  <si>
    <t>0020020010SWGC0008</t>
  </si>
  <si>
    <t>紫杉醇注射液</t>
  </si>
  <si>
    <t>5ml:30mg</t>
  </si>
  <si>
    <t>0020020020SJSC0004</t>
  </si>
  <si>
    <t>左羟丙哌嗪分散片</t>
  </si>
  <si>
    <t>60mg×12片×300盒</t>
  </si>
  <si>
    <t>部门</t>
  </si>
  <si>
    <t>人员编号</t>
  </si>
  <si>
    <t>人员名称</t>
  </si>
  <si>
    <t>山东</t>
  </si>
  <si>
    <t>201305320</t>
  </si>
  <si>
    <t>张海波</t>
  </si>
  <si>
    <t>201304147</t>
  </si>
  <si>
    <t>郭克俭</t>
  </si>
  <si>
    <t>201304151</t>
  </si>
  <si>
    <t>李金龙</t>
  </si>
  <si>
    <t>201304144</t>
  </si>
  <si>
    <t>付云成</t>
  </si>
  <si>
    <t>201304148</t>
  </si>
  <si>
    <t>郝钢</t>
  </si>
  <si>
    <t>201304156</t>
  </si>
  <si>
    <t>张宝利</t>
  </si>
  <si>
    <t>201305319</t>
  </si>
  <si>
    <t>梁宇君</t>
  </si>
  <si>
    <t>山东省区（停用）</t>
  </si>
  <si>
    <t>201304154</t>
  </si>
  <si>
    <t>王文渊</t>
  </si>
  <si>
    <t>201305318</t>
  </si>
  <si>
    <t>李春晖</t>
  </si>
  <si>
    <t>201305317</t>
  </si>
  <si>
    <t>崔健男</t>
  </si>
  <si>
    <t>201305327</t>
  </si>
  <si>
    <t>杜晓明</t>
  </si>
  <si>
    <t>201305366</t>
  </si>
  <si>
    <t>赵彬</t>
  </si>
  <si>
    <t>201305371</t>
  </si>
  <si>
    <t>朱顺强</t>
  </si>
  <si>
    <t>201304379</t>
  </si>
  <si>
    <t>王璐2</t>
  </si>
  <si>
    <t>201304389</t>
  </si>
  <si>
    <t>唐恭喜</t>
  </si>
  <si>
    <t>201305361</t>
  </si>
  <si>
    <t>杨宁</t>
  </si>
  <si>
    <t>201305349</t>
  </si>
  <si>
    <t>汪爱玲</t>
  </si>
  <si>
    <t>201305360</t>
  </si>
  <si>
    <t>许栋贤</t>
  </si>
  <si>
    <t>201305332</t>
  </si>
  <si>
    <t>胡欣欣</t>
  </si>
  <si>
    <t>201305352</t>
  </si>
  <si>
    <t>王宜响</t>
  </si>
  <si>
    <t>山东(零售)（停用）</t>
  </si>
  <si>
    <t>201305654</t>
  </si>
  <si>
    <t>王岩</t>
  </si>
  <si>
    <t>201305655</t>
  </si>
  <si>
    <t>薛超</t>
  </si>
  <si>
    <t>山东(商务)（停用）</t>
  </si>
  <si>
    <t>201305659</t>
  </si>
  <si>
    <t>李胜春</t>
  </si>
  <si>
    <t>9907028</t>
  </si>
  <si>
    <t>丁嫚</t>
  </si>
  <si>
    <t>9907158</t>
  </si>
  <si>
    <t>陈鑫</t>
  </si>
  <si>
    <t>9907159</t>
  </si>
  <si>
    <t>王春燕</t>
  </si>
  <si>
    <t>9907160</t>
  </si>
  <si>
    <t>李维织</t>
  </si>
  <si>
    <t>9907161</t>
  </si>
  <si>
    <t>刘树伟</t>
  </si>
  <si>
    <t>9907162</t>
  </si>
  <si>
    <t>巴蕾</t>
  </si>
  <si>
    <t>9907163</t>
  </si>
  <si>
    <t>苏德军</t>
  </si>
  <si>
    <t>9907164</t>
  </si>
  <si>
    <t>徐鹏</t>
  </si>
  <si>
    <t>9907165</t>
  </si>
  <si>
    <t>席明勇</t>
  </si>
  <si>
    <t>201305428</t>
  </si>
  <si>
    <t>李大维</t>
  </si>
  <si>
    <t>201305370</t>
  </si>
  <si>
    <t>周丽丽</t>
  </si>
  <si>
    <t>9907236</t>
  </si>
  <si>
    <t>于朋波</t>
  </si>
  <si>
    <t>9907237</t>
  </si>
  <si>
    <t>颜文华</t>
  </si>
  <si>
    <t>9907238</t>
  </si>
  <si>
    <t>梁海英</t>
  </si>
  <si>
    <t>9907239</t>
  </si>
  <si>
    <t>邱婷婷</t>
  </si>
  <si>
    <t>9907240</t>
  </si>
  <si>
    <t>王丽文</t>
  </si>
  <si>
    <t>9907241</t>
  </si>
  <si>
    <t>李雪艳</t>
  </si>
  <si>
    <t>9907242</t>
  </si>
  <si>
    <t>吴修朋</t>
  </si>
  <si>
    <t>201305596</t>
  </si>
  <si>
    <t>周玉龙</t>
  </si>
  <si>
    <t>201305338</t>
  </si>
  <si>
    <t>李瑞杰</t>
  </si>
  <si>
    <t>201305369</t>
  </si>
  <si>
    <t>郑静静</t>
  </si>
  <si>
    <t>201304146</t>
  </si>
  <si>
    <t>陈亮</t>
  </si>
  <si>
    <t>201304150</t>
  </si>
  <si>
    <t>金士华</t>
  </si>
  <si>
    <t>201304157</t>
  </si>
  <si>
    <t>朱茂林</t>
  </si>
  <si>
    <t>201305336</t>
  </si>
  <si>
    <t>李冠军</t>
  </si>
  <si>
    <t>201305347</t>
  </si>
  <si>
    <t>孙晓杰</t>
  </si>
  <si>
    <t>201305356</t>
  </si>
  <si>
    <t>吴书霞</t>
  </si>
  <si>
    <t>201305331</t>
  </si>
  <si>
    <t>郝丽</t>
  </si>
  <si>
    <t>201305365</t>
  </si>
  <si>
    <t>张娩</t>
  </si>
  <si>
    <t>201305345</t>
  </si>
  <si>
    <t>宋丽娜</t>
  </si>
  <si>
    <t>201305330</t>
  </si>
  <si>
    <t>韩志晏</t>
  </si>
  <si>
    <t>201305357</t>
  </si>
  <si>
    <t>吴现娟</t>
  </si>
  <si>
    <t>201304921</t>
  </si>
  <si>
    <t>神甜</t>
  </si>
  <si>
    <t>201304919</t>
  </si>
  <si>
    <t>冼明峰</t>
  </si>
  <si>
    <t>201304152</t>
  </si>
  <si>
    <t>庞云峰</t>
  </si>
  <si>
    <t>201305321</t>
  </si>
  <si>
    <t>王晶2</t>
  </si>
  <si>
    <t>201304149</t>
  </si>
  <si>
    <t>郝旺</t>
  </si>
  <si>
    <t>201305328</t>
  </si>
  <si>
    <t>耿家彬</t>
  </si>
  <si>
    <t>201305342</t>
  </si>
  <si>
    <t>卢娜</t>
  </si>
  <si>
    <t>201305362</t>
  </si>
  <si>
    <t>于善荣</t>
  </si>
  <si>
    <t>201304922</t>
  </si>
  <si>
    <t>张永平</t>
  </si>
  <si>
    <t>201304437</t>
  </si>
  <si>
    <t>李庆滨</t>
  </si>
  <si>
    <t>201305194</t>
  </si>
  <si>
    <t>杨立森</t>
  </si>
  <si>
    <t>9908170</t>
  </si>
  <si>
    <t>符亚杰</t>
  </si>
  <si>
    <t>9908171</t>
  </si>
  <si>
    <t>周文谦</t>
  </si>
  <si>
    <t>9908172</t>
  </si>
  <si>
    <t>曾江玉</t>
  </si>
  <si>
    <t>9908174</t>
  </si>
  <si>
    <t>范芝宏</t>
  </si>
  <si>
    <t>9908356</t>
  </si>
  <si>
    <t>张高东</t>
  </si>
  <si>
    <t>9908352</t>
  </si>
  <si>
    <t>李丽</t>
  </si>
  <si>
    <t>9908357</t>
  </si>
  <si>
    <t>张文杰</t>
  </si>
  <si>
    <t>9908353</t>
  </si>
  <si>
    <t>刘芳</t>
  </si>
  <si>
    <t>9908354</t>
  </si>
  <si>
    <t>杨惠</t>
  </si>
  <si>
    <t>9908351</t>
  </si>
  <si>
    <t>张伟</t>
  </si>
  <si>
    <t>9908350</t>
  </si>
  <si>
    <t>刘兆华</t>
  </si>
  <si>
    <t>9908355</t>
  </si>
  <si>
    <t>于海燕</t>
  </si>
  <si>
    <t>9908361</t>
  </si>
  <si>
    <t>李冬梅</t>
  </si>
  <si>
    <t>9908580</t>
  </si>
  <si>
    <t>杨雪</t>
  </si>
  <si>
    <t>9908582</t>
  </si>
  <si>
    <t>吕双双</t>
  </si>
  <si>
    <t>9908549</t>
  </si>
  <si>
    <t>吕体恒</t>
  </si>
  <si>
    <t>9908613</t>
  </si>
  <si>
    <t>侯小东</t>
  </si>
  <si>
    <t>9908581</t>
  </si>
  <si>
    <t>毕翌</t>
  </si>
  <si>
    <t>9908470</t>
  </si>
  <si>
    <t>李新朋</t>
  </si>
  <si>
    <t>201305016</t>
  </si>
  <si>
    <t>侯德润</t>
  </si>
  <si>
    <t>201305019</t>
  </si>
  <si>
    <t>马超</t>
  </si>
  <si>
    <t>201305111</t>
  </si>
  <si>
    <t>程春丽</t>
  </si>
  <si>
    <t>9907166</t>
  </si>
  <si>
    <t>王军</t>
  </si>
  <si>
    <t>9907198</t>
  </si>
  <si>
    <t>金虎</t>
  </si>
  <si>
    <t>9907202</t>
  </si>
  <si>
    <t>神舟</t>
  </si>
  <si>
    <t>9907203</t>
  </si>
  <si>
    <t>马雪美</t>
  </si>
  <si>
    <t>9907364</t>
  </si>
  <si>
    <t>霍立民</t>
  </si>
  <si>
    <t>9907473</t>
  </si>
  <si>
    <t>刘岗</t>
  </si>
  <si>
    <t>9907575</t>
  </si>
  <si>
    <t>段连武</t>
  </si>
  <si>
    <t>521565</t>
  </si>
  <si>
    <t>侯继勋</t>
  </si>
  <si>
    <t>9907408</t>
  </si>
  <si>
    <t>李洪晔</t>
  </si>
  <si>
    <t>9907409</t>
  </si>
  <si>
    <t>李江毓</t>
  </si>
  <si>
    <t>9907520</t>
  </si>
  <si>
    <t>石成文</t>
  </si>
  <si>
    <t>9907736</t>
  </si>
  <si>
    <t>王鹏</t>
  </si>
  <si>
    <t>9907381</t>
  </si>
  <si>
    <t>杨祁</t>
  </si>
  <si>
    <t>9907382</t>
  </si>
  <si>
    <t>杨庆波</t>
  </si>
  <si>
    <t>9907384</t>
  </si>
  <si>
    <t>杨学良</t>
  </si>
  <si>
    <t>9907448</t>
  </si>
  <si>
    <t>郑玉新</t>
  </si>
  <si>
    <t>9907330</t>
  </si>
  <si>
    <t>王德生</t>
  </si>
  <si>
    <t>9907101</t>
  </si>
  <si>
    <t>李青桂</t>
  </si>
  <si>
    <t>9907905</t>
  </si>
  <si>
    <t>王留珍</t>
  </si>
  <si>
    <t>9907904</t>
  </si>
  <si>
    <t>王明志</t>
  </si>
  <si>
    <t>9907918</t>
  </si>
  <si>
    <t>杨丽君</t>
  </si>
  <si>
    <t>9908014</t>
  </si>
  <si>
    <t>翟永来</t>
  </si>
  <si>
    <t>9908015</t>
  </si>
  <si>
    <t>张明月</t>
  </si>
  <si>
    <t>9908007</t>
  </si>
  <si>
    <t>杨延松</t>
  </si>
  <si>
    <t>大客户山东（停用）</t>
  </si>
  <si>
    <t>9908035</t>
  </si>
  <si>
    <t>单旗</t>
  </si>
  <si>
    <t>9908052</t>
  </si>
  <si>
    <t>周健壮</t>
  </si>
  <si>
    <t>9908058</t>
  </si>
  <si>
    <t>王健1</t>
  </si>
  <si>
    <t>9908095</t>
  </si>
  <si>
    <t>张羽茜</t>
  </si>
  <si>
    <t>201602151421001</t>
  </si>
  <si>
    <t>朱云峰</t>
  </si>
  <si>
    <t>201602151421002</t>
  </si>
  <si>
    <t>李凌强</t>
  </si>
  <si>
    <t>201602151421003</t>
  </si>
  <si>
    <t>王洪洋</t>
  </si>
  <si>
    <t>201602151421004</t>
  </si>
  <si>
    <t>刘云鹏</t>
  </si>
  <si>
    <t>201602151421005</t>
  </si>
  <si>
    <t>王洁富</t>
  </si>
  <si>
    <t>201602151421006</t>
  </si>
  <si>
    <t>冯思贵</t>
  </si>
  <si>
    <t>201602151421007</t>
  </si>
  <si>
    <t>刘高阳</t>
  </si>
  <si>
    <t>201602151421008</t>
  </si>
  <si>
    <t>王明</t>
  </si>
  <si>
    <t>201602151421009</t>
  </si>
  <si>
    <t>唐仲宇</t>
  </si>
  <si>
    <t>201602151421010</t>
  </si>
  <si>
    <t>李淳志</t>
  </si>
  <si>
    <t>201602151421011</t>
  </si>
  <si>
    <t>杨雁滨</t>
  </si>
  <si>
    <t>201602151421012</t>
  </si>
  <si>
    <t>龚晶</t>
  </si>
  <si>
    <t>201602151421013</t>
  </si>
  <si>
    <t>李卫斌</t>
  </si>
  <si>
    <t>201602151421014</t>
  </si>
  <si>
    <t>丁力</t>
  </si>
  <si>
    <t>201602151421015</t>
  </si>
  <si>
    <t>王大路</t>
  </si>
  <si>
    <t>201602151421016</t>
  </si>
  <si>
    <t>张赫群</t>
  </si>
  <si>
    <t>201602151421017</t>
  </si>
  <si>
    <t>王威</t>
  </si>
  <si>
    <t>201602151421018</t>
  </si>
  <si>
    <t>庞波</t>
  </si>
  <si>
    <t>201602151421019</t>
  </si>
  <si>
    <t>苑世林</t>
  </si>
  <si>
    <t>201602151421020</t>
  </si>
  <si>
    <t>吕达</t>
  </si>
  <si>
    <t>201602151421021</t>
  </si>
  <si>
    <t>史国梁</t>
  </si>
  <si>
    <t>201602151421022</t>
  </si>
  <si>
    <t>白力伟</t>
  </si>
  <si>
    <t>201602151421023</t>
  </si>
  <si>
    <t>邹建立</t>
  </si>
  <si>
    <t>201602151421024</t>
  </si>
  <si>
    <t>牛兰梅</t>
  </si>
  <si>
    <t>201602151421025</t>
  </si>
  <si>
    <t>孙善宝</t>
  </si>
  <si>
    <t>201602151421026</t>
  </si>
  <si>
    <t>刘滨强</t>
  </si>
  <si>
    <t>201602151421027</t>
  </si>
  <si>
    <t>夏阳</t>
  </si>
  <si>
    <t>201602151421028</t>
  </si>
  <si>
    <t>高阎</t>
  </si>
  <si>
    <t>201602151421029</t>
  </si>
  <si>
    <t>刘松</t>
  </si>
  <si>
    <t>201602151421030</t>
  </si>
  <si>
    <t>洪智强</t>
  </si>
  <si>
    <t>201602151421031</t>
  </si>
  <si>
    <t>于子童</t>
  </si>
  <si>
    <t>201602151421032</t>
  </si>
  <si>
    <t>孙伯聪</t>
  </si>
  <si>
    <t>201602151421033</t>
  </si>
  <si>
    <t>闫萍</t>
  </si>
  <si>
    <t>201602151421034</t>
  </si>
  <si>
    <t>乔佳</t>
  </si>
  <si>
    <t>201602151421035</t>
  </si>
  <si>
    <t>王静远</t>
  </si>
  <si>
    <t>201602151421036</t>
  </si>
  <si>
    <t>高永学</t>
  </si>
  <si>
    <t>201602151421037</t>
  </si>
  <si>
    <t>刘加力</t>
  </si>
  <si>
    <t>201602151421038</t>
  </si>
  <si>
    <t>苏立发</t>
  </si>
  <si>
    <t>201602151421039</t>
  </si>
  <si>
    <t>王元利</t>
  </si>
  <si>
    <t>201602151421040</t>
  </si>
  <si>
    <t>韩庆滨</t>
  </si>
  <si>
    <t>201602151421041</t>
  </si>
  <si>
    <t>刘宏刚</t>
  </si>
  <si>
    <t>201602151421042</t>
  </si>
  <si>
    <t>王金玲</t>
  </si>
  <si>
    <t>201602151421043</t>
  </si>
  <si>
    <t>来维</t>
  </si>
  <si>
    <t>201602151421044</t>
  </si>
  <si>
    <t>王旭波</t>
  </si>
  <si>
    <t>201602151421045</t>
  </si>
  <si>
    <t>王彪</t>
  </si>
  <si>
    <t>201602151421046</t>
  </si>
  <si>
    <t>王野</t>
  </si>
  <si>
    <t>201602151421047</t>
  </si>
  <si>
    <t>宋柏通</t>
  </si>
  <si>
    <t>201602151421048</t>
  </si>
  <si>
    <t>张家梁</t>
  </si>
  <si>
    <t>201602151421049</t>
  </si>
  <si>
    <t>季丽丽</t>
  </si>
  <si>
    <t>201602151421050</t>
  </si>
  <si>
    <t>董永莲</t>
  </si>
  <si>
    <t>201602151421051</t>
  </si>
  <si>
    <t>鄂维</t>
  </si>
  <si>
    <t>201602151421052</t>
  </si>
  <si>
    <t>王诗奇</t>
  </si>
  <si>
    <t>201602151421053</t>
  </si>
  <si>
    <t>王永和</t>
  </si>
  <si>
    <t>201602151421054</t>
  </si>
  <si>
    <t>徐健</t>
  </si>
  <si>
    <t>201602151421055</t>
  </si>
  <si>
    <t>王海弟</t>
  </si>
  <si>
    <t>201602151421056</t>
  </si>
  <si>
    <t>王超2</t>
  </si>
  <si>
    <t>201602151421057</t>
  </si>
  <si>
    <t>周澳</t>
  </si>
  <si>
    <t>201602151421058</t>
  </si>
  <si>
    <t>王兆东</t>
  </si>
  <si>
    <t>201602151421059</t>
  </si>
  <si>
    <t>于永花</t>
  </si>
  <si>
    <t>201602151421060</t>
  </si>
  <si>
    <t>张琪</t>
  </si>
  <si>
    <t>201602151421061</t>
  </si>
  <si>
    <t>郭鑫</t>
  </si>
  <si>
    <t>201602151421062</t>
  </si>
  <si>
    <t>张竹刚</t>
  </si>
  <si>
    <t>201602151421063</t>
  </si>
  <si>
    <t>韩磊</t>
  </si>
  <si>
    <t>201602151421064</t>
  </si>
  <si>
    <t>于文涛</t>
  </si>
  <si>
    <t>201602151421065</t>
  </si>
  <si>
    <t>王秀梅</t>
  </si>
  <si>
    <t>201602151421066</t>
  </si>
  <si>
    <t>倪国辉</t>
  </si>
  <si>
    <t>201602151421067</t>
  </si>
  <si>
    <t>荀加祁</t>
  </si>
  <si>
    <t>201602151421068</t>
  </si>
  <si>
    <t>祁立军</t>
  </si>
  <si>
    <t>201602151421069</t>
  </si>
  <si>
    <t>韩龙</t>
  </si>
  <si>
    <t>201602151421070</t>
  </si>
  <si>
    <t>吴春阳</t>
  </si>
  <si>
    <t>201602151421071</t>
  </si>
  <si>
    <t>魏丹妮</t>
  </si>
  <si>
    <t>201602151421072</t>
  </si>
  <si>
    <t>肖方正</t>
  </si>
  <si>
    <t>201602151421073</t>
  </si>
  <si>
    <t>庞帅</t>
  </si>
  <si>
    <t>201602151421074</t>
  </si>
  <si>
    <t>黄贯军</t>
  </si>
  <si>
    <t>201602151421075</t>
  </si>
  <si>
    <t>郑雪莲</t>
  </si>
  <si>
    <t>201602151421076</t>
  </si>
  <si>
    <t>李颖</t>
  </si>
  <si>
    <t>201602151421077</t>
  </si>
  <si>
    <t>吴莉</t>
  </si>
  <si>
    <t>201602151421078</t>
  </si>
  <si>
    <t>刘俊卓</t>
  </si>
  <si>
    <t>201602151421079</t>
  </si>
  <si>
    <t>王彩凤</t>
  </si>
  <si>
    <t>201602151421081</t>
  </si>
  <si>
    <t>黄绪杰</t>
  </si>
  <si>
    <t>201602151421082</t>
  </si>
  <si>
    <t>孙俊</t>
  </si>
  <si>
    <t>201602151421083</t>
  </si>
  <si>
    <t>宋菲菲</t>
  </si>
  <si>
    <t>201602151421084</t>
  </si>
  <si>
    <t>王伟业</t>
  </si>
  <si>
    <t>201602151421085</t>
  </si>
  <si>
    <t>孙玮</t>
  </si>
  <si>
    <t>201602151421086</t>
  </si>
  <si>
    <t>李敬</t>
  </si>
  <si>
    <t>201602151421087</t>
  </si>
  <si>
    <t>代龙涛</t>
  </si>
  <si>
    <t>201602151421088</t>
  </si>
  <si>
    <t>何秀</t>
  </si>
  <si>
    <t>201602151421089</t>
  </si>
  <si>
    <t>冯中杰</t>
  </si>
  <si>
    <t>201602151421090</t>
  </si>
  <si>
    <t>周京成</t>
  </si>
  <si>
    <t>201602151421091</t>
  </si>
  <si>
    <t>刘继雪</t>
  </si>
  <si>
    <t>201602151421092</t>
  </si>
  <si>
    <t>张梓良</t>
  </si>
  <si>
    <t>201602151421093</t>
  </si>
  <si>
    <t>刘洋</t>
  </si>
  <si>
    <t>201602151421094</t>
  </si>
  <si>
    <t>董俊婷</t>
  </si>
  <si>
    <t>201602151421095</t>
  </si>
  <si>
    <t>贾文栋</t>
  </si>
  <si>
    <t>201602151421096</t>
  </si>
  <si>
    <t>郭靖</t>
  </si>
  <si>
    <t>201602151421097</t>
  </si>
  <si>
    <t>张建华</t>
  </si>
  <si>
    <t>201602151421098</t>
  </si>
  <si>
    <t>刘君</t>
  </si>
  <si>
    <t>201602151421099</t>
  </si>
  <si>
    <t>田虎</t>
  </si>
  <si>
    <t>201602151421100</t>
  </si>
  <si>
    <t>王金国</t>
  </si>
  <si>
    <t>201602151421101</t>
  </si>
  <si>
    <t>项瑞红</t>
  </si>
  <si>
    <t>201602151421102</t>
  </si>
  <si>
    <t>赵洪强</t>
  </si>
  <si>
    <t>201602151421103</t>
  </si>
  <si>
    <t>李旭</t>
  </si>
  <si>
    <t>201602151421104</t>
  </si>
  <si>
    <t>苏承江</t>
  </si>
  <si>
    <t>201602151421105</t>
  </si>
  <si>
    <t>张景泉</t>
  </si>
  <si>
    <t>201602151421106</t>
  </si>
  <si>
    <t>吴柏松</t>
  </si>
  <si>
    <t>201602151421107</t>
  </si>
  <si>
    <t>郑辉</t>
  </si>
  <si>
    <t>201602151421108</t>
  </si>
  <si>
    <t>刘佩亮</t>
  </si>
  <si>
    <t>201602151421109</t>
  </si>
  <si>
    <t>杨洪晓</t>
  </si>
  <si>
    <t>201602151421110</t>
  </si>
  <si>
    <t>侯二龙</t>
  </si>
  <si>
    <t>201602151421111</t>
  </si>
  <si>
    <t>焦宗航</t>
  </si>
  <si>
    <t>201602151421112</t>
  </si>
  <si>
    <t>刘佳林</t>
  </si>
  <si>
    <t>201605112621001</t>
  </si>
  <si>
    <t>宋佳</t>
  </si>
  <si>
    <t>201305595</t>
  </si>
  <si>
    <t>陈敬松</t>
  </si>
  <si>
    <t>201609062621001</t>
  </si>
  <si>
    <t>汪洋</t>
  </si>
  <si>
    <t>201304969</t>
  </si>
  <si>
    <t>王美琼</t>
  </si>
  <si>
    <t>201703092621001</t>
  </si>
  <si>
    <t>刘庆鹏</t>
  </si>
  <si>
    <t>201704052621001</t>
  </si>
  <si>
    <t>何青益</t>
  </si>
  <si>
    <t>201304143</t>
  </si>
  <si>
    <t>侯文智</t>
  </si>
  <si>
    <t>码上有省区名称</t>
  </si>
  <si>
    <t>码上有城市名称</t>
  </si>
  <si>
    <t>码上有区县名称</t>
  </si>
  <si>
    <t>流向用区县编码</t>
  </si>
  <si>
    <t>山东省</t>
  </si>
  <si>
    <t>滨州市</t>
  </si>
  <si>
    <t>滨城区</t>
  </si>
  <si>
    <t>1853</t>
  </si>
  <si>
    <t>博兴县</t>
  </si>
  <si>
    <t>1858</t>
  </si>
  <si>
    <t>惠民县</t>
  </si>
  <si>
    <t>1854</t>
  </si>
  <si>
    <t>无棣县</t>
  </si>
  <si>
    <t>1856</t>
  </si>
  <si>
    <t>阳信县</t>
  </si>
  <si>
    <t>1855</t>
  </si>
  <si>
    <t>沾化县</t>
  </si>
  <si>
    <t>1857</t>
  </si>
  <si>
    <t>邹平县</t>
  </si>
  <si>
    <t>1859</t>
  </si>
  <si>
    <t>德州市</t>
  </si>
  <si>
    <t>德城区</t>
  </si>
  <si>
    <t>1832</t>
  </si>
  <si>
    <t>乐陵市</t>
  </si>
  <si>
    <t>1841</t>
  </si>
  <si>
    <t>临邑县</t>
  </si>
  <si>
    <t>1836</t>
  </si>
  <si>
    <t>陵县</t>
  </si>
  <si>
    <t>1833</t>
  </si>
  <si>
    <t>宁津县</t>
  </si>
  <si>
    <t>1834</t>
  </si>
  <si>
    <t>平原县</t>
  </si>
  <si>
    <t>1838</t>
  </si>
  <si>
    <t>齐河县</t>
  </si>
  <si>
    <t>1837</t>
  </si>
  <si>
    <t>庆云县</t>
  </si>
  <si>
    <t>1835</t>
  </si>
  <si>
    <t>武城县</t>
  </si>
  <si>
    <t>1840</t>
  </si>
  <si>
    <t>夏津县</t>
  </si>
  <si>
    <t>1839</t>
  </si>
  <si>
    <t>禹城市</t>
  </si>
  <si>
    <t>1842</t>
  </si>
  <si>
    <t>东营市</t>
  </si>
  <si>
    <t>东营区</t>
  </si>
  <si>
    <t>1754</t>
  </si>
  <si>
    <t>广饶县</t>
  </si>
  <si>
    <t>1758</t>
  </si>
  <si>
    <t>河口区</t>
  </si>
  <si>
    <t>1755</t>
  </si>
  <si>
    <t>垦利县</t>
  </si>
  <si>
    <t>1756</t>
  </si>
  <si>
    <t>利津县</t>
  </si>
  <si>
    <t>1757</t>
  </si>
  <si>
    <t>菏泽市</t>
  </si>
  <si>
    <t>曹县</t>
  </si>
  <si>
    <t>1862</t>
  </si>
  <si>
    <t>成武县</t>
  </si>
  <si>
    <t>1864</t>
  </si>
  <si>
    <t>单县</t>
  </si>
  <si>
    <t>1863</t>
  </si>
  <si>
    <t>定陶县</t>
  </si>
  <si>
    <t>1868</t>
  </si>
  <si>
    <t>东明县</t>
  </si>
  <si>
    <t>1869</t>
  </si>
  <si>
    <t>巨野县</t>
  </si>
  <si>
    <t>1865</t>
  </si>
  <si>
    <t>鄄城县</t>
  </si>
  <si>
    <t>1867</t>
  </si>
  <si>
    <t>牡丹区</t>
  </si>
  <si>
    <t>1861</t>
  </si>
  <si>
    <t>郓城县</t>
  </si>
  <si>
    <t>1866</t>
  </si>
  <si>
    <t>济南市</t>
  </si>
  <si>
    <t>槐荫区</t>
  </si>
  <si>
    <t>1718</t>
  </si>
  <si>
    <t>济阳县</t>
  </si>
  <si>
    <t>1723</t>
  </si>
  <si>
    <t>历城区</t>
  </si>
  <si>
    <t>1720</t>
  </si>
  <si>
    <t>历下区</t>
  </si>
  <si>
    <t>1716</t>
  </si>
  <si>
    <t>平阴县</t>
  </si>
  <si>
    <t>1722</t>
  </si>
  <si>
    <t>商河县</t>
  </si>
  <si>
    <t>1724</t>
  </si>
  <si>
    <t>市中区</t>
  </si>
  <si>
    <t>1717</t>
  </si>
  <si>
    <t>天桥区</t>
  </si>
  <si>
    <t>1719</t>
  </si>
  <si>
    <t>章丘市</t>
  </si>
  <si>
    <t>1725</t>
  </si>
  <si>
    <t>长清区</t>
  </si>
  <si>
    <t>1721</t>
  </si>
  <si>
    <t>济宁市</t>
  </si>
  <si>
    <t>嘉祥县</t>
  </si>
  <si>
    <t>1791</t>
  </si>
  <si>
    <t>金乡县</t>
  </si>
  <si>
    <t>1790</t>
  </si>
  <si>
    <t>梁山县</t>
  </si>
  <si>
    <t>1794</t>
  </si>
  <si>
    <t>曲阜市</t>
  </si>
  <si>
    <t>1795</t>
  </si>
  <si>
    <t>任城区</t>
  </si>
  <si>
    <t>1787</t>
  </si>
  <si>
    <t>泗水县</t>
  </si>
  <si>
    <t>1793</t>
  </si>
  <si>
    <t>微山县</t>
  </si>
  <si>
    <t>1788</t>
  </si>
  <si>
    <t>汶上县</t>
  </si>
  <si>
    <t>1792</t>
  </si>
  <si>
    <t>兖州市</t>
  </si>
  <si>
    <t>1796</t>
  </si>
  <si>
    <t>鱼台县</t>
  </si>
  <si>
    <t>1789</t>
  </si>
  <si>
    <t>邹城市</t>
  </si>
  <si>
    <t>1797</t>
  </si>
  <si>
    <t>莱芜市</t>
  </si>
  <si>
    <t>钢城区</t>
  </si>
  <si>
    <t>1817</t>
  </si>
  <si>
    <t>莱城区</t>
  </si>
  <si>
    <t>1816</t>
  </si>
  <si>
    <t>聊城市</t>
  </si>
  <si>
    <t>茌平县</t>
  </si>
  <si>
    <t>1847</t>
  </si>
  <si>
    <t>东阿县</t>
  </si>
  <si>
    <t>1848</t>
  </si>
  <si>
    <t>东昌府区</t>
  </si>
  <si>
    <t>1844</t>
  </si>
  <si>
    <t>高唐县</t>
  </si>
  <si>
    <t>1850</t>
  </si>
  <si>
    <t>冠县</t>
  </si>
  <si>
    <t>1849</t>
  </si>
  <si>
    <t>临清市</t>
  </si>
  <si>
    <t>1851</t>
  </si>
  <si>
    <t>莘县</t>
  </si>
  <si>
    <t>1846</t>
  </si>
  <si>
    <t>阳谷县</t>
  </si>
  <si>
    <t>1845</t>
  </si>
  <si>
    <t>临沂市</t>
  </si>
  <si>
    <t>苍山县</t>
  </si>
  <si>
    <t>1825</t>
  </si>
  <si>
    <t>费县</t>
  </si>
  <si>
    <t>1826</t>
  </si>
  <si>
    <t>河东区</t>
  </si>
  <si>
    <t>1821</t>
  </si>
  <si>
    <t>莒南县</t>
  </si>
  <si>
    <t>1828</t>
  </si>
  <si>
    <t>兰山区</t>
  </si>
  <si>
    <t>1819</t>
  </si>
  <si>
    <t>临沭县</t>
  </si>
  <si>
    <t>1830</t>
  </si>
  <si>
    <t>罗庄区</t>
  </si>
  <si>
    <t>1820</t>
  </si>
  <si>
    <t>蒙阴县</t>
  </si>
  <si>
    <t>1829</t>
  </si>
  <si>
    <t>平邑县</t>
  </si>
  <si>
    <t>1827</t>
  </si>
  <si>
    <t>郯城县</t>
  </si>
  <si>
    <t>1823</t>
  </si>
  <si>
    <t>沂南县</t>
  </si>
  <si>
    <t>1822</t>
  </si>
  <si>
    <t>沂水县</t>
  </si>
  <si>
    <t>1824</t>
  </si>
  <si>
    <t>青岛市</t>
  </si>
  <si>
    <t>城阳区</t>
  </si>
  <si>
    <t>1732</t>
  </si>
  <si>
    <t>黄岛区</t>
  </si>
  <si>
    <t>1729</t>
  </si>
  <si>
    <t>即墨市</t>
  </si>
  <si>
    <t>1734</t>
  </si>
  <si>
    <t>胶州市</t>
  </si>
  <si>
    <t>1733</t>
  </si>
  <si>
    <t>莱西市</t>
  </si>
  <si>
    <t>1736</t>
  </si>
  <si>
    <t>崂山区</t>
  </si>
  <si>
    <t>1730</t>
  </si>
  <si>
    <t>李沧区</t>
  </si>
  <si>
    <t>1731</t>
  </si>
  <si>
    <t>平度市</t>
  </si>
  <si>
    <t>1735</t>
  </si>
  <si>
    <t>市北区</t>
  </si>
  <si>
    <t>1728</t>
  </si>
  <si>
    <t>市南区</t>
  </si>
  <si>
    <t>1727</t>
  </si>
  <si>
    <t>日照市</t>
  </si>
  <si>
    <t>东港区</t>
  </si>
  <si>
    <t>1811</t>
  </si>
  <si>
    <t>莒县</t>
  </si>
  <si>
    <t>1814</t>
  </si>
  <si>
    <t>岚山区</t>
  </si>
  <si>
    <t>1812</t>
  </si>
  <si>
    <t>五莲县</t>
  </si>
  <si>
    <t>1813</t>
  </si>
  <si>
    <t>泰安市</t>
  </si>
  <si>
    <t>岱岳区</t>
  </si>
  <si>
    <t>1800</t>
  </si>
  <si>
    <t>东平县</t>
  </si>
  <si>
    <t>1802</t>
  </si>
  <si>
    <t>肥城市</t>
  </si>
  <si>
    <t>1804</t>
  </si>
  <si>
    <t>宁阳县</t>
  </si>
  <si>
    <t>1801</t>
  </si>
  <si>
    <t>泰山区</t>
  </si>
  <si>
    <t>1799</t>
  </si>
  <si>
    <t>新泰市</t>
  </si>
  <si>
    <t>1803</t>
  </si>
  <si>
    <t>威海市</t>
  </si>
  <si>
    <t>环翠区</t>
  </si>
  <si>
    <t>1806</t>
  </si>
  <si>
    <t>荣成市</t>
  </si>
  <si>
    <t>1808</t>
  </si>
  <si>
    <t>乳山市</t>
  </si>
  <si>
    <t>1809</t>
  </si>
  <si>
    <t>文登市</t>
  </si>
  <si>
    <t>1807</t>
  </si>
  <si>
    <t>潍坊市</t>
  </si>
  <si>
    <t>安丘市</t>
  </si>
  <si>
    <t>1782</t>
  </si>
  <si>
    <t>昌乐县</t>
  </si>
  <si>
    <t>1778</t>
  </si>
  <si>
    <t>昌邑市</t>
  </si>
  <si>
    <t>1784</t>
  </si>
  <si>
    <t>坊子区</t>
  </si>
  <si>
    <t>1775</t>
  </si>
  <si>
    <t>高密市</t>
  </si>
  <si>
    <t>1783</t>
  </si>
  <si>
    <t>寒亭区</t>
  </si>
  <si>
    <t>1774</t>
  </si>
  <si>
    <t>奎文区</t>
  </si>
  <si>
    <t>1776</t>
  </si>
  <si>
    <t>临朐县</t>
  </si>
  <si>
    <t>1777</t>
  </si>
  <si>
    <t>青州市</t>
  </si>
  <si>
    <t>1779</t>
  </si>
  <si>
    <t>寿光市</t>
  </si>
  <si>
    <t>1781</t>
  </si>
  <si>
    <t>潍城区</t>
  </si>
  <si>
    <t>1773</t>
  </si>
  <si>
    <t>诸城市</t>
  </si>
  <si>
    <t>1780</t>
  </si>
  <si>
    <t>烟台市</t>
  </si>
  <si>
    <t>福山区</t>
  </si>
  <si>
    <t>1761</t>
  </si>
  <si>
    <t>海阳市</t>
  </si>
  <si>
    <t>1771</t>
  </si>
  <si>
    <t>莱山区</t>
  </si>
  <si>
    <t>1763</t>
  </si>
  <si>
    <t>莱阳市</t>
  </si>
  <si>
    <t>1766</t>
  </si>
  <si>
    <t>莱州市</t>
  </si>
  <si>
    <t>1767</t>
  </si>
  <si>
    <t>龙口市</t>
  </si>
  <si>
    <t>1765</t>
  </si>
  <si>
    <t>牟平区</t>
  </si>
  <si>
    <t>1762</t>
  </si>
  <si>
    <t>蓬莱市</t>
  </si>
  <si>
    <t>1768</t>
  </si>
  <si>
    <t>栖霞市</t>
  </si>
  <si>
    <t>1770</t>
  </si>
  <si>
    <t>长岛县</t>
  </si>
  <si>
    <t>1764</t>
  </si>
  <si>
    <t>招远市</t>
  </si>
  <si>
    <t>1769</t>
  </si>
  <si>
    <t>芝罘区</t>
  </si>
  <si>
    <t>1760</t>
  </si>
  <si>
    <t>枣庄市</t>
  </si>
  <si>
    <t>山亭区</t>
  </si>
  <si>
    <t>1751</t>
  </si>
  <si>
    <t>1747</t>
  </si>
  <si>
    <t>台儿庄区</t>
  </si>
  <si>
    <t>1750</t>
  </si>
  <si>
    <t>滕州市</t>
  </si>
  <si>
    <t>1752</t>
  </si>
  <si>
    <t>薛城区</t>
  </si>
  <si>
    <t>1748</t>
  </si>
  <si>
    <t>峄城区</t>
  </si>
  <si>
    <t>1749</t>
  </si>
  <si>
    <t>淄博市</t>
  </si>
  <si>
    <t>博山区</t>
  </si>
  <si>
    <t>1740</t>
  </si>
  <si>
    <t>高青县</t>
  </si>
  <si>
    <t>1744</t>
  </si>
  <si>
    <t>桓台县</t>
  </si>
  <si>
    <t>1743</t>
  </si>
  <si>
    <t>临淄区</t>
  </si>
  <si>
    <t>1741</t>
  </si>
  <si>
    <t>沂源县</t>
  </si>
  <si>
    <t>1745</t>
  </si>
  <si>
    <t>张店区</t>
  </si>
  <si>
    <t>1739</t>
  </si>
  <si>
    <t>周村区</t>
  </si>
  <si>
    <t>1742</t>
  </si>
  <si>
    <t>淄川区</t>
  </si>
  <si>
    <t>1738</t>
  </si>
  <si>
    <t>山东福华医药有限公司</t>
    <phoneticPr fontId="57" type="noConversion"/>
  </si>
  <si>
    <t>滨州弘德药业有限公司</t>
    <phoneticPr fontId="57" type="noConversion"/>
  </si>
  <si>
    <t>最新开票价</t>
  </si>
  <si>
    <t>简称</t>
    <phoneticPr fontId="57" type="noConversion"/>
  </si>
  <si>
    <t>合并品名规格（唯一化产品)</t>
    <phoneticPr fontId="57" type="noConversion"/>
  </si>
  <si>
    <t>博仁</t>
    <phoneticPr fontId="57" type="noConversion"/>
  </si>
  <si>
    <t>九州通</t>
    <phoneticPr fontId="57" type="noConversion"/>
  </si>
  <si>
    <t>悦康圆通</t>
    <phoneticPr fontId="57" type="noConversion"/>
  </si>
  <si>
    <t>天士力</t>
    <phoneticPr fontId="57" type="noConversion"/>
  </si>
  <si>
    <t>罗欣宏欣</t>
    <phoneticPr fontId="57" type="noConversion"/>
  </si>
  <si>
    <t>瑞康山东</t>
    <phoneticPr fontId="57" type="noConversion"/>
  </si>
  <si>
    <t>02037769</t>
  </si>
  <si>
    <t>山东海川医药有限公司</t>
  </si>
  <si>
    <t>海川</t>
    <phoneticPr fontId="57" type="noConversion"/>
  </si>
  <si>
    <t>国控菏泽</t>
    <phoneticPr fontId="57" type="noConversion"/>
  </si>
  <si>
    <t>济南广林医药有限公司</t>
    <phoneticPr fontId="57" type="noConversion"/>
  </si>
  <si>
    <t>济南广林</t>
    <phoneticPr fontId="57" type="noConversion"/>
  </si>
  <si>
    <t>枣庄市天源药业有限公司</t>
    <phoneticPr fontId="57" type="noConversion"/>
  </si>
  <si>
    <t>天源</t>
    <phoneticPr fontId="57" type="noConversion"/>
  </si>
  <si>
    <t>葡萄糖酸钙口服溶液</t>
  </si>
  <si>
    <t>0.1g*20粒</t>
  </si>
  <si>
    <t>蒙脱石散</t>
  </si>
  <si>
    <t>3g*12袋</t>
  </si>
  <si>
    <t>新盖中盖高钙片(成人)/盖中盖</t>
  </si>
  <si>
    <t>2.5g*36片</t>
  </si>
  <si>
    <t>0.4g*36片</t>
  </si>
  <si>
    <t>罗红霉素分散片/小严迪</t>
  </si>
  <si>
    <t>50mg*12片</t>
  </si>
  <si>
    <t>朴血乳酸亚铁口服液</t>
  </si>
  <si>
    <t>2贴</t>
  </si>
  <si>
    <t>哈药六牌钙加锌口服液</t>
  </si>
  <si>
    <t>感冒解毒灵颗粒</t>
  </si>
  <si>
    <t>5g*10袋</t>
  </si>
  <si>
    <t>布洛芬颗粒/小安瑞克</t>
  </si>
  <si>
    <t>0.2g*12袋</t>
  </si>
  <si>
    <t>哈药牌钙铁锌口服液</t>
  </si>
  <si>
    <t>10ml*10支</t>
  </si>
  <si>
    <t>100ml</t>
  </si>
  <si>
    <t>小儿氨酚黄那敏颗粒/护彤</t>
  </si>
  <si>
    <t>2g*12袋</t>
  </si>
  <si>
    <t>阿莫西林克拉维酸钾分散片/胜艾</t>
  </si>
  <si>
    <t>颠茄磺苄啶片</t>
  </si>
  <si>
    <t>20mg*50片</t>
  </si>
  <si>
    <t>妇宁栓</t>
  </si>
  <si>
    <t>1.6克*8粒</t>
  </si>
  <si>
    <t>阿莫西林胶囊/益萨林</t>
  </si>
  <si>
    <t>0.236g*24片</t>
  </si>
  <si>
    <t>附子理中丸</t>
  </si>
  <si>
    <t>颠茄磺苄啶片/儿童</t>
  </si>
  <si>
    <t>0.122g*20片</t>
  </si>
  <si>
    <t>复方金银花颗粒</t>
  </si>
  <si>
    <t>45片</t>
  </si>
  <si>
    <t>10g*6袋</t>
  </si>
  <si>
    <t>3g*10丸</t>
  </si>
  <si>
    <t>罗红霉素分散片/大严迪</t>
  </si>
  <si>
    <t>75mg*12片</t>
  </si>
  <si>
    <t>复方铝酸铋片/新胃必治</t>
  </si>
  <si>
    <t>50片</t>
  </si>
  <si>
    <t>拉西地平片/司乐平</t>
  </si>
  <si>
    <t>4mg*15片</t>
  </si>
  <si>
    <t>6g*10袋</t>
  </si>
  <si>
    <t>益母丸</t>
  </si>
  <si>
    <t>10ml*10z</t>
  </si>
  <si>
    <t>泻利停/颠茄磺苄啶片</t>
  </si>
  <si>
    <t xml:space="preserve">0.48g*10片 </t>
  </si>
  <si>
    <t>阿莫西林克拉维酸钾7:1分散片（胜艾）</t>
  </si>
  <si>
    <t>*维生素C咀嚼片/VC片</t>
  </si>
  <si>
    <t>0.1g*30片</t>
  </si>
  <si>
    <t>60片</t>
  </si>
  <si>
    <t>“为消”牌乳酸菌素片</t>
  </si>
  <si>
    <t>40mm*110mm*2贴</t>
  </si>
  <si>
    <t>新盖中盖高钙片</t>
  </si>
  <si>
    <t>2.5g*36P</t>
  </si>
  <si>
    <t>10ml*15支</t>
  </si>
  <si>
    <t>葡萄糖酸钙口服溶液（含糖）</t>
  </si>
  <si>
    <t>10ML*12支</t>
  </si>
  <si>
    <t>严迪/罗红霉素分散片</t>
  </si>
  <si>
    <t>150mg*12片</t>
  </si>
  <si>
    <t>盐酸依托必利胶囊</t>
  </si>
  <si>
    <t>1.6g*8枚</t>
  </si>
  <si>
    <t>盐酸氟桂利嗪片/孚瑞尔</t>
  </si>
  <si>
    <t>40片</t>
  </si>
  <si>
    <t>1.6g×7枚</t>
  </si>
  <si>
    <t>注射用阿莫西林针/益萨林</t>
  </si>
  <si>
    <t>1g*10z</t>
  </si>
  <si>
    <t>大严迪片/罗红霉素分散片</t>
  </si>
  <si>
    <t>人工牛黄甲硝唑胶囊/牙疼安</t>
  </si>
  <si>
    <t>10粒*3板</t>
  </si>
  <si>
    <t>维生素C咀嚼片/VC片</t>
  </si>
  <si>
    <t>乳酸菌素片/为消</t>
  </si>
  <si>
    <t>拉西地平片/三精司乐平片</t>
  </si>
  <si>
    <t>哈药六钙锌口服液</t>
  </si>
  <si>
    <t>朴血/乳酸亚铁口服液</t>
  </si>
  <si>
    <t>胃必治/复方铝酸铋片</t>
  </si>
  <si>
    <t>0.125g*20片</t>
  </si>
  <si>
    <t>1.75g*36p</t>
  </si>
  <si>
    <t>24片</t>
  </si>
  <si>
    <t>30片</t>
  </si>
  <si>
    <t>1.2g*30丸</t>
  </si>
  <si>
    <t>盐酸特拉唑嗪胶囊</t>
  </si>
  <si>
    <t>10粒*2板</t>
  </si>
  <si>
    <t>保和丸</t>
  </si>
  <si>
    <t>0.125g*12片</t>
  </si>
  <si>
    <t>1.2g*18片</t>
  </si>
  <si>
    <t>0.35g*24片</t>
  </si>
  <si>
    <t xml:space="preserve">0.12g*20片 </t>
  </si>
  <si>
    <t>小儿严迪片/罗红霉素分散片</t>
  </si>
  <si>
    <t>阿奇针/注射用乳糖酸阿奇霉素针</t>
  </si>
  <si>
    <t>6g*10w</t>
  </si>
  <si>
    <t>龙胆泻肝丸</t>
  </si>
  <si>
    <t>6g*10丸</t>
  </si>
  <si>
    <t>0.36g*100片</t>
  </si>
  <si>
    <t>克拉霉素分散片/长迪</t>
  </si>
  <si>
    <t>0.125g*24粒</t>
  </si>
  <si>
    <t>0.48g（80万单位）1g</t>
  </si>
  <si>
    <t>艾附暖宫丸</t>
  </si>
  <si>
    <t>新迪/复方氨酚烷胺片</t>
  </si>
  <si>
    <t>0.25g*30片</t>
  </si>
  <si>
    <t>血府逐淤丸</t>
  </si>
  <si>
    <t>护彤冲剂/小儿氨酚黄那敏颗粒</t>
  </si>
  <si>
    <t>0.25g*20s</t>
  </si>
  <si>
    <t>0.12g*24片</t>
  </si>
  <si>
    <t>阿莫西林克拉维酸钾分散片</t>
  </si>
  <si>
    <t>30粒</t>
  </si>
  <si>
    <t>0.25g*24粒</t>
  </si>
  <si>
    <t>0.25*6片</t>
  </si>
  <si>
    <t>泻立停片/颠茄磺苄啶片</t>
  </si>
  <si>
    <t>0.4g：80mg：8mg*12片</t>
  </si>
  <si>
    <t>阿莫西林颗粒</t>
  </si>
  <si>
    <t>0.125g*12袋</t>
  </si>
  <si>
    <t>2g*6袋</t>
  </si>
  <si>
    <t>72g</t>
  </si>
  <si>
    <t>60mg*12片</t>
  </si>
  <si>
    <t>10g*12袋</t>
  </si>
  <si>
    <t>0.4g*36片/小包</t>
  </si>
  <si>
    <t>葡萄糖酸锌口服溶液</t>
  </si>
  <si>
    <t>罗红霉素分散片</t>
  </si>
  <si>
    <t>0.4g*12片*3板</t>
  </si>
  <si>
    <t>0.5g*36粒</t>
  </si>
  <si>
    <t>小儿氨酚黄那敏颗粒</t>
  </si>
  <si>
    <t>12袋</t>
  </si>
  <si>
    <t>36片</t>
  </si>
  <si>
    <t>1.6g*8粒</t>
  </si>
  <si>
    <t>10片/瓶</t>
  </si>
  <si>
    <t>0.125g*24片</t>
  </si>
  <si>
    <t>0.25g*6片</t>
  </si>
  <si>
    <t>6g*10袋/盒</t>
  </si>
  <si>
    <t>葡萄糖酸钙口服液</t>
  </si>
  <si>
    <t>12支/盒</t>
  </si>
  <si>
    <t>哈药*钙铁锌口服液</t>
  </si>
  <si>
    <t>泻利停*颠茄磺苄啶片</t>
  </si>
  <si>
    <t>胜艾*阿莫西林克拉维酸钾分散片</t>
  </si>
  <si>
    <t>0.2285g*12pian</t>
  </si>
  <si>
    <t>严迪*罗红霉素分散片</t>
  </si>
  <si>
    <t>75mg*12</t>
  </si>
  <si>
    <t>胃必治*复方铝酸铋片</t>
  </si>
  <si>
    <t>高钙片</t>
  </si>
  <si>
    <t>100mg*30粒</t>
  </si>
  <si>
    <t>10ml*10</t>
  </si>
  <si>
    <t>蒙脱石散*泻利停</t>
  </si>
  <si>
    <t>3克*12袋</t>
  </si>
  <si>
    <t>罗红霉素分散片-小严迪</t>
  </si>
  <si>
    <t>12片/盒</t>
  </si>
  <si>
    <t>0.236g*12片</t>
  </si>
  <si>
    <t>维生素c咀嚼片</t>
  </si>
  <si>
    <t>10片</t>
  </si>
  <si>
    <t>护彤*小儿氨酚黄那敏颗粒</t>
  </si>
  <si>
    <t>长迪*克拉霉素分散片</t>
  </si>
  <si>
    <t xml:space="preserve">小儿氨酚黄那敏颗粒 护彤 </t>
  </si>
  <si>
    <t>颠茄磺苄啶片   泻痢停</t>
  </si>
  <si>
    <t>复方铝酸铋片  1234</t>
  </si>
  <si>
    <t>罗红霉素分散片 严迪</t>
  </si>
  <si>
    <t>葡萄糖酸锌口服液 三精</t>
  </si>
  <si>
    <t>乳酸亚铁口服液（朴雪）</t>
  </si>
  <si>
    <t>哈药牌   钙铁锌口服液</t>
  </si>
  <si>
    <t>颠茄磺苄啶片 泻痢停</t>
  </si>
  <si>
    <t>12p</t>
  </si>
  <si>
    <t>布洛芬颗粒 小安瑞克</t>
  </si>
  <si>
    <t>新盖中盖牌（儿童钙片）</t>
  </si>
  <si>
    <t>1.75g*36片</t>
  </si>
  <si>
    <t>0.236g*24p</t>
  </si>
  <si>
    <t>2285mg*12p</t>
  </si>
  <si>
    <t>0.25*24粒</t>
  </si>
  <si>
    <t>0.3g*40粒</t>
  </si>
  <si>
    <t>0.5g*20s</t>
  </si>
  <si>
    <t xml:space="preserve"> 3g*2丸</t>
  </si>
  <si>
    <t>知柏地黄丸</t>
  </si>
  <si>
    <t>9g*10丸/盒</t>
  </si>
  <si>
    <t>0.4g:80mg:8mg*12片</t>
  </si>
  <si>
    <t>72g/瓶</t>
  </si>
  <si>
    <t>40mmx110mmx2贴</t>
  </si>
  <si>
    <t>六味地黄丸</t>
  </si>
  <si>
    <t>1.6g*7粒</t>
  </si>
  <si>
    <t>100ml/瓶</t>
  </si>
  <si>
    <t>10*</t>
  </si>
  <si>
    <t>启脾丸</t>
  </si>
  <si>
    <t>3g*10</t>
  </si>
  <si>
    <t>10ml*12(含糖型)</t>
  </si>
  <si>
    <t>0.075g*24粒</t>
  </si>
  <si>
    <t>5g*10袋/盒</t>
  </si>
  <si>
    <t>72g(水蜜丸)</t>
  </si>
  <si>
    <t>每片重1.2g*6片*3板</t>
  </si>
  <si>
    <t>30丸</t>
  </si>
  <si>
    <t>杞菊地黄丸</t>
  </si>
  <si>
    <t>十全大补丸</t>
  </si>
  <si>
    <t xml:space="preserve">9g*10   </t>
  </si>
  <si>
    <t>盐酸氟桂利嗪片</t>
  </si>
  <si>
    <t>5mg*40片</t>
  </si>
  <si>
    <t>70g</t>
  </si>
  <si>
    <t>0.075g*12粒</t>
  </si>
  <si>
    <t>75mg*24粒</t>
  </si>
  <si>
    <t>双黄连颗粒（无蔗糖）</t>
  </si>
  <si>
    <t>2g</t>
  </si>
  <si>
    <t>0.25*6</t>
  </si>
  <si>
    <t>0.1g*24片</t>
  </si>
  <si>
    <t>75mg*12粒</t>
  </si>
  <si>
    <t>阿奇霉素分散片 三精</t>
  </si>
  <si>
    <t>双黄连粉针剂</t>
  </si>
  <si>
    <t>600mg</t>
  </si>
  <si>
    <t>80片</t>
  </si>
  <si>
    <t>40mg*10z</t>
  </si>
  <si>
    <t>20片</t>
  </si>
  <si>
    <t>注射用阿莫西林钠/益萨林</t>
  </si>
  <si>
    <t>注射用更昔洛韦针</t>
  </si>
  <si>
    <t>0.25G</t>
  </si>
  <si>
    <t>养肝明目片</t>
  </si>
  <si>
    <t>舒肝丸(大蜜丸)</t>
  </si>
  <si>
    <t>克拉霉素分散片 哈药</t>
  </si>
  <si>
    <t>12支*10ml</t>
  </si>
  <si>
    <t>12片*50mg</t>
  </si>
  <si>
    <t>150mg*12p</t>
  </si>
  <si>
    <t>小儿/新盖中盖牌儿童钙片</t>
  </si>
  <si>
    <t>注射用炎琥宁粉针</t>
  </si>
  <si>
    <t>80MG*12支</t>
  </si>
  <si>
    <t>4mg*15s</t>
  </si>
  <si>
    <t>7粒*1.6克</t>
  </si>
  <si>
    <t>泻立停片/颠茄磺苄啶</t>
  </si>
  <si>
    <t>0.125g*20s</t>
  </si>
  <si>
    <t>滨州益康医药连锁有限公司邹平县第一药店</t>
  </si>
  <si>
    <t>滨州益康医药连锁有限公司邹平县第九药店</t>
  </si>
  <si>
    <t>邹平郭柯中医诊所</t>
  </si>
  <si>
    <t>山东魏桥创业集团魏桥工业园医务室</t>
  </si>
  <si>
    <t>滨州益康医药连锁有限公司邹平县第三药店</t>
  </si>
  <si>
    <t>滨州益康医药连锁有限公司邹平县第十药店</t>
  </si>
  <si>
    <t>滨州益康医药连锁有限公司邹平县黄山三路店</t>
  </si>
  <si>
    <t>滨州益康医药连锁有限公司邹平县魏桥惠民店</t>
  </si>
  <si>
    <t>滨州益康医药连锁有限公司邹平县第七药店</t>
  </si>
  <si>
    <t>滨州益康医药连锁有限公司邹平县邹魏二区店</t>
  </si>
  <si>
    <t>滨州益康医药连锁有限公司邹平县第八药店</t>
  </si>
  <si>
    <t>滨州益康医药连锁有限公司邹平月河店</t>
  </si>
  <si>
    <t>滨州益康医药连锁有限公司邹平明德店</t>
  </si>
  <si>
    <t>滨州益康医药连锁有限公司邹平长山诚意店</t>
  </si>
  <si>
    <t>滨州益康医药连锁有限公司邹平县明珠店</t>
  </si>
  <si>
    <t>滨州益康医药连锁有限公司邹平县黄山一路店</t>
  </si>
  <si>
    <t>滨州益康医药连锁有限公司邹平县中心店</t>
  </si>
  <si>
    <t>滨州益康医药连锁有限公司邹平县西王店</t>
  </si>
  <si>
    <t>滨州益康医药连锁有限公司邹平县亲民药店</t>
  </si>
  <si>
    <t>邹平县韩店镇木王中心卫生室</t>
  </si>
  <si>
    <t>西董街道办马庄中心卫生室</t>
  </si>
  <si>
    <t>山东魏桥创业集团第二工业园医务室</t>
  </si>
  <si>
    <t>滨州益康医药连锁有限公司邹平县第五药店</t>
  </si>
  <si>
    <t>邹平会仙桥医院</t>
  </si>
  <si>
    <t>黛溪办碧云洞中心卫生室</t>
  </si>
  <si>
    <t>滨州益康医药连锁有限公司邹魏一区店</t>
  </si>
  <si>
    <t>邹平杏林堂医药连锁有限公司</t>
  </si>
  <si>
    <t>滨州益康医药连锁有限公司邹平县黛溪三路店</t>
  </si>
  <si>
    <t>码头镇中站中心卫生室</t>
  </si>
  <si>
    <t>台子镇官道村卫生室</t>
  </si>
  <si>
    <t>滨州益康医药连锁有限公司医务室</t>
  </si>
  <si>
    <t>滨州益康医药连锁有限公司成五店</t>
  </si>
  <si>
    <t>滨州益康医药连锁有限公司邹平县第十一店</t>
  </si>
  <si>
    <t>滨州益康医药连锁有限公司邹平县黄山二路店</t>
  </si>
  <si>
    <t>滨州益康医药连锁有限公司邹平第二药店</t>
  </si>
  <si>
    <t>滨州益康医药连锁有限公司邹平县魏纺路店</t>
  </si>
  <si>
    <t>滨州益康医药连锁有限公司便民店</t>
  </si>
  <si>
    <t>滨州益康医药连锁有限公司邹平正心店</t>
  </si>
  <si>
    <t>高青县花沟镇芦家村卫生室</t>
  </si>
  <si>
    <t>滨州益康医药连锁有限公司邹平县第十二店</t>
  </si>
  <si>
    <t>滨州益康医药连锁有限公司邹平县黄山店</t>
  </si>
  <si>
    <t>滨州益康医药连锁有限公司邹平县第六药店</t>
  </si>
  <si>
    <t>滨州益康医药连锁有限公司邹平县礼参店</t>
  </si>
  <si>
    <t>台子镇闫家中心卫生室</t>
  </si>
  <si>
    <t>滨州益康医药连锁有限公司邹平至善店</t>
  </si>
  <si>
    <t>滨州益康医药连锁有限公司黛溪四路店</t>
  </si>
  <si>
    <t>码头镇归苏中心卫生室</t>
  </si>
  <si>
    <t>滨州益康医药连锁有限公司邹平县南范店</t>
  </si>
  <si>
    <t>邹平县韩店镇小店中心卫生室</t>
  </si>
  <si>
    <t>码头镇成集中心卫生室</t>
  </si>
  <si>
    <t>滨州益康医药连锁有限公司邹平县长山店</t>
  </si>
  <si>
    <t>滨州益康医药连锁有限公司邹平县黛溪一路店</t>
  </si>
  <si>
    <t>好生街道办乔家中心卫生室</t>
  </si>
  <si>
    <t>滨州益康医药连锁有限公司邹平县第四药店</t>
  </si>
  <si>
    <t>开发区韩峰卫生室</t>
  </si>
  <si>
    <t>明集镇宋集中心卫生室</t>
  </si>
  <si>
    <t>黄山办碑楼中心卫生室</t>
  </si>
  <si>
    <t>滨州九芝康医药有限公司</t>
  </si>
  <si>
    <t>山东广富集团有限公司医务室</t>
  </si>
  <si>
    <t>姜楼镇王判村卫生室</t>
  </si>
  <si>
    <t>高新办邹魏一园第一中心卫生室</t>
  </si>
  <si>
    <t>惠民县旺康医药有限公司</t>
  </si>
  <si>
    <t>台子镇联七中心卫生室</t>
  </si>
  <si>
    <t>码头镇大寨中心卫生室</t>
  </si>
  <si>
    <t>台子镇沙窝中心卫生室</t>
  </si>
  <si>
    <t>邹平县魏桥镇吴庄中心卫生室</t>
  </si>
  <si>
    <t>黛溪办北范中心卫生室</t>
  </si>
  <si>
    <t>黛溪办马庄中心卫生室</t>
  </si>
  <si>
    <t>魏桥镇官牛村李金峰卫生室</t>
  </si>
  <si>
    <t>西董街道办事处南石中心卫生室</t>
  </si>
  <si>
    <t>邹平县魏桥镇辛梁中心卫生室</t>
  </si>
  <si>
    <t>邹平县好生镇苗家中心卫生室</t>
  </si>
  <si>
    <t>黛溪办张高中心卫生室</t>
  </si>
  <si>
    <t>魏桥镇张家寨村王露霞卫生室</t>
  </si>
  <si>
    <t>魏桥镇西码头中心卫生室</t>
  </si>
  <si>
    <t>魏桥镇清河一路第一中心卫生室</t>
  </si>
  <si>
    <t>魏桥镇甜水中心卫生室</t>
  </si>
  <si>
    <t>黄山办韩家中心卫生室</t>
  </si>
  <si>
    <t>长山镇杨家中心卫生室</t>
  </si>
  <si>
    <t>博兴益康诊所</t>
  </si>
  <si>
    <t>黛溪办韦家中心卫生室</t>
  </si>
  <si>
    <t>邹平县好生镇金河中心卫生室</t>
  </si>
  <si>
    <t>焦桥镇爱贤村袁训强卫生室</t>
  </si>
  <si>
    <t>黛溪办前城中心卫生室</t>
  </si>
  <si>
    <t>明集镇罗圈中心卫生室</t>
  </si>
  <si>
    <t>邹平县长山镇东尉中心卫生室</t>
  </si>
  <si>
    <t>焦桥镇西夏村卫生室</t>
  </si>
  <si>
    <t>博兴县兴福镇福旺社区卫生室</t>
  </si>
  <si>
    <t>黄山办小杨堤村卫生室</t>
  </si>
  <si>
    <t>辛店镇庄里巩村卫生室</t>
  </si>
  <si>
    <t>惠民新医诊所</t>
  </si>
  <si>
    <t>孙武街道付家村卫生室</t>
  </si>
  <si>
    <t>长山镇甘埠中心卫生室</t>
  </si>
  <si>
    <t>孙镇大小三中心卫生室</t>
  </si>
  <si>
    <t>博兴县城东街道北辛安社区卫生室</t>
  </si>
  <si>
    <t>魏桥镇辛刘前中心卫生室</t>
  </si>
  <si>
    <t>黛溪办韩坊中心卫生室</t>
  </si>
  <si>
    <t>辛店镇毛李村卫生室</t>
  </si>
  <si>
    <t>黛溪办滕家中心卫生室</t>
  </si>
  <si>
    <t>胡集镇河沟陈村卫生室</t>
  </si>
  <si>
    <t>魏桥镇梁桥中心卫生室</t>
  </si>
  <si>
    <t>高新办明珠新村卫生室</t>
  </si>
  <si>
    <t>台子镇教场村苏美方卫生室</t>
  </si>
  <si>
    <t>台子镇张石辛中心卫生室</t>
  </si>
  <si>
    <t>邹平县润福堂医药有限公司</t>
  </si>
  <si>
    <t>黄山办城南中心卫生室</t>
  </si>
  <si>
    <t>明集镇成家村王玉华卫生室</t>
  </si>
  <si>
    <t>九户镇九户中心卫生室</t>
  </si>
  <si>
    <t>黄山办石凡鲁中心卫生室</t>
  </si>
  <si>
    <t>黛溪办三八街中心卫生室</t>
  </si>
  <si>
    <t>大年陈镇禹王口村卫生室</t>
  </si>
  <si>
    <t>邹平县韩店镇肖镇中心卫生室</t>
  </si>
  <si>
    <t>码头镇大杨中心卫生室</t>
  </si>
  <si>
    <t>码头镇孟家中心卫生室</t>
  </si>
  <si>
    <t>九户镇成家中心卫生室</t>
  </si>
  <si>
    <t>黄山办黄西村卫生室</t>
  </si>
  <si>
    <t>明集镇兰芝里中心卫生室</t>
  </si>
  <si>
    <t>台子镇宋四排中心卫生室</t>
  </si>
  <si>
    <t>九户镇石店中心卫生室</t>
  </si>
  <si>
    <t>明集镇颜集中心卫生室</t>
  </si>
  <si>
    <t>台子镇北董中心卫生室</t>
  </si>
  <si>
    <t>滨州北海公建投资有限公司医务室</t>
  </si>
  <si>
    <t>韩店镇颜桥村卫生室</t>
  </si>
  <si>
    <t>魏桥镇田李靳中心卫生室</t>
  </si>
  <si>
    <t>邹平县东城职工医院</t>
  </si>
  <si>
    <t>邹平祥盛针灸推拿专科医院</t>
  </si>
  <si>
    <t>明集镇邢家村卫生室</t>
  </si>
  <si>
    <t>惠民县瑞堂大药房</t>
  </si>
  <si>
    <t>滨州益康医药连锁有限公司孙镇店</t>
  </si>
  <si>
    <t>博兴县陈户镇福百仁大药房</t>
  </si>
  <si>
    <t>滨州宁心医药有限公司</t>
  </si>
  <si>
    <t xml:space="preserve">邹平县方正医药有限公司 </t>
  </si>
  <si>
    <t>滨城安新岐诊所</t>
  </si>
  <si>
    <t>商店镇北街社区卫生室</t>
  </si>
  <si>
    <t>邹平园春堂医药有限公司</t>
  </si>
  <si>
    <t>滨州盛泰医药连锁有限公司</t>
  </si>
  <si>
    <t>商店镇王朝正社区卫生室</t>
  </si>
  <si>
    <t>惠民县舒泰大药房有限公司</t>
  </si>
  <si>
    <t>流坡坞镇闫家社区卫生室</t>
  </si>
  <si>
    <t>水落坡乡郭马社区卫生室</t>
  </si>
  <si>
    <t>大洋集团诊所</t>
  </si>
  <si>
    <t>圣济堂医药连锁有限公司</t>
  </si>
  <si>
    <t>无棣县埕口镇万豪药店</t>
  </si>
  <si>
    <t>滨城张秀兰诊所</t>
  </si>
  <si>
    <t>翟王镇于张社区卫生室</t>
  </si>
  <si>
    <t>关帝庙街卫生室</t>
  </si>
  <si>
    <t>滨城区市中办事处万全社区卫生服务站</t>
  </si>
  <si>
    <t>劳店乡西街村卫生室</t>
  </si>
  <si>
    <t>翟王镇穆家社区卫生室</t>
  </si>
  <si>
    <t>滨城区市西街道办事处社区卫生服务站</t>
  </si>
  <si>
    <t>惠民县仁春医药有限公司</t>
  </si>
  <si>
    <t>阳信豪门社区卫生室</t>
  </si>
  <si>
    <t>阳信便民诊所</t>
  </si>
  <si>
    <t>阳信荣军医院</t>
  </si>
  <si>
    <t>惠民县桑落墅镇弘轩大药房</t>
  </si>
  <si>
    <t>阳信荣军诊所</t>
  </si>
  <si>
    <t>信城街道西关社区卫生室</t>
  </si>
  <si>
    <t>沾化区古城镇李彭中心卫生室</t>
  </si>
  <si>
    <t>水落坡乡钦八社区卫生室</t>
  </si>
  <si>
    <t>水落坡乡河北刘社区卫生室</t>
  </si>
  <si>
    <t>水落坡乡水落坡村第二卫生室</t>
  </si>
  <si>
    <t>沾化济生堂大药房连锁有限公司</t>
  </si>
  <si>
    <t>滨州市靖和堂大药房医药连锁有限公司</t>
  </si>
  <si>
    <t>滨州市滨城区市中街道办事处便民社区卫生服务站</t>
  </si>
  <si>
    <t>无棣锦绣城诊所</t>
  </si>
  <si>
    <t>商店镇大韩社区卫生室</t>
  </si>
  <si>
    <t>阳信康复中心诊所</t>
  </si>
  <si>
    <t>滨州市沾化区协和大药店</t>
  </si>
  <si>
    <t>沾化三易诊所</t>
  </si>
  <si>
    <t>商店镇西毛社区卫生室</t>
  </si>
  <si>
    <t>阳信镇行宫庙村卫生室</t>
  </si>
  <si>
    <t>康源诊所</t>
  </si>
  <si>
    <t>滨州市滨城区彭李街道办事处阳光社区卫生服务站</t>
  </si>
  <si>
    <t>滨州康杰大药房有限责任公司</t>
  </si>
  <si>
    <t>山东省惠民县民康大药店有限公司</t>
  </si>
  <si>
    <t>文化街康民卫生室</t>
  </si>
  <si>
    <t>惠民仁和堂诊所</t>
  </si>
  <si>
    <t>滨州康乐医药连锁有限公司</t>
  </si>
  <si>
    <t>阳信县商店镇台属大药房</t>
  </si>
  <si>
    <t>滨州恒丰仁和医药连锁有限责任公司</t>
  </si>
  <si>
    <t>惠民润德堂诊所</t>
  </si>
  <si>
    <t>博兴县德仁堂大药房连锁有限公司</t>
  </si>
  <si>
    <t>阳信尔康诊所</t>
  </si>
  <si>
    <t>滨州市益生园大药房连锁有限公司</t>
  </si>
  <si>
    <t>沙河钟芹诊所</t>
  </si>
  <si>
    <t>市中街道办事处济民社区卫生服务站</t>
  </si>
  <si>
    <t>惠民永康诊所</t>
  </si>
  <si>
    <t>阳信县商店镇瑞康平民药店</t>
  </si>
  <si>
    <t>阳信县第二中学卫生室</t>
  </si>
  <si>
    <t>博兴县济生堂大药店</t>
  </si>
  <si>
    <t>水落坡镇天主教堂卫生室</t>
  </si>
  <si>
    <t>流坡坞镇南斜村卫生室</t>
  </si>
  <si>
    <t>博兴县康源大药房有限公司</t>
  </si>
  <si>
    <t>惠民县新花大药房连锁有限公司</t>
  </si>
  <si>
    <t>洋湖乡纪刘社区卫生室</t>
  </si>
  <si>
    <t>阳信县天天平价医药连锁有限公司</t>
  </si>
  <si>
    <t>博兴县济生堂大药店旗舰店</t>
  </si>
  <si>
    <t>流坡坞镇红门堂村卫生室</t>
  </si>
  <si>
    <t>孙武街道马虎村卫生室</t>
  </si>
  <si>
    <t>惠民县敬文大药房</t>
  </si>
  <si>
    <t>水落坡乡大郭社区卫生室</t>
  </si>
  <si>
    <t>滨州市沾化区为民医药连锁有限公司</t>
  </si>
  <si>
    <t>滨州市沾化区泊头镇卫生院</t>
  </si>
  <si>
    <t>阳信药材公司诊所</t>
  </si>
  <si>
    <t>三胞联谊诊所</t>
  </si>
  <si>
    <t>阳信镇段赵村卫生室</t>
  </si>
  <si>
    <t>欣康诊所</t>
  </si>
  <si>
    <t>河流镇沙王村社区卫生室</t>
  </si>
  <si>
    <t>滨州市滨城区妇幼保健站</t>
  </si>
  <si>
    <t>滨城区市西街道办事处双庙刘第一卫生室</t>
  </si>
  <si>
    <t>滨城区市西办事处大有崔第三卫生室</t>
  </si>
  <si>
    <t>博兴县城东街道办事处国康大药房</t>
  </si>
  <si>
    <t>孙武街道后娘娘坟村卫生室</t>
  </si>
  <si>
    <t>阳信县河流镇餐具厂卫生所</t>
  </si>
  <si>
    <t>无棣万盛堂药店连锁有限公司</t>
  </si>
  <si>
    <t>博兴县仁益大药房</t>
  </si>
  <si>
    <t>滨城曹淑玲诊所</t>
  </si>
  <si>
    <t>滨州市滨城区市西街道办事处利民社区第二卫生服务站</t>
  </si>
  <si>
    <t>惠民县广军康宁大药房有限公司</t>
  </si>
  <si>
    <t>阳信赵家胡同中医诊所</t>
  </si>
  <si>
    <t>惠民县汉康大药房</t>
  </si>
  <si>
    <t>邹平县泰康大药房有限公司</t>
  </si>
  <si>
    <t>邹平仁济堂医药有限公司</t>
  </si>
  <si>
    <t>滨城翟玲诊所</t>
  </si>
  <si>
    <t>邹平博祥医药连锁有限公司</t>
  </si>
  <si>
    <t>水落坡镇秦家社区卫生室</t>
  </si>
  <si>
    <t>信诚街道接官亭村第一卫生室</t>
  </si>
  <si>
    <t>阳信县仁和堂医药连锁有限公司</t>
  </si>
  <si>
    <t>桑落墅镇梁家村卫生室</t>
  </si>
  <si>
    <t>高新国峰诊所</t>
  </si>
  <si>
    <t>无棣康棣医药连锁有限公司</t>
  </si>
  <si>
    <t>无棣益生堂药店连锁有限公司</t>
  </si>
  <si>
    <t>苏氏诊所</t>
  </si>
  <si>
    <t>滨城韩吉福诊所</t>
  </si>
  <si>
    <t>滨州市沾化区下河乡卫生院</t>
  </si>
  <si>
    <t>沾化县康宁诊所</t>
  </si>
  <si>
    <t>水落坡乡长庄社区卫生室</t>
  </si>
  <si>
    <t>冯家庙村卫生室</t>
  </si>
  <si>
    <t>沾化区黄升镇黄四中心卫生室</t>
  </si>
  <si>
    <t>惠民县康复大药堂</t>
  </si>
  <si>
    <t>博兴县康宁大药房</t>
  </si>
  <si>
    <t>博兴县康宁大药房旗舰店</t>
  </si>
  <si>
    <t>温店镇辛法张社区卫生室</t>
  </si>
  <si>
    <t>山东惠民县仁爱大药房连锁有限公司</t>
  </si>
  <si>
    <t>滨州高新区康福大药店</t>
  </si>
  <si>
    <t>滨城赵全红中医诊所</t>
  </si>
  <si>
    <t>阳信福瑞源大药房</t>
  </si>
  <si>
    <t>阳信镇北关中心卫生室</t>
  </si>
  <si>
    <t>沾化国瑞医药连锁有限责任公司</t>
  </si>
  <si>
    <t>滨州市滨城区国美大药房有限公司</t>
  </si>
  <si>
    <t>无棣福顺康大药房</t>
  </si>
  <si>
    <t>滨城刘虎中医诊所</t>
  </si>
  <si>
    <t>商店镇商店第一社区卫生室</t>
  </si>
  <si>
    <t>山东省惠民县梦之康大药房连锁有限公司</t>
  </si>
  <si>
    <t>洋湖乡张扬社区卫生室</t>
  </si>
  <si>
    <t>阳信镇霍楼社区卫生室</t>
  </si>
  <si>
    <t>棉纺诊所</t>
  </si>
  <si>
    <t>惠民广益堂诊所</t>
  </si>
  <si>
    <t>惠民县古城药房</t>
  </si>
  <si>
    <t>滨州鲁恒眼科医院</t>
  </si>
  <si>
    <t>惠民县春英大药房</t>
  </si>
  <si>
    <t>高新区小营社区门诊</t>
  </si>
  <si>
    <t>商店镇张连范社区卫生室</t>
  </si>
  <si>
    <t>邹平县宏盛堂大药店</t>
  </si>
  <si>
    <t>商店镇魏宅社区卫生室</t>
  </si>
  <si>
    <t>杜店刘桂然诊所</t>
  </si>
  <si>
    <t>黄山办乔木新村卫生室</t>
  </si>
  <si>
    <t>邹平孙辉诊所</t>
  </si>
  <si>
    <t>流坡坞镇南街社区卫生室</t>
  </si>
  <si>
    <t>滨城区彭李街道办事处张课第一卫生室</t>
  </si>
  <si>
    <t>滨城区市西街道办事处兴民社区卫生服务站</t>
  </si>
  <si>
    <t>邹平惠康医药有限公司</t>
  </si>
  <si>
    <t>滨州市滨城区彭李街道办事处安民社区卫生服务站</t>
  </si>
  <si>
    <t xml:space="preserve">水落坡镇水落坡街村南卫生室 </t>
  </si>
  <si>
    <t>博兴县福康大药房</t>
  </si>
  <si>
    <t>滨州市沾化区中医院</t>
  </si>
  <si>
    <t>水落坡乡郭赵湾社区卫生室</t>
  </si>
  <si>
    <t>水落坡乡五支刘社区卫生室</t>
  </si>
  <si>
    <t>山东滨州万寿堂医药有限公司万寿堂大药房</t>
  </si>
  <si>
    <t>滨州市修正堂医药有限公司</t>
  </si>
  <si>
    <t>惠民县淄角镇东街本草堂药店</t>
  </si>
  <si>
    <t>惠民温博园诊所</t>
  </si>
  <si>
    <t>邹平县韩店镇仁源堂药店</t>
  </si>
  <si>
    <t>黛溪办鄢家村卫生室</t>
  </si>
  <si>
    <t>无棣县聚福堂药店连锁有限公司</t>
  </si>
  <si>
    <t>洋湖乡魏楼社区卫生室</t>
  </si>
  <si>
    <t>无棣汇仁堂药店</t>
  </si>
  <si>
    <t>阳信县济康大药房</t>
  </si>
  <si>
    <t>恒泰社区卫生室</t>
  </si>
  <si>
    <t>河流镇户李村社区卫生室</t>
  </si>
  <si>
    <t>滨城陈树勇诊所</t>
  </si>
  <si>
    <t>河流镇西孟社区卫生室</t>
  </si>
  <si>
    <t>滨州市滨城区康宁药店有限公司</t>
  </si>
  <si>
    <t>阳信县劳店健民大药房</t>
  </si>
  <si>
    <t>滨城区市西街道办事处魏家卫生室</t>
  </si>
  <si>
    <t>滨城万寿堂医院</t>
  </si>
  <si>
    <t>杜店蒋秀芬诊所</t>
  </si>
  <si>
    <t>刘立波诊所</t>
  </si>
  <si>
    <t>滨城谢凤树诊所</t>
  </si>
  <si>
    <t>居民诊所</t>
  </si>
  <si>
    <t xml:space="preserve">阳信人民诊所  </t>
  </si>
  <si>
    <t>惠民县益达康大药房连锁有限公司</t>
  </si>
  <si>
    <t>阳信镇西关村第二卫生室</t>
  </si>
  <si>
    <t>贾家台村卫生室</t>
  </si>
  <si>
    <t>流坡坞镇西苟社区卫生室</t>
  </si>
  <si>
    <t>滨城区市西街道办事处丁口第三卫生室</t>
  </si>
  <si>
    <t>滨城区市西街道办事处康家卫生室</t>
  </si>
  <si>
    <t>滨州市沾化区益生堂大药房有限公司</t>
  </si>
  <si>
    <t>何坊街道香翟村卫生室</t>
  </si>
  <si>
    <t>水落坡乡雷家社区卫生室</t>
  </si>
  <si>
    <t>信诚街道办事处东南村卫生室</t>
  </si>
  <si>
    <t>滨州市滨城区含芳药店</t>
  </si>
  <si>
    <t>滨城朱林诊所</t>
  </si>
  <si>
    <t>博兴县永康药店</t>
  </si>
  <si>
    <t>邹平高涛中医诊所</t>
  </si>
  <si>
    <t>滨州市万全医药保健品连锁有限公司</t>
  </si>
  <si>
    <t>靖和堂医药花园新城诊所</t>
  </si>
  <si>
    <t>阳信镇侯家社区卫生室</t>
  </si>
  <si>
    <t>惠民县东涛大药房</t>
  </si>
  <si>
    <t>阳信县百姓大药房医药连锁有限公司</t>
  </si>
  <si>
    <t>惠民县众可万寿堂大药房连锁有限公司</t>
  </si>
  <si>
    <t>博兴县盛和堂大药店</t>
  </si>
  <si>
    <t>滨州市滨城区彭李街道办事处黄河社区卫生服务站</t>
  </si>
  <si>
    <t>孙武街道高官村卫生室</t>
  </si>
  <si>
    <t>滨州市精诚便民医药连锁有限公司</t>
  </si>
  <si>
    <t>滨州市滨城区泰华堂大药房</t>
  </si>
  <si>
    <t>滨州益民堂大药房有限公司</t>
  </si>
  <si>
    <t>何坊街道王官村卫生室</t>
  </si>
  <si>
    <t>金阳街道张杠社区卫生室</t>
  </si>
  <si>
    <t>滨城区市西街道办事处张八棍第四卫生室</t>
  </si>
  <si>
    <t>邹平仁益医药连锁有限公司</t>
  </si>
  <si>
    <t>无棣县益寿康大药房</t>
  </si>
  <si>
    <t>滨城王洪波诊所</t>
  </si>
  <si>
    <t>翟王镇粉刘中心卫生室</t>
  </si>
  <si>
    <t>商店镇小桑园区第一社区卫生室</t>
  </si>
  <si>
    <t>博兴县德康大药店</t>
  </si>
  <si>
    <t>滨州市第一中学卫生室</t>
  </si>
  <si>
    <t>山东弘旭医药连锁经营有限公司</t>
  </si>
  <si>
    <t>滨城赵淑潭诊所</t>
  </si>
  <si>
    <t>滨州市滨源医药连锁有限公司</t>
  </si>
  <si>
    <t>振邦诊所</t>
  </si>
  <si>
    <t>麻店镇麻店街卫生所</t>
  </si>
  <si>
    <t>利津曙光诊所</t>
  </si>
  <si>
    <t>邹平百盛医药连锁有限公司</t>
  </si>
  <si>
    <t>高新区小营办事处愉悦城中心卫生室</t>
  </si>
  <si>
    <t>山东张氏君安医药有限公司</t>
  </si>
  <si>
    <t>市东办事处福临家园社区卫生服务站</t>
  </si>
  <si>
    <t>高青县天德堂药店</t>
  </si>
  <si>
    <t>博兴县康惠大药房</t>
  </si>
  <si>
    <t>博兴县瑞康药房</t>
  </si>
  <si>
    <t>西门街卫生室</t>
  </si>
  <si>
    <t>滨城区市东街道办事处郑家第一卫生室</t>
  </si>
  <si>
    <t>国昌控股集团有限公司医务室</t>
  </si>
  <si>
    <t>博兴县陈户镇春梅便民药店</t>
  </si>
  <si>
    <t>博兴县济生堂大药房旗舰店</t>
  </si>
  <si>
    <t>滨州市住房和城乡建设局卫生所</t>
  </si>
  <si>
    <t>邹平县金正医药连锁有限公司</t>
  </si>
  <si>
    <t>高新办魏纺路路北卫生室</t>
  </si>
  <si>
    <t>滨州市厚德医药有限公司</t>
  </si>
  <si>
    <t>河口胜利药店第二药店</t>
  </si>
  <si>
    <t>河口廷胜诊所</t>
  </si>
  <si>
    <t>滨城区市东街道办事处天王堂第一卫生室</t>
  </si>
  <si>
    <t>山东京博控股股份有限公司京博雅苑卫生室</t>
  </si>
  <si>
    <t>山东京博控股股份有限公司工业园卫生室</t>
  </si>
  <si>
    <t>滨城赵玉芬诊所</t>
  </si>
  <si>
    <t>滨州市北海经济开发区马山子镇济堂药店</t>
  </si>
  <si>
    <t>滨州职业学院附属医院</t>
  </si>
  <si>
    <t>博兴县陈户镇桥子村卫生室</t>
  </si>
  <si>
    <t>滨州市滨城区市西办事处春晖社区卫生服务站</t>
  </si>
  <si>
    <t>滨城区市东街道办事处沙家第一卫生室</t>
  </si>
  <si>
    <t>滨城区三河湖镇曹桥村卫生室</t>
  </si>
  <si>
    <t>邹平县方正医药有限公司</t>
  </si>
  <si>
    <t>滨城区滨北街道办事处利民社区卫生服务站</t>
  </si>
  <si>
    <t>滨州济民堂医药有限公司</t>
  </si>
  <si>
    <t>滨城区北镇街道办事处化工社区卫生服务站</t>
  </si>
  <si>
    <t>山东京博控股股份有限公司京博和谐家园卫生室</t>
  </si>
  <si>
    <t>山东无棣医药公司</t>
  </si>
  <si>
    <t>刁口乡兴牧村卫生室</t>
  </si>
  <si>
    <t>滨城区市西街道办事处徐家第二卫生室</t>
  </si>
  <si>
    <t>滨北办事处梧桐社区卫生服务站</t>
  </si>
  <si>
    <t>惠民县泓景大药房有限公司</t>
  </si>
  <si>
    <t>惠民县舒敏大药房</t>
  </si>
  <si>
    <t>滨州晟滨医药有限公司</t>
  </si>
  <si>
    <t>滨城区市东街道办事处北郝第二卫生室</t>
  </si>
  <si>
    <t>北海新区泰和祥药店</t>
  </si>
  <si>
    <t>利津县天德堂大药房有限公司</t>
  </si>
  <si>
    <t>滨城魏玲玲诊所</t>
  </si>
  <si>
    <t>滨州市回春堂大药店有限公司</t>
  </si>
  <si>
    <t>沾化区冯家镇王尔庄中心卫生室</t>
  </si>
  <si>
    <t>滨城区杨柳雪镇大唐村卫生室</t>
  </si>
  <si>
    <t>滨城区市东街道办事处宣家第一卫生室</t>
  </si>
  <si>
    <t>无棣棣城医院</t>
  </si>
  <si>
    <t>滨州市滨城区康慧药店</t>
  </si>
  <si>
    <t>无棣县佘家镇顺昌百姓大药房</t>
  </si>
  <si>
    <t>滨城李延花诊所</t>
  </si>
  <si>
    <t>杜店王会宾诊所</t>
  </si>
  <si>
    <t>博兴县庞家镇民生大药店旗舰店</t>
  </si>
  <si>
    <t>滨城王欣铸诊所</t>
  </si>
  <si>
    <t>彭李街道办事处为民社区卫生服务站</t>
  </si>
  <si>
    <t>阳信县商店镇小桑卫生院</t>
  </si>
  <si>
    <t>彭李办事处田园牧歌社区卫生服务站</t>
  </si>
  <si>
    <t>杜店吕钰诊所</t>
  </si>
  <si>
    <t>利津县北宋镇祥和药店</t>
  </si>
  <si>
    <t>惠民康民诊所</t>
  </si>
  <si>
    <t>博兴县店子镇同济堂大药店</t>
  </si>
  <si>
    <t>惠民县宝芝林医药连锁有限公司</t>
  </si>
  <si>
    <t>滨州市沾化区鲁康医药连锁有限公司</t>
  </si>
  <si>
    <t>连锁27店</t>
  </si>
  <si>
    <t>连锁19店</t>
  </si>
  <si>
    <t>连锁13店</t>
  </si>
  <si>
    <t>连锁5店</t>
  </si>
  <si>
    <t>连锁11店</t>
  </si>
  <si>
    <t>连锁29店</t>
  </si>
  <si>
    <t>连锁39店</t>
  </si>
  <si>
    <t>连锁34店</t>
  </si>
  <si>
    <t>中心店</t>
  </si>
  <si>
    <t>连锁36店</t>
  </si>
  <si>
    <t>连锁15店</t>
  </si>
  <si>
    <t>连锁16店</t>
  </si>
  <si>
    <t>连锁12店</t>
  </si>
  <si>
    <t>连锁32店</t>
  </si>
  <si>
    <t>连锁37店</t>
  </si>
  <si>
    <t>连锁3店</t>
  </si>
  <si>
    <t>连锁10店</t>
  </si>
  <si>
    <t>连锁1店</t>
  </si>
  <si>
    <t>连锁45店</t>
  </si>
  <si>
    <t>连锁47店</t>
  </si>
  <si>
    <t>连锁7店</t>
  </si>
  <si>
    <t>连锁35店</t>
  </si>
  <si>
    <t>连锁42店</t>
  </si>
  <si>
    <t>连锁17店</t>
  </si>
  <si>
    <t>连锁14店</t>
  </si>
  <si>
    <t>连锁33店</t>
  </si>
  <si>
    <t>连锁43店</t>
  </si>
  <si>
    <t>连锁31店</t>
  </si>
  <si>
    <t>连锁18店</t>
  </si>
  <si>
    <t>连锁6店</t>
  </si>
  <si>
    <t>连锁26店</t>
  </si>
  <si>
    <t>连锁51店</t>
  </si>
  <si>
    <t>连锁20店</t>
  </si>
  <si>
    <t>滨16店</t>
  </si>
  <si>
    <t>滨17店</t>
  </si>
  <si>
    <t>滨6店</t>
  </si>
  <si>
    <t>滨旗舰店</t>
  </si>
  <si>
    <t>连锁40店</t>
  </si>
  <si>
    <t>连锁9店</t>
  </si>
  <si>
    <t>连锁23店</t>
  </si>
  <si>
    <t>连锁21店</t>
  </si>
  <si>
    <t>连锁24店</t>
  </si>
  <si>
    <t>连锁41店</t>
  </si>
  <si>
    <t>连锁50店</t>
  </si>
  <si>
    <t>连锁52店</t>
  </si>
  <si>
    <t>滨3店</t>
  </si>
  <si>
    <t>连锁38店</t>
  </si>
  <si>
    <t>连锁25店</t>
  </si>
  <si>
    <t>连锁28店</t>
  </si>
  <si>
    <t>连锁4店</t>
  </si>
  <si>
    <t>连锁22店</t>
  </si>
  <si>
    <t>连锁49店</t>
  </si>
  <si>
    <t>滨11店</t>
  </si>
  <si>
    <t>连锁2店</t>
  </si>
  <si>
    <t>连锁30店</t>
  </si>
  <si>
    <t>滨15店</t>
  </si>
  <si>
    <t>滨1店</t>
  </si>
  <si>
    <t>连锁8店</t>
  </si>
  <si>
    <t>连锁46店</t>
  </si>
  <si>
    <t>陵城区滋镇中心卫生院</t>
  </si>
  <si>
    <t>博山区机关卫生所</t>
  </si>
  <si>
    <t>菏泽九州通医药有限公司</t>
  </si>
  <si>
    <t>泰山区上高街道社区卫生服务中心</t>
  </si>
  <si>
    <t>济阳县孙耿街道办事处社区卫生服务中心</t>
  </si>
  <si>
    <t>济南市天桥区制锦市街道办事处社区卫生服务中心</t>
  </si>
  <si>
    <t>济南市历下区智远办事处盛福社区卫生服务中心</t>
  </si>
  <si>
    <t>济南市市中区舜耕街道办事处阳光舜城社区卫生服务站</t>
  </si>
  <si>
    <t>济南市历城区华山街道办事处社区卫生服务中心</t>
  </si>
  <si>
    <t>济南市天桥区大桥镇卫生院</t>
  </si>
  <si>
    <t>平阴县孔村镇卫生院</t>
  </si>
  <si>
    <t>潍坊市寒亭区朱里街道河滩卫生院</t>
  </si>
  <si>
    <t>乐陵市朱集镇中心卫生院</t>
  </si>
  <si>
    <t>临朐县冶源中心卫生院杨善分院</t>
  </si>
  <si>
    <t>陵城区徽王庄镇官道孙卫生院</t>
  </si>
  <si>
    <t>陵县糜镇张习桥卫生院</t>
  </si>
  <si>
    <t>济南市历城区唐王镇卫生院</t>
  </si>
  <si>
    <t>青州市何官卫生院分院</t>
  </si>
  <si>
    <t>商河县贾庄镇卫生院</t>
  </si>
  <si>
    <t>新泰市刘杜中心卫生院</t>
  </si>
  <si>
    <t>乐陵市杨安镇中心卫生院</t>
  </si>
  <si>
    <t>陵城区陵城镇刘泮卫生院</t>
  </si>
  <si>
    <t>齐河县祝阿镇卫生院</t>
  </si>
  <si>
    <t>德州经济技术开发区赵虎镇中心卫生院</t>
  </si>
  <si>
    <t>新泰市汶南中心卫生院</t>
  </si>
  <si>
    <t>新泰市龙廷中心卫生院</t>
  </si>
  <si>
    <t>夏津县郑保屯镇卫生院</t>
  </si>
  <si>
    <t>济生堂中心店</t>
  </si>
  <si>
    <t>济生堂冯家店</t>
  </si>
  <si>
    <t>济生堂清华园店</t>
  </si>
  <si>
    <t>济生堂龙居店</t>
  </si>
  <si>
    <t>济生堂永丰店</t>
  </si>
  <si>
    <t>济生堂环宇店</t>
  </si>
  <si>
    <t>济生堂下洼店</t>
  </si>
  <si>
    <t>济生堂昌盛店</t>
  </si>
  <si>
    <t>济生堂广场店</t>
  </si>
  <si>
    <t>济生堂体育场店</t>
  </si>
  <si>
    <t>济生堂济仁堂店</t>
  </si>
  <si>
    <t>济生堂富桥店</t>
  </si>
  <si>
    <t>济生堂影院店</t>
  </si>
  <si>
    <t>济生堂富国店</t>
  </si>
  <si>
    <t>济生堂同济店</t>
  </si>
  <si>
    <t>济生堂金康店</t>
  </si>
  <si>
    <t>济生堂金海店</t>
  </si>
  <si>
    <t>济生堂新华店</t>
  </si>
  <si>
    <t>济生堂冯家二店</t>
  </si>
  <si>
    <t>济生堂新合作店</t>
  </si>
  <si>
    <t>济生堂王见南店</t>
  </si>
  <si>
    <t>济生堂大高店</t>
  </si>
  <si>
    <t>济生堂明珠店</t>
  </si>
  <si>
    <t>济生堂富城店</t>
  </si>
  <si>
    <t>滨州经济开发区杜店街道社区卫生服务中心</t>
  </si>
  <si>
    <t>惠民县人民医院（北）</t>
  </si>
  <si>
    <t>韩店镇旧口中心卫生室</t>
  </si>
  <si>
    <t>邹平李杰章诊所</t>
  </si>
  <si>
    <t>长山镇东南中心卫生室</t>
  </si>
  <si>
    <t>孙镇曹王村何玉民卫生室</t>
  </si>
  <si>
    <t>山东魏桥创业集团第一工业园医务室</t>
  </si>
  <si>
    <t>滨州益康医药连锁有限公司邹平县魏桥益民店</t>
  </si>
  <si>
    <t>明集镇段桥中心卫生室</t>
  </si>
  <si>
    <t>长山镇大丁村孔向阳卫生室</t>
  </si>
  <si>
    <t>淄角镇前韩村卫生室</t>
  </si>
  <si>
    <t>魏桥镇东码头中心卫生室</t>
  </si>
  <si>
    <t>明集镇开发区中心卫生室</t>
  </si>
  <si>
    <t>高新办盖家村卫生室</t>
  </si>
  <si>
    <t>滨州市滨城区市立医院</t>
  </si>
  <si>
    <t>博兴县健民大药房</t>
  </si>
  <si>
    <t>孙武街道世纪园诊所</t>
  </si>
  <si>
    <t>大年陈乡中心卫生院（基药）</t>
  </si>
  <si>
    <t>滨州百佳妇产医院</t>
  </si>
  <si>
    <t>滨城济滨医院</t>
  </si>
  <si>
    <t>利津县万德福大药房</t>
  </si>
  <si>
    <t>滨城区杨柳雪镇小唐村卫生室</t>
  </si>
  <si>
    <t>惠民县康舒大药房</t>
  </si>
  <si>
    <t>滨城区市东街道办事处郑家第三卫生室</t>
  </si>
  <si>
    <t>滨州市瑞丰医药连锁经营有限责任公司</t>
  </si>
  <si>
    <t>滨城刘利剑中医诊所</t>
  </si>
  <si>
    <t>滨城瑞慷医院</t>
  </si>
  <si>
    <t>滨城区市西街道办事处张八棍第二卫生室</t>
  </si>
  <si>
    <t>西南街卫生室</t>
  </si>
  <si>
    <t>滨州市滨城区彭李街道办事处北海社区卫生服务站</t>
  </si>
  <si>
    <t>滨城区市西街道办事处李口卫生室</t>
  </si>
  <si>
    <t>瑞康诊所</t>
  </si>
  <si>
    <t>吴苟李村卫生室</t>
  </si>
  <si>
    <t>滨城区彭李街道办事处海河社区卫生服务站</t>
  </si>
  <si>
    <t>滨城孙红霞诊所</t>
  </si>
  <si>
    <t>淄博瑞和医药销售有限公司</t>
  </si>
  <si>
    <t>滨城区彭李街道办事处菜刘卫生室</t>
  </si>
  <si>
    <t>滨城谭桂英诊所</t>
  </si>
  <si>
    <t>滨城区市东街道办事处北杨第三卫生室</t>
  </si>
  <si>
    <t>杜店李岷山诊所</t>
  </si>
  <si>
    <t>滨城庞真真诊所</t>
  </si>
  <si>
    <t>滨城区彭李街道办事处府前社区卫生服务站</t>
  </si>
  <si>
    <t>滨城区市东街道办事处清怡社区卫生服务站</t>
  </si>
  <si>
    <t>市东办事处华天社区卫生服务站</t>
  </si>
  <si>
    <t>滨州市滨城区彭李街道办事处平民社区卫生服务站</t>
  </si>
  <si>
    <t>滨城苏娟诊所</t>
  </si>
  <si>
    <t>滨城区市东街道办事处南蔺卫生室</t>
  </si>
  <si>
    <t>滨城区市东街道办事处常家第一卫生室</t>
  </si>
  <si>
    <t>阳信县益寿康大药房有限公司</t>
  </si>
  <si>
    <t>利津县仁益堂药店</t>
  </si>
  <si>
    <t>滨城杨海虹诊所</t>
  </si>
  <si>
    <t>杜店李俊杰诊所</t>
  </si>
  <si>
    <t>山东民泰大药房连锁有限公司</t>
  </si>
  <si>
    <t>惠民县古城药房第一分店</t>
  </si>
  <si>
    <t>惠民县瑞安康大药房</t>
  </si>
  <si>
    <t>滨城区彭李街道办事处卜家卫生室</t>
  </si>
  <si>
    <t>滨城王全枝诊所</t>
  </si>
  <si>
    <t>商店镇张寨社区卫生室</t>
  </si>
  <si>
    <t>滨城区彭李街道办事处山柳杜第一卫生室</t>
  </si>
  <si>
    <t>滨城籍志涛诊所</t>
  </si>
  <si>
    <t>孙武村卫生室</t>
  </si>
  <si>
    <t>无棣香榭里诊所</t>
  </si>
  <si>
    <t>无棣县康莊大药房</t>
  </si>
  <si>
    <t>滨城区市中街道办事处北一卫生室</t>
  </si>
  <si>
    <t>惠民县班班大药房</t>
  </si>
  <si>
    <t>滨州市康之元大药房医药有限公司</t>
  </si>
  <si>
    <t>滨州市康泉大药房连锁有限公司</t>
  </si>
  <si>
    <t>孙武村寿俊卫生室</t>
  </si>
  <si>
    <t>洋湖乡刀刘村第二卫生室</t>
  </si>
  <si>
    <t>何坊街道官道张村卫生室</t>
  </si>
  <si>
    <t>阳信初心医院</t>
  </si>
  <si>
    <t>滨城韩小亮中医诊所</t>
  </si>
  <si>
    <t>滨州市恒康医药有限公司</t>
  </si>
  <si>
    <t>邹平县韩店镇福源大药店</t>
  </si>
  <si>
    <t>惠民县寿康大药房有限责任公司</t>
  </si>
  <si>
    <t>洋湖乡八里泊社区卫生室</t>
  </si>
  <si>
    <t>阳信镇行宫庙社区卫生室</t>
  </si>
  <si>
    <t>滨城张德辉诊所</t>
  </si>
  <si>
    <t>惠民县康之家药房</t>
  </si>
  <si>
    <t>沾化静康诊所</t>
  </si>
  <si>
    <t>北镇办事处工业园区社区卫生服务站</t>
  </si>
  <si>
    <t>惠民县胡集镇卫生院陈集分院</t>
  </si>
  <si>
    <t>河流镇小李村社区卫生室</t>
  </si>
  <si>
    <t>金红诊所</t>
  </si>
  <si>
    <t>流坡坞镇褚家社区卫生室</t>
  </si>
  <si>
    <t>流坡坞镇西李昂社区卫生室</t>
  </si>
  <si>
    <t>无棣荣玉大药房</t>
  </si>
  <si>
    <t>阳信宜仁堂诊所</t>
  </si>
  <si>
    <t>河流镇丁家村社区卫生室</t>
  </si>
  <si>
    <t>博兴博奥华城中西医诊所</t>
  </si>
  <si>
    <t>惠民董永阁诊所</t>
  </si>
  <si>
    <t>金阳街道蔡王社区卫生室</t>
  </si>
  <si>
    <t>洋湖乡花赵社区卫生室</t>
  </si>
  <si>
    <t>河流镇白家社区卫生室</t>
  </si>
  <si>
    <t>高新小营爱强诊所</t>
  </si>
  <si>
    <t xml:space="preserve">惠民县李庄镇民健大药房 </t>
  </si>
  <si>
    <t>桑落墅镇魏家村卫生室</t>
  </si>
  <si>
    <t>无棣县小泊头镇郑王村社区卫生室</t>
  </si>
  <si>
    <t>孙武街道李仲条村卫生室</t>
  </si>
  <si>
    <t>流坡坞镇北董社区卫生室</t>
  </si>
  <si>
    <t>滨州康杰大药房有限责任公司建翔店</t>
  </si>
  <si>
    <t>滨州高新区康寿堂医药有限公司</t>
  </si>
  <si>
    <t>滨城区三河湖镇高庙村卫生室</t>
  </si>
  <si>
    <t>高新办国际商贸城卫生室</t>
  </si>
  <si>
    <t>滨城区市中街道办事处高杜卫生室</t>
  </si>
  <si>
    <t>阳信镇前陈社区卫生室</t>
  </si>
  <si>
    <t>洋湖乡西冯社区卫生室</t>
  </si>
  <si>
    <t>流坡坞镇窦家社区卫生室</t>
  </si>
  <si>
    <t>洋湖乡洋湖村卫生室</t>
  </si>
  <si>
    <t>连锁48店</t>
  </si>
  <si>
    <t>济生堂富源店</t>
  </si>
  <si>
    <t>杜店周双进诊所</t>
  </si>
  <si>
    <t>滨州市滨城区市东街道办事处北张卫生室</t>
  </si>
  <si>
    <t>邹平同德堂医药有限公司</t>
  </si>
  <si>
    <t>机械厂诊所</t>
  </si>
  <si>
    <t>滨城区市东街道办事处北杨第一卫生室</t>
  </si>
  <si>
    <t>滨州市技术学院医务室</t>
  </si>
  <si>
    <t>滨城刘拥真诊所</t>
  </si>
  <si>
    <t>滨州市沾化区康源诊所</t>
  </si>
  <si>
    <t>滨州市康健医药有限公司</t>
  </si>
  <si>
    <t>滨州高新技术产业开发区高新天康综合门诊部</t>
  </si>
  <si>
    <t>滨州经济开发区延峰大药房</t>
  </si>
  <si>
    <t>滨城区市西街道办事处大有崔第四卫生室</t>
  </si>
  <si>
    <t>河口区德盛街鑫康药店</t>
  </si>
  <si>
    <t>滨城区北镇办事处崔付刘村卫生室</t>
  </si>
  <si>
    <t>滨城区彭李街道办事处大河孙第二卫生室</t>
  </si>
  <si>
    <t>滨城李长顺诊所</t>
  </si>
  <si>
    <t>滨城崔艳华诊所</t>
  </si>
  <si>
    <t>滨州市滨城区彭李街道办事处学苑社区卫生服务站</t>
  </si>
  <si>
    <t>杜店崔山山诊所</t>
  </si>
  <si>
    <t>滨州市恒康医药连锁有限公司</t>
  </si>
  <si>
    <t>凯芳诊所</t>
  </si>
  <si>
    <t>滨城李翔云诊所</t>
  </si>
  <si>
    <t>滨城区市东街道办事处毕家第二卫生室</t>
  </si>
  <si>
    <t>博兴县悦康大药店</t>
  </si>
  <si>
    <t>滨城张卫国诊所</t>
  </si>
  <si>
    <t>滨城区市东街道办事处坊子第二卫生室</t>
  </si>
  <si>
    <t>博兴县金颖医药连锁三店</t>
  </si>
  <si>
    <t>博兴县金颖医药连锁二店</t>
  </si>
  <si>
    <t>博兴县金颖医药连锁一店</t>
  </si>
  <si>
    <t>博兴县金颖医药连锁五店</t>
  </si>
  <si>
    <t>博兴县金颖大药房</t>
  </si>
  <si>
    <t>滨州市沾化区滨海卫生室</t>
  </si>
  <si>
    <t>高青县黄河路大众药店</t>
  </si>
  <si>
    <t>阳信瑞丰诊所</t>
  </si>
  <si>
    <t>滨城梅玲口腔诊所</t>
  </si>
  <si>
    <t>信城街道接官亭村第一卫生室</t>
  </si>
  <si>
    <t>中邮医药滨州连锁有限公司</t>
  </si>
  <si>
    <t>利津县康泰药店</t>
  </si>
  <si>
    <t>商店镇桑西社区卫生室</t>
  </si>
  <si>
    <t>惠民县石庙镇源奎大药房</t>
  </si>
  <si>
    <t>商店镇贾家社区卫生室</t>
  </si>
  <si>
    <t>邹平县魏桥镇里八田中心卫生室</t>
  </si>
  <si>
    <t>惠民正一堂诊所</t>
  </si>
  <si>
    <t>彭李街道办事处仁和园社区卫生服务站</t>
  </si>
  <si>
    <t>阳信镇王楼社区卫生室</t>
  </si>
  <si>
    <t>何坊街道西寨子村卫生室</t>
  </si>
  <si>
    <t>博兴县博昌街道新城社区卫生服务站</t>
  </si>
  <si>
    <t>阳信县商店镇中心卫生院（网购）</t>
  </si>
  <si>
    <t>阳信县水落坡镇卫生院（网购1）</t>
  </si>
  <si>
    <t>滨州市轩鑫大药房有限公司</t>
  </si>
  <si>
    <t>滨城区市东街道办事处郑家第二卫生室</t>
  </si>
  <si>
    <t>惠民县何坊街道御医堂药店</t>
  </si>
  <si>
    <t>惠民县淄角镇卫生院（网购）</t>
  </si>
  <si>
    <t>玉东诊所</t>
  </si>
  <si>
    <t>杜店董树相诊所</t>
  </si>
  <si>
    <t>黛溪办顺河中心卫生室</t>
  </si>
  <si>
    <t>惠民县君瑞大药房有限公司</t>
  </si>
  <si>
    <t>阳信镇南八里社区卫生室</t>
  </si>
  <si>
    <t>滨州市高氏大药房</t>
  </si>
  <si>
    <t>阳信县流坡坞镇卫生院（网购）</t>
  </si>
  <si>
    <t>姜楼镇联伍赵村卫生室</t>
  </si>
  <si>
    <t>邹平青松诊所</t>
  </si>
  <si>
    <t>洋湖乡史张社区卫生室</t>
  </si>
  <si>
    <t>翟王镇张宋社区卫生室</t>
  </si>
  <si>
    <t>无棣县埕口镇卫生院（网购）</t>
  </si>
  <si>
    <t>滨州北海经济开发区马山子镇济堂药店</t>
  </si>
  <si>
    <t>刘廷军诊所</t>
  </si>
  <si>
    <t>河流镇史家社区卫生室</t>
  </si>
  <si>
    <t>惠民县百分大药房</t>
  </si>
  <si>
    <t>惠民县森茸大药房</t>
  </si>
  <si>
    <t>水落坡乡皮店社区卫生室</t>
  </si>
  <si>
    <t>惠民县舒心大药房</t>
  </si>
  <si>
    <t>滨城苑耀芳诊所</t>
  </si>
  <si>
    <t>惠民县桑落墅中心卫生院（网购）</t>
  </si>
  <si>
    <t>洋湖乡前刘店村卫生室</t>
  </si>
  <si>
    <t>阳信镇唐家社区卫生室</t>
  </si>
  <si>
    <t>温店镇李大人村卫生室</t>
  </si>
  <si>
    <t>阳信县河流镇卫生院（网购）</t>
  </si>
  <si>
    <t>滨城心悦诊所</t>
  </si>
  <si>
    <t>滨城区彭李街道办事处山柳刘第二卫生室</t>
  </si>
  <si>
    <t>阳信福源堂大药房有限公司</t>
  </si>
  <si>
    <t>益民诊所</t>
  </si>
  <si>
    <t>信城办纸坊村卫生室</t>
  </si>
  <si>
    <t>惠民县辛店镇卫生院（网购）</t>
  </si>
  <si>
    <t>洋湖乡卫生院中医诊所</t>
  </si>
  <si>
    <t>商店镇八里社区卫生室</t>
  </si>
  <si>
    <t>阳信县景园大药房</t>
  </si>
  <si>
    <t>商店镇小牛社区卫生室</t>
  </si>
  <si>
    <t>阳信镇段赵村第一卫生室</t>
  </si>
  <si>
    <t>滨城区市西街道办事处东碾李第一卫生室</t>
  </si>
  <si>
    <t>惠民杜平诊所</t>
  </si>
  <si>
    <t>无棣百姓大药房</t>
  </si>
  <si>
    <t>无棣县海丰街道城里村社区卫生室</t>
  </si>
  <si>
    <t>焦桥镇前大城村孟芳卫生室</t>
  </si>
  <si>
    <t>淄角镇铁角李村卫生室</t>
  </si>
  <si>
    <t>韩店镇三星中心卫生室</t>
  </si>
  <si>
    <t>黛溪办鄢家中心卫生室</t>
  </si>
  <si>
    <t>高青县高城蔡旺村卫生室</t>
  </si>
  <si>
    <t>青阳镇辛立村卫生室</t>
  </si>
  <si>
    <t>邹平益康诊所</t>
  </si>
  <si>
    <t>桓台县果里镇太平村卫生室</t>
  </si>
  <si>
    <t>淄博利和民医药销售有限公司</t>
  </si>
  <si>
    <t>西董街道办事处黄家河滩中心卫生室</t>
  </si>
  <si>
    <t>邹平马惠霞中西医结合诊所</t>
  </si>
  <si>
    <t>邹平县魏桥镇郑家中心卫生室</t>
  </si>
  <si>
    <t>邹平县码头镇南高中心卫生室</t>
  </si>
  <si>
    <t>邹平县韩店镇小白中心卫生室</t>
  </si>
  <si>
    <t>台子镇店子中心卫生室</t>
  </si>
  <si>
    <t>大胡卫生院</t>
  </si>
  <si>
    <t>青州市何官卫生院</t>
  </si>
  <si>
    <t>青州市邵庄卫生院</t>
  </si>
  <si>
    <t>庆云县中丁乡卫生院</t>
  </si>
  <si>
    <t>平原县王打卦镇卫生院</t>
  </si>
  <si>
    <t>齐河县晏城街道卫生院</t>
  </si>
  <si>
    <t>庆云县东辛店镇卫生院</t>
  </si>
  <si>
    <t>商河县郑路中心卫生院</t>
  </si>
  <si>
    <t>济阳县仁风镇中心卫生院</t>
  </si>
  <si>
    <t>庆云县常家镇中心卫生院</t>
  </si>
  <si>
    <t>潍坊市潍城区望留镇卫生院</t>
  </si>
  <si>
    <t>潍坊市潍城区于河镇卫生院</t>
  </si>
  <si>
    <t>陵城区安德街道办事处卫生院</t>
  </si>
  <si>
    <t>齐河县城区社区卫生服务中心</t>
  </si>
  <si>
    <t>潍坊市潍城区杏埠中心卫生院</t>
  </si>
  <si>
    <t>潍城区西关街道豪德社区卫生服务中心</t>
  </si>
  <si>
    <t>潍城区西关街道中和街社区卫生服务站</t>
  </si>
  <si>
    <t>济阳县回河街道办事处社区卫生服务中心</t>
  </si>
  <si>
    <t>济阳县太平街道办事处社区卫生服务中心</t>
  </si>
  <si>
    <t>德州经济开发区宋官屯镇社区卫生服务中心</t>
  </si>
  <si>
    <t>济南市历下区东关办事处历下二院社区卫生服务站</t>
  </si>
  <si>
    <t>济南市历下区姚家办事处名士豪庭社区卫生服务站</t>
  </si>
  <si>
    <t>惠民县丰好大药房</t>
  </si>
  <si>
    <t>滨州华健医院</t>
  </si>
  <si>
    <t>翟王镇南夏社区卫生室</t>
  </si>
  <si>
    <t>桑落墅镇大道张村卫生室</t>
  </si>
  <si>
    <t>阳信镇边家社区卫生室</t>
  </si>
  <si>
    <t>滨州市滨城区彭李街道办事处吉泰阳光社区卫生服务站</t>
  </si>
  <si>
    <t>海丰冯铺社区卫生室</t>
  </si>
  <si>
    <t>交通诊所</t>
  </si>
  <si>
    <t>阳信县中医医院</t>
  </si>
  <si>
    <t>阳信颐和医院</t>
  </si>
  <si>
    <t>孙武街道法义卫生室</t>
  </si>
  <si>
    <t>翟王镇翟王社区卫生室</t>
  </si>
  <si>
    <t>洋湖乡勃李社区卫生室</t>
  </si>
  <si>
    <t>青阳镇西窝陀村王令峰卫生室</t>
  </si>
  <si>
    <t>博兴县吕艺镇博华佳苑社区卫生室</t>
  </si>
  <si>
    <t>高青县田镇街道办事处周陈村卫生室</t>
  </si>
  <si>
    <t>西董街道办朱家中心卫生室</t>
  </si>
  <si>
    <t>高青县黑里寨镇黑三村卫生室</t>
  </si>
  <si>
    <t>邹平县韩店镇杨村中心卫生室</t>
  </si>
  <si>
    <t>山东魏桥创业集团第三工业园医务室</t>
  </si>
  <si>
    <t>黄山办大李村孙玉宝卫生室</t>
  </si>
  <si>
    <t>长山镇张旺中心卫生室</t>
  </si>
  <si>
    <t>魏桥镇康庄中心卫生室</t>
  </si>
  <si>
    <t>码头镇三合中心卫生室</t>
  </si>
  <si>
    <t>明集镇南宋中心卫生室</t>
  </si>
  <si>
    <t>长山镇弥勒中心卫生室</t>
  </si>
  <si>
    <t>惠民县麻店镇鸿泰大药店</t>
  </si>
  <si>
    <t>滨城区彭李街道办事处山柳杜第二卫生室</t>
  </si>
  <si>
    <t>盐窝镇门家村卫生室</t>
  </si>
  <si>
    <t>博兴县友谊医院</t>
  </si>
  <si>
    <t>凤凰城街道十里村卫生室</t>
  </si>
  <si>
    <t>辛店镇辛营村卫生室</t>
  </si>
  <si>
    <t>滨州经济开发区刘立波诊所</t>
  </si>
  <si>
    <t>黛溪办东关新村卫生室</t>
  </si>
  <si>
    <t>滨州市滨城区韩小亮中医诊所</t>
  </si>
  <si>
    <t>滨城韩宝亮诊所</t>
  </si>
  <si>
    <t>滨州市滨城区区直机关医院</t>
  </si>
  <si>
    <t>昌乐县白塔卫生院</t>
  </si>
  <si>
    <t>乐陵市花园镇卫生院</t>
  </si>
  <si>
    <t>乐陵市西段乡卫生院</t>
  </si>
  <si>
    <t>昌乐县鄌郚中心卫生院</t>
  </si>
  <si>
    <t>济阳县垛石镇中心卫生院</t>
  </si>
  <si>
    <t>乐陵市郑店镇中心卫生院</t>
  </si>
  <si>
    <t>宁津县柴胡店中心卫生院</t>
  </si>
  <si>
    <t>齐河县表白寺镇中心卫生院</t>
  </si>
  <si>
    <t>乐陵市孔镇镇张桥社区卫生服务中心</t>
  </si>
  <si>
    <t>开发区土桥卫生院</t>
  </si>
  <si>
    <t>陵县前孙镇卫生院</t>
  </si>
  <si>
    <t>陵城区陵城镇卫生院</t>
  </si>
  <si>
    <t>陵城区神头镇卫生院</t>
  </si>
  <si>
    <t>新泰市东都镇卫生院</t>
  </si>
  <si>
    <t>新泰市宫里镇卫生院</t>
  </si>
  <si>
    <t>德州市陵城区糜镇卫生院</t>
  </si>
  <si>
    <t>新泰市新汶街道社区卫生服务中心</t>
  </si>
  <si>
    <t>庆云县庆云镇卫生院</t>
  </si>
  <si>
    <t>德州市陵城区义渡口镇中心卫生院</t>
  </si>
  <si>
    <t>陵城区宋家镇黄集卫生院</t>
  </si>
  <si>
    <t>济南市槐荫区青年公园办事处岔路街社区卫生服务站</t>
  </si>
  <si>
    <t>山东福华医药有限公司</t>
  </si>
  <si>
    <t>滨州弘德药业有限公司</t>
  </si>
  <si>
    <t>商业名称</t>
  </si>
  <si>
    <t>弘德</t>
  </si>
  <si>
    <t>名称</t>
  </si>
  <si>
    <t>生产厂家</t>
  </si>
  <si>
    <t>日期</t>
  </si>
  <si>
    <t>出库数量</t>
  </si>
  <si>
    <t>含税价</t>
  </si>
  <si>
    <t>批次</t>
  </si>
  <si>
    <t>单位名称</t>
  </si>
  <si>
    <t>福华</t>
  </si>
  <si>
    <t>商品名称</t>
  </si>
  <si>
    <t>单据日期</t>
  </si>
  <si>
    <t>数量</t>
  </si>
  <si>
    <t>单价</t>
  </si>
  <si>
    <t>批号</t>
  </si>
  <si>
    <t>客户名称</t>
  </si>
  <si>
    <t>黄河</t>
  </si>
  <si>
    <t>商品规格</t>
  </si>
  <si>
    <t>生产企业名称</t>
  </si>
  <si>
    <t>销售数量</t>
  </si>
  <si>
    <t>仁信</t>
  </si>
  <si>
    <t>明细时间</t>
  </si>
  <si>
    <t>价格</t>
  </si>
  <si>
    <t>博仁</t>
  </si>
  <si>
    <t>商品通用名</t>
  </si>
  <si>
    <t>产地</t>
  </si>
  <si>
    <t>开单日期</t>
  </si>
  <si>
    <t>价税合计</t>
  </si>
  <si>
    <t>飞龙</t>
  </si>
  <si>
    <t>通用名称</t>
  </si>
  <si>
    <t>国控菏泽</t>
  </si>
  <si>
    <t>海川</t>
  </si>
  <si>
    <t>生产单位</t>
  </si>
  <si>
    <t>无</t>
  </si>
  <si>
    <t>济南广林</t>
  </si>
  <si>
    <t>开票结算日期</t>
  </si>
  <si>
    <t>九州通</t>
  </si>
  <si>
    <t>康为</t>
  </si>
  <si>
    <t>批次号</t>
  </si>
  <si>
    <t>罗欣宏欣</t>
  </si>
  <si>
    <t>通用名</t>
  </si>
  <si>
    <t>开票日期</t>
  </si>
  <si>
    <t>瑞康山东</t>
  </si>
  <si>
    <t>货品名称</t>
  </si>
  <si>
    <t>实际货物移动日期</t>
  </si>
  <si>
    <t>开票数量</t>
  </si>
  <si>
    <t>开票价格</t>
  </si>
  <si>
    <t>生产批号</t>
  </si>
  <si>
    <t>售达方描述</t>
  </si>
  <si>
    <t>天士力</t>
  </si>
  <si>
    <t>天源</t>
  </si>
  <si>
    <t>优益</t>
  </si>
  <si>
    <t>悦康圆通</t>
  </si>
  <si>
    <t>葡萄糖酸钙口服溶液(有糖)</t>
  </si>
  <si>
    <t>罗红霉素分散片(严迪)(儿)</t>
  </si>
  <si>
    <t>注射用乳糖酸阿奇霉素(齐宏)(精)</t>
  </si>
  <si>
    <t>新盖中盖儿童钙片</t>
  </si>
  <si>
    <t>重组人促红素注射液(CHO细胞)(雪达升)</t>
  </si>
  <si>
    <t>注射用丹参(冻干)</t>
  </si>
  <si>
    <t>10% 10ml*12支</t>
  </si>
  <si>
    <t>10ml:35mg*12支</t>
  </si>
  <si>
    <t>12s</t>
  </si>
  <si>
    <t>75mg*12s</t>
  </si>
  <si>
    <t>2.5g*36s</t>
  </si>
  <si>
    <t>50mg*12s</t>
  </si>
  <si>
    <t>1.75g*36s</t>
  </si>
  <si>
    <t>0.4g</t>
  </si>
  <si>
    <t>B1802013-2</t>
  </si>
  <si>
    <t>A1712068</t>
  </si>
  <si>
    <t>北京好药师大药房连锁有限公司济南分公司</t>
  </si>
  <si>
    <t>北京同仁堂(济南)药店有限公司章丘店</t>
  </si>
  <si>
    <t>济南齐乐堂药业有限公司</t>
  </si>
  <si>
    <t>济南荣新大药房有限公司</t>
  </si>
  <si>
    <t>济南心贴心大药房有限公司</t>
  </si>
  <si>
    <t>济南康神大药房有限公司</t>
  </si>
  <si>
    <t>济南市天桥区鸿祥大药房</t>
  </si>
  <si>
    <t>济南众泰新华药店有限公司</t>
  </si>
  <si>
    <t>山东政法学院医院</t>
  </si>
  <si>
    <t>山东省监狱医院</t>
  </si>
  <si>
    <t>济北中学卫生室</t>
  </si>
  <si>
    <t>山东好药师大药房连锁有限公司济南华龙路店</t>
  </si>
  <si>
    <t>山东好药师大药房连锁有限公司济南闫千户店</t>
  </si>
  <si>
    <t>济南康乐福药品零售有限公司</t>
  </si>
  <si>
    <t>济南三笑康大药房有限公司</t>
  </si>
  <si>
    <t>济南市新天地药品连锁有限公司</t>
  </si>
  <si>
    <t>济南天马医保城药品连锁有限公司</t>
  </si>
  <si>
    <t>济南七星大药房有限公司</t>
  </si>
  <si>
    <t>山东先大大药房连锁有限公司</t>
  </si>
  <si>
    <t>章丘市得心药品连锁有限公司</t>
  </si>
  <si>
    <t>济南惠好大药房有限公司</t>
  </si>
  <si>
    <t>济南聚成阁药品零售有限公司</t>
  </si>
  <si>
    <t>山东建联盛嘉中药有限公司</t>
  </si>
  <si>
    <t>槐荫福林诊所</t>
  </si>
  <si>
    <t>康泰诊所</t>
  </si>
  <si>
    <t>历城百合诊所</t>
  </si>
  <si>
    <t>本草堂中医诊所</t>
  </si>
  <si>
    <t>天桥康盛诊所</t>
  </si>
  <si>
    <t>高新百草堂诊所</t>
  </si>
  <si>
    <t>王胡同村卫生室</t>
  </si>
  <si>
    <t>山东省农业科学院卫生所</t>
  </si>
  <si>
    <t>宁阳县第二人民医院东村卫生所</t>
  </si>
  <si>
    <t>博兴友谊医院</t>
  </si>
  <si>
    <t>山东上药商联药业有限公司</t>
  </si>
  <si>
    <t>济南市历城区彩石镇卫生院</t>
  </si>
  <si>
    <t>庆云县后张卫生院</t>
  </si>
  <si>
    <t>济南市槐荫区美里湖办事处社区卫生服务中心</t>
  </si>
  <si>
    <t>夏津县雷集镇卫生院</t>
  </si>
  <si>
    <t>夏津县南城镇卫生院</t>
  </si>
  <si>
    <t>新泰市小协镇卫生院</t>
  </si>
  <si>
    <t>乐陵市寨头堡乡卫生院</t>
  </si>
  <si>
    <t>夏津县香赵庄镇卫生院</t>
  </si>
  <si>
    <t>平原县前曹镇卫生院林庄分院</t>
  </si>
  <si>
    <t>夏津县苏留庄中心卫生院</t>
  </si>
  <si>
    <t>济南市历城区董家镇卫生院</t>
  </si>
  <si>
    <t>济南市历城区西营镇卫生院</t>
  </si>
  <si>
    <t>潍坊市潍城区符山中心卫生院</t>
  </si>
  <si>
    <t>宁津县保店中心卫生院张宅分院</t>
  </si>
  <si>
    <t>泰山区徐家楼街道社区卫生服务中心</t>
  </si>
  <si>
    <t>济阳县济阳街道办事处社区卫生服务中心</t>
  </si>
  <si>
    <t>济南市历城区遥墙街道办事处社区卫生服务中心</t>
  </si>
  <si>
    <t>济南市历下区智远办事处盛景家园社区卫生服务站</t>
  </si>
  <si>
    <t>济南市历下区智远街道办事处林家社区卫生服务站</t>
  </si>
  <si>
    <t>济南市天桥区泺口街道办事处香磨李社区卫生服务站</t>
  </si>
  <si>
    <t>济南市市中区白马山街道办事处二环西路社区卫生服务站</t>
  </si>
  <si>
    <t>临朐县海浮山医院</t>
  </si>
  <si>
    <t>滨城胡常征诊所</t>
  </si>
  <si>
    <t>滨州市德康大药房有限公司</t>
  </si>
  <si>
    <t>邹平县鑫瑞医药有限公司</t>
  </si>
  <si>
    <t>阳信县翟王镇卫生院(网购）</t>
  </si>
  <si>
    <t>商店镇道王社区卫生室</t>
  </si>
  <si>
    <t>商店镇张宅社区卫生室</t>
  </si>
  <si>
    <t>翟王镇崔王社区卫生室</t>
  </si>
  <si>
    <t>惠民乐仁堂诊所</t>
  </si>
  <si>
    <t>水落坡镇小刘社区卫生室</t>
  </si>
  <si>
    <t>明轩诊所</t>
  </si>
  <si>
    <t>水落坡乡前杨社区卫生室</t>
  </si>
  <si>
    <t>河流镇牛藤雨村社区卫生室</t>
  </si>
  <si>
    <t>滨州康杰大药房有限责任公司滨南店</t>
  </si>
  <si>
    <t>里则高法彬诊所</t>
  </si>
  <si>
    <t>华润雪花啤酒（滨州）有限公司医务室</t>
  </si>
  <si>
    <t>高新办魏纺路中心卫生室</t>
  </si>
  <si>
    <t>温店镇东油王社区卫生室</t>
  </si>
  <si>
    <t>滨州市百康大药房医药有限公司</t>
  </si>
  <si>
    <t>温店镇大杨社区卫生室</t>
  </si>
  <si>
    <t>洋湖乡姚家社区卫生室</t>
  </si>
  <si>
    <t>惠民李迎诊所</t>
  </si>
  <si>
    <t>滨州市沾化区古城镇卫生院</t>
  </si>
  <si>
    <t>阳信镇唐家村卫生室</t>
  </si>
  <si>
    <t>洋湖乡东焦社区卫生室</t>
  </si>
  <si>
    <t>洋湖乡西十字道社区卫生室</t>
  </si>
  <si>
    <t>洋湖乡闫家村卫生室</t>
  </si>
  <si>
    <t>信阳镇李良村卫生室</t>
  </si>
  <si>
    <t>滨州国康大药房有限公司</t>
  </si>
  <si>
    <t>何坊街道大商村卫生室</t>
  </si>
  <si>
    <t>洋湖乡东崔社区卫生室</t>
  </si>
  <si>
    <t>瑞祥诊所</t>
  </si>
  <si>
    <t>博兴众信诊所</t>
  </si>
  <si>
    <t>何坊街道赵翟村卫生室</t>
  </si>
  <si>
    <t>博兴瑞康诊所</t>
  </si>
  <si>
    <t>阳信县永和堂医药店</t>
  </si>
  <si>
    <t>商店镇小桑园区第二社区卫生室</t>
  </si>
  <si>
    <t>宫血停颗粒（无糖）</t>
  </si>
  <si>
    <t>注射用双黄连粉针(冻干)</t>
  </si>
  <si>
    <t>10g*6d*60h</t>
  </si>
  <si>
    <t>600mg*12z/盒</t>
  </si>
  <si>
    <t>0.1g*20s</t>
  </si>
  <si>
    <t>哈药集团制药六厂</t>
  </si>
  <si>
    <t>哈药集团世一堂制药厂</t>
  </si>
  <si>
    <t>哈药集团制药总厂</t>
  </si>
  <si>
    <t>哈药集团三精药业有限公司</t>
  </si>
  <si>
    <t>哈药集团三精制药有限公司</t>
  </si>
  <si>
    <t>哈药集团中药二厂</t>
  </si>
  <si>
    <t>哈药集团制药总厂*</t>
  </si>
  <si>
    <t>哈药集团三精儿童制药厂有限公司</t>
  </si>
  <si>
    <t>哈药集团三精制药股份有限公司</t>
  </si>
  <si>
    <t>哈药集团三精制药四厂有限公司</t>
  </si>
  <si>
    <t>哈药集团三精明水药业有限公司</t>
  </si>
  <si>
    <t>哈药集团生物工程有限公司</t>
  </si>
  <si>
    <t>A1703103</t>
  </si>
  <si>
    <t>A1702005</t>
  </si>
  <si>
    <t>A1609001</t>
  </si>
  <si>
    <t>B1801002-1</t>
  </si>
  <si>
    <t>A1604007</t>
  </si>
  <si>
    <t>A1611021</t>
  </si>
  <si>
    <t>A1707006</t>
  </si>
  <si>
    <t>A1706004</t>
  </si>
  <si>
    <t>A1604005</t>
  </si>
  <si>
    <t>B1712001-1</t>
  </si>
  <si>
    <t>A1706011</t>
  </si>
  <si>
    <t>A1703001</t>
  </si>
  <si>
    <t>A1611203</t>
  </si>
  <si>
    <t>A1607016</t>
  </si>
  <si>
    <t>颠茄磺苄啶片/泻痢停</t>
  </si>
  <si>
    <t>罗红霉素分散片/严迪</t>
  </si>
  <si>
    <t>4mg*30片</t>
  </si>
  <si>
    <t>B1801002-2</t>
  </si>
  <si>
    <t>B1703002-1</t>
  </si>
  <si>
    <t>A1711005</t>
  </si>
  <si>
    <t>临沂市兰山区美可健大药房</t>
  </si>
  <si>
    <t>太平镇二太平村卫生室</t>
  </si>
  <si>
    <t>济阳县顺康大药店</t>
  </si>
  <si>
    <t>济阳县诚信大药店</t>
  </si>
  <si>
    <t>济南益健堂大药房有限公司</t>
  </si>
  <si>
    <t>高新泉仁诊所</t>
  </si>
  <si>
    <t>济南慧民药品零售有限公司</t>
  </si>
  <si>
    <t>济南市高新区临港办事处大张村卫生室</t>
  </si>
  <si>
    <t>济南益康诚信医药有限公司</t>
  </si>
  <si>
    <t>济南北方平民药品零售连锁有限公司</t>
  </si>
  <si>
    <t>新泰市百兴医药有限公司</t>
  </si>
  <si>
    <t>济阳县宏康大药店</t>
  </si>
  <si>
    <t>济南市章丘区明水街道办事处锦绣花苑社区卫生服务站</t>
  </si>
  <si>
    <t>历城百姓诊所</t>
  </si>
  <si>
    <t>济南泽生大药店有限公司</t>
  </si>
  <si>
    <t>商河源奎大药房</t>
  </si>
  <si>
    <t>济南市天桥区颐养堂大药房</t>
  </si>
  <si>
    <t>济阳县盛隆大药房</t>
  </si>
  <si>
    <t>济阳县富强药店</t>
  </si>
  <si>
    <t>新泰市众康医药有限公司</t>
  </si>
  <si>
    <t>天桥凤鸣诊所</t>
  </si>
  <si>
    <t>滨州市鲁轩医药有限公司</t>
  </si>
  <si>
    <t>济南天达药房有限公司</t>
  </si>
  <si>
    <t>莱芜市莱城区同康药店</t>
  </si>
  <si>
    <t>泰安开发区泉玉堂医药有限公司</t>
  </si>
  <si>
    <t>商河县沙河乡东前邸村卫生室</t>
  </si>
  <si>
    <t>济南市中健民诊所</t>
  </si>
  <si>
    <t>莱芜市阳光医药有限公司</t>
  </si>
  <si>
    <t>济南成健大药房有限公司</t>
  </si>
  <si>
    <t>济南福仁美大药房连锁有限公司</t>
  </si>
  <si>
    <t>鼓楼街道办事处永丰村秀山卫生室</t>
  </si>
  <si>
    <t>滨城由芹诊所</t>
  </si>
  <si>
    <t>济南市中鲁中研诊所</t>
  </si>
  <si>
    <t>济阳县星期五药品零售有限公司</t>
  </si>
  <si>
    <t>山东科达平民大药房有限公司</t>
  </si>
  <si>
    <t>济南市天桥区康灵药店</t>
  </si>
  <si>
    <t>济南百佳惠大药房有限公司大桥分公司</t>
  </si>
  <si>
    <t>天桥新柳诊所</t>
  </si>
  <si>
    <t>山东奥瑞森医药有限公司</t>
  </si>
  <si>
    <t>山东汉方国药有限公司</t>
  </si>
  <si>
    <t>滨州百世儿童医院</t>
  </si>
  <si>
    <t>济宁市鲁泰大药房连锁有限公司</t>
  </si>
  <si>
    <t>泰安市岱岳区岱康堂药店</t>
  </si>
  <si>
    <t>莱芜市莱城区华瑞药店</t>
  </si>
  <si>
    <t>垛石镇裴铺村卫生室</t>
  </si>
  <si>
    <t>临淄区闻韶街道办事处石鼓社区卫生服务站</t>
  </si>
  <si>
    <t>临淄区凤凰镇西河村卫生室</t>
  </si>
  <si>
    <t>临淄区稷下街道尧王村卫生室</t>
  </si>
  <si>
    <t>临淄区敬仲镇康鑫药店</t>
  </si>
  <si>
    <t>临淄区金山镇北崖村卫生室</t>
  </si>
  <si>
    <t>临淄区辛店春晖堂药店</t>
  </si>
  <si>
    <t>临淄区齐陵街道前李村卫生室（前李）</t>
  </si>
  <si>
    <t>淄博博仁医药连锁有限公司康城药店</t>
  </si>
  <si>
    <t>临淄区皇城镇西上村卫生室</t>
  </si>
  <si>
    <t>临淄万合诊所</t>
  </si>
  <si>
    <t>淄博博仁医药连锁有限公司三星药店</t>
  </si>
  <si>
    <t>临淄区敬仲镇呈羔东村卫生室</t>
  </si>
  <si>
    <t>临淄区齐陵街道聂仙村卫生室</t>
  </si>
  <si>
    <t>临淄区齐陵街道办事处宋家村卫生室</t>
  </si>
  <si>
    <t>淄博博仁医药连锁有限公司西高店</t>
  </si>
  <si>
    <t>临淄区齐陵街道刘家终村卫生室</t>
  </si>
  <si>
    <t>淄博零零柒商贸有限公司</t>
  </si>
  <si>
    <t>淄博齐济医药有限公司</t>
  </si>
  <si>
    <t>淄博博仁医药连锁有限公司康民药店</t>
  </si>
  <si>
    <t>淄博博仁医药连锁有限公司博仁大药房</t>
  </si>
  <si>
    <t>临淄区皇城镇东南羊村卫生室</t>
  </si>
  <si>
    <t>临淄区朱台镇陈营村卫生室</t>
  </si>
  <si>
    <t>临淄双玲健起诊所</t>
  </si>
  <si>
    <t>淄博博仁医药连锁有限公司金熙药店</t>
  </si>
  <si>
    <t>临淄区凤凰镇东老村卫生室</t>
  </si>
  <si>
    <t>临淄区雪宫街道齐国商城社区卫生服务站</t>
  </si>
  <si>
    <t>临淄区齐都镇南马坊村卫生室</t>
  </si>
  <si>
    <t>淄博清娜商贸有限公司</t>
  </si>
  <si>
    <t>淄博博仁医药连锁有限公司范家店</t>
  </si>
  <si>
    <t>临淄区南王镇同益堂药店</t>
  </si>
  <si>
    <t>临淄上工诊所</t>
  </si>
  <si>
    <t>淄博天和堂金百合医药连锁有限公司</t>
  </si>
  <si>
    <t>淄博为民医药连锁有限公司第三十分店</t>
  </si>
  <si>
    <t>临淄裕华诊所</t>
  </si>
  <si>
    <t>临淄区凤凰镇东召北村卫生室</t>
  </si>
  <si>
    <t>淄博天和堂金百合医药连锁有限公司*</t>
  </si>
  <si>
    <t>稷下街道大杨村卫生室</t>
  </si>
  <si>
    <t>临淄区凤凰镇西申村卫生室</t>
  </si>
  <si>
    <t>临淄寿春诊所</t>
  </si>
  <si>
    <t>淄博同济堂医药连锁有限公司</t>
  </si>
  <si>
    <t>临淄区皇城镇南蓬村卫生室</t>
  </si>
  <si>
    <t>临淄区齐陵街道办事处望寺村卫生室</t>
  </si>
  <si>
    <t>临淄永安诊所</t>
  </si>
  <si>
    <t>淄博仁人医药连锁有限公司</t>
  </si>
  <si>
    <t>临淄区化建社区卫生服务站</t>
  </si>
  <si>
    <t>临淄民康诊所</t>
  </si>
  <si>
    <t>临淄区金山镇王寨村卫生室</t>
  </si>
  <si>
    <t>临淄新敏新华诊所</t>
  </si>
  <si>
    <t>临淄区皇城镇东官村卫生室</t>
  </si>
  <si>
    <t>临淄区凤凰镇刘地村卫生室</t>
  </si>
  <si>
    <t>淄博天和堂金百合医药连锁有限公司皇城药店</t>
  </si>
  <si>
    <t>淄博博仁医药连锁有限公司朱北药店</t>
  </si>
  <si>
    <t>淄博天鑫医药连锁有限公司</t>
  </si>
  <si>
    <t>淄博堃济医药零售有限公司</t>
  </si>
  <si>
    <t>淄博堃济医药零售有限公司恒锦分公司</t>
  </si>
  <si>
    <t>淄博友和医药连锁有限公司第七分店</t>
  </si>
  <si>
    <t>淄博市临淄天华药店有限公司</t>
  </si>
  <si>
    <t>淄博环球慈济堂医药有限公司王寨东村药店</t>
  </si>
  <si>
    <t>淄博天和堂金百合医药连锁有限公司稷下药店</t>
  </si>
  <si>
    <t>临淄区齐都镇粉庄村卫生室</t>
  </si>
  <si>
    <t>北大医疗鲁中医院蜂山分院</t>
  </si>
  <si>
    <t>临淄区闻韶齐城药店</t>
  </si>
  <si>
    <t>淄博天和堂金百合医药连锁有限公司杨宾药店</t>
  </si>
  <si>
    <t>淄博天和堂金百合医药连锁有限公司齐城药店</t>
  </si>
  <si>
    <t>临淄区雪宫街道办西高社区卫生服务站</t>
  </si>
  <si>
    <t>临淄区齐都镇谭家庙村卫生室</t>
  </si>
  <si>
    <t>淄博博仁医药连锁有限公司顺心药店</t>
  </si>
  <si>
    <t>淄博同济堂医药连锁有限公司凤凰店</t>
  </si>
  <si>
    <t>临淄区朱台镇杨店村卫生室</t>
  </si>
  <si>
    <t>临淄区稷下街道办事处齐都花园社区服务站</t>
  </si>
  <si>
    <t>临淄区齐陵街道办事处石庙村卫生室</t>
  </si>
  <si>
    <t>临淄区雪宫益民药店</t>
  </si>
  <si>
    <t>敬仲镇西苇村卫生室</t>
  </si>
  <si>
    <t>临淄区齐都镇东石村卫生室</t>
  </si>
  <si>
    <t>淄博乐善堂医药零售有限公司</t>
  </si>
  <si>
    <t>临淄区齐陵街道齐家终村卫生室</t>
  </si>
  <si>
    <t>临淄区凤凰镇陈家村卫生室</t>
  </si>
  <si>
    <t>临淄仁学诊所.</t>
  </si>
  <si>
    <t>淄博博仁医药连锁有限公司博康药店</t>
  </si>
  <si>
    <t>临淄稷下同济堂诊所</t>
  </si>
  <si>
    <t>临淄阳光诊所</t>
  </si>
  <si>
    <t>临淄中山诊所</t>
  </si>
  <si>
    <t>淄博平民药品超市有限公司</t>
  </si>
  <si>
    <t>临淄区稷下街道魏家村卫生室</t>
  </si>
  <si>
    <t>临淄区皇城镇东上村卫生室</t>
  </si>
  <si>
    <t>临淄军干所卫生室</t>
  </si>
  <si>
    <t>淄博一九一九商贸有限公司</t>
  </si>
  <si>
    <t>临淄区稷下街道办事处陈家村第一卫生室</t>
  </si>
  <si>
    <t>淄博天和堂金百合医药连锁有限公司敬仲药店</t>
  </si>
  <si>
    <t>淄博天和堂金百合医药连锁有限公司金茵药店</t>
  </si>
  <si>
    <t>临淄区凤凰镇小曹村卫生室</t>
  </si>
  <si>
    <t>临淄区稷下街道办商王村卫生室</t>
  </si>
  <si>
    <t>临淄福瑞诊所</t>
  </si>
  <si>
    <t>临淄区齐都镇国家村卫生室</t>
  </si>
  <si>
    <t>临淄区朱台镇罗家村卫生室</t>
  </si>
  <si>
    <t>临淄区朱台镇上河东村卫生室</t>
  </si>
  <si>
    <t>临淄区第二中学卫生室</t>
  </si>
  <si>
    <t>临淄区稷下街道北韩家村卫生室</t>
  </si>
  <si>
    <t>临淄区齐都镇田家村卫生室</t>
  </si>
  <si>
    <t>淄博博仁医药连锁有限公司乾圣堂大药店</t>
  </si>
  <si>
    <t>临淄区朱台镇王营村卫生室</t>
  </si>
  <si>
    <t>临淄区凤凰镇朱家屯村卫生室</t>
  </si>
  <si>
    <t>临淄区齐都镇西关村卫生室</t>
  </si>
  <si>
    <t>淄博天和堂金百合医药连锁有限公司太公药店</t>
  </si>
  <si>
    <t>临淄区凤凰镇大路北村卫生室</t>
  </si>
  <si>
    <t>临淄区皇城镇南卧石村卫生室</t>
  </si>
  <si>
    <t>临淄区凤凰镇南王村卫生室</t>
  </si>
  <si>
    <t>临淄区朱台镇南高村卫生室  7752616</t>
  </si>
  <si>
    <t>临淄区齐陵街道西龙池村卫生室</t>
  </si>
  <si>
    <t>临淄区梧台镇鹤寿堂药店</t>
  </si>
  <si>
    <t>临淄区齐陵街道办事处朱家村卫生室</t>
  </si>
  <si>
    <t>临淄区凤凰镇西老村卫生室</t>
  </si>
  <si>
    <t>临淄区稷下街道办董楮村卫生室</t>
  </si>
  <si>
    <t>临淄区皇城镇东蓬村卫生室</t>
  </si>
  <si>
    <t>临淄田爱红康佳诊所</t>
  </si>
  <si>
    <t>淄博民悦大药房有限公司</t>
  </si>
  <si>
    <t>临淄健康诊所</t>
  </si>
  <si>
    <t>淄博市工业学校卫生室</t>
  </si>
  <si>
    <t>临淄天华卫生所</t>
  </si>
  <si>
    <t>淄博卉竹医药零售有限公司八分店</t>
  </si>
  <si>
    <t>临淄区朱台镇桐林村卫生室</t>
  </si>
  <si>
    <t>临淄区敬仲镇小东王村卫生室</t>
  </si>
  <si>
    <t>临淄区英才中学卫生室</t>
  </si>
  <si>
    <t>淄博友和医药连锁有限公司金山店</t>
  </si>
  <si>
    <t>淄博同济堂医药连锁有限公司齐兴店</t>
  </si>
  <si>
    <t>临淄仲桂文明诊所</t>
  </si>
  <si>
    <t>临淄区闻韶街道张家社区卫生服务站</t>
  </si>
  <si>
    <t>临淄德兴诊所</t>
  </si>
  <si>
    <t>临淄区凤凰镇彩家村卫生室</t>
  </si>
  <si>
    <t>临淄区稷下街道办事处合里村第一卫生室</t>
  </si>
  <si>
    <t>临淄区皇城镇顾邵村卫生室</t>
  </si>
  <si>
    <t>临淄区皇城镇于家村卫生室</t>
  </si>
  <si>
    <t>临淄区朱台镇麻王村卫生室</t>
  </si>
  <si>
    <t>临淄区朱台镇东台村卫生室</t>
  </si>
  <si>
    <t>临淄区稷下街道办范家村卫生室</t>
  </si>
  <si>
    <t>临淄区凤凰镇东召村卫生室</t>
  </si>
  <si>
    <t>临淄区齐都药店</t>
  </si>
  <si>
    <t>临淄区皇城镇坡子村卫生室</t>
  </si>
  <si>
    <t>临淄区稷下街道办事处刘家村卫生室</t>
  </si>
  <si>
    <t>淄博环球慈济堂医药有限公司临淄祥运来药店</t>
  </si>
  <si>
    <t>临淄区稷下街道办小杨村卫生室</t>
  </si>
  <si>
    <t>临淄天鹤诊所</t>
  </si>
  <si>
    <t>临淄区皇城镇杨王六端村卫生室</t>
  </si>
  <si>
    <t>临淄区朱台镇北高南村卫生室(郭西江)</t>
  </si>
  <si>
    <t>北大医疗鲁中医院康平分院</t>
  </si>
  <si>
    <t>临淄区凤凰镇东召西村卫生室</t>
  </si>
  <si>
    <t>淄博堃济医药零售有限公司金岭分公司</t>
  </si>
  <si>
    <t>淄博天和堂金百合医药连锁有限公司朱台药店</t>
  </si>
  <si>
    <t>淄博环球慈济堂医药有限公司临淄金龙药店</t>
  </si>
  <si>
    <t>淄博仁合堂医药连锁有限公司</t>
  </si>
  <si>
    <t>临淄区凤凰镇大路南村卫生室</t>
  </si>
  <si>
    <t>淄博百草园医药有限公司(ZY)</t>
  </si>
  <si>
    <t>淄博漱玉百姓医药连锁有限公司凤凰一店</t>
  </si>
  <si>
    <t>*注射用乳糖酸阿奇霉素</t>
  </si>
  <si>
    <t>六味地黄丸(水蜜丸)</t>
  </si>
  <si>
    <t>葡糖糖酸锌口服溶液</t>
  </si>
  <si>
    <t>乳酸菌素片(精）</t>
  </si>
  <si>
    <t>拉西地平片（司乐平）</t>
  </si>
  <si>
    <t>*新贝增盖牌硒加钙咀嚼片</t>
  </si>
  <si>
    <t>B1712008-1</t>
  </si>
  <si>
    <t>A1707002</t>
  </si>
  <si>
    <t>A1703002</t>
  </si>
  <si>
    <t>A1711003</t>
  </si>
  <si>
    <t>A1604010</t>
  </si>
  <si>
    <t>A1612001</t>
  </si>
  <si>
    <t>A1712015</t>
  </si>
  <si>
    <t>哈药集团</t>
  </si>
  <si>
    <t>哈药三精*</t>
  </si>
  <si>
    <t>哈药集团世一堂</t>
  </si>
  <si>
    <t>哈药集团三精明水</t>
  </si>
  <si>
    <t>哈药六厂*</t>
  </si>
  <si>
    <t>哈药集团三精制药四厂</t>
  </si>
  <si>
    <t>哈药集团三精</t>
  </si>
  <si>
    <t>哈药集团制药六厂委扶桑帝药（青岛）有限公司</t>
  </si>
  <si>
    <t>哈药二厂*</t>
  </si>
  <si>
    <t>7粒</t>
  </si>
  <si>
    <t>10袋</t>
  </si>
  <si>
    <t>5mg*20片</t>
  </si>
  <si>
    <t>0.2g*12包</t>
  </si>
  <si>
    <t>12粒</t>
  </si>
  <si>
    <t>40*110mm*2贴</t>
  </si>
  <si>
    <t>5克*10袋</t>
  </si>
  <si>
    <t>100mg*30片</t>
  </si>
  <si>
    <t>4mg*15粒</t>
  </si>
  <si>
    <t>1.75g*30片</t>
  </si>
  <si>
    <t>1.75g*60片</t>
  </si>
  <si>
    <t>郓城县人民医院</t>
  </si>
  <si>
    <t>注射用丹参（冻干）</t>
  </si>
  <si>
    <t>400mg</t>
  </si>
  <si>
    <t>济南海洲大药房有限公司</t>
  </si>
  <si>
    <t>山东漱玉平民药业有限公司</t>
  </si>
  <si>
    <t>济南馨祥堂药品零售有限公司</t>
  </si>
  <si>
    <t>济南仁和药房网医药有限公司</t>
  </si>
  <si>
    <t>老百姓大药房连锁(山东)有限公司</t>
  </si>
  <si>
    <t>济南国利堂大药店有限公司</t>
  </si>
  <si>
    <t>济南汇英药店有限公司</t>
  </si>
  <si>
    <t>济南健康人药品有限公司</t>
  </si>
  <si>
    <t>济南鹏程阁大药房有限公司</t>
  </si>
  <si>
    <t>商河商联中药有限公司</t>
  </si>
  <si>
    <t>章丘市健民医药有限公司</t>
  </si>
  <si>
    <t>济南光明药店连锁有限公司</t>
  </si>
  <si>
    <t>济南立健大药房有限公司</t>
  </si>
  <si>
    <t>济南国大常青医药有限公司</t>
  </si>
  <si>
    <t>济南军休宏仁堂药店</t>
  </si>
  <si>
    <t>济南健华药品有限公司</t>
  </si>
  <si>
    <t>山东华博医药有限公司</t>
  </si>
  <si>
    <t>济南邻客大药房有限公司</t>
  </si>
  <si>
    <t>济南白云医院</t>
  </si>
  <si>
    <t>济南康盛医药有限公司</t>
  </si>
  <si>
    <t>山东宏济堂医药连锁有限公司</t>
  </si>
  <si>
    <t>济南鲁健大药房连锁有限公司</t>
  </si>
  <si>
    <t>济南健生缘大药店连锁有限公司</t>
  </si>
  <si>
    <t>槐荫便民诊所</t>
  </si>
  <si>
    <t>济南广林药业有限公司</t>
  </si>
  <si>
    <t>济南历山药店有限公司</t>
  </si>
  <si>
    <t>济南方成药品零售有限公司</t>
  </si>
  <si>
    <t>济南明星大药房有限公司</t>
  </si>
  <si>
    <t>济南新春大药房连锁有限公司</t>
  </si>
  <si>
    <t>10片*5板</t>
  </si>
  <si>
    <t>10毫升*12支（含糖型）</t>
  </si>
  <si>
    <t>10克*10袋</t>
  </si>
  <si>
    <t>哈药四厂</t>
  </si>
  <si>
    <t>哈药三精明</t>
  </si>
  <si>
    <t>哈药世一堂</t>
  </si>
  <si>
    <t>哈药集团六厂</t>
  </si>
  <si>
    <t>哈药</t>
  </si>
  <si>
    <t>A1712061</t>
  </si>
  <si>
    <t>济宁瑞康正大医药有限公司</t>
  </si>
  <si>
    <t>广饶县泽康大药房</t>
  </si>
  <si>
    <t>东营泽康药业有限公司</t>
  </si>
  <si>
    <t>垦利街道办事处李呈村卫生室</t>
  </si>
  <si>
    <t>东营市翔泰药业有限公司</t>
  </si>
  <si>
    <t>东营益生堂药业连锁有限公司</t>
  </si>
  <si>
    <t>利津县利华药店</t>
  </si>
  <si>
    <t>广饶县同和大药房</t>
  </si>
  <si>
    <t>垦利广济堂平价大药店</t>
  </si>
  <si>
    <t>东营市河口区老百姓药店</t>
  </si>
  <si>
    <t>广饶县庆生药品销售有限公司</t>
  </si>
  <si>
    <t>山东胜利药业有限公司桐凤一品药店</t>
  </si>
  <si>
    <t>东营市萍顺堂大药房</t>
  </si>
  <si>
    <t>东营区守红中医诊所</t>
  </si>
  <si>
    <t>东营市立人世家医药有限公司</t>
  </si>
  <si>
    <t>东营辉瑞胜利医药有限公司</t>
  </si>
  <si>
    <t>东营安馨大药房</t>
  </si>
  <si>
    <t>东营市康美药业有限公司</t>
  </si>
  <si>
    <t>山东胜利药业有限公司胜康一品药店</t>
  </si>
  <si>
    <t>山东胜利药业有限公司富康一品药店</t>
  </si>
  <si>
    <t>山东胜利药业有限公司兴河一品药店</t>
  </si>
  <si>
    <t>山东胜利药业有限公司北二路一品药店</t>
  </si>
  <si>
    <t>广饶县龙康药店</t>
  </si>
  <si>
    <t>东营市康济大药房有限责任公司</t>
  </si>
  <si>
    <t>山东李世医堂医药连锁服务有限公司</t>
  </si>
  <si>
    <t>东营市康澜医药有限公司</t>
  </si>
  <si>
    <t>广饶顺安药店</t>
  </si>
  <si>
    <t>东营区国康大药房</t>
  </si>
  <si>
    <t>东营区华康大药店</t>
  </si>
  <si>
    <t>本条中医诊所</t>
  </si>
  <si>
    <t>山东康然药业有限公司</t>
  </si>
  <si>
    <t>东营市仁心药业有限公司涌金广场店</t>
  </si>
  <si>
    <t>广饶县佳佳康药品超市</t>
  </si>
  <si>
    <t>东营市源丰药业有限公司</t>
  </si>
  <si>
    <t>东营市仁心药业有限公司</t>
  </si>
  <si>
    <t>广饶县杏林大药房</t>
  </si>
  <si>
    <t>东营区东城海波诊所</t>
  </si>
  <si>
    <t>东营德祥堂医药有限公司</t>
  </si>
  <si>
    <t>东营市金康大药房</t>
  </si>
  <si>
    <t>利津国医堂医药有限责任公司</t>
  </si>
  <si>
    <t>垦利县百信大药店</t>
  </si>
  <si>
    <t>垦利街道办事处西双河村先锋卫生室</t>
  </si>
  <si>
    <t>垦利县百康平价大药店</t>
  </si>
  <si>
    <t>东营安和轩大药房有限公司</t>
  </si>
  <si>
    <t>利津县康寿堂大药店</t>
  </si>
  <si>
    <t>利津县康乐药店有限责任公司</t>
  </si>
  <si>
    <t>河口康龄中医院</t>
  </si>
  <si>
    <t>利津县一笑堂大药房有限公司</t>
  </si>
  <si>
    <t>利津县康华大药房有限公司</t>
  </si>
  <si>
    <t>张店区马尚镇西南村卫生室</t>
  </si>
  <si>
    <t>东营市金喜堂药店</t>
  </si>
  <si>
    <t>东营区东城广丰堂药店</t>
  </si>
  <si>
    <t>东营胜合大药房有限公司</t>
  </si>
  <si>
    <t>东营嘉乐药业有限公司</t>
  </si>
  <si>
    <t>东营市东营区博乐大药房</t>
  </si>
  <si>
    <t>和信中医诊所</t>
  </si>
  <si>
    <t>淄博为民医药连锁有限公司维德药店</t>
  </si>
  <si>
    <t>东营市安和医药有限公司</t>
  </si>
  <si>
    <t>东营鼎盛大药房有限责任公司</t>
  </si>
  <si>
    <t>河口仁和堂药店</t>
  </si>
  <si>
    <t>广饶县祥康大药房</t>
  </si>
  <si>
    <t>东营博爱妇产科医院</t>
  </si>
  <si>
    <t>山东胜利药业有限公司世康一品药店</t>
  </si>
  <si>
    <t>山东心安药业有限公司</t>
  </si>
  <si>
    <t>广饶县隆海大药房</t>
  </si>
  <si>
    <t>垦利县天盛医药有限公司</t>
  </si>
  <si>
    <t>圣济堂医药连锁有限公司东营港经济开发区兴港</t>
  </si>
  <si>
    <t>河口济泰药店</t>
  </si>
  <si>
    <t>东营好药师大药房有限公司</t>
  </si>
  <si>
    <t>山东胜利药业有限公司济南路一品药店</t>
  </si>
  <si>
    <t>山东胜利药业有限公司鑫昌一品药店</t>
  </si>
  <si>
    <t>山东胜利药业有限公司胜荣一品药店</t>
  </si>
  <si>
    <t>东营市乾丰大药房有限公司胜泰店</t>
  </si>
  <si>
    <t>广饶县佑民药品有限公司</t>
  </si>
  <si>
    <t>广饶平民药业连锁有限公司</t>
  </si>
  <si>
    <t>东营康品药业有限公司</t>
  </si>
  <si>
    <t>东营市医药公司广饶分公司</t>
  </si>
  <si>
    <t>广饶县丽景诊所</t>
  </si>
  <si>
    <t>东营市乾丰大药房有限公司</t>
  </si>
  <si>
    <t>山东胜利药业有限公司百姓一品药店</t>
  </si>
  <si>
    <t>东营市康健大药房有限责任公司</t>
  </si>
  <si>
    <t>东营区东城兆金诊所</t>
  </si>
  <si>
    <t>东营市河口海芝林大药店</t>
  </si>
  <si>
    <t>盐窝中心卫生院和平村卫生室</t>
  </si>
  <si>
    <t>东营信誉楼百货有限公司</t>
  </si>
  <si>
    <t>山东三金玻璃机械集团职工医院</t>
  </si>
  <si>
    <t>东营华佗国药大药房</t>
  </si>
  <si>
    <t>东营安泰大药房有限责任公司</t>
  </si>
  <si>
    <t>东营市东营区春天雨润大药房</t>
  </si>
  <si>
    <t>东营区仁旭康大药房有限公司</t>
  </si>
  <si>
    <t>山东胜利药业有限公司纯梁一品药店</t>
  </si>
  <si>
    <t>广饶益福堂医药有限公司</t>
  </si>
  <si>
    <t>东营市康家福大药店</t>
  </si>
  <si>
    <t>东营市仁心药业有限公司胶州路店</t>
  </si>
  <si>
    <t>东营广仁堂药业有限公司</t>
  </si>
  <si>
    <t>山东胜利药业有限公司河口一品药店</t>
  </si>
  <si>
    <t>山东胜利药业有限公司仙河一品药店</t>
  </si>
  <si>
    <t>山东胜利药业有限公司宝生堂一品药店</t>
  </si>
  <si>
    <t>东营市双皕堂大药房有限公司</t>
  </si>
  <si>
    <t>孤岛相心正诊所</t>
  </si>
  <si>
    <t>东营泽康药业有限公司农高区店</t>
  </si>
  <si>
    <t>广饶县三柳药店</t>
  </si>
  <si>
    <t>广饶县惠康药店</t>
  </si>
  <si>
    <t>垦利汇丰中医诊所</t>
  </si>
  <si>
    <t>河口区六合健芝林药店</t>
  </si>
  <si>
    <t>稻庄镇高家大营村卫生室</t>
  </si>
  <si>
    <t>东营市颐兴堂医药有限公司</t>
  </si>
  <si>
    <t>新盖中盖高钙片/成人</t>
  </si>
  <si>
    <t>葡萄糖酸钙口服溶液（含糖型）</t>
  </si>
  <si>
    <t>注射用乳糖酸阿奇霉素/齐宏</t>
  </si>
  <si>
    <t>复方铝酸铋片/胃必治</t>
  </si>
  <si>
    <t>颠茄磺苄啶片/泻利停</t>
  </si>
  <si>
    <t>阿莫西林胶囊 益萨林</t>
  </si>
  <si>
    <t>0.25g*10支</t>
  </si>
  <si>
    <t>7枚</t>
  </si>
  <si>
    <t>0.5g*12粒*3板</t>
  </si>
  <si>
    <t>228.5mg*12片</t>
  </si>
  <si>
    <t>8粒</t>
  </si>
  <si>
    <t>哈药集团三精儿童大药厂(有限公司)</t>
  </si>
  <si>
    <t>滨城李宝华诊所</t>
  </si>
  <si>
    <t>滨州乐家康缘医药有限公司</t>
  </si>
  <si>
    <t>博兴县百姓缘大药房</t>
  </si>
  <si>
    <t>利津县凤凰城街道店子村第二卫生室</t>
  </si>
  <si>
    <t>滨城区市东街道办事处王兰卫生室</t>
  </si>
  <si>
    <t>博兴传香诊所</t>
  </si>
  <si>
    <t>博兴朝阳诊所</t>
  </si>
  <si>
    <t>滨城董向让诊所</t>
  </si>
  <si>
    <t>滨城区市东街道办事处西宋第二卫生室</t>
  </si>
  <si>
    <t>滨州技师学院卫生室</t>
  </si>
  <si>
    <t>滨州市滨城区尚集乡利民扶贫药店</t>
  </si>
  <si>
    <t>滨城张玉萍诊所</t>
  </si>
  <si>
    <t>槐荫济生诊所</t>
  </si>
  <si>
    <t>济南市历城区港沟街道办事处神武第一卫生室</t>
  </si>
  <si>
    <t>槐荫康缘诊所</t>
  </si>
  <si>
    <t>济阳县继清大药房</t>
  </si>
  <si>
    <t>济南市历下区刘智远村卫生室</t>
  </si>
  <si>
    <t>平阴县万全大药店</t>
  </si>
  <si>
    <t>历城圣杰中医诊所</t>
  </si>
  <si>
    <t>济南市高新区临港办事处苏新村卫生室</t>
  </si>
  <si>
    <t>章丘市高官寨镇西胡村卫生室</t>
  </si>
  <si>
    <t>济南高新区牛旺居委会卫生室</t>
  </si>
  <si>
    <t>平阴东关居小辛庄卫生所</t>
  </si>
  <si>
    <t>济南惠尔佳大药房有限公司和平路店</t>
  </si>
  <si>
    <t>天桥健安诊所</t>
  </si>
  <si>
    <t>济南市历城区鲍山街道办曲家村卫生室</t>
  </si>
  <si>
    <t>槐荫益民诊所</t>
  </si>
  <si>
    <t>槐荫永康诊所</t>
  </si>
  <si>
    <t>槐荫长春医馆</t>
  </si>
  <si>
    <t>历城爱民诊所</t>
  </si>
  <si>
    <t>济南春归堂药店有限公司</t>
  </si>
  <si>
    <t>济南市历城区王舍人街道办大辛村卫生室</t>
  </si>
  <si>
    <t>济南市历城区唐冶街道办事处西邢村卫生室</t>
  </si>
  <si>
    <t>槐荫惠康诊所</t>
  </si>
  <si>
    <t>山东世得大药房连锁有限公司</t>
  </si>
  <si>
    <t>章丘市圣井街道办事处宋李福村卫生室</t>
  </si>
  <si>
    <t>平阴民益堂药店</t>
  </si>
  <si>
    <t>济南市长清区延寿堂大药房</t>
  </si>
  <si>
    <t>高新济世堂中医诊所</t>
  </si>
  <si>
    <t>仁风镇大牛李村卫生室</t>
  </si>
  <si>
    <t>济南市历城区仲宫镇左而村卫生室</t>
  </si>
  <si>
    <t>商河县郑路镇展家村卫生室</t>
  </si>
  <si>
    <t>玫瑰镇郭套村卫生室</t>
  </si>
  <si>
    <t>济南中尊医道安洛医院有限公司</t>
  </si>
  <si>
    <t>济南美里大药房有限公司</t>
  </si>
  <si>
    <t>山东修正堂大药房有限公司</t>
  </si>
  <si>
    <t>济南市成义明珠药品有限公司</t>
  </si>
  <si>
    <t>济南章丘周春德内科诊所</t>
  </si>
  <si>
    <t>济南市中自安堂诊所</t>
  </si>
  <si>
    <t>槐荫刘庄诊所</t>
  </si>
  <si>
    <t>高新瑞安堂诊所</t>
  </si>
  <si>
    <t>长清区万德镇万北村卫生室</t>
  </si>
  <si>
    <t>天桥三平诊所</t>
  </si>
  <si>
    <t>天桥区大桥镇靳家村卫生室</t>
  </si>
  <si>
    <t>槐荫良实中西医结合诊所</t>
  </si>
  <si>
    <t>海会寺村卫生室</t>
  </si>
  <si>
    <t>济南惠尔佳大药房有限公司济洛路店</t>
  </si>
  <si>
    <t>新市镇张家村卫生室</t>
  </si>
  <si>
    <t>商河县恒牛大药房</t>
  </si>
  <si>
    <t>济阳县太平连升药店</t>
  </si>
  <si>
    <t>狮子楼办事处南街村三卫生室</t>
  </si>
  <si>
    <t>济南市市中区党家街道办事处罗而村第二卫生室</t>
  </si>
  <si>
    <t>10ml*10支（1ml相当于1.5g）</t>
  </si>
  <si>
    <t>10ml*12支（含糖型）</t>
  </si>
  <si>
    <t>63g(1.75g*36片)</t>
  </si>
  <si>
    <t>济南市历城区港沟街道办事处坞西村卫生室</t>
  </si>
  <si>
    <t>济南市市中区党家街道办事处西渴马西村卫生室</t>
  </si>
  <si>
    <t>济南市历城区董家镇柿子园村卫生室</t>
  </si>
  <si>
    <t>高新区孙村西小龙村卫生室</t>
  </si>
  <si>
    <t>济南市市中区党家街道办事处展东村卫生室</t>
  </si>
  <si>
    <t>济南市历城区华山办事处北陈村卫生室</t>
  </si>
  <si>
    <t>历城健民诊所</t>
  </si>
  <si>
    <t>槐荫民康诊所</t>
  </si>
  <si>
    <t>济南市高新区临港办事处西河北村卫生室</t>
  </si>
  <si>
    <t>济南市中舜欣诊所</t>
  </si>
  <si>
    <t>济南市中舜城诊所</t>
  </si>
  <si>
    <t>济南德仁堂药品零售有限公司</t>
  </si>
  <si>
    <t>济南市历城区港沟办事处神武村第二卫生室</t>
  </si>
  <si>
    <t>济南市高新区临港办事处曹官庄村卫生室</t>
  </si>
  <si>
    <t>济南市市中区陡沟街道办事处董庄村卫生室</t>
  </si>
  <si>
    <t>济南市市中区党家街道办事处东渴马村卫生室</t>
  </si>
  <si>
    <t>济南市中鸿园诊所</t>
  </si>
  <si>
    <t>济南好得快大药房有限公司</t>
  </si>
  <si>
    <t>济南顺成民和药品零售有限公司</t>
  </si>
  <si>
    <t>济南市市中区党家街道办事处小白村卫生室</t>
  </si>
  <si>
    <t>济南市中龙康诊所</t>
  </si>
  <si>
    <t>济南方和大药店有限公司</t>
  </si>
  <si>
    <t>天桥区药山街道办事处张庄社区居委会卫生室</t>
  </si>
  <si>
    <t>济南市市中区七贤街道办事处后龙窝庄村卫生室</t>
  </si>
  <si>
    <t>济南市历城区唐王镇西八户村卫生室</t>
  </si>
  <si>
    <t>济南百佳惠大药房有限公司大魏明都店</t>
  </si>
  <si>
    <t>天桥信德诊所</t>
  </si>
  <si>
    <t>槐荫区玉清湖街道办事处大李村卫生室</t>
  </si>
  <si>
    <t>济南市章丘区圣井街道办事处南栗园村卫生室</t>
  </si>
  <si>
    <t>济南神明药店</t>
  </si>
  <si>
    <t>天桥凤华诊所</t>
  </si>
  <si>
    <t>济南市历城区柳埠镇桃科村卫生室</t>
  </si>
  <si>
    <t>济南市市中区党家街道办事处党西村第二卫生室</t>
  </si>
  <si>
    <t>济南市市中区七贤街道办事处七贤庄村卫生室</t>
  </si>
  <si>
    <t>长清区文昌街道东三里村卫生室</t>
  </si>
  <si>
    <t>济南市历城区柳埠镇槲疃北村卫生室</t>
  </si>
  <si>
    <t>济南历城华康诊所</t>
  </si>
  <si>
    <t>济南市章丘区白云湖镇石东村卫生室</t>
  </si>
  <si>
    <t>历城博爱利民诊所</t>
  </si>
  <si>
    <t>济南恒泰大药房有限公司</t>
  </si>
  <si>
    <t>天桥区泺口街道办事处泺西社区居委会卫生室</t>
  </si>
  <si>
    <t>济南槐荫惠泽堂中医诊所</t>
  </si>
  <si>
    <t>济南市历城区唐王镇河阳村卫生室</t>
  </si>
  <si>
    <t>济南市历城区东风办事处洪苑社区卫生服务站</t>
  </si>
  <si>
    <t>槐荫一心诊所</t>
  </si>
  <si>
    <t>长清区平安街道赵庄村卫生室</t>
  </si>
  <si>
    <t>济南百佳惠大药房有限公司海亮艺术华府店</t>
  </si>
  <si>
    <t>济南市国有北郊林场卫生所</t>
  </si>
  <si>
    <t>济南丹溪大药房有限公司</t>
  </si>
  <si>
    <t>槐荫区段店北路街道刘家堂社区卫生室</t>
  </si>
  <si>
    <t>济南高新技术产业开发区章锦办事处色峪村卫生室</t>
  </si>
  <si>
    <t>济南新诺药房有限公司</t>
  </si>
  <si>
    <t>天桥区桑梓店镇老寨村卫生室</t>
  </si>
  <si>
    <t>济南市中春意诊所</t>
  </si>
  <si>
    <t>济南市历城区柳埠镇下海螺峪村卫生室</t>
  </si>
  <si>
    <t>济南市天桥区惠仁大药房</t>
  </si>
  <si>
    <t>天桥区桑梓店镇后房村卫生室</t>
  </si>
  <si>
    <t>长清区文昌花苑诊所</t>
  </si>
  <si>
    <t>济南御医堂医药零售有限公司</t>
  </si>
  <si>
    <t>济南历城仁康诊所</t>
  </si>
  <si>
    <t>济南市中健平诊所</t>
  </si>
  <si>
    <t>济南市中德缘诊所</t>
  </si>
  <si>
    <t>长清区张夏镇宋庄村卫生室</t>
  </si>
  <si>
    <t>济南市中永康诊所</t>
  </si>
  <si>
    <t>历下平民诊所</t>
  </si>
  <si>
    <t>历城长春诊所</t>
  </si>
  <si>
    <t>济南民意大药房有限公司</t>
  </si>
  <si>
    <t>济南市章丘市慢性病防治站桃花山路诊所</t>
  </si>
  <si>
    <t>济南市历城区唐冶街道办事处唐官小区大官村第二卫生室</t>
  </si>
  <si>
    <t>济南市历城区港沟街道办事处河西村卫生室</t>
  </si>
  <si>
    <t>槐荫惠兴诊所</t>
  </si>
  <si>
    <t>济南市市中区十六里河街道办事处南康村卫生室</t>
  </si>
  <si>
    <t>天桥康宏诊所</t>
  </si>
  <si>
    <t>市中国华康复诊所</t>
  </si>
  <si>
    <t>天桥区桑梓店镇东秦村卫生室</t>
  </si>
  <si>
    <t>长清区孝里镇广里店村卫生室</t>
  </si>
  <si>
    <t>济南吴家堡大药房有限公司</t>
  </si>
  <si>
    <t>济南康客佳大药房有限公司</t>
  </si>
  <si>
    <t>济南荣顺平民大药房有限公司</t>
  </si>
  <si>
    <t>长清区文昌街道东铺村卫生室</t>
  </si>
  <si>
    <t>长清区张夏镇青南村卫生室</t>
  </si>
  <si>
    <t>长清区万德镇义灵关村卫生室</t>
  </si>
  <si>
    <t>历城正大诊所</t>
  </si>
  <si>
    <t>(精)注射用乳糖酸阿奇霉素</t>
  </si>
  <si>
    <t>颠茄磺苄啶片(泻利停)</t>
  </si>
  <si>
    <t>葡萄糖酸钙口服溶液10%</t>
  </si>
  <si>
    <t>血府逐瘀丸(大蜜丸)</t>
  </si>
  <si>
    <t>0.5g*10粒*2板</t>
  </si>
  <si>
    <t>12片*1板</t>
  </si>
  <si>
    <t>0.2g*10粒*3板</t>
  </si>
  <si>
    <t>0.125g*10支</t>
  </si>
  <si>
    <t>蓬莱登州大海诊所</t>
  </si>
  <si>
    <t>栖霞市臧家庄镇郭家店村卫生室</t>
  </si>
  <si>
    <t>福山区回里镇巨甲村卫生室</t>
  </si>
  <si>
    <t>烟台仁济大药房连锁医药有限公司五十店</t>
  </si>
  <si>
    <t>烟台仁济大药房连锁医药有限公司七十五店</t>
  </si>
  <si>
    <t>烟台仁济大药房连锁医药有限公司三十店</t>
  </si>
  <si>
    <t>赵淑芝内科诊所</t>
  </si>
  <si>
    <t>烟台济世和顺堂医药有限公司</t>
  </si>
  <si>
    <t>烟台仁济大药房连锁医药有限公司二十二店</t>
  </si>
  <si>
    <t>烟台仁济大药房连锁医药有限公司四十五店</t>
  </si>
  <si>
    <t>烟台仁济大药房连锁医药有限公司一店</t>
  </si>
  <si>
    <t>烟台仁济大药房连锁医药有限公司八店</t>
  </si>
  <si>
    <t>烟台仁济大药房连锁医药有限公司十六店</t>
  </si>
  <si>
    <t>烟台仁济大药房连锁医药有限公司十七店</t>
  </si>
  <si>
    <t>栖霞市桃村镇营盘村卫生室</t>
  </si>
  <si>
    <t>烟台仁济大药房连锁医药有限公司十八店</t>
  </si>
  <si>
    <t>烟台仁济大药房连锁医药有限公司五十八店</t>
  </si>
  <si>
    <t>烟台仁济大药房连锁医药有限公司七店</t>
  </si>
  <si>
    <t>娄晓明中医诊所</t>
  </si>
  <si>
    <t>烟台仁济大药房连锁医药有限公司三十五店</t>
  </si>
  <si>
    <t>栖霞市金康大药店</t>
  </si>
  <si>
    <t>烟台仁济大药房连锁医药有限公司十二店</t>
  </si>
  <si>
    <t>衣永杰中医诊所</t>
  </si>
  <si>
    <t>龙口市石良祖芹诊所</t>
  </si>
  <si>
    <t>刘志华诊所</t>
  </si>
  <si>
    <t>包兴芝外科诊所</t>
  </si>
  <si>
    <t>健民诊所</t>
  </si>
  <si>
    <t>刘芳军内科诊所</t>
  </si>
  <si>
    <t>烟台仁济大药房连锁医药有限公司十五店</t>
  </si>
  <si>
    <t>烟台仁济大药房连锁医药有限公司三十二店</t>
  </si>
  <si>
    <t>招远市金城医药有限公司</t>
  </si>
  <si>
    <t>龙口市天之泰药业有限公司</t>
  </si>
  <si>
    <t>烟台爱心医药有限公司</t>
  </si>
  <si>
    <t>烟台仁济大药房连锁医药有限公司三店</t>
  </si>
  <si>
    <t>烟台仁济大药房连锁医药有限公司五店</t>
  </si>
  <si>
    <t>烟台仁济大药房连锁医药有限公司二十五店</t>
  </si>
  <si>
    <t>烟台仁济大药房连锁医药有限公司九十二店</t>
  </si>
  <si>
    <t>烟台仁济大药房连锁医药有限公司七十一店</t>
  </si>
  <si>
    <t>烟台仁济大药房连锁医药有限公司十九店</t>
  </si>
  <si>
    <t>烟台仁济大药房连锁医药有限公司九十六店</t>
  </si>
  <si>
    <t>曲桂芝西医诊所</t>
  </si>
  <si>
    <t>烟台仁济大药房连锁医药有限公司八十八店</t>
  </si>
  <si>
    <t>李少辉中医诊所</t>
  </si>
  <si>
    <t>烟台仁济大药房连锁医药有限公司四十店</t>
  </si>
  <si>
    <t>和光金属卫生室</t>
  </si>
  <si>
    <t>烟台百姓医药有限公司</t>
  </si>
  <si>
    <t>烟台市三合大药房</t>
  </si>
  <si>
    <t>烟台仁济大药房连锁医药有限公司海阳盛宴店</t>
  </si>
  <si>
    <t>招远市医药有限责任公司</t>
  </si>
  <si>
    <t>烟台仁济大药房连锁医药有限公司六店</t>
  </si>
  <si>
    <t>烟台仁济大药房连锁医药有限公司二店</t>
  </si>
  <si>
    <t>烟台仁济大药房连锁医药有限公司九店</t>
  </si>
  <si>
    <t>烟台市康立医药有限公司</t>
  </si>
  <si>
    <t>烟台市中心血站</t>
  </si>
  <si>
    <t>烟台仁济大药房连锁医药有限公司八十三店</t>
  </si>
  <si>
    <t>栖霞范淑敏诊所</t>
  </si>
  <si>
    <t>烟台济生医药有限公司</t>
  </si>
  <si>
    <t>烟台仁济大药房连锁医药有限公司四十六店</t>
  </si>
  <si>
    <t>烟台仁济大药房连锁医药有限公司三十九店</t>
  </si>
  <si>
    <t>蓬莱市同济大药房</t>
  </si>
  <si>
    <t>蓬莱双桥诊所</t>
  </si>
  <si>
    <t>烟台仁济大药房连锁医药有限公司四十八店</t>
  </si>
  <si>
    <t>烟台健宝堂大药房有限公司</t>
  </si>
  <si>
    <t>栖霞市桃村镇水有兰村卫生室</t>
  </si>
  <si>
    <t>蓬莱利民诊所</t>
  </si>
  <si>
    <t>烟台仁济大药房连锁医药有限公司二十一店</t>
  </si>
  <si>
    <t>烟台仁济大药房连锁医药有限公司二十六店</t>
  </si>
  <si>
    <t>蓬莱市蓬莱阁医药有限公司</t>
  </si>
  <si>
    <t>林永平中西医诊所</t>
  </si>
  <si>
    <t>瑞福源中医诊所</t>
  </si>
  <si>
    <t>龙口市济世诊所</t>
  </si>
  <si>
    <t>龙口市王兆福中医诊所</t>
  </si>
  <si>
    <t>烟台仁济大药房连锁医药有限公司一百零五店</t>
  </si>
  <si>
    <t>烟台仁济大药房连锁医药有限公司三十八店</t>
  </si>
  <si>
    <t>烟台仁济大药房连锁医药有限公司蓬莱遇驾夼店</t>
  </si>
  <si>
    <t>烟台仁济大药房连锁医药有限公司七十二店</t>
  </si>
  <si>
    <t>烟台仁济大药房连锁医药有限公司七十八店</t>
  </si>
  <si>
    <t>海阳协和药店</t>
  </si>
  <si>
    <t>烟台仁济大药房连锁医药有限公司四十七店</t>
  </si>
  <si>
    <t>招远市桂峰大药房</t>
  </si>
  <si>
    <t>烟台仁济大药房连锁医药有限公司八十九店</t>
  </si>
  <si>
    <t>蓬莱为民诊所</t>
  </si>
  <si>
    <t>万科社区卫生服务站</t>
  </si>
  <si>
    <t>烟台仁济大药房连锁医药有限公司四十一店</t>
  </si>
  <si>
    <t>烟台仁济大药房连锁医药有限公司三十七店</t>
  </si>
  <si>
    <t>栖霞市桃村镇西草铺村卫生室</t>
  </si>
  <si>
    <t>招远市万寿大药店</t>
  </si>
  <si>
    <t>烟台仁济大药房连锁医药有限公司十店</t>
  </si>
  <si>
    <t>烟台仁济大药房连锁医药有限公司三十三店</t>
  </si>
  <si>
    <t>栖霞市经济技术开发区东北桥村卫生室</t>
  </si>
  <si>
    <t>烟台仁济大药房连锁医药有限公司四十九店</t>
  </si>
  <si>
    <t>栖霞市华林药店</t>
  </si>
  <si>
    <t>烟台市芝罘区世回尧街道世秀社区卫生服务站</t>
  </si>
  <si>
    <t>大才西医诊所</t>
  </si>
  <si>
    <t>烟台仁济大药房连锁医药有限公司一百零八店</t>
  </si>
  <si>
    <t>栖霞市臧家庄镇西林村卫生室</t>
  </si>
  <si>
    <t>烟台市芝罘区幸福街道幸福社区卫生服务站</t>
  </si>
  <si>
    <t>烟台市世济美康医药有限公司</t>
  </si>
  <si>
    <t>蓬莱艳秋中医诊所</t>
  </si>
  <si>
    <t>蓬莱市康悦大药房</t>
  </si>
  <si>
    <t>烟台开发区银芝社区卫生服务站</t>
  </si>
  <si>
    <t>蓬莱市杏林科技有限公司医药商城</t>
  </si>
  <si>
    <t>烟台仁济大药房连锁医药有限公司九十九店</t>
  </si>
  <si>
    <t>烟台仁济大药房连锁医药有限公司二十八店</t>
  </si>
  <si>
    <t>烟台仁济大药房连锁医药有限公司四十二店</t>
  </si>
  <si>
    <t>龙口市北马镇益民大药房</t>
  </si>
  <si>
    <t>招远市玲珑镇欧家夼村卫生室</t>
  </si>
  <si>
    <t>烟台仁济大药房连锁医药有限公司二十店</t>
  </si>
  <si>
    <t>海阳市百诺大药房</t>
  </si>
  <si>
    <t>烟台至诚健康管理服务有限公司诊所</t>
  </si>
  <si>
    <t>烟台仁济大药房连锁医药有限公司十一店</t>
  </si>
  <si>
    <t>烟台龙军中医院有限公司</t>
  </si>
  <si>
    <t>烟台仁济大药房连锁医药有限公司一百店</t>
  </si>
  <si>
    <t>栖霞市开心大药房亭口分店</t>
  </si>
  <si>
    <t>烟台市芝罘区幸福街道华信社区卫生服务站</t>
  </si>
  <si>
    <t>招远市德祥大药房*</t>
  </si>
  <si>
    <t>栖霞市燕喜堂大药房</t>
  </si>
  <si>
    <t>烟台仁济大药房连锁医药有限公司蓬莱沙沟店</t>
  </si>
  <si>
    <t>招远市康平大药房*</t>
  </si>
  <si>
    <t>招远市梓康大药房</t>
  </si>
  <si>
    <t>烟台惠仁医药有限公司</t>
  </si>
  <si>
    <t>烟台市福山区恒润堂大药房*</t>
  </si>
  <si>
    <t>烟台市福山区恒康堂药房*</t>
  </si>
  <si>
    <t>福山高新技术产业区小陈家村卫生室</t>
  </si>
  <si>
    <t xml:space="preserve">牛黄消炎片 </t>
  </si>
  <si>
    <t>逐瘀通脉胶囊</t>
  </si>
  <si>
    <t>哈药痛可贴跌打损伤型</t>
  </si>
  <si>
    <t>哈药痛可贴骨质增生型</t>
  </si>
  <si>
    <t>哈药痛可贴颈椎型</t>
  </si>
  <si>
    <t>哈药痛可贴腰椎型</t>
  </si>
  <si>
    <t>罗红霉素分散片（成人）</t>
  </si>
  <si>
    <t>罗红霉素分散片（儿童）</t>
  </si>
  <si>
    <t>颠茄磺苄啶片（成人）</t>
  </si>
  <si>
    <t>哈药痛可贴关节炎型</t>
  </si>
  <si>
    <t>哈药痛可贴肩周型</t>
  </si>
  <si>
    <t>颠茄磺苄啶片（儿童型）</t>
  </si>
  <si>
    <t>0.2g*18粒</t>
  </si>
  <si>
    <t>4贴</t>
  </si>
  <si>
    <t xml:space="preserve">1.2g*18片 </t>
  </si>
  <si>
    <t>哈药集团三精千鹤制药有限公司</t>
  </si>
  <si>
    <t xml:space="preserve">哈药集团三精制药四厂有限公司  </t>
  </si>
  <si>
    <t xml:space="preserve">哈药集团三精制药四厂有限公司 </t>
  </si>
  <si>
    <t>A1611005</t>
  </si>
  <si>
    <t>注射用丹参（冻干）400mg哈药集团中药二厂</t>
  </si>
  <si>
    <t>注射用丹参400mg哈药集团中药二厂</t>
  </si>
  <si>
    <t>注射用双黄连(冻干)600mg哈药集团中药二厂</t>
  </si>
  <si>
    <t>注射用奥美拉唑钠40mg哈药集团生物工程</t>
  </si>
  <si>
    <t>济南军区第四五六医院</t>
  </si>
  <si>
    <t>惠民县妇幼保健院</t>
  </si>
  <si>
    <t>滨州市沾化区人民医院</t>
  </si>
  <si>
    <t>菏泽建生医院</t>
  </si>
  <si>
    <t>东平县银山镇中心卫生院</t>
  </si>
  <si>
    <t>郓城县黄集乡卫生院</t>
  </si>
  <si>
    <t>郓城县第二人民医院</t>
  </si>
  <si>
    <t>汶上县杨店医院</t>
  </si>
  <si>
    <t>巨野县开发区社区卫生服务中心</t>
  </si>
  <si>
    <t>郓城县潘渡镇卫生院</t>
  </si>
  <si>
    <t>莱阳市万第中心卫生院</t>
  </si>
  <si>
    <t>寒亭街道镜湖社区卫生服务站</t>
  </si>
  <si>
    <t>黛溪办郭庄中心卫生室</t>
  </si>
  <si>
    <t>台子镇曹务中心卫生室</t>
  </si>
  <si>
    <t>邹平县中医院一中医务室</t>
  </si>
  <si>
    <t>黛溪办成五中心卫生室</t>
  </si>
  <si>
    <t>黛溪办王银河卫生室</t>
  </si>
  <si>
    <t>博兴县城东街道崇德社区卫生室</t>
  </si>
  <si>
    <t>胡集镇石槽朱村卫生室</t>
  </si>
  <si>
    <t>台子镇姚家村姚立东卫生室</t>
  </si>
  <si>
    <t>码头镇南高中心卫生室</t>
  </si>
  <si>
    <t>九户镇西河沟中心卫生室</t>
  </si>
  <si>
    <t>焦桥镇东杜中心卫生室</t>
  </si>
  <si>
    <t>哈药集团三精制药制药股份有限公司</t>
  </si>
  <si>
    <t>哈药集团三精儿童大药厂（有限公司）</t>
  </si>
  <si>
    <t>哈药集团三精四厂有限公司</t>
  </si>
  <si>
    <t>A1605018</t>
  </si>
  <si>
    <t>A1708009</t>
  </si>
  <si>
    <t>A1703201</t>
  </si>
  <si>
    <t>临沂市河东区人民医院</t>
  </si>
  <si>
    <t>枣庄市天源药业有限公司</t>
  </si>
  <si>
    <t>合并规格唯一化</t>
    <phoneticPr fontId="57" type="noConversion"/>
  </si>
  <si>
    <t>批次号</t>
    <phoneticPr fontId="57" type="noConversion"/>
  </si>
  <si>
    <t>B1712002-2</t>
  </si>
  <si>
    <t>A1707022</t>
  </si>
  <si>
    <t>A1706016</t>
  </si>
  <si>
    <t>A1706034</t>
  </si>
  <si>
    <t>B1709002-1</t>
  </si>
  <si>
    <t>B1712002-1</t>
  </si>
  <si>
    <t>A1611002</t>
  </si>
  <si>
    <t>A1711001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</si>
</sst>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* #,##0_);_(* \(#,##0\);_(* &quot;-&quot;_);_(@_)"/>
    <numFmt numFmtId="177" formatCode="_(* #,##0.00_);_(* \(#,##0.00\);_(* &quot;-&quot;??_);_(@_)"/>
    <numFmt numFmtId="178" formatCode="[$-F400]h:mm:ss\ AM/PM"/>
    <numFmt numFmtId="179" formatCode="_ \¥* #,##0.00_ ;_ \¥* \-#,##0.00_ ;_ \¥* &quot;-&quot;??_ ;_ @_ "/>
    <numFmt numFmtId="180" formatCode="_-* #,##0_-;\-* #,##0_-;_-* &quot;-&quot;_-;_-@_-"/>
  </numFmts>
  <fonts count="58" x14ac:knownFonts="1">
    <font>
      <sz val="11"/>
      <color theme="1"/>
      <name val="宋体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color indexed="20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  <scheme val="minor"/>
    </font>
    <font>
      <sz val="10"/>
      <name val="Arial"/>
      <family val="2"/>
    </font>
    <font>
      <b/>
      <sz val="11"/>
      <color indexed="8"/>
      <name val="宋体"/>
      <family val="3"/>
      <charset val="134"/>
    </font>
    <font>
      <sz val="10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27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15"/>
      <color theme="3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1"/>
      <color theme="3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indexed="17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8"/>
      <color indexed="56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theme="1"/>
      <name val="Tahoma"/>
      <family val="2"/>
    </font>
    <font>
      <sz val="11"/>
      <color indexed="20"/>
      <name val="Tahoma"/>
      <family val="2"/>
    </font>
    <font>
      <b/>
      <sz val="11"/>
      <color indexed="9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20"/>
      <name val="Calibri"/>
      <family val="2"/>
    </font>
    <font>
      <b/>
      <sz val="15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17"/>
      <name val="Calibri"/>
      <family val="2"/>
    </font>
    <font>
      <b/>
      <sz val="13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1"/>
      <color indexed="27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17"/>
      <name val="Tahoma"/>
      <family val="2"/>
    </font>
    <font>
      <sz val="11"/>
      <color indexed="62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450666829432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3640">
    <xf numFmtId="0" fontId="0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1" fillId="0" borderId="0"/>
    <xf numFmtId="0" fontId="56" fillId="0" borderId="0">
      <alignment vertical="center"/>
    </xf>
    <xf numFmtId="0" fontId="8" fillId="0" borderId="0"/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2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9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177" fontId="4" fillId="0" borderId="0" applyFont="0" applyFill="0" applyBorder="0" applyAlignment="0" applyProtection="0"/>
    <xf numFmtId="0" fontId="56" fillId="0" borderId="0">
      <alignment vertical="center"/>
    </xf>
    <xf numFmtId="0" fontId="5" fillId="6" borderId="0" applyNumberFormat="0" applyBorder="0" applyAlignment="0" applyProtection="0">
      <alignment vertical="center"/>
    </xf>
    <xf numFmtId="9" fontId="6" fillId="0" borderId="0" applyFont="0" applyFill="0" applyBorder="0" applyAlignment="0" applyProtection="0"/>
    <xf numFmtId="0" fontId="56" fillId="0" borderId="0">
      <alignment vertical="center"/>
    </xf>
    <xf numFmtId="0" fontId="56" fillId="18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9" fontId="6" fillId="0" borderId="0" applyFont="0" applyFill="0" applyBorder="0" applyAlignment="0" applyProtection="0"/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19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56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0" borderId="0"/>
    <xf numFmtId="9" fontId="56" fillId="0" borderId="0" applyFont="0" applyFill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2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8" fillId="0" borderId="0"/>
    <xf numFmtId="0" fontId="2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/>
    <xf numFmtId="0" fontId="56" fillId="19" borderId="0" applyNumberFormat="0" applyBorder="0" applyAlignment="0" applyProtection="0">
      <alignment vertical="center"/>
    </xf>
    <xf numFmtId="0" fontId="56" fillId="0" borderId="0"/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2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32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8" fillId="0" borderId="0"/>
    <xf numFmtId="0" fontId="2" fillId="15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10" fillId="0" borderId="0"/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2" fillId="16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 applyBorder="0"/>
    <xf numFmtId="0" fontId="2" fillId="15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32" fillId="0" borderId="12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6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46" borderId="0" applyNumberFormat="0" applyBorder="0" applyAlignment="0" applyProtection="0">
      <alignment vertical="center"/>
    </xf>
    <xf numFmtId="0" fontId="8" fillId="0" borderId="0"/>
    <xf numFmtId="0" fontId="2" fillId="4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17" borderId="3" applyNumberFormat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10" fillId="0" borderId="0">
      <alignment vertical="top"/>
    </xf>
    <xf numFmtId="0" fontId="56" fillId="0" borderId="0">
      <alignment vertical="center"/>
    </xf>
    <xf numFmtId="0" fontId="56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8" fillId="0" borderId="0"/>
    <xf numFmtId="0" fontId="56" fillId="1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2" fillId="47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6" fillId="0" borderId="0">
      <alignment vertical="top"/>
    </xf>
    <xf numFmtId="0" fontId="56" fillId="0" borderId="0">
      <alignment vertical="center"/>
    </xf>
    <xf numFmtId="0" fontId="2" fillId="4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8" fillId="0" borderId="0"/>
    <xf numFmtId="0" fontId="2" fillId="4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8" fillId="0" borderId="0"/>
    <xf numFmtId="0" fontId="2" fillId="4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9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6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/>
    <xf numFmtId="0" fontId="56" fillId="39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56" fillId="0" borderId="0"/>
    <xf numFmtId="0" fontId="2" fillId="0" borderId="0">
      <alignment vertical="center"/>
    </xf>
    <xf numFmtId="0" fontId="56" fillId="39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56" fillId="39" borderId="0" applyNumberFormat="0" applyBorder="0" applyAlignment="0" applyProtection="0">
      <alignment vertical="center"/>
    </xf>
    <xf numFmtId="0" fontId="56" fillId="39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39" borderId="0" applyNumberFormat="0" applyBorder="0" applyAlignment="0" applyProtection="0">
      <alignment vertical="center"/>
    </xf>
    <xf numFmtId="0" fontId="4" fillId="0" borderId="0"/>
    <xf numFmtId="0" fontId="56" fillId="3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9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39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39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39" borderId="0" applyNumberFormat="0" applyBorder="0" applyAlignment="0" applyProtection="0">
      <alignment vertical="center"/>
    </xf>
    <xf numFmtId="0" fontId="56" fillId="0" borderId="0"/>
    <xf numFmtId="0" fontId="56" fillId="18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8" borderId="0" applyNumberFormat="0" applyBorder="0" applyAlignment="0" applyProtection="0">
      <alignment vertical="center"/>
    </xf>
    <xf numFmtId="0" fontId="8" fillId="0" borderId="0"/>
    <xf numFmtId="0" fontId="38" fillId="6" borderId="0" applyNumberFormat="0" applyBorder="0" applyAlignment="0" applyProtection="0"/>
    <xf numFmtId="0" fontId="56" fillId="18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8" borderId="0" applyNumberFormat="0" applyBorder="0" applyAlignment="0" applyProtection="0">
      <alignment vertical="center"/>
    </xf>
    <xf numFmtId="0" fontId="56" fillId="0" borderId="0"/>
    <xf numFmtId="0" fontId="56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8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6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56" fillId="0" borderId="0"/>
    <xf numFmtId="0" fontId="2" fillId="36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2" fillId="48" borderId="0" applyNumberFormat="0" applyBorder="0" applyAlignment="0" applyProtection="0">
      <alignment vertical="center"/>
    </xf>
    <xf numFmtId="0" fontId="56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6" fillId="8" borderId="0" applyNumberFormat="0" applyBorder="0" applyAlignment="0" applyProtection="0">
      <alignment vertical="center"/>
    </xf>
    <xf numFmtId="0" fontId="56" fillId="8" borderId="0" applyNumberFormat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33" fillId="0" borderId="0"/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2" borderId="0" applyNumberFormat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38" fillId="6" borderId="0" applyNumberFormat="0" applyBorder="0" applyAlignment="0" applyProtection="0"/>
    <xf numFmtId="0" fontId="2" fillId="7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8" fillId="0" borderId="0">
      <alignment vertical="center"/>
    </xf>
    <xf numFmtId="0" fontId="2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2" fillId="7" borderId="0" applyNumberFormat="0" applyBorder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" fillId="48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56" fillId="0" borderId="0"/>
    <xf numFmtId="0" fontId="56" fillId="19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41" fillId="4" borderId="0" applyNumberFormat="0" applyBorder="0" applyAlignment="0" applyProtection="0"/>
    <xf numFmtId="0" fontId="40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4" fillId="0" borderId="0"/>
    <xf numFmtId="0" fontId="56" fillId="19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/>
    <xf numFmtId="0" fontId="56" fillId="19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2" fillId="0" borderId="0">
      <alignment vertical="center"/>
    </xf>
    <xf numFmtId="0" fontId="6" fillId="0" borderId="0">
      <alignment vertical="top"/>
    </xf>
    <xf numFmtId="0" fontId="56" fillId="14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1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8" fillId="6" borderId="0" applyNumberFormat="0" applyBorder="0" applyAlignment="0" applyProtection="0"/>
    <xf numFmtId="0" fontId="31" fillId="0" borderId="0" applyNumberFormat="0" applyFill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14" borderId="0" applyNumberFormat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4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44" borderId="0" applyNumberFormat="0" applyBorder="0" applyAlignment="0" applyProtection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44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4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44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2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7" fillId="4" borderId="0" applyNumberFormat="0" applyBorder="0" applyAlignment="0" applyProtection="0"/>
    <xf numFmtId="0" fontId="15" fillId="2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56" fillId="0" borderId="0">
      <alignment vertical="center"/>
    </xf>
    <xf numFmtId="0" fontId="5" fillId="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8" fillId="0" borderId="0"/>
    <xf numFmtId="0" fontId="13" fillId="53" borderId="0" applyNumberFormat="0" applyBorder="0" applyAlignment="0" applyProtection="0">
      <alignment vertical="center"/>
    </xf>
    <xf numFmtId="0" fontId="8" fillId="0" borderId="0"/>
    <xf numFmtId="0" fontId="15" fillId="22" borderId="0" applyNumberFormat="0" applyBorder="0" applyAlignment="0" applyProtection="0">
      <alignment vertical="center"/>
    </xf>
    <xf numFmtId="0" fontId="8" fillId="0" borderId="0"/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22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42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5" fillId="4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15" fillId="42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1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17" fillId="51" borderId="0" applyNumberFormat="0" applyBorder="0" applyAlignment="0" applyProtection="0">
      <alignment vertical="center"/>
    </xf>
    <xf numFmtId="0" fontId="17" fillId="51" borderId="0" applyNumberFormat="0" applyBorder="0" applyAlignment="0" applyProtection="0">
      <alignment vertical="center"/>
    </xf>
    <xf numFmtId="0" fontId="56" fillId="0" borderId="0"/>
    <xf numFmtId="0" fontId="4" fillId="0" borderId="0">
      <alignment vertical="center"/>
    </xf>
    <xf numFmtId="0" fontId="56" fillId="0" borderId="0"/>
    <xf numFmtId="0" fontId="7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4" fillId="0" borderId="0" applyFont="0" applyFill="0" applyBorder="0" applyAlignment="0" applyProtection="0"/>
    <xf numFmtId="0" fontId="20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9" fontId="46" fillId="0" borderId="0">
      <alignment vertical="center"/>
    </xf>
    <xf numFmtId="0" fontId="24" fillId="0" borderId="8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6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" fillId="6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56" fillId="0" borderId="0"/>
    <xf numFmtId="177" fontId="4" fillId="0" borderId="0" applyFont="0" applyFill="0" applyBorder="0" applyAlignment="0" applyProtection="0"/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7" fontId="4" fillId="0" borderId="0" applyFont="0" applyFill="0" applyBorder="0" applyAlignment="0" applyProtection="0"/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1" fillId="4" borderId="0" applyNumberFormat="0" applyBorder="0" applyAlignment="0" applyProtection="0"/>
    <xf numFmtId="0" fontId="18" fillId="0" borderId="5" applyNumberFormat="0" applyFill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9" fillId="0" borderId="15" applyNumberFormat="0" applyFill="0" applyAlignment="0" applyProtection="0">
      <alignment vertical="center"/>
    </xf>
    <xf numFmtId="0" fontId="56" fillId="0" borderId="0">
      <alignment vertical="center"/>
    </xf>
    <xf numFmtId="0" fontId="39" fillId="0" borderId="15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56" fillId="0" borderId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56" fillId="0" borderId="0">
      <alignment vertical="center"/>
    </xf>
    <xf numFmtId="0" fontId="42" fillId="0" borderId="17" applyNumberFormat="0" applyFill="0" applyAlignment="0" applyProtection="0">
      <alignment vertical="center"/>
    </xf>
    <xf numFmtId="0" fontId="56" fillId="0" borderId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7" fillId="0" borderId="0">
      <alignment vertical="center"/>
    </xf>
    <xf numFmtId="0" fontId="21" fillId="0" borderId="9" applyNumberFormat="0" applyFill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2" fillId="0" borderId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56" fillId="0" borderId="0">
      <alignment vertical="center"/>
    </xf>
    <xf numFmtId="0" fontId="40" fillId="0" borderId="19" applyNumberFormat="0" applyFill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40" fillId="0" borderId="1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177" fontId="6" fillId="0" borderId="0" applyFont="0" applyFill="0" applyBorder="0" applyAlignment="0" applyProtection="0"/>
    <xf numFmtId="0" fontId="56" fillId="0" borderId="0">
      <alignment vertical="center"/>
    </xf>
    <xf numFmtId="0" fontId="40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47" fillId="0" borderId="0" applyNumberFormat="0" applyFill="0" applyBorder="0" applyAlignment="0" applyProtection="0">
      <alignment vertical="center"/>
    </xf>
    <xf numFmtId="0" fontId="6" fillId="0" borderId="0"/>
    <xf numFmtId="0" fontId="20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6" fillId="0" borderId="0">
      <alignment vertical="center"/>
    </xf>
    <xf numFmtId="0" fontId="38" fillId="6" borderId="0" applyNumberFormat="0" applyBorder="0" applyAlignment="0" applyProtection="0"/>
    <xf numFmtId="0" fontId="38" fillId="6" borderId="0" applyNumberFormat="0" applyBorder="0" applyAlignment="0" applyProtection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4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" fillId="6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/>
    <xf numFmtId="0" fontId="15" fillId="40" borderId="0" applyNumberFormat="0" applyBorder="0" applyAlignment="0" applyProtection="0">
      <alignment vertical="center"/>
    </xf>
    <xf numFmtId="0" fontId="38" fillId="6" borderId="0" applyNumberFormat="0" applyBorder="0" applyAlignment="0" applyProtection="0"/>
    <xf numFmtId="0" fontId="5" fillId="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6" borderId="0" applyNumberFormat="0" applyBorder="0" applyAlignment="0" applyProtection="0"/>
    <xf numFmtId="0" fontId="56" fillId="0" borderId="0">
      <alignment vertical="center"/>
    </xf>
    <xf numFmtId="0" fontId="5" fillId="6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4" fillId="0" borderId="0"/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8" fillId="0" borderId="0"/>
    <xf numFmtId="0" fontId="56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56" fillId="0" borderId="0"/>
    <xf numFmtId="0" fontId="5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56" fillId="0" borderId="0"/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/>
    <xf numFmtId="0" fontId="56" fillId="0" borderId="0">
      <alignment vertical="center"/>
    </xf>
    <xf numFmtId="0" fontId="8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8" fillId="45" borderId="13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1" fillId="4" borderId="0" applyNumberFormat="0" applyBorder="0" applyAlignment="0" applyProtection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2" fillId="27" borderId="7" applyNumberFormat="0" applyAlignment="0" applyProtection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178" fontId="56" fillId="0" borderId="0"/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178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33" fillId="0" borderId="0"/>
    <xf numFmtId="0" fontId="27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8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0" fillId="34" borderId="0" applyNumberFormat="0" applyBorder="0" applyAlignment="0" applyProtection="0">
      <alignment vertical="center"/>
    </xf>
    <xf numFmtId="0" fontId="56" fillId="0" borderId="0">
      <alignment vertical="center"/>
    </xf>
    <xf numFmtId="0" fontId="49" fillId="5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9" fillId="5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/>
    <xf numFmtId="0" fontId="56" fillId="0" borderId="0"/>
    <xf numFmtId="0" fontId="56" fillId="0" borderId="0"/>
    <xf numFmtId="0" fontId="7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3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35" fillId="45" borderId="13" applyNumberFormat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5" fillId="25" borderId="3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25" fillId="25" borderId="3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/>
    <xf numFmtId="0" fontId="2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30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5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8" fillId="0" borderId="0"/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0" fillId="3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9" fillId="5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29" fillId="3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1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15" fillId="37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178" fontId="4" fillId="0" borderId="0"/>
    <xf numFmtId="0" fontId="6" fillId="0" borderId="0">
      <alignment vertical="top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178" fontId="4" fillId="0" borderId="0"/>
    <xf numFmtId="0" fontId="56" fillId="0" borderId="0"/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10" fillId="0" borderId="0"/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0" fillId="0" borderId="0"/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9" fillId="53" borderId="0" applyNumberFormat="0" applyBorder="0" applyAlignment="0" applyProtection="0">
      <alignment vertical="center"/>
    </xf>
    <xf numFmtId="0" fontId="56" fillId="0" borderId="0">
      <alignment vertical="center"/>
    </xf>
    <xf numFmtId="0" fontId="49" fillId="53" borderId="0" applyNumberFormat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6" fillId="0" borderId="0">
      <alignment vertical="top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7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>
      <alignment vertical="top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/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7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4" fillId="0" borderId="0"/>
    <xf numFmtId="0" fontId="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14" fillId="0" borderId="0">
      <alignment vertical="center"/>
    </xf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56" fillId="24" borderId="4" applyNumberFormat="0" applyFont="0" applyAlignment="0" applyProtection="0">
      <alignment vertical="center"/>
    </xf>
    <xf numFmtId="0" fontId="56" fillId="0" borderId="0"/>
    <xf numFmtId="0" fontId="56" fillId="0" borderId="0"/>
    <xf numFmtId="0" fontId="56" fillId="24" borderId="4" applyNumberFormat="0" applyFont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177" fontId="56" fillId="0" borderId="0" applyFont="0" applyFill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7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8" fillId="0" borderId="0"/>
    <xf numFmtId="0" fontId="56" fillId="0" borderId="0"/>
    <xf numFmtId="0" fontId="56" fillId="0" borderId="0"/>
    <xf numFmtId="0" fontId="56" fillId="0" borderId="0"/>
    <xf numFmtId="0" fontId="4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/>
    <xf numFmtId="0" fontId="6" fillId="0" borderId="0"/>
    <xf numFmtId="0" fontId="6" fillId="0" borderId="0"/>
    <xf numFmtId="0" fontId="56" fillId="0" borderId="0"/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17" fillId="56" borderId="0" applyNumberFormat="0" applyBorder="0" applyAlignment="0" applyProtection="0">
      <alignment vertical="center"/>
    </xf>
    <xf numFmtId="0" fontId="6" fillId="0" borderId="0"/>
    <xf numFmtId="0" fontId="15" fillId="40" borderId="0" applyNumberFormat="0" applyBorder="0" applyAlignment="0" applyProtection="0">
      <alignment vertical="center"/>
    </xf>
    <xf numFmtId="0" fontId="1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>
      <alignment vertical="center"/>
    </xf>
    <xf numFmtId="0" fontId="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/>
    <xf numFmtId="0" fontId="4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>
      <alignment vertical="center"/>
    </xf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9" fillId="0" borderId="2" applyNumberFormat="0" applyFill="0" applyAlignment="0" applyProtection="0">
      <alignment vertical="center"/>
    </xf>
    <xf numFmtId="0" fontId="56" fillId="0" borderId="0"/>
    <xf numFmtId="0" fontId="9" fillId="0" borderId="2" applyNumberFormat="0" applyFill="0" applyAlignment="0" applyProtection="0">
      <alignment vertical="center"/>
    </xf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>
      <alignment vertical="center"/>
    </xf>
    <xf numFmtId="0" fontId="56" fillId="0" borderId="0"/>
    <xf numFmtId="0" fontId="56" fillId="0" borderId="0"/>
    <xf numFmtId="0" fontId="6" fillId="0" borderId="0">
      <alignment vertical="top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8" fillId="0" borderId="0"/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4" fillId="0" borderId="0"/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35" fillId="45" borderId="1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5" fillId="45" borderId="13" applyNumberFormat="0" applyAlignment="0" applyProtection="0">
      <alignment vertical="center"/>
    </xf>
    <xf numFmtId="0" fontId="2" fillId="0" borderId="0">
      <alignment vertical="center"/>
    </xf>
    <xf numFmtId="0" fontId="22" fillId="27" borderId="7" applyNumberFormat="0" applyAlignment="0" applyProtection="0">
      <alignment vertical="center"/>
    </xf>
    <xf numFmtId="0" fontId="2" fillId="0" borderId="0">
      <alignment vertical="center"/>
    </xf>
    <xf numFmtId="0" fontId="22" fillId="27" borderId="7" applyNumberFormat="0" applyAlignment="0" applyProtection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6" fillId="0" borderId="0"/>
    <xf numFmtId="0" fontId="2" fillId="0" borderId="0">
      <alignment vertical="center"/>
    </xf>
    <xf numFmtId="0" fontId="6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8" fillId="0" borderId="0"/>
    <xf numFmtId="0" fontId="6" fillId="0" borderId="0"/>
    <xf numFmtId="0" fontId="56" fillId="0" borderId="0">
      <alignment vertical="center"/>
    </xf>
    <xf numFmtId="0" fontId="6" fillId="0" borderId="0"/>
    <xf numFmtId="0" fontId="2" fillId="0" borderId="0">
      <alignment vertical="center"/>
    </xf>
    <xf numFmtId="0" fontId="6" fillId="0" borderId="0"/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14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14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14" fillId="0" borderId="0">
      <alignment vertical="center"/>
    </xf>
    <xf numFmtId="0" fontId="14" fillId="0" borderId="0">
      <alignment vertical="center"/>
    </xf>
    <xf numFmtId="0" fontId="12" fillId="17" borderId="3" applyNumberFormat="0" applyAlignment="0" applyProtection="0">
      <alignment vertical="center"/>
    </xf>
    <xf numFmtId="0" fontId="14" fillId="0" borderId="0">
      <alignment vertical="center"/>
    </xf>
    <xf numFmtId="0" fontId="52" fillId="36" borderId="21" applyNumberFormat="0" applyAlignment="0" applyProtection="0">
      <alignment vertical="center"/>
    </xf>
    <xf numFmtId="0" fontId="56" fillId="0" borderId="0">
      <alignment vertical="center"/>
    </xf>
    <xf numFmtId="0" fontId="12" fillId="17" borderId="3" applyNumberFormat="0" applyAlignment="0" applyProtection="0">
      <alignment vertical="center"/>
    </xf>
    <xf numFmtId="0" fontId="14" fillId="0" borderId="0">
      <alignment vertical="center"/>
    </xf>
    <xf numFmtId="0" fontId="52" fillId="36" borderId="21" applyNumberFormat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176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2" fillId="36" borderId="21" applyNumberFormat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4" fillId="0" borderId="0"/>
    <xf numFmtId="0" fontId="15" fillId="35" borderId="0" applyNumberFormat="0" applyBorder="0" applyAlignment="0" applyProtection="0">
      <alignment vertical="center"/>
    </xf>
    <xf numFmtId="0" fontId="4" fillId="0" borderId="0"/>
    <xf numFmtId="178" fontId="4" fillId="0" borderId="0"/>
    <xf numFmtId="0" fontId="15" fillId="30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5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/>
    <xf numFmtId="0" fontId="56" fillId="0" borderId="0"/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2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3" fillId="49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9" fillId="0" borderId="22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/>
    <xf numFmtId="0" fontId="7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3" fillId="54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5" fillId="40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7" fillId="54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9" fontId="6" fillId="0" borderId="0" applyFont="0" applyFill="0" applyBorder="0" applyAlignment="0" applyProtection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6" fillId="0" borderId="0"/>
    <xf numFmtId="0" fontId="7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8" fillId="0" borderId="0">
      <alignment vertical="center"/>
    </xf>
    <xf numFmtId="0" fontId="5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8" fillId="0" borderId="0" applyBorder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0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 applyBorder="0"/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2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6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35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5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9" fillId="25" borderId="6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7" fillId="16" borderId="14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7" fillId="48" borderId="14" applyNumberFormat="0" applyAlignment="0" applyProtection="0">
      <alignment vertical="center"/>
    </xf>
    <xf numFmtId="0" fontId="8" fillId="0" borderId="0"/>
    <xf numFmtId="0" fontId="56" fillId="0" borderId="0">
      <alignment vertical="center"/>
    </xf>
    <xf numFmtId="0" fontId="37" fillId="48" borderId="14" applyNumberFormat="0" applyAlignment="0" applyProtection="0">
      <alignment vertical="center"/>
    </xf>
    <xf numFmtId="0" fontId="56" fillId="0" borderId="0">
      <alignment vertical="center"/>
    </xf>
    <xf numFmtId="0" fontId="37" fillId="48" borderId="14" applyNumberFormat="0" applyAlignment="0" applyProtection="0">
      <alignment vertical="center"/>
    </xf>
    <xf numFmtId="0" fontId="56" fillId="0" borderId="0">
      <alignment vertical="center"/>
    </xf>
    <xf numFmtId="0" fontId="37" fillId="48" borderId="14" applyNumberFormat="0" applyAlignment="0" applyProtection="0">
      <alignment vertical="center"/>
    </xf>
    <xf numFmtId="0" fontId="56" fillId="0" borderId="0">
      <alignment vertical="center"/>
    </xf>
    <xf numFmtId="0" fontId="37" fillId="48" borderId="14" applyNumberFormat="0" applyAlignment="0" applyProtection="0">
      <alignment vertical="center"/>
    </xf>
    <xf numFmtId="0" fontId="56" fillId="0" borderId="0">
      <alignment vertical="center"/>
    </xf>
    <xf numFmtId="0" fontId="19" fillId="25" borderId="6" applyNumberFormat="0" applyAlignment="0" applyProtection="0">
      <alignment vertical="center"/>
    </xf>
    <xf numFmtId="0" fontId="56" fillId="0" borderId="0">
      <alignment vertical="center"/>
    </xf>
    <xf numFmtId="0" fontId="19" fillId="25" borderId="6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47" borderId="16" applyNumberFormat="0" applyFont="0" applyAlignment="0" applyProtection="0">
      <alignment vertical="center"/>
    </xf>
    <xf numFmtId="0" fontId="8" fillId="0" borderId="0"/>
    <xf numFmtId="0" fontId="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19" fillId="25" borderId="6" applyNumberFormat="0" applyAlignment="0" applyProtection="0">
      <alignment vertical="center"/>
    </xf>
    <xf numFmtId="0" fontId="8" fillId="0" borderId="0" applyBorder="0"/>
    <xf numFmtId="0" fontId="37" fillId="48" borderId="14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5" fillId="45" borderId="13" applyNumberFormat="0" applyAlignment="0" applyProtection="0">
      <alignment vertical="center"/>
    </xf>
    <xf numFmtId="0" fontId="56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29" fillId="33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41" fillId="4" borderId="0" applyNumberFormat="0" applyBorder="0" applyAlignment="0" applyProtection="0"/>
    <xf numFmtId="0" fontId="51" fillId="4" borderId="0" applyNumberFormat="0" applyBorder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41" fillId="4" borderId="0" applyNumberFormat="0" applyBorder="0" applyAlignment="0" applyProtection="0"/>
    <xf numFmtId="0" fontId="41" fillId="4" borderId="0" applyNumberFormat="0" applyBorder="0" applyAlignment="0" applyProtection="0"/>
    <xf numFmtId="0" fontId="27" fillId="4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5" fillId="25" borderId="3" applyNumberFormat="0" applyAlignment="0" applyProtection="0">
      <alignment vertical="center"/>
    </xf>
    <xf numFmtId="0" fontId="54" fillId="16" borderId="21" applyNumberFormat="0" applyAlignment="0" applyProtection="0">
      <alignment vertical="center"/>
    </xf>
    <xf numFmtId="0" fontId="25" fillId="25" borderId="3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22" fillId="27" borderId="7" applyNumberFormat="0" applyAlignment="0" applyProtection="0">
      <alignment vertical="center"/>
    </xf>
    <xf numFmtId="0" fontId="35" fillId="45" borderId="13" applyNumberFormat="0" applyAlignment="0" applyProtection="0">
      <alignment vertical="center"/>
    </xf>
    <xf numFmtId="0" fontId="35" fillId="45" borderId="1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/>
    <xf numFmtId="177" fontId="2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80" fontId="4" fillId="0" borderId="0" applyFont="0" applyFill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52" fillId="36" borderId="21" applyNumberFormat="0" applyAlignment="0" applyProtection="0">
      <alignment vertical="center"/>
    </xf>
    <xf numFmtId="0" fontId="52" fillId="36" borderId="21" applyNumberFormat="0" applyAlignment="0" applyProtection="0">
      <alignment vertical="center"/>
    </xf>
    <xf numFmtId="0" fontId="52" fillId="36" borderId="21" applyNumberFormat="0" applyAlignment="0" applyProtection="0">
      <alignment vertical="center"/>
    </xf>
    <xf numFmtId="0" fontId="52" fillId="36" borderId="21" applyNumberFormat="0" applyAlignment="0" applyProtection="0">
      <alignment vertical="center"/>
    </xf>
    <xf numFmtId="0" fontId="12" fillId="17" borderId="3" applyNumberFormat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56" fillId="24" borderId="4" applyNumberFormat="0" applyFont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>
      <alignment vertical="center"/>
    </xf>
    <xf numFmtId="0" fontId="56" fillId="3" borderId="0" xfId="0" applyFont="1" applyFill="1">
      <alignment vertical="center"/>
    </xf>
    <xf numFmtId="0" fontId="0" fillId="9" borderId="0" xfId="0" applyFill="1">
      <alignment vertical="center"/>
    </xf>
    <xf numFmtId="49" fontId="0" fillId="58" borderId="0" xfId="0" applyNumberFormat="1" applyFill="1" applyAlignment="1">
      <alignment horizontal="center" vertical="center" wrapText="1"/>
    </xf>
    <xf numFmtId="49" fontId="0" fillId="58" borderId="0" xfId="0" applyNumberFormat="1" applyFill="1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Fill="1" applyAlignment="1">
      <alignment vertical="center" wrapText="1"/>
    </xf>
    <xf numFmtId="0" fontId="1" fillId="59" borderId="1" xfId="0" applyNumberFormat="1" applyFont="1" applyFill="1" applyBorder="1" applyAlignment="1">
      <alignment horizontal="center" vertical="center" wrapText="1"/>
    </xf>
    <xf numFmtId="0" fontId="56" fillId="0" borderId="0" xfId="0" applyNumberFormat="1" applyFont="1" applyFill="1" applyAlignment="1">
      <alignment vertical="center" wrapText="1"/>
    </xf>
    <xf numFmtId="0" fontId="56" fillId="0" borderId="0" xfId="0" applyFont="1">
      <alignment vertical="center"/>
    </xf>
    <xf numFmtId="0" fontId="0" fillId="3" borderId="0" xfId="0" applyFont="1" applyFill="1">
      <alignment vertical="center"/>
    </xf>
    <xf numFmtId="0" fontId="56" fillId="0" borderId="0" xfId="0" applyNumberFormat="1" applyFont="1">
      <alignment vertical="center"/>
    </xf>
  </cellXfs>
  <cellStyles count="3640">
    <cellStyle name="_ET_STYLE_NoName_00_" xfId="88" xr:uid="{00000000-0005-0000-0000-000088000000}"/>
    <cellStyle name="20% - 强调文字颜色 1 2" xfId="1" xr:uid="{00000000-0005-0000-0000-000002000000}"/>
    <cellStyle name="20% - 强调文字颜色 1 2 2" xfId="110" xr:uid="{00000000-0005-0000-0000-00009E000000}"/>
    <cellStyle name="20% - 强调文字颜色 1 2 3" xfId="93" xr:uid="{00000000-0005-0000-0000-00008D000000}"/>
    <cellStyle name="20% - 强调文字颜色 1 2 3 2" xfId="105" xr:uid="{00000000-0005-0000-0000-000099000000}"/>
    <cellStyle name="20% - 强调文字颜色 1 2 3 2 2" xfId="107" xr:uid="{00000000-0005-0000-0000-00009B000000}"/>
    <cellStyle name="20% - 强调文字颜色 1 2 3 3" xfId="113" xr:uid="{00000000-0005-0000-0000-0000A1000000}"/>
    <cellStyle name="20% - 强调文字颜色 1 2 4" xfId="117" xr:uid="{00000000-0005-0000-0000-0000A5000000}"/>
    <cellStyle name="20% - 强调文字颜色 1 2 5" xfId="123" xr:uid="{00000000-0005-0000-0000-0000AB000000}"/>
    <cellStyle name="20% - 强调文字颜色 1 2 5 2" xfId="126" xr:uid="{00000000-0005-0000-0000-0000AE000000}"/>
    <cellStyle name="20% - 强调文字颜色 1 2 6" xfId="130" xr:uid="{00000000-0005-0000-0000-0000B2000000}"/>
    <cellStyle name="20% - 强调文字颜色 1 3" xfId="101" xr:uid="{00000000-0005-0000-0000-000095000000}"/>
    <cellStyle name="20% - 强调文字颜色 1 4" xfId="94" xr:uid="{00000000-0005-0000-0000-00008E000000}"/>
    <cellStyle name="20% - 强调文字颜色 1 5" xfId="89" xr:uid="{00000000-0005-0000-0000-000089000000}"/>
    <cellStyle name="20% - 强调文字颜色 1 6" xfId="95" xr:uid="{00000000-0005-0000-0000-00008F000000}"/>
    <cellStyle name="20% - 强调文字颜色 1 7" xfId="100" xr:uid="{00000000-0005-0000-0000-000094000000}"/>
    <cellStyle name="20% - 强调文字颜色 1 8" xfId="136" xr:uid="{00000000-0005-0000-0000-0000B8000000}"/>
    <cellStyle name="20% - 强调文字颜色 1 8 2" xfId="137" xr:uid="{00000000-0005-0000-0000-0000B9000000}"/>
    <cellStyle name="20% - 强调文字颜色 1 9" xfId="145" xr:uid="{00000000-0005-0000-0000-0000C1000000}"/>
    <cellStyle name="20% - 强调文字颜色 2 2" xfId="147" xr:uid="{00000000-0005-0000-0000-0000C3000000}"/>
    <cellStyle name="20% - 强调文字颜色 2 2 2" xfId="150" xr:uid="{00000000-0005-0000-0000-0000C6000000}"/>
    <cellStyle name="20% - 强调文字颜色 2 2 3" xfId="152" xr:uid="{00000000-0005-0000-0000-0000C8000000}"/>
    <cellStyle name="20% - 强调文字颜色 2 2 3 2" xfId="157" xr:uid="{00000000-0005-0000-0000-0000CD000000}"/>
    <cellStyle name="20% - 强调文字颜色 2 2 3 2 2" xfId="161" xr:uid="{00000000-0005-0000-0000-0000D1000000}"/>
    <cellStyle name="20% - 强调文字颜色 2 2 3 3" xfId="166" xr:uid="{00000000-0005-0000-0000-0000D6000000}"/>
    <cellStyle name="20% - 强调文字颜色 2 2 4" xfId="168" xr:uid="{00000000-0005-0000-0000-0000D8000000}"/>
    <cellStyle name="20% - 强调文字颜色 2 2 5" xfId="172" xr:uid="{00000000-0005-0000-0000-0000DC000000}"/>
    <cellStyle name="20% - 强调文字颜色 2 2 5 2" xfId="178" xr:uid="{00000000-0005-0000-0000-0000E2000000}"/>
    <cellStyle name="20% - 强调文字颜色 2 2 6" xfId="182" xr:uid="{00000000-0005-0000-0000-0000E6000000}"/>
    <cellStyle name="20% - 强调文字颜色 2 3" xfId="183" xr:uid="{00000000-0005-0000-0000-0000E7000000}"/>
    <cellStyle name="20% - 强调文字颜色 2 4" xfId="185" xr:uid="{00000000-0005-0000-0000-0000E9000000}"/>
    <cellStyle name="20% - 强调文字颜色 2 5" xfId="186" xr:uid="{00000000-0005-0000-0000-0000EA000000}"/>
    <cellStyle name="20% - 强调文字颜色 2 6" xfId="187" xr:uid="{00000000-0005-0000-0000-0000EB000000}"/>
    <cellStyle name="20% - 强调文字颜色 2 7" xfId="191" xr:uid="{00000000-0005-0000-0000-0000EF000000}"/>
    <cellStyle name="20% - 强调文字颜色 2 8" xfId="195" xr:uid="{00000000-0005-0000-0000-0000F3000000}"/>
    <cellStyle name="20% - 强调文字颜色 2 8 2" xfId="200" xr:uid="{00000000-0005-0000-0000-0000F8000000}"/>
    <cellStyle name="20% - 强调文字颜色 2 9" xfId="201" xr:uid="{00000000-0005-0000-0000-0000F9000000}"/>
    <cellStyle name="20% - 强调文字颜色 3 2" xfId="203" xr:uid="{00000000-0005-0000-0000-0000FB000000}"/>
    <cellStyle name="20% - 强调文字颜色 3 2 2" xfId="209" xr:uid="{00000000-0005-0000-0000-000001010000}"/>
    <cellStyle name="20% - 强调文字颜色 3 2 3" xfId="215" xr:uid="{00000000-0005-0000-0000-000007010000}"/>
    <cellStyle name="20% - 强调文字颜色 3 2 3 2" xfId="217" xr:uid="{00000000-0005-0000-0000-000009010000}"/>
    <cellStyle name="20% - 强调文字颜色 3 2 3 2 2" xfId="218" xr:uid="{00000000-0005-0000-0000-00000A010000}"/>
    <cellStyle name="20% - 强调文字颜色 3 2 3 3" xfId="3" xr:uid="{00000000-0005-0000-0000-000005000000}"/>
    <cellStyle name="20% - 强调文字颜色 3 2 4" xfId="223" xr:uid="{00000000-0005-0000-0000-00000F010000}"/>
    <cellStyle name="20% - 强调文字颜色 3 2 5" xfId="229" xr:uid="{00000000-0005-0000-0000-000015010000}"/>
    <cellStyle name="20% - 强调文字颜色 3 2 5 2" xfId="230" xr:uid="{00000000-0005-0000-0000-000016010000}"/>
    <cellStyle name="20% - 强调文字颜色 3 2 6" xfId="235" xr:uid="{00000000-0005-0000-0000-00001B010000}"/>
    <cellStyle name="20% - 强调文字颜色 3 3" xfId="63" xr:uid="{00000000-0005-0000-0000-00005E000000}"/>
    <cellStyle name="20% - 强调文字颜色 3 4" xfId="239" xr:uid="{00000000-0005-0000-0000-00001F010000}"/>
    <cellStyle name="20% - 强调文字颜色 3 5" xfId="242" xr:uid="{00000000-0005-0000-0000-000022010000}"/>
    <cellStyle name="20% - 强调文字颜色 3 6" xfId="156" xr:uid="{00000000-0005-0000-0000-0000CC000000}"/>
    <cellStyle name="20% - 强调文字颜色 3 7" xfId="165" xr:uid="{00000000-0005-0000-0000-0000D5000000}"/>
    <cellStyle name="20% - 强调文字颜色 3 8" xfId="246" xr:uid="{00000000-0005-0000-0000-000026010000}"/>
    <cellStyle name="20% - 强调文字颜色 3 8 2" xfId="247" xr:uid="{00000000-0005-0000-0000-000027010000}"/>
    <cellStyle name="20% - 强调文字颜色 3 9" xfId="198" xr:uid="{00000000-0005-0000-0000-0000F6000000}"/>
    <cellStyle name="20% - 强调文字颜色 4 2" xfId="249" xr:uid="{00000000-0005-0000-0000-000029010000}"/>
    <cellStyle name="20% - 强调文字颜色 4 2 2" xfId="253" xr:uid="{00000000-0005-0000-0000-00002D010000}"/>
    <cellStyle name="20% - 强调文字颜色 4 2 3" xfId="257" xr:uid="{00000000-0005-0000-0000-000031010000}"/>
    <cellStyle name="20% - 强调文字颜色 4 2 3 2" xfId="261" xr:uid="{00000000-0005-0000-0000-000035010000}"/>
    <cellStyle name="20% - 强调文字颜色 4 2 3 2 2" xfId="263" xr:uid="{00000000-0005-0000-0000-000037010000}"/>
    <cellStyle name="20% - 强调文字颜色 4 2 3 3" xfId="264" xr:uid="{00000000-0005-0000-0000-000038010000}"/>
    <cellStyle name="20% - 强调文字颜色 4 2 4" xfId="266" xr:uid="{00000000-0005-0000-0000-00003A010000}"/>
    <cellStyle name="20% - 强调文字颜色 4 2 5" xfId="269" xr:uid="{00000000-0005-0000-0000-00003D010000}"/>
    <cellStyle name="20% - 强调文字颜色 4 2 5 2" xfId="271" xr:uid="{00000000-0005-0000-0000-00003F010000}"/>
    <cellStyle name="20% - 强调文字颜色 4 2 6" xfId="273" xr:uid="{00000000-0005-0000-0000-000041010000}"/>
    <cellStyle name="20% - 强调文字颜色 4 3" xfId="275" xr:uid="{00000000-0005-0000-0000-000043010000}"/>
    <cellStyle name="20% - 强调文字颜色 4 4" xfId="278" xr:uid="{00000000-0005-0000-0000-000046010000}"/>
    <cellStyle name="20% - 强调文字颜色 4 5" xfId="17" xr:uid="{00000000-0005-0000-0000-00001E000000}"/>
    <cellStyle name="20% - 强调文字颜色 4 6" xfId="281" xr:uid="{00000000-0005-0000-0000-000049010000}"/>
    <cellStyle name="20% - 强调文字颜色 4 7" xfId="285" xr:uid="{00000000-0005-0000-0000-00004D010000}"/>
    <cellStyle name="20% - 强调文字颜色 4 8" xfId="289" xr:uid="{00000000-0005-0000-0000-000051010000}"/>
    <cellStyle name="20% - 强调文字颜色 4 8 2" xfId="297" xr:uid="{00000000-0005-0000-0000-000059010000}"/>
    <cellStyle name="20% - 强调文字颜色 4 9" xfId="299" xr:uid="{00000000-0005-0000-0000-00005B010000}"/>
    <cellStyle name="20% - 强调文字颜色 5 2" xfId="301" xr:uid="{00000000-0005-0000-0000-00005D010000}"/>
    <cellStyle name="20% - 强调文字颜色 5 2 2" xfId="303" xr:uid="{00000000-0005-0000-0000-00005F010000}"/>
    <cellStyle name="20% - 强调文字颜色 5 2 3" xfId="305" xr:uid="{00000000-0005-0000-0000-000061010000}"/>
    <cellStyle name="20% - 强调文字颜色 5 2 3 2" xfId="308" xr:uid="{00000000-0005-0000-0000-000064010000}"/>
    <cellStyle name="20% - 强调文字颜色 5 2 3 2 2" xfId="184" xr:uid="{00000000-0005-0000-0000-0000E8000000}"/>
    <cellStyle name="20% - 强调文字颜色 5 2 3 3" xfId="39" xr:uid="{00000000-0005-0000-0000-00003B000000}"/>
    <cellStyle name="20% - 强调文字颜色 5 2 4" xfId="311" xr:uid="{00000000-0005-0000-0000-000067010000}"/>
    <cellStyle name="20% - 强调文字颜色 5 2 5" xfId="314" xr:uid="{00000000-0005-0000-0000-00006A010000}"/>
    <cellStyle name="20% - 强调文字颜色 5 2 5 2" xfId="56" xr:uid="{00000000-0005-0000-0000-000054000000}"/>
    <cellStyle name="20% - 强调文字颜色 5 2 6" xfId="316" xr:uid="{00000000-0005-0000-0000-00006C010000}"/>
    <cellStyle name="20% - 强调文字颜色 5 3" xfId="319" xr:uid="{00000000-0005-0000-0000-00006F010000}"/>
    <cellStyle name="20% - 强调文字颜色 5 4" xfId="323" xr:uid="{00000000-0005-0000-0000-000073010000}"/>
    <cellStyle name="20% - 强调文字颜色 5 5" xfId="326" xr:uid="{00000000-0005-0000-0000-000076010000}"/>
    <cellStyle name="20% - 强调文字颜色 5 6" xfId="175" xr:uid="{00000000-0005-0000-0000-0000DF000000}"/>
    <cellStyle name="20% - 强调文字颜色 5 7" xfId="331" xr:uid="{00000000-0005-0000-0000-00007B010000}"/>
    <cellStyle name="20% - 强调文字颜色 5 8" xfId="339" xr:uid="{00000000-0005-0000-0000-000083010000}"/>
    <cellStyle name="20% - 强调文字颜色 5 8 2" xfId="340" xr:uid="{00000000-0005-0000-0000-000084010000}"/>
    <cellStyle name="20% - 强调文字颜色 5 9" xfId="343" xr:uid="{00000000-0005-0000-0000-000087010000}"/>
    <cellStyle name="20% - 强调文字颜色 6 2" xfId="347" xr:uid="{00000000-0005-0000-0000-00008B010000}"/>
    <cellStyle name="20% - 强调文字颜色 6 2 2" xfId="350" xr:uid="{00000000-0005-0000-0000-00008E010000}"/>
    <cellStyle name="20% - 强调文字颜色 6 2 3" xfId="355" xr:uid="{00000000-0005-0000-0000-000093010000}"/>
    <cellStyle name="20% - 强调文字颜色 6 2 3 2" xfId="359" xr:uid="{00000000-0005-0000-0000-000097010000}"/>
    <cellStyle name="20% - 强调文字颜色 6 2 3 2 2" xfId="363" xr:uid="{00000000-0005-0000-0000-00009B010000}"/>
    <cellStyle name="20% - 强调文字颜色 6 2 3 3" xfId="365" xr:uid="{00000000-0005-0000-0000-00009D010000}"/>
    <cellStyle name="20% - 强调文字颜色 6 2 4" xfId="373" xr:uid="{00000000-0005-0000-0000-0000A5010000}"/>
    <cellStyle name="20% - 强调文字颜色 6 2 5" xfId="379" xr:uid="{00000000-0005-0000-0000-0000AB010000}"/>
    <cellStyle name="20% - 强调文字颜色 6 2 5 2" xfId="381" xr:uid="{00000000-0005-0000-0000-0000AD010000}"/>
    <cellStyle name="20% - 强调文字颜色 6 2 6" xfId="383" xr:uid="{00000000-0005-0000-0000-0000AF010000}"/>
    <cellStyle name="20% - 强调文字颜色 6 3" xfId="385" xr:uid="{00000000-0005-0000-0000-0000B1010000}"/>
    <cellStyle name="20% - 强调文字颜色 6 4" xfId="388" xr:uid="{00000000-0005-0000-0000-0000B4010000}"/>
    <cellStyle name="20% - 强调文字颜色 6 5" xfId="392" xr:uid="{00000000-0005-0000-0000-0000B8010000}"/>
    <cellStyle name="20% - 强调文字颜色 6 6" xfId="397" xr:uid="{00000000-0005-0000-0000-0000BD010000}"/>
    <cellStyle name="20% - 强调文字颜色 6 7" xfId="402" xr:uid="{00000000-0005-0000-0000-0000C2010000}"/>
    <cellStyle name="20% - 强调文字颜色 6 8" xfId="407" xr:uid="{00000000-0005-0000-0000-0000C7010000}"/>
    <cellStyle name="20% - 强调文字颜色 6 8 2" xfId="414" xr:uid="{00000000-0005-0000-0000-0000CE010000}"/>
    <cellStyle name="20% - 强调文字颜色 6 9" xfId="419" xr:uid="{00000000-0005-0000-0000-0000D3010000}"/>
    <cellStyle name="40% - 强调文字颜色 1 2" xfId="421" xr:uid="{00000000-0005-0000-0000-0000D5010000}"/>
    <cellStyle name="40% - 强调文字颜色 1 2 2" xfId="422" xr:uid="{00000000-0005-0000-0000-0000D6010000}"/>
    <cellStyle name="40% - 强调文字颜色 1 2 3" xfId="423" xr:uid="{00000000-0005-0000-0000-0000D7010000}"/>
    <cellStyle name="40% - 强调文字颜色 1 2 3 2" xfId="180" xr:uid="{00000000-0005-0000-0000-0000E4000000}"/>
    <cellStyle name="40% - 强调文字颜色 1 2 3 2 2" xfId="396" xr:uid="{00000000-0005-0000-0000-0000BC010000}"/>
    <cellStyle name="40% - 强调文字颜色 1 2 3 3" xfId="425" xr:uid="{00000000-0005-0000-0000-0000D9010000}"/>
    <cellStyle name="40% - 强调文字颜色 1 2 4" xfId="426" xr:uid="{00000000-0005-0000-0000-0000DA010000}"/>
    <cellStyle name="40% - 强调文字颜色 1 2 5" xfId="427" xr:uid="{00000000-0005-0000-0000-0000DB010000}"/>
    <cellStyle name="40% - 强调文字颜色 1 2 5 2" xfId="428" xr:uid="{00000000-0005-0000-0000-0000DC010000}"/>
    <cellStyle name="40% - 强调文字颜色 1 2 6" xfId="431" xr:uid="{00000000-0005-0000-0000-0000DF010000}"/>
    <cellStyle name="40% - 强调文字颜色 1 3" xfId="292" xr:uid="{00000000-0005-0000-0000-000054010000}"/>
    <cellStyle name="40% - 强调文字颜色 1 4" xfId="434" xr:uid="{00000000-0005-0000-0000-0000E2010000}"/>
    <cellStyle name="40% - 强调文字颜色 1 5" xfId="437" xr:uid="{00000000-0005-0000-0000-0000E5010000}"/>
    <cellStyle name="40% - 强调文字颜色 1 6" xfId="442" xr:uid="{00000000-0005-0000-0000-0000EA010000}"/>
    <cellStyle name="40% - 强调文字颜色 1 7" xfId="446" xr:uid="{00000000-0005-0000-0000-0000EE010000}"/>
    <cellStyle name="40% - 强调文字颜色 1 8" xfId="451" xr:uid="{00000000-0005-0000-0000-0000F3010000}"/>
    <cellStyle name="40% - 强调文字颜色 1 8 2" xfId="42" xr:uid="{00000000-0005-0000-0000-00003E000000}"/>
    <cellStyle name="40% - 强调文字颜色 1 9" xfId="453" xr:uid="{00000000-0005-0000-0000-0000F5010000}"/>
    <cellStyle name="40% - 强调文字颜色 2 2" xfId="90" xr:uid="{00000000-0005-0000-0000-00008A000000}"/>
    <cellStyle name="40% - 强调文字颜色 2 2 2" xfId="103" xr:uid="{00000000-0005-0000-0000-000097000000}"/>
    <cellStyle name="40% - 强调文字颜色 2 2 3" xfId="111" xr:uid="{00000000-0005-0000-0000-00009F000000}"/>
    <cellStyle name="40% - 强调文字颜色 2 2 3 2" xfId="454" xr:uid="{00000000-0005-0000-0000-0000F6010000}"/>
    <cellStyle name="40% - 强调文字颜色 2 2 3 2 2" xfId="8" xr:uid="{00000000-0005-0000-0000-00000C000000}"/>
    <cellStyle name="40% - 强调文字颜色 2 2 3 3" xfId="459" xr:uid="{00000000-0005-0000-0000-0000FB010000}"/>
    <cellStyle name="40% - 强调文字颜色 2 2 4" xfId="460" xr:uid="{00000000-0005-0000-0000-0000FC010000}"/>
    <cellStyle name="40% - 强调文字颜色 2 2 5" xfId="461" xr:uid="{00000000-0005-0000-0000-0000FD010000}"/>
    <cellStyle name="40% - 强调文字颜色 2 2 5 2" xfId="462" xr:uid="{00000000-0005-0000-0000-0000FE010000}"/>
    <cellStyle name="40% - 强调文字颜色 2 2 6" xfId="464" xr:uid="{00000000-0005-0000-0000-000000020000}"/>
    <cellStyle name="40% - 强调文字颜色 2 3" xfId="114" xr:uid="{00000000-0005-0000-0000-0000A2000000}"/>
    <cellStyle name="40% - 强调文字颜色 2 4" xfId="118" xr:uid="{00000000-0005-0000-0000-0000A6000000}"/>
    <cellStyle name="40% - 强调文字颜色 2 5" xfId="128" xr:uid="{00000000-0005-0000-0000-0000B0000000}"/>
    <cellStyle name="40% - 强调文字颜色 2 6" xfId="467" xr:uid="{00000000-0005-0000-0000-000003020000}"/>
    <cellStyle name="40% - 强调文字颜色 2 7" xfId="468" xr:uid="{00000000-0005-0000-0000-000004020000}"/>
    <cellStyle name="40% - 强调文字颜色 2 8" xfId="469" xr:uid="{00000000-0005-0000-0000-000005020000}"/>
    <cellStyle name="40% - 强调文字颜色 2 8 2" xfId="470" xr:uid="{00000000-0005-0000-0000-000006020000}"/>
    <cellStyle name="40% - 强调文字颜色 2 9" xfId="473" xr:uid="{00000000-0005-0000-0000-000009020000}"/>
    <cellStyle name="40% - 强调文字颜色 3 2" xfId="476" xr:uid="{00000000-0005-0000-0000-00000C020000}"/>
    <cellStyle name="40% - 强调文字颜色 3 2 2" xfId="478" xr:uid="{00000000-0005-0000-0000-00000E020000}"/>
    <cellStyle name="40% - 强调文字颜色 3 2 3" xfId="480" xr:uid="{00000000-0005-0000-0000-000010020000}"/>
    <cellStyle name="40% - 强调文字颜色 3 2 3 2" xfId="481" xr:uid="{00000000-0005-0000-0000-000011020000}"/>
    <cellStyle name="40% - 强调文字颜色 3 2 3 2 2" xfId="482" xr:uid="{00000000-0005-0000-0000-000012020000}"/>
    <cellStyle name="40% - 强调文字颜色 3 2 3 3" xfId="483" xr:uid="{00000000-0005-0000-0000-000013020000}"/>
    <cellStyle name="40% - 强调文字颜色 3 2 4" xfId="485" xr:uid="{00000000-0005-0000-0000-000015020000}"/>
    <cellStyle name="40% - 强调文字颜色 3 2 5" xfId="486" xr:uid="{00000000-0005-0000-0000-000016020000}"/>
    <cellStyle name="40% - 强调文字颜色 3 2 5 2" xfId="487" xr:uid="{00000000-0005-0000-0000-000017020000}"/>
    <cellStyle name="40% - 强调文字颜色 3 2 6" xfId="489" xr:uid="{00000000-0005-0000-0000-000019020000}"/>
    <cellStyle name="40% - 强调文字颜色 3 3" xfId="492" xr:uid="{00000000-0005-0000-0000-00001C020000}"/>
    <cellStyle name="40% - 强调文字颜色 3 4" xfId="493" xr:uid="{00000000-0005-0000-0000-00001D020000}"/>
    <cellStyle name="40% - 强调文字颜色 3 5" xfId="495" xr:uid="{00000000-0005-0000-0000-00001F020000}"/>
    <cellStyle name="40% - 强调文字颜色 3 6" xfId="498" xr:uid="{00000000-0005-0000-0000-000022020000}"/>
    <cellStyle name="40% - 强调文字颜色 3 7" xfId="309" xr:uid="{00000000-0005-0000-0000-000065010000}"/>
    <cellStyle name="40% - 强调文字颜色 3 8" xfId="40" xr:uid="{00000000-0005-0000-0000-00003C000000}"/>
    <cellStyle name="40% - 强调文字颜色 3 8 2" xfId="237" xr:uid="{00000000-0005-0000-0000-00001D010000}"/>
    <cellStyle name="40% - 强调文字颜色 3 9" xfId="19" xr:uid="{00000000-0005-0000-0000-000020000000}"/>
    <cellStyle name="40% - 强调文字颜色 4 2" xfId="48" xr:uid="{00000000-0005-0000-0000-000049000000}"/>
    <cellStyle name="40% - 强调文字颜色 4 2 2" xfId="502" xr:uid="{00000000-0005-0000-0000-000026020000}"/>
    <cellStyle name="40% - 强调文字颜色 4 2 3" xfId="505" xr:uid="{00000000-0005-0000-0000-000029020000}"/>
    <cellStyle name="40% - 强调文字颜色 4 2 3 2" xfId="66" xr:uid="{00000000-0005-0000-0000-000064000000}"/>
    <cellStyle name="40% - 强调文字颜色 4 2 3 2 2" xfId="508" xr:uid="{00000000-0005-0000-0000-00002C020000}"/>
    <cellStyle name="40% - 强调文字颜色 4 2 3 3" xfId="51" xr:uid="{00000000-0005-0000-0000-00004F000000}"/>
    <cellStyle name="40% - 强调文字颜色 4 2 4" xfId="514" xr:uid="{00000000-0005-0000-0000-000032020000}"/>
    <cellStyle name="40% - 强调文字颜色 4 2 5" xfId="518" xr:uid="{00000000-0005-0000-0000-000036020000}"/>
    <cellStyle name="40% - 强调文字颜色 4 2 5 2" xfId="521" xr:uid="{00000000-0005-0000-0000-000039020000}"/>
    <cellStyle name="40% - 强调文字颜色 4 2 6" xfId="527" xr:uid="{00000000-0005-0000-0000-00003F020000}"/>
    <cellStyle name="40% - 强调文字颜色 4 3" xfId="528" xr:uid="{00000000-0005-0000-0000-000040020000}"/>
    <cellStyle name="40% - 强调文字颜色 4 4" xfId="348" xr:uid="{00000000-0005-0000-0000-00008C010000}"/>
    <cellStyle name="40% - 强调文字颜色 4 5" xfId="352" xr:uid="{00000000-0005-0000-0000-000090010000}"/>
    <cellStyle name="40% - 强调文字颜色 4 6" xfId="368" xr:uid="{00000000-0005-0000-0000-0000A0010000}"/>
    <cellStyle name="40% - 强调文字颜色 4 7" xfId="375" xr:uid="{00000000-0005-0000-0000-0000A7010000}"/>
    <cellStyle name="40% - 强调文字颜色 4 8" xfId="382" xr:uid="{00000000-0005-0000-0000-0000AE010000}"/>
    <cellStyle name="40% - 强调文字颜色 4 8 2" xfId="533" xr:uid="{00000000-0005-0000-0000-000045020000}"/>
    <cellStyle name="40% - 强调文字颜色 4 9" xfId="534" xr:uid="{00000000-0005-0000-0000-000046020000}"/>
    <cellStyle name="40% - 强调文字颜色 5 2" xfId="536" xr:uid="{00000000-0005-0000-0000-000048020000}"/>
    <cellStyle name="40% - 强调文字颜色 5 2 2" xfId="390" xr:uid="{00000000-0005-0000-0000-0000B6010000}"/>
    <cellStyle name="40% - 强调文字颜色 5 2 3" xfId="394" xr:uid="{00000000-0005-0000-0000-0000BA010000}"/>
    <cellStyle name="40% - 强调文字颜色 5 2 3 2" xfId="539" xr:uid="{00000000-0005-0000-0000-00004B020000}"/>
    <cellStyle name="40% - 强调文字颜色 5 2 3 2 2" xfId="97" xr:uid="{00000000-0005-0000-0000-000091000000}"/>
    <cellStyle name="40% - 强调文字颜色 5 2 3 3" xfId="541" xr:uid="{00000000-0005-0000-0000-00004D020000}"/>
    <cellStyle name="40% - 强调文字颜色 5 2 4" xfId="399" xr:uid="{00000000-0005-0000-0000-0000BF010000}"/>
    <cellStyle name="40% - 强调文字颜色 5 2 5" xfId="404" xr:uid="{00000000-0005-0000-0000-0000C4010000}"/>
    <cellStyle name="40% - 强调文字颜色 5 2 5 2" xfId="409" xr:uid="{00000000-0005-0000-0000-0000C9010000}"/>
    <cellStyle name="40% - 强调文字颜色 5 2 6" xfId="417" xr:uid="{00000000-0005-0000-0000-0000D1010000}"/>
    <cellStyle name="40% - 强调文字颜色 5 3" xfId="543" xr:uid="{00000000-0005-0000-0000-00004F020000}"/>
    <cellStyle name="40% - 强调文字颜色 5 4" xfId="544" xr:uid="{00000000-0005-0000-0000-000050020000}"/>
    <cellStyle name="40% - 强调文字颜色 5 5" xfId="550" xr:uid="{00000000-0005-0000-0000-000056020000}"/>
    <cellStyle name="40% - 强调文字颜色 5 6" xfId="557" xr:uid="{00000000-0005-0000-0000-00005D020000}"/>
    <cellStyle name="40% - 强调文字颜色 5 7" xfId="57" xr:uid="{00000000-0005-0000-0000-000055000000}"/>
    <cellStyle name="40% - 强调文字颜色 5 8" xfId="559" xr:uid="{00000000-0005-0000-0000-00005F020000}"/>
    <cellStyle name="40% - 强调文字颜色 5 8 2" xfId="568" xr:uid="{00000000-0005-0000-0000-000068020000}"/>
    <cellStyle name="40% - 强调文字颜色 5 9" xfId="570" xr:uid="{00000000-0005-0000-0000-00006A020000}"/>
    <cellStyle name="40% - 强调文字颜色 6 2" xfId="572" xr:uid="{00000000-0005-0000-0000-00006C020000}"/>
    <cellStyle name="40% - 强调文字颜色 6 2 2" xfId="573" xr:uid="{00000000-0005-0000-0000-00006D020000}"/>
    <cellStyle name="40% - 强调文字颜色 6 2 3" xfId="574" xr:uid="{00000000-0005-0000-0000-00006E020000}"/>
    <cellStyle name="40% - 强调文字颜色 6 2 3 2" xfId="580" xr:uid="{00000000-0005-0000-0000-000074020000}"/>
    <cellStyle name="40% - 强调文字颜色 6 2 3 2 2" xfId="582" xr:uid="{00000000-0005-0000-0000-000076020000}"/>
    <cellStyle name="40% - 强调文字颜色 6 2 3 3" xfId="589" xr:uid="{00000000-0005-0000-0000-00007D020000}"/>
    <cellStyle name="40% - 强调文字颜色 6 2 4" xfId="590" xr:uid="{00000000-0005-0000-0000-00007E020000}"/>
    <cellStyle name="40% - 强调文字颜色 6 2 5" xfId="519" xr:uid="{00000000-0005-0000-0000-000037020000}"/>
    <cellStyle name="40% - 强调文字颜色 6 2 5 2" xfId="592" xr:uid="{00000000-0005-0000-0000-000080020000}"/>
    <cellStyle name="40% - 强调文字颜色 6 2 6" xfId="594" xr:uid="{00000000-0005-0000-0000-000082020000}"/>
    <cellStyle name="40% - 强调文字颜色 6 3" xfId="595" xr:uid="{00000000-0005-0000-0000-000083020000}"/>
    <cellStyle name="40% - 强调文字颜色 6 4" xfId="597" xr:uid="{00000000-0005-0000-0000-000085020000}"/>
    <cellStyle name="40% - 强调文字颜色 6 5" xfId="60" xr:uid="{00000000-0005-0000-0000-000059000000}"/>
    <cellStyle name="40% - 强调文字颜色 6 6" xfId="603" xr:uid="{00000000-0005-0000-0000-00008B020000}"/>
    <cellStyle name="40% - 强调文字颜色 6 7" xfId="607" xr:uid="{00000000-0005-0000-0000-00008F020000}"/>
    <cellStyle name="40% - 强调文字颜色 6 8" xfId="609" xr:uid="{00000000-0005-0000-0000-000091020000}"/>
    <cellStyle name="40% - 强调文字颜色 6 8 2" xfId="612" xr:uid="{00000000-0005-0000-0000-000094020000}"/>
    <cellStyle name="40% - 强调文字颜色 6 9" xfId="479" xr:uid="{00000000-0005-0000-0000-00000F020000}"/>
    <cellStyle name="60% - 强调文字颜色 1 2" xfId="236" xr:uid="{00000000-0005-0000-0000-00001C010000}"/>
    <cellStyle name="60% - 强调文字颜色 1 2 2" xfId="613" xr:uid="{00000000-0005-0000-0000-000095020000}"/>
    <cellStyle name="60% - 强调文字颜色 1 2 3" xfId="614" xr:uid="{00000000-0005-0000-0000-000096020000}"/>
    <cellStyle name="60% - 强调文字颜色 1 2 4" xfId="258" xr:uid="{00000000-0005-0000-0000-000032010000}"/>
    <cellStyle name="60% - 强调文字颜色 1 3" xfId="240" xr:uid="{00000000-0005-0000-0000-000020010000}"/>
    <cellStyle name="60% - 强调文字颜色 1 4" xfId="154" xr:uid="{00000000-0005-0000-0000-0000CA000000}"/>
    <cellStyle name="60% - 强调文字颜色 1 5" xfId="162" xr:uid="{00000000-0005-0000-0000-0000D2000000}"/>
    <cellStyle name="60% - 强调文字颜色 1 6" xfId="243" xr:uid="{00000000-0005-0000-0000-000023010000}"/>
    <cellStyle name="60% - 强调文字颜色 1 7" xfId="196" xr:uid="{00000000-0005-0000-0000-0000F4000000}"/>
    <cellStyle name="60% - 强调文字颜色 1 8" xfId="262" xr:uid="{00000000-0005-0000-0000-000036010000}"/>
    <cellStyle name="60% - 强调文字颜色 1 9" xfId="617" xr:uid="{00000000-0005-0000-0000-000099020000}"/>
    <cellStyle name="60% - 强调文字颜色 2 2" xfId="276" xr:uid="{00000000-0005-0000-0000-000044010000}"/>
    <cellStyle name="60% - 强调文字颜色 2 2 2" xfId="30" xr:uid="{00000000-0005-0000-0000-00002E000000}"/>
    <cellStyle name="60% - 强调文字颜色 2 2 3" xfId="619" xr:uid="{00000000-0005-0000-0000-00009B020000}"/>
    <cellStyle name="60% - 强调文字颜色 2 2 4" xfId="620" xr:uid="{00000000-0005-0000-0000-00009C020000}"/>
    <cellStyle name="60% - 强调文字颜色 2 3" xfId="15" xr:uid="{00000000-0005-0000-0000-00001C000000}"/>
    <cellStyle name="60% - 强调文字颜色 2 4" xfId="279" xr:uid="{00000000-0005-0000-0000-000047010000}"/>
    <cellStyle name="60% - 强调文字颜色 2 5" xfId="282" xr:uid="{00000000-0005-0000-0000-00004A010000}"/>
    <cellStyle name="60% - 强调文字颜色 2 6" xfId="286" xr:uid="{00000000-0005-0000-0000-00004E010000}"/>
    <cellStyle name="60% - 强调文字颜色 2 7" xfId="298" xr:uid="{00000000-0005-0000-0000-00005A010000}"/>
    <cellStyle name="60% - 强调文字颜色 2 8" xfId="621" xr:uid="{00000000-0005-0000-0000-00009D020000}"/>
    <cellStyle name="60% - 强调文字颜色 2 9" xfId="624" xr:uid="{00000000-0005-0000-0000-0000A0020000}"/>
    <cellStyle name="60% - 强调文字颜色 3 2" xfId="320" xr:uid="{00000000-0005-0000-0000-000070010000}"/>
    <cellStyle name="60% - 强调文字颜色 3 2 2" xfId="626" xr:uid="{00000000-0005-0000-0000-0000A2020000}"/>
    <cellStyle name="60% - 强调文字颜色 3 2 3" xfId="628" xr:uid="{00000000-0005-0000-0000-0000A4020000}"/>
    <cellStyle name="60% - 强调文字颜色 3 2 4" xfId="630" xr:uid="{00000000-0005-0000-0000-0000A6020000}"/>
    <cellStyle name="60% - 强调文字颜色 3 3" xfId="324" xr:uid="{00000000-0005-0000-0000-000074010000}"/>
    <cellStyle name="60% - 强调文字颜色 3 4" xfId="174" xr:uid="{00000000-0005-0000-0000-0000DE000000}"/>
    <cellStyle name="60% - 强调文字颜色 3 5" xfId="328" xr:uid="{00000000-0005-0000-0000-000078010000}"/>
    <cellStyle name="60% - 强调文字颜色 3 6" xfId="336" xr:uid="{00000000-0005-0000-0000-000080010000}"/>
    <cellStyle name="60% - 强调文字颜色 3 7" xfId="342" xr:uid="{00000000-0005-0000-0000-000086010000}"/>
    <cellStyle name="60% - 强调文字颜色 3 8" xfId="632" xr:uid="{00000000-0005-0000-0000-0000A8020000}"/>
    <cellStyle name="60% - 强调文字颜色 3 9" xfId="634" xr:uid="{00000000-0005-0000-0000-0000AA020000}"/>
    <cellStyle name="60% - 强调文字颜色 4 2" xfId="386" xr:uid="{00000000-0005-0000-0000-0000B2010000}"/>
    <cellStyle name="60% - 强调文字颜色 4 2 2" xfId="598" xr:uid="{00000000-0005-0000-0000-000086020000}"/>
    <cellStyle name="60% - 强调文字颜色 4 2 3" xfId="61" xr:uid="{00000000-0005-0000-0000-00005A000000}"/>
    <cellStyle name="60% - 强调文字颜色 4 2 4" xfId="604" xr:uid="{00000000-0005-0000-0000-00008C020000}"/>
    <cellStyle name="60% - 强调文字颜色 4 3" xfId="389" xr:uid="{00000000-0005-0000-0000-0000B5010000}"/>
    <cellStyle name="60% - 强调文字颜色 4 4" xfId="393" xr:uid="{00000000-0005-0000-0000-0000B9010000}"/>
    <cellStyle name="60% - 强调文字颜色 4 5" xfId="398" xr:uid="{00000000-0005-0000-0000-0000BE010000}"/>
    <cellStyle name="60% - 强调文字颜色 4 6" xfId="403" xr:uid="{00000000-0005-0000-0000-0000C3010000}"/>
    <cellStyle name="60% - 强调文字颜色 4 7" xfId="415" xr:uid="{00000000-0005-0000-0000-0000CF010000}"/>
    <cellStyle name="60% - 强调文字颜色 4 8" xfId="250" xr:uid="{00000000-0005-0000-0000-00002A010000}"/>
    <cellStyle name="60% - 强调文字颜色 4 9" xfId="254" xr:uid="{00000000-0005-0000-0000-00002E010000}"/>
    <cellStyle name="60% - 强调文字颜色 5 2" xfId="636" xr:uid="{00000000-0005-0000-0000-0000AC020000}"/>
    <cellStyle name="60% - 强调文字颜色 5 2 2" xfId="637" xr:uid="{00000000-0005-0000-0000-0000AD020000}"/>
    <cellStyle name="60% - 强调文字颜色 5 2 3" xfId="640" xr:uid="{00000000-0005-0000-0000-0000B0020000}"/>
    <cellStyle name="60% - 强调文字颜色 5 2 4" xfId="643" xr:uid="{00000000-0005-0000-0000-0000B3020000}"/>
    <cellStyle name="60% - 强调文字颜色 5 3" xfId="644" xr:uid="{00000000-0005-0000-0000-0000B4020000}"/>
    <cellStyle name="60% - 强调文字颜色 5 4" xfId="645" xr:uid="{00000000-0005-0000-0000-0000B5020000}"/>
    <cellStyle name="60% - 强调文字颜色 5 5" xfId="646" xr:uid="{00000000-0005-0000-0000-0000B6020000}"/>
    <cellStyle name="60% - 强调文字颜色 5 6" xfId="647" xr:uid="{00000000-0005-0000-0000-0000B7020000}"/>
    <cellStyle name="60% - 强调文字颜色 5 7" xfId="648" xr:uid="{00000000-0005-0000-0000-0000B8020000}"/>
    <cellStyle name="60% - 强调文字颜色 5 8" xfId="649" xr:uid="{00000000-0005-0000-0000-0000B9020000}"/>
    <cellStyle name="60% - 强调文字颜色 5 9" xfId="654" xr:uid="{00000000-0005-0000-0000-0000BE020000}"/>
    <cellStyle name="60% - 强调文字颜色 6 2" xfId="457" xr:uid="{00000000-0005-0000-0000-0000F9010000}"/>
    <cellStyle name="60% - 强调文字颜色 6 2 2" xfId="655" xr:uid="{00000000-0005-0000-0000-0000BF020000}"/>
    <cellStyle name="60% - 强调文字颜色 6 2 3" xfId="657" xr:uid="{00000000-0005-0000-0000-0000C1020000}"/>
    <cellStyle name="60% - 强调文字颜色 6 2 4" xfId="345" xr:uid="{00000000-0005-0000-0000-000089010000}"/>
    <cellStyle name="60% - 强调文字颜色 6 3" xfId="660" xr:uid="{00000000-0005-0000-0000-0000C4020000}"/>
    <cellStyle name="60% - 强调文字颜色 6 4" xfId="663" xr:uid="{00000000-0005-0000-0000-0000C7020000}"/>
    <cellStyle name="60% - 强调文字颜色 6 5" xfId="667" xr:uid="{00000000-0005-0000-0000-0000CB020000}"/>
    <cellStyle name="60% - 强调文字颜色 6 6" xfId="668" xr:uid="{00000000-0005-0000-0000-0000CC020000}"/>
    <cellStyle name="60% - 强调文字颜色 6 7" xfId="669" xr:uid="{00000000-0005-0000-0000-0000CD020000}"/>
    <cellStyle name="60% - 强调文字颜色 6 8" xfId="29" xr:uid="{00000000-0005-0000-0000-00002D000000}"/>
    <cellStyle name="60% - 强调文字颜色 6 9" xfId="618" xr:uid="{00000000-0005-0000-0000-00009A020000}"/>
    <cellStyle name="Normal" xfId="672" xr:uid="{00000000-0005-0000-0000-0000D0020000}"/>
    <cellStyle name="百分比 10" xfId="547" xr:uid="{00000000-0005-0000-0000-000053020000}"/>
    <cellStyle name="百分比 11" xfId="553" xr:uid="{00000000-0005-0000-0000-000059020000}"/>
    <cellStyle name="百分比 11 2" xfId="675" xr:uid="{00000000-0005-0000-0000-0000D3020000}"/>
    <cellStyle name="百分比 11 2 2" xfId="677" xr:uid="{00000000-0005-0000-0000-0000D5020000}"/>
    <cellStyle name="百分比 11 3" xfId="678" xr:uid="{00000000-0005-0000-0000-0000D6020000}"/>
    <cellStyle name="百分比 12" xfId="54" xr:uid="{00000000-0005-0000-0000-000052000000}"/>
    <cellStyle name="百分比 2" xfId="682" xr:uid="{00000000-0005-0000-0000-0000DA020000}"/>
    <cellStyle name="百分比 2 2" xfId="684" xr:uid="{00000000-0005-0000-0000-0000DC020000}"/>
    <cellStyle name="百分比 2 2 2" xfId="686" xr:uid="{00000000-0005-0000-0000-0000DE020000}"/>
    <cellStyle name="百分比 2 3" xfId="688" xr:uid="{00000000-0005-0000-0000-0000E0020000}"/>
    <cellStyle name="百分比 2 4" xfId="690" xr:uid="{00000000-0005-0000-0000-0000E2020000}"/>
    <cellStyle name="百分比 2 5" xfId="691" xr:uid="{00000000-0005-0000-0000-0000E3020000}"/>
    <cellStyle name="百分比 2 6" xfId="694" xr:uid="{00000000-0005-0000-0000-0000E6020000}"/>
    <cellStyle name="百分比 2 7" xfId="698" xr:uid="{00000000-0005-0000-0000-0000EA020000}"/>
    <cellStyle name="百分比 2 8" xfId="702" xr:uid="{00000000-0005-0000-0000-0000EE020000}"/>
    <cellStyle name="百分比 3" xfId="706" xr:uid="{00000000-0005-0000-0000-0000F2020000}"/>
    <cellStyle name="百分比 3 2" xfId="707" xr:uid="{00000000-0005-0000-0000-0000F3020000}"/>
    <cellStyle name="百分比 3 2 2" xfId="664" xr:uid="{00000000-0005-0000-0000-0000C8020000}"/>
    <cellStyle name="百分比 3 3" xfId="708" xr:uid="{00000000-0005-0000-0000-0000F4020000}"/>
    <cellStyle name="百分比 3 4" xfId="711" xr:uid="{00000000-0005-0000-0000-0000F7020000}"/>
    <cellStyle name="百分比 4" xfId="34" xr:uid="{00000000-0005-0000-0000-000034000000}"/>
    <cellStyle name="百分比 4 2" xfId="714" xr:uid="{00000000-0005-0000-0000-0000FA020000}"/>
    <cellStyle name="百分比 5" xfId="37" xr:uid="{00000000-0005-0000-0000-000038000000}"/>
    <cellStyle name="百分比 6" xfId="44" xr:uid="{00000000-0005-0000-0000-000041000000}"/>
    <cellStyle name="百分比 7" xfId="21" xr:uid="{00000000-0005-0000-0000-000023000000}"/>
    <cellStyle name="百分比 7 2" xfId="722" xr:uid="{00000000-0005-0000-0000-000002030000}"/>
    <cellStyle name="百分比 8" xfId="725" xr:uid="{00000000-0005-0000-0000-000005030000}"/>
    <cellStyle name="百分比 9" xfId="728" xr:uid="{00000000-0005-0000-0000-000008030000}"/>
    <cellStyle name="标题 1 2" xfId="712" xr:uid="{00000000-0005-0000-0000-0000F8020000}"/>
    <cellStyle name="标题 1 2 2" xfId="729" xr:uid="{00000000-0005-0000-0000-000009030000}"/>
    <cellStyle name="标题 1 2 3" xfId="731" xr:uid="{00000000-0005-0000-0000-00000B030000}"/>
    <cellStyle name="标题 1 2 4" xfId="732" xr:uid="{00000000-0005-0000-0000-00000C030000}"/>
    <cellStyle name="标题 1 3" xfId="471" xr:uid="{00000000-0005-0000-0000-000007020000}"/>
    <cellStyle name="标题 1 4" xfId="733" xr:uid="{00000000-0005-0000-0000-00000D030000}"/>
    <cellStyle name="标题 1 5" xfId="734" xr:uid="{00000000-0005-0000-0000-00000E030000}"/>
    <cellStyle name="标题 1 6" xfId="737" xr:uid="{00000000-0005-0000-0000-000011030000}"/>
    <cellStyle name="标题 1 7" xfId="739" xr:uid="{00000000-0005-0000-0000-000013030000}"/>
    <cellStyle name="标题 1 8" xfId="138" xr:uid="{00000000-0005-0000-0000-0000BA000000}"/>
    <cellStyle name="标题 1 9" xfId="740" xr:uid="{00000000-0005-0000-0000-000014030000}"/>
    <cellStyle name="标题 10" xfId="683" xr:uid="{00000000-0005-0000-0000-0000DB020000}"/>
    <cellStyle name="标题 11" xfId="687" xr:uid="{00000000-0005-0000-0000-0000DF020000}"/>
    <cellStyle name="标题 12" xfId="689" xr:uid="{00000000-0005-0000-0000-0000E1020000}"/>
    <cellStyle name="标题 2 2" xfId="741" xr:uid="{00000000-0005-0000-0000-000015030000}"/>
    <cellStyle name="标题 2 2 2" xfId="695" xr:uid="{00000000-0005-0000-0000-0000E7020000}"/>
    <cellStyle name="标题 2 2 3" xfId="699" xr:uid="{00000000-0005-0000-0000-0000EB020000}"/>
    <cellStyle name="标题 2 2 4" xfId="571" xr:uid="{00000000-0005-0000-0000-00006B020000}"/>
    <cellStyle name="标题 2 3" xfId="743" xr:uid="{00000000-0005-0000-0000-000017030000}"/>
    <cellStyle name="标题 2 4" xfId="744" xr:uid="{00000000-0005-0000-0000-000018030000}"/>
    <cellStyle name="标题 2 5" xfId="745" xr:uid="{00000000-0005-0000-0000-000019030000}"/>
    <cellStyle name="标题 2 6" xfId="746" xr:uid="{00000000-0005-0000-0000-00001A030000}"/>
    <cellStyle name="标题 2 7" xfId="748" xr:uid="{00000000-0005-0000-0000-00001C030000}"/>
    <cellStyle name="标题 2 8" xfId="750" xr:uid="{00000000-0005-0000-0000-00001E030000}"/>
    <cellStyle name="标题 2 9" xfId="751" xr:uid="{00000000-0005-0000-0000-00001F030000}"/>
    <cellStyle name="标题 3 2" xfId="753" xr:uid="{00000000-0005-0000-0000-000021030000}"/>
    <cellStyle name="标题 3 2 2" xfId="133" xr:uid="{00000000-0005-0000-0000-0000B5000000}"/>
    <cellStyle name="标题 3 2 3" xfId="143" xr:uid="{00000000-0005-0000-0000-0000BF000000}"/>
    <cellStyle name="标题 3 2 4" xfId="755" xr:uid="{00000000-0005-0000-0000-000023030000}"/>
    <cellStyle name="标题 3 3" xfId="757" xr:uid="{00000000-0005-0000-0000-000025030000}"/>
    <cellStyle name="标题 3 4" xfId="758" xr:uid="{00000000-0005-0000-0000-000026030000}"/>
    <cellStyle name="标题 3 5" xfId="759" xr:uid="{00000000-0005-0000-0000-000027030000}"/>
    <cellStyle name="标题 3 6" xfId="761" xr:uid="{00000000-0005-0000-0000-000029030000}"/>
    <cellStyle name="标题 3 7" xfId="765" xr:uid="{00000000-0005-0000-0000-00002D030000}"/>
    <cellStyle name="标题 3 8" xfId="766" xr:uid="{00000000-0005-0000-0000-00002E030000}"/>
    <cellStyle name="标题 3 9" xfId="767" xr:uid="{00000000-0005-0000-0000-00002F030000}"/>
    <cellStyle name="标题 4 2" xfId="717" xr:uid="{00000000-0005-0000-0000-0000FD020000}"/>
    <cellStyle name="标题 4 2 2" xfId="86" xr:uid="{00000000-0005-0000-0000-000086000000}"/>
    <cellStyle name="标题 4 2 3" xfId="159" xr:uid="{00000000-0005-0000-0000-0000CF000000}"/>
    <cellStyle name="标题 4 2 4" xfId="769" xr:uid="{00000000-0005-0000-0000-000031030000}"/>
    <cellStyle name="标题 4 3" xfId="772" xr:uid="{00000000-0005-0000-0000-000034030000}"/>
    <cellStyle name="标题 4 4" xfId="501" xr:uid="{00000000-0005-0000-0000-000025020000}"/>
    <cellStyle name="标题 4 5" xfId="504" xr:uid="{00000000-0005-0000-0000-000028020000}"/>
    <cellStyle name="标题 4 6" xfId="511" xr:uid="{00000000-0005-0000-0000-00002F020000}"/>
    <cellStyle name="标题 4 7" xfId="516" xr:uid="{00000000-0005-0000-0000-000034020000}"/>
    <cellStyle name="标题 4 8" xfId="523" xr:uid="{00000000-0005-0000-0000-00003B020000}"/>
    <cellStyle name="标题 4 9" xfId="204" xr:uid="{00000000-0005-0000-0000-0000FC000000}"/>
    <cellStyle name="标题 5" xfId="724" xr:uid="{00000000-0005-0000-0000-000004030000}"/>
    <cellStyle name="标题 5 2" xfId="774" xr:uid="{00000000-0005-0000-0000-000036030000}"/>
    <cellStyle name="标题 5 3" xfId="776" xr:uid="{00000000-0005-0000-0000-000038030000}"/>
    <cellStyle name="标题 5 4" xfId="69" xr:uid="{00000000-0005-0000-0000-000068000000}"/>
    <cellStyle name="标题 6" xfId="727" xr:uid="{00000000-0005-0000-0000-000007030000}"/>
    <cellStyle name="标题 7" xfId="563" xr:uid="{00000000-0005-0000-0000-000063020000}"/>
    <cellStyle name="标题 8" xfId="780" xr:uid="{00000000-0005-0000-0000-00003C030000}"/>
    <cellStyle name="标题 9" xfId="784" xr:uid="{00000000-0005-0000-0000-000040030000}"/>
    <cellStyle name="差 2" xfId="786" xr:uid="{00000000-0005-0000-0000-000042030000}"/>
    <cellStyle name="差 2 2" xfId="787" xr:uid="{00000000-0005-0000-0000-000043030000}"/>
    <cellStyle name="差 2 3" xfId="124" xr:uid="{00000000-0005-0000-0000-0000AC000000}"/>
    <cellStyle name="差 2 4" xfId="788" xr:uid="{00000000-0005-0000-0000-000044030000}"/>
    <cellStyle name="差 3" xfId="790" xr:uid="{00000000-0005-0000-0000-000046030000}"/>
    <cellStyle name="差 4" xfId="680" xr:uid="{00000000-0005-0000-0000-0000D8020000}"/>
    <cellStyle name="差 5" xfId="704" xr:uid="{00000000-0005-0000-0000-0000F0020000}"/>
    <cellStyle name="差 6" xfId="33" xr:uid="{00000000-0005-0000-0000-000033000000}"/>
    <cellStyle name="差 7" xfId="36" xr:uid="{00000000-0005-0000-0000-000037000000}"/>
    <cellStyle name="差 8" xfId="43" xr:uid="{00000000-0005-0000-0000-000040000000}"/>
    <cellStyle name="差 9" xfId="20" xr:uid="{00000000-0005-0000-0000-000022000000}"/>
    <cellStyle name="差_1109工厂回款汇总" xfId="792" xr:uid="{00000000-0005-0000-0000-000048030000}"/>
    <cellStyle name="差_1109工厂回款汇总_2012年品种毛利情况" xfId="307" xr:uid="{00000000-0005-0000-0000-000063010000}"/>
    <cellStyle name="差_1109工厂回款汇总_2012年主要品种收入毛利表" xfId="793" xr:uid="{00000000-0005-0000-0000-000049030000}"/>
    <cellStyle name="差_1201工厂收入汇总(1)" xfId="798" xr:uid="{00000000-0005-0000-0000-00004E030000}"/>
    <cellStyle name="差_2011年预计报废(1)" xfId="799" xr:uid="{00000000-0005-0000-0000-00004F030000}"/>
    <cellStyle name="差_2012年1季度利润预计" xfId="803" xr:uid="{00000000-0005-0000-0000-000053030000}"/>
    <cellStyle name="差_2012年各公司收入计划（计划版1.21）(终稿)" xfId="484" xr:uid="{00000000-0005-0000-0000-000014020000}"/>
    <cellStyle name="差_2012年各公司收入计划（计划版1.30）(终稿)" xfId="807" xr:uid="{00000000-0005-0000-0000-000057030000}"/>
    <cellStyle name="差_2012年各公司收入计划（力争版1.20）(终稿)" xfId="562" xr:uid="{00000000-0005-0000-0000-000062020000}"/>
    <cellStyle name="差_2012年利润预计(2012.1.21)" xfId="623" xr:uid="{00000000-0005-0000-0000-00009F020000}"/>
    <cellStyle name="差_2012年营业费用预算（终稿1.16）" xfId="710" xr:uid="{00000000-0005-0000-0000-0000F6020000}"/>
    <cellStyle name="差_2012年主要品种收入毛利表" xfId="141" xr:uid="{00000000-0005-0000-0000-0000BD000000}"/>
    <cellStyle name="差_Book1" xfId="596" xr:uid="{00000000-0005-0000-0000-000084020000}"/>
    <cellStyle name="差_Book3" xfId="599" xr:uid="{00000000-0005-0000-0000-000087020000}"/>
    <cellStyle name="差_Book4" xfId="605" xr:uid="{00000000-0005-0000-0000-00008D020000}"/>
    <cellStyle name="差_Xl0000027" xfId="808" xr:uid="{00000000-0005-0000-0000-000058030000}"/>
    <cellStyle name="差_超亿元品种情况表" xfId="811" xr:uid="{00000000-0005-0000-0000-00005B030000}"/>
    <cellStyle name="差_分析表" xfId="813" xr:uid="{00000000-0005-0000-0000-00005D030000}"/>
    <cellStyle name="差_各公司1-3月收入(1)(1)" xfId="816" xr:uid="{00000000-0005-0000-0000-000060030000}"/>
    <cellStyle name="差_预计管理费用（3.3亿元）" xfId="817" xr:uid="{00000000-0005-0000-0000-000061030000}"/>
    <cellStyle name="常规" xfId="0" builtinId="0"/>
    <cellStyle name="常规 10" xfId="818" xr:uid="{00000000-0005-0000-0000-000062030000}"/>
    <cellStyle name="常规 10 10" xfId="820" xr:uid="{00000000-0005-0000-0000-000064030000}"/>
    <cellStyle name="常规 10 11" xfId="824" xr:uid="{00000000-0005-0000-0000-000068030000}"/>
    <cellStyle name="常规 10 12" xfId="825" xr:uid="{00000000-0005-0000-0000-000069030000}"/>
    <cellStyle name="常规 10 13" xfId="826" xr:uid="{00000000-0005-0000-0000-00006A030000}"/>
    <cellStyle name="常规 10 14" xfId="827" xr:uid="{00000000-0005-0000-0000-00006B030000}"/>
    <cellStyle name="常规 10 15" xfId="828" xr:uid="{00000000-0005-0000-0000-00006C030000}"/>
    <cellStyle name="常规 10 16" xfId="829" xr:uid="{00000000-0005-0000-0000-00006D030000}"/>
    <cellStyle name="常规 10 17" xfId="830" xr:uid="{00000000-0005-0000-0000-00006E030000}"/>
    <cellStyle name="常规 10 18" xfId="831" xr:uid="{00000000-0005-0000-0000-00006F030000}"/>
    <cellStyle name="常规 10 18 2" xfId="760" xr:uid="{00000000-0005-0000-0000-000028030000}"/>
    <cellStyle name="常规 10 18 2 2" xfId="334" xr:uid="{00000000-0005-0000-0000-00007E010000}"/>
    <cellStyle name="常规 10 18 3" xfId="764" xr:uid="{00000000-0005-0000-0000-00002C030000}"/>
    <cellStyle name="常规 10 19" xfId="832" xr:uid="{00000000-0005-0000-0000-000070030000}"/>
    <cellStyle name="常规 10 2" xfId="777" xr:uid="{00000000-0005-0000-0000-000039030000}"/>
    <cellStyle name="常规 10 2 2" xfId="833" xr:uid="{00000000-0005-0000-0000-000071030000}"/>
    <cellStyle name="常规 10 2 2 2" xfId="615" xr:uid="{00000000-0005-0000-0000-000097020000}"/>
    <cellStyle name="常规 10 2 2 3" xfId="14" xr:uid="{00000000-0005-0000-0000-000019000000}"/>
    <cellStyle name="常规 10 2 2 4" xfId="835" xr:uid="{00000000-0005-0000-0000-000073030000}"/>
    <cellStyle name="常规 10 2 3" xfId="836" xr:uid="{00000000-0005-0000-0000-000074030000}"/>
    <cellStyle name="常规 10 2 4" xfId="837" xr:uid="{00000000-0005-0000-0000-000075030000}"/>
    <cellStyle name="常规 10 2 5" xfId="838" xr:uid="{00000000-0005-0000-0000-000076030000}"/>
    <cellStyle name="常规 10 2 6" xfId="840" xr:uid="{00000000-0005-0000-0000-000078030000}"/>
    <cellStyle name="常规 10 2 6 2" xfId="653" xr:uid="{00000000-0005-0000-0000-0000BD020000}"/>
    <cellStyle name="常规 10 2 7" xfId="842" xr:uid="{00000000-0005-0000-0000-00007A030000}"/>
    <cellStyle name="常规 10 2 8" xfId="83" xr:uid="{00000000-0005-0000-0000-000083000000}"/>
    <cellStyle name="常规 10 2 8 2" xfId="843" xr:uid="{00000000-0005-0000-0000-00007B030000}"/>
    <cellStyle name="常规 10 3" xfId="781" xr:uid="{00000000-0005-0000-0000-00003D030000}"/>
    <cellStyle name="常规 10 3 2" xfId="845" xr:uid="{00000000-0005-0000-0000-00007D030000}"/>
    <cellStyle name="常规 10 3 3" xfId="847" xr:uid="{00000000-0005-0000-0000-00007F030000}"/>
    <cellStyle name="常规 10 3 4" xfId="380" xr:uid="{00000000-0005-0000-0000-0000AC010000}"/>
    <cellStyle name="常规 10 3 5" xfId="791" xr:uid="{00000000-0005-0000-0000-000047030000}"/>
    <cellStyle name="常规 10 3 6" xfId="805" xr:uid="{00000000-0005-0000-0000-000055030000}"/>
    <cellStyle name="常规 10 4" xfId="848" xr:uid="{00000000-0005-0000-0000-000080030000}"/>
    <cellStyle name="常规 10 4 2" xfId="852" xr:uid="{00000000-0005-0000-0000-000084030000}"/>
    <cellStyle name="常规 10 4 3" xfId="856" xr:uid="{00000000-0005-0000-0000-000088030000}"/>
    <cellStyle name="常规 10 5" xfId="420" xr:uid="{00000000-0005-0000-0000-0000D4010000}"/>
    <cellStyle name="常规 10 6" xfId="290" xr:uid="{00000000-0005-0000-0000-000052010000}"/>
    <cellStyle name="常规 10 6 2" xfId="583" xr:uid="{00000000-0005-0000-0000-000077020000}"/>
    <cellStyle name="常规 10 6 3" xfId="857" xr:uid="{00000000-0005-0000-0000-000089030000}"/>
    <cellStyle name="常规 10 7" xfId="432" xr:uid="{00000000-0005-0000-0000-0000E0010000}"/>
    <cellStyle name="常规 10 7 2" xfId="858" xr:uid="{00000000-0005-0000-0000-00008A030000}"/>
    <cellStyle name="常规 10 8" xfId="439" xr:uid="{00000000-0005-0000-0000-0000E7010000}"/>
    <cellStyle name="常规 10 9" xfId="444" xr:uid="{00000000-0005-0000-0000-0000EC010000}"/>
    <cellStyle name="常规 100" xfId="861" xr:uid="{00000000-0005-0000-0000-00008D030000}"/>
    <cellStyle name="常规 100 2" xfId="865" xr:uid="{00000000-0005-0000-0000-000091030000}"/>
    <cellStyle name="常规 100 2 2" xfId="867" xr:uid="{00000000-0005-0000-0000-000093030000}"/>
    <cellStyle name="常规 100 2 5" xfId="67" xr:uid="{00000000-0005-0000-0000-000066000000}"/>
    <cellStyle name="常规 100 3" xfId="871" xr:uid="{00000000-0005-0000-0000-000097030000}"/>
    <cellStyle name="常规 101" xfId="874" xr:uid="{00000000-0005-0000-0000-00009A030000}"/>
    <cellStyle name="常规 101 2" xfId="804" xr:uid="{00000000-0005-0000-0000-000054030000}"/>
    <cellStyle name="常规 101 2 2" xfId="875" xr:uid="{00000000-0005-0000-0000-00009B030000}"/>
    <cellStyle name="常规 101 3" xfId="878" xr:uid="{00000000-0005-0000-0000-00009E030000}"/>
    <cellStyle name="常规 102" xfId="851" xr:uid="{00000000-0005-0000-0000-000083030000}"/>
    <cellStyle name="常规 102 2" xfId="438" xr:uid="{00000000-0005-0000-0000-0000E6010000}"/>
    <cellStyle name="常规 102 2 2" xfId="880" xr:uid="{00000000-0005-0000-0000-0000A0030000}"/>
    <cellStyle name="常规 102 3" xfId="443" xr:uid="{00000000-0005-0000-0000-0000EB010000}"/>
    <cellStyle name="常规 103" xfId="855" xr:uid="{00000000-0005-0000-0000-000087030000}"/>
    <cellStyle name="常规 104" xfId="531" xr:uid="{00000000-0005-0000-0000-000043020000}"/>
    <cellStyle name="常规 104 2" xfId="496" xr:uid="{00000000-0005-0000-0000-000020020000}"/>
    <cellStyle name="常规 104 2 2" xfId="881" xr:uid="{00000000-0005-0000-0000-0000A1030000}"/>
    <cellStyle name="常规 104 3" xfId="499" xr:uid="{00000000-0005-0000-0000-000023020000}"/>
    <cellStyle name="常规 105" xfId="884" xr:uid="{00000000-0005-0000-0000-0000A4030000}"/>
    <cellStyle name="常规 105 2" xfId="353" xr:uid="{00000000-0005-0000-0000-000091010000}"/>
    <cellStyle name="常规 105 2 2" xfId="357" xr:uid="{00000000-0005-0000-0000-000095010000}"/>
    <cellStyle name="常规 105 3" xfId="369" xr:uid="{00000000-0005-0000-0000-0000A1010000}"/>
    <cellStyle name="常规 106" xfId="887" xr:uid="{00000000-0005-0000-0000-0000A7030000}"/>
    <cellStyle name="常规 106 2" xfId="549" xr:uid="{00000000-0005-0000-0000-000055020000}"/>
    <cellStyle name="常规 106 2 2" xfId="889" xr:uid="{00000000-0005-0000-0000-0000A9030000}"/>
    <cellStyle name="常规 106 3" xfId="556" xr:uid="{00000000-0005-0000-0000-00005C020000}"/>
    <cellStyle name="常规 107" xfId="892" xr:uid="{00000000-0005-0000-0000-0000AC030000}"/>
    <cellStyle name="常规 107 2" xfId="59" xr:uid="{00000000-0005-0000-0000-000058000000}"/>
    <cellStyle name="常规 107 2 2" xfId="894" xr:uid="{00000000-0005-0000-0000-0000AE030000}"/>
    <cellStyle name="常规 107 3" xfId="602" xr:uid="{00000000-0005-0000-0000-00008A020000}"/>
    <cellStyle name="常规 108" xfId="898" xr:uid="{00000000-0005-0000-0000-0000B2030000}"/>
    <cellStyle name="常规 108 2" xfId="902" xr:uid="{00000000-0005-0000-0000-0000B6030000}"/>
    <cellStyle name="常规 108 2 2" xfId="906" xr:uid="{00000000-0005-0000-0000-0000BA030000}"/>
    <cellStyle name="常规 108 3" xfId="911" xr:uid="{00000000-0005-0000-0000-0000BF030000}"/>
    <cellStyle name="常规 109" xfId="915" xr:uid="{00000000-0005-0000-0000-0000C3030000}"/>
    <cellStyle name="常规 109 2" xfId="918" xr:uid="{00000000-0005-0000-0000-0000C6030000}"/>
    <cellStyle name="常规 109 2 2" xfId="190" xr:uid="{00000000-0005-0000-0000-0000EE000000}"/>
    <cellStyle name="常规 109 3" xfId="921" xr:uid="{00000000-0005-0000-0000-0000C9030000}"/>
    <cellStyle name="常规 11" xfId="922" xr:uid="{00000000-0005-0000-0000-0000CA030000}"/>
    <cellStyle name="常规 11 10" xfId="923" xr:uid="{00000000-0005-0000-0000-0000CB030000}"/>
    <cellStyle name="常规 11 10 2" xfId="925" xr:uid="{00000000-0005-0000-0000-0000CD030000}"/>
    <cellStyle name="常规 11 10 3" xfId="927" xr:uid="{00000000-0005-0000-0000-0000CF030000}"/>
    <cellStyle name="常规 11 11" xfId="928" xr:uid="{00000000-0005-0000-0000-0000D0030000}"/>
    <cellStyle name="常规 11 11 2" xfId="929" xr:uid="{00000000-0005-0000-0000-0000D1030000}"/>
    <cellStyle name="常规 11 11 3" xfId="930" xr:uid="{00000000-0005-0000-0000-0000D2030000}"/>
    <cellStyle name="常规 11 12" xfId="931" xr:uid="{00000000-0005-0000-0000-0000D3030000}"/>
    <cellStyle name="常规 11 12 2" xfId="932" xr:uid="{00000000-0005-0000-0000-0000D4030000}"/>
    <cellStyle name="常规 11 12 3" xfId="934" xr:uid="{00000000-0005-0000-0000-0000D6030000}"/>
    <cellStyle name="常规 11 125" xfId="935" xr:uid="{00000000-0005-0000-0000-0000D7030000}"/>
    <cellStyle name="常规 11 13" xfId="936" xr:uid="{00000000-0005-0000-0000-0000D8030000}"/>
    <cellStyle name="常规 11 13 2" xfId="937" xr:uid="{00000000-0005-0000-0000-0000D9030000}"/>
    <cellStyle name="常规 11 13 3" xfId="940" xr:uid="{00000000-0005-0000-0000-0000DC030000}"/>
    <cellStyle name="常规 11 14" xfId="942" xr:uid="{00000000-0005-0000-0000-0000DE030000}"/>
    <cellStyle name="常规 11 14 2" xfId="943" xr:uid="{00000000-0005-0000-0000-0000DF030000}"/>
    <cellStyle name="常规 11 14 3" xfId="944" xr:uid="{00000000-0005-0000-0000-0000E0030000}"/>
    <cellStyle name="常规 11 15" xfId="945" xr:uid="{00000000-0005-0000-0000-0000E1030000}"/>
    <cellStyle name="常规 11 15 2" xfId="946" xr:uid="{00000000-0005-0000-0000-0000E2030000}"/>
    <cellStyle name="常规 11 16" xfId="947" xr:uid="{00000000-0005-0000-0000-0000E3030000}"/>
    <cellStyle name="常规 11 17" xfId="948" xr:uid="{00000000-0005-0000-0000-0000E4030000}"/>
    <cellStyle name="常规 11 18" xfId="64" xr:uid="{00000000-0005-0000-0000-000060000000}"/>
    <cellStyle name="常规 11 18 2" xfId="950" xr:uid="{00000000-0005-0000-0000-0000E6030000}"/>
    <cellStyle name="常规 11 18 2 2" xfId="954" xr:uid="{00000000-0005-0000-0000-0000EA030000}"/>
    <cellStyle name="常规 11 18 3" xfId="958" xr:uid="{00000000-0005-0000-0000-0000EE030000}"/>
    <cellStyle name="常规 11 19" xfId="959" xr:uid="{00000000-0005-0000-0000-0000EF030000}"/>
    <cellStyle name="常规 11 2" xfId="960" xr:uid="{00000000-0005-0000-0000-0000F0030000}"/>
    <cellStyle name="常规 11 2 10" xfId="532" xr:uid="{00000000-0005-0000-0000-000044020000}"/>
    <cellStyle name="常规 11 2 2" xfId="961" xr:uid="{00000000-0005-0000-0000-0000F1030000}"/>
    <cellStyle name="常规 11 2 2 2" xfId="962" xr:uid="{00000000-0005-0000-0000-0000F2030000}"/>
    <cellStyle name="常规 11 2 2 3" xfId="963" xr:uid="{00000000-0005-0000-0000-0000F3030000}"/>
    <cellStyle name="常规 11 2 2 3 2" xfId="964" xr:uid="{00000000-0005-0000-0000-0000F4030000}"/>
    <cellStyle name="常规 11 2 2 4" xfId="965" xr:uid="{00000000-0005-0000-0000-0000F5030000}"/>
    <cellStyle name="常规 11 2 3" xfId="966" xr:uid="{00000000-0005-0000-0000-0000F6030000}"/>
    <cellStyle name="常规 11 2 4" xfId="967" xr:uid="{00000000-0005-0000-0000-0000F7030000}"/>
    <cellStyle name="常规 11 2 5" xfId="968" xr:uid="{00000000-0005-0000-0000-0000F8030000}"/>
    <cellStyle name="常规 11 2 6" xfId="969" xr:uid="{00000000-0005-0000-0000-0000F9030000}"/>
    <cellStyle name="常规 11 2 7" xfId="970" xr:uid="{00000000-0005-0000-0000-0000FA030000}"/>
    <cellStyle name="常规 11 2 8" xfId="971" xr:uid="{00000000-0005-0000-0000-0000FB030000}"/>
    <cellStyle name="常规 11 2 9" xfId="972" xr:uid="{00000000-0005-0000-0000-0000FC030000}"/>
    <cellStyle name="常规 11 2 9 2" xfId="974" xr:uid="{00000000-0005-0000-0000-0000FE030000}"/>
    <cellStyle name="常规 11 3" xfId="975" xr:uid="{00000000-0005-0000-0000-0000FF030000}"/>
    <cellStyle name="常规 11 3 2" xfId="977" xr:uid="{00000000-0005-0000-0000-000001040000}"/>
    <cellStyle name="常规 11 3 2 2" xfId="981" xr:uid="{00000000-0005-0000-0000-000005040000}"/>
    <cellStyle name="常规 11 3 2 3" xfId="985" xr:uid="{00000000-0005-0000-0000-000009040000}"/>
    <cellStyle name="常规 11 3 3" xfId="987" xr:uid="{00000000-0005-0000-0000-00000B040000}"/>
    <cellStyle name="常规 11 3 4" xfId="988" xr:uid="{00000000-0005-0000-0000-00000C040000}"/>
    <cellStyle name="常规 11 3 4 2" xfId="989" xr:uid="{00000000-0005-0000-0000-00000D040000}"/>
    <cellStyle name="常规 11 3 5" xfId="990" xr:uid="{00000000-0005-0000-0000-00000E040000}"/>
    <cellStyle name="常规 11 4" xfId="991" xr:uid="{00000000-0005-0000-0000-00000F040000}"/>
    <cellStyle name="常规 11 5" xfId="992" xr:uid="{00000000-0005-0000-0000-000010040000}"/>
    <cellStyle name="常规 11 6" xfId="993" xr:uid="{00000000-0005-0000-0000-000011040000}"/>
    <cellStyle name="常规 11 7" xfId="995" xr:uid="{00000000-0005-0000-0000-000013040000}"/>
    <cellStyle name="常规 11 8" xfId="996" xr:uid="{00000000-0005-0000-0000-000014040000}"/>
    <cellStyle name="常规 11 8 2" xfId="998" xr:uid="{00000000-0005-0000-0000-000016040000}"/>
    <cellStyle name="常规 11 8 3" xfId="1000" xr:uid="{00000000-0005-0000-0000-000018040000}"/>
    <cellStyle name="常规 11 9" xfId="1001" xr:uid="{00000000-0005-0000-0000-000019040000}"/>
    <cellStyle name="常规 11 9 2" xfId="1002" xr:uid="{00000000-0005-0000-0000-00001A040000}"/>
    <cellStyle name="常规 11 9 3" xfId="1003" xr:uid="{00000000-0005-0000-0000-00001B040000}"/>
    <cellStyle name="常规 110" xfId="883" xr:uid="{00000000-0005-0000-0000-0000A3030000}"/>
    <cellStyle name="常规 110 2" xfId="351" xr:uid="{00000000-0005-0000-0000-00008F010000}"/>
    <cellStyle name="常规 110 2 2" xfId="356" xr:uid="{00000000-0005-0000-0000-000094010000}"/>
    <cellStyle name="常规 110 3" xfId="367" xr:uid="{00000000-0005-0000-0000-00009F010000}"/>
    <cellStyle name="常规 111" xfId="886" xr:uid="{00000000-0005-0000-0000-0000A6030000}"/>
    <cellStyle name="常规 111 2" xfId="548" xr:uid="{00000000-0005-0000-0000-000054020000}"/>
    <cellStyle name="常规 111 2 2" xfId="888" xr:uid="{00000000-0005-0000-0000-0000A8030000}"/>
    <cellStyle name="常规 111 3" xfId="555" xr:uid="{00000000-0005-0000-0000-00005B020000}"/>
    <cellStyle name="常规 112" xfId="891" xr:uid="{00000000-0005-0000-0000-0000AB030000}"/>
    <cellStyle name="常规 112 2" xfId="58" xr:uid="{00000000-0005-0000-0000-000057000000}"/>
    <cellStyle name="常规 112 2 2" xfId="893" xr:uid="{00000000-0005-0000-0000-0000AD030000}"/>
    <cellStyle name="常规 112 3" xfId="601" xr:uid="{00000000-0005-0000-0000-000089020000}"/>
    <cellStyle name="常规 113" xfId="897" xr:uid="{00000000-0005-0000-0000-0000B1030000}"/>
    <cellStyle name="常规 113 2" xfId="901" xr:uid="{00000000-0005-0000-0000-0000B5030000}"/>
    <cellStyle name="常规 113 2 2" xfId="905" xr:uid="{00000000-0005-0000-0000-0000B9030000}"/>
    <cellStyle name="常规 113 3" xfId="910" xr:uid="{00000000-0005-0000-0000-0000BE030000}"/>
    <cellStyle name="常规 114" xfId="914" xr:uid="{00000000-0005-0000-0000-0000C2030000}"/>
    <cellStyle name="常规 115" xfId="1007" xr:uid="{00000000-0005-0000-0000-00001F040000}"/>
    <cellStyle name="常规 116" xfId="1010" xr:uid="{00000000-0005-0000-0000-000022040000}"/>
    <cellStyle name="常规 116 2" xfId="1012" xr:uid="{00000000-0005-0000-0000-000024040000}"/>
    <cellStyle name="常规 116 2 2" xfId="1016" xr:uid="{00000000-0005-0000-0000-000028040000}"/>
    <cellStyle name="常规 116 3" xfId="1019" xr:uid="{00000000-0005-0000-0000-00002B040000}"/>
    <cellStyle name="常规 117" xfId="1022" xr:uid="{00000000-0005-0000-0000-00002E040000}"/>
    <cellStyle name="常规 117 2" xfId="1024" xr:uid="{00000000-0005-0000-0000-000030040000}"/>
    <cellStyle name="常规 117 2 2" xfId="1026" xr:uid="{00000000-0005-0000-0000-000032040000}"/>
    <cellStyle name="常规 117 3" xfId="1029" xr:uid="{00000000-0005-0000-0000-000035040000}"/>
    <cellStyle name="常规 118" xfId="1032" xr:uid="{00000000-0005-0000-0000-000038040000}"/>
    <cellStyle name="常规 118 2" xfId="1036" xr:uid="{00000000-0005-0000-0000-00003C040000}"/>
    <cellStyle name="常规 118 2 2" xfId="1039" xr:uid="{00000000-0005-0000-0000-00003F040000}"/>
    <cellStyle name="常规 118 3" xfId="1045" xr:uid="{00000000-0005-0000-0000-000045040000}"/>
    <cellStyle name="常规 119" xfId="1048" xr:uid="{00000000-0005-0000-0000-000048040000}"/>
    <cellStyle name="常规 119 2" xfId="1051" xr:uid="{00000000-0005-0000-0000-00004B040000}"/>
    <cellStyle name="常规 119 2 2" xfId="1053" xr:uid="{00000000-0005-0000-0000-00004D040000}"/>
    <cellStyle name="常规 119 3" xfId="1056" xr:uid="{00000000-0005-0000-0000-000050040000}"/>
    <cellStyle name="常规 12" xfId="1057" xr:uid="{00000000-0005-0000-0000-000051040000}"/>
    <cellStyle name="常规 12 10" xfId="890" xr:uid="{00000000-0005-0000-0000-0000AA030000}"/>
    <cellStyle name="常规 12 11" xfId="896" xr:uid="{00000000-0005-0000-0000-0000B0030000}"/>
    <cellStyle name="常规 12 12" xfId="913" xr:uid="{00000000-0005-0000-0000-0000C1030000}"/>
    <cellStyle name="常规 12 13" xfId="1006" xr:uid="{00000000-0005-0000-0000-00001E040000}"/>
    <cellStyle name="常规 12 14" xfId="1009" xr:uid="{00000000-0005-0000-0000-000021040000}"/>
    <cellStyle name="常规 12 15" xfId="1021" xr:uid="{00000000-0005-0000-0000-00002D040000}"/>
    <cellStyle name="常规 12 16" xfId="1031" xr:uid="{00000000-0005-0000-0000-000037040000}"/>
    <cellStyle name="常规 12 16 2" xfId="1035" xr:uid="{00000000-0005-0000-0000-00003B040000}"/>
    <cellStyle name="常规 12 16 2 2" xfId="1038" xr:uid="{00000000-0005-0000-0000-00003E040000}"/>
    <cellStyle name="常规 12 16 3" xfId="1044" xr:uid="{00000000-0005-0000-0000-000044040000}"/>
    <cellStyle name="常规 12 17" xfId="1047" xr:uid="{00000000-0005-0000-0000-000047040000}"/>
    <cellStyle name="常规 12 17 2" xfId="1050" xr:uid="{00000000-0005-0000-0000-00004A040000}"/>
    <cellStyle name="常规 12 17 3" xfId="1055" xr:uid="{00000000-0005-0000-0000-00004F040000}"/>
    <cellStyle name="常规 12 17 4" xfId="1058" xr:uid="{00000000-0005-0000-0000-000052040000}"/>
    <cellStyle name="常规 12 18" xfId="1061" xr:uid="{00000000-0005-0000-0000-000055040000}"/>
    <cellStyle name="常规 12 2" xfId="1062" xr:uid="{00000000-0005-0000-0000-000056040000}"/>
    <cellStyle name="常规 12 2 2" xfId="1064" xr:uid="{00000000-0005-0000-0000-000058040000}"/>
    <cellStyle name="常规 12 2 2 2" xfId="1066" xr:uid="{00000000-0005-0000-0000-00005A040000}"/>
    <cellStyle name="常规 12 2 2 3" xfId="1068" xr:uid="{00000000-0005-0000-0000-00005C040000}"/>
    <cellStyle name="常规 12 2 3" xfId="1070" xr:uid="{00000000-0005-0000-0000-00005E040000}"/>
    <cellStyle name="常规 12 2 3 2" xfId="1073" xr:uid="{00000000-0005-0000-0000-000061040000}"/>
    <cellStyle name="常规 12 2 4" xfId="1075" xr:uid="{00000000-0005-0000-0000-000063040000}"/>
    <cellStyle name="常规 12 3" xfId="1076" xr:uid="{00000000-0005-0000-0000-000064040000}"/>
    <cellStyle name="常规 12 3 2" xfId="1077" xr:uid="{00000000-0005-0000-0000-000065040000}"/>
    <cellStyle name="常规 12 3 3" xfId="1078" xr:uid="{00000000-0005-0000-0000-000066040000}"/>
    <cellStyle name="常规 12 4" xfId="1079" xr:uid="{00000000-0005-0000-0000-000067040000}"/>
    <cellStyle name="常规 12 5" xfId="1080" xr:uid="{00000000-0005-0000-0000-000068040000}"/>
    <cellStyle name="常规 12 6" xfId="1081" xr:uid="{00000000-0005-0000-0000-000069040000}"/>
    <cellStyle name="常规 12 7" xfId="1082" xr:uid="{00000000-0005-0000-0000-00006A040000}"/>
    <cellStyle name="常规 12 8" xfId="1083" xr:uid="{00000000-0005-0000-0000-00006B040000}"/>
    <cellStyle name="常规 12 9" xfId="1084" xr:uid="{00000000-0005-0000-0000-00006C040000}"/>
    <cellStyle name="常规 120" xfId="1005" xr:uid="{00000000-0005-0000-0000-00001D040000}"/>
    <cellStyle name="常规 121" xfId="1008" xr:uid="{00000000-0005-0000-0000-000020040000}"/>
    <cellStyle name="常规 121 2" xfId="1011" xr:uid="{00000000-0005-0000-0000-000023040000}"/>
    <cellStyle name="常规 121 2 2" xfId="1015" xr:uid="{00000000-0005-0000-0000-000027040000}"/>
    <cellStyle name="常规 121 3" xfId="1018" xr:uid="{00000000-0005-0000-0000-00002A040000}"/>
    <cellStyle name="常规 122" xfId="1020" xr:uid="{00000000-0005-0000-0000-00002C040000}"/>
    <cellStyle name="常规 122 2" xfId="1023" xr:uid="{00000000-0005-0000-0000-00002F040000}"/>
    <cellStyle name="常规 122 2 2" xfId="1025" xr:uid="{00000000-0005-0000-0000-000031040000}"/>
    <cellStyle name="常规 122 3" xfId="1028" xr:uid="{00000000-0005-0000-0000-000034040000}"/>
    <cellStyle name="常规 123" xfId="1030" xr:uid="{00000000-0005-0000-0000-000036040000}"/>
    <cellStyle name="常规 123 2" xfId="1034" xr:uid="{00000000-0005-0000-0000-00003A040000}"/>
    <cellStyle name="常规 123 2 2" xfId="1037" xr:uid="{00000000-0005-0000-0000-00003D040000}"/>
    <cellStyle name="常规 123 3" xfId="1043" xr:uid="{00000000-0005-0000-0000-000043040000}"/>
    <cellStyle name="常规 124" xfId="1046" xr:uid="{00000000-0005-0000-0000-000046040000}"/>
    <cellStyle name="常规 124 2" xfId="1049" xr:uid="{00000000-0005-0000-0000-000049040000}"/>
    <cellStyle name="常规 124 2 2" xfId="1052" xr:uid="{00000000-0005-0000-0000-00004C040000}"/>
    <cellStyle name="常规 124 3" xfId="1054" xr:uid="{00000000-0005-0000-0000-00004E040000}"/>
    <cellStyle name="常规 125" xfId="1060" xr:uid="{00000000-0005-0000-0000-000054040000}"/>
    <cellStyle name="常规 125 2" xfId="1086" xr:uid="{00000000-0005-0000-0000-00006E040000}"/>
    <cellStyle name="常规 125 2 2" xfId="1090" xr:uid="{00000000-0005-0000-0000-000072040000}"/>
    <cellStyle name="常规 125 3" xfId="1094" xr:uid="{00000000-0005-0000-0000-000076040000}"/>
    <cellStyle name="常规 126" xfId="1096" xr:uid="{00000000-0005-0000-0000-000078040000}"/>
    <cellStyle name="常规 126 2" xfId="1099" xr:uid="{00000000-0005-0000-0000-00007B040000}"/>
    <cellStyle name="常规 126 2 2" xfId="122" xr:uid="{00000000-0005-0000-0000-0000AA000000}"/>
    <cellStyle name="常规 126 3" xfId="1102" xr:uid="{00000000-0005-0000-0000-00007E040000}"/>
    <cellStyle name="常规 127" xfId="1104" xr:uid="{00000000-0005-0000-0000-000080040000}"/>
    <cellStyle name="常规 127 2" xfId="1106" xr:uid="{00000000-0005-0000-0000-000082040000}"/>
    <cellStyle name="常规 127 2 2" xfId="171" xr:uid="{00000000-0005-0000-0000-0000DB000000}"/>
    <cellStyle name="常规 127 3" xfId="1108" xr:uid="{00000000-0005-0000-0000-000084040000}"/>
    <cellStyle name="常规 128" xfId="1110" xr:uid="{00000000-0005-0000-0000-000086040000}"/>
    <cellStyle name="常规 128 2" xfId="1112" xr:uid="{00000000-0005-0000-0000-000088040000}"/>
    <cellStyle name="常规 128 2 2" xfId="228" xr:uid="{00000000-0005-0000-0000-000014010000}"/>
    <cellStyle name="常规 128 3" xfId="1114" xr:uid="{00000000-0005-0000-0000-00008A040000}"/>
    <cellStyle name="常规 129" xfId="1116" xr:uid="{00000000-0005-0000-0000-00008C040000}"/>
    <cellStyle name="常规 129 2" xfId="1117" xr:uid="{00000000-0005-0000-0000-00008D040000}"/>
    <cellStyle name="常规 129 2 2" xfId="268" xr:uid="{00000000-0005-0000-0000-00003C010000}"/>
    <cellStyle name="常规 129 3" xfId="1118" xr:uid="{00000000-0005-0000-0000-00008E040000}"/>
    <cellStyle name="常规 13" xfId="1119" xr:uid="{00000000-0005-0000-0000-00008F040000}"/>
    <cellStyle name="常规 13 10" xfId="1120" xr:uid="{00000000-0005-0000-0000-000090040000}"/>
    <cellStyle name="常规 13 11" xfId="1121" xr:uid="{00000000-0005-0000-0000-000091040000}"/>
    <cellStyle name="常规 13 12" xfId="1123" xr:uid="{00000000-0005-0000-0000-000093040000}"/>
    <cellStyle name="常规 13 13" xfId="1125" xr:uid="{00000000-0005-0000-0000-000095040000}"/>
    <cellStyle name="常规 13 14" xfId="1127" xr:uid="{00000000-0005-0000-0000-000097040000}"/>
    <cellStyle name="常规 13 15" xfId="1128" xr:uid="{00000000-0005-0000-0000-000098040000}"/>
    <cellStyle name="常规 13 16" xfId="1129" xr:uid="{00000000-0005-0000-0000-000099040000}"/>
    <cellStyle name="常规 13 16 2" xfId="318" xr:uid="{00000000-0005-0000-0000-00006E010000}"/>
    <cellStyle name="常规 13 16 2 2" xfId="1130" xr:uid="{00000000-0005-0000-0000-00009A040000}"/>
    <cellStyle name="常规 13 16 3" xfId="322" xr:uid="{00000000-0005-0000-0000-000072010000}"/>
    <cellStyle name="常规 13 17" xfId="1131" xr:uid="{00000000-0005-0000-0000-00009B040000}"/>
    <cellStyle name="常规 13 17 2" xfId="384" xr:uid="{00000000-0005-0000-0000-0000B0010000}"/>
    <cellStyle name="常规 13 17 3" xfId="387" xr:uid="{00000000-0005-0000-0000-0000B3010000}"/>
    <cellStyle name="常规 13 17 4" xfId="391" xr:uid="{00000000-0005-0000-0000-0000B7010000}"/>
    <cellStyle name="常规 13 18" xfId="1132" xr:uid="{00000000-0005-0000-0000-00009C040000}"/>
    <cellStyle name="常规 13 2" xfId="1133" xr:uid="{00000000-0005-0000-0000-00009D040000}"/>
    <cellStyle name="常规 13 2 2" xfId="1135" xr:uid="{00000000-0005-0000-0000-00009F040000}"/>
    <cellStyle name="常规 13 2 2 2" xfId="1137" xr:uid="{00000000-0005-0000-0000-0000A1040000}"/>
    <cellStyle name="常规 13 2 2 3" xfId="1138" xr:uid="{00000000-0005-0000-0000-0000A2040000}"/>
    <cellStyle name="常规 13 2 3" xfId="1140" xr:uid="{00000000-0005-0000-0000-0000A4040000}"/>
    <cellStyle name="常规 13 2 3 2" xfId="1141" xr:uid="{00000000-0005-0000-0000-0000A5040000}"/>
    <cellStyle name="常规 13 2 4" xfId="1143" xr:uid="{00000000-0005-0000-0000-0000A7040000}"/>
    <cellStyle name="常规 13 3" xfId="1144" xr:uid="{00000000-0005-0000-0000-0000A8040000}"/>
    <cellStyle name="常规 13 4" xfId="1145" xr:uid="{00000000-0005-0000-0000-0000A9040000}"/>
    <cellStyle name="常规 13 5" xfId="49" xr:uid="{00000000-0005-0000-0000-00004B000000}"/>
    <cellStyle name="常规 13 6" xfId="1146" xr:uid="{00000000-0005-0000-0000-0000AA040000}"/>
    <cellStyle name="常规 13 7" xfId="349" xr:uid="{00000000-0005-0000-0000-00008D010000}"/>
    <cellStyle name="常规 13 8" xfId="354" xr:uid="{00000000-0005-0000-0000-000092010000}"/>
    <cellStyle name="常规 13 9" xfId="372" xr:uid="{00000000-0005-0000-0000-0000A4010000}"/>
    <cellStyle name="常规 130" xfId="1059" xr:uid="{00000000-0005-0000-0000-000053040000}"/>
    <cellStyle name="常规 131" xfId="1095" xr:uid="{00000000-0005-0000-0000-000077040000}"/>
    <cellStyle name="常规 131 2" xfId="1098" xr:uid="{00000000-0005-0000-0000-00007A040000}"/>
    <cellStyle name="常规 131 2 2" xfId="121" xr:uid="{00000000-0005-0000-0000-0000A9000000}"/>
    <cellStyle name="常规 131 3" xfId="1101" xr:uid="{00000000-0005-0000-0000-00007D040000}"/>
    <cellStyle name="常规 132" xfId="1103" xr:uid="{00000000-0005-0000-0000-00007F040000}"/>
    <cellStyle name="常规 132 2" xfId="1105" xr:uid="{00000000-0005-0000-0000-000081040000}"/>
    <cellStyle name="常规 132 2 2" xfId="170" xr:uid="{00000000-0005-0000-0000-0000DA000000}"/>
    <cellStyle name="常规 132 3" xfId="1107" xr:uid="{00000000-0005-0000-0000-000083040000}"/>
    <cellStyle name="常规 133" xfId="1109" xr:uid="{00000000-0005-0000-0000-000085040000}"/>
    <cellStyle name="常规 133 2" xfId="1111" xr:uid="{00000000-0005-0000-0000-000087040000}"/>
    <cellStyle name="常规 133 2 2" xfId="227" xr:uid="{00000000-0005-0000-0000-000013010000}"/>
    <cellStyle name="常规 133 3" xfId="1113" xr:uid="{00000000-0005-0000-0000-000089040000}"/>
    <cellStyle name="常规 134" xfId="1115" xr:uid="{00000000-0005-0000-0000-00008B040000}"/>
    <cellStyle name="常规 135" xfId="1148" xr:uid="{00000000-0005-0000-0000-0000AC040000}"/>
    <cellStyle name="常规 135 2" xfId="1149" xr:uid="{00000000-0005-0000-0000-0000AD040000}"/>
    <cellStyle name="常规 135 2 2" xfId="313" xr:uid="{00000000-0005-0000-0000-000069010000}"/>
    <cellStyle name="常规 135 3" xfId="1150" xr:uid="{00000000-0005-0000-0000-0000AE040000}"/>
    <cellStyle name="常规 136" xfId="1152" xr:uid="{00000000-0005-0000-0000-0000B0040000}"/>
    <cellStyle name="常规 136 2" xfId="1157" xr:uid="{00000000-0005-0000-0000-0000B5040000}"/>
    <cellStyle name="常规 136 2 2" xfId="378" xr:uid="{00000000-0005-0000-0000-0000AA010000}"/>
    <cellStyle name="常规 136 3" xfId="1161" xr:uid="{00000000-0005-0000-0000-0000B9040000}"/>
    <cellStyle name="常规 137" xfId="1164" xr:uid="{00000000-0005-0000-0000-0000BC040000}"/>
    <cellStyle name="常规 138" xfId="1167" xr:uid="{00000000-0005-0000-0000-0000BF040000}"/>
    <cellStyle name="常规 138 2" xfId="1170" xr:uid="{00000000-0005-0000-0000-0000C2040000}"/>
    <cellStyle name="常规 138 2 2" xfId="1172" xr:uid="{00000000-0005-0000-0000-0000C4040000}"/>
    <cellStyle name="常规 138 3" xfId="1175" xr:uid="{00000000-0005-0000-0000-0000C7040000}"/>
    <cellStyle name="常规 139" xfId="1179" xr:uid="{00000000-0005-0000-0000-0000CB040000}"/>
    <cellStyle name="常规 139 2" xfId="1181" xr:uid="{00000000-0005-0000-0000-0000CD040000}"/>
    <cellStyle name="常规 139 2 2" xfId="1183" xr:uid="{00000000-0005-0000-0000-0000CF040000}"/>
    <cellStyle name="常规 139 3" xfId="1185" xr:uid="{00000000-0005-0000-0000-0000D1040000}"/>
    <cellStyle name="常规 14" xfId="1186" xr:uid="{00000000-0005-0000-0000-0000D2040000}"/>
    <cellStyle name="常规 14 10" xfId="488" xr:uid="{00000000-0005-0000-0000-000018020000}"/>
    <cellStyle name="常规 14 11" xfId="149" xr:uid="{00000000-0005-0000-0000-0000C5000000}"/>
    <cellStyle name="常规 14 12" xfId="151" xr:uid="{00000000-0005-0000-0000-0000C7000000}"/>
    <cellStyle name="常规 14 13" xfId="167" xr:uid="{00000000-0005-0000-0000-0000D7000000}"/>
    <cellStyle name="常规 14 14" xfId="169" xr:uid="{00000000-0005-0000-0000-0000D9000000}"/>
    <cellStyle name="常规 14 15" xfId="181" xr:uid="{00000000-0005-0000-0000-0000E5000000}"/>
    <cellStyle name="常规 14 16" xfId="1187" xr:uid="{00000000-0005-0000-0000-0000D3040000}"/>
    <cellStyle name="常规 14 16 2" xfId="1188" xr:uid="{00000000-0005-0000-0000-0000D4040000}"/>
    <cellStyle name="常规 14 16 2 2" xfId="11" xr:uid="{00000000-0005-0000-0000-000015000000}"/>
    <cellStyle name="常规 14 16 3" xfId="1189" xr:uid="{00000000-0005-0000-0000-0000D5040000}"/>
    <cellStyle name="常规 14 17" xfId="1190" xr:uid="{00000000-0005-0000-0000-0000D6040000}"/>
    <cellStyle name="常规 14 17 2" xfId="1191" xr:uid="{00000000-0005-0000-0000-0000D7040000}"/>
    <cellStyle name="常规 14 17 3" xfId="1192" xr:uid="{00000000-0005-0000-0000-0000D8040000}"/>
    <cellStyle name="常规 14 17 4" xfId="1193" xr:uid="{00000000-0005-0000-0000-0000D9040000}"/>
    <cellStyle name="常规 14 18" xfId="1194" xr:uid="{00000000-0005-0000-0000-0000DA040000}"/>
    <cellStyle name="常规 14 2" xfId="1195" xr:uid="{00000000-0005-0000-0000-0000DB040000}"/>
    <cellStyle name="常规 14 2 2" xfId="1196" xr:uid="{00000000-0005-0000-0000-0000DC040000}"/>
    <cellStyle name="常规 14 2 3" xfId="1197" xr:uid="{00000000-0005-0000-0000-0000DD040000}"/>
    <cellStyle name="常规 14 2 3 2" xfId="1198" xr:uid="{00000000-0005-0000-0000-0000DE040000}"/>
    <cellStyle name="常规 14 2 4" xfId="1199" xr:uid="{00000000-0005-0000-0000-0000DF040000}"/>
    <cellStyle name="常规 14 3" xfId="1200" xr:uid="{00000000-0005-0000-0000-0000E0040000}"/>
    <cellStyle name="常规 14 4" xfId="1201" xr:uid="{00000000-0005-0000-0000-0000E1040000}"/>
    <cellStyle name="常规 14 5" xfId="1202" xr:uid="{00000000-0005-0000-0000-0000E2040000}"/>
    <cellStyle name="常规 14 6" xfId="1203" xr:uid="{00000000-0005-0000-0000-0000E3040000}"/>
    <cellStyle name="常规 14 7" xfId="1204" xr:uid="{00000000-0005-0000-0000-0000E4040000}"/>
    <cellStyle name="常规 14 8" xfId="1205" xr:uid="{00000000-0005-0000-0000-0000E5040000}"/>
    <cellStyle name="常规 14 9" xfId="1206" xr:uid="{00000000-0005-0000-0000-0000E6040000}"/>
    <cellStyle name="常规 140" xfId="1147" xr:uid="{00000000-0005-0000-0000-0000AB040000}"/>
    <cellStyle name="常规 141" xfId="1151" xr:uid="{00000000-0005-0000-0000-0000AF040000}"/>
    <cellStyle name="常规 141 2" xfId="1156" xr:uid="{00000000-0005-0000-0000-0000B4040000}"/>
    <cellStyle name="常规 141 2 2" xfId="377" xr:uid="{00000000-0005-0000-0000-0000A9010000}"/>
    <cellStyle name="常规 141 3" xfId="1160" xr:uid="{00000000-0005-0000-0000-0000B8040000}"/>
    <cellStyle name="常规 142" xfId="1163" xr:uid="{00000000-0005-0000-0000-0000BB040000}"/>
    <cellStyle name="常规 143" xfId="1166" xr:uid="{00000000-0005-0000-0000-0000BE040000}"/>
    <cellStyle name="常规 143 2" xfId="1169" xr:uid="{00000000-0005-0000-0000-0000C1040000}"/>
    <cellStyle name="常规 143 2 2" xfId="1171" xr:uid="{00000000-0005-0000-0000-0000C3040000}"/>
    <cellStyle name="常规 143 3" xfId="1174" xr:uid="{00000000-0005-0000-0000-0000C6040000}"/>
    <cellStyle name="常规 144" xfId="1178" xr:uid="{00000000-0005-0000-0000-0000CA040000}"/>
    <cellStyle name="常规 145" xfId="1211" xr:uid="{00000000-0005-0000-0000-0000EB040000}"/>
    <cellStyle name="常规 145 2" xfId="1214" xr:uid="{00000000-0005-0000-0000-0000EE040000}"/>
    <cellStyle name="常规 145 2 2" xfId="1217" xr:uid="{00000000-0005-0000-0000-0000F1040000}"/>
    <cellStyle name="常规 145 3" xfId="1220" xr:uid="{00000000-0005-0000-0000-0000F4040000}"/>
    <cellStyle name="常规 146" xfId="1225" xr:uid="{00000000-0005-0000-0000-0000F9040000}"/>
    <cellStyle name="常规 146 2" xfId="1230" xr:uid="{00000000-0005-0000-0000-0000FE040000}"/>
    <cellStyle name="常规 146 2 2" xfId="1233" xr:uid="{00000000-0005-0000-0000-000001050000}"/>
    <cellStyle name="常规 146 3" xfId="1237" xr:uid="{00000000-0005-0000-0000-000005050000}"/>
    <cellStyle name="常规 147" xfId="1242" xr:uid="{00000000-0005-0000-0000-00000A050000}"/>
    <cellStyle name="常规 147 2" xfId="1246" xr:uid="{00000000-0005-0000-0000-00000E050000}"/>
    <cellStyle name="常规 147 2 2" xfId="1250" xr:uid="{00000000-0005-0000-0000-000012050000}"/>
    <cellStyle name="常规 147 3" xfId="1254" xr:uid="{00000000-0005-0000-0000-000016050000}"/>
    <cellStyle name="常规 148" xfId="1258" xr:uid="{00000000-0005-0000-0000-00001A050000}"/>
    <cellStyle name="常规 148 2" xfId="1261" xr:uid="{00000000-0005-0000-0000-00001D050000}"/>
    <cellStyle name="常规 148 2 2" xfId="1264" xr:uid="{00000000-0005-0000-0000-000020050000}"/>
    <cellStyle name="常规 148 3" xfId="1267" xr:uid="{00000000-0005-0000-0000-000023050000}"/>
    <cellStyle name="常规 149" xfId="1271" xr:uid="{00000000-0005-0000-0000-000027050000}"/>
    <cellStyle name="常规 149 2" xfId="1273" xr:uid="{00000000-0005-0000-0000-000029050000}"/>
    <cellStyle name="常规 149 2 2" xfId="1275" xr:uid="{00000000-0005-0000-0000-00002B050000}"/>
    <cellStyle name="常规 149 3" xfId="1277" xr:uid="{00000000-0005-0000-0000-00002D050000}"/>
    <cellStyle name="常规 15" xfId="1279" xr:uid="{00000000-0005-0000-0000-00002F050000}"/>
    <cellStyle name="常规 15 10" xfId="1281" xr:uid="{00000000-0005-0000-0000-000031050000}"/>
    <cellStyle name="常规 15 11" xfId="1285" xr:uid="{00000000-0005-0000-0000-000035050000}"/>
    <cellStyle name="常规 15 12" xfId="1287" xr:uid="{00000000-0005-0000-0000-000037050000}"/>
    <cellStyle name="常规 15 13" xfId="1289" xr:uid="{00000000-0005-0000-0000-000039050000}"/>
    <cellStyle name="常规 15 14" xfId="1291" xr:uid="{00000000-0005-0000-0000-00003B050000}"/>
    <cellStyle name="常规 15 15" xfId="1293" xr:uid="{00000000-0005-0000-0000-00003D050000}"/>
    <cellStyle name="常规 15 16" xfId="1295" xr:uid="{00000000-0005-0000-0000-00003F050000}"/>
    <cellStyle name="常规 15 16 2" xfId="1297" xr:uid="{00000000-0005-0000-0000-000041050000}"/>
    <cellStyle name="常规 15 16 2 2" xfId="371" xr:uid="{00000000-0005-0000-0000-0000A3010000}"/>
    <cellStyle name="常规 15 16 3" xfId="1299" xr:uid="{00000000-0005-0000-0000-000043050000}"/>
    <cellStyle name="常规 15 17" xfId="1301" xr:uid="{00000000-0005-0000-0000-000045050000}"/>
    <cellStyle name="常规 15 17 2" xfId="1302" xr:uid="{00000000-0005-0000-0000-000046050000}"/>
    <cellStyle name="常规 15 17 3" xfId="1303" xr:uid="{00000000-0005-0000-0000-000047050000}"/>
    <cellStyle name="常规 15 17 4" xfId="1304" xr:uid="{00000000-0005-0000-0000-000048050000}"/>
    <cellStyle name="常规 15 18" xfId="1305" xr:uid="{00000000-0005-0000-0000-000049050000}"/>
    <cellStyle name="常规 15 2" xfId="693" xr:uid="{00000000-0005-0000-0000-0000E5020000}"/>
    <cellStyle name="常规 15 2 2" xfId="1307" xr:uid="{00000000-0005-0000-0000-00004B050000}"/>
    <cellStyle name="常规 15 2 3" xfId="1308" xr:uid="{00000000-0005-0000-0000-00004C050000}"/>
    <cellStyle name="常规 15 2 3 2" xfId="1309" xr:uid="{00000000-0005-0000-0000-00004D050000}"/>
    <cellStyle name="常规 15 3" xfId="697" xr:uid="{00000000-0005-0000-0000-0000E9020000}"/>
    <cellStyle name="常规 15 4" xfId="701" xr:uid="{00000000-0005-0000-0000-0000ED020000}"/>
    <cellStyle name="常规 15 5" xfId="953" xr:uid="{00000000-0005-0000-0000-0000E9030000}"/>
    <cellStyle name="常规 15 6" xfId="1312" xr:uid="{00000000-0005-0000-0000-000050050000}"/>
    <cellStyle name="常规 15 7" xfId="1315" xr:uid="{00000000-0005-0000-0000-000053050000}"/>
    <cellStyle name="常规 15 8" xfId="1317" xr:uid="{00000000-0005-0000-0000-000055050000}"/>
    <cellStyle name="常规 15 9" xfId="1319" xr:uid="{00000000-0005-0000-0000-000057050000}"/>
    <cellStyle name="常规 150" xfId="1210" xr:uid="{00000000-0005-0000-0000-0000EA040000}"/>
    <cellStyle name="常规 150 2" xfId="1213" xr:uid="{00000000-0005-0000-0000-0000ED040000}"/>
    <cellStyle name="常规 150 2 2" xfId="1216" xr:uid="{00000000-0005-0000-0000-0000F0040000}"/>
    <cellStyle name="常规 150 3" xfId="1219" xr:uid="{00000000-0005-0000-0000-0000F3040000}"/>
    <cellStyle name="常规 151" xfId="1224" xr:uid="{00000000-0005-0000-0000-0000F8040000}"/>
    <cellStyle name="常规 151 2" xfId="1229" xr:uid="{00000000-0005-0000-0000-0000FD040000}"/>
    <cellStyle name="常规 151 2 2" xfId="1232" xr:uid="{00000000-0005-0000-0000-000000050000}"/>
    <cellStyle name="常规 151 3" xfId="1236" xr:uid="{00000000-0005-0000-0000-000004050000}"/>
    <cellStyle name="常规 152" xfId="1241" xr:uid="{00000000-0005-0000-0000-000009050000}"/>
    <cellStyle name="常规 152 2" xfId="1245" xr:uid="{00000000-0005-0000-0000-00000D050000}"/>
    <cellStyle name="常规 152 2 2" xfId="1249" xr:uid="{00000000-0005-0000-0000-000011050000}"/>
    <cellStyle name="常规 152 3" xfId="1253" xr:uid="{00000000-0005-0000-0000-000015050000}"/>
    <cellStyle name="常规 153" xfId="1257" xr:uid="{00000000-0005-0000-0000-000019050000}"/>
    <cellStyle name="常规 153 2" xfId="1260" xr:uid="{00000000-0005-0000-0000-00001C050000}"/>
    <cellStyle name="常规 153 2 2" xfId="1263" xr:uid="{00000000-0005-0000-0000-00001F050000}"/>
    <cellStyle name="常规 153 3" xfId="1266" xr:uid="{00000000-0005-0000-0000-000022050000}"/>
    <cellStyle name="常规 154" xfId="1270" xr:uid="{00000000-0005-0000-0000-000026050000}"/>
    <cellStyle name="常规 154 2" xfId="1272" xr:uid="{00000000-0005-0000-0000-000028050000}"/>
    <cellStyle name="常规 154 2 2" xfId="1274" xr:uid="{00000000-0005-0000-0000-00002A050000}"/>
    <cellStyle name="常规 154 3" xfId="1276" xr:uid="{00000000-0005-0000-0000-00002C050000}"/>
    <cellStyle name="常规 155" xfId="1323" xr:uid="{00000000-0005-0000-0000-00005B050000}"/>
    <cellStyle name="常规 155 2" xfId="1326" xr:uid="{00000000-0005-0000-0000-00005E050000}"/>
    <cellStyle name="常规 155 2 2" xfId="1328" xr:uid="{00000000-0005-0000-0000-000060050000}"/>
    <cellStyle name="常规 155 3" xfId="1330" xr:uid="{00000000-0005-0000-0000-000062050000}"/>
    <cellStyle name="常规 156" xfId="1334" xr:uid="{00000000-0005-0000-0000-000066050000}"/>
    <cellStyle name="常规 156 2" xfId="1338" xr:uid="{00000000-0005-0000-0000-00006A050000}"/>
    <cellStyle name="常规 156 2 2" xfId="1341" xr:uid="{00000000-0005-0000-0000-00006D050000}"/>
    <cellStyle name="常规 156 3" xfId="1345" xr:uid="{00000000-0005-0000-0000-000071050000}"/>
    <cellStyle name="常规 157" xfId="1349" xr:uid="{00000000-0005-0000-0000-000075050000}"/>
    <cellStyle name="常规 157 2" xfId="639" xr:uid="{00000000-0005-0000-0000-0000AF020000}"/>
    <cellStyle name="常规 157 2 2" xfId="1351" xr:uid="{00000000-0005-0000-0000-000077050000}"/>
    <cellStyle name="常规 157 3" xfId="642" xr:uid="{00000000-0005-0000-0000-0000B2020000}"/>
    <cellStyle name="常规 158" xfId="1355" xr:uid="{00000000-0005-0000-0000-00007B050000}"/>
    <cellStyle name="常规 158 2" xfId="1358" xr:uid="{00000000-0005-0000-0000-00007E050000}"/>
    <cellStyle name="常规 158 2 2" xfId="1361" xr:uid="{00000000-0005-0000-0000-000081050000}"/>
    <cellStyle name="常规 158 3" xfId="1364" xr:uid="{00000000-0005-0000-0000-000084050000}"/>
    <cellStyle name="常规 159" xfId="1368" xr:uid="{00000000-0005-0000-0000-000088050000}"/>
    <cellStyle name="常规 159 2" xfId="1371" xr:uid="{00000000-0005-0000-0000-00008B050000}"/>
    <cellStyle name="常规 159 2 2" xfId="1374" xr:uid="{00000000-0005-0000-0000-00008E050000}"/>
    <cellStyle name="常规 159 3" xfId="1377" xr:uid="{00000000-0005-0000-0000-000091050000}"/>
    <cellStyle name="常规 16" xfId="900" xr:uid="{00000000-0005-0000-0000-0000B4030000}"/>
    <cellStyle name="常规 16 10" xfId="1379" xr:uid="{00000000-0005-0000-0000-000093050000}"/>
    <cellStyle name="常规 16 11" xfId="1381" xr:uid="{00000000-0005-0000-0000-000095050000}"/>
    <cellStyle name="常规 16 12" xfId="1383" xr:uid="{00000000-0005-0000-0000-000097050000}"/>
    <cellStyle name="常规 16 13" xfId="652" xr:uid="{00000000-0005-0000-0000-0000BC020000}"/>
    <cellStyle name="常规 16 14" xfId="1385" xr:uid="{00000000-0005-0000-0000-000099050000}"/>
    <cellStyle name="常规 16 15" xfId="1387" xr:uid="{00000000-0005-0000-0000-00009B050000}"/>
    <cellStyle name="常规 16 16" xfId="1389" xr:uid="{00000000-0005-0000-0000-00009D050000}"/>
    <cellStyle name="常规 16 16 2" xfId="1393" xr:uid="{00000000-0005-0000-0000-0000A1050000}"/>
    <cellStyle name="常规 16 16 2 2" xfId="1396" xr:uid="{00000000-0005-0000-0000-0000A4050000}"/>
    <cellStyle name="常规 16 16 3" xfId="1400" xr:uid="{00000000-0005-0000-0000-0000A8050000}"/>
    <cellStyle name="常规 16 17" xfId="1402" xr:uid="{00000000-0005-0000-0000-0000AA050000}"/>
    <cellStyle name="常规 16 17 2" xfId="1408" xr:uid="{00000000-0005-0000-0000-0000B0050000}"/>
    <cellStyle name="常规 16 17 3" xfId="1413" xr:uid="{00000000-0005-0000-0000-0000B5050000}"/>
    <cellStyle name="常规 16 17 4" xfId="1418" xr:uid="{00000000-0005-0000-0000-0000BA050000}"/>
    <cellStyle name="常规 16 18" xfId="1420" xr:uid="{00000000-0005-0000-0000-0000BC050000}"/>
    <cellStyle name="常规 16 2" xfId="904" xr:uid="{00000000-0005-0000-0000-0000B8030000}"/>
    <cellStyle name="常规 16 2 2" xfId="779" xr:uid="{00000000-0005-0000-0000-00003B030000}"/>
    <cellStyle name="常规 16 2 3" xfId="783" xr:uid="{00000000-0005-0000-0000-00003F030000}"/>
    <cellStyle name="常规 16 2 3 2" xfId="1424" xr:uid="{00000000-0005-0000-0000-0000C0050000}"/>
    <cellStyle name="常规 16 3" xfId="1426" xr:uid="{00000000-0005-0000-0000-0000C2050000}"/>
    <cellStyle name="常规 16 4" xfId="1428" xr:uid="{00000000-0005-0000-0000-0000C4050000}"/>
    <cellStyle name="常规 16 5" xfId="1430" xr:uid="{00000000-0005-0000-0000-0000C6050000}"/>
    <cellStyle name="常规 16 6" xfId="1432" xr:uid="{00000000-0005-0000-0000-0000C8050000}"/>
    <cellStyle name="常规 16 7" xfId="1434" xr:uid="{00000000-0005-0000-0000-0000CA050000}"/>
    <cellStyle name="常规 16 8" xfId="1436" xr:uid="{00000000-0005-0000-0000-0000CC050000}"/>
    <cellStyle name="常规 16 9" xfId="1438" xr:uid="{00000000-0005-0000-0000-0000CE050000}"/>
    <cellStyle name="常规 160" xfId="1322" xr:uid="{00000000-0005-0000-0000-00005A050000}"/>
    <cellStyle name="常规 160 2" xfId="1325" xr:uid="{00000000-0005-0000-0000-00005D050000}"/>
    <cellStyle name="常规 160 2 2" xfId="1327" xr:uid="{00000000-0005-0000-0000-00005F050000}"/>
    <cellStyle name="常规 160 3" xfId="1329" xr:uid="{00000000-0005-0000-0000-000061050000}"/>
    <cellStyle name="常规 161" xfId="1333" xr:uid="{00000000-0005-0000-0000-000065050000}"/>
    <cellStyle name="常规 161 2" xfId="1337" xr:uid="{00000000-0005-0000-0000-000069050000}"/>
    <cellStyle name="常规 161 2 2" xfId="1340" xr:uid="{00000000-0005-0000-0000-00006C050000}"/>
    <cellStyle name="常规 161 3" xfId="1344" xr:uid="{00000000-0005-0000-0000-000070050000}"/>
    <cellStyle name="常规 162" xfId="1348" xr:uid="{00000000-0005-0000-0000-000074050000}"/>
    <cellStyle name="常规 162 2" xfId="638" xr:uid="{00000000-0005-0000-0000-0000AE020000}"/>
    <cellStyle name="常规 162 2 2" xfId="1350" xr:uid="{00000000-0005-0000-0000-000076050000}"/>
    <cellStyle name="常规 162 3" xfId="641" xr:uid="{00000000-0005-0000-0000-0000B1020000}"/>
    <cellStyle name="常规 163" xfId="1354" xr:uid="{00000000-0005-0000-0000-00007A050000}"/>
    <cellStyle name="常规 163 2" xfId="1357" xr:uid="{00000000-0005-0000-0000-00007D050000}"/>
    <cellStyle name="常规 163 2 2" xfId="1360" xr:uid="{00000000-0005-0000-0000-000080050000}"/>
    <cellStyle name="常规 163 3" xfId="1363" xr:uid="{00000000-0005-0000-0000-000083050000}"/>
    <cellStyle name="常规 164" xfId="1367" xr:uid="{00000000-0005-0000-0000-000087050000}"/>
    <cellStyle name="常规 164 2" xfId="1370" xr:uid="{00000000-0005-0000-0000-00008A050000}"/>
    <cellStyle name="常规 164 2 2" xfId="1373" xr:uid="{00000000-0005-0000-0000-00008D050000}"/>
    <cellStyle name="常规 164 3" xfId="1376" xr:uid="{00000000-0005-0000-0000-000090050000}"/>
    <cellStyle name="常规 165" xfId="1442" xr:uid="{00000000-0005-0000-0000-0000D2050000}"/>
    <cellStyle name="常规 165 2" xfId="1445" xr:uid="{00000000-0005-0000-0000-0000D5050000}"/>
    <cellStyle name="常规 165 2 2" xfId="1448" xr:uid="{00000000-0005-0000-0000-0000D8050000}"/>
    <cellStyle name="常规 165 3" xfId="1451" xr:uid="{00000000-0005-0000-0000-0000DB050000}"/>
    <cellStyle name="常规 166" xfId="1456" xr:uid="{00000000-0005-0000-0000-0000E0050000}"/>
    <cellStyle name="常规 166 2" xfId="1460" xr:uid="{00000000-0005-0000-0000-0000E4050000}"/>
    <cellStyle name="常规 166 2 2" xfId="1464" xr:uid="{00000000-0005-0000-0000-0000E8050000}"/>
    <cellStyle name="常规 166 3" xfId="1468" xr:uid="{00000000-0005-0000-0000-0000EC050000}"/>
    <cellStyle name="常规 167" xfId="1475" xr:uid="{00000000-0005-0000-0000-0000F3050000}"/>
    <cellStyle name="常规 167 2" xfId="1477" xr:uid="{00000000-0005-0000-0000-0000F5050000}"/>
    <cellStyle name="常规 167 2 2" xfId="1480" xr:uid="{00000000-0005-0000-0000-0000F8050000}"/>
    <cellStyle name="常规 167 3" xfId="1482" xr:uid="{00000000-0005-0000-0000-0000FA050000}"/>
    <cellStyle name="常规 168" xfId="1487" xr:uid="{00000000-0005-0000-0000-0000FF050000}"/>
    <cellStyle name="常规 168 2" xfId="1489" xr:uid="{00000000-0005-0000-0000-000001060000}"/>
    <cellStyle name="常规 168 2 2" xfId="1491" xr:uid="{00000000-0005-0000-0000-000003060000}"/>
    <cellStyle name="常规 168 3" xfId="1493" xr:uid="{00000000-0005-0000-0000-000005060000}"/>
    <cellStyle name="常规 169" xfId="1498" xr:uid="{00000000-0005-0000-0000-00000A060000}"/>
    <cellStyle name="常规 169 2" xfId="1500" xr:uid="{00000000-0005-0000-0000-00000C060000}"/>
    <cellStyle name="常规 169 2 2" xfId="1502" xr:uid="{00000000-0005-0000-0000-00000E060000}"/>
    <cellStyle name="常规 169 3" xfId="1504" xr:uid="{00000000-0005-0000-0000-000010060000}"/>
    <cellStyle name="常规 17" xfId="909" xr:uid="{00000000-0005-0000-0000-0000BD030000}"/>
    <cellStyle name="常规 17 10" xfId="1508" xr:uid="{00000000-0005-0000-0000-000014060000}"/>
    <cellStyle name="常规 17 11" xfId="1512" xr:uid="{00000000-0005-0000-0000-000018060000}"/>
    <cellStyle name="常规 17 12" xfId="1516" xr:uid="{00000000-0005-0000-0000-00001C060000}"/>
    <cellStyle name="常规 17 13" xfId="1520" xr:uid="{00000000-0005-0000-0000-000020060000}"/>
    <cellStyle name="常规 17 14" xfId="1407" xr:uid="{00000000-0005-0000-0000-0000AF050000}"/>
    <cellStyle name="常规 17 15" xfId="1412" xr:uid="{00000000-0005-0000-0000-0000B4050000}"/>
    <cellStyle name="常规 17 16" xfId="1417" xr:uid="{00000000-0005-0000-0000-0000B9050000}"/>
    <cellStyle name="常规 17 16 2" xfId="1522" xr:uid="{00000000-0005-0000-0000-000022060000}"/>
    <cellStyle name="常规 17 16 2 2" xfId="1525" xr:uid="{00000000-0005-0000-0000-000025060000}"/>
    <cellStyle name="常规 17 16 3" xfId="1527" xr:uid="{00000000-0005-0000-0000-000027060000}"/>
    <cellStyle name="常规 17 17" xfId="1530" xr:uid="{00000000-0005-0000-0000-00002A060000}"/>
    <cellStyle name="常规 17 17 2" xfId="1533" xr:uid="{00000000-0005-0000-0000-00002D060000}"/>
    <cellStyle name="常规 17 17 3" xfId="1536" xr:uid="{00000000-0005-0000-0000-000030060000}"/>
    <cellStyle name="常规 17 17 4" xfId="1539" xr:uid="{00000000-0005-0000-0000-000033060000}"/>
    <cellStyle name="常规 17 18" xfId="1542" xr:uid="{00000000-0005-0000-0000-000036060000}"/>
    <cellStyle name="常规 17 2" xfId="1544" xr:uid="{00000000-0005-0000-0000-000038060000}"/>
    <cellStyle name="常规 17 2 2" xfId="1546" xr:uid="{00000000-0005-0000-0000-00003A060000}"/>
    <cellStyle name="常规 17 2 3" xfId="1548" xr:uid="{00000000-0005-0000-0000-00003C060000}"/>
    <cellStyle name="常规 17 2 3 2" xfId="1550" xr:uid="{00000000-0005-0000-0000-00003E060000}"/>
    <cellStyle name="常规 17 3" xfId="1552" xr:uid="{00000000-0005-0000-0000-000040060000}"/>
    <cellStyle name="常规 17 4" xfId="1554" xr:uid="{00000000-0005-0000-0000-000042060000}"/>
    <cellStyle name="常规 17 5" xfId="1556" xr:uid="{00000000-0005-0000-0000-000044060000}"/>
    <cellStyle name="常规 17 6" xfId="1558" xr:uid="{00000000-0005-0000-0000-000046060000}"/>
    <cellStyle name="常规 17 7" xfId="1560" xr:uid="{00000000-0005-0000-0000-000048060000}"/>
    <cellStyle name="常规 17 8" xfId="1562" xr:uid="{00000000-0005-0000-0000-00004A060000}"/>
    <cellStyle name="常规 17 9" xfId="1564" xr:uid="{00000000-0005-0000-0000-00004C060000}"/>
    <cellStyle name="常规 170" xfId="1441" xr:uid="{00000000-0005-0000-0000-0000D1050000}"/>
    <cellStyle name="常规 170 2" xfId="1444" xr:uid="{00000000-0005-0000-0000-0000D4050000}"/>
    <cellStyle name="常规 170 2 2" xfId="1447" xr:uid="{00000000-0005-0000-0000-0000D7050000}"/>
    <cellStyle name="常规 170 3" xfId="1450" xr:uid="{00000000-0005-0000-0000-0000DA050000}"/>
    <cellStyle name="常规 171" xfId="1455" xr:uid="{00000000-0005-0000-0000-0000DF050000}"/>
    <cellStyle name="常规 171 2" xfId="1459" xr:uid="{00000000-0005-0000-0000-0000E3050000}"/>
    <cellStyle name="常规 171 2 2" xfId="1463" xr:uid="{00000000-0005-0000-0000-0000E7050000}"/>
    <cellStyle name="常规 171 3" xfId="1467" xr:uid="{00000000-0005-0000-0000-0000EB050000}"/>
    <cellStyle name="常规 172" xfId="1474" xr:uid="{00000000-0005-0000-0000-0000F2050000}"/>
    <cellStyle name="常规 173" xfId="1486" xr:uid="{00000000-0005-0000-0000-0000FE050000}"/>
    <cellStyle name="常规 174" xfId="1497" xr:uid="{00000000-0005-0000-0000-000009060000}"/>
    <cellStyle name="常规 175" xfId="1569" xr:uid="{00000000-0005-0000-0000-000051060000}"/>
    <cellStyle name="常规 176" xfId="1575" xr:uid="{00000000-0005-0000-0000-000057060000}"/>
    <cellStyle name="常规 177" xfId="1580" xr:uid="{00000000-0005-0000-0000-00005C060000}"/>
    <cellStyle name="常规 178" xfId="1585" xr:uid="{00000000-0005-0000-0000-000061060000}"/>
    <cellStyle name="常规 179" xfId="1589" xr:uid="{00000000-0005-0000-0000-000065060000}"/>
    <cellStyle name="常规 18" xfId="980" xr:uid="{00000000-0005-0000-0000-000004040000}"/>
    <cellStyle name="常规 18 10" xfId="1591" xr:uid="{00000000-0005-0000-0000-000067060000}"/>
    <cellStyle name="常规 18 11" xfId="1593" xr:uid="{00000000-0005-0000-0000-000069060000}"/>
    <cellStyle name="常规 18 12" xfId="1596" xr:uid="{00000000-0005-0000-0000-00006C060000}"/>
    <cellStyle name="常规 18 13" xfId="1599" xr:uid="{00000000-0005-0000-0000-00006F060000}"/>
    <cellStyle name="常规 18 14" xfId="1602" xr:uid="{00000000-0005-0000-0000-000072060000}"/>
    <cellStyle name="常规 18 15" xfId="1605" xr:uid="{00000000-0005-0000-0000-000075060000}"/>
    <cellStyle name="常规 18 16" xfId="1608" xr:uid="{00000000-0005-0000-0000-000078060000}"/>
    <cellStyle name="常规 18 16 2" xfId="1609" xr:uid="{00000000-0005-0000-0000-000079060000}"/>
    <cellStyle name="常规 18 16 2 2" xfId="1610" xr:uid="{00000000-0005-0000-0000-00007A060000}"/>
    <cellStyle name="常规 18 16 3" xfId="31" xr:uid="{00000000-0005-0000-0000-000031000000}"/>
    <cellStyle name="常规 18 17" xfId="1612" xr:uid="{00000000-0005-0000-0000-00007C060000}"/>
    <cellStyle name="常规 18 17 2" xfId="1614" xr:uid="{00000000-0005-0000-0000-00007E060000}"/>
    <cellStyle name="常规 18 17 3" xfId="1616" xr:uid="{00000000-0005-0000-0000-000080060000}"/>
    <cellStyle name="常规 18 17 4" xfId="1617" xr:uid="{00000000-0005-0000-0000-000081060000}"/>
    <cellStyle name="常规 18 18" xfId="1619" xr:uid="{00000000-0005-0000-0000-000083060000}"/>
    <cellStyle name="常规 18 2" xfId="1622" xr:uid="{00000000-0005-0000-0000-000086060000}"/>
    <cellStyle name="常规 18 2 2" xfId="763" xr:uid="{00000000-0005-0000-0000-00002B030000}"/>
    <cellStyle name="常规 18 2 3" xfId="1624" xr:uid="{00000000-0005-0000-0000-000088060000}"/>
    <cellStyle name="常规 18 2 3 2" xfId="1626" xr:uid="{00000000-0005-0000-0000-00008A060000}"/>
    <cellStyle name="常规 18 2 4" xfId="1628" xr:uid="{00000000-0005-0000-0000-00008C060000}"/>
    <cellStyle name="常规 18 3" xfId="1630" xr:uid="{00000000-0005-0000-0000-00008E060000}"/>
    <cellStyle name="常规 18 3 2" xfId="1632" xr:uid="{00000000-0005-0000-0000-000090060000}"/>
    <cellStyle name="常规 18 3 3" xfId="1634" xr:uid="{00000000-0005-0000-0000-000092060000}"/>
    <cellStyle name="常规 18 4" xfId="1636" xr:uid="{00000000-0005-0000-0000-000094060000}"/>
    <cellStyle name="常规 18 5" xfId="1638" xr:uid="{00000000-0005-0000-0000-000096060000}"/>
    <cellStyle name="常规 18 6" xfId="1640" xr:uid="{00000000-0005-0000-0000-000098060000}"/>
    <cellStyle name="常规 18 7" xfId="1644" xr:uid="{00000000-0005-0000-0000-00009C060000}"/>
    <cellStyle name="常规 18 8" xfId="1646" xr:uid="{00000000-0005-0000-0000-00009E060000}"/>
    <cellStyle name="常规 18 9" xfId="1648" xr:uid="{00000000-0005-0000-0000-0000A0060000}"/>
    <cellStyle name="常规 180" xfId="1568" xr:uid="{00000000-0005-0000-0000-000050060000}"/>
    <cellStyle name="常规 180 2" xfId="1652" xr:uid="{00000000-0005-0000-0000-0000A4060000}"/>
    <cellStyle name="常规 180 2 2" xfId="1655" xr:uid="{00000000-0005-0000-0000-0000A7060000}"/>
    <cellStyle name="常规 180 3" xfId="1661" xr:uid="{00000000-0005-0000-0000-0000AD060000}"/>
    <cellStyle name="常规 181" xfId="1574" xr:uid="{00000000-0005-0000-0000-000056060000}"/>
    <cellStyle name="常规 181 2" xfId="1664" xr:uid="{00000000-0005-0000-0000-0000B0060000}"/>
    <cellStyle name="常规 181 2 2" xfId="1668" xr:uid="{00000000-0005-0000-0000-0000B4060000}"/>
    <cellStyle name="常规 181 3" xfId="1672" xr:uid="{00000000-0005-0000-0000-0000B8060000}"/>
    <cellStyle name="常规 182" xfId="1579" xr:uid="{00000000-0005-0000-0000-00005B060000}"/>
    <cellStyle name="常规 182 2" xfId="1676" xr:uid="{00000000-0005-0000-0000-0000BC060000}"/>
    <cellStyle name="常规 182 2 2" xfId="797" xr:uid="{00000000-0005-0000-0000-00004D030000}"/>
    <cellStyle name="常规 182 3" xfId="1680" xr:uid="{00000000-0005-0000-0000-0000C0060000}"/>
    <cellStyle name="常规 183" xfId="1584" xr:uid="{00000000-0005-0000-0000-000060060000}"/>
    <cellStyle name="常规 183 2" xfId="1683" xr:uid="{00000000-0005-0000-0000-0000C3060000}"/>
    <cellStyle name="常规 183 2 2" xfId="450" xr:uid="{00000000-0005-0000-0000-0000F2010000}"/>
    <cellStyle name="常规 183 3" xfId="1687" xr:uid="{00000000-0005-0000-0000-0000C7060000}"/>
    <cellStyle name="常规 184" xfId="1588" xr:uid="{00000000-0005-0000-0000-000064060000}"/>
    <cellStyle name="常规 184 2" xfId="1690" xr:uid="{00000000-0005-0000-0000-0000CA060000}"/>
    <cellStyle name="常规 184 2 2" xfId="1693" xr:uid="{00000000-0005-0000-0000-0000CD060000}"/>
    <cellStyle name="常规 184 3" xfId="1696" xr:uid="{00000000-0005-0000-0000-0000D0060000}"/>
    <cellStyle name="常规 185" xfId="1700" xr:uid="{00000000-0005-0000-0000-0000D4060000}"/>
    <cellStyle name="常规 185 2" xfId="1704" xr:uid="{00000000-0005-0000-0000-0000D8060000}"/>
    <cellStyle name="常规 185 2 2" xfId="1706" xr:uid="{00000000-0005-0000-0000-0000DA060000}"/>
    <cellStyle name="常规 185 3" xfId="1709" xr:uid="{00000000-0005-0000-0000-0000DD060000}"/>
    <cellStyle name="常规 186" xfId="1713" xr:uid="{00000000-0005-0000-0000-0000E1060000}"/>
    <cellStyle name="常规 186 2" xfId="1717" xr:uid="{00000000-0005-0000-0000-0000E5060000}"/>
    <cellStyle name="常规 186 2 2" xfId="1720" xr:uid="{00000000-0005-0000-0000-0000E8060000}"/>
    <cellStyle name="常规 186 3" xfId="1724" xr:uid="{00000000-0005-0000-0000-0000EC060000}"/>
    <cellStyle name="常规 187" xfId="1729" xr:uid="{00000000-0005-0000-0000-0000F1060000}"/>
    <cellStyle name="常规 187 2" xfId="1732" xr:uid="{00000000-0005-0000-0000-0000F4060000}"/>
    <cellStyle name="常规 187 2 2" xfId="1734" xr:uid="{00000000-0005-0000-0000-0000F6060000}"/>
    <cellStyle name="常规 187 3" xfId="1736" xr:uid="{00000000-0005-0000-0000-0000F8060000}"/>
    <cellStyle name="常规 188" xfId="1741" xr:uid="{00000000-0005-0000-0000-0000FD060000}"/>
    <cellStyle name="常规 188 2" xfId="1744" xr:uid="{00000000-0005-0000-0000-000000070000}"/>
    <cellStyle name="常规 188 2 2" xfId="1746" xr:uid="{00000000-0005-0000-0000-000002070000}"/>
    <cellStyle name="常规 188 3" xfId="1749" xr:uid="{00000000-0005-0000-0000-000005070000}"/>
    <cellStyle name="常规 189" xfId="1756" xr:uid="{00000000-0005-0000-0000-00000C070000}"/>
    <cellStyle name="常规 189 2" xfId="1760" xr:uid="{00000000-0005-0000-0000-000010070000}"/>
    <cellStyle name="常规 189 2 2" xfId="736" xr:uid="{00000000-0005-0000-0000-000010030000}"/>
    <cellStyle name="常规 189 3" xfId="1764" xr:uid="{00000000-0005-0000-0000-000014070000}"/>
    <cellStyle name="常规 19" xfId="984" xr:uid="{00000000-0005-0000-0000-000008040000}"/>
    <cellStyle name="常规 19 10" xfId="526" xr:uid="{00000000-0005-0000-0000-00003E020000}"/>
    <cellStyle name="常规 19 11" xfId="208" xr:uid="{00000000-0005-0000-0000-000000010000}"/>
    <cellStyle name="常规 19 12" xfId="214" xr:uid="{00000000-0005-0000-0000-000006010000}"/>
    <cellStyle name="常规 19 13" xfId="222" xr:uid="{00000000-0005-0000-0000-00000E010000}"/>
    <cellStyle name="常规 19 14" xfId="226" xr:uid="{00000000-0005-0000-0000-000012010000}"/>
    <cellStyle name="常规 19 15" xfId="234" xr:uid="{00000000-0005-0000-0000-00001A010000}"/>
    <cellStyle name="常规 19 16" xfId="1767" xr:uid="{00000000-0005-0000-0000-000017070000}"/>
    <cellStyle name="常规 19 17" xfId="1770" xr:uid="{00000000-0005-0000-0000-00001A070000}"/>
    <cellStyle name="常规 19 17 2" xfId="1772" xr:uid="{00000000-0005-0000-0000-00001C070000}"/>
    <cellStyle name="常规 19 17 2 2" xfId="1773" xr:uid="{00000000-0005-0000-0000-00001D070000}"/>
    <cellStyle name="常规 19 17 3" xfId="1775" xr:uid="{00000000-0005-0000-0000-00001F070000}"/>
    <cellStyle name="常规 19 18" xfId="1777" xr:uid="{00000000-0005-0000-0000-000021070000}"/>
    <cellStyle name="常规 19 19" xfId="1778" xr:uid="{00000000-0005-0000-0000-000022070000}"/>
    <cellStyle name="常规 19 2" xfId="1782" xr:uid="{00000000-0005-0000-0000-000026070000}"/>
    <cellStyle name="常规 19 2 2" xfId="1784" xr:uid="{00000000-0005-0000-0000-000028070000}"/>
    <cellStyle name="常规 19 20" xfId="233" xr:uid="{00000000-0005-0000-0000-000019010000}"/>
    <cellStyle name="常规 19 3" xfId="1788" xr:uid="{00000000-0005-0000-0000-00002C070000}"/>
    <cellStyle name="常规 19 4" xfId="1792" xr:uid="{00000000-0005-0000-0000-000030070000}"/>
    <cellStyle name="常规 19 5" xfId="1797" xr:uid="{00000000-0005-0000-0000-000035070000}"/>
    <cellStyle name="常规 19 6" xfId="1801" xr:uid="{00000000-0005-0000-0000-000039070000}"/>
    <cellStyle name="常规 19 7" xfId="413" xr:uid="{00000000-0005-0000-0000-0000CD010000}"/>
    <cellStyle name="常规 19 8" xfId="1805" xr:uid="{00000000-0005-0000-0000-00003D070000}"/>
    <cellStyle name="常规 19 9" xfId="1809" xr:uid="{00000000-0005-0000-0000-000041070000}"/>
    <cellStyle name="常规 190" xfId="1699" xr:uid="{00000000-0005-0000-0000-0000D3060000}"/>
    <cellStyle name="常规 190 2" xfId="1703" xr:uid="{00000000-0005-0000-0000-0000D7060000}"/>
    <cellStyle name="常规 190 2 2" xfId="1705" xr:uid="{00000000-0005-0000-0000-0000D9060000}"/>
    <cellStyle name="常规 190 3" xfId="1708" xr:uid="{00000000-0005-0000-0000-0000DC060000}"/>
    <cellStyle name="常规 191" xfId="1712" xr:uid="{00000000-0005-0000-0000-0000E0060000}"/>
    <cellStyle name="常规 191 2" xfId="1716" xr:uid="{00000000-0005-0000-0000-0000E4060000}"/>
    <cellStyle name="常规 191 2 2" xfId="1719" xr:uid="{00000000-0005-0000-0000-0000E7060000}"/>
    <cellStyle name="常规 191 3" xfId="1723" xr:uid="{00000000-0005-0000-0000-0000EB060000}"/>
    <cellStyle name="常规 192" xfId="1728" xr:uid="{00000000-0005-0000-0000-0000F0060000}"/>
    <cellStyle name="常规 192 2" xfId="1731" xr:uid="{00000000-0005-0000-0000-0000F3060000}"/>
    <cellStyle name="常规 192 2 2" xfId="1733" xr:uid="{00000000-0005-0000-0000-0000F5060000}"/>
    <cellStyle name="常规 192 3" xfId="1735" xr:uid="{00000000-0005-0000-0000-0000F7060000}"/>
    <cellStyle name="常规 193" xfId="1740" xr:uid="{00000000-0005-0000-0000-0000FC060000}"/>
    <cellStyle name="常规 193 2" xfId="1743" xr:uid="{00000000-0005-0000-0000-0000FF060000}"/>
    <cellStyle name="常规 193 2 2" xfId="1745" xr:uid="{00000000-0005-0000-0000-000001070000}"/>
    <cellStyle name="常规 193 3" xfId="1748" xr:uid="{00000000-0005-0000-0000-000004070000}"/>
    <cellStyle name="常规 194" xfId="1755" xr:uid="{00000000-0005-0000-0000-00000B070000}"/>
    <cellStyle name="常规 194 2" xfId="1759" xr:uid="{00000000-0005-0000-0000-00000F070000}"/>
    <cellStyle name="常规 194 2 2" xfId="735" xr:uid="{00000000-0005-0000-0000-00000F030000}"/>
    <cellStyle name="常规 194 3" xfId="1763" xr:uid="{00000000-0005-0000-0000-000013070000}"/>
    <cellStyle name="常规 195" xfId="28" xr:uid="{00000000-0005-0000-0000-00002C000000}"/>
    <cellStyle name="常规 195 2" xfId="1811" xr:uid="{00000000-0005-0000-0000-000043070000}"/>
    <cellStyle name="常规 195 2 2" xfId="1813" xr:uid="{00000000-0005-0000-0000-000045070000}"/>
    <cellStyle name="常规 195 3" xfId="1815" xr:uid="{00000000-0005-0000-0000-000047070000}"/>
    <cellStyle name="常规 196" xfId="579" xr:uid="{00000000-0005-0000-0000-000073020000}"/>
    <cellStyle name="常规 196 2" xfId="581" xr:uid="{00000000-0005-0000-0000-000075020000}"/>
    <cellStyle name="常规 196 2 2" xfId="1816" xr:uid="{00000000-0005-0000-0000-000048070000}"/>
    <cellStyle name="常规 196 3" xfId="1817" xr:uid="{00000000-0005-0000-0000-000049070000}"/>
    <cellStyle name="常规 197" xfId="588" xr:uid="{00000000-0005-0000-0000-00007C020000}"/>
    <cellStyle name="常规 197 2" xfId="1818" xr:uid="{00000000-0005-0000-0000-00004A070000}"/>
    <cellStyle name="常规 197 2 2" xfId="1823" xr:uid="{00000000-0005-0000-0000-00004F070000}"/>
    <cellStyle name="常规 197 3" xfId="1824" xr:uid="{00000000-0005-0000-0000-000050070000}"/>
    <cellStyle name="常规 198" xfId="1828" xr:uid="{00000000-0005-0000-0000-000054070000}"/>
    <cellStyle name="常规 198 2" xfId="1829" xr:uid="{00000000-0005-0000-0000-000055070000}"/>
    <cellStyle name="常规 198 2 2" xfId="1830" xr:uid="{00000000-0005-0000-0000-000056070000}"/>
    <cellStyle name="常规 198 3" xfId="1831" xr:uid="{00000000-0005-0000-0000-000057070000}"/>
    <cellStyle name="常规 199" xfId="1835" xr:uid="{00000000-0005-0000-0000-00005B070000}"/>
    <cellStyle name="常规 199 2" xfId="1837" xr:uid="{00000000-0005-0000-0000-00005D070000}"/>
    <cellStyle name="常规 199 2 2" xfId="1796" xr:uid="{00000000-0005-0000-0000-000034070000}"/>
    <cellStyle name="常规 199 3" xfId="1839" xr:uid="{00000000-0005-0000-0000-00005F070000}"/>
    <cellStyle name="常规 2" xfId="1840" xr:uid="{00000000-0005-0000-0000-000060070000}"/>
    <cellStyle name="常规 2 10" xfId="1842" xr:uid="{00000000-0005-0000-0000-000062070000}"/>
    <cellStyle name="常规 2 10 2" xfId="1843" xr:uid="{00000000-0005-0000-0000-000063070000}"/>
    <cellStyle name="常规 2 10 3" xfId="1844" xr:uid="{00000000-0005-0000-0000-000064070000}"/>
    <cellStyle name="常规 2 100" xfId="1846" xr:uid="{00000000-0005-0000-0000-000066070000}"/>
    <cellStyle name="常规 2 101" xfId="1848" xr:uid="{00000000-0005-0000-0000-000068070000}"/>
    <cellStyle name="常规 2 102" xfId="1850" xr:uid="{00000000-0005-0000-0000-00006A070000}"/>
    <cellStyle name="常规 2 103" xfId="1852" xr:uid="{00000000-0005-0000-0000-00006C070000}"/>
    <cellStyle name="常规 2 104" xfId="1853" xr:uid="{00000000-0005-0000-0000-00006D070000}"/>
    <cellStyle name="常规 2 105" xfId="1781" xr:uid="{00000000-0005-0000-0000-000025070000}"/>
    <cellStyle name="常规 2 106" xfId="1787" xr:uid="{00000000-0005-0000-0000-00002B070000}"/>
    <cellStyle name="常规 2 107" xfId="1791" xr:uid="{00000000-0005-0000-0000-00002F070000}"/>
    <cellStyle name="常规 2 108" xfId="1795" xr:uid="{00000000-0005-0000-0000-000033070000}"/>
    <cellStyle name="常规 2 109" xfId="1800" xr:uid="{00000000-0005-0000-0000-000038070000}"/>
    <cellStyle name="常规 2 11" xfId="1855" xr:uid="{00000000-0005-0000-0000-00006F070000}"/>
    <cellStyle name="常规 2 11 2" xfId="1857" xr:uid="{00000000-0005-0000-0000-000071070000}"/>
    <cellStyle name="常规 2 11 3" xfId="538" xr:uid="{00000000-0005-0000-0000-00004A020000}"/>
    <cellStyle name="常规 2 110" xfId="1780" xr:uid="{00000000-0005-0000-0000-000024070000}"/>
    <cellStyle name="常规 2 111" xfId="1786" xr:uid="{00000000-0005-0000-0000-00002A070000}"/>
    <cellStyle name="常规 2 112" xfId="1790" xr:uid="{00000000-0005-0000-0000-00002E070000}"/>
    <cellStyle name="常规 2 113" xfId="1794" xr:uid="{00000000-0005-0000-0000-000032070000}"/>
    <cellStyle name="常规 2 114" xfId="1799" xr:uid="{00000000-0005-0000-0000-000037070000}"/>
    <cellStyle name="常规 2 115" xfId="412" xr:uid="{00000000-0005-0000-0000-0000CC010000}"/>
    <cellStyle name="常规 2 116" xfId="1804" xr:uid="{00000000-0005-0000-0000-00003C070000}"/>
    <cellStyle name="常规 2 117" xfId="1808" xr:uid="{00000000-0005-0000-0000-000040070000}"/>
    <cellStyle name="常规 2 118" xfId="1859" xr:uid="{00000000-0005-0000-0000-000073070000}"/>
    <cellStyle name="常规 2 119" xfId="1861" xr:uid="{00000000-0005-0000-0000-000075070000}"/>
    <cellStyle name="常规 2 12" xfId="1863" xr:uid="{00000000-0005-0000-0000-000077070000}"/>
    <cellStyle name="常规 2 12 2" xfId="1865" xr:uid="{00000000-0005-0000-0000-000079070000}"/>
    <cellStyle name="常规 2 12 3" xfId="1866" xr:uid="{00000000-0005-0000-0000-00007A070000}"/>
    <cellStyle name="常规 2 120" xfId="411" xr:uid="{00000000-0005-0000-0000-0000CB010000}"/>
    <cellStyle name="常规 2 121" xfId="1803" xr:uid="{00000000-0005-0000-0000-00003B070000}"/>
    <cellStyle name="常规 2 122" xfId="1807" xr:uid="{00000000-0005-0000-0000-00003F070000}"/>
    <cellStyle name="常规 2 123" xfId="1858" xr:uid="{00000000-0005-0000-0000-000072070000}"/>
    <cellStyle name="常规 2 124" xfId="1860" xr:uid="{00000000-0005-0000-0000-000074070000}"/>
    <cellStyle name="常规 2 125" xfId="1868" xr:uid="{00000000-0005-0000-0000-00007C070000}"/>
    <cellStyle name="常规 2 126" xfId="1870" xr:uid="{00000000-0005-0000-0000-00007E070000}"/>
    <cellStyle name="常规 2 127" xfId="1872" xr:uid="{00000000-0005-0000-0000-000080070000}"/>
    <cellStyle name="常规 2 128" xfId="1874" xr:uid="{00000000-0005-0000-0000-000082070000}"/>
    <cellStyle name="常规 2 129" xfId="1876" xr:uid="{00000000-0005-0000-0000-000084070000}"/>
    <cellStyle name="常规 2 13" xfId="1878" xr:uid="{00000000-0005-0000-0000-000086070000}"/>
    <cellStyle name="常规 2 13 2" xfId="1880" xr:uid="{00000000-0005-0000-0000-000088070000}"/>
    <cellStyle name="常规 2 13 3" xfId="408" xr:uid="{00000000-0005-0000-0000-0000C8010000}"/>
    <cellStyle name="常规 2 130" xfId="1867" xr:uid="{00000000-0005-0000-0000-00007B070000}"/>
    <cellStyle name="常规 2 131" xfId="1869" xr:uid="{00000000-0005-0000-0000-00007D070000}"/>
    <cellStyle name="常规 2 132" xfId="1871" xr:uid="{00000000-0005-0000-0000-00007F070000}"/>
    <cellStyle name="常规 2 133" xfId="1873" xr:uid="{00000000-0005-0000-0000-000081070000}"/>
    <cellStyle name="常规 2 134" xfId="1875" xr:uid="{00000000-0005-0000-0000-000083070000}"/>
    <cellStyle name="常规 2 135" xfId="140" xr:uid="{00000000-0005-0000-0000-0000BC000000}"/>
    <cellStyle name="常规 2 136" xfId="1882" xr:uid="{00000000-0005-0000-0000-00008A070000}"/>
    <cellStyle name="常规 2 137" xfId="1885" xr:uid="{00000000-0005-0000-0000-00008D070000}"/>
    <cellStyle name="常规 2 138" xfId="1888" xr:uid="{00000000-0005-0000-0000-000090070000}"/>
    <cellStyle name="常规 2 139" xfId="1891" xr:uid="{00000000-0005-0000-0000-000093070000}"/>
    <cellStyle name="常规 2 14" xfId="1893" xr:uid="{00000000-0005-0000-0000-000095070000}"/>
    <cellStyle name="常规 2 14 2" xfId="213" xr:uid="{00000000-0005-0000-0000-000005010000}"/>
    <cellStyle name="常规 2 14 3" xfId="221" xr:uid="{00000000-0005-0000-0000-00000D010000}"/>
    <cellStyle name="常规 2 140" xfId="139" xr:uid="{00000000-0005-0000-0000-0000BB000000}"/>
    <cellStyle name="常规 2 141" xfId="1881" xr:uid="{00000000-0005-0000-0000-000089070000}"/>
    <cellStyle name="常规 2 142" xfId="1884" xr:uid="{00000000-0005-0000-0000-00008C070000}"/>
    <cellStyle name="常规 2 143" xfId="1887" xr:uid="{00000000-0005-0000-0000-00008F070000}"/>
    <cellStyle name="常规 2 144" xfId="1890" xr:uid="{00000000-0005-0000-0000-000092070000}"/>
    <cellStyle name="常规 2 145" xfId="1897" xr:uid="{00000000-0005-0000-0000-000099070000}"/>
    <cellStyle name="常规 2 146" xfId="721" xr:uid="{00000000-0005-0000-0000-000001030000}"/>
    <cellStyle name="常规 2 147" xfId="1901" xr:uid="{00000000-0005-0000-0000-00009D070000}"/>
    <cellStyle name="常规 2 148" xfId="1905" xr:uid="{00000000-0005-0000-0000-0000A1070000}"/>
    <cellStyle name="常规 2 149" xfId="1909" xr:uid="{00000000-0005-0000-0000-0000A5070000}"/>
    <cellStyle name="常规 2 15" xfId="1912" xr:uid="{00000000-0005-0000-0000-0000A8070000}"/>
    <cellStyle name="常规 2 15 2" xfId="1915" xr:uid="{00000000-0005-0000-0000-0000AB070000}"/>
    <cellStyle name="常规 2 15 3" xfId="1917" xr:uid="{00000000-0005-0000-0000-0000AD070000}"/>
    <cellStyle name="常规 2 150" xfId="1896" xr:uid="{00000000-0005-0000-0000-000098070000}"/>
    <cellStyle name="常规 2 151" xfId="720" xr:uid="{00000000-0005-0000-0000-000000030000}"/>
    <cellStyle name="常规 2 152" xfId="1900" xr:uid="{00000000-0005-0000-0000-00009C070000}"/>
    <cellStyle name="常规 2 153" xfId="1904" xr:uid="{00000000-0005-0000-0000-0000A0070000}"/>
    <cellStyle name="常规 2 154" xfId="1908" xr:uid="{00000000-0005-0000-0000-0000A4070000}"/>
    <cellStyle name="常规 2 155" xfId="1923" xr:uid="{00000000-0005-0000-0000-0000B3070000}"/>
    <cellStyle name="常规 2 156" xfId="1929" xr:uid="{00000000-0005-0000-0000-0000B9070000}"/>
    <cellStyle name="常规 2 157" xfId="1935" xr:uid="{00000000-0005-0000-0000-0000BF070000}"/>
    <cellStyle name="常规 2 158" xfId="1940" xr:uid="{00000000-0005-0000-0000-0000C4070000}"/>
    <cellStyle name="常规 2 159" xfId="1945" xr:uid="{00000000-0005-0000-0000-0000C9070000}"/>
    <cellStyle name="常规 2 16" xfId="1948" xr:uid="{00000000-0005-0000-0000-0000CC070000}"/>
    <cellStyle name="常规 2 16 2" xfId="1951" xr:uid="{00000000-0005-0000-0000-0000CF070000}"/>
    <cellStyle name="常规 2 16 3" xfId="260" xr:uid="{00000000-0005-0000-0000-000034010000}"/>
    <cellStyle name="常规 2 160" xfId="1922" xr:uid="{00000000-0005-0000-0000-0000B2070000}"/>
    <cellStyle name="常规 2 161" xfId="1928" xr:uid="{00000000-0005-0000-0000-0000B8070000}"/>
    <cellStyle name="常规 2 162" xfId="1934" xr:uid="{00000000-0005-0000-0000-0000BE070000}"/>
    <cellStyle name="常规 2 163" xfId="1939" xr:uid="{00000000-0005-0000-0000-0000C3070000}"/>
    <cellStyle name="常规 2 164" xfId="1944" xr:uid="{00000000-0005-0000-0000-0000C8070000}"/>
    <cellStyle name="常规 2 165" xfId="1956" xr:uid="{00000000-0005-0000-0000-0000D4070000}"/>
    <cellStyle name="常规 2 166" xfId="1961" xr:uid="{00000000-0005-0000-0000-0000D9070000}"/>
    <cellStyle name="常规 2 167" xfId="1966" xr:uid="{00000000-0005-0000-0000-0000DE070000}"/>
    <cellStyle name="常规 2 168" xfId="1970" xr:uid="{00000000-0005-0000-0000-0000E2070000}"/>
    <cellStyle name="常规 2 169" xfId="1974" xr:uid="{00000000-0005-0000-0000-0000E6070000}"/>
    <cellStyle name="常规 2 17" xfId="1976" xr:uid="{00000000-0005-0000-0000-0000E8070000}"/>
    <cellStyle name="常规 2 17 2" xfId="1979" xr:uid="{00000000-0005-0000-0000-0000EB070000}"/>
    <cellStyle name="常规 2 17 3" xfId="671" xr:uid="{00000000-0005-0000-0000-0000CF020000}"/>
    <cellStyle name="常规 2 170" xfId="1955" xr:uid="{00000000-0005-0000-0000-0000D3070000}"/>
    <cellStyle name="常规 2 171" xfId="1960" xr:uid="{00000000-0005-0000-0000-0000D8070000}"/>
    <cellStyle name="常规 2 172" xfId="1965" xr:uid="{00000000-0005-0000-0000-0000DD070000}"/>
    <cellStyle name="常规 2 173" xfId="1969" xr:uid="{00000000-0005-0000-0000-0000E1070000}"/>
    <cellStyle name="常规 2 174" xfId="1973" xr:uid="{00000000-0005-0000-0000-0000E5070000}"/>
    <cellStyle name="常规 2 175" xfId="1984" xr:uid="{00000000-0005-0000-0000-0000F0070000}"/>
    <cellStyle name="常规 2 176" xfId="1989" xr:uid="{00000000-0005-0000-0000-0000F5070000}"/>
    <cellStyle name="常规 2 177" xfId="1993" xr:uid="{00000000-0005-0000-0000-0000F9070000}"/>
    <cellStyle name="常规 2 178" xfId="1997" xr:uid="{00000000-0005-0000-0000-0000FD070000}"/>
    <cellStyle name="常规 2 179" xfId="2001" xr:uid="{00000000-0005-0000-0000-000001080000}"/>
    <cellStyle name="常规 2 18" xfId="2003" xr:uid="{00000000-0005-0000-0000-000003080000}"/>
    <cellStyle name="常规 2 18 2" xfId="2005" xr:uid="{00000000-0005-0000-0000-000005080000}"/>
    <cellStyle name="常规 2 18 3" xfId="270" xr:uid="{00000000-0005-0000-0000-00003E010000}"/>
    <cellStyle name="常规 2 180" xfId="1983" xr:uid="{00000000-0005-0000-0000-0000EF070000}"/>
    <cellStyle name="常规 2 181" xfId="1988" xr:uid="{00000000-0005-0000-0000-0000F4070000}"/>
    <cellStyle name="常规 2 182" xfId="1992" xr:uid="{00000000-0005-0000-0000-0000F8070000}"/>
    <cellStyle name="常规 2 183" xfId="1996" xr:uid="{00000000-0005-0000-0000-0000FC070000}"/>
    <cellStyle name="常规 2 184" xfId="2000" xr:uid="{00000000-0005-0000-0000-000000080000}"/>
    <cellStyle name="常规 2 185" xfId="2008" xr:uid="{00000000-0005-0000-0000-000008080000}"/>
    <cellStyle name="常规 2 186" xfId="2011" xr:uid="{00000000-0005-0000-0000-00000B080000}"/>
    <cellStyle name="常规 2 187" xfId="2015" xr:uid="{00000000-0005-0000-0000-00000F080000}"/>
    <cellStyle name="常规 2 188" xfId="2018" xr:uid="{00000000-0005-0000-0000-000012080000}"/>
    <cellStyle name="常规 2 189" xfId="2021" xr:uid="{00000000-0005-0000-0000-000015080000}"/>
    <cellStyle name="常规 2 19" xfId="2023" xr:uid="{00000000-0005-0000-0000-000017080000}"/>
    <cellStyle name="常规 2 19 2" xfId="2025" xr:uid="{00000000-0005-0000-0000-000019080000}"/>
    <cellStyle name="常规 2 19 2 2" xfId="2027" xr:uid="{00000000-0005-0000-0000-00001B080000}"/>
    <cellStyle name="常规 2 19 2 2 2" xfId="2030" xr:uid="{00000000-0005-0000-0000-00001E080000}"/>
    <cellStyle name="常规 2 19 2 3" xfId="1228" xr:uid="{00000000-0005-0000-0000-0000FC040000}"/>
    <cellStyle name="常规 2 19 3" xfId="2032" xr:uid="{00000000-0005-0000-0000-000020080000}"/>
    <cellStyle name="常规 2 19 4" xfId="2034" xr:uid="{00000000-0005-0000-0000-000022080000}"/>
    <cellStyle name="常规 2 190" xfId="2007" xr:uid="{00000000-0005-0000-0000-000007080000}"/>
    <cellStyle name="常规 2 191" xfId="2010" xr:uid="{00000000-0005-0000-0000-00000A080000}"/>
    <cellStyle name="常规 2 192" xfId="2014" xr:uid="{00000000-0005-0000-0000-00000E080000}"/>
    <cellStyle name="常规 2 193" xfId="2017" xr:uid="{00000000-0005-0000-0000-000011080000}"/>
    <cellStyle name="常规 2 194" xfId="2020" xr:uid="{00000000-0005-0000-0000-000014080000}"/>
    <cellStyle name="常规 2 195" xfId="2036" xr:uid="{00000000-0005-0000-0000-000024080000}"/>
    <cellStyle name="常规 2 196" xfId="2038" xr:uid="{00000000-0005-0000-0000-000026080000}"/>
    <cellStyle name="常规 2 197" xfId="2042" xr:uid="{00000000-0005-0000-0000-00002A080000}"/>
    <cellStyle name="常规 2 198" xfId="71" xr:uid="{00000000-0005-0000-0000-00006B000000}"/>
    <cellStyle name="常规 2 199" xfId="73" xr:uid="{00000000-0005-0000-0000-00006F000000}"/>
    <cellStyle name="常规 2 2" xfId="2043" xr:uid="{00000000-0005-0000-0000-00002B080000}"/>
    <cellStyle name="常规 2 2 10" xfId="2044" xr:uid="{00000000-0005-0000-0000-00002C080000}"/>
    <cellStyle name="常规 2 2 10 2" xfId="2045" xr:uid="{00000000-0005-0000-0000-00002D080000}"/>
    <cellStyle name="常规 2 2 10 3" xfId="2046" xr:uid="{00000000-0005-0000-0000-00002E080000}"/>
    <cellStyle name="常规 2 2 100" xfId="2048" xr:uid="{00000000-0005-0000-0000-000030080000}"/>
    <cellStyle name="常规 2 2 101" xfId="2050" xr:uid="{00000000-0005-0000-0000-000032080000}"/>
    <cellStyle name="常规 2 2 102" xfId="2051" xr:uid="{00000000-0005-0000-0000-000033080000}"/>
    <cellStyle name="常规 2 2 103" xfId="2052" xr:uid="{00000000-0005-0000-0000-000034080000}"/>
    <cellStyle name="常规 2 2 104" xfId="2053" xr:uid="{00000000-0005-0000-0000-000035080000}"/>
    <cellStyle name="常规 2 2 105" xfId="2055" xr:uid="{00000000-0005-0000-0000-000037080000}"/>
    <cellStyle name="常规 2 2 106" xfId="2058" xr:uid="{00000000-0005-0000-0000-00003A080000}"/>
    <cellStyle name="常规 2 2 107" xfId="2061" xr:uid="{00000000-0005-0000-0000-00003D080000}"/>
    <cellStyle name="常规 2 2 108" xfId="2064" xr:uid="{00000000-0005-0000-0000-000040080000}"/>
    <cellStyle name="常规 2 2 109" xfId="2067" xr:uid="{00000000-0005-0000-0000-000043080000}"/>
    <cellStyle name="常规 2 2 11" xfId="2068" xr:uid="{00000000-0005-0000-0000-000044080000}"/>
    <cellStyle name="常规 2 2 11 2" xfId="2070" xr:uid="{00000000-0005-0000-0000-000046080000}"/>
    <cellStyle name="常规 2 2 11 3" xfId="2072" xr:uid="{00000000-0005-0000-0000-000048080000}"/>
    <cellStyle name="常规 2 2 110" xfId="2054" xr:uid="{00000000-0005-0000-0000-000036080000}"/>
    <cellStyle name="常规 2 2 111" xfId="2057" xr:uid="{00000000-0005-0000-0000-000039080000}"/>
    <cellStyle name="常规 2 2 112" xfId="2060" xr:uid="{00000000-0005-0000-0000-00003C080000}"/>
    <cellStyle name="常规 2 2 113" xfId="2063" xr:uid="{00000000-0005-0000-0000-00003F080000}"/>
    <cellStyle name="常规 2 2 114" xfId="2066" xr:uid="{00000000-0005-0000-0000-000042080000}"/>
    <cellStyle name="常规 2 2 115" xfId="2074" xr:uid="{00000000-0005-0000-0000-00004A080000}"/>
    <cellStyle name="常规 2 2 116" xfId="2076" xr:uid="{00000000-0005-0000-0000-00004C080000}"/>
    <cellStyle name="常规 2 2 117" xfId="2080" xr:uid="{00000000-0005-0000-0000-000050080000}"/>
    <cellStyle name="常规 2 2 118" xfId="2086" xr:uid="{00000000-0005-0000-0000-000056080000}"/>
    <cellStyle name="常规 2 2 119" xfId="2090" xr:uid="{00000000-0005-0000-0000-00005A080000}"/>
    <cellStyle name="常规 2 2 12" xfId="2091" xr:uid="{00000000-0005-0000-0000-00005B080000}"/>
    <cellStyle name="常规 2 2 12 2" xfId="815" xr:uid="{00000000-0005-0000-0000-00005F030000}"/>
    <cellStyle name="常规 2 2 12 3" xfId="2092" xr:uid="{00000000-0005-0000-0000-00005C080000}"/>
    <cellStyle name="常规 2 2 12 4" xfId="2093" xr:uid="{00000000-0005-0000-0000-00005D080000}"/>
    <cellStyle name="常规 2 2 120" xfId="2073" xr:uid="{00000000-0005-0000-0000-000049080000}"/>
    <cellStyle name="常规 2 2 121" xfId="2075" xr:uid="{00000000-0005-0000-0000-00004B080000}"/>
    <cellStyle name="常规 2 2 122" xfId="2079" xr:uid="{00000000-0005-0000-0000-00004F080000}"/>
    <cellStyle name="常规 2 2 123" xfId="2085" xr:uid="{00000000-0005-0000-0000-000055080000}"/>
    <cellStyle name="常规 2 2 124" xfId="2089" xr:uid="{00000000-0005-0000-0000-000059080000}"/>
    <cellStyle name="常规 2 2 125" xfId="2097" xr:uid="{00000000-0005-0000-0000-000061080000}"/>
    <cellStyle name="常规 2 2 126" xfId="2101" xr:uid="{00000000-0005-0000-0000-000065080000}"/>
    <cellStyle name="常规 2 2 127" xfId="2105" xr:uid="{00000000-0005-0000-0000-000069080000}"/>
    <cellStyle name="常规 2 2 128" xfId="2109" xr:uid="{00000000-0005-0000-0000-00006D080000}"/>
    <cellStyle name="常规 2 2 129" xfId="2113" xr:uid="{00000000-0005-0000-0000-000071080000}"/>
    <cellStyle name="常规 2 2 13" xfId="2114" xr:uid="{00000000-0005-0000-0000-000072080000}"/>
    <cellStyle name="常规 2 2 13 2" xfId="2115" xr:uid="{00000000-0005-0000-0000-000073080000}"/>
    <cellStyle name="常规 2 2 13 3" xfId="2116" xr:uid="{00000000-0005-0000-0000-000074080000}"/>
    <cellStyle name="常规 2 2 13 3 2" xfId="2117" xr:uid="{00000000-0005-0000-0000-000075080000}"/>
    <cellStyle name="常规 2 2 13 3 2 2" xfId="2118" xr:uid="{00000000-0005-0000-0000-000076080000}"/>
    <cellStyle name="常规 2 2 13 3 3" xfId="2119" xr:uid="{00000000-0005-0000-0000-000077080000}"/>
    <cellStyle name="常规 2 2 130" xfId="2096" xr:uid="{00000000-0005-0000-0000-000060080000}"/>
    <cellStyle name="常规 2 2 131" xfId="2100" xr:uid="{00000000-0005-0000-0000-000064080000}"/>
    <cellStyle name="常规 2 2 132" xfId="2104" xr:uid="{00000000-0005-0000-0000-000068080000}"/>
    <cellStyle name="常规 2 2 133" xfId="2108" xr:uid="{00000000-0005-0000-0000-00006C080000}"/>
    <cellStyle name="常规 2 2 134" xfId="2112" xr:uid="{00000000-0005-0000-0000-000070080000}"/>
    <cellStyle name="常规 2 2 135" xfId="2121" xr:uid="{00000000-0005-0000-0000-000079080000}"/>
    <cellStyle name="常规 2 2 136" xfId="2123" xr:uid="{00000000-0005-0000-0000-00007B080000}"/>
    <cellStyle name="常规 2 2 137" xfId="2126" xr:uid="{00000000-0005-0000-0000-00007E080000}"/>
    <cellStyle name="常规 2 2 138" xfId="2129" xr:uid="{00000000-0005-0000-0000-000081080000}"/>
    <cellStyle name="常规 2 2 139" xfId="2131" xr:uid="{00000000-0005-0000-0000-000083080000}"/>
    <cellStyle name="常规 2 2 14" xfId="2133" xr:uid="{00000000-0005-0000-0000-000085080000}"/>
    <cellStyle name="常规 2 2 140" xfId="2120" xr:uid="{00000000-0005-0000-0000-000078080000}"/>
    <cellStyle name="常规 2 2 141" xfId="2122" xr:uid="{00000000-0005-0000-0000-00007A080000}"/>
    <cellStyle name="常规 2 2 142" xfId="2125" xr:uid="{00000000-0005-0000-0000-00007D080000}"/>
    <cellStyle name="常规 2 2 143" xfId="2128" xr:uid="{00000000-0005-0000-0000-000080080000}"/>
    <cellStyle name="常规 2 2 144" xfId="2130" xr:uid="{00000000-0005-0000-0000-000082080000}"/>
    <cellStyle name="常规 2 2 145" xfId="2136" xr:uid="{00000000-0005-0000-0000-000088080000}"/>
    <cellStyle name="常规 2 2 146" xfId="2140" xr:uid="{00000000-0005-0000-0000-00008C080000}"/>
    <cellStyle name="常规 2 2 147" xfId="2143" xr:uid="{00000000-0005-0000-0000-00008F080000}"/>
    <cellStyle name="常规 2 2 148" xfId="2146" xr:uid="{00000000-0005-0000-0000-000092080000}"/>
    <cellStyle name="常规 2 2 149" xfId="2149" xr:uid="{00000000-0005-0000-0000-000095080000}"/>
    <cellStyle name="常规 2 2 15" xfId="2152" xr:uid="{00000000-0005-0000-0000-000098080000}"/>
    <cellStyle name="常规 2 2 150" xfId="2135" xr:uid="{00000000-0005-0000-0000-000087080000}"/>
    <cellStyle name="常规 2 2 151" xfId="2139" xr:uid="{00000000-0005-0000-0000-00008B080000}"/>
    <cellStyle name="常规 2 2 152" xfId="2142" xr:uid="{00000000-0005-0000-0000-00008E080000}"/>
    <cellStyle name="常规 2 2 153" xfId="2145" xr:uid="{00000000-0005-0000-0000-000091080000}"/>
    <cellStyle name="常规 2 2 154" xfId="2148" xr:uid="{00000000-0005-0000-0000-000094080000}"/>
    <cellStyle name="常规 2 2 155" xfId="2156" xr:uid="{00000000-0005-0000-0000-00009C080000}"/>
    <cellStyle name="常规 2 2 156" xfId="2161" xr:uid="{00000000-0005-0000-0000-0000A1080000}"/>
    <cellStyle name="常规 2 2 157" xfId="2166" xr:uid="{00000000-0005-0000-0000-0000A6080000}"/>
    <cellStyle name="常规 2 2 158" xfId="567" xr:uid="{00000000-0005-0000-0000-000067020000}"/>
    <cellStyle name="常规 2 2 159" xfId="2170" xr:uid="{00000000-0005-0000-0000-0000AA080000}"/>
    <cellStyle name="常规 2 2 16" xfId="2173" xr:uid="{00000000-0005-0000-0000-0000AD080000}"/>
    <cellStyle name="常规 2 2 160" xfId="2155" xr:uid="{00000000-0005-0000-0000-00009B080000}"/>
    <cellStyle name="常规 2 2 161" xfId="2160" xr:uid="{00000000-0005-0000-0000-0000A0080000}"/>
    <cellStyle name="常规 2 2 162" xfId="2165" xr:uid="{00000000-0005-0000-0000-0000A5080000}"/>
    <cellStyle name="常规 2 2 163" xfId="566" xr:uid="{00000000-0005-0000-0000-000066020000}"/>
    <cellStyle name="常规 2 2 164" xfId="2169" xr:uid="{00000000-0005-0000-0000-0000A9080000}"/>
    <cellStyle name="常规 2 2 165" xfId="2177" xr:uid="{00000000-0005-0000-0000-0000B1080000}"/>
    <cellStyle name="常规 2 2 166" xfId="1822" xr:uid="{00000000-0005-0000-0000-00004E070000}"/>
    <cellStyle name="常规 2 2 167" xfId="2181" xr:uid="{00000000-0005-0000-0000-0000B5080000}"/>
    <cellStyle name="常规 2 2 168" xfId="296" xr:uid="{00000000-0005-0000-0000-000058010000}"/>
    <cellStyle name="常规 2 2 169" xfId="2185" xr:uid="{00000000-0005-0000-0000-0000B9080000}"/>
    <cellStyle name="常规 2 2 17" xfId="1155" xr:uid="{00000000-0005-0000-0000-0000B3040000}"/>
    <cellStyle name="常规 2 2 170" xfId="2176" xr:uid="{00000000-0005-0000-0000-0000B0080000}"/>
    <cellStyle name="常规 2 2 171" xfId="1821" xr:uid="{00000000-0005-0000-0000-00004D070000}"/>
    <cellStyle name="常规 2 2 172" xfId="2180" xr:uid="{00000000-0005-0000-0000-0000B4080000}"/>
    <cellStyle name="常规 2 2 173" xfId="295" xr:uid="{00000000-0005-0000-0000-000057010000}"/>
    <cellStyle name="常规 2 2 174" xfId="2184" xr:uid="{00000000-0005-0000-0000-0000B8080000}"/>
    <cellStyle name="常规 2 2 175" xfId="2189" xr:uid="{00000000-0005-0000-0000-0000BD080000}"/>
    <cellStyle name="常规 2 2 176" xfId="2193" xr:uid="{00000000-0005-0000-0000-0000C1080000}"/>
    <cellStyle name="常规 2 2 177" xfId="2197" xr:uid="{00000000-0005-0000-0000-0000C5080000}"/>
    <cellStyle name="常规 2 2 178" xfId="2201" xr:uid="{00000000-0005-0000-0000-0000C9080000}"/>
    <cellStyle name="常规 2 2 179" xfId="2205" xr:uid="{00000000-0005-0000-0000-0000CD080000}"/>
    <cellStyle name="常规 2 2 18" xfId="1159" xr:uid="{00000000-0005-0000-0000-0000B7040000}"/>
    <cellStyle name="常规 2 2 180" xfId="2188" xr:uid="{00000000-0005-0000-0000-0000BC080000}"/>
    <cellStyle name="常规 2 2 181" xfId="2192" xr:uid="{00000000-0005-0000-0000-0000C0080000}"/>
    <cellStyle name="常规 2 2 182" xfId="2196" xr:uid="{00000000-0005-0000-0000-0000C4080000}"/>
    <cellStyle name="常规 2 2 183" xfId="2200" xr:uid="{00000000-0005-0000-0000-0000C8080000}"/>
    <cellStyle name="常规 2 2 184" xfId="2204" xr:uid="{00000000-0005-0000-0000-0000CC080000}"/>
    <cellStyle name="常规 2 2 185" xfId="2208" xr:uid="{00000000-0005-0000-0000-0000D0080000}"/>
    <cellStyle name="常规 2 2 186" xfId="2210" xr:uid="{00000000-0005-0000-0000-0000D2080000}"/>
    <cellStyle name="常规 2 2 187" xfId="2213" xr:uid="{00000000-0005-0000-0000-0000D5080000}"/>
    <cellStyle name="常规 2 2 188" xfId="2216" xr:uid="{00000000-0005-0000-0000-0000D8080000}"/>
    <cellStyle name="常规 2 2 189" xfId="2218" xr:uid="{00000000-0005-0000-0000-0000DA080000}"/>
    <cellStyle name="常规 2 2 19" xfId="2220" xr:uid="{00000000-0005-0000-0000-0000DC080000}"/>
    <cellStyle name="常规 2 2 190" xfId="2207" xr:uid="{00000000-0005-0000-0000-0000CF080000}"/>
    <cellStyle name="常规 2 2 191" xfId="2209" xr:uid="{00000000-0005-0000-0000-0000D1080000}"/>
    <cellStyle name="常规 2 2 192" xfId="2212" xr:uid="{00000000-0005-0000-0000-0000D4080000}"/>
    <cellStyle name="常规 2 2 193" xfId="2215" xr:uid="{00000000-0005-0000-0000-0000D7080000}"/>
    <cellStyle name="常规 2 2 194" xfId="2217" xr:uid="{00000000-0005-0000-0000-0000D9080000}"/>
    <cellStyle name="常规 2 2 195" xfId="2221" xr:uid="{00000000-0005-0000-0000-0000DD080000}"/>
    <cellStyle name="常规 2 2 196" xfId="2222" xr:uid="{00000000-0005-0000-0000-0000DE080000}"/>
    <cellStyle name="常规 2 2 197" xfId="2223" xr:uid="{00000000-0005-0000-0000-0000DF080000}"/>
    <cellStyle name="常规 2 2 198" xfId="2224" xr:uid="{00000000-0005-0000-0000-0000E0080000}"/>
    <cellStyle name="常规 2 2 199" xfId="2227" xr:uid="{00000000-0005-0000-0000-0000E3080000}"/>
    <cellStyle name="常规 2 2 2" xfId="2229" xr:uid="{00000000-0005-0000-0000-0000E5080000}"/>
    <cellStyle name="常规 2 2 2 2" xfId="2230" xr:uid="{00000000-0005-0000-0000-0000E6080000}"/>
    <cellStyle name="常规 2 2 2 2 2" xfId="2231" xr:uid="{00000000-0005-0000-0000-0000E7080000}"/>
    <cellStyle name="常规 2 2 2 2 3" xfId="2232" xr:uid="{00000000-0005-0000-0000-0000E8080000}"/>
    <cellStyle name="常规 2 2 2 2 4" xfId="2233" xr:uid="{00000000-0005-0000-0000-0000E9080000}"/>
    <cellStyle name="常规 2 2 2 2 5" xfId="2234" xr:uid="{00000000-0005-0000-0000-0000EA080000}"/>
    <cellStyle name="常规 2 2 2 3" xfId="2235" xr:uid="{00000000-0005-0000-0000-0000EB080000}"/>
    <cellStyle name="常规 2 2 2 3 2" xfId="2236" xr:uid="{00000000-0005-0000-0000-0000EC080000}"/>
    <cellStyle name="常规 2 2 2 3 3" xfId="2237" xr:uid="{00000000-0005-0000-0000-0000ED080000}"/>
    <cellStyle name="常规 2 2 2 4" xfId="65" xr:uid="{00000000-0005-0000-0000-000063000000}"/>
    <cellStyle name="常规 2 2 2 4 2" xfId="507" xr:uid="{00000000-0005-0000-0000-00002B020000}"/>
    <cellStyle name="常规 2 2 2 4 3" xfId="2239" xr:uid="{00000000-0005-0000-0000-0000EF080000}"/>
    <cellStyle name="常规 2 2 2 5" xfId="50" xr:uid="{00000000-0005-0000-0000-00004E000000}"/>
    <cellStyle name="常规 2 2 2 6" xfId="74" xr:uid="{00000000-0005-0000-0000-000071000000}"/>
    <cellStyle name="常规 2 2 2 7" xfId="75" xr:uid="{00000000-0005-0000-0000-000073000000}"/>
    <cellStyle name="常规 2 2 2 8" xfId="78" xr:uid="{00000000-0005-0000-0000-000079000000}"/>
    <cellStyle name="常规 2 2 2 8 2" xfId="2242" xr:uid="{00000000-0005-0000-0000-0000F2080000}"/>
    <cellStyle name="常规 2 2 2 9" xfId="81" xr:uid="{00000000-0005-0000-0000-00007F000000}"/>
    <cellStyle name="常规 2 2 20" xfId="2151" xr:uid="{00000000-0005-0000-0000-000097080000}"/>
    <cellStyle name="常规 2 2 200" xfId="2134" xr:uid="{00000000-0005-0000-0000-000086080000}"/>
    <cellStyle name="常规 2 2 201" xfId="2138" xr:uid="{00000000-0005-0000-0000-00008A080000}"/>
    <cellStyle name="常规 2 2 202" xfId="2141" xr:uid="{00000000-0005-0000-0000-00008D080000}"/>
    <cellStyle name="常规 2 2 203" xfId="2144" xr:uid="{00000000-0005-0000-0000-000090080000}"/>
    <cellStyle name="常规 2 2 204" xfId="2147" xr:uid="{00000000-0005-0000-0000-000093080000}"/>
    <cellStyle name="常规 2 2 205" xfId="2154" xr:uid="{00000000-0005-0000-0000-00009A080000}"/>
    <cellStyle name="常规 2 2 206" xfId="2159" xr:uid="{00000000-0005-0000-0000-00009F080000}"/>
    <cellStyle name="常规 2 2 207" xfId="2164" xr:uid="{00000000-0005-0000-0000-0000A4080000}"/>
    <cellStyle name="常规 2 2 208" xfId="565" xr:uid="{00000000-0005-0000-0000-000065020000}"/>
    <cellStyle name="常规 2 2 209" xfId="2168" xr:uid="{00000000-0005-0000-0000-0000A8080000}"/>
    <cellStyle name="常规 2 2 21" xfId="2172" xr:uid="{00000000-0005-0000-0000-0000AC080000}"/>
    <cellStyle name="常规 2 2 210" xfId="2153" xr:uid="{00000000-0005-0000-0000-000099080000}"/>
    <cellStyle name="常规 2 2 211" xfId="2158" xr:uid="{00000000-0005-0000-0000-00009E080000}"/>
    <cellStyle name="常规 2 2 212" xfId="2163" xr:uid="{00000000-0005-0000-0000-0000A3080000}"/>
    <cellStyle name="常规 2 2 213" xfId="564" xr:uid="{00000000-0005-0000-0000-000064020000}"/>
    <cellStyle name="常规 2 2 214" xfId="2167" xr:uid="{00000000-0005-0000-0000-0000A7080000}"/>
    <cellStyle name="常规 2 2 215" xfId="2175" xr:uid="{00000000-0005-0000-0000-0000AF080000}"/>
    <cellStyle name="常规 2 2 216" xfId="1820" xr:uid="{00000000-0005-0000-0000-00004C070000}"/>
    <cellStyle name="常规 2 2 217" xfId="2179" xr:uid="{00000000-0005-0000-0000-0000B3080000}"/>
    <cellStyle name="常规 2 2 218" xfId="294" xr:uid="{00000000-0005-0000-0000-000056010000}"/>
    <cellStyle name="常规 2 2 219" xfId="2183" xr:uid="{00000000-0005-0000-0000-0000B7080000}"/>
    <cellStyle name="常规 2 2 22" xfId="1154" xr:uid="{00000000-0005-0000-0000-0000B2040000}"/>
    <cellStyle name="常规 2 2 220" xfId="2174" xr:uid="{00000000-0005-0000-0000-0000AE080000}"/>
    <cellStyle name="常规 2 2 221" xfId="1819" xr:uid="{00000000-0005-0000-0000-00004B070000}"/>
    <cellStyle name="常规 2 2 222" xfId="2178" xr:uid="{00000000-0005-0000-0000-0000B2080000}"/>
    <cellStyle name="常规 2 2 223" xfId="293" xr:uid="{00000000-0005-0000-0000-000055010000}"/>
    <cellStyle name="常规 2 2 224" xfId="2182" xr:uid="{00000000-0005-0000-0000-0000B6080000}"/>
    <cellStyle name="常规 2 2 225" xfId="2187" xr:uid="{00000000-0005-0000-0000-0000BB080000}"/>
    <cellStyle name="常规 2 2 226" xfId="2191" xr:uid="{00000000-0005-0000-0000-0000BF080000}"/>
    <cellStyle name="常规 2 2 227" xfId="2195" xr:uid="{00000000-0005-0000-0000-0000C3080000}"/>
    <cellStyle name="常规 2 2 228" xfId="2199" xr:uid="{00000000-0005-0000-0000-0000C7080000}"/>
    <cellStyle name="常规 2 2 229" xfId="2203" xr:uid="{00000000-0005-0000-0000-0000CB080000}"/>
    <cellStyle name="常规 2 2 23" xfId="1158" xr:uid="{00000000-0005-0000-0000-0000B6040000}"/>
    <cellStyle name="常规 2 2 230" xfId="2186" xr:uid="{00000000-0005-0000-0000-0000BA080000}"/>
    <cellStyle name="常规 2 2 231" xfId="2190" xr:uid="{00000000-0005-0000-0000-0000BE080000}"/>
    <cellStyle name="常规 2 2 232" xfId="2194" xr:uid="{00000000-0005-0000-0000-0000C2080000}"/>
    <cellStyle name="常规 2 2 233" xfId="2198" xr:uid="{00000000-0005-0000-0000-0000C6080000}"/>
    <cellStyle name="常规 2 2 234" xfId="2202" xr:uid="{00000000-0005-0000-0000-0000CA080000}"/>
    <cellStyle name="常规 2 2 235" xfId="2206" xr:uid="{00000000-0005-0000-0000-0000CE080000}"/>
    <cellStyle name="常规 2 2 24" xfId="2219" xr:uid="{00000000-0005-0000-0000-0000DB080000}"/>
    <cellStyle name="常规 2 2 25" xfId="2244" xr:uid="{00000000-0005-0000-0000-0000F4080000}"/>
    <cellStyle name="常规 2 2 26" xfId="2246" xr:uid="{00000000-0005-0000-0000-0000F6080000}"/>
    <cellStyle name="常规 2 2 27" xfId="2248" xr:uid="{00000000-0005-0000-0000-0000F8080000}"/>
    <cellStyle name="常规 2 2 28" xfId="2250" xr:uid="{00000000-0005-0000-0000-0000FA080000}"/>
    <cellStyle name="常规 2 2 29" xfId="2252" xr:uid="{00000000-0005-0000-0000-0000FC080000}"/>
    <cellStyle name="常规 2 2 3" xfId="2253" xr:uid="{00000000-0005-0000-0000-0000FD080000}"/>
    <cellStyle name="常规 2 2 3 2" xfId="2254" xr:uid="{00000000-0005-0000-0000-0000FE080000}"/>
    <cellStyle name="常规 2 2 3 3" xfId="2255" xr:uid="{00000000-0005-0000-0000-0000FF080000}"/>
    <cellStyle name="常规 2 2 3 4" xfId="2257" xr:uid="{00000000-0005-0000-0000-000001090000}"/>
    <cellStyle name="常规 2 2 3 5" xfId="2258" xr:uid="{00000000-0005-0000-0000-000002090000}"/>
    <cellStyle name="常规 2 2 30" xfId="2243" xr:uid="{00000000-0005-0000-0000-0000F3080000}"/>
    <cellStyle name="常规 2 2 31" xfId="2245" xr:uid="{00000000-0005-0000-0000-0000F5080000}"/>
    <cellStyle name="常规 2 2 32" xfId="2247" xr:uid="{00000000-0005-0000-0000-0000F7080000}"/>
    <cellStyle name="常规 2 2 33" xfId="2249" xr:uid="{00000000-0005-0000-0000-0000F9080000}"/>
    <cellStyle name="常规 2 2 34" xfId="2251" xr:uid="{00000000-0005-0000-0000-0000FB080000}"/>
    <cellStyle name="常规 2 2 35" xfId="1014" xr:uid="{00000000-0005-0000-0000-000026040000}"/>
    <cellStyle name="常规 2 2 36" xfId="2260" xr:uid="{00000000-0005-0000-0000-000004090000}"/>
    <cellStyle name="常规 2 2 37" xfId="2262" xr:uid="{00000000-0005-0000-0000-000006090000}"/>
    <cellStyle name="常规 2 2 38" xfId="2264" xr:uid="{00000000-0005-0000-0000-000008090000}"/>
    <cellStyle name="常规 2 2 39" xfId="1392" xr:uid="{00000000-0005-0000-0000-0000A0050000}"/>
    <cellStyle name="常规 2 2 4" xfId="2265" xr:uid="{00000000-0005-0000-0000-000009090000}"/>
    <cellStyle name="常规 2 2 4 2" xfId="2266" xr:uid="{00000000-0005-0000-0000-00000A090000}"/>
    <cellStyle name="常规 2 2 4 3" xfId="2267" xr:uid="{00000000-0005-0000-0000-00000B090000}"/>
    <cellStyle name="常规 2 2 4 4" xfId="520" xr:uid="{00000000-0005-0000-0000-000038020000}"/>
    <cellStyle name="常规 2 2 4 5" xfId="2047" xr:uid="{00000000-0005-0000-0000-00002F080000}"/>
    <cellStyle name="常规 2 2 4 6" xfId="2049" xr:uid="{00000000-0005-0000-0000-000031080000}"/>
    <cellStyle name="常规 2 2 40" xfId="1013" xr:uid="{00000000-0005-0000-0000-000025040000}"/>
    <cellStyle name="常规 2 2 41" xfId="2259" xr:uid="{00000000-0005-0000-0000-000003090000}"/>
    <cellStyle name="常规 2 2 42" xfId="2261" xr:uid="{00000000-0005-0000-0000-000005090000}"/>
    <cellStyle name="常规 2 2 43" xfId="2263" xr:uid="{00000000-0005-0000-0000-000007090000}"/>
    <cellStyle name="常规 2 2 44" xfId="1391" xr:uid="{00000000-0005-0000-0000-00009F050000}"/>
    <cellStyle name="常规 2 2 45" xfId="1399" xr:uid="{00000000-0005-0000-0000-0000A7050000}"/>
    <cellStyle name="常规 2 2 46" xfId="2269" xr:uid="{00000000-0005-0000-0000-00000D090000}"/>
    <cellStyle name="常规 2 2 47" xfId="2271" xr:uid="{00000000-0005-0000-0000-00000F090000}"/>
    <cellStyle name="常规 2 2 48" xfId="2273" xr:uid="{00000000-0005-0000-0000-000011090000}"/>
    <cellStyle name="常规 2 2 49" xfId="2275" xr:uid="{00000000-0005-0000-0000-000013090000}"/>
    <cellStyle name="常规 2 2 5" xfId="2276" xr:uid="{00000000-0005-0000-0000-000014090000}"/>
    <cellStyle name="常规 2 2 5 2" xfId="2124" xr:uid="{00000000-0005-0000-0000-00007C080000}"/>
    <cellStyle name="常规 2 2 5 3" xfId="2127" xr:uid="{00000000-0005-0000-0000-00007F080000}"/>
    <cellStyle name="常规 2 2 50" xfId="1398" xr:uid="{00000000-0005-0000-0000-0000A6050000}"/>
    <cellStyle name="常规 2 2 51" xfId="2268" xr:uid="{00000000-0005-0000-0000-00000C090000}"/>
    <cellStyle name="常规 2 2 52" xfId="2270" xr:uid="{00000000-0005-0000-0000-00000E090000}"/>
    <cellStyle name="常规 2 2 53" xfId="2272" xr:uid="{00000000-0005-0000-0000-000010090000}"/>
    <cellStyle name="常规 2 2 54" xfId="2274" xr:uid="{00000000-0005-0000-0000-000012090000}"/>
    <cellStyle name="常规 2 2 55" xfId="2278" xr:uid="{00000000-0005-0000-0000-000016090000}"/>
    <cellStyle name="常规 2 2 56" xfId="2280" xr:uid="{00000000-0005-0000-0000-000018090000}"/>
    <cellStyle name="常规 2 2 57" xfId="2282" xr:uid="{00000000-0005-0000-0000-00001A090000}"/>
    <cellStyle name="常规 2 2 58" xfId="2284" xr:uid="{00000000-0005-0000-0000-00001C090000}"/>
    <cellStyle name="常规 2 2 59" xfId="2287" xr:uid="{00000000-0005-0000-0000-00001F090000}"/>
    <cellStyle name="常规 2 2 6" xfId="713" xr:uid="{00000000-0005-0000-0000-0000F9020000}"/>
    <cellStyle name="常规 2 2 6 2" xfId="2211" xr:uid="{00000000-0005-0000-0000-0000D3080000}"/>
    <cellStyle name="常规 2 2 6 3" xfId="2214" xr:uid="{00000000-0005-0000-0000-0000D6080000}"/>
    <cellStyle name="常规 2 2 60" xfId="2277" xr:uid="{00000000-0005-0000-0000-000015090000}"/>
    <cellStyle name="常规 2 2 61" xfId="2279" xr:uid="{00000000-0005-0000-0000-000017090000}"/>
    <cellStyle name="常规 2 2 62" xfId="2281" xr:uid="{00000000-0005-0000-0000-000019090000}"/>
    <cellStyle name="常规 2 2 63" xfId="2283" xr:uid="{00000000-0005-0000-0000-00001B090000}"/>
    <cellStyle name="常规 2 2 64" xfId="2286" xr:uid="{00000000-0005-0000-0000-00001E090000}"/>
    <cellStyle name="常规 2 2 65" xfId="2290" xr:uid="{00000000-0005-0000-0000-000022090000}"/>
    <cellStyle name="常规 2 2 66" xfId="2292" xr:uid="{00000000-0005-0000-0000-000024090000}"/>
    <cellStyle name="常规 2 2 67" xfId="2295" xr:uid="{00000000-0005-0000-0000-000027090000}"/>
    <cellStyle name="常规 2 2 68" xfId="2298" xr:uid="{00000000-0005-0000-0000-00002A090000}"/>
    <cellStyle name="常规 2 2 69" xfId="2300" xr:uid="{00000000-0005-0000-0000-00002C090000}"/>
    <cellStyle name="常规 2 2 7" xfId="2301" xr:uid="{00000000-0005-0000-0000-00002D090000}"/>
    <cellStyle name="常规 2 2 7 2" xfId="2303" xr:uid="{00000000-0005-0000-0000-00002F090000}"/>
    <cellStyle name="常规 2 2 7 3" xfId="2305" xr:uid="{00000000-0005-0000-0000-000031090000}"/>
    <cellStyle name="常规 2 2 70" xfId="2289" xr:uid="{00000000-0005-0000-0000-000021090000}"/>
    <cellStyle name="常规 2 2 71" xfId="2291" xr:uid="{00000000-0005-0000-0000-000023090000}"/>
    <cellStyle name="常规 2 2 72" xfId="2294" xr:uid="{00000000-0005-0000-0000-000026090000}"/>
    <cellStyle name="常规 2 2 73" xfId="2297" xr:uid="{00000000-0005-0000-0000-000029090000}"/>
    <cellStyle name="常规 2 2 74" xfId="2299" xr:uid="{00000000-0005-0000-0000-00002B090000}"/>
    <cellStyle name="常规 2 2 75" xfId="2307" xr:uid="{00000000-0005-0000-0000-000033090000}"/>
    <cellStyle name="常规 2 2 76" xfId="2309" xr:uid="{00000000-0005-0000-0000-000035090000}"/>
    <cellStyle name="常规 2 2 77" xfId="2312" xr:uid="{00000000-0005-0000-0000-000038090000}"/>
    <cellStyle name="常规 2 2 78" xfId="2314" xr:uid="{00000000-0005-0000-0000-00003A090000}"/>
    <cellStyle name="常规 2 2 79" xfId="2316" xr:uid="{00000000-0005-0000-0000-00003C090000}"/>
    <cellStyle name="常规 2 2 8" xfId="2317" xr:uid="{00000000-0005-0000-0000-00003D090000}"/>
    <cellStyle name="常规 2 2 8 2" xfId="2318" xr:uid="{00000000-0005-0000-0000-00003E090000}"/>
    <cellStyle name="常规 2 2 8 3" xfId="2319" xr:uid="{00000000-0005-0000-0000-00003F090000}"/>
    <cellStyle name="常规 2 2 80" xfId="2306" xr:uid="{00000000-0005-0000-0000-000032090000}"/>
    <cellStyle name="常规 2 2 81" xfId="2308" xr:uid="{00000000-0005-0000-0000-000034090000}"/>
    <cellStyle name="常规 2 2 82" xfId="2311" xr:uid="{00000000-0005-0000-0000-000037090000}"/>
    <cellStyle name="常规 2 2 83" xfId="2313" xr:uid="{00000000-0005-0000-0000-000039090000}"/>
    <cellStyle name="常规 2 2 84" xfId="2315" xr:uid="{00000000-0005-0000-0000-00003B090000}"/>
    <cellStyle name="常规 2 2 85" xfId="1507" xr:uid="{00000000-0005-0000-0000-000013060000}"/>
    <cellStyle name="常规 2 2 86" xfId="1511" xr:uid="{00000000-0005-0000-0000-000017060000}"/>
    <cellStyle name="常规 2 2 87" xfId="1515" xr:uid="{00000000-0005-0000-0000-00001B060000}"/>
    <cellStyle name="常规 2 2 88" xfId="1519" xr:uid="{00000000-0005-0000-0000-00001F060000}"/>
    <cellStyle name="常规 2 2 89" xfId="1406" xr:uid="{00000000-0005-0000-0000-0000AE050000}"/>
    <cellStyle name="常规 2 2 9" xfId="2320" xr:uid="{00000000-0005-0000-0000-000040090000}"/>
    <cellStyle name="常规 2 2 9 2" xfId="2321" xr:uid="{00000000-0005-0000-0000-000041090000}"/>
    <cellStyle name="常规 2 2 9 3" xfId="2322" xr:uid="{00000000-0005-0000-0000-000042090000}"/>
    <cellStyle name="常规 2 2 90" xfId="1506" xr:uid="{00000000-0005-0000-0000-000012060000}"/>
    <cellStyle name="常规 2 2 91" xfId="1510" xr:uid="{00000000-0005-0000-0000-000016060000}"/>
    <cellStyle name="常规 2 2 92" xfId="1514" xr:uid="{00000000-0005-0000-0000-00001A060000}"/>
    <cellStyle name="常规 2 2 93" xfId="1518" xr:uid="{00000000-0005-0000-0000-00001E060000}"/>
    <cellStyle name="常规 2 2 94" xfId="1405" xr:uid="{00000000-0005-0000-0000-0000AD050000}"/>
    <cellStyle name="常规 2 2 95" xfId="1411" xr:uid="{00000000-0005-0000-0000-0000B3050000}"/>
    <cellStyle name="常规 2 2 96" xfId="1416" xr:uid="{00000000-0005-0000-0000-0000B8050000}"/>
    <cellStyle name="常规 2 2 97" xfId="1529" xr:uid="{00000000-0005-0000-0000-000029060000}"/>
    <cellStyle name="常规 2 2 98" xfId="1541" xr:uid="{00000000-0005-0000-0000-000035060000}"/>
    <cellStyle name="常规 2 2 99" xfId="2323" xr:uid="{00000000-0005-0000-0000-000043090000}"/>
    <cellStyle name="常规 2 20" xfId="1911" xr:uid="{00000000-0005-0000-0000-0000A7070000}"/>
    <cellStyle name="常规 2 20 2" xfId="1914" xr:uid="{00000000-0005-0000-0000-0000AA070000}"/>
    <cellStyle name="常规 2 20 2 2" xfId="2324" xr:uid="{00000000-0005-0000-0000-000044090000}"/>
    <cellStyle name="常规 2 20 2 2 2" xfId="2325" xr:uid="{00000000-0005-0000-0000-000045090000}"/>
    <cellStyle name="常规 2 20 2 3" xfId="2326" xr:uid="{00000000-0005-0000-0000-000046090000}"/>
    <cellStyle name="常规 2 20 3" xfId="1916" xr:uid="{00000000-0005-0000-0000-0000AC070000}"/>
    <cellStyle name="常规 2 20 4" xfId="2327" xr:uid="{00000000-0005-0000-0000-000047090000}"/>
    <cellStyle name="常规 2 200" xfId="1895" xr:uid="{00000000-0005-0000-0000-000097070000}"/>
    <cellStyle name="常规 2 201" xfId="719" xr:uid="{00000000-0005-0000-0000-0000FF020000}"/>
    <cellStyle name="常规 2 202" xfId="1899" xr:uid="{00000000-0005-0000-0000-00009B070000}"/>
    <cellStyle name="常规 2 203" xfId="1903" xr:uid="{00000000-0005-0000-0000-00009F070000}"/>
    <cellStyle name="常规 2 204" xfId="1907" xr:uid="{00000000-0005-0000-0000-0000A3070000}"/>
    <cellStyle name="常规 2 205" xfId="1921" xr:uid="{00000000-0005-0000-0000-0000B1070000}"/>
    <cellStyle name="常规 2 206" xfId="1927" xr:uid="{00000000-0005-0000-0000-0000B7070000}"/>
    <cellStyle name="常规 2 207" xfId="1933" xr:uid="{00000000-0005-0000-0000-0000BD070000}"/>
    <cellStyle name="常规 2 208" xfId="1938" xr:uid="{00000000-0005-0000-0000-0000C2070000}"/>
    <cellStyle name="常规 2 209" xfId="1943" xr:uid="{00000000-0005-0000-0000-0000C7070000}"/>
    <cellStyle name="常规 2 21" xfId="1947" xr:uid="{00000000-0005-0000-0000-0000CB070000}"/>
    <cellStyle name="常规 2 21 2" xfId="1950" xr:uid="{00000000-0005-0000-0000-0000CE070000}"/>
    <cellStyle name="常规 2 21 3" xfId="259" xr:uid="{00000000-0005-0000-0000-000033010000}"/>
    <cellStyle name="常规 2 210" xfId="1920" xr:uid="{00000000-0005-0000-0000-0000B0070000}"/>
    <cellStyle name="常规 2 211" xfId="1926" xr:uid="{00000000-0005-0000-0000-0000B6070000}"/>
    <cellStyle name="常规 2 212" xfId="1932" xr:uid="{00000000-0005-0000-0000-0000BC070000}"/>
    <cellStyle name="常规 2 213" xfId="1937" xr:uid="{00000000-0005-0000-0000-0000C1070000}"/>
    <cellStyle name="常规 2 214" xfId="1942" xr:uid="{00000000-0005-0000-0000-0000C6070000}"/>
    <cellStyle name="常规 2 215" xfId="1954" xr:uid="{00000000-0005-0000-0000-0000D2070000}"/>
    <cellStyle name="常规 2 216" xfId="1959" xr:uid="{00000000-0005-0000-0000-0000D7070000}"/>
    <cellStyle name="常规 2 217" xfId="1964" xr:uid="{00000000-0005-0000-0000-0000DC070000}"/>
    <cellStyle name="常规 2 218" xfId="1968" xr:uid="{00000000-0005-0000-0000-0000E0070000}"/>
    <cellStyle name="常规 2 219" xfId="1972" xr:uid="{00000000-0005-0000-0000-0000E4070000}"/>
    <cellStyle name="常规 2 22" xfId="1975" xr:uid="{00000000-0005-0000-0000-0000E7070000}"/>
    <cellStyle name="常规 2 22 2" xfId="1978" xr:uid="{00000000-0005-0000-0000-0000EA070000}"/>
    <cellStyle name="常规 2 22 3" xfId="670" xr:uid="{00000000-0005-0000-0000-0000CE020000}"/>
    <cellStyle name="常规 2 220" xfId="1953" xr:uid="{00000000-0005-0000-0000-0000D1070000}"/>
    <cellStyle name="常规 2 221" xfId="1958" xr:uid="{00000000-0005-0000-0000-0000D6070000}"/>
    <cellStyle name="常规 2 222" xfId="1963" xr:uid="{00000000-0005-0000-0000-0000DB070000}"/>
    <cellStyle name="常规 2 223" xfId="1967" xr:uid="{00000000-0005-0000-0000-0000DF070000}"/>
    <cellStyle name="常规 2 224" xfId="1971" xr:uid="{00000000-0005-0000-0000-0000E3070000}"/>
    <cellStyle name="常规 2 225" xfId="1982" xr:uid="{00000000-0005-0000-0000-0000EE070000}"/>
    <cellStyle name="常规 2 226" xfId="1987" xr:uid="{00000000-0005-0000-0000-0000F3070000}"/>
    <cellStyle name="常规 2 227" xfId="1991" xr:uid="{00000000-0005-0000-0000-0000F7070000}"/>
    <cellStyle name="常规 2 228" xfId="1995" xr:uid="{00000000-0005-0000-0000-0000FB070000}"/>
    <cellStyle name="常规 2 229" xfId="1999" xr:uid="{00000000-0005-0000-0000-0000FF070000}"/>
    <cellStyle name="常规 2 23" xfId="2002" xr:uid="{00000000-0005-0000-0000-000002080000}"/>
    <cellStyle name="常规 2 230" xfId="1981" xr:uid="{00000000-0005-0000-0000-0000ED070000}"/>
    <cellStyle name="常规 2 231" xfId="1986" xr:uid="{00000000-0005-0000-0000-0000F2070000}"/>
    <cellStyle name="常规 2 232" xfId="1990" xr:uid="{00000000-0005-0000-0000-0000F6070000}"/>
    <cellStyle name="常规 2 233" xfId="1994" xr:uid="{00000000-0005-0000-0000-0000FA070000}"/>
    <cellStyle name="常规 2 234" xfId="1998" xr:uid="{00000000-0005-0000-0000-0000FE070000}"/>
    <cellStyle name="常规 2 235" xfId="2006" xr:uid="{00000000-0005-0000-0000-000006080000}"/>
    <cellStyle name="常规 2 235 2" xfId="2328" xr:uid="{00000000-0005-0000-0000-000048090000}"/>
    <cellStyle name="常规 2 235 2 2" xfId="2330" xr:uid="{00000000-0005-0000-0000-00004A090000}"/>
    <cellStyle name="常规 2 235 3" xfId="2331" xr:uid="{00000000-0005-0000-0000-00004B090000}"/>
    <cellStyle name="常规 2 236" xfId="2009" xr:uid="{00000000-0005-0000-0000-000009080000}"/>
    <cellStyle name="常规 2 237" xfId="2013" xr:uid="{00000000-0005-0000-0000-00000D080000}"/>
    <cellStyle name="常规 2 24" xfId="2022" xr:uid="{00000000-0005-0000-0000-000016080000}"/>
    <cellStyle name="常规 2 25" xfId="2333" xr:uid="{00000000-0005-0000-0000-00004D090000}"/>
    <cellStyle name="常规 2 26" xfId="2335" xr:uid="{00000000-0005-0000-0000-00004F090000}"/>
    <cellStyle name="常规 2 27" xfId="2337" xr:uid="{00000000-0005-0000-0000-000051090000}"/>
    <cellStyle name="常规 2 28" xfId="2340" xr:uid="{00000000-0005-0000-0000-000054090000}"/>
    <cellStyle name="常规 2 29" xfId="2343" xr:uid="{00000000-0005-0000-0000-000057090000}"/>
    <cellStyle name="常规 2 3" xfId="2344" xr:uid="{00000000-0005-0000-0000-000058090000}"/>
    <cellStyle name="常规 2 3 10" xfId="2345" xr:uid="{00000000-0005-0000-0000-000059090000}"/>
    <cellStyle name="常规 2 3 11" xfId="2346" xr:uid="{00000000-0005-0000-0000-00005A090000}"/>
    <cellStyle name="常规 2 3 12" xfId="2347" xr:uid="{00000000-0005-0000-0000-00005B090000}"/>
    <cellStyle name="常规 2 3 13" xfId="2348" xr:uid="{00000000-0005-0000-0000-00005C090000}"/>
    <cellStyle name="常规 2 3 14" xfId="2349" xr:uid="{00000000-0005-0000-0000-00005D090000}"/>
    <cellStyle name="常规 2 3 15" xfId="2350" xr:uid="{00000000-0005-0000-0000-00005E090000}"/>
    <cellStyle name="常规 2 3 16" xfId="2026" xr:uid="{00000000-0005-0000-0000-00001A080000}"/>
    <cellStyle name="常规 2 3 17" xfId="1227" xr:uid="{00000000-0005-0000-0000-0000FB040000}"/>
    <cellStyle name="常规 2 3 18" xfId="1235" xr:uid="{00000000-0005-0000-0000-000003050000}"/>
    <cellStyle name="常规 2 3 19" xfId="2351" xr:uid="{00000000-0005-0000-0000-00005F090000}"/>
    <cellStyle name="常规 2 3 2" xfId="2352" xr:uid="{00000000-0005-0000-0000-000060090000}"/>
    <cellStyle name="常规 2 3 2 2" xfId="2353" xr:uid="{00000000-0005-0000-0000-000061090000}"/>
    <cellStyle name="常规 2 3 2 2 2" xfId="2056" xr:uid="{00000000-0005-0000-0000-000038080000}"/>
    <cellStyle name="常规 2 3 2 2 3" xfId="2059" xr:uid="{00000000-0005-0000-0000-00003B080000}"/>
    <cellStyle name="常规 2 3 2 3" xfId="2354" xr:uid="{00000000-0005-0000-0000-000062090000}"/>
    <cellStyle name="常规 2 3 2 3 2" xfId="2157" xr:uid="{00000000-0005-0000-0000-00009D080000}"/>
    <cellStyle name="常规 2 3 2 3 3" xfId="2162" xr:uid="{00000000-0005-0000-0000-0000A2080000}"/>
    <cellStyle name="常规 2 3 2 4" xfId="2355" xr:uid="{00000000-0005-0000-0000-000063090000}"/>
    <cellStyle name="常规 2 3 2 4 2" xfId="2356" xr:uid="{00000000-0005-0000-0000-000064090000}"/>
    <cellStyle name="常规 2 3 2 5" xfId="2329" xr:uid="{00000000-0005-0000-0000-000049090000}"/>
    <cellStyle name="常规 2 3 2 6" xfId="2357" xr:uid="{00000000-0005-0000-0000-000065090000}"/>
    <cellStyle name="常规 2 3 2 6 2" xfId="2358" xr:uid="{00000000-0005-0000-0000-000066090000}"/>
    <cellStyle name="常规 2 3 3" xfId="2359" xr:uid="{00000000-0005-0000-0000-000067090000}"/>
    <cellStyle name="常规 2 3 3 2" xfId="2360" xr:uid="{00000000-0005-0000-0000-000068090000}"/>
    <cellStyle name="常规 2 3 3 3" xfId="2362" xr:uid="{00000000-0005-0000-0000-00006A090000}"/>
    <cellStyle name="常规 2 3 4" xfId="2363" xr:uid="{00000000-0005-0000-0000-00006B090000}"/>
    <cellStyle name="常规 2 3 4 2" xfId="2364" xr:uid="{00000000-0005-0000-0000-00006C090000}"/>
    <cellStyle name="常规 2 3 4 3" xfId="2366" xr:uid="{00000000-0005-0000-0000-00006E090000}"/>
    <cellStyle name="常规 2 3 5" xfId="2367" xr:uid="{00000000-0005-0000-0000-00006F090000}"/>
    <cellStyle name="常规 2 3 6" xfId="2368" xr:uid="{00000000-0005-0000-0000-000070090000}"/>
    <cellStyle name="常规 2 3 7" xfId="2369" xr:uid="{00000000-0005-0000-0000-000071090000}"/>
    <cellStyle name="常规 2 3 8" xfId="2370" xr:uid="{00000000-0005-0000-0000-000072090000}"/>
    <cellStyle name="常规 2 3 9" xfId="2371" xr:uid="{00000000-0005-0000-0000-000073090000}"/>
    <cellStyle name="常规 2 30" xfId="2332" xr:uid="{00000000-0005-0000-0000-00004C090000}"/>
    <cellStyle name="常规 2 31" xfId="2334" xr:uid="{00000000-0005-0000-0000-00004E090000}"/>
    <cellStyle name="常规 2 32" xfId="2336" xr:uid="{00000000-0005-0000-0000-000050090000}"/>
    <cellStyle name="常规 2 33" xfId="2339" xr:uid="{00000000-0005-0000-0000-000053090000}"/>
    <cellStyle name="常规 2 34" xfId="2342" xr:uid="{00000000-0005-0000-0000-000056090000}"/>
    <cellStyle name="常规 2 35" xfId="2374" xr:uid="{00000000-0005-0000-0000-000076090000}"/>
    <cellStyle name="常规 2 36" xfId="2377" xr:uid="{00000000-0005-0000-0000-000079090000}"/>
    <cellStyle name="常规 2 37" xfId="177" xr:uid="{00000000-0005-0000-0000-0000E1000000}"/>
    <cellStyle name="常规 2 38" xfId="2379" xr:uid="{00000000-0005-0000-0000-00007B090000}"/>
    <cellStyle name="常规 2 39" xfId="333" xr:uid="{00000000-0005-0000-0000-00007D010000}"/>
    <cellStyle name="常规 2 4" xfId="2380" xr:uid="{00000000-0005-0000-0000-00007C090000}"/>
    <cellStyle name="常规 2 4 2" xfId="2381" xr:uid="{00000000-0005-0000-0000-00007D090000}"/>
    <cellStyle name="常规 2 4 2 2" xfId="2383" xr:uid="{00000000-0005-0000-0000-00007F090000}"/>
    <cellStyle name="常规 2 4 2 2 2" xfId="2384" xr:uid="{00000000-0005-0000-0000-000080090000}"/>
    <cellStyle name="常规 2 4 2 2 3" xfId="2385" xr:uid="{00000000-0005-0000-0000-000081090000}"/>
    <cellStyle name="常规 2 4 2 3" xfId="2387" xr:uid="{00000000-0005-0000-0000-000083090000}"/>
    <cellStyle name="常规 2 4 2 3 2" xfId="2389" xr:uid="{00000000-0005-0000-0000-000085090000}"/>
    <cellStyle name="常规 2 4 2 3 3" xfId="2390" xr:uid="{00000000-0005-0000-0000-000086090000}"/>
    <cellStyle name="常规 2 4 2 4" xfId="2392" xr:uid="{00000000-0005-0000-0000-000088090000}"/>
    <cellStyle name="常规 2 4 2 4 2" xfId="153" xr:uid="{00000000-0005-0000-0000-0000C9000000}"/>
    <cellStyle name="常规 2 4 2 5" xfId="2393" xr:uid="{00000000-0005-0000-0000-000089090000}"/>
    <cellStyle name="常规 2 4 2 6" xfId="2394" xr:uid="{00000000-0005-0000-0000-00008A090000}"/>
    <cellStyle name="常规 2 4 3" xfId="2395" xr:uid="{00000000-0005-0000-0000-00008B090000}"/>
    <cellStyle name="常规 2 4 3 2" xfId="2396" xr:uid="{00000000-0005-0000-0000-00008C090000}"/>
    <cellStyle name="常规 2 4 3 2 2" xfId="839" xr:uid="{00000000-0005-0000-0000-000077030000}"/>
    <cellStyle name="常规 2 4 3 2 2 2" xfId="651" xr:uid="{00000000-0005-0000-0000-0000BB020000}"/>
    <cellStyle name="常规 2 4 3 2 3" xfId="841" xr:uid="{00000000-0005-0000-0000-000079030000}"/>
    <cellStyle name="常规 2 4 3 3" xfId="2397" xr:uid="{00000000-0005-0000-0000-00008D090000}"/>
    <cellStyle name="常规 2 4 3 4" xfId="2398" xr:uid="{00000000-0005-0000-0000-00008E090000}"/>
    <cellStyle name="常规 2 4 3 4 2" xfId="2399" xr:uid="{00000000-0005-0000-0000-00008F090000}"/>
    <cellStyle name="常规 2 4 3 5" xfId="2228" xr:uid="{00000000-0005-0000-0000-0000E4080000}"/>
    <cellStyle name="常规 2 4 4" xfId="2400" xr:uid="{00000000-0005-0000-0000-000090090000}"/>
    <cellStyle name="常规 2 4 4 2" xfId="2401" xr:uid="{00000000-0005-0000-0000-000091090000}"/>
    <cellStyle name="常规 2 4 4 3" xfId="2403" xr:uid="{00000000-0005-0000-0000-000093090000}"/>
    <cellStyle name="常规 2 4 5" xfId="1845" xr:uid="{00000000-0005-0000-0000-000065070000}"/>
    <cellStyle name="常规 2 4 6" xfId="1847" xr:uid="{00000000-0005-0000-0000-000067070000}"/>
    <cellStyle name="常规 2 4 7" xfId="1849" xr:uid="{00000000-0005-0000-0000-000069070000}"/>
    <cellStyle name="常规 2 4 8" xfId="1851" xr:uid="{00000000-0005-0000-0000-00006B070000}"/>
    <cellStyle name="常规 2 40" xfId="2373" xr:uid="{00000000-0005-0000-0000-000075090000}"/>
    <cellStyle name="常规 2 41" xfId="2376" xr:uid="{00000000-0005-0000-0000-000078090000}"/>
    <cellStyle name="常规 2 42" xfId="176" xr:uid="{00000000-0005-0000-0000-0000E0000000}"/>
    <cellStyle name="常规 2 43" xfId="2378" xr:uid="{00000000-0005-0000-0000-00007A090000}"/>
    <cellStyle name="常规 2 44" xfId="332" xr:uid="{00000000-0005-0000-0000-00007C010000}"/>
    <cellStyle name="常规 2 45" xfId="2405" xr:uid="{00000000-0005-0000-0000-000095090000}"/>
    <cellStyle name="常规 2 46" xfId="2407" xr:uid="{00000000-0005-0000-0000-000097090000}"/>
    <cellStyle name="常规 2 47" xfId="2409" xr:uid="{00000000-0005-0000-0000-000099090000}"/>
    <cellStyle name="常规 2 48" xfId="2411" xr:uid="{00000000-0005-0000-0000-00009B090000}"/>
    <cellStyle name="常规 2 49" xfId="2414" xr:uid="{00000000-0005-0000-0000-00009E090000}"/>
    <cellStyle name="常规 2 5" xfId="2415" xr:uid="{00000000-0005-0000-0000-00009F090000}"/>
    <cellStyle name="常规 2 5 10" xfId="173" xr:uid="{00000000-0005-0000-0000-0000DD000000}"/>
    <cellStyle name="常规 2 5 11" xfId="327" xr:uid="{00000000-0005-0000-0000-000077010000}"/>
    <cellStyle name="常规 2 5 12" xfId="335" xr:uid="{00000000-0005-0000-0000-00007F010000}"/>
    <cellStyle name="常规 2 5 13" xfId="341" xr:uid="{00000000-0005-0000-0000-000085010000}"/>
    <cellStyle name="常规 2 5 14" xfId="631" xr:uid="{00000000-0005-0000-0000-0000A7020000}"/>
    <cellStyle name="常规 2 5 15" xfId="633" xr:uid="{00000000-0005-0000-0000-0000A9020000}"/>
    <cellStyle name="常规 2 5 16" xfId="2416" xr:uid="{00000000-0005-0000-0000-0000A0090000}"/>
    <cellStyle name="常规 2 5 17" xfId="1458" xr:uid="{00000000-0005-0000-0000-0000E2050000}"/>
    <cellStyle name="常规 2 5 18" xfId="1466" xr:uid="{00000000-0005-0000-0000-0000EA050000}"/>
    <cellStyle name="常规 2 5 2" xfId="1883" xr:uid="{00000000-0005-0000-0000-00008B070000}"/>
    <cellStyle name="常规 2 5 2 2" xfId="2418" xr:uid="{00000000-0005-0000-0000-0000A2090000}"/>
    <cellStyle name="常规 2 5 2 2 2" xfId="2419" xr:uid="{00000000-0005-0000-0000-0000A3090000}"/>
    <cellStyle name="常规 2 5 2 2 3" xfId="681" xr:uid="{00000000-0005-0000-0000-0000D9020000}"/>
    <cellStyle name="常规 2 5 2 2 4" xfId="705" xr:uid="{00000000-0005-0000-0000-0000F1020000}"/>
    <cellStyle name="常规 2 5 2 3" xfId="2421" xr:uid="{00000000-0005-0000-0000-0000A5090000}"/>
    <cellStyle name="常规 2 5 2 4" xfId="2423" xr:uid="{00000000-0005-0000-0000-0000A7090000}"/>
    <cellStyle name="常规 2 5 2 5" xfId="2425" xr:uid="{00000000-0005-0000-0000-0000A9090000}"/>
    <cellStyle name="常规 2 5 2 6" xfId="2426" xr:uid="{00000000-0005-0000-0000-0000AA090000}"/>
    <cellStyle name="常规 2 5 2 6 2" xfId="2427" xr:uid="{00000000-0005-0000-0000-0000AB090000}"/>
    <cellStyle name="常规 2 5 2 7" xfId="2428" xr:uid="{00000000-0005-0000-0000-0000AC090000}"/>
    <cellStyle name="常规 2 5 2 8" xfId="146" xr:uid="{00000000-0005-0000-0000-0000C2000000}"/>
    <cellStyle name="常规 2 5 2 8 2" xfId="148" xr:uid="{00000000-0005-0000-0000-0000C4000000}"/>
    <cellStyle name="常规 2 5 3" xfId="1886" xr:uid="{00000000-0005-0000-0000-00008E070000}"/>
    <cellStyle name="常规 2 5 3 2" xfId="2429" xr:uid="{00000000-0005-0000-0000-0000AD090000}"/>
    <cellStyle name="常规 2 5 3 3" xfId="2430" xr:uid="{00000000-0005-0000-0000-0000AE090000}"/>
    <cellStyle name="常规 2 5 4" xfId="1889" xr:uid="{00000000-0005-0000-0000-000091070000}"/>
    <cellStyle name="常规 2 5 4 2" xfId="2431" xr:uid="{00000000-0005-0000-0000-0000AF090000}"/>
    <cellStyle name="常规 2 5 4 3" xfId="2432" xr:uid="{00000000-0005-0000-0000-0000B0090000}"/>
    <cellStyle name="常规 2 5 5" xfId="1894" xr:uid="{00000000-0005-0000-0000-000096070000}"/>
    <cellStyle name="常规 2 5 6" xfId="718" xr:uid="{00000000-0005-0000-0000-0000FE020000}"/>
    <cellStyle name="常规 2 5 7" xfId="1898" xr:uid="{00000000-0005-0000-0000-00009A070000}"/>
    <cellStyle name="常规 2 5 7 2" xfId="2433" xr:uid="{00000000-0005-0000-0000-0000B1090000}"/>
    <cellStyle name="常规 2 5 7 3" xfId="2434" xr:uid="{00000000-0005-0000-0000-0000B2090000}"/>
    <cellStyle name="常规 2 5 8" xfId="1902" xr:uid="{00000000-0005-0000-0000-00009E070000}"/>
    <cellStyle name="常规 2 5 9" xfId="1906" xr:uid="{00000000-0005-0000-0000-0000A2070000}"/>
    <cellStyle name="常规 2 50" xfId="2404" xr:uid="{00000000-0005-0000-0000-000094090000}"/>
    <cellStyle name="常规 2 51" xfId="2406" xr:uid="{00000000-0005-0000-0000-000096090000}"/>
    <cellStyle name="常规 2 52" xfId="2408" xr:uid="{00000000-0005-0000-0000-000098090000}"/>
    <cellStyle name="常规 2 53" xfId="2410" xr:uid="{00000000-0005-0000-0000-00009A090000}"/>
    <cellStyle name="常规 2 54" xfId="2413" xr:uid="{00000000-0005-0000-0000-00009D090000}"/>
    <cellStyle name="常规 2 55" xfId="2437" xr:uid="{00000000-0005-0000-0000-0000B5090000}"/>
    <cellStyle name="常规 2 56" xfId="2441" xr:uid="{00000000-0005-0000-0000-0000B9090000}"/>
    <cellStyle name="常规 2 57" xfId="2444" xr:uid="{00000000-0005-0000-0000-0000BC090000}"/>
    <cellStyle name="常规 2 58" xfId="2447" xr:uid="{00000000-0005-0000-0000-0000BF090000}"/>
    <cellStyle name="常规 2 59" xfId="2450" xr:uid="{00000000-0005-0000-0000-0000C2090000}"/>
    <cellStyle name="常规 2 6" xfId="2451" xr:uid="{00000000-0005-0000-0000-0000C3090000}"/>
    <cellStyle name="常规 2 6 2" xfId="2012" xr:uid="{00000000-0005-0000-0000-00000C080000}"/>
    <cellStyle name="常规 2 6 2 2" xfId="2452" xr:uid="{00000000-0005-0000-0000-0000C4090000}"/>
    <cellStyle name="常规 2 6 2 3" xfId="2454" xr:uid="{00000000-0005-0000-0000-0000C6090000}"/>
    <cellStyle name="常规 2 6 2 4" xfId="2456" xr:uid="{00000000-0005-0000-0000-0000C8090000}"/>
    <cellStyle name="常规 2 6 2 5" xfId="2458" xr:uid="{00000000-0005-0000-0000-0000CA090000}"/>
    <cellStyle name="常规 2 6 2 6" xfId="2460" xr:uid="{00000000-0005-0000-0000-0000CC090000}"/>
    <cellStyle name="常规 2 6 2 7" xfId="2462" xr:uid="{00000000-0005-0000-0000-0000CE090000}"/>
    <cellStyle name="常规 2 6 2 8" xfId="1423" xr:uid="{00000000-0005-0000-0000-0000BF050000}"/>
    <cellStyle name="常规 2 6 3" xfId="2016" xr:uid="{00000000-0005-0000-0000-000010080000}"/>
    <cellStyle name="常规 2 6 4" xfId="2019" xr:uid="{00000000-0005-0000-0000-000013080000}"/>
    <cellStyle name="常规 2 6 5" xfId="2035" xr:uid="{00000000-0005-0000-0000-000023080000}"/>
    <cellStyle name="常规 2 6 6" xfId="2037" xr:uid="{00000000-0005-0000-0000-000025080000}"/>
    <cellStyle name="常规 2 6 7" xfId="2041" xr:uid="{00000000-0005-0000-0000-000029080000}"/>
    <cellStyle name="常规 2 6 7 2" xfId="2464" xr:uid="{00000000-0005-0000-0000-0000D0090000}"/>
    <cellStyle name="常规 2 6 8" xfId="70" xr:uid="{00000000-0005-0000-0000-00006A000000}"/>
    <cellStyle name="常规 2 6 9" xfId="72" xr:uid="{00000000-0005-0000-0000-00006E000000}"/>
    <cellStyle name="常规 2 60" xfId="2436" xr:uid="{00000000-0005-0000-0000-0000B4090000}"/>
    <cellStyle name="常规 2 61" xfId="2440" xr:uid="{00000000-0005-0000-0000-0000B8090000}"/>
    <cellStyle name="常规 2 62" xfId="2443" xr:uid="{00000000-0005-0000-0000-0000BB090000}"/>
    <cellStyle name="常规 2 63" xfId="2446" xr:uid="{00000000-0005-0000-0000-0000BE090000}"/>
    <cellStyle name="常规 2 64" xfId="2449" xr:uid="{00000000-0005-0000-0000-0000C1090000}"/>
    <cellStyle name="常规 2 65" xfId="2467" xr:uid="{00000000-0005-0000-0000-0000D3090000}"/>
    <cellStyle name="常规 2 66" xfId="2470" xr:uid="{00000000-0005-0000-0000-0000D6090000}"/>
    <cellStyle name="常规 2 67" xfId="2472" xr:uid="{00000000-0005-0000-0000-0000D8090000}"/>
    <cellStyle name="常规 2 68" xfId="2474" xr:uid="{00000000-0005-0000-0000-0000DA090000}"/>
    <cellStyle name="常规 2 69" xfId="2476" xr:uid="{00000000-0005-0000-0000-0000DC090000}"/>
    <cellStyle name="常规 2 7" xfId="2477" xr:uid="{00000000-0005-0000-0000-0000DD090000}"/>
    <cellStyle name="常规 2 7 10" xfId="2478" xr:uid="{00000000-0005-0000-0000-0000DE090000}"/>
    <cellStyle name="常规 2 7 11" xfId="2479" xr:uid="{00000000-0005-0000-0000-0000DF090000}"/>
    <cellStyle name="常规 2 7 12" xfId="2480" xr:uid="{00000000-0005-0000-0000-0000E0090000}"/>
    <cellStyle name="常规 2 7 13" xfId="924" xr:uid="{00000000-0005-0000-0000-0000CC030000}"/>
    <cellStyle name="常规 2 7 14" xfId="926" xr:uid="{00000000-0005-0000-0000-0000CE030000}"/>
    <cellStyle name="常规 2 7 15" xfId="2481" xr:uid="{00000000-0005-0000-0000-0000E1090000}"/>
    <cellStyle name="常规 2 7 16" xfId="2482" xr:uid="{00000000-0005-0000-0000-0000E2090000}"/>
    <cellStyle name="常规 2 7 17" xfId="1715" xr:uid="{00000000-0005-0000-0000-0000E3060000}"/>
    <cellStyle name="常规 2 7 18" xfId="1722" xr:uid="{00000000-0005-0000-0000-0000EA060000}"/>
    <cellStyle name="常规 2 7 2" xfId="2483" xr:uid="{00000000-0005-0000-0000-0000E3090000}"/>
    <cellStyle name="常规 2 7 2 2" xfId="2132" xr:uid="{00000000-0005-0000-0000-000084080000}"/>
    <cellStyle name="常规 2 7 2 3" xfId="2150" xr:uid="{00000000-0005-0000-0000-000096080000}"/>
    <cellStyle name="常规 2 7 2 3 2" xfId="2484" xr:uid="{00000000-0005-0000-0000-0000E4090000}"/>
    <cellStyle name="常规 2 7 2 4" xfId="2171" xr:uid="{00000000-0005-0000-0000-0000AB080000}"/>
    <cellStyle name="常规 2 7 2 5" xfId="1153" xr:uid="{00000000-0005-0000-0000-0000B1040000}"/>
    <cellStyle name="常规 2 7 2 5 2" xfId="376" xr:uid="{00000000-0005-0000-0000-0000A8010000}"/>
    <cellStyle name="常规 2 7 3" xfId="2485" xr:uid="{00000000-0005-0000-0000-0000E5090000}"/>
    <cellStyle name="常规 2 7 3 2" xfId="2285" xr:uid="{00000000-0005-0000-0000-00001D090000}"/>
    <cellStyle name="常规 2 7 3 3" xfId="2288" xr:uid="{00000000-0005-0000-0000-000020090000}"/>
    <cellStyle name="常规 2 7 4" xfId="2486" xr:uid="{00000000-0005-0000-0000-0000E6090000}"/>
    <cellStyle name="常规 2 7 4 2" xfId="2487" xr:uid="{00000000-0005-0000-0000-0000E7090000}"/>
    <cellStyle name="常规 2 7 5" xfId="1667" xr:uid="{00000000-0005-0000-0000-0000B3060000}"/>
    <cellStyle name="常规 2 7 6" xfId="2488" xr:uid="{00000000-0005-0000-0000-0000E8090000}"/>
    <cellStyle name="常规 2 7 7" xfId="2489" xr:uid="{00000000-0005-0000-0000-0000E9090000}"/>
    <cellStyle name="常规 2 7 8" xfId="2490" xr:uid="{00000000-0005-0000-0000-0000EA090000}"/>
    <cellStyle name="常规 2 7 9" xfId="2492" xr:uid="{00000000-0005-0000-0000-0000EC090000}"/>
    <cellStyle name="常规 2 70" xfId="2466" xr:uid="{00000000-0005-0000-0000-0000D2090000}"/>
    <cellStyle name="常规 2 71" xfId="2469" xr:uid="{00000000-0005-0000-0000-0000D5090000}"/>
    <cellStyle name="常规 2 72" xfId="2471" xr:uid="{00000000-0005-0000-0000-0000D7090000}"/>
    <cellStyle name="常规 2 73" xfId="2473" xr:uid="{00000000-0005-0000-0000-0000D9090000}"/>
    <cellStyle name="常规 2 74" xfId="2475" xr:uid="{00000000-0005-0000-0000-0000DB090000}"/>
    <cellStyle name="常规 2 75" xfId="2494" xr:uid="{00000000-0005-0000-0000-0000EE090000}"/>
    <cellStyle name="常规 2 76" xfId="2496" xr:uid="{00000000-0005-0000-0000-0000F0090000}"/>
    <cellStyle name="常规 2 77" xfId="2498" xr:uid="{00000000-0005-0000-0000-0000F2090000}"/>
    <cellStyle name="常规 2 78" xfId="2501" xr:uid="{00000000-0005-0000-0000-0000F5090000}"/>
    <cellStyle name="常规 2 79" xfId="2504" xr:uid="{00000000-0005-0000-0000-0000F8090000}"/>
    <cellStyle name="常规 2 8" xfId="2506" xr:uid="{00000000-0005-0000-0000-0000FA090000}"/>
    <cellStyle name="常规 2 8 2" xfId="2508" xr:uid="{00000000-0005-0000-0000-0000FC090000}"/>
    <cellStyle name="常规 2 8 3" xfId="2510" xr:uid="{00000000-0005-0000-0000-0000FE090000}"/>
    <cellStyle name="常规 2 8 4" xfId="2513" xr:uid="{00000000-0005-0000-0000-0000010A0000}"/>
    <cellStyle name="常规 2 8 5" xfId="2516" xr:uid="{00000000-0005-0000-0000-0000040A0000}"/>
    <cellStyle name="常规 2 8 6" xfId="2519" xr:uid="{00000000-0005-0000-0000-0000070A0000}"/>
    <cellStyle name="常规 2 80" xfId="2493" xr:uid="{00000000-0005-0000-0000-0000ED090000}"/>
    <cellStyle name="常规 2 81" xfId="2495" xr:uid="{00000000-0005-0000-0000-0000EF090000}"/>
    <cellStyle name="常规 2 82" xfId="2497" xr:uid="{00000000-0005-0000-0000-0000F1090000}"/>
    <cellStyle name="常规 2 83" xfId="2500" xr:uid="{00000000-0005-0000-0000-0000F4090000}"/>
    <cellStyle name="常规 2 84" xfId="2503" xr:uid="{00000000-0005-0000-0000-0000F7090000}"/>
    <cellStyle name="常规 2 85" xfId="2522" xr:uid="{00000000-0005-0000-0000-00000A0A0000}"/>
    <cellStyle name="常规 2 86" xfId="2524" xr:uid="{00000000-0005-0000-0000-00000C0A0000}"/>
    <cellStyle name="常规 2 87" xfId="2526" xr:uid="{00000000-0005-0000-0000-00000E0A0000}"/>
    <cellStyle name="常规 2 88" xfId="2528" xr:uid="{00000000-0005-0000-0000-0000100A0000}"/>
    <cellStyle name="常规 2 89" xfId="2530" xr:uid="{00000000-0005-0000-0000-0000120A0000}"/>
    <cellStyle name="常规 2 9" xfId="2532" xr:uid="{00000000-0005-0000-0000-0000140A0000}"/>
    <cellStyle name="常规 2 9 2" xfId="2533" xr:uid="{00000000-0005-0000-0000-0000150A0000}"/>
    <cellStyle name="常规 2 9 3" xfId="2534" xr:uid="{00000000-0005-0000-0000-0000160A0000}"/>
    <cellStyle name="常规 2 90" xfId="2521" xr:uid="{00000000-0005-0000-0000-0000090A0000}"/>
    <cellStyle name="常规 2 91" xfId="2523" xr:uid="{00000000-0005-0000-0000-00000B0A0000}"/>
    <cellStyle name="常规 2 92" xfId="2525" xr:uid="{00000000-0005-0000-0000-00000D0A0000}"/>
    <cellStyle name="常规 2 93" xfId="2527" xr:uid="{00000000-0005-0000-0000-00000F0A0000}"/>
    <cellStyle name="常规 2 94" xfId="2529" xr:uid="{00000000-0005-0000-0000-0000110A0000}"/>
    <cellStyle name="常规 2 95" xfId="2535" xr:uid="{00000000-0005-0000-0000-0000170A0000}"/>
    <cellStyle name="常规 2 96" xfId="2536" xr:uid="{00000000-0005-0000-0000-0000180A0000}"/>
    <cellStyle name="常规 2 97" xfId="2537" xr:uid="{00000000-0005-0000-0000-0000190A0000}"/>
    <cellStyle name="常规 2 98" xfId="2538" xr:uid="{00000000-0005-0000-0000-00001A0A0000}"/>
    <cellStyle name="常规 2 99" xfId="2241" xr:uid="{00000000-0005-0000-0000-0000F1080000}"/>
    <cellStyle name="常规 2_2014年集团总部职能部门绩效考核表（人力资源部）" xfId="2539" xr:uid="{00000000-0005-0000-0000-00001B0A0000}"/>
    <cellStyle name="常规 20" xfId="1278" xr:uid="{00000000-0005-0000-0000-00002E050000}"/>
    <cellStyle name="常规 20 10" xfId="1280" xr:uid="{00000000-0005-0000-0000-000030050000}"/>
    <cellStyle name="常规 20 11" xfId="1284" xr:uid="{00000000-0005-0000-0000-000034050000}"/>
    <cellStyle name="常规 20 12" xfId="1286" xr:uid="{00000000-0005-0000-0000-000036050000}"/>
    <cellStyle name="常规 20 13" xfId="1288" xr:uid="{00000000-0005-0000-0000-000038050000}"/>
    <cellStyle name="常规 20 14" xfId="1290" xr:uid="{00000000-0005-0000-0000-00003A050000}"/>
    <cellStyle name="常规 20 15" xfId="1292" xr:uid="{00000000-0005-0000-0000-00003C050000}"/>
    <cellStyle name="常规 20 16" xfId="1294" xr:uid="{00000000-0005-0000-0000-00003E050000}"/>
    <cellStyle name="常规 20 16 2" xfId="1296" xr:uid="{00000000-0005-0000-0000-000040050000}"/>
    <cellStyle name="常规 20 16 2 2" xfId="370" xr:uid="{00000000-0005-0000-0000-0000A2010000}"/>
    <cellStyle name="常规 20 16 3" xfId="1298" xr:uid="{00000000-0005-0000-0000-000042050000}"/>
    <cellStyle name="常规 20 17" xfId="1300" xr:uid="{00000000-0005-0000-0000-000044050000}"/>
    <cellStyle name="常规 20 2" xfId="692" xr:uid="{00000000-0005-0000-0000-0000E4020000}"/>
    <cellStyle name="常规 20 2 2" xfId="1306" xr:uid="{00000000-0005-0000-0000-00004A050000}"/>
    <cellStyle name="常规 20 3" xfId="696" xr:uid="{00000000-0005-0000-0000-0000E8020000}"/>
    <cellStyle name="常规 20 4" xfId="700" xr:uid="{00000000-0005-0000-0000-0000EC020000}"/>
    <cellStyle name="常规 20 5" xfId="952" xr:uid="{00000000-0005-0000-0000-0000E8030000}"/>
    <cellStyle name="常规 20 6" xfId="1311" xr:uid="{00000000-0005-0000-0000-00004F050000}"/>
    <cellStyle name="常规 20 7" xfId="1314" xr:uid="{00000000-0005-0000-0000-000052050000}"/>
    <cellStyle name="常规 20 8" xfId="1316" xr:uid="{00000000-0005-0000-0000-000054050000}"/>
    <cellStyle name="常规 20 9" xfId="1318" xr:uid="{00000000-0005-0000-0000-000056050000}"/>
    <cellStyle name="常规 200" xfId="1209" xr:uid="{00000000-0005-0000-0000-0000E9040000}"/>
    <cellStyle name="常规 200 2" xfId="1212" xr:uid="{00000000-0005-0000-0000-0000EC040000}"/>
    <cellStyle name="常规 200 2 2" xfId="1215" xr:uid="{00000000-0005-0000-0000-0000EF040000}"/>
    <cellStyle name="常规 200 3" xfId="1218" xr:uid="{00000000-0005-0000-0000-0000F2040000}"/>
    <cellStyle name="常规 201" xfId="1223" xr:uid="{00000000-0005-0000-0000-0000F7040000}"/>
    <cellStyle name="常规 201 2" xfId="1226" xr:uid="{00000000-0005-0000-0000-0000FA040000}"/>
    <cellStyle name="常规 201 2 2" xfId="1231" xr:uid="{00000000-0005-0000-0000-0000FF040000}"/>
    <cellStyle name="常规 201 3" xfId="1234" xr:uid="{00000000-0005-0000-0000-000002050000}"/>
    <cellStyle name="常规 202" xfId="1240" xr:uid="{00000000-0005-0000-0000-000008050000}"/>
    <cellStyle name="常规 202 2" xfId="1244" xr:uid="{00000000-0005-0000-0000-00000C050000}"/>
    <cellStyle name="常规 202 2 2" xfId="1248" xr:uid="{00000000-0005-0000-0000-000010050000}"/>
    <cellStyle name="常规 202 3" xfId="1252" xr:uid="{00000000-0005-0000-0000-000014050000}"/>
    <cellStyle name="常规 203" xfId="1256" xr:uid="{00000000-0005-0000-0000-000018050000}"/>
    <cellStyle name="常规 203 2" xfId="1259" xr:uid="{00000000-0005-0000-0000-00001B050000}"/>
    <cellStyle name="常规 203 2 2" xfId="1262" xr:uid="{00000000-0005-0000-0000-00001E050000}"/>
    <cellStyle name="常规 203 3" xfId="1265" xr:uid="{00000000-0005-0000-0000-000021050000}"/>
    <cellStyle name="常规 204" xfId="1269" xr:uid="{00000000-0005-0000-0000-000025050000}"/>
    <cellStyle name="常规 205" xfId="1321" xr:uid="{00000000-0005-0000-0000-000059050000}"/>
    <cellStyle name="常规 206" xfId="1332" xr:uid="{00000000-0005-0000-0000-000064050000}"/>
    <cellStyle name="常规 207" xfId="1347" xr:uid="{00000000-0005-0000-0000-000073050000}"/>
    <cellStyle name="常规 208" xfId="1353" xr:uid="{00000000-0005-0000-0000-000079050000}"/>
    <cellStyle name="常规 209" xfId="1366" xr:uid="{00000000-0005-0000-0000-000086050000}"/>
    <cellStyle name="常规 209 2" xfId="1369" xr:uid="{00000000-0005-0000-0000-000089050000}"/>
    <cellStyle name="常规 209 2 2" xfId="1372" xr:uid="{00000000-0005-0000-0000-00008C050000}"/>
    <cellStyle name="常规 209 3" xfId="1375" xr:uid="{00000000-0005-0000-0000-00008F050000}"/>
    <cellStyle name="常规 21" xfId="899" xr:uid="{00000000-0005-0000-0000-0000B3030000}"/>
    <cellStyle name="常规 21 10" xfId="1378" xr:uid="{00000000-0005-0000-0000-000092050000}"/>
    <cellStyle name="常规 21 11" xfId="1380" xr:uid="{00000000-0005-0000-0000-000094050000}"/>
    <cellStyle name="常规 21 12" xfId="1382" xr:uid="{00000000-0005-0000-0000-000096050000}"/>
    <cellStyle name="常规 21 13" xfId="650" xr:uid="{00000000-0005-0000-0000-0000BA020000}"/>
    <cellStyle name="常规 21 14" xfId="1384" xr:uid="{00000000-0005-0000-0000-000098050000}"/>
    <cellStyle name="常规 21 15" xfId="1386" xr:uid="{00000000-0005-0000-0000-00009A050000}"/>
    <cellStyle name="常规 21 16" xfId="1388" xr:uid="{00000000-0005-0000-0000-00009C050000}"/>
    <cellStyle name="常规 21 16 2" xfId="1390" xr:uid="{00000000-0005-0000-0000-00009E050000}"/>
    <cellStyle name="常规 21 16 2 2" xfId="1395" xr:uid="{00000000-0005-0000-0000-0000A3050000}"/>
    <cellStyle name="常规 21 16 3" xfId="1397" xr:uid="{00000000-0005-0000-0000-0000A5050000}"/>
    <cellStyle name="常规 21 17" xfId="1401" xr:uid="{00000000-0005-0000-0000-0000A9050000}"/>
    <cellStyle name="常规 21 17 2" xfId="1404" xr:uid="{00000000-0005-0000-0000-0000AC050000}"/>
    <cellStyle name="常规 21 17 3" xfId="1410" xr:uid="{00000000-0005-0000-0000-0000B2050000}"/>
    <cellStyle name="常规 21 17 4" xfId="1415" xr:uid="{00000000-0005-0000-0000-0000B7050000}"/>
    <cellStyle name="常规 21 18" xfId="1419" xr:uid="{00000000-0005-0000-0000-0000BB050000}"/>
    <cellStyle name="常规 21 2" xfId="903" xr:uid="{00000000-0005-0000-0000-0000B7030000}"/>
    <cellStyle name="常规 21 2 2" xfId="778" xr:uid="{00000000-0005-0000-0000-00003A030000}"/>
    <cellStyle name="常规 21 2 3" xfId="782" xr:uid="{00000000-0005-0000-0000-00003E030000}"/>
    <cellStyle name="常规 21 2 3 2" xfId="1422" xr:uid="{00000000-0005-0000-0000-0000BE050000}"/>
    <cellStyle name="常规 21 3" xfId="1425" xr:uid="{00000000-0005-0000-0000-0000C1050000}"/>
    <cellStyle name="常规 21 4" xfId="1427" xr:uid="{00000000-0005-0000-0000-0000C3050000}"/>
    <cellStyle name="常规 21 5" xfId="1429" xr:uid="{00000000-0005-0000-0000-0000C5050000}"/>
    <cellStyle name="常规 21 6" xfId="1431" xr:uid="{00000000-0005-0000-0000-0000C7050000}"/>
    <cellStyle name="常规 21 7" xfId="1433" xr:uid="{00000000-0005-0000-0000-0000C9050000}"/>
    <cellStyle name="常规 21 8" xfId="1435" xr:uid="{00000000-0005-0000-0000-0000CB050000}"/>
    <cellStyle name="常规 21 9" xfId="1437" xr:uid="{00000000-0005-0000-0000-0000CD050000}"/>
    <cellStyle name="常规 210" xfId="1320" xr:uid="{00000000-0005-0000-0000-000058050000}"/>
    <cellStyle name="常规 211" xfId="1331" xr:uid="{00000000-0005-0000-0000-000063050000}"/>
    <cellStyle name="常规 211 2" xfId="1336" xr:uid="{00000000-0005-0000-0000-000068050000}"/>
    <cellStyle name="常规 211 2 2" xfId="1339" xr:uid="{00000000-0005-0000-0000-00006B050000}"/>
    <cellStyle name="常规 211 3" xfId="1343" xr:uid="{00000000-0005-0000-0000-00006F050000}"/>
    <cellStyle name="常规 212" xfId="1346" xr:uid="{00000000-0005-0000-0000-000072050000}"/>
    <cellStyle name="常规 213" xfId="1352" xr:uid="{00000000-0005-0000-0000-000078050000}"/>
    <cellStyle name="常规 213 2" xfId="1356" xr:uid="{00000000-0005-0000-0000-00007C050000}"/>
    <cellStyle name="常规 213 2 2" xfId="1359" xr:uid="{00000000-0005-0000-0000-00007F050000}"/>
    <cellStyle name="常规 213 3" xfId="1362" xr:uid="{00000000-0005-0000-0000-000082050000}"/>
    <cellStyle name="常规 214" xfId="1365" xr:uid="{00000000-0005-0000-0000-000085050000}"/>
    <cellStyle name="常规 215" xfId="1440" xr:uid="{00000000-0005-0000-0000-0000D0050000}"/>
    <cellStyle name="常规 215 2" xfId="1443" xr:uid="{00000000-0005-0000-0000-0000D3050000}"/>
    <cellStyle name="常规 215 2 2" xfId="1446" xr:uid="{00000000-0005-0000-0000-0000D6050000}"/>
    <cellStyle name="常规 215 3" xfId="1449" xr:uid="{00000000-0005-0000-0000-0000D9050000}"/>
    <cellStyle name="常规 216" xfId="1454" xr:uid="{00000000-0005-0000-0000-0000DE050000}"/>
    <cellStyle name="常规 217" xfId="1473" xr:uid="{00000000-0005-0000-0000-0000F1050000}"/>
    <cellStyle name="常规 217 2" xfId="1476" xr:uid="{00000000-0005-0000-0000-0000F4050000}"/>
    <cellStyle name="常规 217 2 2" xfId="1479" xr:uid="{00000000-0005-0000-0000-0000F7050000}"/>
    <cellStyle name="常规 217 3" xfId="1481" xr:uid="{00000000-0005-0000-0000-0000F9050000}"/>
    <cellStyle name="常规 218" xfId="1485" xr:uid="{00000000-0005-0000-0000-0000FD050000}"/>
    <cellStyle name="常规 219" xfId="1496" xr:uid="{00000000-0005-0000-0000-000008060000}"/>
    <cellStyle name="常规 219 2" xfId="1499" xr:uid="{00000000-0005-0000-0000-00000B060000}"/>
    <cellStyle name="常规 219 2 2" xfId="1501" xr:uid="{00000000-0005-0000-0000-00000D060000}"/>
    <cellStyle name="常规 219 3" xfId="1503" xr:uid="{00000000-0005-0000-0000-00000F060000}"/>
    <cellStyle name="常规 22" xfId="908" xr:uid="{00000000-0005-0000-0000-0000BC030000}"/>
    <cellStyle name="常规 22 10" xfId="1505" xr:uid="{00000000-0005-0000-0000-000011060000}"/>
    <cellStyle name="常规 22 11" xfId="1509" xr:uid="{00000000-0005-0000-0000-000015060000}"/>
    <cellStyle name="常规 22 12" xfId="1513" xr:uid="{00000000-0005-0000-0000-000019060000}"/>
    <cellStyle name="常规 22 13" xfId="1517" xr:uid="{00000000-0005-0000-0000-00001D060000}"/>
    <cellStyle name="常规 22 14" xfId="1403" xr:uid="{00000000-0005-0000-0000-0000AB050000}"/>
    <cellStyle name="常规 22 15" xfId="1409" xr:uid="{00000000-0005-0000-0000-0000B1050000}"/>
    <cellStyle name="常规 22 16" xfId="1414" xr:uid="{00000000-0005-0000-0000-0000B6050000}"/>
    <cellStyle name="常规 22 16 2" xfId="1521" xr:uid="{00000000-0005-0000-0000-000021060000}"/>
    <cellStyle name="常规 22 16 2 2" xfId="1524" xr:uid="{00000000-0005-0000-0000-000024060000}"/>
    <cellStyle name="常规 22 16 3" xfId="1526" xr:uid="{00000000-0005-0000-0000-000026060000}"/>
    <cellStyle name="常规 22 17" xfId="1528" xr:uid="{00000000-0005-0000-0000-000028060000}"/>
    <cellStyle name="常规 22 17 2" xfId="1532" xr:uid="{00000000-0005-0000-0000-00002C060000}"/>
    <cellStyle name="常规 22 17 3" xfId="1535" xr:uid="{00000000-0005-0000-0000-00002F060000}"/>
    <cellStyle name="常规 22 17 4" xfId="1538" xr:uid="{00000000-0005-0000-0000-000032060000}"/>
    <cellStyle name="常规 22 18" xfId="1540" xr:uid="{00000000-0005-0000-0000-000034060000}"/>
    <cellStyle name="常规 22 2" xfId="1543" xr:uid="{00000000-0005-0000-0000-000037060000}"/>
    <cellStyle name="常规 22 2 2" xfId="1545" xr:uid="{00000000-0005-0000-0000-000039060000}"/>
    <cellStyle name="常规 22 2 3" xfId="1547" xr:uid="{00000000-0005-0000-0000-00003B060000}"/>
    <cellStyle name="常规 22 2 3 2" xfId="1549" xr:uid="{00000000-0005-0000-0000-00003D060000}"/>
    <cellStyle name="常规 22 2 4" xfId="2540" xr:uid="{00000000-0005-0000-0000-00001C0A0000}"/>
    <cellStyle name="常规 22 3" xfId="1551" xr:uid="{00000000-0005-0000-0000-00003F060000}"/>
    <cellStyle name="常规 22 4" xfId="1553" xr:uid="{00000000-0005-0000-0000-000041060000}"/>
    <cellStyle name="常规 22 5" xfId="1555" xr:uid="{00000000-0005-0000-0000-000043060000}"/>
    <cellStyle name="常规 22 6" xfId="1557" xr:uid="{00000000-0005-0000-0000-000045060000}"/>
    <cellStyle name="常规 22 7" xfId="1559" xr:uid="{00000000-0005-0000-0000-000047060000}"/>
    <cellStyle name="常规 22 8" xfId="1561" xr:uid="{00000000-0005-0000-0000-000049060000}"/>
    <cellStyle name="常规 22 9" xfId="1563" xr:uid="{00000000-0005-0000-0000-00004B060000}"/>
    <cellStyle name="常规 220" xfId="1439" xr:uid="{00000000-0005-0000-0000-0000CF050000}"/>
    <cellStyle name="常规 221" xfId="1453" xr:uid="{00000000-0005-0000-0000-0000DD050000}"/>
    <cellStyle name="常规 221 2" xfId="1457" xr:uid="{00000000-0005-0000-0000-0000E1050000}"/>
    <cellStyle name="常规 221 2 2" xfId="1462" xr:uid="{00000000-0005-0000-0000-0000E6050000}"/>
    <cellStyle name="常规 221 3" xfId="1465" xr:uid="{00000000-0005-0000-0000-0000E9050000}"/>
    <cellStyle name="常规 222" xfId="1472" xr:uid="{00000000-0005-0000-0000-0000F0050000}"/>
    <cellStyle name="常规 223" xfId="1484" xr:uid="{00000000-0005-0000-0000-0000FC050000}"/>
    <cellStyle name="常规 223 2" xfId="1488" xr:uid="{00000000-0005-0000-0000-000000060000}"/>
    <cellStyle name="常规 223 2 2" xfId="1490" xr:uid="{00000000-0005-0000-0000-000002060000}"/>
    <cellStyle name="常规 223 3" xfId="1492" xr:uid="{00000000-0005-0000-0000-000004060000}"/>
    <cellStyle name="常规 224" xfId="1495" xr:uid="{00000000-0005-0000-0000-000007060000}"/>
    <cellStyle name="常规 225" xfId="1567" xr:uid="{00000000-0005-0000-0000-00004F060000}"/>
    <cellStyle name="常规 225 2" xfId="1651" xr:uid="{00000000-0005-0000-0000-0000A3060000}"/>
    <cellStyle name="常规 225 2 2" xfId="1654" xr:uid="{00000000-0005-0000-0000-0000A6060000}"/>
    <cellStyle name="常规 225 3" xfId="1660" xr:uid="{00000000-0005-0000-0000-0000AC060000}"/>
    <cellStyle name="常规 226" xfId="1573" xr:uid="{00000000-0005-0000-0000-000055060000}"/>
    <cellStyle name="常规 226 2" xfId="1663" xr:uid="{00000000-0005-0000-0000-0000AF060000}"/>
    <cellStyle name="常规 226 2 2" xfId="1666" xr:uid="{00000000-0005-0000-0000-0000B2060000}"/>
    <cellStyle name="常规 226 3" xfId="1671" xr:uid="{00000000-0005-0000-0000-0000B7060000}"/>
    <cellStyle name="常规 227" xfId="1578" xr:uid="{00000000-0005-0000-0000-00005A060000}"/>
    <cellStyle name="常规 227 2" xfId="1675" xr:uid="{00000000-0005-0000-0000-0000BB060000}"/>
    <cellStyle name="常规 227 2 2" xfId="796" xr:uid="{00000000-0005-0000-0000-00004C030000}"/>
    <cellStyle name="常规 227 3" xfId="1679" xr:uid="{00000000-0005-0000-0000-0000BF060000}"/>
    <cellStyle name="常规 228" xfId="1583" xr:uid="{00000000-0005-0000-0000-00005F060000}"/>
    <cellStyle name="常规 228 2" xfId="1682" xr:uid="{00000000-0005-0000-0000-0000C2060000}"/>
    <cellStyle name="常规 228 2 2" xfId="449" xr:uid="{00000000-0005-0000-0000-0000F1010000}"/>
    <cellStyle name="常规 228 3" xfId="1686" xr:uid="{00000000-0005-0000-0000-0000C6060000}"/>
    <cellStyle name="常规 229" xfId="1587" xr:uid="{00000000-0005-0000-0000-000063060000}"/>
    <cellStyle name="常规 229 2" xfId="1689" xr:uid="{00000000-0005-0000-0000-0000C9060000}"/>
    <cellStyle name="常规 229 2 2" xfId="1692" xr:uid="{00000000-0005-0000-0000-0000CC060000}"/>
    <cellStyle name="常规 229 3" xfId="1695" xr:uid="{00000000-0005-0000-0000-0000CF060000}"/>
    <cellStyle name="常规 23" xfId="979" xr:uid="{00000000-0005-0000-0000-000003040000}"/>
    <cellStyle name="常规 23 10" xfId="1590" xr:uid="{00000000-0005-0000-0000-000066060000}"/>
    <cellStyle name="常规 23 11" xfId="1592" xr:uid="{00000000-0005-0000-0000-000068060000}"/>
    <cellStyle name="常规 23 12" xfId="1595" xr:uid="{00000000-0005-0000-0000-00006B060000}"/>
    <cellStyle name="常规 23 13" xfId="1598" xr:uid="{00000000-0005-0000-0000-00006E060000}"/>
    <cellStyle name="常规 23 14" xfId="1601" xr:uid="{00000000-0005-0000-0000-000071060000}"/>
    <cellStyle name="常规 23 15" xfId="1604" xr:uid="{00000000-0005-0000-0000-000074060000}"/>
    <cellStyle name="常规 23 16" xfId="1607" xr:uid="{00000000-0005-0000-0000-000077060000}"/>
    <cellStyle name="常规 23 17" xfId="1611" xr:uid="{00000000-0005-0000-0000-00007B060000}"/>
    <cellStyle name="常规 23 17 2" xfId="1613" xr:uid="{00000000-0005-0000-0000-00007D060000}"/>
    <cellStyle name="常规 23 17 2 2" xfId="2541" xr:uid="{00000000-0005-0000-0000-00001D0A0000}"/>
    <cellStyle name="常规 23 17 3" xfId="1615" xr:uid="{00000000-0005-0000-0000-00007F060000}"/>
    <cellStyle name="常规 23 18" xfId="1618" xr:uid="{00000000-0005-0000-0000-000082060000}"/>
    <cellStyle name="常规 23 2" xfId="1621" xr:uid="{00000000-0005-0000-0000-000085060000}"/>
    <cellStyle name="常规 23 2 2" xfId="762" xr:uid="{00000000-0005-0000-0000-00002A030000}"/>
    <cellStyle name="常规 23 2 3" xfId="1623" xr:uid="{00000000-0005-0000-0000-000087060000}"/>
    <cellStyle name="常规 23 2 3 2" xfId="1625" xr:uid="{00000000-0005-0000-0000-000089060000}"/>
    <cellStyle name="常规 23 2 4" xfId="1627" xr:uid="{00000000-0005-0000-0000-00008B060000}"/>
    <cellStyle name="常规 23 2 5" xfId="2542" xr:uid="{00000000-0005-0000-0000-00001E0A0000}"/>
    <cellStyle name="常规 23 2 5 2" xfId="2543" xr:uid="{00000000-0005-0000-0000-00001F0A0000}"/>
    <cellStyle name="常规 23 3" xfId="1629" xr:uid="{00000000-0005-0000-0000-00008D060000}"/>
    <cellStyle name="常规 23 3 2" xfId="1631" xr:uid="{00000000-0005-0000-0000-00008F060000}"/>
    <cellStyle name="常规 23 3 3" xfId="1633" xr:uid="{00000000-0005-0000-0000-000091060000}"/>
    <cellStyle name="常规 23 4" xfId="1635" xr:uid="{00000000-0005-0000-0000-000093060000}"/>
    <cellStyle name="常规 23 4 2" xfId="2545" xr:uid="{00000000-0005-0000-0000-0000210A0000}"/>
    <cellStyle name="常规 23 4 3" xfId="2546" xr:uid="{00000000-0005-0000-0000-0000220A0000}"/>
    <cellStyle name="常规 23 5" xfId="1637" xr:uid="{00000000-0005-0000-0000-000095060000}"/>
    <cellStyle name="常规 23 5 2" xfId="2548" xr:uid="{00000000-0005-0000-0000-0000240A0000}"/>
    <cellStyle name="常规 23 6" xfId="1639" xr:uid="{00000000-0005-0000-0000-000097060000}"/>
    <cellStyle name="常规 23 7" xfId="1643" xr:uid="{00000000-0005-0000-0000-00009B060000}"/>
    <cellStyle name="常规 23 8" xfId="1645" xr:uid="{00000000-0005-0000-0000-00009D060000}"/>
    <cellStyle name="常规 23 9" xfId="1647" xr:uid="{00000000-0005-0000-0000-00009F060000}"/>
    <cellStyle name="常规 230" xfId="1566" xr:uid="{00000000-0005-0000-0000-00004E060000}"/>
    <cellStyle name="常规 230 2" xfId="1650" xr:uid="{00000000-0005-0000-0000-0000A2060000}"/>
    <cellStyle name="常规 230 2 2" xfId="1653" xr:uid="{00000000-0005-0000-0000-0000A5060000}"/>
    <cellStyle name="常规 230 3" xfId="1659" xr:uid="{00000000-0005-0000-0000-0000AB060000}"/>
    <cellStyle name="常规 231" xfId="1572" xr:uid="{00000000-0005-0000-0000-000054060000}"/>
    <cellStyle name="常规 231 2" xfId="1662" xr:uid="{00000000-0005-0000-0000-0000AE060000}"/>
    <cellStyle name="常规 231 2 2" xfId="1665" xr:uid="{00000000-0005-0000-0000-0000B1060000}"/>
    <cellStyle name="常规 231 3" xfId="1670" xr:uid="{00000000-0005-0000-0000-0000B6060000}"/>
    <cellStyle name="常规 232" xfId="1577" xr:uid="{00000000-0005-0000-0000-000059060000}"/>
    <cellStyle name="常规 232 2" xfId="1674" xr:uid="{00000000-0005-0000-0000-0000BA060000}"/>
    <cellStyle name="常规 232 2 2" xfId="795" xr:uid="{00000000-0005-0000-0000-00004B030000}"/>
    <cellStyle name="常规 232 3" xfId="1678" xr:uid="{00000000-0005-0000-0000-0000BE060000}"/>
    <cellStyle name="常规 233" xfId="1582" xr:uid="{00000000-0005-0000-0000-00005E060000}"/>
    <cellStyle name="常规 233 2" xfId="1681" xr:uid="{00000000-0005-0000-0000-0000C1060000}"/>
    <cellStyle name="常规 233 2 2" xfId="448" xr:uid="{00000000-0005-0000-0000-0000F0010000}"/>
    <cellStyle name="常规 233 3" xfId="1685" xr:uid="{00000000-0005-0000-0000-0000C5060000}"/>
    <cellStyle name="常规 234" xfId="1586" xr:uid="{00000000-0005-0000-0000-000062060000}"/>
    <cellStyle name="常规 234 2" xfId="1688" xr:uid="{00000000-0005-0000-0000-0000C8060000}"/>
    <cellStyle name="常规 234 2 2" xfId="1691" xr:uid="{00000000-0005-0000-0000-0000CB060000}"/>
    <cellStyle name="常规 234 3" xfId="1694" xr:uid="{00000000-0005-0000-0000-0000CE060000}"/>
    <cellStyle name="常规 235" xfId="1698" xr:uid="{00000000-0005-0000-0000-0000D2060000}"/>
    <cellStyle name="常规 235 2" xfId="1702" xr:uid="{00000000-0005-0000-0000-0000D6060000}"/>
    <cellStyle name="常规 236" xfId="1711" xr:uid="{00000000-0005-0000-0000-0000DF060000}"/>
    <cellStyle name="常规 237" xfId="1727" xr:uid="{00000000-0005-0000-0000-0000EF060000}"/>
    <cellStyle name="常规 238" xfId="1739" xr:uid="{00000000-0005-0000-0000-0000FB060000}"/>
    <cellStyle name="常规 239" xfId="1754" xr:uid="{00000000-0005-0000-0000-00000A070000}"/>
    <cellStyle name="常规 24" xfId="983" xr:uid="{00000000-0005-0000-0000-000007040000}"/>
    <cellStyle name="常规 24 10" xfId="525" xr:uid="{00000000-0005-0000-0000-00003D020000}"/>
    <cellStyle name="常规 24 11" xfId="207" xr:uid="{00000000-0005-0000-0000-0000FF000000}"/>
    <cellStyle name="常规 24 12" xfId="212" xr:uid="{00000000-0005-0000-0000-000004010000}"/>
    <cellStyle name="常规 24 13" xfId="220" xr:uid="{00000000-0005-0000-0000-00000C010000}"/>
    <cellStyle name="常规 24 14" xfId="225" xr:uid="{00000000-0005-0000-0000-000011010000}"/>
    <cellStyle name="常规 24 15" xfId="232" xr:uid="{00000000-0005-0000-0000-000018010000}"/>
    <cellStyle name="常规 24 16" xfId="1766" xr:uid="{00000000-0005-0000-0000-000016070000}"/>
    <cellStyle name="常规 24 16 2" xfId="2549" xr:uid="{00000000-0005-0000-0000-0000250A0000}"/>
    <cellStyle name="常规 24 16 2 2" xfId="2550" xr:uid="{00000000-0005-0000-0000-0000260A0000}"/>
    <cellStyle name="常规 24 16 3" xfId="2551" xr:uid="{00000000-0005-0000-0000-0000270A0000}"/>
    <cellStyle name="常规 24 17" xfId="1769" xr:uid="{00000000-0005-0000-0000-000019070000}"/>
    <cellStyle name="常规 24 17 2" xfId="1771" xr:uid="{00000000-0005-0000-0000-00001B070000}"/>
    <cellStyle name="常规 24 17 3" xfId="1774" xr:uid="{00000000-0005-0000-0000-00001E070000}"/>
    <cellStyle name="常规 24 17 4" xfId="2552" xr:uid="{00000000-0005-0000-0000-0000280A0000}"/>
    <cellStyle name="常规 24 18" xfId="1776" xr:uid="{00000000-0005-0000-0000-000020070000}"/>
    <cellStyle name="常规 24 2" xfId="1779" xr:uid="{00000000-0005-0000-0000-000023070000}"/>
    <cellStyle name="常规 24 2 2" xfId="1783" xr:uid="{00000000-0005-0000-0000-000027070000}"/>
    <cellStyle name="常规 24 2 3" xfId="2553" xr:uid="{00000000-0005-0000-0000-0000290A0000}"/>
    <cellStyle name="常规 24 2 3 2" xfId="2554" xr:uid="{00000000-0005-0000-0000-00002A0A0000}"/>
    <cellStyle name="常规 24 3" xfId="1785" xr:uid="{00000000-0005-0000-0000-000029070000}"/>
    <cellStyle name="常规 24 4" xfId="1789" xr:uid="{00000000-0005-0000-0000-00002D070000}"/>
    <cellStyle name="常规 24 5" xfId="1793" xr:uid="{00000000-0005-0000-0000-000031070000}"/>
    <cellStyle name="常规 24 6" xfId="1798" xr:uid="{00000000-0005-0000-0000-000036070000}"/>
    <cellStyle name="常规 24 7" xfId="410" xr:uid="{00000000-0005-0000-0000-0000CA010000}"/>
    <cellStyle name="常规 24 8" xfId="1802" xr:uid="{00000000-0005-0000-0000-00003A070000}"/>
    <cellStyle name="常规 24 9" xfId="1806" xr:uid="{00000000-0005-0000-0000-00003E070000}"/>
    <cellStyle name="常规 240" xfId="1697" xr:uid="{00000000-0005-0000-0000-0000D1060000}"/>
    <cellStyle name="常规 240 2" xfId="1701" xr:uid="{00000000-0005-0000-0000-0000D5060000}"/>
    <cellStyle name="常规 240 3" xfId="1707" xr:uid="{00000000-0005-0000-0000-0000DB060000}"/>
    <cellStyle name="常规 240 4" xfId="2555" xr:uid="{00000000-0005-0000-0000-00002B0A0000}"/>
    <cellStyle name="常规 241" xfId="1710" xr:uid="{00000000-0005-0000-0000-0000DE060000}"/>
    <cellStyle name="常规 241 2" xfId="1714" xr:uid="{00000000-0005-0000-0000-0000E2060000}"/>
    <cellStyle name="常规 241 2 2" xfId="1718" xr:uid="{00000000-0005-0000-0000-0000E6060000}"/>
    <cellStyle name="常规 241 3" xfId="1721" xr:uid="{00000000-0005-0000-0000-0000E9060000}"/>
    <cellStyle name="常规 241 4" xfId="2556" xr:uid="{00000000-0005-0000-0000-00002C0A0000}"/>
    <cellStyle name="常规 242" xfId="1726" xr:uid="{00000000-0005-0000-0000-0000EE060000}"/>
    <cellStyle name="常规 243" xfId="1738" xr:uid="{00000000-0005-0000-0000-0000FA060000}"/>
    <cellStyle name="常规 244" xfId="1753" xr:uid="{00000000-0005-0000-0000-000009070000}"/>
    <cellStyle name="常规 245" xfId="27" xr:uid="{00000000-0005-0000-0000-00002B000000}"/>
    <cellStyle name="常规 246" xfId="578" xr:uid="{00000000-0005-0000-0000-000072020000}"/>
    <cellStyle name="常规 247" xfId="587" xr:uid="{00000000-0005-0000-0000-00007B020000}"/>
    <cellStyle name="常规 248" xfId="1827" xr:uid="{00000000-0005-0000-0000-000053070000}"/>
    <cellStyle name="常规 249" xfId="1834" xr:uid="{00000000-0005-0000-0000-00005A070000}"/>
    <cellStyle name="常规 25" xfId="2560" xr:uid="{00000000-0005-0000-0000-0000300A0000}"/>
    <cellStyle name="常规 25 10" xfId="2562" xr:uid="{00000000-0005-0000-0000-0000320A0000}"/>
    <cellStyle name="常规 25 11" xfId="2565" xr:uid="{00000000-0005-0000-0000-0000350A0000}"/>
    <cellStyle name="常规 25 12" xfId="2024" xr:uid="{00000000-0005-0000-0000-000018080000}"/>
    <cellStyle name="常规 25 13" xfId="2031" xr:uid="{00000000-0005-0000-0000-00001F080000}"/>
    <cellStyle name="常规 25 14" xfId="2033" xr:uid="{00000000-0005-0000-0000-000021080000}"/>
    <cellStyle name="常规 25 15" xfId="2566" xr:uid="{00000000-0005-0000-0000-0000360A0000}"/>
    <cellStyle name="常规 25 16" xfId="2567" xr:uid="{00000000-0005-0000-0000-0000370A0000}"/>
    <cellStyle name="常规 25 16 2" xfId="2568" xr:uid="{00000000-0005-0000-0000-0000380A0000}"/>
    <cellStyle name="常规 25 16 2 2" xfId="2569" xr:uid="{00000000-0005-0000-0000-0000390A0000}"/>
    <cellStyle name="常规 25 16 3" xfId="1324" xr:uid="{00000000-0005-0000-0000-00005C050000}"/>
    <cellStyle name="常规 25 17" xfId="2570" xr:uid="{00000000-0005-0000-0000-00003A0A0000}"/>
    <cellStyle name="常规 25 17 2" xfId="2571" xr:uid="{00000000-0005-0000-0000-00003B0A0000}"/>
    <cellStyle name="常规 25 17 3" xfId="1335" xr:uid="{00000000-0005-0000-0000-000067050000}"/>
    <cellStyle name="常规 25 17 4" xfId="1342" xr:uid="{00000000-0005-0000-0000-00006E050000}"/>
    <cellStyle name="常规 25 18" xfId="635" xr:uid="{00000000-0005-0000-0000-0000AB020000}"/>
    <cellStyle name="常规 25 2" xfId="1919" xr:uid="{00000000-0005-0000-0000-0000AF070000}"/>
    <cellStyle name="常规 25 2 2" xfId="2573" xr:uid="{00000000-0005-0000-0000-00003D0A0000}"/>
    <cellStyle name="常规 25 2 3" xfId="2575" xr:uid="{00000000-0005-0000-0000-00003F0A0000}"/>
    <cellStyle name="常规 25 2 3 2" xfId="2579" xr:uid="{00000000-0005-0000-0000-0000430A0000}"/>
    <cellStyle name="常规 25 3" xfId="1925" xr:uid="{00000000-0005-0000-0000-0000B5070000}"/>
    <cellStyle name="常规 25 4" xfId="1931" xr:uid="{00000000-0005-0000-0000-0000BB070000}"/>
    <cellStyle name="常规 25 5" xfId="1936" xr:uid="{00000000-0005-0000-0000-0000C0070000}"/>
    <cellStyle name="常规 25 6" xfId="1941" xr:uid="{00000000-0005-0000-0000-0000C5070000}"/>
    <cellStyle name="常规 25 7" xfId="1952" xr:uid="{00000000-0005-0000-0000-0000D0070000}"/>
    <cellStyle name="常规 25 8" xfId="1957" xr:uid="{00000000-0005-0000-0000-0000D5070000}"/>
    <cellStyle name="常规 25 9" xfId="1962" xr:uid="{00000000-0005-0000-0000-0000DA070000}"/>
    <cellStyle name="常规 250" xfId="26" xr:uid="{00000000-0005-0000-0000-00002A000000}"/>
    <cellStyle name="常规 251" xfId="577" xr:uid="{00000000-0005-0000-0000-000071020000}"/>
    <cellStyle name="常规 252" xfId="586" xr:uid="{00000000-0005-0000-0000-00007A020000}"/>
    <cellStyle name="常规 253" xfId="1826" xr:uid="{00000000-0005-0000-0000-000052070000}"/>
    <cellStyle name="常规 254" xfId="1833" xr:uid="{00000000-0005-0000-0000-000059070000}"/>
    <cellStyle name="常规 255" xfId="2581" xr:uid="{00000000-0005-0000-0000-0000450A0000}"/>
    <cellStyle name="常规 256" xfId="2583" xr:uid="{00000000-0005-0000-0000-0000470A0000}"/>
    <cellStyle name="常规 257" xfId="2585" xr:uid="{00000000-0005-0000-0000-0000490A0000}"/>
    <cellStyle name="常规 26" xfId="2587" xr:uid="{00000000-0005-0000-0000-00004B0A0000}"/>
    <cellStyle name="常规 26 2" xfId="10" xr:uid="{00000000-0005-0000-0000-00000F000000}"/>
    <cellStyle name="常规 26 2 2" xfId="475" xr:uid="{00000000-0005-0000-0000-00000B020000}"/>
    <cellStyle name="常规 26 2 3" xfId="491" xr:uid="{00000000-0005-0000-0000-00001B020000}"/>
    <cellStyle name="常规 26 2 3 2" xfId="2559" xr:uid="{00000000-0005-0000-0000-00002F0A0000}"/>
    <cellStyle name="常规 26 3" xfId="77" xr:uid="{00000000-0005-0000-0000-000077000000}"/>
    <cellStyle name="常规 26 4" xfId="80" xr:uid="{00000000-0005-0000-0000-00007C000000}"/>
    <cellStyle name="常规 262" xfId="2584" xr:uid="{00000000-0005-0000-0000-0000480A0000}"/>
    <cellStyle name="常规 262 2" xfId="656" xr:uid="{00000000-0005-0000-0000-0000C0020000}"/>
    <cellStyle name="常规 262 3" xfId="344" xr:uid="{00000000-0005-0000-0000-000088010000}"/>
    <cellStyle name="常规 27" xfId="2589" xr:uid="{00000000-0005-0000-0000-00004D0A0000}"/>
    <cellStyle name="常规 27 2" xfId="2592" xr:uid="{00000000-0005-0000-0000-0000500A0000}"/>
    <cellStyle name="常规 27 2 2" xfId="2594" xr:uid="{00000000-0005-0000-0000-0000520A0000}"/>
    <cellStyle name="常规 27 2 3" xfId="2595" xr:uid="{00000000-0005-0000-0000-0000530A0000}"/>
    <cellStyle name="常规 27 2 3 2" xfId="2596" xr:uid="{00000000-0005-0000-0000-0000540A0000}"/>
    <cellStyle name="常规 27 3" xfId="2598" xr:uid="{00000000-0005-0000-0000-0000560A0000}"/>
    <cellStyle name="常规 27 4" xfId="2600" xr:uid="{00000000-0005-0000-0000-0000580A0000}"/>
    <cellStyle name="常规 28" xfId="2602" xr:uid="{00000000-0005-0000-0000-00005A0A0000}"/>
    <cellStyle name="常规 28 2" xfId="2605" xr:uid="{00000000-0005-0000-0000-00005D0A0000}"/>
    <cellStyle name="常规 28 2 2" xfId="957" xr:uid="{00000000-0005-0000-0000-0000ED030000}"/>
    <cellStyle name="常规 28 3" xfId="2608" xr:uid="{00000000-0005-0000-0000-0000600A0000}"/>
    <cellStyle name="常规 29" xfId="2610" xr:uid="{00000000-0005-0000-0000-0000620A0000}"/>
    <cellStyle name="常规 29 2" xfId="2612" xr:uid="{00000000-0005-0000-0000-0000640A0000}"/>
    <cellStyle name="常规 29 2 2" xfId="2614" xr:uid="{00000000-0005-0000-0000-0000660A0000}"/>
    <cellStyle name="常规 29 3" xfId="2616" xr:uid="{00000000-0005-0000-0000-0000680A0000}"/>
    <cellStyle name="常规 3" xfId="2618" xr:uid="{00000000-0005-0000-0000-00006A0A0000}"/>
    <cellStyle name="常规 3 10" xfId="2069" xr:uid="{00000000-0005-0000-0000-000045080000}"/>
    <cellStyle name="常规 3 10 2" xfId="2619" xr:uid="{00000000-0005-0000-0000-00006B0A0000}"/>
    <cellStyle name="常规 3 10 3" xfId="2621" xr:uid="{00000000-0005-0000-0000-00006D0A0000}"/>
    <cellStyle name="常规 3 11" xfId="2071" xr:uid="{00000000-0005-0000-0000-000047080000}"/>
    <cellStyle name="常规 3 11 2" xfId="2622" xr:uid="{00000000-0005-0000-0000-00006E0A0000}"/>
    <cellStyle name="常规 3 11 3" xfId="2623" xr:uid="{00000000-0005-0000-0000-00006F0A0000}"/>
    <cellStyle name="常规 3 12" xfId="2624" xr:uid="{00000000-0005-0000-0000-0000700A0000}"/>
    <cellStyle name="常规 3 12 2" xfId="2625" xr:uid="{00000000-0005-0000-0000-0000710A0000}"/>
    <cellStyle name="常规 3 12 3" xfId="2626" xr:uid="{00000000-0005-0000-0000-0000720A0000}"/>
    <cellStyle name="常规 3 13" xfId="2627" xr:uid="{00000000-0005-0000-0000-0000730A0000}"/>
    <cellStyle name="常规 3 14" xfId="2628" xr:uid="{00000000-0005-0000-0000-0000740A0000}"/>
    <cellStyle name="常规 3 15" xfId="2629" xr:uid="{00000000-0005-0000-0000-0000750A0000}"/>
    <cellStyle name="常规 3 15 2" xfId="2630" xr:uid="{00000000-0005-0000-0000-0000760A0000}"/>
    <cellStyle name="常规 3 15 3" xfId="2631" xr:uid="{00000000-0005-0000-0000-0000770A0000}"/>
    <cellStyle name="常规 3 16" xfId="2632" xr:uid="{00000000-0005-0000-0000-0000780A0000}"/>
    <cellStyle name="常规 3 17" xfId="2633" xr:uid="{00000000-0005-0000-0000-0000790A0000}"/>
    <cellStyle name="常规 3 18" xfId="2634" xr:uid="{00000000-0005-0000-0000-00007A0A0000}"/>
    <cellStyle name="常规 3 19" xfId="2635" xr:uid="{00000000-0005-0000-0000-00007B0A0000}"/>
    <cellStyle name="常规 3 2" xfId="2453" xr:uid="{00000000-0005-0000-0000-0000C5090000}"/>
    <cellStyle name="常规 3 2 10" xfId="2636" xr:uid="{00000000-0005-0000-0000-00007C0A0000}"/>
    <cellStyle name="常规 3 2 11" xfId="2637" xr:uid="{00000000-0005-0000-0000-00007D0A0000}"/>
    <cellStyle name="常规 3 2 12" xfId="625" xr:uid="{00000000-0005-0000-0000-0000A1020000}"/>
    <cellStyle name="常规 3 2 13" xfId="627" xr:uid="{00000000-0005-0000-0000-0000A3020000}"/>
    <cellStyle name="常规 3 2 14" xfId="629" xr:uid="{00000000-0005-0000-0000-0000A5020000}"/>
    <cellStyle name="常规 3 2 15" xfId="2638" xr:uid="{00000000-0005-0000-0000-00007E0A0000}"/>
    <cellStyle name="常规 3 2 16" xfId="2639" xr:uid="{00000000-0005-0000-0000-00007F0A0000}"/>
    <cellStyle name="常规 3 2 17" xfId="102" xr:uid="{00000000-0005-0000-0000-000096000000}"/>
    <cellStyle name="常规 3 2 2" xfId="2640" xr:uid="{00000000-0005-0000-0000-0000800A0000}"/>
    <cellStyle name="常规 3 2 2 2" xfId="2641" xr:uid="{00000000-0005-0000-0000-0000810A0000}"/>
    <cellStyle name="常规 3 2 2 2 2" xfId="2642" xr:uid="{00000000-0005-0000-0000-0000820A0000}"/>
    <cellStyle name="常规 3 2 2 2 3" xfId="2643" xr:uid="{00000000-0005-0000-0000-0000830A0000}"/>
    <cellStyle name="常规 3 2 2 2 4" xfId="2644" xr:uid="{00000000-0005-0000-0000-0000840A0000}"/>
    <cellStyle name="常规 3 2 2 2 5" xfId="2645" xr:uid="{00000000-0005-0000-0000-0000850A0000}"/>
    <cellStyle name="常规 3 2 2 2 6" xfId="2646" xr:uid="{00000000-0005-0000-0000-0000860A0000}"/>
    <cellStyle name="常规 3 2 2 3" xfId="1856" xr:uid="{00000000-0005-0000-0000-000070070000}"/>
    <cellStyle name="常规 3 2 2 4" xfId="537" xr:uid="{00000000-0005-0000-0000-000049020000}"/>
    <cellStyle name="常规 3 2 2 5" xfId="540" xr:uid="{00000000-0005-0000-0000-00004C020000}"/>
    <cellStyle name="常规 3 2 2 6" xfId="2647" xr:uid="{00000000-0005-0000-0000-0000870A0000}"/>
    <cellStyle name="常规 3 2 2 7" xfId="2648" xr:uid="{00000000-0005-0000-0000-0000880A0000}"/>
    <cellStyle name="常规 3 2 2 8" xfId="2649" xr:uid="{00000000-0005-0000-0000-0000890A0000}"/>
    <cellStyle name="常规 3 2 2 9" xfId="2650" xr:uid="{00000000-0005-0000-0000-00008A0A0000}"/>
    <cellStyle name="常规 3 2 3" xfId="2651" xr:uid="{00000000-0005-0000-0000-00008B0A0000}"/>
    <cellStyle name="常规 3 2 3 2" xfId="2652" xr:uid="{00000000-0005-0000-0000-00008C0A0000}"/>
    <cellStyle name="常规 3 2 3 3" xfId="1864" xr:uid="{00000000-0005-0000-0000-000078070000}"/>
    <cellStyle name="常规 3 2 4" xfId="2653" xr:uid="{00000000-0005-0000-0000-00008D0A0000}"/>
    <cellStyle name="常规 3 2 4 2" xfId="2654" xr:uid="{00000000-0005-0000-0000-00008E0A0000}"/>
    <cellStyle name="常规 3 2 4 3" xfId="1879" xr:uid="{00000000-0005-0000-0000-000087070000}"/>
    <cellStyle name="常规 3 2 5" xfId="202" xr:uid="{00000000-0005-0000-0000-0000FA000000}"/>
    <cellStyle name="常规 3 2 5 2" xfId="206" xr:uid="{00000000-0005-0000-0000-0000FE000000}"/>
    <cellStyle name="常规 3 2 5 3" xfId="211" xr:uid="{00000000-0005-0000-0000-000003010000}"/>
    <cellStyle name="常规 3 2 6" xfId="62" xr:uid="{00000000-0005-0000-0000-00005D000000}"/>
    <cellStyle name="常规 3 2 6 2" xfId="2655" xr:uid="{00000000-0005-0000-0000-00008F0A0000}"/>
    <cellStyle name="常规 3 2 6 3" xfId="1913" xr:uid="{00000000-0005-0000-0000-0000A9070000}"/>
    <cellStyle name="常规 3 2 7" xfId="238" xr:uid="{00000000-0005-0000-0000-00001E010000}"/>
    <cellStyle name="常规 3 2 7 2" xfId="2656" xr:uid="{00000000-0005-0000-0000-0000900A0000}"/>
    <cellStyle name="常规 3 2 7 3" xfId="1949" xr:uid="{00000000-0005-0000-0000-0000CD070000}"/>
    <cellStyle name="常规 3 2 8" xfId="241" xr:uid="{00000000-0005-0000-0000-000021010000}"/>
    <cellStyle name="常规 3 2 8 2" xfId="2657" xr:uid="{00000000-0005-0000-0000-0000910A0000}"/>
    <cellStyle name="常规 3 2 8 3" xfId="1977" xr:uid="{00000000-0005-0000-0000-0000E9070000}"/>
    <cellStyle name="常规 3 2 9" xfId="155" xr:uid="{00000000-0005-0000-0000-0000CB000000}"/>
    <cellStyle name="常规 3 2 9 2" xfId="2658" xr:uid="{00000000-0005-0000-0000-0000920A0000}"/>
    <cellStyle name="常规 3 2 9 3" xfId="2004" xr:uid="{00000000-0005-0000-0000-000004080000}"/>
    <cellStyle name="常规 3 3" xfId="2455" xr:uid="{00000000-0005-0000-0000-0000C7090000}"/>
    <cellStyle name="常规 3 3 10" xfId="2659" xr:uid="{00000000-0005-0000-0000-0000930A0000}"/>
    <cellStyle name="常规 3 3 11" xfId="2660" xr:uid="{00000000-0005-0000-0000-0000940A0000}"/>
    <cellStyle name="常规 3 3 12" xfId="2661" xr:uid="{00000000-0005-0000-0000-0000950A0000}"/>
    <cellStyle name="常规 3 3 13" xfId="2663" xr:uid="{00000000-0005-0000-0000-0000970A0000}"/>
    <cellStyle name="常规 3 3 14" xfId="179" xr:uid="{00000000-0005-0000-0000-0000E3000000}"/>
    <cellStyle name="常规 3 3 15" xfId="424" xr:uid="{00000000-0005-0000-0000-0000D8010000}"/>
    <cellStyle name="常规 3 3 16" xfId="2664" xr:uid="{00000000-0005-0000-0000-0000980A0000}"/>
    <cellStyle name="常规 3 3 17" xfId="2665" xr:uid="{00000000-0005-0000-0000-0000990A0000}"/>
    <cellStyle name="常规 3 3 18" xfId="2666" xr:uid="{00000000-0005-0000-0000-00009A0A0000}"/>
    <cellStyle name="常规 3 3 2" xfId="2667" xr:uid="{00000000-0005-0000-0000-00009B0A0000}"/>
    <cellStyle name="常规 3 3 2 2" xfId="2668" xr:uid="{00000000-0005-0000-0000-00009C0A0000}"/>
    <cellStyle name="常规 3 3 2 2 2" xfId="2671" xr:uid="{00000000-0005-0000-0000-00009F0A0000}"/>
    <cellStyle name="常规 3 3 2 2 3" xfId="2675" xr:uid="{00000000-0005-0000-0000-0000A30A0000}"/>
    <cellStyle name="常规 3 3 2 3" xfId="2676" xr:uid="{00000000-0005-0000-0000-0000A40A0000}"/>
    <cellStyle name="常规 3 3 2 4" xfId="2677" xr:uid="{00000000-0005-0000-0000-0000A50A0000}"/>
    <cellStyle name="常规 3 3 2 5" xfId="2678" xr:uid="{00000000-0005-0000-0000-0000A60A0000}"/>
    <cellStyle name="常规 3 3 2 6" xfId="2679" xr:uid="{00000000-0005-0000-0000-0000A70A0000}"/>
    <cellStyle name="常规 3 3 2 7" xfId="2680" xr:uid="{00000000-0005-0000-0000-0000A80A0000}"/>
    <cellStyle name="常规 3 3 2 7 2" xfId="2681" xr:uid="{00000000-0005-0000-0000-0000A90A0000}"/>
    <cellStyle name="常规 3 3 2 8" xfId="2682" xr:uid="{00000000-0005-0000-0000-0000AA0A0000}"/>
    <cellStyle name="常规 3 3 3" xfId="2683" xr:uid="{00000000-0005-0000-0000-0000AB0A0000}"/>
    <cellStyle name="常规 3 3 3 2" xfId="2684" xr:uid="{00000000-0005-0000-0000-0000AC0A0000}"/>
    <cellStyle name="常规 3 3 3 3" xfId="2685" xr:uid="{00000000-0005-0000-0000-0000AD0A0000}"/>
    <cellStyle name="常规 3 3 4" xfId="2686" xr:uid="{00000000-0005-0000-0000-0000AE0A0000}"/>
    <cellStyle name="常规 3 3 4 2" xfId="2687" xr:uid="{00000000-0005-0000-0000-0000AF0A0000}"/>
    <cellStyle name="常规 3 3 4 3" xfId="2688" xr:uid="{00000000-0005-0000-0000-0000B00A0000}"/>
    <cellStyle name="常规 3 3 5" xfId="248" xr:uid="{00000000-0005-0000-0000-000028010000}"/>
    <cellStyle name="常规 3 3 5 2" xfId="252" xr:uid="{00000000-0005-0000-0000-00002C010000}"/>
    <cellStyle name="常规 3 3 5 3" xfId="256" xr:uid="{00000000-0005-0000-0000-000030010000}"/>
    <cellStyle name="常规 3 3 6" xfId="274" xr:uid="{00000000-0005-0000-0000-000042010000}"/>
    <cellStyle name="常规 3 3 6 2" xfId="2689" xr:uid="{00000000-0005-0000-0000-0000B10A0000}"/>
    <cellStyle name="常规 3 3 6 3" xfId="2690" xr:uid="{00000000-0005-0000-0000-0000B20A0000}"/>
    <cellStyle name="常规 3 3 7" xfId="277" xr:uid="{00000000-0005-0000-0000-000045010000}"/>
    <cellStyle name="常规 3 3 7 2" xfId="2691" xr:uid="{00000000-0005-0000-0000-0000B30A0000}"/>
    <cellStyle name="常规 3 3 8" xfId="18" xr:uid="{00000000-0005-0000-0000-00001F000000}"/>
    <cellStyle name="常规 3 3 9" xfId="280" xr:uid="{00000000-0005-0000-0000-000048010000}"/>
    <cellStyle name="常规 3 4" xfId="2457" xr:uid="{00000000-0005-0000-0000-0000C9090000}"/>
    <cellStyle name="常规 3 4 2" xfId="2692" xr:uid="{00000000-0005-0000-0000-0000B40A0000}"/>
    <cellStyle name="常规 3 4 2 2" xfId="2693" xr:uid="{00000000-0005-0000-0000-0000B50A0000}"/>
    <cellStyle name="常规 3 4 2 2 2" xfId="2694" xr:uid="{00000000-0005-0000-0000-0000B60A0000}"/>
    <cellStyle name="常规 3 4 2 2 3" xfId="2696" xr:uid="{00000000-0005-0000-0000-0000B80A0000}"/>
    <cellStyle name="常规 3 4 2 3" xfId="2697" xr:uid="{00000000-0005-0000-0000-0000B90A0000}"/>
    <cellStyle name="常规 3 4 2 4" xfId="2698" xr:uid="{00000000-0005-0000-0000-0000BA0A0000}"/>
    <cellStyle name="常规 3 4 2 4 2" xfId="2699" xr:uid="{00000000-0005-0000-0000-0000BB0A0000}"/>
    <cellStyle name="常规 3 4 2 5" xfId="2700" xr:uid="{00000000-0005-0000-0000-0000BC0A0000}"/>
    <cellStyle name="常规 3 4 3" xfId="7" xr:uid="{00000000-0005-0000-0000-00000B000000}"/>
    <cellStyle name="常规 3 4 3 2" xfId="2702" xr:uid="{00000000-0005-0000-0000-0000BE0A0000}"/>
    <cellStyle name="常规 3 4 3 3" xfId="2704" xr:uid="{00000000-0005-0000-0000-0000C00A0000}"/>
    <cellStyle name="常规 3 4 4" xfId="2705" xr:uid="{00000000-0005-0000-0000-0000C10A0000}"/>
    <cellStyle name="常规 3 4 5" xfId="300" xr:uid="{00000000-0005-0000-0000-00005C010000}"/>
    <cellStyle name="常规 3 4 6" xfId="317" xr:uid="{00000000-0005-0000-0000-00006D010000}"/>
    <cellStyle name="常规 3 4 7" xfId="321" xr:uid="{00000000-0005-0000-0000-000071010000}"/>
    <cellStyle name="常规 3 4 8" xfId="325" xr:uid="{00000000-0005-0000-0000-000075010000}"/>
    <cellStyle name="常规 3 5" xfId="2459" xr:uid="{00000000-0005-0000-0000-0000CB090000}"/>
    <cellStyle name="常规 3 5 2" xfId="2706" xr:uid="{00000000-0005-0000-0000-0000C20A0000}"/>
    <cellStyle name="常规 3 5 3" xfId="2707" xr:uid="{00000000-0005-0000-0000-0000C30A0000}"/>
    <cellStyle name="常规 3 5 3 2" xfId="994" xr:uid="{00000000-0005-0000-0000-000012040000}"/>
    <cellStyle name="常规 3 5 4" xfId="2708" xr:uid="{00000000-0005-0000-0000-0000C40A0000}"/>
    <cellStyle name="常规 3 5 5" xfId="346" xr:uid="{00000000-0005-0000-0000-00008A010000}"/>
    <cellStyle name="常规 3 6" xfId="2461" xr:uid="{00000000-0005-0000-0000-0000CD090000}"/>
    <cellStyle name="常规 3 6 2" xfId="2709" xr:uid="{00000000-0005-0000-0000-0000C50A0000}"/>
    <cellStyle name="常规 3 6 3" xfId="2710" xr:uid="{00000000-0005-0000-0000-0000C60A0000}"/>
    <cellStyle name="常规 3 6 4" xfId="2711" xr:uid="{00000000-0005-0000-0000-0000C70A0000}"/>
    <cellStyle name="常规 3 6 5" xfId="2712" xr:uid="{00000000-0005-0000-0000-0000C80A0000}"/>
    <cellStyle name="常规 3 7" xfId="1421" xr:uid="{00000000-0005-0000-0000-0000BD050000}"/>
    <cellStyle name="常规 3 7 2" xfId="2713" xr:uid="{00000000-0005-0000-0000-0000C90A0000}"/>
    <cellStyle name="常规 3 7 3" xfId="2714" xr:uid="{00000000-0005-0000-0000-0000CA0A0000}"/>
    <cellStyle name="常规 3 8" xfId="2715" xr:uid="{00000000-0005-0000-0000-0000CB0A0000}"/>
    <cellStyle name="常规 3 8 2" xfId="2716" xr:uid="{00000000-0005-0000-0000-0000CC0A0000}"/>
    <cellStyle name="常规 3 8 3" xfId="2717" xr:uid="{00000000-0005-0000-0000-0000CD0A0000}"/>
    <cellStyle name="常规 3 9" xfId="2718" xr:uid="{00000000-0005-0000-0000-0000CE0A0000}"/>
    <cellStyle name="常规 3 9 2" xfId="2719" xr:uid="{00000000-0005-0000-0000-0000CF0A0000}"/>
    <cellStyle name="常规 3 9 3" xfId="2720" xr:uid="{00000000-0005-0000-0000-0000D00A0000}"/>
    <cellStyle name="常规 30" xfId="2558" xr:uid="{00000000-0005-0000-0000-00002E0A0000}"/>
    <cellStyle name="常规 30 2" xfId="1918" xr:uid="{00000000-0005-0000-0000-0000AE070000}"/>
    <cellStyle name="常规 30 2 2" xfId="2572" xr:uid="{00000000-0005-0000-0000-00003C0A0000}"/>
    <cellStyle name="常规 30 2 3" xfId="2574" xr:uid="{00000000-0005-0000-0000-00003E0A0000}"/>
    <cellStyle name="常规 30 2 3 2" xfId="2578" xr:uid="{00000000-0005-0000-0000-0000420A0000}"/>
    <cellStyle name="常规 30 3" xfId="1924" xr:uid="{00000000-0005-0000-0000-0000B4070000}"/>
    <cellStyle name="常规 30 4" xfId="1930" xr:uid="{00000000-0005-0000-0000-0000BA070000}"/>
    <cellStyle name="常规 31" xfId="2586" xr:uid="{00000000-0005-0000-0000-00004A0A0000}"/>
    <cellStyle name="常规 31 10" xfId="2721" xr:uid="{00000000-0005-0000-0000-0000D10A0000}"/>
    <cellStyle name="常规 31 11" xfId="2722" xr:uid="{00000000-0005-0000-0000-0000D20A0000}"/>
    <cellStyle name="常规 31 12" xfId="2723" xr:uid="{00000000-0005-0000-0000-0000D30A0000}"/>
    <cellStyle name="常规 31 13" xfId="35" xr:uid="{00000000-0005-0000-0000-000036000000}"/>
    <cellStyle name="常规 31 14" xfId="38" xr:uid="{00000000-0005-0000-0000-00003A000000}"/>
    <cellStyle name="常规 31 15" xfId="45" xr:uid="{00000000-0005-0000-0000-000043000000}"/>
    <cellStyle name="常规 31 16" xfId="22" xr:uid="{00000000-0005-0000-0000-000025000000}"/>
    <cellStyle name="常规 31 16 2" xfId="716" xr:uid="{00000000-0005-0000-0000-0000FC020000}"/>
    <cellStyle name="常规 31 16 2 2" xfId="85" xr:uid="{00000000-0005-0000-0000-000085000000}"/>
    <cellStyle name="常规 31 16 3" xfId="771" xr:uid="{00000000-0005-0000-0000-000033030000}"/>
    <cellStyle name="常规 31 17" xfId="723" xr:uid="{00000000-0005-0000-0000-000003030000}"/>
    <cellStyle name="常规 31 17 2" xfId="773" xr:uid="{00000000-0005-0000-0000-000035030000}"/>
    <cellStyle name="常规 31 17 3" xfId="775" xr:uid="{00000000-0005-0000-0000-000037030000}"/>
    <cellStyle name="常规 31 17 4" xfId="68" xr:uid="{00000000-0005-0000-0000-000067000000}"/>
    <cellStyle name="常规 31 18" xfId="726" xr:uid="{00000000-0005-0000-0000-000006030000}"/>
    <cellStyle name="常规 31 2" xfId="9" xr:uid="{00000000-0005-0000-0000-00000E000000}"/>
    <cellStyle name="常规 31 2 2" xfId="474" xr:uid="{00000000-0005-0000-0000-00000A020000}"/>
    <cellStyle name="常规 31 2 3" xfId="490" xr:uid="{00000000-0005-0000-0000-00001A020000}"/>
    <cellStyle name="常规 31 2 3 2" xfId="2557" xr:uid="{00000000-0005-0000-0000-00002D0A0000}"/>
    <cellStyle name="常规 31 3" xfId="76" xr:uid="{00000000-0005-0000-0000-000076000000}"/>
    <cellStyle name="常规 31 4" xfId="79" xr:uid="{00000000-0005-0000-0000-00007B000000}"/>
    <cellStyle name="常规 31 5" xfId="82" xr:uid="{00000000-0005-0000-0000-000081000000}"/>
    <cellStyle name="常规 31 6" xfId="2724" xr:uid="{00000000-0005-0000-0000-0000D40A0000}"/>
    <cellStyle name="常规 31 7" xfId="2725" xr:uid="{00000000-0005-0000-0000-0000D50A0000}"/>
    <cellStyle name="常规 31 8" xfId="2726" xr:uid="{00000000-0005-0000-0000-0000D60A0000}"/>
    <cellStyle name="常规 31 9" xfId="2727" xr:uid="{00000000-0005-0000-0000-0000D70A0000}"/>
    <cellStyle name="常规 32" xfId="2588" xr:uid="{00000000-0005-0000-0000-00004C0A0000}"/>
    <cellStyle name="常规 32 10" xfId="2729" xr:uid="{00000000-0005-0000-0000-0000D90A0000}"/>
    <cellStyle name="常规 32 11" xfId="2730" xr:uid="{00000000-0005-0000-0000-0000DA0A0000}"/>
    <cellStyle name="常规 32 12" xfId="2731" xr:uid="{00000000-0005-0000-0000-0000DB0A0000}"/>
    <cellStyle name="常规 32 13" xfId="2732" xr:uid="{00000000-0005-0000-0000-0000DC0A0000}"/>
    <cellStyle name="常规 32 14" xfId="2733" xr:uid="{00000000-0005-0000-0000-0000DD0A0000}"/>
    <cellStyle name="常规 32 15" xfId="2734" xr:uid="{00000000-0005-0000-0000-0000DE0A0000}"/>
    <cellStyle name="常规 32 16" xfId="2735" xr:uid="{00000000-0005-0000-0000-0000DF0A0000}"/>
    <cellStyle name="常规 32 16 2" xfId="2491" xr:uid="{00000000-0005-0000-0000-0000EB090000}"/>
    <cellStyle name="常规 32 16 2 2" xfId="2736" xr:uid="{00000000-0005-0000-0000-0000E00A0000}"/>
    <cellStyle name="常规 32 16 3" xfId="2591" xr:uid="{00000000-0005-0000-0000-00004F0A0000}"/>
    <cellStyle name="常规 32 17" xfId="2737" xr:uid="{00000000-0005-0000-0000-0000E10A0000}"/>
    <cellStyle name="常规 32 2" xfId="2590" xr:uid="{00000000-0005-0000-0000-00004E0A0000}"/>
    <cellStyle name="常规 32 2 2" xfId="2593" xr:uid="{00000000-0005-0000-0000-0000510A0000}"/>
    <cellStyle name="常规 32 3" xfId="2597" xr:uid="{00000000-0005-0000-0000-0000550A0000}"/>
    <cellStyle name="常规 32 4" xfId="2599" xr:uid="{00000000-0005-0000-0000-0000570A0000}"/>
    <cellStyle name="常规 32 5" xfId="2738" xr:uid="{00000000-0005-0000-0000-0000E20A0000}"/>
    <cellStyle name="常规 32 6" xfId="2739" xr:uid="{00000000-0005-0000-0000-0000E30A0000}"/>
    <cellStyle name="常规 32 7" xfId="2740" xr:uid="{00000000-0005-0000-0000-0000E40A0000}"/>
    <cellStyle name="常规 32 8" xfId="2741" xr:uid="{00000000-0005-0000-0000-0000E50A0000}"/>
    <cellStyle name="常规 32 9" xfId="2742" xr:uid="{00000000-0005-0000-0000-0000E60A0000}"/>
    <cellStyle name="常规 33" xfId="2601" xr:uid="{00000000-0005-0000-0000-0000590A0000}"/>
    <cellStyle name="常规 33 10" xfId="2743" xr:uid="{00000000-0005-0000-0000-0000E70A0000}"/>
    <cellStyle name="常规 33 11" xfId="2744" xr:uid="{00000000-0005-0000-0000-0000E80A0000}"/>
    <cellStyle name="常规 33 12" xfId="2746" xr:uid="{00000000-0005-0000-0000-0000EA0A0000}"/>
    <cellStyle name="常规 33 13" xfId="2749" xr:uid="{00000000-0005-0000-0000-0000ED0A0000}"/>
    <cellStyle name="常规 33 14" xfId="2751" xr:uid="{00000000-0005-0000-0000-0000EF0A0000}"/>
    <cellStyle name="常规 33 15" xfId="2752" xr:uid="{00000000-0005-0000-0000-0000F00A0000}"/>
    <cellStyle name="常规 33 16" xfId="2753" xr:uid="{00000000-0005-0000-0000-0000F10A0000}"/>
    <cellStyle name="常规 33 16 2" xfId="2755" xr:uid="{00000000-0005-0000-0000-0000F30A0000}"/>
    <cellStyle name="常规 33 16 2 2" xfId="2757" xr:uid="{00000000-0005-0000-0000-0000F50A0000}"/>
    <cellStyle name="常规 33 16 3" xfId="2761" xr:uid="{00000000-0005-0000-0000-0000F90A0000}"/>
    <cellStyle name="常规 33 17" xfId="2763" xr:uid="{00000000-0005-0000-0000-0000FB0A0000}"/>
    <cellStyle name="常规 33 2" xfId="2604" xr:uid="{00000000-0005-0000-0000-00005C0A0000}"/>
    <cellStyle name="常规 33 2 2" xfId="956" xr:uid="{00000000-0005-0000-0000-0000EC030000}"/>
    <cellStyle name="常规 33 3" xfId="2607" xr:uid="{00000000-0005-0000-0000-00005F0A0000}"/>
    <cellStyle name="常规 33 4" xfId="2764" xr:uid="{00000000-0005-0000-0000-0000FC0A0000}"/>
    <cellStyle name="常规 33 5" xfId="2765" xr:uid="{00000000-0005-0000-0000-0000FD0A0000}"/>
    <cellStyle name="常规 33 6" xfId="2767" xr:uid="{00000000-0005-0000-0000-0000FF0A0000}"/>
    <cellStyle name="常规 33 7" xfId="2769" xr:uid="{00000000-0005-0000-0000-0000010B0000}"/>
    <cellStyle name="常规 33 8" xfId="2771" xr:uid="{00000000-0005-0000-0000-0000030B0000}"/>
    <cellStyle name="常规 33 9" xfId="2773" xr:uid="{00000000-0005-0000-0000-0000050B0000}"/>
    <cellStyle name="常规 34" xfId="2609" xr:uid="{00000000-0005-0000-0000-0000610A0000}"/>
    <cellStyle name="常规 34 10" xfId="416" xr:uid="{00000000-0005-0000-0000-0000D0010000}"/>
    <cellStyle name="常规 34 11" xfId="251" xr:uid="{00000000-0005-0000-0000-00002B010000}"/>
    <cellStyle name="常规 34 12" xfId="255" xr:uid="{00000000-0005-0000-0000-00002F010000}"/>
    <cellStyle name="常规 34 13" xfId="265" xr:uid="{00000000-0005-0000-0000-000039010000}"/>
    <cellStyle name="常规 34 14" xfId="267" xr:uid="{00000000-0005-0000-0000-00003B010000}"/>
    <cellStyle name="常规 34 15" xfId="272" xr:uid="{00000000-0005-0000-0000-000040010000}"/>
    <cellStyle name="常规 34 16" xfId="844" xr:uid="{00000000-0005-0000-0000-00007C030000}"/>
    <cellStyle name="常规 34 16 2" xfId="2774" xr:uid="{00000000-0005-0000-0000-0000060B0000}"/>
    <cellStyle name="常规 34 16 2 2" xfId="2775" xr:uid="{00000000-0005-0000-0000-0000070B0000}"/>
    <cellStyle name="常规 34 16 3" xfId="2778" xr:uid="{00000000-0005-0000-0000-00000A0B0000}"/>
    <cellStyle name="常规 34 17" xfId="846" xr:uid="{00000000-0005-0000-0000-00007E030000}"/>
    <cellStyle name="常规 34 2" xfId="2611" xr:uid="{00000000-0005-0000-0000-0000630A0000}"/>
    <cellStyle name="常规 34 2 2" xfId="2613" xr:uid="{00000000-0005-0000-0000-0000650A0000}"/>
    <cellStyle name="常规 34 3" xfId="2615" xr:uid="{00000000-0005-0000-0000-0000670A0000}"/>
    <cellStyle name="常规 34 4" xfId="87" xr:uid="{00000000-0005-0000-0000-000087000000}"/>
    <cellStyle name="常规 34 5" xfId="2779" xr:uid="{00000000-0005-0000-0000-00000B0B0000}"/>
    <cellStyle name="常规 34 6" xfId="2781" xr:uid="{00000000-0005-0000-0000-00000D0B0000}"/>
    <cellStyle name="常规 34 7" xfId="2783" xr:uid="{00000000-0005-0000-0000-00000F0B0000}"/>
    <cellStyle name="常规 34 8" xfId="2785" xr:uid="{00000000-0005-0000-0000-0000110B0000}"/>
    <cellStyle name="常规 34 9" xfId="2787" xr:uid="{00000000-0005-0000-0000-0000130B0000}"/>
    <cellStyle name="常规 35" xfId="2789" xr:uid="{00000000-0005-0000-0000-0000150B0000}"/>
    <cellStyle name="常规 35 10" xfId="2078" xr:uid="{00000000-0005-0000-0000-00004E080000}"/>
    <cellStyle name="常规 35 11" xfId="2084" xr:uid="{00000000-0005-0000-0000-000054080000}"/>
    <cellStyle name="常规 35 12" xfId="2088" xr:uid="{00000000-0005-0000-0000-000058080000}"/>
    <cellStyle name="常规 35 13" xfId="2095" xr:uid="{00000000-0005-0000-0000-00005F080000}"/>
    <cellStyle name="常规 35 14" xfId="2099" xr:uid="{00000000-0005-0000-0000-000063080000}"/>
    <cellStyle name="常规 35 15" xfId="2103" xr:uid="{00000000-0005-0000-0000-000067080000}"/>
    <cellStyle name="常规 35 16" xfId="2107" xr:uid="{00000000-0005-0000-0000-00006B080000}"/>
    <cellStyle name="常规 35 16 2" xfId="2791" xr:uid="{00000000-0005-0000-0000-0000170B0000}"/>
    <cellStyle name="常规 35 16 2 2" xfId="2226" xr:uid="{00000000-0005-0000-0000-0000E2080000}"/>
    <cellStyle name="常规 35 16 3" xfId="2793" xr:uid="{00000000-0005-0000-0000-0000190B0000}"/>
    <cellStyle name="常规 35 17" xfId="2111" xr:uid="{00000000-0005-0000-0000-00006F080000}"/>
    <cellStyle name="常规 35 2" xfId="2795" xr:uid="{00000000-0005-0000-0000-00001B0B0000}"/>
    <cellStyle name="常规 35 2 2" xfId="2797" xr:uid="{00000000-0005-0000-0000-00001D0B0000}"/>
    <cellStyle name="常规 35 3" xfId="2799" xr:uid="{00000000-0005-0000-0000-00001F0B0000}"/>
    <cellStyle name="常规 35 4" xfId="2801" xr:uid="{00000000-0005-0000-0000-0000210B0000}"/>
    <cellStyle name="常规 35 5" xfId="2803" xr:uid="{00000000-0005-0000-0000-0000230B0000}"/>
    <cellStyle name="常规 35 6" xfId="2806" xr:uid="{00000000-0005-0000-0000-0000260B0000}"/>
    <cellStyle name="常规 35 7" xfId="2809" xr:uid="{00000000-0005-0000-0000-0000290B0000}"/>
    <cellStyle name="常规 35 8" xfId="2811" xr:uid="{00000000-0005-0000-0000-00002B0B0000}"/>
    <cellStyle name="常规 35 9" xfId="2814" xr:uid="{00000000-0005-0000-0000-00002E0B0000}"/>
    <cellStyle name="常规 36" xfId="2816" xr:uid="{00000000-0005-0000-0000-0000300B0000}"/>
    <cellStyle name="常规 36 10" xfId="2818" xr:uid="{00000000-0005-0000-0000-0000320B0000}"/>
    <cellStyle name="常规 36 11" xfId="2820" xr:uid="{00000000-0005-0000-0000-0000340B0000}"/>
    <cellStyle name="常规 36 12" xfId="2822" xr:uid="{00000000-0005-0000-0000-0000360B0000}"/>
    <cellStyle name="常规 36 13" xfId="2824" xr:uid="{00000000-0005-0000-0000-0000380B0000}"/>
    <cellStyle name="常规 36 14" xfId="2826" xr:uid="{00000000-0005-0000-0000-00003A0B0000}"/>
    <cellStyle name="常规 36 15" xfId="2828" xr:uid="{00000000-0005-0000-0000-00003C0B0000}"/>
    <cellStyle name="常规 36 16" xfId="2830" xr:uid="{00000000-0005-0000-0000-00003E0B0000}"/>
    <cellStyle name="常规 36 16 2" xfId="561" xr:uid="{00000000-0005-0000-0000-000061020000}"/>
    <cellStyle name="常规 36 16 2 2" xfId="2831" xr:uid="{00000000-0005-0000-0000-00003F0B0000}"/>
    <cellStyle name="常规 36 16 3" xfId="2832" xr:uid="{00000000-0005-0000-0000-0000400B0000}"/>
    <cellStyle name="常规 36 17" xfId="2834" xr:uid="{00000000-0005-0000-0000-0000420B0000}"/>
    <cellStyle name="常规 36 18" xfId="2029" xr:uid="{00000000-0005-0000-0000-00001D080000}"/>
    <cellStyle name="常规 36 2" xfId="2836" xr:uid="{00000000-0005-0000-0000-0000440B0000}"/>
    <cellStyle name="常规 36 2 2" xfId="546" xr:uid="{00000000-0005-0000-0000-000052020000}"/>
    <cellStyle name="常规 36 2 3" xfId="552" xr:uid="{00000000-0005-0000-0000-000058020000}"/>
    <cellStyle name="常规 36 2 3 2" xfId="674" xr:uid="{00000000-0005-0000-0000-0000D2020000}"/>
    <cellStyle name="常规 36 2 4" xfId="53" xr:uid="{00000000-0005-0000-0000-000051000000}"/>
    <cellStyle name="常规 36 2 5" xfId="2838" xr:uid="{00000000-0005-0000-0000-0000460B0000}"/>
    <cellStyle name="常规 36 2 5 2" xfId="2310" xr:uid="{00000000-0005-0000-0000-000036090000}"/>
    <cellStyle name="常规 36 3" xfId="2840" xr:uid="{00000000-0005-0000-0000-0000480B0000}"/>
    <cellStyle name="常规 36 4" xfId="2842" xr:uid="{00000000-0005-0000-0000-00004A0B0000}"/>
    <cellStyle name="常规 36 5" xfId="2844" xr:uid="{00000000-0005-0000-0000-00004C0B0000}"/>
    <cellStyle name="常规 36 6" xfId="2847" xr:uid="{00000000-0005-0000-0000-00004F0B0000}"/>
    <cellStyle name="常规 36 7" xfId="2850" xr:uid="{00000000-0005-0000-0000-0000520B0000}"/>
    <cellStyle name="常规 36 8" xfId="2852" xr:uid="{00000000-0005-0000-0000-0000540B0000}"/>
    <cellStyle name="常规 36 9" xfId="2854" xr:uid="{00000000-0005-0000-0000-0000560B0000}"/>
    <cellStyle name="常规 37" xfId="2856" xr:uid="{00000000-0005-0000-0000-0000580B0000}"/>
    <cellStyle name="常规 37 10" xfId="2858" xr:uid="{00000000-0005-0000-0000-00005A0B0000}"/>
    <cellStyle name="常规 37 11" xfId="362" xr:uid="{00000000-0005-0000-0000-00009A010000}"/>
    <cellStyle name="常规 37 12" xfId="2861" xr:uid="{00000000-0005-0000-0000-00005D0B0000}"/>
    <cellStyle name="常规 37 13" xfId="2863" xr:uid="{00000000-0005-0000-0000-00005F0B0000}"/>
    <cellStyle name="常规 37 14" xfId="2865" xr:uid="{00000000-0005-0000-0000-0000610B0000}"/>
    <cellStyle name="常规 37 15" xfId="2867" xr:uid="{00000000-0005-0000-0000-0000630B0000}"/>
    <cellStyle name="常规 37 16" xfId="2869" xr:uid="{00000000-0005-0000-0000-0000650B0000}"/>
    <cellStyle name="常规 37 16 2" xfId="2361" xr:uid="{00000000-0005-0000-0000-000069090000}"/>
    <cellStyle name="常规 37 16 2 2" xfId="2870" xr:uid="{00000000-0005-0000-0000-0000660B0000}"/>
    <cellStyle name="常规 37 16 3" xfId="2871" xr:uid="{00000000-0005-0000-0000-0000670B0000}"/>
    <cellStyle name="常规 37 17" xfId="2873" xr:uid="{00000000-0005-0000-0000-0000690B0000}"/>
    <cellStyle name="常规 37 2" xfId="430" xr:uid="{00000000-0005-0000-0000-0000DE010000}"/>
    <cellStyle name="常规 37 2 2" xfId="2875" xr:uid="{00000000-0005-0000-0000-00006B0B0000}"/>
    <cellStyle name="常规 37 3" xfId="2877" xr:uid="{00000000-0005-0000-0000-00006D0B0000}"/>
    <cellStyle name="常规 37 4" xfId="2879" xr:uid="{00000000-0005-0000-0000-00006F0B0000}"/>
    <cellStyle name="常规 37 5" xfId="2881" xr:uid="{00000000-0005-0000-0000-0000710B0000}"/>
    <cellStyle name="常规 37 6" xfId="1089" xr:uid="{00000000-0005-0000-0000-000071040000}"/>
    <cellStyle name="常规 37 7" xfId="2884" xr:uid="{00000000-0005-0000-0000-0000740B0000}"/>
    <cellStyle name="常规 37 8" xfId="2886" xr:uid="{00000000-0005-0000-0000-0000760B0000}"/>
    <cellStyle name="常规 37 9" xfId="2888" xr:uid="{00000000-0005-0000-0000-0000780B0000}"/>
    <cellStyle name="常规 38" xfId="2891" xr:uid="{00000000-0005-0000-0000-00007B0B0000}"/>
    <cellStyle name="常规 38 10" xfId="2760" xr:uid="{00000000-0005-0000-0000-0000F80A0000}"/>
    <cellStyle name="常规 38 11" xfId="2894" xr:uid="{00000000-0005-0000-0000-00007E0B0000}"/>
    <cellStyle name="常规 38 12" xfId="2898" xr:uid="{00000000-0005-0000-0000-0000820B0000}"/>
    <cellStyle name="常规 38 13" xfId="2902" xr:uid="{00000000-0005-0000-0000-0000860B0000}"/>
    <cellStyle name="常规 38 14" xfId="2907" xr:uid="{00000000-0005-0000-0000-00008B0B0000}"/>
    <cellStyle name="常规 38 15" xfId="2911" xr:uid="{00000000-0005-0000-0000-00008F0B0000}"/>
    <cellStyle name="常规 38 16" xfId="2915" xr:uid="{00000000-0005-0000-0000-0000930B0000}"/>
    <cellStyle name="常规 38 16 2" xfId="2916" xr:uid="{00000000-0005-0000-0000-0000940B0000}"/>
    <cellStyle name="常规 38 16 2 2" xfId="2917" xr:uid="{00000000-0005-0000-0000-0000950B0000}"/>
    <cellStyle name="常规 38 16 3" xfId="2918" xr:uid="{00000000-0005-0000-0000-0000960B0000}"/>
    <cellStyle name="常规 38 17" xfId="2922" xr:uid="{00000000-0005-0000-0000-00009A0B0000}"/>
    <cellStyle name="常规 38 2" xfId="2924" xr:uid="{00000000-0005-0000-0000-00009C0B0000}"/>
    <cellStyle name="常规 38 2 2" xfId="1093" xr:uid="{00000000-0005-0000-0000-000075040000}"/>
    <cellStyle name="常规 38 3" xfId="2926" xr:uid="{00000000-0005-0000-0000-00009E0B0000}"/>
    <cellStyle name="常规 38 4" xfId="2928" xr:uid="{00000000-0005-0000-0000-0000A00B0000}"/>
    <cellStyle name="常规 38 5" xfId="2670" xr:uid="{00000000-0005-0000-0000-00009E0A0000}"/>
    <cellStyle name="常规 38 6" xfId="2674" xr:uid="{00000000-0005-0000-0000-0000A20A0000}"/>
    <cellStyle name="常规 38 7" xfId="2931" xr:uid="{00000000-0005-0000-0000-0000A30B0000}"/>
    <cellStyle name="常规 38 8" xfId="2933" xr:uid="{00000000-0005-0000-0000-0000A50B0000}"/>
    <cellStyle name="常规 38 9" xfId="2935" xr:uid="{00000000-0005-0000-0000-0000A70B0000}"/>
    <cellStyle name="常规 39" xfId="6" xr:uid="{00000000-0005-0000-0000-000008000000}"/>
    <cellStyle name="常规 39 10" xfId="593" xr:uid="{00000000-0005-0000-0000-000081020000}"/>
    <cellStyle name="常规 39 11" xfId="302" xr:uid="{00000000-0005-0000-0000-00005E010000}"/>
    <cellStyle name="常规 39 12" xfId="304" xr:uid="{00000000-0005-0000-0000-000060010000}"/>
    <cellStyle name="常规 39 13" xfId="310" xr:uid="{00000000-0005-0000-0000-000066010000}"/>
    <cellStyle name="常规 39 14" xfId="312" xr:uid="{00000000-0005-0000-0000-000068010000}"/>
    <cellStyle name="常规 39 15" xfId="315" xr:uid="{00000000-0005-0000-0000-00006B010000}"/>
    <cellStyle name="常规 39 16" xfId="976" xr:uid="{00000000-0005-0000-0000-000000040000}"/>
    <cellStyle name="常规 39 16 2" xfId="978" xr:uid="{00000000-0005-0000-0000-000002040000}"/>
    <cellStyle name="常规 39 16 2 2" xfId="1620" xr:uid="{00000000-0005-0000-0000-000084060000}"/>
    <cellStyle name="常规 39 16 3" xfId="982" xr:uid="{00000000-0005-0000-0000-000006040000}"/>
    <cellStyle name="常规 39 17" xfId="986" xr:uid="{00000000-0005-0000-0000-00000A040000}"/>
    <cellStyle name="常规 39 2" xfId="2938" xr:uid="{00000000-0005-0000-0000-0000AA0B0000}"/>
    <cellStyle name="常规 39 2 2" xfId="1658" xr:uid="{00000000-0005-0000-0000-0000AA060000}"/>
    <cellStyle name="常规 39 3" xfId="2940" xr:uid="{00000000-0005-0000-0000-0000AC0B0000}"/>
    <cellStyle name="常规 39 4" xfId="2942" xr:uid="{00000000-0005-0000-0000-0000AE0B0000}"/>
    <cellStyle name="常规 39 5" xfId="2944" xr:uid="{00000000-0005-0000-0000-0000B00B0000}"/>
    <cellStyle name="常规 39 6" xfId="2948" xr:uid="{00000000-0005-0000-0000-0000B40B0000}"/>
    <cellStyle name="常规 39 7" xfId="2951" xr:uid="{00000000-0005-0000-0000-0000B70B0000}"/>
    <cellStyle name="常规 39 8" xfId="2952" xr:uid="{00000000-0005-0000-0000-0000B80B0000}"/>
    <cellStyle name="常规 39 9" xfId="2953" xr:uid="{00000000-0005-0000-0000-0000B90B0000}"/>
    <cellStyle name="常规 4" xfId="2954" xr:uid="{00000000-0005-0000-0000-0000BA0B0000}"/>
    <cellStyle name="常规 4 10" xfId="2955" xr:uid="{00000000-0005-0000-0000-0000BB0B0000}"/>
    <cellStyle name="常规 4 10 2" xfId="1980" xr:uid="{00000000-0005-0000-0000-0000EC070000}"/>
    <cellStyle name="常规 4 10 3" xfId="1985" xr:uid="{00000000-0005-0000-0000-0000F1070000}"/>
    <cellStyle name="常规 4 11" xfId="2956" xr:uid="{00000000-0005-0000-0000-0000BC0B0000}"/>
    <cellStyle name="常规 4 11 2" xfId="2957" xr:uid="{00000000-0005-0000-0000-0000BD0B0000}"/>
    <cellStyle name="常规 4 11 3" xfId="2958" xr:uid="{00000000-0005-0000-0000-0000BE0B0000}"/>
    <cellStyle name="常规 4 12" xfId="1063" xr:uid="{00000000-0005-0000-0000-000057040000}"/>
    <cellStyle name="常规 4 12 2" xfId="1065" xr:uid="{00000000-0005-0000-0000-000059040000}"/>
    <cellStyle name="常规 4 12 3" xfId="1067" xr:uid="{00000000-0005-0000-0000-00005B040000}"/>
    <cellStyle name="常规 4 13" xfId="1069" xr:uid="{00000000-0005-0000-0000-00005D040000}"/>
    <cellStyle name="常规 4 13 2" xfId="1072" xr:uid="{00000000-0005-0000-0000-000060040000}"/>
    <cellStyle name="常规 4 13 3" xfId="2959" xr:uid="{00000000-0005-0000-0000-0000BF0B0000}"/>
    <cellStyle name="常规 4 14" xfId="1074" xr:uid="{00000000-0005-0000-0000-000062040000}"/>
    <cellStyle name="常规 4 14 2" xfId="2961" xr:uid="{00000000-0005-0000-0000-0000C10B0000}"/>
    <cellStyle name="常规 4 14 3" xfId="2963" xr:uid="{00000000-0005-0000-0000-0000C30B0000}"/>
    <cellStyle name="常规 4 15" xfId="2964" xr:uid="{00000000-0005-0000-0000-0000C40B0000}"/>
    <cellStyle name="常规 4 15 2" xfId="2965" xr:uid="{00000000-0005-0000-0000-0000C50B0000}"/>
    <cellStyle name="常规 4 15 3" xfId="2966" xr:uid="{00000000-0005-0000-0000-0000C60B0000}"/>
    <cellStyle name="常规 4 16" xfId="2967" xr:uid="{00000000-0005-0000-0000-0000C70B0000}"/>
    <cellStyle name="常规 4 16 2" xfId="458" xr:uid="{00000000-0005-0000-0000-0000FA010000}"/>
    <cellStyle name="常规 4 16 3" xfId="2968" xr:uid="{00000000-0005-0000-0000-0000C80B0000}"/>
    <cellStyle name="常规 4 17" xfId="2969" xr:uid="{00000000-0005-0000-0000-0000C90B0000}"/>
    <cellStyle name="常规 4 18" xfId="2970" xr:uid="{00000000-0005-0000-0000-0000CA0B0000}"/>
    <cellStyle name="常规 4 19" xfId="2972" xr:uid="{00000000-0005-0000-0000-0000CC0B0000}"/>
    <cellStyle name="常规 4 2" xfId="2973" xr:uid="{00000000-0005-0000-0000-0000CD0B0000}"/>
    <cellStyle name="常规 4 2 10" xfId="2974" xr:uid="{00000000-0005-0000-0000-0000CE0B0000}"/>
    <cellStyle name="常规 4 2 10 2" xfId="2975" xr:uid="{00000000-0005-0000-0000-0000CF0B0000}"/>
    <cellStyle name="常规 4 2 10 2 2" xfId="2977" xr:uid="{00000000-0005-0000-0000-0000D10B0000}"/>
    <cellStyle name="常规 4 2 10 3" xfId="560" xr:uid="{00000000-0005-0000-0000-000060020000}"/>
    <cellStyle name="常规 4 2 2" xfId="2979" xr:uid="{00000000-0005-0000-0000-0000D30B0000}"/>
    <cellStyle name="常规 4 2 2 2" xfId="1752" xr:uid="{00000000-0005-0000-0000-000008070000}"/>
    <cellStyle name="常规 4 2 2 2 2" xfId="1758" xr:uid="{00000000-0005-0000-0000-00000E070000}"/>
    <cellStyle name="常规 4 2 2 2 3" xfId="1762" xr:uid="{00000000-0005-0000-0000-000012070000}"/>
    <cellStyle name="常规 4 2 2 2 4" xfId="2980" xr:uid="{00000000-0005-0000-0000-0000D40B0000}"/>
    <cellStyle name="常规 4 2 2 2 5" xfId="2981" xr:uid="{00000000-0005-0000-0000-0000D50B0000}"/>
    <cellStyle name="常规 4 2 2 3" xfId="25" xr:uid="{00000000-0005-0000-0000-000029000000}"/>
    <cellStyle name="常规 4 2 2 4" xfId="576" xr:uid="{00000000-0005-0000-0000-000070020000}"/>
    <cellStyle name="常规 4 2 2 5" xfId="585" xr:uid="{00000000-0005-0000-0000-000079020000}"/>
    <cellStyle name="常规 4 2 2 6" xfId="1825" xr:uid="{00000000-0005-0000-0000-000051070000}"/>
    <cellStyle name="常规 4 2 2 7" xfId="1832" xr:uid="{00000000-0005-0000-0000-000058070000}"/>
    <cellStyle name="常规 4 2 2 8" xfId="2580" xr:uid="{00000000-0005-0000-0000-0000440A0000}"/>
    <cellStyle name="常规 4 2 2 8 2" xfId="2982" xr:uid="{00000000-0005-0000-0000-0000D60B0000}"/>
    <cellStyle name="常规 4 2 2 9" xfId="2582" xr:uid="{00000000-0005-0000-0000-0000460A0000}"/>
    <cellStyle name="常规 4 2 3" xfId="860" xr:uid="{00000000-0005-0000-0000-00008C030000}"/>
    <cellStyle name="常规 4 2 3 2" xfId="864" xr:uid="{00000000-0005-0000-0000-000090030000}"/>
    <cellStyle name="常规 4 2 3 3" xfId="870" xr:uid="{00000000-0005-0000-0000-000096030000}"/>
    <cellStyle name="常规 4 2 4" xfId="873" xr:uid="{00000000-0005-0000-0000-000099030000}"/>
    <cellStyle name="常规 4 2 5" xfId="850" xr:uid="{00000000-0005-0000-0000-000082030000}"/>
    <cellStyle name="常规 4 2 6" xfId="854" xr:uid="{00000000-0005-0000-0000-000086030000}"/>
    <cellStyle name="常规 4 2 7" xfId="530" xr:uid="{00000000-0005-0000-0000-000042020000}"/>
    <cellStyle name="常规 4 2 8" xfId="882" xr:uid="{00000000-0005-0000-0000-0000A2030000}"/>
    <cellStyle name="常规 4 2 9" xfId="885" xr:uid="{00000000-0005-0000-0000-0000A5030000}"/>
    <cellStyle name="常规 4 3" xfId="2983" xr:uid="{00000000-0005-0000-0000-0000D70B0000}"/>
    <cellStyle name="常规 4 3 2" xfId="1177" xr:uid="{00000000-0005-0000-0000-0000C9040000}"/>
    <cellStyle name="常规 4 3 3" xfId="1208" xr:uid="{00000000-0005-0000-0000-0000E8040000}"/>
    <cellStyle name="常规 4 3 4" xfId="1222" xr:uid="{00000000-0005-0000-0000-0000F6040000}"/>
    <cellStyle name="常规 4 3 5" xfId="1239" xr:uid="{00000000-0005-0000-0000-000007050000}"/>
    <cellStyle name="常规 4 3 5 2" xfId="1243" xr:uid="{00000000-0005-0000-0000-00000B050000}"/>
    <cellStyle name="常规 4 3 5 2 2" xfId="1247" xr:uid="{00000000-0005-0000-0000-00000F050000}"/>
    <cellStyle name="常规 4 3 5 3" xfId="1251" xr:uid="{00000000-0005-0000-0000-000013050000}"/>
    <cellStyle name="常规 4 4" xfId="2978" xr:uid="{00000000-0005-0000-0000-0000D20B0000}"/>
    <cellStyle name="常规 4 4 2" xfId="1751" xr:uid="{00000000-0005-0000-0000-000007070000}"/>
    <cellStyle name="常规 4 4 2 2" xfId="1757" xr:uid="{00000000-0005-0000-0000-00000D070000}"/>
    <cellStyle name="常规 4 4 2 3" xfId="1761" xr:uid="{00000000-0005-0000-0000-000011070000}"/>
    <cellStyle name="常规 4 4 3" xfId="24" xr:uid="{00000000-0005-0000-0000-000028000000}"/>
    <cellStyle name="常规 4 4 4" xfId="575" xr:uid="{00000000-0005-0000-0000-00006F020000}"/>
    <cellStyle name="常规 4 4 5" xfId="584" xr:uid="{00000000-0005-0000-0000-000078020000}"/>
    <cellStyle name="常规 4 5" xfId="859" xr:uid="{00000000-0005-0000-0000-00008B030000}"/>
    <cellStyle name="常规 4 5 2" xfId="863" xr:uid="{00000000-0005-0000-0000-00008F030000}"/>
    <cellStyle name="常规 4 5 3" xfId="869" xr:uid="{00000000-0005-0000-0000-000095030000}"/>
    <cellStyle name="常规 4 6" xfId="872" xr:uid="{00000000-0005-0000-0000-000098030000}"/>
    <cellStyle name="常规 4 6 2" xfId="802" xr:uid="{00000000-0005-0000-0000-000052030000}"/>
    <cellStyle name="常规 4 6 3" xfId="877" xr:uid="{00000000-0005-0000-0000-00009D030000}"/>
    <cellStyle name="常规 4 7" xfId="849" xr:uid="{00000000-0005-0000-0000-000081030000}"/>
    <cellStyle name="常规 4 7 2" xfId="436" xr:uid="{00000000-0005-0000-0000-0000E4010000}"/>
    <cellStyle name="常规 4 7 3" xfId="441" xr:uid="{00000000-0005-0000-0000-0000E9010000}"/>
    <cellStyle name="常规 4 8" xfId="853" xr:uid="{00000000-0005-0000-0000-000085030000}"/>
    <cellStyle name="常规 4 8 2" xfId="127" xr:uid="{00000000-0005-0000-0000-0000AF000000}"/>
    <cellStyle name="常规 4 8 3" xfId="466" xr:uid="{00000000-0005-0000-0000-000002020000}"/>
    <cellStyle name="常规 4 9" xfId="529" xr:uid="{00000000-0005-0000-0000-000041020000}"/>
    <cellStyle name="常规 4 9 2" xfId="494" xr:uid="{00000000-0005-0000-0000-00001E020000}"/>
    <cellStyle name="常规 4 9 3" xfId="497" xr:uid="{00000000-0005-0000-0000-000021020000}"/>
    <cellStyle name="常规 40" xfId="2788" xr:uid="{00000000-0005-0000-0000-0000140B0000}"/>
    <cellStyle name="常规 40 10" xfId="2077" xr:uid="{00000000-0005-0000-0000-00004D080000}"/>
    <cellStyle name="常规 40 11" xfId="2083" xr:uid="{00000000-0005-0000-0000-000053080000}"/>
    <cellStyle name="常规 40 12" xfId="2087" xr:uid="{00000000-0005-0000-0000-000057080000}"/>
    <cellStyle name="常规 40 13" xfId="2094" xr:uid="{00000000-0005-0000-0000-00005E080000}"/>
    <cellStyle name="常规 40 14" xfId="2098" xr:uid="{00000000-0005-0000-0000-000062080000}"/>
    <cellStyle name="常规 40 15" xfId="2102" xr:uid="{00000000-0005-0000-0000-000066080000}"/>
    <cellStyle name="常规 40 16" xfId="2106" xr:uid="{00000000-0005-0000-0000-00006A080000}"/>
    <cellStyle name="常规 40 16 2" xfId="2790" xr:uid="{00000000-0005-0000-0000-0000160B0000}"/>
    <cellStyle name="常规 40 16 2 2" xfId="2225" xr:uid="{00000000-0005-0000-0000-0000E1080000}"/>
    <cellStyle name="常规 40 16 3" xfId="2792" xr:uid="{00000000-0005-0000-0000-0000180B0000}"/>
    <cellStyle name="常规 40 17" xfId="2110" xr:uid="{00000000-0005-0000-0000-00006E080000}"/>
    <cellStyle name="常规 40 2" xfId="2794" xr:uid="{00000000-0005-0000-0000-00001A0B0000}"/>
    <cellStyle name="常规 40 2 2" xfId="2796" xr:uid="{00000000-0005-0000-0000-00001C0B0000}"/>
    <cellStyle name="常规 40 3" xfId="2798" xr:uid="{00000000-0005-0000-0000-00001E0B0000}"/>
    <cellStyle name="常规 40 4" xfId="2800" xr:uid="{00000000-0005-0000-0000-0000200B0000}"/>
    <cellStyle name="常规 40 5" xfId="2802" xr:uid="{00000000-0005-0000-0000-0000220B0000}"/>
    <cellStyle name="常规 40 6" xfId="2805" xr:uid="{00000000-0005-0000-0000-0000250B0000}"/>
    <cellStyle name="常规 40 7" xfId="2808" xr:uid="{00000000-0005-0000-0000-0000280B0000}"/>
    <cellStyle name="常规 40 8" xfId="2810" xr:uid="{00000000-0005-0000-0000-00002A0B0000}"/>
    <cellStyle name="常规 40 9" xfId="2813" xr:uid="{00000000-0005-0000-0000-00002D0B0000}"/>
    <cellStyle name="常规 41" xfId="2815" xr:uid="{00000000-0005-0000-0000-00002F0B0000}"/>
    <cellStyle name="常规 41 10" xfId="2817" xr:uid="{00000000-0005-0000-0000-0000310B0000}"/>
    <cellStyle name="常规 41 11" xfId="2819" xr:uid="{00000000-0005-0000-0000-0000330B0000}"/>
    <cellStyle name="常规 41 12" xfId="2821" xr:uid="{00000000-0005-0000-0000-0000350B0000}"/>
    <cellStyle name="常规 41 13" xfId="2823" xr:uid="{00000000-0005-0000-0000-0000370B0000}"/>
    <cellStyle name="常规 41 14" xfId="2825" xr:uid="{00000000-0005-0000-0000-0000390B0000}"/>
    <cellStyle name="常规 41 15" xfId="2827" xr:uid="{00000000-0005-0000-0000-00003B0B0000}"/>
    <cellStyle name="常规 41 16" xfId="2829" xr:uid="{00000000-0005-0000-0000-00003D0B0000}"/>
    <cellStyle name="常规 41 17" xfId="2833" xr:uid="{00000000-0005-0000-0000-0000410B0000}"/>
    <cellStyle name="常规 41 18" xfId="2028" xr:uid="{00000000-0005-0000-0000-00001C080000}"/>
    <cellStyle name="常规 41 2" xfId="2835" xr:uid="{00000000-0005-0000-0000-0000430B0000}"/>
    <cellStyle name="常规 41 2 2" xfId="545" xr:uid="{00000000-0005-0000-0000-000051020000}"/>
    <cellStyle name="常规 41 2 3" xfId="551" xr:uid="{00000000-0005-0000-0000-000057020000}"/>
    <cellStyle name="常规 41 2 3 2" xfId="673" xr:uid="{00000000-0005-0000-0000-0000D1020000}"/>
    <cellStyle name="常规 41 2 4" xfId="52" xr:uid="{00000000-0005-0000-0000-000050000000}"/>
    <cellStyle name="常规 41 3" xfId="2839" xr:uid="{00000000-0005-0000-0000-0000470B0000}"/>
    <cellStyle name="常规 41 4" xfId="2841" xr:uid="{00000000-0005-0000-0000-0000490B0000}"/>
    <cellStyle name="常规 41 5" xfId="2843" xr:uid="{00000000-0005-0000-0000-00004B0B0000}"/>
    <cellStyle name="常规 41 6" xfId="2846" xr:uid="{00000000-0005-0000-0000-00004E0B0000}"/>
    <cellStyle name="常规 41 7" xfId="2849" xr:uid="{00000000-0005-0000-0000-0000510B0000}"/>
    <cellStyle name="常规 41 8" xfId="2851" xr:uid="{00000000-0005-0000-0000-0000530B0000}"/>
    <cellStyle name="常规 41 9" xfId="2853" xr:uid="{00000000-0005-0000-0000-0000550B0000}"/>
    <cellStyle name="常规 42" xfId="2855" xr:uid="{00000000-0005-0000-0000-0000570B0000}"/>
    <cellStyle name="常规 42 10" xfId="2857" xr:uid="{00000000-0005-0000-0000-0000590B0000}"/>
    <cellStyle name="常规 42 11" xfId="361" xr:uid="{00000000-0005-0000-0000-000099010000}"/>
    <cellStyle name="常规 42 12" xfId="2860" xr:uid="{00000000-0005-0000-0000-00005C0B0000}"/>
    <cellStyle name="常规 42 13" xfId="2862" xr:uid="{00000000-0005-0000-0000-00005E0B0000}"/>
    <cellStyle name="常规 42 14" xfId="2864" xr:uid="{00000000-0005-0000-0000-0000600B0000}"/>
    <cellStyle name="常规 42 15" xfId="2866" xr:uid="{00000000-0005-0000-0000-0000620B0000}"/>
    <cellStyle name="常规 42 16" xfId="2868" xr:uid="{00000000-0005-0000-0000-0000640B0000}"/>
    <cellStyle name="常规 42 17" xfId="2872" xr:uid="{00000000-0005-0000-0000-0000680B0000}"/>
    <cellStyle name="常规 42 17 2" xfId="2365" xr:uid="{00000000-0005-0000-0000-00006D090000}"/>
    <cellStyle name="常规 42 17 3" xfId="2984" xr:uid="{00000000-0005-0000-0000-0000D80B0000}"/>
    <cellStyle name="常规 42 17 4" xfId="2985" xr:uid="{00000000-0005-0000-0000-0000D90B0000}"/>
    <cellStyle name="常规 42 18" xfId="2986" xr:uid="{00000000-0005-0000-0000-0000DA0B0000}"/>
    <cellStyle name="常规 42 19" xfId="2987" xr:uid="{00000000-0005-0000-0000-0000DB0B0000}"/>
    <cellStyle name="常规 42 2" xfId="429" xr:uid="{00000000-0005-0000-0000-0000DD010000}"/>
    <cellStyle name="常规 42 2 2" xfId="2874" xr:uid="{00000000-0005-0000-0000-00006A0B0000}"/>
    <cellStyle name="常规 42 2 3" xfId="973" xr:uid="{00000000-0005-0000-0000-0000FD030000}"/>
    <cellStyle name="常规 42 2 3 2" xfId="2988" xr:uid="{00000000-0005-0000-0000-0000DC0B0000}"/>
    <cellStyle name="常规 42 2 4" xfId="752" xr:uid="{00000000-0005-0000-0000-000020030000}"/>
    <cellStyle name="常规 42 2 4 2" xfId="132" xr:uid="{00000000-0005-0000-0000-0000B4000000}"/>
    <cellStyle name="常规 42 2 5" xfId="756" xr:uid="{00000000-0005-0000-0000-000024030000}"/>
    <cellStyle name="常规 42 3" xfId="2876" xr:uid="{00000000-0005-0000-0000-00006C0B0000}"/>
    <cellStyle name="常规 42 4" xfId="2878" xr:uid="{00000000-0005-0000-0000-00006E0B0000}"/>
    <cellStyle name="常规 42 5" xfId="2880" xr:uid="{00000000-0005-0000-0000-0000700B0000}"/>
    <cellStyle name="常规 42 6" xfId="1088" xr:uid="{00000000-0005-0000-0000-000070040000}"/>
    <cellStyle name="常规 42 7" xfId="2883" xr:uid="{00000000-0005-0000-0000-0000730B0000}"/>
    <cellStyle name="常规 42 8" xfId="2885" xr:uid="{00000000-0005-0000-0000-0000750B0000}"/>
    <cellStyle name="常规 42 9" xfId="2887" xr:uid="{00000000-0005-0000-0000-0000770B0000}"/>
    <cellStyle name="常规 43" xfId="2890" xr:uid="{00000000-0005-0000-0000-00007A0B0000}"/>
    <cellStyle name="常规 43 10" xfId="2759" xr:uid="{00000000-0005-0000-0000-0000F70A0000}"/>
    <cellStyle name="常规 43 11" xfId="2893" xr:uid="{00000000-0005-0000-0000-00007D0B0000}"/>
    <cellStyle name="常规 43 12" xfId="2897" xr:uid="{00000000-0005-0000-0000-0000810B0000}"/>
    <cellStyle name="常规 43 13" xfId="2901" xr:uid="{00000000-0005-0000-0000-0000850B0000}"/>
    <cellStyle name="常规 43 14" xfId="2906" xr:uid="{00000000-0005-0000-0000-00008A0B0000}"/>
    <cellStyle name="常规 43 15" xfId="2910" xr:uid="{00000000-0005-0000-0000-00008E0B0000}"/>
    <cellStyle name="常规 43 16" xfId="2914" xr:uid="{00000000-0005-0000-0000-0000920B0000}"/>
    <cellStyle name="常规 43 17" xfId="2921" xr:uid="{00000000-0005-0000-0000-0000990B0000}"/>
    <cellStyle name="常规 43 18" xfId="2991" xr:uid="{00000000-0005-0000-0000-0000DF0B0000}"/>
    <cellStyle name="常规 43 2" xfId="2923" xr:uid="{00000000-0005-0000-0000-00009B0B0000}"/>
    <cellStyle name="常规 43 2 2" xfId="1092" xr:uid="{00000000-0005-0000-0000-000074040000}"/>
    <cellStyle name="常规 43 2 3" xfId="2993" xr:uid="{00000000-0005-0000-0000-0000E10B0000}"/>
    <cellStyle name="常规 43 2 3 2" xfId="2947" xr:uid="{00000000-0005-0000-0000-0000B30B0000}"/>
    <cellStyle name="常规 43 2 4" xfId="2995" xr:uid="{00000000-0005-0000-0000-0000E30B0000}"/>
    <cellStyle name="常规 43 3" xfId="2925" xr:uid="{00000000-0005-0000-0000-00009D0B0000}"/>
    <cellStyle name="常规 43 4" xfId="2927" xr:uid="{00000000-0005-0000-0000-00009F0B0000}"/>
    <cellStyle name="常规 43 5" xfId="2669" xr:uid="{00000000-0005-0000-0000-00009D0A0000}"/>
    <cellStyle name="常规 43 6" xfId="2673" xr:uid="{00000000-0005-0000-0000-0000A10A0000}"/>
    <cellStyle name="常规 43 7" xfId="2930" xr:uid="{00000000-0005-0000-0000-0000A20B0000}"/>
    <cellStyle name="常规 43 8" xfId="2932" xr:uid="{00000000-0005-0000-0000-0000A40B0000}"/>
    <cellStyle name="常规 43 9" xfId="2934" xr:uid="{00000000-0005-0000-0000-0000A60B0000}"/>
    <cellStyle name="常规 44" xfId="5" xr:uid="{00000000-0005-0000-0000-000007000000}"/>
    <cellStyle name="常规 44 2" xfId="2937" xr:uid="{00000000-0005-0000-0000-0000A90B0000}"/>
    <cellStyle name="常规 44 2 2" xfId="1657" xr:uid="{00000000-0005-0000-0000-0000A9060000}"/>
    <cellStyle name="常规 44 2 3" xfId="2997" xr:uid="{00000000-0005-0000-0000-0000E50B0000}"/>
    <cellStyle name="常规 44 2 3 2" xfId="2998" xr:uid="{00000000-0005-0000-0000-0000E60B0000}"/>
    <cellStyle name="常规 44 2 4" xfId="3000" xr:uid="{00000000-0005-0000-0000-0000E80B0000}"/>
    <cellStyle name="常规 44 3" xfId="2939" xr:uid="{00000000-0005-0000-0000-0000AB0B0000}"/>
    <cellStyle name="常规 44 3 2" xfId="1669" xr:uid="{00000000-0005-0000-0000-0000B5060000}"/>
    <cellStyle name="常规 44 3 2 2" xfId="2515" xr:uid="{00000000-0005-0000-0000-0000030A0000}"/>
    <cellStyle name="常规 44 3 2 2 2" xfId="939" xr:uid="{00000000-0005-0000-0000-0000DB030000}"/>
    <cellStyle name="常规 44 3 2 3" xfId="2518" xr:uid="{00000000-0005-0000-0000-0000060A0000}"/>
    <cellStyle name="常规 44 3 3" xfId="3001" xr:uid="{00000000-0005-0000-0000-0000E90B0000}"/>
    <cellStyle name="常规 44 3 4" xfId="3002" xr:uid="{00000000-0005-0000-0000-0000EA0B0000}"/>
    <cellStyle name="常规 44 3 4 2" xfId="3003" xr:uid="{00000000-0005-0000-0000-0000EB0B0000}"/>
    <cellStyle name="常规 44 3 5" xfId="3004" xr:uid="{00000000-0005-0000-0000-0000EC0B0000}"/>
    <cellStyle name="常规 44 4" xfId="2941" xr:uid="{00000000-0005-0000-0000-0000AD0B0000}"/>
    <cellStyle name="常规 44 5" xfId="2943" xr:uid="{00000000-0005-0000-0000-0000AF0B0000}"/>
    <cellStyle name="常规 44 5 2" xfId="1684" xr:uid="{00000000-0005-0000-0000-0000C4060000}"/>
    <cellStyle name="常规 44 5 3" xfId="3005" xr:uid="{00000000-0005-0000-0000-0000ED0B0000}"/>
    <cellStyle name="常规 44 5 4" xfId="3006" xr:uid="{00000000-0005-0000-0000-0000EE0B0000}"/>
    <cellStyle name="常规 44 6" xfId="2946" xr:uid="{00000000-0005-0000-0000-0000B20B0000}"/>
    <cellStyle name="常规 44 7" xfId="2950" xr:uid="{00000000-0005-0000-0000-0000B60B0000}"/>
    <cellStyle name="常规 45" xfId="3009" xr:uid="{00000000-0005-0000-0000-0000F10B0000}"/>
    <cellStyle name="常规 45 10" xfId="3010" xr:uid="{00000000-0005-0000-0000-0000F20B0000}"/>
    <cellStyle name="常规 45 11" xfId="3013" xr:uid="{00000000-0005-0000-0000-0000F50B0000}"/>
    <cellStyle name="常规 45 12" xfId="3014" xr:uid="{00000000-0005-0000-0000-0000F60B0000}"/>
    <cellStyle name="常规 45 13" xfId="3015" xr:uid="{00000000-0005-0000-0000-0000F70B0000}"/>
    <cellStyle name="常规 45 14" xfId="676" xr:uid="{00000000-0005-0000-0000-0000D4020000}"/>
    <cellStyle name="常规 45 15" xfId="3016" xr:uid="{00000000-0005-0000-0000-0000F80B0000}"/>
    <cellStyle name="常规 45 16" xfId="997" xr:uid="{00000000-0005-0000-0000-000015040000}"/>
    <cellStyle name="常规 45 16 2" xfId="3017" xr:uid="{00000000-0005-0000-0000-0000F90B0000}"/>
    <cellStyle name="常规 45 16 2 2" xfId="3020" xr:uid="{00000000-0005-0000-0000-0000FC0B0000}"/>
    <cellStyle name="常规 45 16 3" xfId="3021" xr:uid="{00000000-0005-0000-0000-0000FD0B0000}"/>
    <cellStyle name="常规 45 17" xfId="999" xr:uid="{00000000-0005-0000-0000-000017040000}"/>
    <cellStyle name="常规 45 2" xfId="3024" xr:uid="{00000000-0005-0000-0000-0000000C0000}"/>
    <cellStyle name="常规 45 2 2" xfId="3026" xr:uid="{00000000-0005-0000-0000-0000020C0000}"/>
    <cellStyle name="常规 45 3" xfId="3019" xr:uid="{00000000-0005-0000-0000-0000FB0B0000}"/>
    <cellStyle name="常规 45 4" xfId="3027" xr:uid="{00000000-0005-0000-0000-0000030C0000}"/>
    <cellStyle name="常规 45 5" xfId="3028" xr:uid="{00000000-0005-0000-0000-0000040C0000}"/>
    <cellStyle name="常规 45 6" xfId="3030" xr:uid="{00000000-0005-0000-0000-0000060C0000}"/>
    <cellStyle name="常规 45 7" xfId="3032" xr:uid="{00000000-0005-0000-0000-0000080C0000}"/>
    <cellStyle name="常规 45 8" xfId="3033" xr:uid="{00000000-0005-0000-0000-0000090C0000}"/>
    <cellStyle name="常规 45 9" xfId="3034" xr:uid="{00000000-0005-0000-0000-00000A0C0000}"/>
    <cellStyle name="常规 46" xfId="3037" xr:uid="{00000000-0005-0000-0000-00000D0C0000}"/>
    <cellStyle name="常规 46 2" xfId="3040" xr:uid="{00000000-0005-0000-0000-0000100C0000}"/>
    <cellStyle name="常规 46 2 2" xfId="3043" xr:uid="{00000000-0005-0000-0000-0000130C0000}"/>
    <cellStyle name="常规 46 3" xfId="3046" xr:uid="{00000000-0005-0000-0000-0000160C0000}"/>
    <cellStyle name="常规 47" xfId="3049" xr:uid="{00000000-0005-0000-0000-0000190C0000}"/>
    <cellStyle name="常规 47 2" xfId="3052" xr:uid="{00000000-0005-0000-0000-00001C0C0000}"/>
    <cellStyle name="常规 47 2 2" xfId="2040" xr:uid="{00000000-0005-0000-0000-000028080000}"/>
    <cellStyle name="常规 47 3" xfId="3057" xr:uid="{00000000-0005-0000-0000-0000210C0000}"/>
    <cellStyle name="常规 48" xfId="3060" xr:uid="{00000000-0005-0000-0000-0000240C0000}"/>
    <cellStyle name="常规 48 2" xfId="3062" xr:uid="{00000000-0005-0000-0000-0000260C0000}"/>
    <cellStyle name="常规 48 2 2" xfId="3064" xr:uid="{00000000-0005-0000-0000-0000280C0000}"/>
    <cellStyle name="常规 48 3" xfId="3066" xr:uid="{00000000-0005-0000-0000-00002A0C0000}"/>
    <cellStyle name="常规 49" xfId="3069" xr:uid="{00000000-0005-0000-0000-00002D0C0000}"/>
    <cellStyle name="常规 49 2" xfId="3072" xr:uid="{00000000-0005-0000-0000-0000300C0000}"/>
    <cellStyle name="常规 49 2 2" xfId="3076" xr:uid="{00000000-0005-0000-0000-0000340C0000}"/>
    <cellStyle name="常规 49 3" xfId="3079" xr:uid="{00000000-0005-0000-0000-0000370C0000}"/>
    <cellStyle name="常规 5" xfId="3080" xr:uid="{00000000-0005-0000-0000-0000380C0000}"/>
    <cellStyle name="常规 5 10" xfId="3081" xr:uid="{00000000-0005-0000-0000-0000390C0000}"/>
    <cellStyle name="常规 5 11" xfId="3082" xr:uid="{00000000-0005-0000-0000-00003A0C0000}"/>
    <cellStyle name="常规 5 12" xfId="3083" xr:uid="{00000000-0005-0000-0000-00003B0C0000}"/>
    <cellStyle name="常规 5 13" xfId="3084" xr:uid="{00000000-0005-0000-0000-00003C0C0000}"/>
    <cellStyle name="常规 5 2" xfId="1162" xr:uid="{00000000-0005-0000-0000-0000BA040000}"/>
    <cellStyle name="常规 5 2 2" xfId="2293" xr:uid="{00000000-0005-0000-0000-000025090000}"/>
    <cellStyle name="常规 5 2 2 2" xfId="3085" xr:uid="{00000000-0005-0000-0000-00003D0C0000}"/>
    <cellStyle name="常规 5 2 2 3" xfId="3086" xr:uid="{00000000-0005-0000-0000-00003E0C0000}"/>
    <cellStyle name="常规 5 2 3" xfId="2296" xr:uid="{00000000-0005-0000-0000-000028090000}"/>
    <cellStyle name="常规 5 3" xfId="1165" xr:uid="{00000000-0005-0000-0000-0000BD040000}"/>
    <cellStyle name="常规 5 3 2" xfId="1168" xr:uid="{00000000-0005-0000-0000-0000C0040000}"/>
    <cellStyle name="常规 5 3 3" xfId="1173" xr:uid="{00000000-0005-0000-0000-0000C5040000}"/>
    <cellStyle name="常规 5 4" xfId="1176" xr:uid="{00000000-0005-0000-0000-0000C8040000}"/>
    <cellStyle name="常规 5 4 2" xfId="1180" xr:uid="{00000000-0005-0000-0000-0000CC040000}"/>
    <cellStyle name="常规 5 4 3" xfId="1184" xr:uid="{00000000-0005-0000-0000-0000D0040000}"/>
    <cellStyle name="常规 5 5" xfId="1207" xr:uid="{00000000-0005-0000-0000-0000E7040000}"/>
    <cellStyle name="常规 5 6" xfId="1221" xr:uid="{00000000-0005-0000-0000-0000F5040000}"/>
    <cellStyle name="常规 5 7" xfId="1238" xr:uid="{00000000-0005-0000-0000-000006050000}"/>
    <cellStyle name="常规 5 8" xfId="1255" xr:uid="{00000000-0005-0000-0000-000017050000}"/>
    <cellStyle name="常规 5 9" xfId="1268" xr:uid="{00000000-0005-0000-0000-000024050000}"/>
    <cellStyle name="常规 50" xfId="3008" xr:uid="{00000000-0005-0000-0000-0000F00B0000}"/>
    <cellStyle name="常规 50 2" xfId="3023" xr:uid="{00000000-0005-0000-0000-0000FF0B0000}"/>
    <cellStyle name="常规 50 2 2" xfId="3025" xr:uid="{00000000-0005-0000-0000-0000010C0000}"/>
    <cellStyle name="常规 50 3" xfId="3018" xr:uid="{00000000-0005-0000-0000-0000FA0B0000}"/>
    <cellStyle name="常规 51" xfId="3036" xr:uid="{00000000-0005-0000-0000-00000C0C0000}"/>
    <cellStyle name="常规 51 2" xfId="3039" xr:uid="{00000000-0005-0000-0000-00000F0C0000}"/>
    <cellStyle name="常规 51 2 2" xfId="3042" xr:uid="{00000000-0005-0000-0000-0000120C0000}"/>
    <cellStyle name="常规 51 2 3" xfId="3087" xr:uid="{00000000-0005-0000-0000-00003F0C0000}"/>
    <cellStyle name="常规 51 2 3 2" xfId="513" xr:uid="{00000000-0005-0000-0000-000031020000}"/>
    <cellStyle name="常规 51 3" xfId="3045" xr:uid="{00000000-0005-0000-0000-0000150C0000}"/>
    <cellStyle name="常规 51 4" xfId="3089" xr:uid="{00000000-0005-0000-0000-0000410C0000}"/>
    <cellStyle name="常规 52" xfId="3048" xr:uid="{00000000-0005-0000-0000-0000180C0000}"/>
    <cellStyle name="常规 52 2" xfId="3051" xr:uid="{00000000-0005-0000-0000-00001B0C0000}"/>
    <cellStyle name="常规 52 2 2" xfId="2039" xr:uid="{00000000-0005-0000-0000-000027080000}"/>
    <cellStyle name="常规 52 3" xfId="3056" xr:uid="{00000000-0005-0000-0000-0000200C0000}"/>
    <cellStyle name="常规 53" xfId="3059" xr:uid="{00000000-0005-0000-0000-0000230C0000}"/>
    <cellStyle name="常规 53 2" xfId="3061" xr:uid="{00000000-0005-0000-0000-0000250C0000}"/>
    <cellStyle name="常规 53 2 2" xfId="3063" xr:uid="{00000000-0005-0000-0000-0000270C0000}"/>
    <cellStyle name="常规 53 3" xfId="3065" xr:uid="{00000000-0005-0000-0000-0000290C0000}"/>
    <cellStyle name="常规 54" xfId="3068" xr:uid="{00000000-0005-0000-0000-00002C0C0000}"/>
    <cellStyle name="常规 54 2" xfId="3071" xr:uid="{00000000-0005-0000-0000-00002F0C0000}"/>
    <cellStyle name="常规 54 2 2" xfId="3075" xr:uid="{00000000-0005-0000-0000-0000330C0000}"/>
    <cellStyle name="常规 54 3" xfId="3078" xr:uid="{00000000-0005-0000-0000-0000360C0000}"/>
    <cellStyle name="常规 55" xfId="3092" xr:uid="{00000000-0005-0000-0000-0000440C0000}"/>
    <cellStyle name="常规 55 2" xfId="3094" xr:uid="{00000000-0005-0000-0000-0000460C0000}"/>
    <cellStyle name="常规 55 2 2" xfId="3096" xr:uid="{00000000-0005-0000-0000-0000480C0000}"/>
    <cellStyle name="常规 55 3" xfId="3098" xr:uid="{00000000-0005-0000-0000-00004A0C0000}"/>
    <cellStyle name="常规 56" xfId="3100" xr:uid="{00000000-0005-0000-0000-00004C0C0000}"/>
    <cellStyle name="常规 56 2" xfId="3103" xr:uid="{00000000-0005-0000-0000-00004F0C0000}"/>
    <cellStyle name="常规 56 2 2" xfId="3106" xr:uid="{00000000-0005-0000-0000-0000520C0000}"/>
    <cellStyle name="常规 56 3" xfId="3108" xr:uid="{00000000-0005-0000-0000-0000540C0000}"/>
    <cellStyle name="常规 57" xfId="3110" xr:uid="{00000000-0005-0000-0000-0000560C0000}"/>
    <cellStyle name="常规 57 2" xfId="3112" xr:uid="{00000000-0005-0000-0000-0000580C0000}"/>
    <cellStyle name="常规 57 2 2" xfId="3114" xr:uid="{00000000-0005-0000-0000-00005A0C0000}"/>
    <cellStyle name="常规 57 3" xfId="3116" xr:uid="{00000000-0005-0000-0000-00005C0C0000}"/>
    <cellStyle name="常规 58" xfId="3118" xr:uid="{00000000-0005-0000-0000-00005E0C0000}"/>
    <cellStyle name="常规 58 2" xfId="3120" xr:uid="{00000000-0005-0000-0000-0000600C0000}"/>
    <cellStyle name="常规 58 2 2" xfId="3122" xr:uid="{00000000-0005-0000-0000-0000620C0000}"/>
    <cellStyle name="常规 58 3" xfId="3124" xr:uid="{00000000-0005-0000-0000-0000640C0000}"/>
    <cellStyle name="常规 59" xfId="3126" xr:uid="{00000000-0005-0000-0000-0000660C0000}"/>
    <cellStyle name="常规 59 2" xfId="3128" xr:uid="{00000000-0005-0000-0000-0000680C0000}"/>
    <cellStyle name="常规 59 2 2" xfId="3055" xr:uid="{00000000-0005-0000-0000-00001F0C0000}"/>
    <cellStyle name="常规 59 3" xfId="3130" xr:uid="{00000000-0005-0000-0000-00006A0C0000}"/>
    <cellStyle name="常规 6" xfId="3131" xr:uid="{00000000-0005-0000-0000-00006B0C0000}"/>
    <cellStyle name="常规 6 2" xfId="1725" xr:uid="{00000000-0005-0000-0000-0000ED060000}"/>
    <cellStyle name="常规 6 2 2" xfId="1730" xr:uid="{00000000-0005-0000-0000-0000F2060000}"/>
    <cellStyle name="常规 6 3" xfId="1737" xr:uid="{00000000-0005-0000-0000-0000F9060000}"/>
    <cellStyle name="常规 6 4" xfId="1750" xr:uid="{00000000-0005-0000-0000-000006070000}"/>
    <cellStyle name="常规 6 5" xfId="23" xr:uid="{00000000-0005-0000-0000-000027000000}"/>
    <cellStyle name="常规 60" xfId="3091" xr:uid="{00000000-0005-0000-0000-0000430C0000}"/>
    <cellStyle name="常规 60 2" xfId="3093" xr:uid="{00000000-0005-0000-0000-0000450C0000}"/>
    <cellStyle name="常规 60 2 2" xfId="3095" xr:uid="{00000000-0005-0000-0000-0000470C0000}"/>
    <cellStyle name="常规 60 3" xfId="3097" xr:uid="{00000000-0005-0000-0000-0000490C0000}"/>
    <cellStyle name="常规 61" xfId="3099" xr:uid="{00000000-0005-0000-0000-00004B0C0000}"/>
    <cellStyle name="常规 61 2" xfId="3102" xr:uid="{00000000-0005-0000-0000-00004E0C0000}"/>
    <cellStyle name="常规 61 2 2" xfId="3105" xr:uid="{00000000-0005-0000-0000-0000510C0000}"/>
    <cellStyle name="常规 61 3" xfId="3107" xr:uid="{00000000-0005-0000-0000-0000530C0000}"/>
    <cellStyle name="常规 62" xfId="3109" xr:uid="{00000000-0005-0000-0000-0000550C0000}"/>
    <cellStyle name="常规 62 2" xfId="3111" xr:uid="{00000000-0005-0000-0000-0000570C0000}"/>
    <cellStyle name="常规 62 2 2" xfId="3113" xr:uid="{00000000-0005-0000-0000-0000590C0000}"/>
    <cellStyle name="常规 62 3" xfId="3115" xr:uid="{00000000-0005-0000-0000-00005B0C0000}"/>
    <cellStyle name="常规 63" xfId="3117" xr:uid="{00000000-0005-0000-0000-00005D0C0000}"/>
    <cellStyle name="常规 63 2" xfId="3119" xr:uid="{00000000-0005-0000-0000-00005F0C0000}"/>
    <cellStyle name="常规 63 2 2" xfId="3121" xr:uid="{00000000-0005-0000-0000-0000610C0000}"/>
    <cellStyle name="常规 63 3" xfId="3123" xr:uid="{00000000-0005-0000-0000-0000630C0000}"/>
    <cellStyle name="常规 64" xfId="3125" xr:uid="{00000000-0005-0000-0000-0000650C0000}"/>
    <cellStyle name="常规 64 2" xfId="3127" xr:uid="{00000000-0005-0000-0000-0000670C0000}"/>
    <cellStyle name="常规 64 2 2" xfId="3054" xr:uid="{00000000-0005-0000-0000-00001E0C0000}"/>
    <cellStyle name="常规 64 3" xfId="3129" xr:uid="{00000000-0005-0000-0000-0000690C0000}"/>
    <cellStyle name="常规 65" xfId="3133" xr:uid="{00000000-0005-0000-0000-00006D0C0000}"/>
    <cellStyle name="常规 65 2" xfId="99" xr:uid="{00000000-0005-0000-0000-000093000000}"/>
    <cellStyle name="常规 65 2 2" xfId="823" xr:uid="{00000000-0005-0000-0000-000067030000}"/>
    <cellStyle name="常规 65 3" xfId="135" xr:uid="{00000000-0005-0000-0000-0000B7000000}"/>
    <cellStyle name="常规 66" xfId="917" xr:uid="{00000000-0005-0000-0000-0000C5030000}"/>
    <cellStyle name="常规 66 2" xfId="189" xr:uid="{00000000-0005-0000-0000-0000ED000000}"/>
    <cellStyle name="常规 66 2 2" xfId="1283" xr:uid="{00000000-0005-0000-0000-000033050000}"/>
    <cellStyle name="常规 66 3" xfId="194" xr:uid="{00000000-0005-0000-0000-0000F2000000}"/>
    <cellStyle name="常规 67" xfId="920" xr:uid="{00000000-0005-0000-0000-0000C8030000}"/>
    <cellStyle name="常规 67 10" xfId="3136" xr:uid="{00000000-0005-0000-0000-0000700C0000}"/>
    <cellStyle name="常规 67 11" xfId="3139" xr:uid="{00000000-0005-0000-0000-0000730C0000}"/>
    <cellStyle name="常规 67 12" xfId="3142" xr:uid="{00000000-0005-0000-0000-0000760C0000}"/>
    <cellStyle name="常规 67 13" xfId="3145" xr:uid="{00000000-0005-0000-0000-0000790C0000}"/>
    <cellStyle name="常规 67 14" xfId="1531" xr:uid="{00000000-0005-0000-0000-00002B060000}"/>
    <cellStyle name="常规 67 15" xfId="1534" xr:uid="{00000000-0005-0000-0000-00002E060000}"/>
    <cellStyle name="常规 67 16" xfId="1537" xr:uid="{00000000-0005-0000-0000-000031060000}"/>
    <cellStyle name="常规 67 16 2" xfId="3146" xr:uid="{00000000-0005-0000-0000-00007A0C0000}"/>
    <cellStyle name="常规 67 16 2 2" xfId="3147" xr:uid="{00000000-0005-0000-0000-00007B0C0000}"/>
    <cellStyle name="常规 67 16 3" xfId="3148" xr:uid="{00000000-0005-0000-0000-00007C0C0000}"/>
    <cellStyle name="常规 67 17" xfId="3149" xr:uid="{00000000-0005-0000-0000-00007D0C0000}"/>
    <cellStyle name="常规 67 2" xfId="164" xr:uid="{00000000-0005-0000-0000-0000D4000000}"/>
    <cellStyle name="常规 67 2 2" xfId="2564" xr:uid="{00000000-0005-0000-0000-0000340A0000}"/>
    <cellStyle name="常规 67 3" xfId="245" xr:uid="{00000000-0005-0000-0000-000025010000}"/>
    <cellStyle name="常规 67 4" xfId="197" xr:uid="{00000000-0005-0000-0000-0000F5000000}"/>
    <cellStyle name="常规 67 5" xfId="3150" xr:uid="{00000000-0005-0000-0000-00007E0C0000}"/>
    <cellStyle name="常规 67 6" xfId="3151" xr:uid="{00000000-0005-0000-0000-00007F0C0000}"/>
    <cellStyle name="常规 67 7" xfId="3152" xr:uid="{00000000-0005-0000-0000-0000800C0000}"/>
    <cellStyle name="常规 67 8" xfId="3153" xr:uid="{00000000-0005-0000-0000-0000810C0000}"/>
    <cellStyle name="常规 67 9" xfId="3154" xr:uid="{00000000-0005-0000-0000-0000820C0000}"/>
    <cellStyle name="常规 68" xfId="3156" xr:uid="{00000000-0005-0000-0000-0000840C0000}"/>
    <cellStyle name="常规 68 2" xfId="284" xr:uid="{00000000-0005-0000-0000-00004C010000}"/>
    <cellStyle name="常规 68 2 2" xfId="2082" xr:uid="{00000000-0005-0000-0000-000052080000}"/>
    <cellStyle name="常规 68 3" xfId="288" xr:uid="{00000000-0005-0000-0000-000050010000}"/>
    <cellStyle name="常规 69" xfId="3158" xr:uid="{00000000-0005-0000-0000-0000860C0000}"/>
    <cellStyle name="常规 69 2" xfId="330" xr:uid="{00000000-0005-0000-0000-00007A010000}"/>
    <cellStyle name="常规 69 2 2" xfId="3012" xr:uid="{00000000-0005-0000-0000-0000F40B0000}"/>
    <cellStyle name="常规 69 3" xfId="338" xr:uid="{00000000-0005-0000-0000-000082010000}"/>
    <cellStyle name="常规 7" xfId="3159" xr:uid="{00000000-0005-0000-0000-0000870C0000}"/>
    <cellStyle name="常规 7 10" xfId="3160" xr:uid="{00000000-0005-0000-0000-0000880C0000}"/>
    <cellStyle name="常规 7 11" xfId="3161" xr:uid="{00000000-0005-0000-0000-0000890C0000}"/>
    <cellStyle name="常规 7 12" xfId="3162" xr:uid="{00000000-0005-0000-0000-00008A0C0000}"/>
    <cellStyle name="常规 7 13" xfId="3163" xr:uid="{00000000-0005-0000-0000-00008B0C0000}"/>
    <cellStyle name="常规 7 14" xfId="3164" xr:uid="{00000000-0005-0000-0000-00008C0C0000}"/>
    <cellStyle name="常规 7 15" xfId="3165" xr:uid="{00000000-0005-0000-0000-00008D0C0000}"/>
    <cellStyle name="常规 7 16" xfId="3166" xr:uid="{00000000-0005-0000-0000-00008E0C0000}"/>
    <cellStyle name="常规 7 17" xfId="3167" xr:uid="{00000000-0005-0000-0000-00008F0C0000}"/>
    <cellStyle name="常规 7 17 2" xfId="366" xr:uid="{00000000-0005-0000-0000-00009E010000}"/>
    <cellStyle name="常规 7 17 2 2" xfId="3168" xr:uid="{00000000-0005-0000-0000-0000900C0000}"/>
    <cellStyle name="常规 7 17 3" xfId="374" xr:uid="{00000000-0005-0000-0000-0000A6010000}"/>
    <cellStyle name="常规 7 18" xfId="3170" xr:uid="{00000000-0005-0000-0000-0000920C0000}"/>
    <cellStyle name="常规 7 19" xfId="3172" xr:uid="{00000000-0005-0000-0000-0000940C0000}"/>
    <cellStyle name="常规 7 2" xfId="3173" xr:uid="{00000000-0005-0000-0000-0000950C0000}"/>
    <cellStyle name="常规 7 2 2" xfId="3174" xr:uid="{00000000-0005-0000-0000-0000960C0000}"/>
    <cellStyle name="常规 7 2 3" xfId="3175" xr:uid="{00000000-0005-0000-0000-0000970C0000}"/>
    <cellStyle name="常规 7 2 4" xfId="3176" xr:uid="{00000000-0005-0000-0000-0000980C0000}"/>
    <cellStyle name="常规 7 2 4 2" xfId="3177" xr:uid="{00000000-0005-0000-0000-0000990C0000}"/>
    <cellStyle name="常规 7 3" xfId="3178" xr:uid="{00000000-0005-0000-0000-00009A0C0000}"/>
    <cellStyle name="常规 7 3 2" xfId="3179" xr:uid="{00000000-0005-0000-0000-00009B0C0000}"/>
    <cellStyle name="常规 7 3 3" xfId="3180" xr:uid="{00000000-0005-0000-0000-00009C0C0000}"/>
    <cellStyle name="常规 7 4" xfId="862" xr:uid="{00000000-0005-0000-0000-00008E030000}"/>
    <cellStyle name="常规 7 4 2" xfId="866" xr:uid="{00000000-0005-0000-0000-000092030000}"/>
    <cellStyle name="常规 7 4 3" xfId="3181" xr:uid="{00000000-0005-0000-0000-00009D0C0000}"/>
    <cellStyle name="常规 7 5" xfId="868" xr:uid="{00000000-0005-0000-0000-000094030000}"/>
    <cellStyle name="常规 7 6" xfId="3182" xr:uid="{00000000-0005-0000-0000-00009E0C0000}"/>
    <cellStyle name="常规 7 7" xfId="3183" xr:uid="{00000000-0005-0000-0000-00009F0C0000}"/>
    <cellStyle name="常规 7 8" xfId="3184" xr:uid="{00000000-0005-0000-0000-0000A00C0000}"/>
    <cellStyle name="常规 7 9" xfId="3185" xr:uid="{00000000-0005-0000-0000-0000A10C0000}"/>
    <cellStyle name="常规 70" xfId="3132" xr:uid="{00000000-0005-0000-0000-00006C0C0000}"/>
    <cellStyle name="常规 70 10" xfId="622" xr:uid="{00000000-0005-0000-0000-00009E020000}"/>
    <cellStyle name="常规 70 11" xfId="3188" xr:uid="{00000000-0005-0000-0000-0000A40C0000}"/>
    <cellStyle name="常规 70 12" xfId="3189" xr:uid="{00000000-0005-0000-0000-0000A50C0000}"/>
    <cellStyle name="常规 70 13" xfId="3190" xr:uid="{00000000-0005-0000-0000-0000A60C0000}"/>
    <cellStyle name="常规 70 14" xfId="3191" xr:uid="{00000000-0005-0000-0000-0000A70C0000}"/>
    <cellStyle name="常规 70 15" xfId="3192" xr:uid="{00000000-0005-0000-0000-0000A80C0000}"/>
    <cellStyle name="常规 70 16" xfId="358" xr:uid="{00000000-0005-0000-0000-000096010000}"/>
    <cellStyle name="常规 70 16 2" xfId="360" xr:uid="{00000000-0005-0000-0000-000098010000}"/>
    <cellStyle name="常规 70 16 2 2" xfId="3193" xr:uid="{00000000-0005-0000-0000-0000A90C0000}"/>
    <cellStyle name="常规 70 16 3" xfId="2859" xr:uid="{00000000-0005-0000-0000-00005B0B0000}"/>
    <cellStyle name="常规 70 17" xfId="364" xr:uid="{00000000-0005-0000-0000-00009C010000}"/>
    <cellStyle name="常规 70 2" xfId="98" xr:uid="{00000000-0005-0000-0000-000092000000}"/>
    <cellStyle name="常规 70 2 2" xfId="822" xr:uid="{00000000-0005-0000-0000-000066030000}"/>
    <cellStyle name="常规 70 3" xfId="134" xr:uid="{00000000-0005-0000-0000-0000B6000000}"/>
    <cellStyle name="常规 70 4" xfId="144" xr:uid="{00000000-0005-0000-0000-0000C0000000}"/>
    <cellStyle name="常规 70 5" xfId="3194" xr:uid="{00000000-0005-0000-0000-0000AA0C0000}"/>
    <cellStyle name="常规 70 6" xfId="3195" xr:uid="{00000000-0005-0000-0000-0000AB0C0000}"/>
    <cellStyle name="常规 70 7" xfId="3196" xr:uid="{00000000-0005-0000-0000-0000AC0C0000}"/>
    <cellStyle name="常规 70 8" xfId="3197" xr:uid="{00000000-0005-0000-0000-0000AD0C0000}"/>
    <cellStyle name="常规 70 9" xfId="3198" xr:uid="{00000000-0005-0000-0000-0000AE0C0000}"/>
    <cellStyle name="常规 71" xfId="916" xr:uid="{00000000-0005-0000-0000-0000C4030000}"/>
    <cellStyle name="常规 71 2" xfId="188" xr:uid="{00000000-0005-0000-0000-0000EC000000}"/>
    <cellStyle name="常规 71 2 2" xfId="1282" xr:uid="{00000000-0005-0000-0000-000032050000}"/>
    <cellStyle name="常规 71 3" xfId="193" xr:uid="{00000000-0005-0000-0000-0000F1000000}"/>
    <cellStyle name="常规 72" xfId="919" xr:uid="{00000000-0005-0000-0000-0000C7030000}"/>
    <cellStyle name="常规 72 2" xfId="163" xr:uid="{00000000-0005-0000-0000-0000D3000000}"/>
    <cellStyle name="常规 72 2 2" xfId="2563" xr:uid="{00000000-0005-0000-0000-0000330A0000}"/>
    <cellStyle name="常规 72 3" xfId="244" xr:uid="{00000000-0005-0000-0000-000024010000}"/>
    <cellStyle name="常规 73" xfId="3155" xr:uid="{00000000-0005-0000-0000-0000830C0000}"/>
    <cellStyle name="常规 73 2" xfId="283" xr:uid="{00000000-0005-0000-0000-00004B010000}"/>
    <cellStyle name="常规 73 2 2" xfId="2081" xr:uid="{00000000-0005-0000-0000-000051080000}"/>
    <cellStyle name="常规 73 3" xfId="287" xr:uid="{00000000-0005-0000-0000-00004F010000}"/>
    <cellStyle name="常规 74" xfId="3157" xr:uid="{00000000-0005-0000-0000-0000850C0000}"/>
    <cellStyle name="常规 74 2" xfId="329" xr:uid="{00000000-0005-0000-0000-000079010000}"/>
    <cellStyle name="常规 74 2 2" xfId="3011" xr:uid="{00000000-0005-0000-0000-0000F30B0000}"/>
    <cellStyle name="常规 74 3" xfId="337" xr:uid="{00000000-0005-0000-0000-000081010000}"/>
    <cellStyle name="常规 75" xfId="810" xr:uid="{00000000-0005-0000-0000-00005A030000}"/>
    <cellStyle name="常规 75 2" xfId="401" xr:uid="{00000000-0005-0000-0000-0000C1010000}"/>
    <cellStyle name="常规 75 2 2" xfId="1642" xr:uid="{00000000-0005-0000-0000-00009A060000}"/>
    <cellStyle name="常规 75 3" xfId="406" xr:uid="{00000000-0005-0000-0000-0000C6010000}"/>
    <cellStyle name="常规 76" xfId="3200" xr:uid="{00000000-0005-0000-0000-0000B00C0000}"/>
    <cellStyle name="常规 76 2" xfId="3202" xr:uid="{00000000-0005-0000-0000-0000B20C0000}"/>
    <cellStyle name="常规 76 2 2" xfId="3187" xr:uid="{00000000-0005-0000-0000-0000A30C0000}"/>
    <cellStyle name="常规 76 3" xfId="3204" xr:uid="{00000000-0005-0000-0000-0000B40C0000}"/>
    <cellStyle name="常规 77" xfId="3206" xr:uid="{00000000-0005-0000-0000-0000B60C0000}"/>
    <cellStyle name="常规 77 2" xfId="3208" xr:uid="{00000000-0005-0000-0000-0000B80C0000}"/>
    <cellStyle name="常规 77 2 2" xfId="1471" xr:uid="{00000000-0005-0000-0000-0000EF050000}"/>
    <cellStyle name="常规 77 3" xfId="3210" xr:uid="{00000000-0005-0000-0000-0000BA0C0000}"/>
    <cellStyle name="常规 78" xfId="3212" xr:uid="{00000000-0005-0000-0000-0000BC0C0000}"/>
    <cellStyle name="常规 78 2" xfId="3214" xr:uid="{00000000-0005-0000-0000-0000BE0C0000}"/>
    <cellStyle name="常规 78 2 2" xfId="3217" xr:uid="{00000000-0005-0000-0000-0000C10C0000}"/>
    <cellStyle name="常规 78 3" xfId="3219" xr:uid="{00000000-0005-0000-0000-0000C30C0000}"/>
    <cellStyle name="常规 79" xfId="3221" xr:uid="{00000000-0005-0000-0000-0000C50C0000}"/>
    <cellStyle name="常规 79 2" xfId="3223" xr:uid="{00000000-0005-0000-0000-0000C70C0000}"/>
    <cellStyle name="常规 79 2 2" xfId="3226" xr:uid="{00000000-0005-0000-0000-0000CA0C0000}"/>
    <cellStyle name="常规 79 3" xfId="3228" xr:uid="{00000000-0005-0000-0000-0000CC0C0000}"/>
    <cellStyle name="常规 8" xfId="3229" xr:uid="{00000000-0005-0000-0000-0000CD0C0000}"/>
    <cellStyle name="常规 8 10" xfId="3230" xr:uid="{00000000-0005-0000-0000-0000CE0C0000}"/>
    <cellStyle name="常规 8 11" xfId="3231" xr:uid="{00000000-0005-0000-0000-0000CF0C0000}"/>
    <cellStyle name="常规 8 12" xfId="3232" xr:uid="{00000000-0005-0000-0000-0000D00C0000}"/>
    <cellStyle name="常规 8 13" xfId="3233" xr:uid="{00000000-0005-0000-0000-0000D10C0000}"/>
    <cellStyle name="常规 8 14" xfId="3234" xr:uid="{00000000-0005-0000-0000-0000D20C0000}"/>
    <cellStyle name="常规 8 15" xfId="3235" xr:uid="{00000000-0005-0000-0000-0000D30C0000}"/>
    <cellStyle name="常规 8 16" xfId="3236" xr:uid="{00000000-0005-0000-0000-0000D40C0000}"/>
    <cellStyle name="常规 8 17" xfId="3237" xr:uid="{00000000-0005-0000-0000-0000D50C0000}"/>
    <cellStyle name="常规 8 17 2" xfId="3238" xr:uid="{00000000-0005-0000-0000-0000D60C0000}"/>
    <cellStyle name="常规 8 17 2 2" xfId="3239" xr:uid="{00000000-0005-0000-0000-0000D70C0000}"/>
    <cellStyle name="常规 8 17 3" xfId="3240" xr:uid="{00000000-0005-0000-0000-0000D80C0000}"/>
    <cellStyle name="常规 8 18" xfId="3241" xr:uid="{00000000-0005-0000-0000-0000D90C0000}"/>
    <cellStyle name="常规 8 18 2" xfId="3242" xr:uid="{00000000-0005-0000-0000-0000DA0C0000}"/>
    <cellStyle name="常规 8 18 3" xfId="3243" xr:uid="{00000000-0005-0000-0000-0000DB0C0000}"/>
    <cellStyle name="常规 8 18 4" xfId="3244" xr:uid="{00000000-0005-0000-0000-0000DC0C0000}"/>
    <cellStyle name="常规 8 19" xfId="3245" xr:uid="{00000000-0005-0000-0000-0000DD0C0000}"/>
    <cellStyle name="常规 8 2" xfId="3247" xr:uid="{00000000-0005-0000-0000-0000DF0C0000}"/>
    <cellStyle name="常规 8 2 2" xfId="2338" xr:uid="{00000000-0005-0000-0000-000052090000}"/>
    <cellStyle name="常规 8 2 3" xfId="2341" xr:uid="{00000000-0005-0000-0000-000055090000}"/>
    <cellStyle name="常规 8 2 4" xfId="2372" xr:uid="{00000000-0005-0000-0000-000074090000}"/>
    <cellStyle name="常规 8 2 4 2" xfId="3248" xr:uid="{00000000-0005-0000-0000-0000E00C0000}"/>
    <cellStyle name="常规 8 2 5" xfId="2375" xr:uid="{00000000-0005-0000-0000-000077090000}"/>
    <cellStyle name="常规 8 3" xfId="3250" xr:uid="{00000000-0005-0000-0000-0000E20C0000}"/>
    <cellStyle name="常规 8 3 2" xfId="2499" xr:uid="{00000000-0005-0000-0000-0000F3090000}"/>
    <cellStyle name="常规 8 3 3" xfId="2502" xr:uid="{00000000-0005-0000-0000-0000F6090000}"/>
    <cellStyle name="常规 8 4" xfId="801" xr:uid="{00000000-0005-0000-0000-000051030000}"/>
    <cellStyle name="常规 8 5" xfId="876" xr:uid="{00000000-0005-0000-0000-00009C030000}"/>
    <cellStyle name="常规 8 6" xfId="591" xr:uid="{00000000-0005-0000-0000-00007F020000}"/>
    <cellStyle name="常规 8 7" xfId="3251" xr:uid="{00000000-0005-0000-0000-0000E30C0000}"/>
    <cellStyle name="常规 8 8" xfId="3252" xr:uid="{00000000-0005-0000-0000-0000E40C0000}"/>
    <cellStyle name="常规 8 9" xfId="3074" xr:uid="{00000000-0005-0000-0000-0000320C0000}"/>
    <cellStyle name="常规 80" xfId="809" xr:uid="{00000000-0005-0000-0000-000059030000}"/>
    <cellStyle name="常规 80 10" xfId="1452" xr:uid="{00000000-0005-0000-0000-0000DC050000}"/>
    <cellStyle name="常规 80 11" xfId="1470" xr:uid="{00000000-0005-0000-0000-0000EE050000}"/>
    <cellStyle name="常规 80 12" xfId="1483" xr:uid="{00000000-0005-0000-0000-0000FB050000}"/>
    <cellStyle name="常规 80 13" xfId="1494" xr:uid="{00000000-0005-0000-0000-000006060000}"/>
    <cellStyle name="常规 80 14" xfId="1565" xr:uid="{00000000-0005-0000-0000-00004D060000}"/>
    <cellStyle name="常规 80 15" xfId="1571" xr:uid="{00000000-0005-0000-0000-000053060000}"/>
    <cellStyle name="常规 80 16" xfId="1576" xr:uid="{00000000-0005-0000-0000-000058060000}"/>
    <cellStyle name="常规 80 16 2" xfId="1673" xr:uid="{00000000-0005-0000-0000-0000B9060000}"/>
    <cellStyle name="常规 80 16 2 2" xfId="794" xr:uid="{00000000-0005-0000-0000-00004A030000}"/>
    <cellStyle name="常规 80 16 3" xfId="1677" xr:uid="{00000000-0005-0000-0000-0000BD060000}"/>
    <cellStyle name="常规 80 17" xfId="1581" xr:uid="{00000000-0005-0000-0000-00005D060000}"/>
    <cellStyle name="常规 80 2" xfId="400" xr:uid="{00000000-0005-0000-0000-0000C0010000}"/>
    <cellStyle name="常规 80 2 2" xfId="1641" xr:uid="{00000000-0005-0000-0000-000099060000}"/>
    <cellStyle name="常规 80 3" xfId="405" xr:uid="{00000000-0005-0000-0000-0000C5010000}"/>
    <cellStyle name="常规 80 4" xfId="418" xr:uid="{00000000-0005-0000-0000-0000D2010000}"/>
    <cellStyle name="常规 80 5" xfId="3253" xr:uid="{00000000-0005-0000-0000-0000E50C0000}"/>
    <cellStyle name="常规 80 6" xfId="3254" xr:uid="{00000000-0005-0000-0000-0000E60C0000}"/>
    <cellStyle name="常规 80 7" xfId="3255" xr:uid="{00000000-0005-0000-0000-0000E70C0000}"/>
    <cellStyle name="常规 80 8" xfId="3256" xr:uid="{00000000-0005-0000-0000-0000E80C0000}"/>
    <cellStyle name="常规 80 9" xfId="3257" xr:uid="{00000000-0005-0000-0000-0000E90C0000}"/>
    <cellStyle name="常规 81" xfId="3199" xr:uid="{00000000-0005-0000-0000-0000AF0C0000}"/>
    <cellStyle name="常规 81 10" xfId="3258" xr:uid="{00000000-0005-0000-0000-0000EA0C0000}"/>
    <cellStyle name="常规 81 11" xfId="3259" xr:uid="{00000000-0005-0000-0000-0000EB0C0000}"/>
    <cellStyle name="常规 81 12" xfId="3260" xr:uid="{00000000-0005-0000-0000-0000EC0C0000}"/>
    <cellStyle name="常规 81 13" xfId="3261" xr:uid="{00000000-0005-0000-0000-0000ED0C0000}"/>
    <cellStyle name="常规 81 14" xfId="3262" xr:uid="{00000000-0005-0000-0000-0000EE0C0000}"/>
    <cellStyle name="常规 81 15" xfId="3263" xr:uid="{00000000-0005-0000-0000-0000EF0C0000}"/>
    <cellStyle name="常规 81 16" xfId="3264" xr:uid="{00000000-0005-0000-0000-0000F00C0000}"/>
    <cellStyle name="常规 81 16 2" xfId="472" xr:uid="{00000000-0005-0000-0000-000008020000}"/>
    <cellStyle name="常规 81 16 2 2" xfId="742" xr:uid="{00000000-0005-0000-0000-000016030000}"/>
    <cellStyle name="常规 81 16 3" xfId="3265" xr:uid="{00000000-0005-0000-0000-0000F10C0000}"/>
    <cellStyle name="常规 81 17" xfId="3266" xr:uid="{00000000-0005-0000-0000-0000F20C0000}"/>
    <cellStyle name="常规 81 2" xfId="3201" xr:uid="{00000000-0005-0000-0000-0000B10C0000}"/>
    <cellStyle name="常规 81 2 2" xfId="3186" xr:uid="{00000000-0005-0000-0000-0000A20C0000}"/>
    <cellStyle name="常规 81 3" xfId="3203" xr:uid="{00000000-0005-0000-0000-0000B30C0000}"/>
    <cellStyle name="常规 81 4" xfId="3267" xr:uid="{00000000-0005-0000-0000-0000F30C0000}"/>
    <cellStyle name="常规 81 5" xfId="3268" xr:uid="{00000000-0005-0000-0000-0000F40C0000}"/>
    <cellStyle name="常规 81 6" xfId="3269" xr:uid="{00000000-0005-0000-0000-0000F50C0000}"/>
    <cellStyle name="常规 81 7" xfId="3270" xr:uid="{00000000-0005-0000-0000-0000F60C0000}"/>
    <cellStyle name="常规 81 8" xfId="3271" xr:uid="{00000000-0005-0000-0000-0000F70C0000}"/>
    <cellStyle name="常规 81 9" xfId="3272" xr:uid="{00000000-0005-0000-0000-0000F80C0000}"/>
    <cellStyle name="常规 82" xfId="3205" xr:uid="{00000000-0005-0000-0000-0000B50C0000}"/>
    <cellStyle name="常规 82 10" xfId="2889" xr:uid="{00000000-0005-0000-0000-0000790B0000}"/>
    <cellStyle name="常规 82 11" xfId="4" xr:uid="{00000000-0005-0000-0000-000006000000}"/>
    <cellStyle name="常规 82 12" xfId="3007" xr:uid="{00000000-0005-0000-0000-0000EF0B0000}"/>
    <cellStyle name="常规 82 13" xfId="3035" xr:uid="{00000000-0005-0000-0000-00000B0C0000}"/>
    <cellStyle name="常规 82 14" xfId="3047" xr:uid="{00000000-0005-0000-0000-0000170C0000}"/>
    <cellStyle name="常规 82 15" xfId="3058" xr:uid="{00000000-0005-0000-0000-0000220C0000}"/>
    <cellStyle name="常规 82 16" xfId="3067" xr:uid="{00000000-0005-0000-0000-00002B0C0000}"/>
    <cellStyle name="常规 82 16 2" xfId="3070" xr:uid="{00000000-0005-0000-0000-00002E0C0000}"/>
    <cellStyle name="常规 82 16 2 2" xfId="3073" xr:uid="{00000000-0005-0000-0000-0000310C0000}"/>
    <cellStyle name="常规 82 16 3" xfId="3077" xr:uid="{00000000-0005-0000-0000-0000350C0000}"/>
    <cellStyle name="常规 82 17" xfId="3090" xr:uid="{00000000-0005-0000-0000-0000420C0000}"/>
    <cellStyle name="常规 82 2" xfId="3207" xr:uid="{00000000-0005-0000-0000-0000B70C0000}"/>
    <cellStyle name="常规 82 2 2" xfId="1469" xr:uid="{00000000-0005-0000-0000-0000ED050000}"/>
    <cellStyle name="常规 82 3" xfId="3209" xr:uid="{00000000-0005-0000-0000-0000B90C0000}"/>
    <cellStyle name="常规 82 4" xfId="3274" xr:uid="{00000000-0005-0000-0000-0000FA0C0000}"/>
    <cellStyle name="常规 82 5" xfId="3276" xr:uid="{00000000-0005-0000-0000-0000FC0C0000}"/>
    <cellStyle name="常规 82 6" xfId="3278" xr:uid="{00000000-0005-0000-0000-0000FE0C0000}"/>
    <cellStyle name="常规 82 7" xfId="3279" xr:uid="{00000000-0005-0000-0000-0000FF0C0000}"/>
    <cellStyle name="常规 82 8" xfId="3280" xr:uid="{00000000-0005-0000-0000-0000000D0000}"/>
    <cellStyle name="常规 82 9" xfId="3281" xr:uid="{00000000-0005-0000-0000-0000010D0000}"/>
    <cellStyle name="常规 83" xfId="3211" xr:uid="{00000000-0005-0000-0000-0000BB0C0000}"/>
    <cellStyle name="常规 83 10" xfId="13" xr:uid="{00000000-0005-0000-0000-000018000000}"/>
    <cellStyle name="常规 83 11" xfId="834" xr:uid="{00000000-0005-0000-0000-000072030000}"/>
    <cellStyle name="常规 83 12" xfId="3282" xr:uid="{00000000-0005-0000-0000-0000020D0000}"/>
    <cellStyle name="常规 83 13" xfId="3283" xr:uid="{00000000-0005-0000-0000-0000030D0000}"/>
    <cellStyle name="常规 83 14" xfId="3284" xr:uid="{00000000-0005-0000-0000-0000040D0000}"/>
    <cellStyle name="常规 83 15" xfId="3285" xr:uid="{00000000-0005-0000-0000-0000050D0000}"/>
    <cellStyle name="常规 83 16" xfId="685" xr:uid="{00000000-0005-0000-0000-0000DD020000}"/>
    <cellStyle name="常规 83 16 2" xfId="3286" xr:uid="{00000000-0005-0000-0000-0000060D0000}"/>
    <cellStyle name="常规 83 16 2 2" xfId="3287" xr:uid="{00000000-0005-0000-0000-0000070D0000}"/>
    <cellStyle name="常规 83 16 3" xfId="3288" xr:uid="{00000000-0005-0000-0000-0000080D0000}"/>
    <cellStyle name="常规 83 17" xfId="3289" xr:uid="{00000000-0005-0000-0000-0000090D0000}"/>
    <cellStyle name="常规 83 2" xfId="3213" xr:uid="{00000000-0005-0000-0000-0000BD0C0000}"/>
    <cellStyle name="常规 83 2 2" xfId="3216" xr:uid="{00000000-0005-0000-0000-0000C00C0000}"/>
    <cellStyle name="常规 83 3" xfId="3218" xr:uid="{00000000-0005-0000-0000-0000C20C0000}"/>
    <cellStyle name="常规 83 3 2" xfId="3290" xr:uid="{00000000-0005-0000-0000-00000A0D0000}"/>
    <cellStyle name="常规 83 3 3" xfId="306" xr:uid="{00000000-0005-0000-0000-000062010000}"/>
    <cellStyle name="常规 83 4" xfId="3291" xr:uid="{00000000-0005-0000-0000-00000B0D0000}"/>
    <cellStyle name="常规 83 5" xfId="3292" xr:uid="{00000000-0005-0000-0000-00000C0D0000}"/>
    <cellStyle name="常规 83 6" xfId="3294" xr:uid="{00000000-0005-0000-0000-00000E0D0000}"/>
    <cellStyle name="常规 83 7" xfId="3296" xr:uid="{00000000-0005-0000-0000-0000100D0000}"/>
    <cellStyle name="常规 83 8" xfId="3298" xr:uid="{00000000-0005-0000-0000-0000120D0000}"/>
    <cellStyle name="常规 83 9" xfId="3299" xr:uid="{00000000-0005-0000-0000-0000130D0000}"/>
    <cellStyle name="常规 84" xfId="3220" xr:uid="{00000000-0005-0000-0000-0000C40C0000}"/>
    <cellStyle name="常规 84 10" xfId="3300" xr:uid="{00000000-0005-0000-0000-0000140D0000}"/>
    <cellStyle name="常规 84 11" xfId="3301" xr:uid="{00000000-0005-0000-0000-0000150D0000}"/>
    <cellStyle name="常规 84 12" xfId="3302" xr:uid="{00000000-0005-0000-0000-0000160D0000}"/>
    <cellStyle name="常规 84 13" xfId="3304" xr:uid="{00000000-0005-0000-0000-0000180D0000}"/>
    <cellStyle name="常规 84 14" xfId="1182" xr:uid="{00000000-0005-0000-0000-0000CE040000}"/>
    <cellStyle name="常规 84 15" xfId="3305" xr:uid="{00000000-0005-0000-0000-0000190D0000}"/>
    <cellStyle name="常规 84 16" xfId="3306" xr:uid="{00000000-0005-0000-0000-00001A0D0000}"/>
    <cellStyle name="常规 84 16 2" xfId="3307" xr:uid="{00000000-0005-0000-0000-00001B0D0000}"/>
    <cellStyle name="常规 84 16 2 2" xfId="3308" xr:uid="{00000000-0005-0000-0000-00001C0D0000}"/>
    <cellStyle name="常规 84 16 3" xfId="3309" xr:uid="{00000000-0005-0000-0000-00001D0D0000}"/>
    <cellStyle name="常规 84 17" xfId="3310" xr:uid="{00000000-0005-0000-0000-00001E0D0000}"/>
    <cellStyle name="常规 84 2" xfId="3222" xr:uid="{00000000-0005-0000-0000-0000C60C0000}"/>
    <cellStyle name="常规 84 2 2" xfId="3225" xr:uid="{00000000-0005-0000-0000-0000C90C0000}"/>
    <cellStyle name="常规 84 3" xfId="3227" xr:uid="{00000000-0005-0000-0000-0000CB0C0000}"/>
    <cellStyle name="常规 84 4" xfId="3311" xr:uid="{00000000-0005-0000-0000-00001F0D0000}"/>
    <cellStyle name="常规 84 5" xfId="3312" xr:uid="{00000000-0005-0000-0000-0000200D0000}"/>
    <cellStyle name="常规 84 6" xfId="3313" xr:uid="{00000000-0005-0000-0000-0000210D0000}"/>
    <cellStyle name="常规 84 7" xfId="3314" xr:uid="{00000000-0005-0000-0000-0000220D0000}"/>
    <cellStyle name="常规 84 8" xfId="3315" xr:uid="{00000000-0005-0000-0000-0000230D0000}"/>
    <cellStyle name="常规 84 9" xfId="3316" xr:uid="{00000000-0005-0000-0000-0000240D0000}"/>
    <cellStyle name="常规 85" xfId="47" xr:uid="{00000000-0005-0000-0000-000047000000}"/>
    <cellStyle name="常规 85 10" xfId="3317" xr:uid="{00000000-0005-0000-0000-0000250D0000}"/>
    <cellStyle name="常规 85 11" xfId="3215" xr:uid="{00000000-0005-0000-0000-0000BF0C0000}"/>
    <cellStyle name="常规 85 12" xfId="3318" xr:uid="{00000000-0005-0000-0000-0000260D0000}"/>
    <cellStyle name="常规 85 13" xfId="3319" xr:uid="{00000000-0005-0000-0000-0000270D0000}"/>
    <cellStyle name="常规 85 14" xfId="3320" xr:uid="{00000000-0005-0000-0000-0000280D0000}"/>
    <cellStyle name="常规 85 15" xfId="812" xr:uid="{00000000-0005-0000-0000-00005C030000}"/>
    <cellStyle name="常规 85 16" xfId="3321" xr:uid="{00000000-0005-0000-0000-0000290D0000}"/>
    <cellStyle name="常规 85 16 2" xfId="3322" xr:uid="{00000000-0005-0000-0000-00002A0D0000}"/>
    <cellStyle name="常规 85 16 2 2" xfId="2561" xr:uid="{00000000-0005-0000-0000-0000310A0000}"/>
    <cellStyle name="常规 85 16 3" xfId="3323" xr:uid="{00000000-0005-0000-0000-00002B0D0000}"/>
    <cellStyle name="常规 85 17" xfId="3324" xr:uid="{00000000-0005-0000-0000-00002C0D0000}"/>
    <cellStyle name="常规 85 2" xfId="3327" xr:uid="{00000000-0005-0000-0000-00002F0D0000}"/>
    <cellStyle name="常规 85 2 2" xfId="3330" xr:uid="{00000000-0005-0000-0000-0000320D0000}"/>
    <cellStyle name="常规 85 3" xfId="3333" xr:uid="{00000000-0005-0000-0000-0000350D0000}"/>
    <cellStyle name="常规 85 4" xfId="3335" xr:uid="{00000000-0005-0000-0000-0000370D0000}"/>
    <cellStyle name="常规 85 5" xfId="3337" xr:uid="{00000000-0005-0000-0000-0000390D0000}"/>
    <cellStyle name="常规 85 6" xfId="3339" xr:uid="{00000000-0005-0000-0000-00003B0D0000}"/>
    <cellStyle name="常规 85 7" xfId="3341" xr:uid="{00000000-0005-0000-0000-00003D0D0000}"/>
    <cellStyle name="常规 85 8" xfId="3343" xr:uid="{00000000-0005-0000-0000-00003F0D0000}"/>
    <cellStyle name="常规 85 9" xfId="3345" xr:uid="{00000000-0005-0000-0000-0000410D0000}"/>
    <cellStyle name="常规 86" xfId="3347" xr:uid="{00000000-0005-0000-0000-0000430D0000}"/>
    <cellStyle name="常规 86 10" xfId="3349" xr:uid="{00000000-0005-0000-0000-0000450D0000}"/>
    <cellStyle name="常规 86 11" xfId="3352" xr:uid="{00000000-0005-0000-0000-0000480D0000}"/>
    <cellStyle name="常规 86 12" xfId="3354" xr:uid="{00000000-0005-0000-0000-00004A0D0000}"/>
    <cellStyle name="常规 86 13" xfId="3356" xr:uid="{00000000-0005-0000-0000-00004C0D0000}"/>
    <cellStyle name="常规 86 14" xfId="3358" xr:uid="{00000000-0005-0000-0000-00004E0D0000}"/>
    <cellStyle name="常规 86 15" xfId="3360" xr:uid="{00000000-0005-0000-0000-0000500D0000}"/>
    <cellStyle name="常规 86 16" xfId="3362" xr:uid="{00000000-0005-0000-0000-0000520D0000}"/>
    <cellStyle name="常规 86 16 2" xfId="3364" xr:uid="{00000000-0005-0000-0000-0000540D0000}"/>
    <cellStyle name="常规 86 16 2 2" xfId="3366" xr:uid="{00000000-0005-0000-0000-0000560D0000}"/>
    <cellStyle name="常规 86 16 3" xfId="3368" xr:uid="{00000000-0005-0000-0000-0000580D0000}"/>
    <cellStyle name="常规 86 17" xfId="3370" xr:uid="{00000000-0005-0000-0000-00005A0D0000}"/>
    <cellStyle name="常规 86 2" xfId="3373" xr:uid="{00000000-0005-0000-0000-00005D0D0000}"/>
    <cellStyle name="常规 86 2 2" xfId="3376" xr:uid="{00000000-0005-0000-0000-0000600D0000}"/>
    <cellStyle name="常规 86 3" xfId="3378" xr:uid="{00000000-0005-0000-0000-0000620D0000}"/>
    <cellStyle name="常规 86 4" xfId="3380" xr:uid="{00000000-0005-0000-0000-0000640D0000}"/>
    <cellStyle name="常规 86 5" xfId="3382" xr:uid="{00000000-0005-0000-0000-0000660D0000}"/>
    <cellStyle name="常规 86 6" xfId="3384" xr:uid="{00000000-0005-0000-0000-0000680D0000}"/>
    <cellStyle name="常规 86 7" xfId="3386" xr:uid="{00000000-0005-0000-0000-00006A0D0000}"/>
    <cellStyle name="常规 86 8" xfId="3388" xr:uid="{00000000-0005-0000-0000-00006C0D0000}"/>
    <cellStyle name="常规 86 9" xfId="3390" xr:uid="{00000000-0005-0000-0000-00006E0D0000}"/>
    <cellStyle name="常规 87" xfId="3392" xr:uid="{00000000-0005-0000-0000-0000700D0000}"/>
    <cellStyle name="常规 87 2" xfId="463" xr:uid="{00000000-0005-0000-0000-0000FF010000}"/>
    <cellStyle name="常规 87 2 2" xfId="3393" xr:uid="{00000000-0005-0000-0000-0000710D0000}"/>
    <cellStyle name="常规 87 3" xfId="109" xr:uid="{00000000-0005-0000-0000-00009D000000}"/>
    <cellStyle name="常规 87 4" xfId="92" xr:uid="{00000000-0005-0000-0000-00008C000000}"/>
    <cellStyle name="常规 87 4 2" xfId="104" xr:uid="{00000000-0005-0000-0000-000098000000}"/>
    <cellStyle name="常规 87 4 2 2" xfId="106" xr:uid="{00000000-0005-0000-0000-00009A000000}"/>
    <cellStyle name="常规 87 4 3" xfId="112" xr:uid="{00000000-0005-0000-0000-0000A0000000}"/>
    <cellStyle name="常规 87 5" xfId="116" xr:uid="{00000000-0005-0000-0000-0000A4000000}"/>
    <cellStyle name="常规 87 6" xfId="120" xr:uid="{00000000-0005-0000-0000-0000A8000000}"/>
    <cellStyle name="常规 87 6 2" xfId="125" xr:uid="{00000000-0005-0000-0000-0000AD000000}"/>
    <cellStyle name="常规 87 7" xfId="129" xr:uid="{00000000-0005-0000-0000-0000B1000000}"/>
    <cellStyle name="常规 88" xfId="3395" xr:uid="{00000000-0005-0000-0000-0000730D0000}"/>
    <cellStyle name="常规 88 10" xfId="2777" xr:uid="{00000000-0005-0000-0000-0000090B0000}"/>
    <cellStyle name="常规 88 11" xfId="2577" xr:uid="{00000000-0005-0000-0000-0000410A0000}"/>
    <cellStyle name="常规 88 12" xfId="3397" xr:uid="{00000000-0005-0000-0000-0000750D0000}"/>
    <cellStyle name="常规 88 13" xfId="3399" xr:uid="{00000000-0005-0000-0000-0000770D0000}"/>
    <cellStyle name="常规 88 14" xfId="456" xr:uid="{00000000-0005-0000-0000-0000F8010000}"/>
    <cellStyle name="常规 88 15" xfId="659" xr:uid="{00000000-0005-0000-0000-0000C3020000}"/>
    <cellStyle name="常规 88 16" xfId="662" xr:uid="{00000000-0005-0000-0000-0000C6020000}"/>
    <cellStyle name="常规 88 16 2" xfId="3401" xr:uid="{00000000-0005-0000-0000-0000790D0000}"/>
    <cellStyle name="常规 88 16 2 2" xfId="3403" xr:uid="{00000000-0005-0000-0000-00007B0D0000}"/>
    <cellStyle name="常规 88 16 3" xfId="3405" xr:uid="{00000000-0005-0000-0000-00007D0D0000}"/>
    <cellStyle name="常规 88 17" xfId="666" xr:uid="{00000000-0005-0000-0000-0000CA020000}"/>
    <cellStyle name="常规 88 2" xfId="3407" xr:uid="{00000000-0005-0000-0000-00007F0D0000}"/>
    <cellStyle name="常规 88 2 2" xfId="3409" xr:uid="{00000000-0005-0000-0000-0000810D0000}"/>
    <cellStyle name="常规 88 3" xfId="3411" xr:uid="{00000000-0005-0000-0000-0000830D0000}"/>
    <cellStyle name="常规 88 4" xfId="3413" xr:uid="{00000000-0005-0000-0000-0000850D0000}"/>
    <cellStyle name="常规 88 5" xfId="3415" xr:uid="{00000000-0005-0000-0000-0000870D0000}"/>
    <cellStyle name="常规 88 6" xfId="3135" xr:uid="{00000000-0005-0000-0000-00006F0C0000}"/>
    <cellStyle name="常规 88 7" xfId="3138" xr:uid="{00000000-0005-0000-0000-0000720C0000}"/>
    <cellStyle name="常规 88 8" xfId="3141" xr:uid="{00000000-0005-0000-0000-0000750C0000}"/>
    <cellStyle name="常规 88 9" xfId="3144" xr:uid="{00000000-0005-0000-0000-0000780C0000}"/>
    <cellStyle name="常规 89" xfId="3417" xr:uid="{00000000-0005-0000-0000-0000890D0000}"/>
    <cellStyle name="常规 9" xfId="3418" xr:uid="{00000000-0005-0000-0000-00008A0D0000}"/>
    <cellStyle name="常规 9 10" xfId="3419" xr:uid="{00000000-0005-0000-0000-00008B0D0000}"/>
    <cellStyle name="常规 9 10 2" xfId="3420" xr:uid="{00000000-0005-0000-0000-00008C0D0000}"/>
    <cellStyle name="常规 9 10 3" xfId="3421" xr:uid="{00000000-0005-0000-0000-00008D0D0000}"/>
    <cellStyle name="常规 9 11" xfId="1523" xr:uid="{00000000-0005-0000-0000-000023060000}"/>
    <cellStyle name="常规 9 12" xfId="1134" xr:uid="{00000000-0005-0000-0000-00009E040000}"/>
    <cellStyle name="常规 9 13" xfId="1139" xr:uid="{00000000-0005-0000-0000-0000A3040000}"/>
    <cellStyle name="常规 9 14" xfId="1142" xr:uid="{00000000-0005-0000-0000-0000A6040000}"/>
    <cellStyle name="常规 9 15" xfId="3422" xr:uid="{00000000-0005-0000-0000-00008E0D0000}"/>
    <cellStyle name="常规 9 16" xfId="3423" xr:uid="{00000000-0005-0000-0000-00008F0D0000}"/>
    <cellStyle name="常规 9 17" xfId="3424" xr:uid="{00000000-0005-0000-0000-0000900D0000}"/>
    <cellStyle name="常规 9 17 2" xfId="3425" xr:uid="{00000000-0005-0000-0000-0000910D0000}"/>
    <cellStyle name="常规 9 17 2 2" xfId="3426" xr:uid="{00000000-0005-0000-0000-0000920D0000}"/>
    <cellStyle name="常规 9 17 3" xfId="3427" xr:uid="{00000000-0005-0000-0000-0000930D0000}"/>
    <cellStyle name="常规 9 18" xfId="3428" xr:uid="{00000000-0005-0000-0000-0000940D0000}"/>
    <cellStyle name="常规 9 2" xfId="291" xr:uid="{00000000-0005-0000-0000-000053010000}"/>
    <cellStyle name="常规 9 2 2" xfId="3430" xr:uid="{00000000-0005-0000-0000-0000960D0000}"/>
    <cellStyle name="常规 9 2 2 2" xfId="1017" xr:uid="{00000000-0005-0000-0000-000029040000}"/>
    <cellStyle name="常规 9 2 2 3" xfId="3431" xr:uid="{00000000-0005-0000-0000-0000970D0000}"/>
    <cellStyle name="常规 9 2 3" xfId="3433" xr:uid="{00000000-0005-0000-0000-0000990D0000}"/>
    <cellStyle name="常规 9 2 4" xfId="3435" xr:uid="{00000000-0005-0000-0000-00009B0D0000}"/>
    <cellStyle name="常规 9 2 4 2" xfId="1042" xr:uid="{00000000-0005-0000-0000-000042040000}"/>
    <cellStyle name="常规 9 3" xfId="433" xr:uid="{00000000-0005-0000-0000-0000E1010000}"/>
    <cellStyle name="常规 9 3 2" xfId="3436" xr:uid="{00000000-0005-0000-0000-00009C0D0000}"/>
    <cellStyle name="常规 9 3 3" xfId="3437" xr:uid="{00000000-0005-0000-0000-00009D0D0000}"/>
    <cellStyle name="常规 9 4" xfId="435" xr:uid="{00000000-0005-0000-0000-0000E3010000}"/>
    <cellStyle name="常规 9 4 2" xfId="879" xr:uid="{00000000-0005-0000-0000-00009F030000}"/>
    <cellStyle name="常规 9 4 3" xfId="3438" xr:uid="{00000000-0005-0000-0000-00009E0D0000}"/>
    <cellStyle name="常规 9 5" xfId="440" xr:uid="{00000000-0005-0000-0000-0000E8010000}"/>
    <cellStyle name="常规 9 5 2" xfId="3439" xr:uid="{00000000-0005-0000-0000-00009F0D0000}"/>
    <cellStyle name="常规 9 5 3" xfId="3440" xr:uid="{00000000-0005-0000-0000-0000A00D0000}"/>
    <cellStyle name="常规 9 6" xfId="445" xr:uid="{00000000-0005-0000-0000-0000ED010000}"/>
    <cellStyle name="常规 9 6 2" xfId="3441" xr:uid="{00000000-0005-0000-0000-0000A10D0000}"/>
    <cellStyle name="常规 9 6 3" xfId="3442" xr:uid="{00000000-0005-0000-0000-0000A20D0000}"/>
    <cellStyle name="常规 9 7" xfId="447" xr:uid="{00000000-0005-0000-0000-0000EF010000}"/>
    <cellStyle name="常规 9 7 2" xfId="41" xr:uid="{00000000-0005-0000-0000-00003D000000}"/>
    <cellStyle name="常规 9 7 3" xfId="3443" xr:uid="{00000000-0005-0000-0000-0000A30D0000}"/>
    <cellStyle name="常规 9 8" xfId="452" xr:uid="{00000000-0005-0000-0000-0000F4010000}"/>
    <cellStyle name="常规 9 8 2" xfId="3444" xr:uid="{00000000-0005-0000-0000-0000A40D0000}"/>
    <cellStyle name="常规 9 8 3" xfId="3445" xr:uid="{00000000-0005-0000-0000-0000A50D0000}"/>
    <cellStyle name="常规 9 9" xfId="3446" xr:uid="{00000000-0005-0000-0000-0000A60D0000}"/>
    <cellStyle name="常规 9 9 2" xfId="2837" xr:uid="{00000000-0005-0000-0000-0000450B0000}"/>
    <cellStyle name="常规 9 9 3" xfId="3447" xr:uid="{00000000-0005-0000-0000-0000A70D0000}"/>
    <cellStyle name="常规 90" xfId="46" xr:uid="{00000000-0005-0000-0000-000046000000}"/>
    <cellStyle name="常规 90 2" xfId="3326" xr:uid="{00000000-0005-0000-0000-00002E0D0000}"/>
    <cellStyle name="常规 90 2 2" xfId="3329" xr:uid="{00000000-0005-0000-0000-0000310D0000}"/>
    <cellStyle name="常规 90 2 2 2" xfId="2386" xr:uid="{00000000-0005-0000-0000-000082090000}"/>
    <cellStyle name="常规 90 2 2 2 2" xfId="2388" xr:uid="{00000000-0005-0000-0000-000084090000}"/>
    <cellStyle name="常规 90 2 2 3" xfId="2391" xr:uid="{00000000-0005-0000-0000-000087090000}"/>
    <cellStyle name="常规 90 2 3" xfId="3449" xr:uid="{00000000-0005-0000-0000-0000A90D0000}"/>
    <cellStyle name="常规 90 2 4" xfId="3451" xr:uid="{00000000-0005-0000-0000-0000AB0D0000}"/>
    <cellStyle name="常规 90 2 4 2" xfId="2402" xr:uid="{00000000-0005-0000-0000-000092090000}"/>
    <cellStyle name="常规 90 2 5" xfId="3452" xr:uid="{00000000-0005-0000-0000-0000AC0D0000}"/>
    <cellStyle name="常规 90 3" xfId="3332" xr:uid="{00000000-0005-0000-0000-0000340D0000}"/>
    <cellStyle name="常规 91" xfId="3346" xr:uid="{00000000-0005-0000-0000-0000420D0000}"/>
    <cellStyle name="常规 91 10" xfId="3348" xr:uid="{00000000-0005-0000-0000-0000440D0000}"/>
    <cellStyle name="常规 91 11" xfId="3351" xr:uid="{00000000-0005-0000-0000-0000470D0000}"/>
    <cellStyle name="常规 91 12" xfId="3353" xr:uid="{00000000-0005-0000-0000-0000490D0000}"/>
    <cellStyle name="常规 91 13" xfId="3355" xr:uid="{00000000-0005-0000-0000-00004B0D0000}"/>
    <cellStyle name="常规 91 14" xfId="3357" xr:uid="{00000000-0005-0000-0000-00004D0D0000}"/>
    <cellStyle name="常规 91 15" xfId="3359" xr:uid="{00000000-0005-0000-0000-00004F0D0000}"/>
    <cellStyle name="常规 91 16" xfId="3361" xr:uid="{00000000-0005-0000-0000-0000510D0000}"/>
    <cellStyle name="常规 91 16 2" xfId="3363" xr:uid="{00000000-0005-0000-0000-0000530D0000}"/>
    <cellStyle name="常规 91 16 2 2" xfId="3365" xr:uid="{00000000-0005-0000-0000-0000550D0000}"/>
    <cellStyle name="常规 91 16 3" xfId="3367" xr:uid="{00000000-0005-0000-0000-0000570D0000}"/>
    <cellStyle name="常规 91 17" xfId="3369" xr:uid="{00000000-0005-0000-0000-0000590D0000}"/>
    <cellStyle name="常规 91 2" xfId="3372" xr:uid="{00000000-0005-0000-0000-00005C0D0000}"/>
    <cellStyle name="常规 91 2 2" xfId="3375" xr:uid="{00000000-0005-0000-0000-00005F0D0000}"/>
    <cellStyle name="常规 91 3" xfId="3377" xr:uid="{00000000-0005-0000-0000-0000610D0000}"/>
    <cellStyle name="常规 91 4" xfId="3379" xr:uid="{00000000-0005-0000-0000-0000630D0000}"/>
    <cellStyle name="常规 91 5" xfId="3381" xr:uid="{00000000-0005-0000-0000-0000650D0000}"/>
    <cellStyle name="常规 91 6" xfId="3383" xr:uid="{00000000-0005-0000-0000-0000670D0000}"/>
    <cellStyle name="常规 91 7" xfId="3385" xr:uid="{00000000-0005-0000-0000-0000690D0000}"/>
    <cellStyle name="常规 91 8" xfId="3387" xr:uid="{00000000-0005-0000-0000-00006B0D0000}"/>
    <cellStyle name="常规 91 9" xfId="3389" xr:uid="{00000000-0005-0000-0000-00006D0D0000}"/>
    <cellStyle name="常规 92" xfId="3391" xr:uid="{00000000-0005-0000-0000-00006F0D0000}"/>
    <cellStyle name="常规 92 2" xfId="465" xr:uid="{00000000-0005-0000-0000-000001020000}"/>
    <cellStyle name="常规 92 3" xfId="108" xr:uid="{00000000-0005-0000-0000-00009C000000}"/>
    <cellStyle name="常规 92 4" xfId="91" xr:uid="{00000000-0005-0000-0000-00008B000000}"/>
    <cellStyle name="常规 92 5" xfId="115" xr:uid="{00000000-0005-0000-0000-0000A3000000}"/>
    <cellStyle name="常规 92 6" xfId="119" xr:uid="{00000000-0005-0000-0000-0000A7000000}"/>
    <cellStyle name="常规 93" xfId="3394" xr:uid="{00000000-0005-0000-0000-0000720D0000}"/>
    <cellStyle name="常规 93 10" xfId="2776" xr:uid="{00000000-0005-0000-0000-0000080B0000}"/>
    <cellStyle name="常规 93 11" xfId="2576" xr:uid="{00000000-0005-0000-0000-0000400A0000}"/>
    <cellStyle name="常规 93 12" xfId="3396" xr:uid="{00000000-0005-0000-0000-0000740D0000}"/>
    <cellStyle name="常规 93 13" xfId="3398" xr:uid="{00000000-0005-0000-0000-0000760D0000}"/>
    <cellStyle name="常规 93 14" xfId="455" xr:uid="{00000000-0005-0000-0000-0000F7010000}"/>
    <cellStyle name="常规 93 15" xfId="658" xr:uid="{00000000-0005-0000-0000-0000C2020000}"/>
    <cellStyle name="常规 93 16" xfId="661" xr:uid="{00000000-0005-0000-0000-0000C5020000}"/>
    <cellStyle name="常规 93 16 2" xfId="3400" xr:uid="{00000000-0005-0000-0000-0000780D0000}"/>
    <cellStyle name="常规 93 16 2 2" xfId="3402" xr:uid="{00000000-0005-0000-0000-00007A0D0000}"/>
    <cellStyle name="常规 93 16 3" xfId="3404" xr:uid="{00000000-0005-0000-0000-00007C0D0000}"/>
    <cellStyle name="常规 93 17" xfId="665" xr:uid="{00000000-0005-0000-0000-0000C9020000}"/>
    <cellStyle name="常规 93 2" xfId="3406" xr:uid="{00000000-0005-0000-0000-00007E0D0000}"/>
    <cellStyle name="常规 93 2 2" xfId="3408" xr:uid="{00000000-0005-0000-0000-0000800D0000}"/>
    <cellStyle name="常规 93 3" xfId="3410" xr:uid="{00000000-0005-0000-0000-0000820D0000}"/>
    <cellStyle name="常规 93 4" xfId="3412" xr:uid="{00000000-0005-0000-0000-0000840D0000}"/>
    <cellStyle name="常规 93 5" xfId="3414" xr:uid="{00000000-0005-0000-0000-0000860D0000}"/>
    <cellStyle name="常规 93 6" xfId="3134" xr:uid="{00000000-0005-0000-0000-00006E0C0000}"/>
    <cellStyle name="常规 93 7" xfId="3137" xr:uid="{00000000-0005-0000-0000-0000710C0000}"/>
    <cellStyle name="常规 93 8" xfId="3140" xr:uid="{00000000-0005-0000-0000-0000740C0000}"/>
    <cellStyle name="常规 93 9" xfId="3143" xr:uid="{00000000-0005-0000-0000-0000770C0000}"/>
    <cellStyle name="常规 94" xfId="3416" xr:uid="{00000000-0005-0000-0000-0000880D0000}"/>
    <cellStyle name="常规 95" xfId="3453" xr:uid="{00000000-0005-0000-0000-0000AD0D0000}"/>
    <cellStyle name="常规 95 10" xfId="3454" xr:uid="{00000000-0005-0000-0000-0000AE0D0000}"/>
    <cellStyle name="常规 95 11" xfId="3224" xr:uid="{00000000-0005-0000-0000-0000C80C0000}"/>
    <cellStyle name="常规 95 12" xfId="3455" xr:uid="{00000000-0005-0000-0000-0000AF0D0000}"/>
    <cellStyle name="常规 95 13" xfId="3456" xr:uid="{00000000-0005-0000-0000-0000B00D0000}"/>
    <cellStyle name="常规 95 14" xfId="709" xr:uid="{00000000-0005-0000-0000-0000F5020000}"/>
    <cellStyle name="常规 95 15" xfId="3457" xr:uid="{00000000-0005-0000-0000-0000B10D0000}"/>
    <cellStyle name="常规 95 16" xfId="3458" xr:uid="{00000000-0005-0000-0000-0000B20D0000}"/>
    <cellStyle name="常规 95 16 2" xfId="3459" xr:uid="{00000000-0005-0000-0000-0000B30D0000}"/>
    <cellStyle name="常规 95 16 2 2" xfId="2439" xr:uid="{00000000-0005-0000-0000-0000B7090000}"/>
    <cellStyle name="常规 95 16 3" xfId="3371" xr:uid="{00000000-0005-0000-0000-00005B0D0000}"/>
    <cellStyle name="常规 95 17" xfId="3460" xr:uid="{00000000-0005-0000-0000-0000B40D0000}"/>
    <cellStyle name="常规 95 2" xfId="3461" xr:uid="{00000000-0005-0000-0000-0000B50D0000}"/>
    <cellStyle name="常规 95 2 2" xfId="16" xr:uid="{00000000-0005-0000-0000-00001D000000}"/>
    <cellStyle name="常规 95 3" xfId="3462" xr:uid="{00000000-0005-0000-0000-0000B60D0000}"/>
    <cellStyle name="常规 95 4" xfId="3463" xr:uid="{00000000-0005-0000-0000-0000B70D0000}"/>
    <cellStyle name="常规 95 5" xfId="3464" xr:uid="{00000000-0005-0000-0000-0000B80D0000}"/>
    <cellStyle name="常规 95 6" xfId="3465" xr:uid="{00000000-0005-0000-0000-0000B90D0000}"/>
    <cellStyle name="常规 95 7" xfId="3466" xr:uid="{00000000-0005-0000-0000-0000BA0D0000}"/>
    <cellStyle name="常规 95 8" xfId="3467" xr:uid="{00000000-0005-0000-0000-0000BB0D0000}"/>
    <cellStyle name="常规 95 9" xfId="3468" xr:uid="{00000000-0005-0000-0000-0000BC0D0000}"/>
    <cellStyle name="常规 96" xfId="3469" xr:uid="{00000000-0005-0000-0000-0000BD0D0000}"/>
    <cellStyle name="常规 97" xfId="3470" xr:uid="{00000000-0005-0000-0000-0000BE0D0000}"/>
    <cellStyle name="常规 97 2" xfId="819" xr:uid="{00000000-0005-0000-0000-000063030000}"/>
    <cellStyle name="常规 97 2 2" xfId="3471" xr:uid="{00000000-0005-0000-0000-0000BF0D0000}"/>
    <cellStyle name="常规 97 3" xfId="821" xr:uid="{00000000-0005-0000-0000-000065030000}"/>
    <cellStyle name="常规 98" xfId="3472" xr:uid="{00000000-0005-0000-0000-0000C00D0000}"/>
    <cellStyle name="常规 98 2" xfId="738" xr:uid="{00000000-0005-0000-0000-000012030000}"/>
    <cellStyle name="常规 98 2 2" xfId="3473" xr:uid="{00000000-0005-0000-0000-0000C10D0000}"/>
    <cellStyle name="常规 98 2 2 2" xfId="3474" xr:uid="{00000000-0005-0000-0000-0000C20D0000}"/>
    <cellStyle name="常规 98 2 3" xfId="2382" xr:uid="{00000000-0005-0000-0000-00007E090000}"/>
    <cellStyle name="常规 99" xfId="3475" xr:uid="{00000000-0005-0000-0000-0000C30D0000}"/>
    <cellStyle name="常规 99 2" xfId="747" xr:uid="{00000000-0005-0000-0000-00001B030000}"/>
    <cellStyle name="常规 99 2 2" xfId="3477" xr:uid="{00000000-0005-0000-0000-0000C50D0000}"/>
    <cellStyle name="常规 99 3" xfId="749" xr:uid="{00000000-0005-0000-0000-00001D030000}"/>
    <cellStyle name="超链接 2" xfId="2662" xr:uid="{00000000-0005-0000-0000-0000960A0000}"/>
    <cellStyle name="超链接 2 2" xfId="3478" xr:uid="{00000000-0005-0000-0000-0000C60D0000}"/>
    <cellStyle name="超链接 2 2 2" xfId="3479" xr:uid="{00000000-0005-0000-0000-0000C70D0000}"/>
    <cellStyle name="超链接 2 3" xfId="3480" xr:uid="{00000000-0005-0000-0000-0000C80D0000}"/>
    <cellStyle name="好 2" xfId="3481" xr:uid="{00000000-0005-0000-0000-0000C90D0000}"/>
    <cellStyle name="好 2 2" xfId="3482" xr:uid="{00000000-0005-0000-0000-0000CA0D0000}"/>
    <cellStyle name="好 2 3" xfId="535" xr:uid="{00000000-0005-0000-0000-000047020000}"/>
    <cellStyle name="好 2 4" xfId="542" xr:uid="{00000000-0005-0000-0000-00004E020000}"/>
    <cellStyle name="好 3" xfId="3483" xr:uid="{00000000-0005-0000-0000-0000CB0D0000}"/>
    <cellStyle name="好 4" xfId="96" xr:uid="{00000000-0005-0000-0000-000090000000}"/>
    <cellStyle name="好 5" xfId="131" xr:uid="{00000000-0005-0000-0000-0000B3000000}"/>
    <cellStyle name="好 6" xfId="142" xr:uid="{00000000-0005-0000-0000-0000BE000000}"/>
    <cellStyle name="好 7" xfId="754" xr:uid="{00000000-0005-0000-0000-000022030000}"/>
    <cellStyle name="好 8" xfId="1461" xr:uid="{00000000-0005-0000-0000-0000E5050000}"/>
    <cellStyle name="好 9" xfId="3484" xr:uid="{00000000-0005-0000-0000-0000CC0D0000}"/>
    <cellStyle name="好_1109工厂回款汇总" xfId="3486" xr:uid="{00000000-0005-0000-0000-0000CE0D0000}"/>
    <cellStyle name="好_1109工厂回款汇总_2012年品种毛利情况" xfId="907" xr:uid="{00000000-0005-0000-0000-0000BB030000}"/>
    <cellStyle name="好_1109工厂回款汇总_2012年主要品种收入毛利表" xfId="730" xr:uid="{00000000-0005-0000-0000-00000A030000}"/>
    <cellStyle name="好_1201工厂收入汇总(1)" xfId="3487" xr:uid="{00000000-0005-0000-0000-0000CF0D0000}"/>
    <cellStyle name="好_2011年预计报废(1)" xfId="3489" xr:uid="{00000000-0005-0000-0000-0000D10D0000}"/>
    <cellStyle name="好_2012年1季度利润预计" xfId="2976" xr:uid="{00000000-0005-0000-0000-0000D00B0000}"/>
    <cellStyle name="好_2012年各公司收入计划（计划版1.21）(终稿)" xfId="510" xr:uid="{00000000-0005-0000-0000-00002E020000}"/>
    <cellStyle name="好_2012年各公司收入计划（计划版1.30）(终稿)" xfId="3490" xr:uid="{00000000-0005-0000-0000-0000D20D0000}"/>
    <cellStyle name="好_2012年各公司收入计划（力争版1.20）(终稿)" xfId="3491" xr:uid="{00000000-0005-0000-0000-0000D30D0000}"/>
    <cellStyle name="好_2012年利润预计(2012.1.21)" xfId="941" xr:uid="{00000000-0005-0000-0000-0000DD030000}"/>
    <cellStyle name="好_2012年营业费用预算（终稿1.16）" xfId="2748" xr:uid="{00000000-0005-0000-0000-0000EC0A0000}"/>
    <cellStyle name="好_2012年主要品种收入毛利表" xfId="1570" xr:uid="{00000000-0005-0000-0000-000052060000}"/>
    <cellStyle name="好_Book1" xfId="3492" xr:uid="{00000000-0005-0000-0000-0000D40D0000}"/>
    <cellStyle name="好_Book3" xfId="3494" xr:uid="{00000000-0005-0000-0000-0000D60D0000}"/>
    <cellStyle name="好_Book4" xfId="3496" xr:uid="{00000000-0005-0000-0000-0000D80D0000}"/>
    <cellStyle name="好_Xl0000027" xfId="3101" xr:uid="{00000000-0005-0000-0000-00004D0C0000}"/>
    <cellStyle name="好_超亿元品种情况表" xfId="616" xr:uid="{00000000-0005-0000-0000-000098020000}"/>
    <cellStyle name="好_分析表" xfId="2971" xr:uid="{00000000-0005-0000-0000-0000CB0B0000}"/>
    <cellStyle name="好_各公司1-3月收入(1)(1)" xfId="3303" xr:uid="{00000000-0005-0000-0000-0000170D0000}"/>
    <cellStyle name="好_预计管理费用（3.3亿元）" xfId="3497" xr:uid="{00000000-0005-0000-0000-0000D90D0000}"/>
    <cellStyle name="汇总 2" xfId="3498" xr:uid="{00000000-0005-0000-0000-0000DA0D0000}"/>
    <cellStyle name="汇总 2 2" xfId="2762" xr:uid="{00000000-0005-0000-0000-0000FA0A0000}"/>
    <cellStyle name="汇总 2 3" xfId="3499" xr:uid="{00000000-0005-0000-0000-0000DB0D0000}"/>
    <cellStyle name="汇总 2 4" xfId="3500" xr:uid="{00000000-0005-0000-0000-0000DC0D0000}"/>
    <cellStyle name="汇总 3" xfId="2302" xr:uid="{00000000-0005-0000-0000-00002E090000}"/>
    <cellStyle name="汇总 4" xfId="2304" xr:uid="{00000000-0005-0000-0000-000030090000}"/>
    <cellStyle name="汇总 5" xfId="216" xr:uid="{00000000-0005-0000-0000-000008010000}"/>
    <cellStyle name="汇总 6" xfId="2" xr:uid="{00000000-0005-0000-0000-000004000000}"/>
    <cellStyle name="汇总 7" xfId="3501" xr:uid="{00000000-0005-0000-0000-0000DD0D0000}"/>
    <cellStyle name="汇总 8" xfId="3502" xr:uid="{00000000-0005-0000-0000-0000DE0D0000}"/>
    <cellStyle name="汇总 9" xfId="3503" xr:uid="{00000000-0005-0000-0000-0000DF0D0000}"/>
    <cellStyle name="货币 2" xfId="2936" xr:uid="{00000000-0005-0000-0000-0000A80B0000}"/>
    <cellStyle name="计算 2" xfId="3504" xr:uid="{00000000-0005-0000-0000-0000E00D0000}"/>
    <cellStyle name="计算 2 2" xfId="3505" xr:uid="{00000000-0005-0000-0000-0000E10D0000}"/>
    <cellStyle name="计算 2 3" xfId="3506" xr:uid="{00000000-0005-0000-0000-0000E20D0000}"/>
    <cellStyle name="计算 2 4" xfId="3507" xr:uid="{00000000-0005-0000-0000-0000E30D0000}"/>
    <cellStyle name="计算 3" xfId="3508" xr:uid="{00000000-0005-0000-0000-0000E40D0000}"/>
    <cellStyle name="计算 4" xfId="3509" xr:uid="{00000000-0005-0000-0000-0000E50D0000}"/>
    <cellStyle name="计算 5" xfId="3510" xr:uid="{00000000-0005-0000-0000-0000E60D0000}"/>
    <cellStyle name="计算 6" xfId="3511" xr:uid="{00000000-0005-0000-0000-0000E70D0000}"/>
    <cellStyle name="计算 7" xfId="3512" xr:uid="{00000000-0005-0000-0000-0000E80D0000}"/>
    <cellStyle name="计算 8" xfId="1033" xr:uid="{00000000-0005-0000-0000-000039040000}"/>
    <cellStyle name="计算 9" xfId="1041" xr:uid="{00000000-0005-0000-0000-000041040000}"/>
    <cellStyle name="检查单元格 2" xfId="3513" xr:uid="{00000000-0005-0000-0000-0000E90D0000}"/>
    <cellStyle name="检查单元格 2 2" xfId="895" xr:uid="{00000000-0005-0000-0000-0000AF030000}"/>
    <cellStyle name="检查单元格 2 3" xfId="912" xr:uid="{00000000-0005-0000-0000-0000C0030000}"/>
    <cellStyle name="检查单元格 2 4" xfId="1004" xr:uid="{00000000-0005-0000-0000-00001C040000}"/>
    <cellStyle name="检查单元格 3" xfId="3514" xr:uid="{00000000-0005-0000-0000-0000EA0D0000}"/>
    <cellStyle name="检查单元格 4" xfId="3515" xr:uid="{00000000-0005-0000-0000-0000EB0D0000}"/>
    <cellStyle name="检查单元格 5" xfId="3476" xr:uid="{00000000-0005-0000-0000-0000C40D0000}"/>
    <cellStyle name="检查单元格 6" xfId="2417" xr:uid="{00000000-0005-0000-0000-0000A1090000}"/>
    <cellStyle name="检查单元格 7" xfId="2420" xr:uid="{00000000-0005-0000-0000-0000A4090000}"/>
    <cellStyle name="检查单元格 8" xfId="2422" xr:uid="{00000000-0005-0000-0000-0000A6090000}"/>
    <cellStyle name="检查单元格 9" xfId="2424" xr:uid="{00000000-0005-0000-0000-0000A8090000}"/>
    <cellStyle name="解释性文本 2" xfId="3516" xr:uid="{00000000-0005-0000-0000-0000EC0D0000}"/>
    <cellStyle name="解释性文本 2 2" xfId="3517" xr:uid="{00000000-0005-0000-0000-0000ED0D0000}"/>
    <cellStyle name="解释性文本 2 3" xfId="3518" xr:uid="{00000000-0005-0000-0000-0000EE0D0000}"/>
    <cellStyle name="解释性文本 2 4" xfId="3519" xr:uid="{00000000-0005-0000-0000-0000EF0D0000}"/>
    <cellStyle name="解释性文本 3" xfId="3520" xr:uid="{00000000-0005-0000-0000-0000F00D0000}"/>
    <cellStyle name="解释性文本 4" xfId="3521" xr:uid="{00000000-0005-0000-0000-0000F10D0000}"/>
    <cellStyle name="解释性文本 5" xfId="785" xr:uid="{00000000-0005-0000-0000-000041030000}"/>
    <cellStyle name="解释性文本 6" xfId="789" xr:uid="{00000000-0005-0000-0000-000045030000}"/>
    <cellStyle name="解释性文本 7" xfId="679" xr:uid="{00000000-0005-0000-0000-0000D7020000}"/>
    <cellStyle name="解释性文本 8" xfId="703" xr:uid="{00000000-0005-0000-0000-0000EF020000}"/>
    <cellStyle name="解释性文本 9" xfId="32" xr:uid="{00000000-0005-0000-0000-000032000000}"/>
    <cellStyle name="警告文本 2" xfId="1810" xr:uid="{00000000-0005-0000-0000-000042070000}"/>
    <cellStyle name="警告文本 2 2" xfId="1812" xr:uid="{00000000-0005-0000-0000-000044070000}"/>
    <cellStyle name="警告文本 2 3" xfId="3522" xr:uid="{00000000-0005-0000-0000-0000F20D0000}"/>
    <cellStyle name="警告文本 2 4" xfId="199" xr:uid="{00000000-0005-0000-0000-0000F7000000}"/>
    <cellStyle name="警告文本 3" xfId="1814" xr:uid="{00000000-0005-0000-0000-000046070000}"/>
    <cellStyle name="警告文本 4" xfId="3523" xr:uid="{00000000-0005-0000-0000-0000F30D0000}"/>
    <cellStyle name="警告文本 5" xfId="3524" xr:uid="{00000000-0005-0000-0000-0000F40D0000}"/>
    <cellStyle name="警告文本 6" xfId="3525" xr:uid="{00000000-0005-0000-0000-0000F50D0000}"/>
    <cellStyle name="警告文本 7" xfId="3526" xr:uid="{00000000-0005-0000-0000-0000F60D0000}"/>
    <cellStyle name="警告文本 8" xfId="3527" xr:uid="{00000000-0005-0000-0000-0000F70D0000}"/>
    <cellStyle name="警告文本 9" xfId="3528" xr:uid="{00000000-0005-0000-0000-0000F80D0000}"/>
    <cellStyle name="链接单元格 2" xfId="3529" xr:uid="{00000000-0005-0000-0000-0000F90D0000}"/>
    <cellStyle name="链接单元格 2 2" xfId="3488" xr:uid="{00000000-0005-0000-0000-0000D00D0000}"/>
    <cellStyle name="链接单元格 2 3" xfId="3530" xr:uid="{00000000-0005-0000-0000-0000FA0D0000}"/>
    <cellStyle name="链接单元格 2 4" xfId="3531" xr:uid="{00000000-0005-0000-0000-0000FB0D0000}"/>
    <cellStyle name="链接单元格 3" xfId="3532" xr:uid="{00000000-0005-0000-0000-0000FC0D0000}"/>
    <cellStyle name="链接单元格 4" xfId="3533" xr:uid="{00000000-0005-0000-0000-0000FD0D0000}"/>
    <cellStyle name="链接单元格 5" xfId="3485" xr:uid="{00000000-0005-0000-0000-0000CD0D0000}"/>
    <cellStyle name="链接单元格 6" xfId="2463" xr:uid="{00000000-0005-0000-0000-0000CF090000}"/>
    <cellStyle name="链接单元格 7" xfId="3246" xr:uid="{00000000-0005-0000-0000-0000DE0C0000}"/>
    <cellStyle name="链接单元格 8" xfId="3249" xr:uid="{00000000-0005-0000-0000-0000E10C0000}"/>
    <cellStyle name="链接单元格 9" xfId="800" xr:uid="{00000000-0005-0000-0000-000050030000}"/>
    <cellStyle name="普通" xfId="12" xr:uid="{00000000-0005-0000-0000-000017000000}"/>
    <cellStyle name="普通 2" xfId="3534" xr:uid="{00000000-0005-0000-0000-0000FE0D0000}"/>
    <cellStyle name="千位分隔 10" xfId="2754" xr:uid="{00000000-0005-0000-0000-0000F20A0000}"/>
    <cellStyle name="千位分隔 10 10" xfId="3535" xr:uid="{00000000-0005-0000-0000-0000FF0D0000}"/>
    <cellStyle name="千位分隔 10 2" xfId="2756" xr:uid="{00000000-0005-0000-0000-0000F40A0000}"/>
    <cellStyle name="千位分隔 10 3" xfId="3536" xr:uid="{00000000-0005-0000-0000-0000000E0000}"/>
    <cellStyle name="千位分隔 10 4" xfId="1649" xr:uid="{00000000-0005-0000-0000-0000A1060000}"/>
    <cellStyle name="千位分隔 10 5" xfId="1656" xr:uid="{00000000-0005-0000-0000-0000A8060000}"/>
    <cellStyle name="千位分隔 10 5 2" xfId="2695" xr:uid="{00000000-0005-0000-0000-0000B70A0000}"/>
    <cellStyle name="千位分隔 10 6" xfId="2996" xr:uid="{00000000-0005-0000-0000-0000E40B0000}"/>
    <cellStyle name="千位分隔 10 7" xfId="2999" xr:uid="{00000000-0005-0000-0000-0000E70B0000}"/>
    <cellStyle name="千位分隔 10 8" xfId="3537" xr:uid="{00000000-0005-0000-0000-0000010E0000}"/>
    <cellStyle name="千位分隔 10 9" xfId="3538" xr:uid="{00000000-0005-0000-0000-0000020E0000}"/>
    <cellStyle name="千位分隔 11" xfId="2758" xr:uid="{00000000-0005-0000-0000-0000F60A0000}"/>
    <cellStyle name="千位分隔 12" xfId="2892" xr:uid="{00000000-0005-0000-0000-00007C0B0000}"/>
    <cellStyle name="千位分隔 13" xfId="2896" xr:uid="{00000000-0005-0000-0000-0000800B0000}"/>
    <cellStyle name="千位分隔 14" xfId="2900" xr:uid="{00000000-0005-0000-0000-0000840B0000}"/>
    <cellStyle name="千位分隔 15" xfId="2905" xr:uid="{00000000-0005-0000-0000-0000890B0000}"/>
    <cellStyle name="千位分隔 16" xfId="2909" xr:uid="{00000000-0005-0000-0000-00008D0B0000}"/>
    <cellStyle name="千位分隔 17" xfId="2913" xr:uid="{00000000-0005-0000-0000-0000910B0000}"/>
    <cellStyle name="千位分隔 18" xfId="2920" xr:uid="{00000000-0005-0000-0000-0000980B0000}"/>
    <cellStyle name="千位分隔 19" xfId="2990" xr:uid="{00000000-0005-0000-0000-0000DE0B0000}"/>
    <cellStyle name="千位分隔 2" xfId="3539" xr:uid="{00000000-0005-0000-0000-0000030E0000}"/>
    <cellStyle name="千位分隔 2 10" xfId="512" xr:uid="{00000000-0005-0000-0000-000030020000}"/>
    <cellStyle name="千位分隔 2 10 2" xfId="2256" xr:uid="{00000000-0005-0000-0000-000000090000}"/>
    <cellStyle name="千位分隔 2 10 2 2" xfId="2812" xr:uid="{00000000-0005-0000-0000-00002C0B0000}"/>
    <cellStyle name="千位分隔 2 10 2 3" xfId="1394" xr:uid="{00000000-0005-0000-0000-0000A2050000}"/>
    <cellStyle name="千位分隔 2 11" xfId="517" xr:uid="{00000000-0005-0000-0000-000035020000}"/>
    <cellStyle name="千位分隔 2 12" xfId="524" xr:uid="{00000000-0005-0000-0000-00003C020000}"/>
    <cellStyle name="千位分隔 2 13" xfId="205" xr:uid="{00000000-0005-0000-0000-0000FD000000}"/>
    <cellStyle name="千位分隔 2 14" xfId="210" xr:uid="{00000000-0005-0000-0000-000002010000}"/>
    <cellStyle name="千位分隔 2 15" xfId="219" xr:uid="{00000000-0005-0000-0000-00000B010000}"/>
    <cellStyle name="千位分隔 2 16" xfId="224" xr:uid="{00000000-0005-0000-0000-000010010000}"/>
    <cellStyle name="千位分隔 2 17" xfId="231" xr:uid="{00000000-0005-0000-0000-000017010000}"/>
    <cellStyle name="千位分隔 2 18" xfId="1765" xr:uid="{00000000-0005-0000-0000-000015070000}"/>
    <cellStyle name="千位分隔 2 19" xfId="1768" xr:uid="{00000000-0005-0000-0000-000018070000}"/>
    <cellStyle name="千位分隔 2 2" xfId="3540" xr:uid="{00000000-0005-0000-0000-0000040E0000}"/>
    <cellStyle name="千位分隔 2 2 2" xfId="2766" xr:uid="{00000000-0005-0000-0000-0000FE0A0000}"/>
    <cellStyle name="千位分隔 2 2 2 2" xfId="3541" xr:uid="{00000000-0005-0000-0000-0000050E0000}"/>
    <cellStyle name="千位分隔 2 2 2 2 2" xfId="3542" xr:uid="{00000000-0005-0000-0000-0000060E0000}"/>
    <cellStyle name="千位分隔 2 2 2 2 2 2" xfId="3543" xr:uid="{00000000-0005-0000-0000-0000070E0000}"/>
    <cellStyle name="千位分隔 2 2 2 2 2 3" xfId="611" xr:uid="{00000000-0005-0000-0000-000093020000}"/>
    <cellStyle name="千位分隔 2 2 2 2 2 3 2" xfId="3544" xr:uid="{00000000-0005-0000-0000-0000080E0000}"/>
    <cellStyle name="千位分隔 2 2 2 2 2 4" xfId="3545" xr:uid="{00000000-0005-0000-0000-0000090E0000}"/>
    <cellStyle name="千位分隔 2 2 2 2 2 4 2" xfId="3546" xr:uid="{00000000-0005-0000-0000-00000A0E0000}"/>
    <cellStyle name="千位分隔 2 2 2 2 3" xfId="3547" xr:uid="{00000000-0005-0000-0000-00000B0E0000}"/>
    <cellStyle name="千位分隔 2 2 2 2 4" xfId="3548" xr:uid="{00000000-0005-0000-0000-00000C0E0000}"/>
    <cellStyle name="千位分隔 2 2 2 3" xfId="3549" xr:uid="{00000000-0005-0000-0000-00000D0E0000}"/>
    <cellStyle name="千位分隔 2 2 2 4" xfId="3550" xr:uid="{00000000-0005-0000-0000-00000E0E0000}"/>
    <cellStyle name="千位分隔 2 2 2 5" xfId="3551" xr:uid="{00000000-0005-0000-0000-00000F0E0000}"/>
    <cellStyle name="千位分隔 2 2 3" xfId="2768" xr:uid="{00000000-0005-0000-0000-0000000B0000}"/>
    <cellStyle name="千位分隔 2 2 4" xfId="2770" xr:uid="{00000000-0005-0000-0000-0000020B0000}"/>
    <cellStyle name="千位分隔 2 2 5" xfId="2772" xr:uid="{00000000-0005-0000-0000-0000040B0000}"/>
    <cellStyle name="千位分隔 2 2 5 2" xfId="3552" xr:uid="{00000000-0005-0000-0000-0000100E0000}"/>
    <cellStyle name="千位分隔 2 2 6" xfId="3553" xr:uid="{00000000-0005-0000-0000-0000110E0000}"/>
    <cellStyle name="千位分隔 2 2 7" xfId="3554" xr:uid="{00000000-0005-0000-0000-0000120E0000}"/>
    <cellStyle name="千位分隔 2 2 7 2" xfId="2137" xr:uid="{00000000-0005-0000-0000-000089080000}"/>
    <cellStyle name="千位分隔 2 2 8" xfId="1071" xr:uid="{00000000-0005-0000-0000-00005F040000}"/>
    <cellStyle name="千位分隔 2 3" xfId="3555" xr:uid="{00000000-0005-0000-0000-0000130E0000}"/>
    <cellStyle name="千位分隔 2 3 10" xfId="3556" xr:uid="{00000000-0005-0000-0000-0000140E0000}"/>
    <cellStyle name="千位分隔 2 3 2" xfId="2780" xr:uid="{00000000-0005-0000-0000-00000C0B0000}"/>
    <cellStyle name="千位分隔 2 3 2 2" xfId="3557" xr:uid="{00000000-0005-0000-0000-0000150E0000}"/>
    <cellStyle name="千位分隔 2 3 2 2 2" xfId="3559" xr:uid="{00000000-0005-0000-0000-0000170E0000}"/>
    <cellStyle name="千位分隔 2 3 2 2 3" xfId="3561" xr:uid="{00000000-0005-0000-0000-0000190E0000}"/>
    <cellStyle name="千位分隔 2 3 2 2 4" xfId="3562" xr:uid="{00000000-0005-0000-0000-00001A0E0000}"/>
    <cellStyle name="千位分隔 2 3 2 3" xfId="3563" xr:uid="{00000000-0005-0000-0000-00001B0E0000}"/>
    <cellStyle name="千位分隔 2 3 2 3 2" xfId="3564" xr:uid="{00000000-0005-0000-0000-00001C0E0000}"/>
    <cellStyle name="千位分隔 2 3 2 4" xfId="3565" xr:uid="{00000000-0005-0000-0000-00001D0E0000}"/>
    <cellStyle name="千位分隔 2 3 2 5" xfId="3566" xr:uid="{00000000-0005-0000-0000-00001E0E0000}"/>
    <cellStyle name="千位分隔 2 3 2 5 2" xfId="3567" xr:uid="{00000000-0005-0000-0000-00001F0E0000}"/>
    <cellStyle name="千位分隔 2 3 2 6" xfId="3568" xr:uid="{00000000-0005-0000-0000-0000200E0000}"/>
    <cellStyle name="千位分隔 2 3 3" xfId="2782" xr:uid="{00000000-0005-0000-0000-00000E0B0000}"/>
    <cellStyle name="千位分隔 2 3 4" xfId="2784" xr:uid="{00000000-0005-0000-0000-0000100B0000}"/>
    <cellStyle name="千位分隔 2 3 5" xfId="2786" xr:uid="{00000000-0005-0000-0000-0000120B0000}"/>
    <cellStyle name="千位分隔 2 3 6" xfId="3569" xr:uid="{00000000-0005-0000-0000-0000210E0000}"/>
    <cellStyle name="千位分隔 2 3 7" xfId="3570" xr:uid="{00000000-0005-0000-0000-0000220E0000}"/>
    <cellStyle name="千位分隔 2 3 7 2" xfId="3571" xr:uid="{00000000-0005-0000-0000-0000230E0000}"/>
    <cellStyle name="千位分隔 2 3 8" xfId="2960" xr:uid="{00000000-0005-0000-0000-0000C00B0000}"/>
    <cellStyle name="千位分隔 2 3 9" xfId="2962" xr:uid="{00000000-0005-0000-0000-0000C20B0000}"/>
    <cellStyle name="千位分隔 2 4" xfId="3572" xr:uid="{00000000-0005-0000-0000-0000240E0000}"/>
    <cellStyle name="千位分隔 2 4 2" xfId="2804" xr:uid="{00000000-0005-0000-0000-0000240B0000}"/>
    <cellStyle name="千位分隔 2 4 3" xfId="2807" xr:uid="{00000000-0005-0000-0000-0000270B0000}"/>
    <cellStyle name="千位分隔 2 5" xfId="3573" xr:uid="{00000000-0005-0000-0000-0000250E0000}"/>
    <cellStyle name="千位分隔 2 5 2" xfId="2845" xr:uid="{00000000-0005-0000-0000-00004D0B0000}"/>
    <cellStyle name="千位分隔 2 5 3" xfId="2848" xr:uid="{00000000-0005-0000-0000-0000500B0000}"/>
    <cellStyle name="千位分隔 2 6" xfId="1085" xr:uid="{00000000-0005-0000-0000-00006D040000}"/>
    <cellStyle name="千位分隔 2 6 2" xfId="1087" xr:uid="{00000000-0005-0000-0000-00006F040000}"/>
    <cellStyle name="千位分隔 2 6 3" xfId="2882" xr:uid="{00000000-0005-0000-0000-0000720B0000}"/>
    <cellStyle name="千位分隔 2 7" xfId="1091" xr:uid="{00000000-0005-0000-0000-000073040000}"/>
    <cellStyle name="千位分隔 2 7 2" xfId="2672" xr:uid="{00000000-0005-0000-0000-0000A00A0000}"/>
    <cellStyle name="千位分隔 2 7 3" xfId="2929" xr:uid="{00000000-0005-0000-0000-0000A10B0000}"/>
    <cellStyle name="千位分隔 2 8" xfId="2992" xr:uid="{00000000-0005-0000-0000-0000E00B0000}"/>
    <cellStyle name="千位分隔 2 8 2" xfId="2945" xr:uid="{00000000-0005-0000-0000-0000B10B0000}"/>
    <cellStyle name="千位分隔 2 8 3" xfId="2949" xr:uid="{00000000-0005-0000-0000-0000B50B0000}"/>
    <cellStyle name="千位分隔 2 9" xfId="2994" xr:uid="{00000000-0005-0000-0000-0000E20B0000}"/>
    <cellStyle name="千位分隔 2 9 2" xfId="3029" xr:uid="{00000000-0005-0000-0000-0000050C0000}"/>
    <cellStyle name="千位分隔 2 9 3" xfId="3031" xr:uid="{00000000-0005-0000-0000-0000070C0000}"/>
    <cellStyle name="千位分隔 20" xfId="2904" xr:uid="{00000000-0005-0000-0000-0000880B0000}"/>
    <cellStyle name="千位分隔 21" xfId="2908" xr:uid="{00000000-0005-0000-0000-00008C0B0000}"/>
    <cellStyle name="千位分隔 22" xfId="2912" xr:uid="{00000000-0005-0000-0000-0000900B0000}"/>
    <cellStyle name="千位分隔 23" xfId="2919" xr:uid="{00000000-0005-0000-0000-0000970B0000}"/>
    <cellStyle name="千位分隔 23 2" xfId="3575" xr:uid="{00000000-0005-0000-0000-0000270E0000}"/>
    <cellStyle name="千位分隔 23 2 2" xfId="3577" xr:uid="{00000000-0005-0000-0000-0000290E0000}"/>
    <cellStyle name="千位分隔 23 2 3" xfId="3038" xr:uid="{00000000-0005-0000-0000-00000E0C0000}"/>
    <cellStyle name="千位分隔 23 2 3 2" xfId="3041" xr:uid="{00000000-0005-0000-0000-0000110C0000}"/>
    <cellStyle name="千位分隔 23 2 4" xfId="3044" xr:uid="{00000000-0005-0000-0000-0000140C0000}"/>
    <cellStyle name="千位分隔 23 2 4 2" xfId="3578" xr:uid="{00000000-0005-0000-0000-00002A0E0000}"/>
    <cellStyle name="千位分隔 23 2 5" xfId="3088" xr:uid="{00000000-0005-0000-0000-0000400C0000}"/>
    <cellStyle name="千位分隔 23 3" xfId="3580" xr:uid="{00000000-0005-0000-0000-00002C0E0000}"/>
    <cellStyle name="千位分隔 23 3 2" xfId="3581" xr:uid="{00000000-0005-0000-0000-00002D0E0000}"/>
    <cellStyle name="千位分隔 23 3 3" xfId="3050" xr:uid="{00000000-0005-0000-0000-00001A0C0000}"/>
    <cellStyle name="千位分隔 23 3 4" xfId="3053" xr:uid="{00000000-0005-0000-0000-00001D0C0000}"/>
    <cellStyle name="千位分隔 23 4" xfId="1742" xr:uid="{00000000-0005-0000-0000-0000FE060000}"/>
    <cellStyle name="千位分隔 23 5" xfId="1747" xr:uid="{00000000-0005-0000-0000-000003070000}"/>
    <cellStyle name="千位分隔 24" xfId="2989" xr:uid="{00000000-0005-0000-0000-0000DD0B0000}"/>
    <cellStyle name="千位分隔 25" xfId="395" xr:uid="{00000000-0005-0000-0000-0000BB010000}"/>
    <cellStyle name="千位分隔 3" xfId="715" xr:uid="{00000000-0005-0000-0000-0000FB020000}"/>
    <cellStyle name="千位分隔 3 2" xfId="84" xr:uid="{00000000-0005-0000-0000-000084000000}"/>
    <cellStyle name="千位分隔 3 2 2" xfId="3293" xr:uid="{00000000-0005-0000-0000-00000D0D0000}"/>
    <cellStyle name="千位分隔 3 2 2 2" xfId="1603" xr:uid="{00000000-0005-0000-0000-000073060000}"/>
    <cellStyle name="千位分隔 3 2 2 3" xfId="1606" xr:uid="{00000000-0005-0000-0000-000076060000}"/>
    <cellStyle name="千位分隔 3 2 3" xfId="3295" xr:uid="{00000000-0005-0000-0000-00000F0D0000}"/>
    <cellStyle name="千位分隔 3 2 3 2" xfId="3350" xr:uid="{00000000-0005-0000-0000-0000460D0000}"/>
    <cellStyle name="千位分隔 3 2 4" xfId="3297" xr:uid="{00000000-0005-0000-0000-0000110D0000}"/>
    <cellStyle name="千位分隔 3 3" xfId="158" xr:uid="{00000000-0005-0000-0000-0000CE000000}"/>
    <cellStyle name="千位分隔 3 4" xfId="768" xr:uid="{00000000-0005-0000-0000-000030030000}"/>
    <cellStyle name="千位分隔 3 5" xfId="1478" xr:uid="{00000000-0005-0000-0000-0000F6050000}"/>
    <cellStyle name="千位分隔 3 6" xfId="1097" xr:uid="{00000000-0005-0000-0000-000079040000}"/>
    <cellStyle name="千位分隔 3 7" xfId="1100" xr:uid="{00000000-0005-0000-0000-00007C040000}"/>
    <cellStyle name="千位分隔 3 8" xfId="3558" xr:uid="{00000000-0005-0000-0000-0000160E0000}"/>
    <cellStyle name="千位分隔 3 9" xfId="3560" xr:uid="{00000000-0005-0000-0000-0000180E0000}"/>
    <cellStyle name="千位分隔 4" xfId="770" xr:uid="{00000000-0005-0000-0000-000032030000}"/>
    <cellStyle name="千位分隔 4 2" xfId="3582" xr:uid="{00000000-0005-0000-0000-00002E0E0000}"/>
    <cellStyle name="千位分隔 4 3" xfId="3583" xr:uid="{00000000-0005-0000-0000-00002F0E0000}"/>
    <cellStyle name="千位分隔 5" xfId="500" xr:uid="{00000000-0005-0000-0000-000024020000}"/>
    <cellStyle name="千位分隔 6" xfId="503" xr:uid="{00000000-0005-0000-0000-000027020000}"/>
    <cellStyle name="千位分隔 6 2" xfId="3584" xr:uid="{00000000-0005-0000-0000-0000300E0000}"/>
    <cellStyle name="千位分隔 7" xfId="509" xr:uid="{00000000-0005-0000-0000-00002D020000}"/>
    <cellStyle name="千位分隔 8" xfId="515" xr:uid="{00000000-0005-0000-0000-000033020000}"/>
    <cellStyle name="千位分隔 9" xfId="522" xr:uid="{00000000-0005-0000-0000-00003A020000}"/>
    <cellStyle name="千位分隔[0] 2" xfId="2701" xr:uid="{00000000-0005-0000-0000-0000BD0A0000}"/>
    <cellStyle name="千位分隔[0] 2 10" xfId="3585" xr:uid="{00000000-0005-0000-0000-0000310E0000}"/>
    <cellStyle name="千位分隔[0] 2 11" xfId="3586" xr:uid="{00000000-0005-0000-0000-0000320E0000}"/>
    <cellStyle name="千位分隔[0] 2 11 2" xfId="3587" xr:uid="{00000000-0005-0000-0000-0000330E0000}"/>
    <cellStyle name="千位分隔[0] 2 12" xfId="3104" xr:uid="{00000000-0005-0000-0000-0000500C0000}"/>
    <cellStyle name="千位分隔[0] 2 2" xfId="2512" xr:uid="{00000000-0005-0000-0000-0000000A0000}"/>
    <cellStyle name="千位分隔[0] 2 2 2" xfId="933" xr:uid="{00000000-0005-0000-0000-0000D5030000}"/>
    <cellStyle name="千位分隔[0] 2 2 2 2" xfId="3588" xr:uid="{00000000-0005-0000-0000-0000340E0000}"/>
    <cellStyle name="千位分隔[0] 2 2 2 3" xfId="3022" xr:uid="{00000000-0005-0000-0000-0000FE0B0000}"/>
    <cellStyle name="千位分隔[0] 2 2 3" xfId="3574" xr:uid="{00000000-0005-0000-0000-0000260E0000}"/>
    <cellStyle name="千位分隔[0] 2 2 3 2" xfId="3576" xr:uid="{00000000-0005-0000-0000-0000280E0000}"/>
    <cellStyle name="千位分隔[0] 2 2 4" xfId="3579" xr:uid="{00000000-0005-0000-0000-00002B0E0000}"/>
    <cellStyle name="千位分隔[0] 2 3" xfId="2514" xr:uid="{00000000-0005-0000-0000-0000020A0000}"/>
    <cellStyle name="千位分隔[0] 2 3 2" xfId="938" xr:uid="{00000000-0005-0000-0000-0000DA030000}"/>
    <cellStyle name="千位分隔[0] 2 3 3" xfId="3589" xr:uid="{00000000-0005-0000-0000-0000350E0000}"/>
    <cellStyle name="千位分隔[0] 2 4" xfId="2517" xr:uid="{00000000-0005-0000-0000-0000050A0000}"/>
    <cellStyle name="千位分隔[0] 2 5" xfId="3590" xr:uid="{00000000-0005-0000-0000-0000360E0000}"/>
    <cellStyle name="千位分隔[0] 2 6" xfId="3591" xr:uid="{00000000-0005-0000-0000-0000370E0000}"/>
    <cellStyle name="千位分隔[0] 2 7" xfId="3592" xr:uid="{00000000-0005-0000-0000-0000380E0000}"/>
    <cellStyle name="千位分隔[0] 2 8" xfId="2603" xr:uid="{00000000-0005-0000-0000-00005B0A0000}"/>
    <cellStyle name="千位分隔[0] 2 9" xfId="2606" xr:uid="{00000000-0005-0000-0000-00005E0A0000}"/>
    <cellStyle name="千位分隔[0] 2 9 2" xfId="3593" xr:uid="{00000000-0005-0000-0000-0000390E0000}"/>
    <cellStyle name="千位分隔[0] 2 9 2 2" xfId="3594" xr:uid="{00000000-0005-0000-0000-00003A0E0000}"/>
    <cellStyle name="千位分隔[0] 2 9 3" xfId="3595" xr:uid="{00000000-0005-0000-0000-00003B0E0000}"/>
    <cellStyle name="千位分隔[0] 3" xfId="2703" xr:uid="{00000000-0005-0000-0000-0000BF0A0000}"/>
    <cellStyle name="千位分隔[0] 3 2" xfId="3596" xr:uid="{00000000-0005-0000-0000-00003C0E0000}"/>
    <cellStyle name="千位分隔[0] 3 3" xfId="3597" xr:uid="{00000000-0005-0000-0000-00003D0E0000}"/>
    <cellStyle name="强调文字颜色 1 2" xfId="506" xr:uid="{00000000-0005-0000-0000-00002A020000}"/>
    <cellStyle name="强调文字颜色 1 2 2" xfId="3273" xr:uid="{00000000-0005-0000-0000-0000F90C0000}"/>
    <cellStyle name="强调文字颜色 1 2 3" xfId="3275" xr:uid="{00000000-0005-0000-0000-0000FB0C0000}"/>
    <cellStyle name="强调文字颜色 1 2 4" xfId="3277" xr:uid="{00000000-0005-0000-0000-0000FD0C0000}"/>
    <cellStyle name="强调文字颜色 1 3" xfId="2238" xr:uid="{00000000-0005-0000-0000-0000EE080000}"/>
    <cellStyle name="强调文字颜色 1 4" xfId="3598" xr:uid="{00000000-0005-0000-0000-00003E0E0000}"/>
    <cellStyle name="强调文字颜色 1 5" xfId="3599" xr:uid="{00000000-0005-0000-0000-00003F0E0000}"/>
    <cellStyle name="强调文字颜色 1 6" xfId="3600" xr:uid="{00000000-0005-0000-0000-0000400E0000}"/>
    <cellStyle name="强调文字颜色 1 7" xfId="3601" xr:uid="{00000000-0005-0000-0000-0000410E0000}"/>
    <cellStyle name="强调文字颜色 1 8" xfId="3602" xr:uid="{00000000-0005-0000-0000-0000420E0000}"/>
    <cellStyle name="强调文字颜色 1 9" xfId="2544" xr:uid="{00000000-0005-0000-0000-0000200A0000}"/>
    <cellStyle name="强调文字颜色 2 2" xfId="3603" xr:uid="{00000000-0005-0000-0000-0000430E0000}"/>
    <cellStyle name="强调文字颜色 2 2 2" xfId="1122" xr:uid="{00000000-0005-0000-0000-000092040000}"/>
    <cellStyle name="强调文字颜色 2 2 3" xfId="1124" xr:uid="{00000000-0005-0000-0000-000094040000}"/>
    <cellStyle name="强调文字颜色 2 2 4" xfId="1126" xr:uid="{00000000-0005-0000-0000-000096040000}"/>
    <cellStyle name="强调文字颜色 2 3" xfId="3604" xr:uid="{00000000-0005-0000-0000-0000440E0000}"/>
    <cellStyle name="强调文字颜色 2 4" xfId="3605" xr:uid="{00000000-0005-0000-0000-0000450E0000}"/>
    <cellStyle name="强调文字颜色 2 5" xfId="3606" xr:uid="{00000000-0005-0000-0000-0000460E0000}"/>
    <cellStyle name="强调文字颜色 2 6" xfId="3607" xr:uid="{00000000-0005-0000-0000-0000470E0000}"/>
    <cellStyle name="强调文字颜色 2 7" xfId="3608" xr:uid="{00000000-0005-0000-0000-0000480E0000}"/>
    <cellStyle name="强调文字颜色 2 8" xfId="3609" xr:uid="{00000000-0005-0000-0000-0000490E0000}"/>
    <cellStyle name="强调文字颜色 2 9" xfId="2547" xr:uid="{00000000-0005-0000-0000-0000230A0000}"/>
    <cellStyle name="强调文字颜色 3 2" xfId="3610" xr:uid="{00000000-0005-0000-0000-00004A0E0000}"/>
    <cellStyle name="强调文字颜色 3 2 2" xfId="1594" xr:uid="{00000000-0005-0000-0000-00006A060000}"/>
    <cellStyle name="强调文字颜色 3 2 3" xfId="1597" xr:uid="{00000000-0005-0000-0000-00006D060000}"/>
    <cellStyle name="强调文字颜色 3 2 4" xfId="1600" xr:uid="{00000000-0005-0000-0000-000070060000}"/>
    <cellStyle name="强调文字颜色 3 3" xfId="1841" xr:uid="{00000000-0005-0000-0000-000061070000}"/>
    <cellStyle name="强调文字颜色 3 4" xfId="1854" xr:uid="{00000000-0005-0000-0000-00006E070000}"/>
    <cellStyle name="强调文字颜色 3 5" xfId="1862" xr:uid="{00000000-0005-0000-0000-000076070000}"/>
    <cellStyle name="强调文字颜色 3 6" xfId="1877" xr:uid="{00000000-0005-0000-0000-000085070000}"/>
    <cellStyle name="强调文字颜色 3 7" xfId="1892" xr:uid="{00000000-0005-0000-0000-000094070000}"/>
    <cellStyle name="强调文字颜色 3 8" xfId="1910" xr:uid="{00000000-0005-0000-0000-0000A6070000}"/>
    <cellStyle name="强调文字颜色 3 9" xfId="1946" xr:uid="{00000000-0005-0000-0000-0000CA070000}"/>
    <cellStyle name="强调文字颜色 4 2" xfId="2412" xr:uid="{00000000-0005-0000-0000-00009C090000}"/>
    <cellStyle name="强调文字颜色 4 2 2" xfId="2745" xr:uid="{00000000-0005-0000-0000-0000E90A0000}"/>
    <cellStyle name="强调文字颜色 4 2 3" xfId="2747" xr:uid="{00000000-0005-0000-0000-0000EB0A0000}"/>
    <cellStyle name="强调文字颜色 4 2 4" xfId="2750" xr:uid="{00000000-0005-0000-0000-0000EE0A0000}"/>
    <cellStyle name="强调文字颜色 4 3" xfId="2435" xr:uid="{00000000-0005-0000-0000-0000B3090000}"/>
    <cellStyle name="强调文字颜色 4 4" xfId="2438" xr:uid="{00000000-0005-0000-0000-0000B6090000}"/>
    <cellStyle name="强调文字颜色 4 5" xfId="2442" xr:uid="{00000000-0005-0000-0000-0000BA090000}"/>
    <cellStyle name="强调文字颜色 4 6" xfId="2445" xr:uid="{00000000-0005-0000-0000-0000BD090000}"/>
    <cellStyle name="强调文字颜色 4 7" xfId="2448" xr:uid="{00000000-0005-0000-0000-0000C0090000}"/>
    <cellStyle name="强调文字颜色 4 8" xfId="2465" xr:uid="{00000000-0005-0000-0000-0000D1090000}"/>
    <cellStyle name="强调文字颜色 4 9" xfId="2468" xr:uid="{00000000-0005-0000-0000-0000D4090000}"/>
    <cellStyle name="强调文字颜色 5 2" xfId="2240" xr:uid="{00000000-0005-0000-0000-0000F0080000}"/>
    <cellStyle name="强调文字颜色 5 2 2" xfId="2895" xr:uid="{00000000-0005-0000-0000-00007F0B0000}"/>
    <cellStyle name="强调文字颜色 5 2 3" xfId="2899" xr:uid="{00000000-0005-0000-0000-0000830B0000}"/>
    <cellStyle name="强调文字颜色 5 2 4" xfId="2903" xr:uid="{00000000-0005-0000-0000-0000870B0000}"/>
    <cellStyle name="强调文字颜色 5 3" xfId="3611" xr:uid="{00000000-0005-0000-0000-00004B0E0000}"/>
    <cellStyle name="强调文字颜色 5 4" xfId="3374" xr:uid="{00000000-0005-0000-0000-00005E0D0000}"/>
    <cellStyle name="强调文字颜色 5 5" xfId="3612" xr:uid="{00000000-0005-0000-0000-00004C0E0000}"/>
    <cellStyle name="强调文字颜色 5 6" xfId="3613" xr:uid="{00000000-0005-0000-0000-00004D0E0000}"/>
    <cellStyle name="强调文字颜色 5 7" xfId="3614" xr:uid="{00000000-0005-0000-0000-00004E0E0000}"/>
    <cellStyle name="强调文字颜色 5 8" xfId="806" xr:uid="{00000000-0005-0000-0000-000056030000}"/>
    <cellStyle name="强调文字颜色 5 9" xfId="3615" xr:uid="{00000000-0005-0000-0000-00004F0E0000}"/>
    <cellStyle name="强调文字颜色 6 2" xfId="3616" xr:uid="{00000000-0005-0000-0000-0000500E0000}"/>
    <cellStyle name="强调文字颜色 6 2 2" xfId="3617" xr:uid="{00000000-0005-0000-0000-0000510E0000}"/>
    <cellStyle name="强调文字颜色 6 2 3" xfId="3618" xr:uid="{00000000-0005-0000-0000-0000520E0000}"/>
    <cellStyle name="强调文字颜色 6 2 4" xfId="814" xr:uid="{00000000-0005-0000-0000-00005E030000}"/>
    <cellStyle name="强调文字颜色 6 3" xfId="3493" xr:uid="{00000000-0005-0000-0000-0000D50D0000}"/>
    <cellStyle name="强调文字颜色 6 4" xfId="3495" xr:uid="{00000000-0005-0000-0000-0000D70D0000}"/>
    <cellStyle name="强调文字颜色 6 5" xfId="3619" xr:uid="{00000000-0005-0000-0000-0000530E0000}"/>
    <cellStyle name="强调文字颜色 6 6" xfId="3620" xr:uid="{00000000-0005-0000-0000-0000540E0000}"/>
    <cellStyle name="强调文字颜色 6 7" xfId="3621" xr:uid="{00000000-0005-0000-0000-0000550E0000}"/>
    <cellStyle name="强调文字颜色 6 8" xfId="3622" xr:uid="{00000000-0005-0000-0000-0000560E0000}"/>
    <cellStyle name="强调文字颜色 6 9" xfId="3623" xr:uid="{00000000-0005-0000-0000-0000570E0000}"/>
    <cellStyle name="适中 2" xfId="949" xr:uid="{00000000-0005-0000-0000-0000E5030000}"/>
    <cellStyle name="适中 2 2" xfId="951" xr:uid="{00000000-0005-0000-0000-0000E7030000}"/>
    <cellStyle name="适中 2 3" xfId="1310" xr:uid="{00000000-0005-0000-0000-00004E050000}"/>
    <cellStyle name="适中 2 4" xfId="1313" xr:uid="{00000000-0005-0000-0000-000051050000}"/>
    <cellStyle name="适中 3" xfId="955" xr:uid="{00000000-0005-0000-0000-0000EB030000}"/>
    <cellStyle name="适中 4" xfId="3624" xr:uid="{00000000-0005-0000-0000-0000580E0000}"/>
    <cellStyle name="适中 5" xfId="3625" xr:uid="{00000000-0005-0000-0000-0000590E0000}"/>
    <cellStyle name="适中 6" xfId="1836" xr:uid="{00000000-0005-0000-0000-00005C070000}"/>
    <cellStyle name="适中 7" xfId="1838" xr:uid="{00000000-0005-0000-0000-00005E070000}"/>
    <cellStyle name="适中 8" xfId="3626" xr:uid="{00000000-0005-0000-0000-00005A0E0000}"/>
    <cellStyle name="适中 9" xfId="3627" xr:uid="{00000000-0005-0000-0000-00005B0E0000}"/>
    <cellStyle name="输出 2" xfId="3325" xr:uid="{00000000-0005-0000-0000-00002D0D0000}"/>
    <cellStyle name="输出 2 2" xfId="3328" xr:uid="{00000000-0005-0000-0000-0000300D0000}"/>
    <cellStyle name="输出 2 3" xfId="3448" xr:uid="{00000000-0005-0000-0000-0000A80D0000}"/>
    <cellStyle name="输出 2 4" xfId="3450" xr:uid="{00000000-0005-0000-0000-0000AA0D0000}"/>
    <cellStyle name="输出 3" xfId="3331" xr:uid="{00000000-0005-0000-0000-0000330D0000}"/>
    <cellStyle name="输出 4" xfId="3334" xr:uid="{00000000-0005-0000-0000-0000360D0000}"/>
    <cellStyle name="输出 5" xfId="3336" xr:uid="{00000000-0005-0000-0000-0000380D0000}"/>
    <cellStyle name="输出 6" xfId="3338" xr:uid="{00000000-0005-0000-0000-00003A0D0000}"/>
    <cellStyle name="输出 7" xfId="3340" xr:uid="{00000000-0005-0000-0000-00003C0D0000}"/>
    <cellStyle name="输出 8" xfId="3342" xr:uid="{00000000-0005-0000-0000-00003E0D0000}"/>
    <cellStyle name="输出 9" xfId="3344" xr:uid="{00000000-0005-0000-0000-0000400D0000}"/>
    <cellStyle name="输入 2" xfId="2505" xr:uid="{00000000-0005-0000-0000-0000F9090000}"/>
    <cellStyle name="输入 2 2" xfId="2507" xr:uid="{00000000-0005-0000-0000-0000FB090000}"/>
    <cellStyle name="输入 2 3" xfId="2509" xr:uid="{00000000-0005-0000-0000-0000FD090000}"/>
    <cellStyle name="输入 2 4" xfId="2511" xr:uid="{00000000-0005-0000-0000-0000FF090000}"/>
    <cellStyle name="输入 3" xfId="2531" xr:uid="{00000000-0005-0000-0000-0000130A0000}"/>
    <cellStyle name="输入 4" xfId="3628" xr:uid="{00000000-0005-0000-0000-00005C0E0000}"/>
    <cellStyle name="输入 5" xfId="3629" xr:uid="{00000000-0005-0000-0000-00005D0E0000}"/>
    <cellStyle name="输入 6" xfId="3630" xr:uid="{00000000-0005-0000-0000-00005E0E0000}"/>
    <cellStyle name="输入 7" xfId="3631" xr:uid="{00000000-0005-0000-0000-00005F0E0000}"/>
    <cellStyle name="输入 8" xfId="160" xr:uid="{00000000-0005-0000-0000-0000D0000000}"/>
    <cellStyle name="输入 9" xfId="3632" xr:uid="{00000000-0005-0000-0000-0000600E0000}"/>
    <cellStyle name="样式 1" xfId="192" xr:uid="{00000000-0005-0000-0000-0000F0000000}"/>
    <cellStyle name="注释 10" xfId="2617" xr:uid="{00000000-0005-0000-0000-0000690A0000}"/>
    <cellStyle name="注释 2" xfId="3169" xr:uid="{00000000-0005-0000-0000-0000910C0000}"/>
    <cellStyle name="注释 2 2" xfId="554" xr:uid="{00000000-0005-0000-0000-00005A020000}"/>
    <cellStyle name="注释 2 3" xfId="55" xr:uid="{00000000-0005-0000-0000-000053000000}"/>
    <cellStyle name="注释 2 3 2" xfId="2062" xr:uid="{00000000-0005-0000-0000-00003E080000}"/>
    <cellStyle name="注释 2 3 2 2" xfId="2620" xr:uid="{00000000-0005-0000-0000-00006C0A0000}"/>
    <cellStyle name="注释 2 3 3" xfId="2065" xr:uid="{00000000-0005-0000-0000-000041080000}"/>
    <cellStyle name="注释 2 4" xfId="558" xr:uid="{00000000-0005-0000-0000-00005E020000}"/>
    <cellStyle name="注释 2 5" xfId="569" xr:uid="{00000000-0005-0000-0000-000069020000}"/>
    <cellStyle name="注释 2 5 2" xfId="3633" xr:uid="{00000000-0005-0000-0000-0000610E0000}"/>
    <cellStyle name="注释 2 6" xfId="3634" xr:uid="{00000000-0005-0000-0000-0000620E0000}"/>
    <cellStyle name="注释 3" xfId="3171" xr:uid="{00000000-0005-0000-0000-0000930C0000}"/>
    <cellStyle name="注释 3 2" xfId="600" xr:uid="{00000000-0005-0000-0000-000088020000}"/>
    <cellStyle name="注释 3 2 2" xfId="3635" xr:uid="{00000000-0005-0000-0000-0000630E0000}"/>
    <cellStyle name="注释 3 2 2 2" xfId="2520" xr:uid="{00000000-0005-0000-0000-0000080A0000}"/>
    <cellStyle name="注释 3 2 3" xfId="1136" xr:uid="{00000000-0005-0000-0000-0000A0040000}"/>
    <cellStyle name="注释 3 3" xfId="606" xr:uid="{00000000-0005-0000-0000-00008E020000}"/>
    <cellStyle name="注释 3 4" xfId="608" xr:uid="{00000000-0005-0000-0000-000090020000}"/>
    <cellStyle name="注释 3 4 2" xfId="610" xr:uid="{00000000-0005-0000-0000-000092020000}"/>
    <cellStyle name="注释 3 5" xfId="477" xr:uid="{00000000-0005-0000-0000-00000D020000}"/>
    <cellStyle name="注释 4" xfId="3636" xr:uid="{00000000-0005-0000-0000-0000640E0000}"/>
    <cellStyle name="注释 5" xfId="3637" xr:uid="{00000000-0005-0000-0000-0000650E0000}"/>
    <cellStyle name="注释 6" xfId="3638" xr:uid="{00000000-0005-0000-0000-0000660E0000}"/>
    <cellStyle name="注释 7" xfId="3429" xr:uid="{00000000-0005-0000-0000-0000950D0000}"/>
    <cellStyle name="注释 8" xfId="3432" xr:uid="{00000000-0005-0000-0000-0000980D0000}"/>
    <cellStyle name="注释 8 2" xfId="1027" xr:uid="{00000000-0005-0000-0000-000033040000}"/>
    <cellStyle name="注释 8 2 2" xfId="2728" xr:uid="{00000000-0005-0000-0000-0000D80A0000}"/>
    <cellStyle name="注释 8 3" xfId="3639" xr:uid="{00000000-0005-0000-0000-0000670E0000}"/>
    <cellStyle name="注释 9" xfId="3434" xr:uid="{00000000-0005-0000-0000-00009A0D0000}"/>
    <cellStyle name="注释 9 2" xfId="1040" xr:uid="{00000000-0005-0000-0000-00004004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628650</xdr:colOff>
          <xdr:row>2</xdr:row>
          <xdr:rowOff>85725</xdr:rowOff>
        </xdr:from>
        <xdr:to>
          <xdr:col>7</xdr:col>
          <xdr:colOff>1704975</xdr:colOff>
          <xdr:row>5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生成流向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7</xdr:row>
          <xdr:rowOff>76200</xdr:rowOff>
        </xdr:from>
        <xdr:to>
          <xdr:col>7</xdr:col>
          <xdr:colOff>1676400</xdr:colOff>
          <xdr:row>10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214"/>
  <sheetViews>
    <sheetView workbookViewId="0">
      <pane ySplit="1" topLeftCell="A71" activePane="bottomLeft" state="frozen"/>
      <selection pane="bottomLeft" activeCell="E79" sqref="E79"/>
    </sheetView>
  </sheetViews>
  <sheetFormatPr defaultColWidth="9" defaultRowHeight="13.5" x14ac:dyDescent="0.15"/>
  <cols>
    <col min="1" max="1" width="10.75" style="6" customWidth="1"/>
    <col min="2" max="2" width="7.375" style="6" customWidth="1"/>
    <col min="3" max="4" width="10.75" style="6" customWidth="1"/>
    <col min="5" max="5" width="25.5" style="6" bestFit="1" customWidth="1"/>
    <col min="6" max="6" width="15.125" style="6" customWidth="1"/>
    <col min="7" max="7" width="14.5" style="6" customWidth="1"/>
    <col min="8" max="8" width="30.75" style="6" bestFit="1" customWidth="1"/>
    <col min="9" max="9" width="22.375" style="6" bestFit="1" customWidth="1"/>
    <col min="10" max="10" width="52.625" style="6" bestFit="1" customWidth="1"/>
    <col min="11" max="11" width="13.75" style="6" bestFit="1" customWidth="1"/>
    <col min="12" max="12" width="50.5" style="6" bestFit="1" customWidth="1"/>
    <col min="13" max="13" width="25.375" style="6" customWidth="1"/>
    <col min="14" max="14" width="7.375" style="6" customWidth="1"/>
    <col min="15" max="15" width="14.5" style="6" customWidth="1"/>
    <col min="16" max="16" width="10.75" style="6" customWidth="1"/>
    <col min="17" max="17" width="7.375" style="6" customWidth="1"/>
    <col min="18" max="18" width="10.75" style="6" customWidth="1"/>
    <col min="19" max="19" width="11.625" style="6" bestFit="1" customWidth="1"/>
    <col min="20" max="20" width="10.75" style="6" customWidth="1"/>
    <col min="21" max="21" width="9" style="6" customWidth="1"/>
    <col min="22" max="22" width="9" style="6"/>
    <col min="23" max="23" width="47.875" style="6" bestFit="1" customWidth="1"/>
    <col min="24" max="16384" width="9" style="6"/>
  </cols>
  <sheetData>
    <row r="1" spans="1:24" s="8" customFormat="1" ht="39.6" customHeight="1" x14ac:dyDescent="0.15">
      <c r="A1" s="9" t="s">
        <v>0</v>
      </c>
      <c r="B1" s="9" t="s">
        <v>1</v>
      </c>
      <c r="C1" s="9" t="s">
        <v>17</v>
      </c>
      <c r="D1" s="9" t="s">
        <v>18</v>
      </c>
      <c r="E1" s="9" t="s">
        <v>19</v>
      </c>
      <c r="F1" s="9" t="s">
        <v>20</v>
      </c>
      <c r="G1" s="9" t="s">
        <v>2</v>
      </c>
      <c r="H1" s="11" t="s">
        <v>3</v>
      </c>
      <c r="I1" s="11" t="s">
        <v>4</v>
      </c>
      <c r="J1" s="11" t="s">
        <v>5</v>
      </c>
      <c r="K1" s="9" t="s">
        <v>6</v>
      </c>
      <c r="L1" s="11" t="s">
        <v>13</v>
      </c>
      <c r="M1" s="9" t="s">
        <v>12</v>
      </c>
      <c r="N1" s="9" t="s">
        <v>14</v>
      </c>
      <c r="O1" s="9" t="s">
        <v>7</v>
      </c>
      <c r="P1" s="11" t="s">
        <v>8</v>
      </c>
      <c r="Q1" s="11" t="s">
        <v>9</v>
      </c>
      <c r="R1" s="11" t="s">
        <v>10</v>
      </c>
      <c r="S1" s="11" t="s">
        <v>11</v>
      </c>
      <c r="T1" s="9" t="s">
        <v>15</v>
      </c>
      <c r="U1" s="9" t="s">
        <v>16</v>
      </c>
      <c r="V1" s="10"/>
      <c r="W1" s="12" t="s">
        <v>1818</v>
      </c>
      <c r="X1" s="11" t="s">
        <v>1817</v>
      </c>
    </row>
    <row r="2" spans="1:24" x14ac:dyDescent="0.15">
      <c r="A2" s="7" t="str">
        <f>IF(MONTH(P2)&lt;10,YEAR(P2)&amp;"0"&amp;MONTH(P2),YEAR(P2)&amp;MONTH(P2))</f>
        <v>201806</v>
      </c>
      <c r="C2" s="6" t="str">
        <f>INDEX(工厂基础数据!$A$2:$A$1024,MATCH(X2,工厂基础数据!$D$2:$D$1024,0))</f>
        <v>02005429</v>
      </c>
      <c r="E2" s="6" t="str">
        <f>INDEX(工厂基础数据!$B$2:$B$1024,MATCH(X2,工厂基础数据!$D$2:$D$1024,0))</f>
        <v>山东九州通医药有限公司</v>
      </c>
      <c r="F2" s="6">
        <f>INDEX(商业2转码!$B$2:$B$10000,MATCH(E2,商业2转码!$A$2:$A$10000,0))</f>
        <v>0</v>
      </c>
      <c r="G2" s="6" t="str">
        <f>INDEX(品种2编码!$A$2:$A$1048576,MATCH(W2,品种2编码!$D$2:$D$1048576,0))</f>
        <v>0020050090SJZY0001</v>
      </c>
      <c r="H2" s="6" t="s">
        <v>630</v>
      </c>
      <c r="I2" s="6" t="s">
        <v>1850</v>
      </c>
      <c r="L2" s="6" t="s">
        <v>2939</v>
      </c>
      <c r="M2" s="6">
        <f>INDEX(医院2县区2人!$B$2:$B$1048576,MATCH(L2,医院2县区2人!$A$2:$A$1048576,0))</f>
        <v>0</v>
      </c>
      <c r="N2" s="6">
        <f>INDEX(医院2县区2人!$C$2:$C$1048576,MATCH(L2,医院2县区2人!$A$2:$A$1048576,0))</f>
        <v>0</v>
      </c>
      <c r="P2" s="7">
        <v>43270</v>
      </c>
      <c r="Q2" s="6">
        <v>90</v>
      </c>
      <c r="R2" s="6">
        <v>16.8</v>
      </c>
      <c r="S2" s="6">
        <v>17062811</v>
      </c>
      <c r="T2" s="6">
        <f>INDEX(医院2县区2人!$D$2:$D$1048576,MATCH(L2,医院2县区2人!$A$2:$A$1048576,0))</f>
        <v>0</v>
      </c>
      <c r="W2" s="6" t="str">
        <f>H2&amp;I2</f>
        <v>双黄连口服液10ml*10支</v>
      </c>
      <c r="X2" s="6" t="s">
        <v>2906</v>
      </c>
    </row>
    <row r="3" spans="1:24" x14ac:dyDescent="0.15">
      <c r="A3" s="7" t="str">
        <f t="shared" ref="A3:A5" si="0">IF(MONTH(P3)&lt;10,YEAR(P3)&amp;"0"&amp;MONTH(P3),YEAR(P3)&amp;MONTH(P3))</f>
        <v>201806</v>
      </c>
      <c r="C3" s="6" t="str">
        <f>INDEX(工厂基础数据!$A$2:$A$1024,MATCH(X3,工厂基础数据!$D$2:$D$1024,0))</f>
        <v>02005429</v>
      </c>
      <c r="E3" s="6" t="str">
        <f>INDEX(工厂基础数据!$B$2:$B$1024,MATCH(X3,工厂基础数据!$D$2:$D$1024,0))</f>
        <v>山东九州通医药有限公司</v>
      </c>
      <c r="F3" s="6">
        <f>INDEX(商业2转码!$B$2:$B$10000,MATCH(E3,商业2转码!$A$2:$A$10000,0))</f>
        <v>0</v>
      </c>
      <c r="G3" s="6">
        <f>INDEX(品种2编码!$A$2:$A$1048576,MATCH(W3,品种2编码!$D$2:$D$1048576,0))</f>
        <v>0</v>
      </c>
      <c r="H3" s="6" t="s">
        <v>2923</v>
      </c>
      <c r="I3" s="6" t="s">
        <v>2929</v>
      </c>
      <c r="L3" s="6" t="s">
        <v>2939</v>
      </c>
      <c r="M3" s="6">
        <f>INDEX(医院2县区2人!$B$2:$B$1048576,MATCH(L3,医院2县区2人!$A$2:$A$1048576,0))</f>
        <v>0</v>
      </c>
      <c r="N3" s="6">
        <f>INDEX(医院2县区2人!$C$2:$C$1048576,MATCH(L3,医院2县区2人!$A$2:$A$1048576,0))</f>
        <v>0</v>
      </c>
      <c r="P3" s="7">
        <v>43270</v>
      </c>
      <c r="Q3" s="6">
        <v>80</v>
      </c>
      <c r="R3" s="6">
        <v>25</v>
      </c>
      <c r="S3" s="6">
        <v>17111823</v>
      </c>
      <c r="T3" s="6">
        <f>INDEX(医院2县区2人!$D$2:$D$1048576,MATCH(L3,医院2县区2人!$A$2:$A$1048576,0))</f>
        <v>0</v>
      </c>
      <c r="W3" s="6" t="str">
        <f t="shared" ref="W3:W5" si="1">H3&amp;I3</f>
        <v>葡萄糖酸钙口服溶液(有糖)10% 10ml*12支</v>
      </c>
      <c r="X3" s="6" t="s">
        <v>2906</v>
      </c>
    </row>
    <row r="4" spans="1:24" x14ac:dyDescent="0.15">
      <c r="A4" s="7" t="str">
        <f t="shared" si="0"/>
        <v>201806</v>
      </c>
      <c r="C4" s="6" t="str">
        <f>INDEX(工厂基础数据!$A$2:$A$1024,MATCH(X4,工厂基础数据!$D$2:$D$1024,0))</f>
        <v>02005429</v>
      </c>
      <c r="E4" s="6" t="str">
        <f>INDEX(工厂基础数据!$B$2:$B$1024,MATCH(X4,工厂基础数据!$D$2:$D$1024,0))</f>
        <v>山东九州通医药有限公司</v>
      </c>
      <c r="F4" s="6">
        <f>INDEX(商业2转码!$B$2:$B$10000,MATCH(E4,商业2转码!$A$2:$A$10000,0))</f>
        <v>0</v>
      </c>
      <c r="G4" s="6">
        <f>INDEX(品种2编码!$A$2:$A$1048576,MATCH(W4,品种2编码!$D$2:$D$1048576,0))</f>
        <v>0</v>
      </c>
      <c r="H4" s="6" t="s">
        <v>2923</v>
      </c>
      <c r="I4" s="6" t="s">
        <v>2929</v>
      </c>
      <c r="L4" s="6" t="s">
        <v>2940</v>
      </c>
      <c r="M4" s="6">
        <f>INDEX(医院2县区2人!$B$2:$B$1048576,MATCH(L4,医院2县区2人!$A$2:$A$1048576,0))</f>
        <v>0</v>
      </c>
      <c r="N4" s="6">
        <f>INDEX(医院2县区2人!$C$2:$C$1048576,MATCH(L4,医院2县区2人!$A$2:$A$1048576,0))</f>
        <v>0</v>
      </c>
      <c r="P4" s="7">
        <v>43263</v>
      </c>
      <c r="Q4" s="6">
        <v>3</v>
      </c>
      <c r="R4" s="6">
        <v>22.5</v>
      </c>
      <c r="S4" s="6">
        <v>17111823</v>
      </c>
      <c r="T4" s="6">
        <f>INDEX(医院2县区2人!$D$2:$D$1048576,MATCH(L4,医院2县区2人!$A$2:$A$1048576,0))</f>
        <v>0</v>
      </c>
      <c r="W4" s="6" t="str">
        <f t="shared" si="1"/>
        <v>葡萄糖酸钙口服溶液(有糖)10% 10ml*12支</v>
      </c>
      <c r="X4" s="6" t="s">
        <v>2906</v>
      </c>
    </row>
    <row r="5" spans="1:24" x14ac:dyDescent="0.15">
      <c r="A5" s="7" t="str">
        <f t="shared" si="0"/>
        <v>201806</v>
      </c>
      <c r="C5" s="6" t="str">
        <f>INDEX(工厂基础数据!$A$2:$A$1024,MATCH(X5,工厂基础数据!$D$2:$D$1024,0))</f>
        <v>02005429</v>
      </c>
      <c r="E5" s="6" t="str">
        <f>INDEX(工厂基础数据!$B$2:$B$1024,MATCH(X5,工厂基础数据!$D$2:$D$1024,0))</f>
        <v>山东九州通医药有限公司</v>
      </c>
      <c r="F5" s="6">
        <f>INDEX(商业2转码!$B$2:$B$10000,MATCH(E5,商业2转码!$A$2:$A$10000,0))</f>
        <v>0</v>
      </c>
      <c r="G5" s="6">
        <f>INDEX(品种2编码!$A$2:$A$1048576,MATCH(W5,品种2编码!$D$2:$D$1048576,0))</f>
        <v>0</v>
      </c>
      <c r="H5" s="6" t="s">
        <v>2923</v>
      </c>
      <c r="I5" s="6" t="s">
        <v>2929</v>
      </c>
      <c r="L5" s="6" t="s">
        <v>2939</v>
      </c>
      <c r="M5" s="6">
        <f>INDEX(医院2县区2人!$B$2:$B$1048576,MATCH(L5,医院2县区2人!$A$2:$A$1048576,0))</f>
        <v>0</v>
      </c>
      <c r="N5" s="6">
        <f>INDEX(医院2县区2人!$C$2:$C$1048576,MATCH(L5,医院2县区2人!$A$2:$A$1048576,0))</f>
        <v>0</v>
      </c>
      <c r="P5" s="7">
        <v>43270</v>
      </c>
      <c r="Q5" s="6">
        <v>5</v>
      </c>
      <c r="R5" s="6">
        <v>25</v>
      </c>
      <c r="S5" s="6">
        <v>17111823</v>
      </c>
      <c r="T5" s="6">
        <f>INDEX(医院2县区2人!$D$2:$D$1048576,MATCH(L5,医院2县区2人!$A$2:$A$1048576,0))</f>
        <v>0</v>
      </c>
      <c r="W5" s="6" t="str">
        <f t="shared" si="1"/>
        <v>葡萄糖酸钙口服溶液(有糖)10% 10ml*12支</v>
      </c>
      <c r="X5" s="6" t="s">
        <v>2906</v>
      </c>
    </row>
    <row r="6" spans="1:24" x14ac:dyDescent="0.15">
      <c r="A6" s="7" t="str">
        <f t="shared" ref="A6" si="2">IF(MONTH(P6)&lt;10,YEAR(P6)&amp;"0"&amp;MONTH(P6),YEAR(P6)&amp;MONTH(P6))</f>
        <v>201806</v>
      </c>
      <c r="C6" s="6" t="str">
        <f>INDEX(工厂基础数据!$A$2:$A$1024,MATCH(X6,工厂基础数据!$D$2:$D$1024,0))</f>
        <v>02005429</v>
      </c>
      <c r="E6" s="6" t="str">
        <f>INDEX(工厂基础数据!$B$2:$B$1024,MATCH(X6,工厂基础数据!$D$2:$D$1024,0))</f>
        <v>山东九州通医药有限公司</v>
      </c>
      <c r="F6" s="6">
        <f>INDEX(商业2转码!$B$2:$B$10000,MATCH(E6,商业2转码!$A$2:$A$10000,0))</f>
        <v>0</v>
      </c>
      <c r="G6" s="6">
        <f>INDEX(品种2编码!$A$2:$A$1048576,MATCH(W6,品种2编码!$D$2:$D$1048576,0))</f>
        <v>0</v>
      </c>
      <c r="H6" s="6" t="s">
        <v>2923</v>
      </c>
      <c r="I6" s="6" t="s">
        <v>2929</v>
      </c>
      <c r="L6" s="6" t="s">
        <v>2939</v>
      </c>
      <c r="M6" s="6">
        <f>INDEX(医院2县区2人!$B$2:$B$1048576,MATCH(L6,医院2县区2人!$A$2:$A$1048576,0))</f>
        <v>0</v>
      </c>
      <c r="N6" s="6">
        <f>INDEX(医院2县区2人!$C$2:$C$1048576,MATCH(L6,医院2县区2人!$A$2:$A$1048576,0))</f>
        <v>0</v>
      </c>
      <c r="P6" s="7">
        <v>43266</v>
      </c>
      <c r="Q6" s="6">
        <v>5</v>
      </c>
      <c r="R6" s="6">
        <v>25</v>
      </c>
      <c r="S6" s="6">
        <v>17111823</v>
      </c>
      <c r="T6" s="6">
        <f>INDEX(医院2县区2人!$D$2:$D$1048576,MATCH(L6,医院2县区2人!$A$2:$A$1048576,0))</f>
        <v>0</v>
      </c>
      <c r="W6" s="6" t="str">
        <f t="shared" ref="W6:W69" si="3">H6&amp;I6</f>
        <v>葡萄糖酸钙口服溶液(有糖)10% 10ml*12支</v>
      </c>
      <c r="X6" s="6" t="s">
        <v>2906</v>
      </c>
    </row>
    <row r="7" spans="1:24" x14ac:dyDescent="0.15">
      <c r="A7" s="7" t="str">
        <f t="shared" ref="A7:A70" si="4">IF(MONTH(P7)&lt;10,YEAR(P7)&amp;"0"&amp;MONTH(P7),YEAR(P7)&amp;MONTH(P7))</f>
        <v>201806</v>
      </c>
      <c r="C7" s="6" t="str">
        <f>INDEX(工厂基础数据!$A$2:$A$1024,MATCH(X7,工厂基础数据!$D$2:$D$1024,0))</f>
        <v>02005429</v>
      </c>
      <c r="E7" s="6" t="str">
        <f>INDEX(工厂基础数据!$B$2:$B$1024,MATCH(X7,工厂基础数据!$D$2:$D$1024,0))</f>
        <v>山东九州通医药有限公司</v>
      </c>
      <c r="F7" s="6">
        <f>INDEX(商业2转码!$B$2:$B$10000,MATCH(E7,商业2转码!$A$2:$A$10000,0))</f>
        <v>0</v>
      </c>
      <c r="G7" s="6">
        <f>INDEX(品种2编码!$A$2:$A$1048576,MATCH(W7,品种2编码!$D$2:$D$1048576,0))</f>
        <v>0</v>
      </c>
      <c r="H7" s="6" t="s">
        <v>1949</v>
      </c>
      <c r="I7" s="6" t="s">
        <v>2930</v>
      </c>
      <c r="L7" s="6" t="s">
        <v>2939</v>
      </c>
      <c r="M7" s="6">
        <f>INDEX(医院2县区2人!$B$2:$B$1048576,MATCH(L7,医院2县区2人!$A$2:$A$1048576,0))</f>
        <v>0</v>
      </c>
      <c r="N7" s="6">
        <f>INDEX(医院2县区2人!$C$2:$C$1048576,MATCH(L7,医院2县区2人!$A$2:$A$1048576,0))</f>
        <v>0</v>
      </c>
      <c r="P7" s="7">
        <v>43255</v>
      </c>
      <c r="Q7" s="6">
        <v>5</v>
      </c>
      <c r="R7" s="6">
        <v>25</v>
      </c>
      <c r="S7" s="6">
        <v>17120711</v>
      </c>
      <c r="T7" s="6">
        <f>INDEX(医院2县区2人!$D$2:$D$1048576,MATCH(L7,医院2县区2人!$A$2:$A$1048576,0))</f>
        <v>0</v>
      </c>
      <c r="W7" s="6" t="str">
        <f t="shared" si="3"/>
        <v>葡萄糖酸锌口服溶液10ml:35mg*12支</v>
      </c>
      <c r="X7" s="6" t="s">
        <v>2906</v>
      </c>
    </row>
    <row r="8" spans="1:24" x14ac:dyDescent="0.15">
      <c r="A8" s="7" t="str">
        <f t="shared" si="4"/>
        <v>201806</v>
      </c>
      <c r="C8" s="6" t="str">
        <f>INDEX(工厂基础数据!$A$2:$A$1024,MATCH(X8,工厂基础数据!$D$2:$D$1024,0))</f>
        <v>02005429</v>
      </c>
      <c r="E8" s="6" t="str">
        <f>INDEX(工厂基础数据!$B$2:$B$1024,MATCH(X8,工厂基础数据!$D$2:$D$1024,0))</f>
        <v>山东九州通医药有限公司</v>
      </c>
      <c r="F8" s="6">
        <f>INDEX(商业2转码!$B$2:$B$10000,MATCH(E8,商业2转码!$A$2:$A$10000,0))</f>
        <v>0</v>
      </c>
      <c r="G8" s="6">
        <f>INDEX(品种2编码!$A$2:$A$1048576,MATCH(W8,品种2编码!$D$2:$D$1048576,0))</f>
        <v>0</v>
      </c>
      <c r="H8" s="6" t="s">
        <v>2923</v>
      </c>
      <c r="I8" s="6" t="s">
        <v>2929</v>
      </c>
      <c r="L8" s="6" t="s">
        <v>2939</v>
      </c>
      <c r="M8" s="6">
        <f>INDEX(医院2县区2人!$B$2:$B$1048576,MATCH(L8,医院2县区2人!$A$2:$A$1048576,0))</f>
        <v>0</v>
      </c>
      <c r="N8" s="6">
        <f>INDEX(医院2县区2人!$C$2:$C$1048576,MATCH(L8,医院2县区2人!$A$2:$A$1048576,0))</f>
        <v>0</v>
      </c>
      <c r="P8" s="7">
        <v>43263</v>
      </c>
      <c r="Q8" s="6">
        <v>5</v>
      </c>
      <c r="R8" s="6">
        <v>25</v>
      </c>
      <c r="S8" s="6">
        <v>17111823</v>
      </c>
      <c r="T8" s="6">
        <f>INDEX(医院2县区2人!$D$2:$D$1048576,MATCH(L8,医院2县区2人!$A$2:$A$1048576,0))</f>
        <v>0</v>
      </c>
      <c r="W8" s="6" t="str">
        <f t="shared" si="3"/>
        <v>葡萄糖酸钙口服溶液(有糖)10% 10ml*12支</v>
      </c>
      <c r="X8" s="6" t="s">
        <v>2906</v>
      </c>
    </row>
    <row r="9" spans="1:24" x14ac:dyDescent="0.15">
      <c r="A9" s="7" t="str">
        <f t="shared" si="4"/>
        <v>201806</v>
      </c>
      <c r="C9" s="6" t="str">
        <f>INDEX(工厂基础数据!$A$2:$A$1024,MATCH(X9,工厂基础数据!$D$2:$D$1024,0))</f>
        <v>02005429</v>
      </c>
      <c r="E9" s="6" t="str">
        <f>INDEX(工厂基础数据!$B$2:$B$1024,MATCH(X9,工厂基础数据!$D$2:$D$1024,0))</f>
        <v>山东九州通医药有限公司</v>
      </c>
      <c r="F9" s="6">
        <f>INDEX(商业2转码!$B$2:$B$10000,MATCH(E9,商业2转码!$A$2:$A$10000,0))</f>
        <v>0</v>
      </c>
      <c r="G9" s="6">
        <f>INDEX(品种2编码!$A$2:$A$1048576,MATCH(W9,品种2编码!$D$2:$D$1048576,0))</f>
        <v>0</v>
      </c>
      <c r="H9" s="6" t="s">
        <v>2923</v>
      </c>
      <c r="I9" s="6" t="s">
        <v>2929</v>
      </c>
      <c r="L9" s="6" t="s">
        <v>2941</v>
      </c>
      <c r="M9" s="6">
        <f>INDEX(医院2县区2人!$B$2:$B$1048576,MATCH(L9,医院2县区2人!$A$2:$A$1048576,0))</f>
        <v>0</v>
      </c>
      <c r="N9" s="6">
        <f>INDEX(医院2县区2人!$C$2:$C$1048576,MATCH(L9,医院2县区2人!$A$2:$A$1048576,0))</f>
        <v>0</v>
      </c>
      <c r="P9" s="7">
        <v>43272</v>
      </c>
      <c r="Q9" s="6">
        <v>10</v>
      </c>
      <c r="R9" s="6">
        <v>22.5</v>
      </c>
      <c r="S9" s="6">
        <v>17111823</v>
      </c>
      <c r="T9" s="6">
        <f>INDEX(医院2县区2人!$D$2:$D$1048576,MATCH(L9,医院2县区2人!$A$2:$A$1048576,0))</f>
        <v>0</v>
      </c>
      <c r="W9" s="6" t="str">
        <f t="shared" si="3"/>
        <v>葡萄糖酸钙口服溶液(有糖)10% 10ml*12支</v>
      </c>
      <c r="X9" s="6" t="s">
        <v>2906</v>
      </c>
    </row>
    <row r="10" spans="1:24" x14ac:dyDescent="0.15">
      <c r="A10" s="7" t="str">
        <f t="shared" si="4"/>
        <v>201806</v>
      </c>
      <c r="C10" s="6" t="str">
        <f>INDEX(工厂基础数据!$A$2:$A$1024,MATCH(X10,工厂基础数据!$D$2:$D$1024,0))</f>
        <v>02005429</v>
      </c>
      <c r="E10" s="6" t="str">
        <f>INDEX(工厂基础数据!$B$2:$B$1024,MATCH(X10,工厂基础数据!$D$2:$D$1024,0))</f>
        <v>山东九州通医药有限公司</v>
      </c>
      <c r="F10" s="6">
        <f>INDEX(商业2转码!$B$2:$B$10000,MATCH(E10,商业2转码!$A$2:$A$10000,0))</f>
        <v>0</v>
      </c>
      <c r="G10" s="6">
        <f>INDEX(品种2编码!$A$2:$A$1048576,MATCH(W10,品种2编码!$D$2:$D$1048576,0))</f>
        <v>0</v>
      </c>
      <c r="H10" s="6" t="s">
        <v>1949</v>
      </c>
      <c r="I10" s="6" t="s">
        <v>2930</v>
      </c>
      <c r="L10" s="6" t="s">
        <v>2939</v>
      </c>
      <c r="M10" s="6">
        <f>INDEX(医院2县区2人!$B$2:$B$1048576,MATCH(L10,医院2县区2人!$A$2:$A$1048576,0))</f>
        <v>0</v>
      </c>
      <c r="N10" s="6">
        <f>INDEX(医院2县区2人!$C$2:$C$1048576,MATCH(L10,医院2县区2人!$A$2:$A$1048576,0))</f>
        <v>0</v>
      </c>
      <c r="P10" s="7">
        <v>43256</v>
      </c>
      <c r="Q10" s="6">
        <v>10</v>
      </c>
      <c r="R10" s="6">
        <v>25</v>
      </c>
      <c r="S10" s="6">
        <v>17120711</v>
      </c>
      <c r="T10" s="6">
        <f>INDEX(医院2县区2人!$D$2:$D$1048576,MATCH(L10,医院2县区2人!$A$2:$A$1048576,0))</f>
        <v>0</v>
      </c>
      <c r="W10" s="6" t="str">
        <f t="shared" si="3"/>
        <v>葡萄糖酸锌口服溶液10ml:35mg*12支</v>
      </c>
      <c r="X10" s="6" t="s">
        <v>2906</v>
      </c>
    </row>
    <row r="11" spans="1:24" x14ac:dyDescent="0.15">
      <c r="A11" s="7" t="str">
        <f t="shared" si="4"/>
        <v>201806</v>
      </c>
      <c r="C11" s="6" t="str">
        <f>INDEX(工厂基础数据!$A$2:$A$1024,MATCH(X11,工厂基础数据!$D$2:$D$1024,0))</f>
        <v>02005429</v>
      </c>
      <c r="E11" s="6" t="str">
        <f>INDEX(工厂基础数据!$B$2:$B$1024,MATCH(X11,工厂基础数据!$D$2:$D$1024,0))</f>
        <v>山东九州通医药有限公司</v>
      </c>
      <c r="F11" s="6">
        <f>INDEX(商业2转码!$B$2:$B$10000,MATCH(E11,商业2转码!$A$2:$A$10000,0))</f>
        <v>0</v>
      </c>
      <c r="G11" s="6">
        <f>INDEX(品种2编码!$A$2:$A$1048576,MATCH(W11,品种2编码!$D$2:$D$1048576,0))</f>
        <v>0</v>
      </c>
      <c r="H11" s="6" t="s">
        <v>2923</v>
      </c>
      <c r="I11" s="6" t="s">
        <v>2929</v>
      </c>
      <c r="L11" s="6" t="s">
        <v>2939</v>
      </c>
      <c r="M11" s="6">
        <f>INDEX(医院2县区2人!$B$2:$B$1048576,MATCH(L11,医院2县区2人!$A$2:$A$1048576,0))</f>
        <v>0</v>
      </c>
      <c r="N11" s="6">
        <f>INDEX(医院2县区2人!$C$2:$C$1048576,MATCH(L11,医院2县区2人!$A$2:$A$1048576,0))</f>
        <v>0</v>
      </c>
      <c r="P11" s="7">
        <v>43256</v>
      </c>
      <c r="Q11" s="6">
        <v>20</v>
      </c>
      <c r="R11" s="6">
        <v>25</v>
      </c>
      <c r="S11" s="6">
        <v>17111823</v>
      </c>
      <c r="T11" s="6">
        <f>INDEX(医院2县区2人!$D$2:$D$1048576,MATCH(L11,医院2县区2人!$A$2:$A$1048576,0))</f>
        <v>0</v>
      </c>
      <c r="W11" s="6" t="str">
        <f t="shared" si="3"/>
        <v>葡萄糖酸钙口服溶液(有糖)10% 10ml*12支</v>
      </c>
      <c r="X11" s="6" t="s">
        <v>2906</v>
      </c>
    </row>
    <row r="12" spans="1:24" x14ac:dyDescent="0.15">
      <c r="A12" s="7" t="str">
        <f t="shared" si="4"/>
        <v>201806</v>
      </c>
      <c r="C12" s="6" t="str">
        <f>INDEX(工厂基础数据!$A$2:$A$1024,MATCH(X12,工厂基础数据!$D$2:$D$1024,0))</f>
        <v>02005429</v>
      </c>
      <c r="E12" s="6" t="str">
        <f>INDEX(工厂基础数据!$B$2:$B$1024,MATCH(X12,工厂基础数据!$D$2:$D$1024,0))</f>
        <v>山东九州通医药有限公司</v>
      </c>
      <c r="F12" s="6">
        <f>INDEX(商业2转码!$B$2:$B$10000,MATCH(E12,商业2转码!$A$2:$A$10000,0))</f>
        <v>0</v>
      </c>
      <c r="G12" s="6">
        <f>INDEX(品种2编码!$A$2:$A$1048576,MATCH(W12,品种2编码!$D$2:$D$1048576,0))</f>
        <v>0</v>
      </c>
      <c r="H12" s="6" t="s">
        <v>1855</v>
      </c>
      <c r="I12" s="6" t="s">
        <v>2931</v>
      </c>
      <c r="L12" s="6" t="s">
        <v>2939</v>
      </c>
      <c r="M12" s="6">
        <f>INDEX(医院2县区2人!$B$2:$B$1048576,MATCH(L12,医院2县区2人!$A$2:$A$1048576,0))</f>
        <v>0</v>
      </c>
      <c r="N12" s="6">
        <f>INDEX(医院2县区2人!$C$2:$C$1048576,MATCH(L12,医院2县区2人!$A$2:$A$1048576,0))</f>
        <v>0</v>
      </c>
      <c r="P12" s="7">
        <v>43264</v>
      </c>
      <c r="Q12" s="6">
        <v>10</v>
      </c>
      <c r="R12" s="6">
        <v>5.75</v>
      </c>
      <c r="S12" s="6">
        <v>180301</v>
      </c>
      <c r="T12" s="6">
        <f>INDEX(医院2县区2人!$D$2:$D$1048576,MATCH(L12,医院2县区2人!$A$2:$A$1048576,0))</f>
        <v>0</v>
      </c>
      <c r="W12" s="6" t="str">
        <f t="shared" si="3"/>
        <v>颠茄磺苄啶片12s</v>
      </c>
      <c r="X12" s="6" t="s">
        <v>2906</v>
      </c>
    </row>
    <row r="13" spans="1:24" x14ac:dyDescent="0.15">
      <c r="A13" s="7" t="str">
        <f t="shared" si="4"/>
        <v>201806</v>
      </c>
      <c r="C13" s="6" t="str">
        <f>INDEX(工厂基础数据!$A$2:$A$1024,MATCH(X13,工厂基础数据!$D$2:$D$1024,0))</f>
        <v>02005429</v>
      </c>
      <c r="E13" s="6" t="str">
        <f>INDEX(工厂基础数据!$B$2:$B$1024,MATCH(X13,工厂基础数据!$D$2:$D$1024,0))</f>
        <v>山东九州通医药有限公司</v>
      </c>
      <c r="F13" s="6">
        <f>INDEX(商业2转码!$B$2:$B$10000,MATCH(E13,商业2转码!$A$2:$A$10000,0))</f>
        <v>0</v>
      </c>
      <c r="G13" s="6">
        <f>INDEX(品种2编码!$A$2:$A$1048576,MATCH(W13,品种2编码!$D$2:$D$1048576,0))</f>
        <v>0</v>
      </c>
      <c r="H13" s="6" t="s">
        <v>494</v>
      </c>
      <c r="I13" s="6" t="s">
        <v>2932</v>
      </c>
      <c r="L13" s="6" t="s">
        <v>2942</v>
      </c>
      <c r="M13" s="6">
        <f>INDEX(医院2县区2人!$B$2:$B$1048576,MATCH(L13,医院2县区2人!$A$2:$A$1048576,0))</f>
        <v>0</v>
      </c>
      <c r="N13" s="6">
        <f>INDEX(医院2县区2人!$C$2:$C$1048576,MATCH(L13,医院2县区2人!$A$2:$A$1048576,0))</f>
        <v>0</v>
      </c>
      <c r="P13" s="7">
        <v>43264</v>
      </c>
      <c r="Q13" s="6">
        <v>2</v>
      </c>
      <c r="R13" s="6">
        <v>8.4</v>
      </c>
      <c r="S13" s="6">
        <v>180201</v>
      </c>
      <c r="T13" s="6">
        <f>INDEX(医院2县区2人!$D$2:$D$1048576,MATCH(L13,医院2县区2人!$A$2:$A$1048576,0))</f>
        <v>0</v>
      </c>
      <c r="W13" s="6" t="str">
        <f t="shared" si="3"/>
        <v>罗红霉素分散片(严迪)75mg*12s</v>
      </c>
      <c r="X13" s="6" t="s">
        <v>2906</v>
      </c>
    </row>
    <row r="14" spans="1:24" x14ac:dyDescent="0.15">
      <c r="A14" s="7" t="str">
        <f t="shared" si="4"/>
        <v>201806</v>
      </c>
      <c r="C14" s="6" t="str">
        <f>INDEX(工厂基础数据!$A$2:$A$1024,MATCH(X14,工厂基础数据!$D$2:$D$1024,0))</f>
        <v>02005429</v>
      </c>
      <c r="E14" s="6" t="str">
        <f>INDEX(工厂基础数据!$B$2:$B$1024,MATCH(X14,工厂基础数据!$D$2:$D$1024,0))</f>
        <v>山东九州通医药有限公司</v>
      </c>
      <c r="F14" s="6">
        <f>INDEX(商业2转码!$B$2:$B$10000,MATCH(E14,商业2转码!$A$2:$A$10000,0))</f>
        <v>0</v>
      </c>
      <c r="G14" s="6">
        <f>INDEX(品种2编码!$A$2:$A$1048576,MATCH(W14,品种2编码!$D$2:$D$1048576,0))</f>
        <v>0</v>
      </c>
      <c r="H14" s="6" t="s">
        <v>1855</v>
      </c>
      <c r="I14" s="6" t="s">
        <v>2931</v>
      </c>
      <c r="L14" s="6" t="s">
        <v>2939</v>
      </c>
      <c r="M14" s="6">
        <f>INDEX(医院2县区2人!$B$2:$B$1048576,MATCH(L14,医院2县区2人!$A$2:$A$1048576,0))</f>
        <v>0</v>
      </c>
      <c r="N14" s="6">
        <f>INDEX(医院2县区2人!$C$2:$C$1048576,MATCH(L14,医院2县区2人!$A$2:$A$1048576,0))</f>
        <v>0</v>
      </c>
      <c r="P14" s="7">
        <v>43271</v>
      </c>
      <c r="Q14" s="6">
        <v>10</v>
      </c>
      <c r="R14" s="6">
        <v>5.75</v>
      </c>
      <c r="S14" s="6">
        <v>180301</v>
      </c>
      <c r="T14" s="6">
        <f>INDEX(医院2县区2人!$D$2:$D$1048576,MATCH(L14,医院2县区2人!$A$2:$A$1048576,0))</f>
        <v>0</v>
      </c>
      <c r="W14" s="6" t="str">
        <f t="shared" si="3"/>
        <v>颠茄磺苄啶片12s</v>
      </c>
      <c r="X14" s="6" t="s">
        <v>2906</v>
      </c>
    </row>
    <row r="15" spans="1:24" x14ac:dyDescent="0.15">
      <c r="A15" s="7" t="str">
        <f t="shared" si="4"/>
        <v>201806</v>
      </c>
      <c r="C15" s="6" t="str">
        <f>INDEX(工厂基础数据!$A$2:$A$1024,MATCH(X15,工厂基础数据!$D$2:$D$1024,0))</f>
        <v>02005429</v>
      </c>
      <c r="E15" s="6" t="str">
        <f>INDEX(工厂基础数据!$B$2:$B$1024,MATCH(X15,工厂基础数据!$D$2:$D$1024,0))</f>
        <v>山东九州通医药有限公司</v>
      </c>
      <c r="F15" s="6">
        <f>INDEX(商业2转码!$B$2:$B$10000,MATCH(E15,商业2转码!$A$2:$A$10000,0))</f>
        <v>0</v>
      </c>
      <c r="G15" s="6" t="str">
        <f>INDEX(品种2编码!$A$2:$A$1048576,MATCH(W15,品种2编码!$D$2:$D$1048576,0))</f>
        <v>0020050090SJZY0001</v>
      </c>
      <c r="H15" s="6" t="s">
        <v>630</v>
      </c>
      <c r="I15" s="6" t="s">
        <v>1850</v>
      </c>
      <c r="L15" s="6" t="s">
        <v>2939</v>
      </c>
      <c r="M15" s="6">
        <f>INDEX(医院2县区2人!$B$2:$B$1048576,MATCH(L15,医院2县区2人!$A$2:$A$1048576,0))</f>
        <v>0</v>
      </c>
      <c r="N15" s="6">
        <f>INDEX(医院2县区2人!$C$2:$C$1048576,MATCH(L15,医院2县区2人!$A$2:$A$1048576,0))</f>
        <v>0</v>
      </c>
      <c r="P15" s="7">
        <v>43273</v>
      </c>
      <c r="Q15" s="6">
        <v>90</v>
      </c>
      <c r="R15" s="6">
        <v>16.8</v>
      </c>
      <c r="S15" s="6">
        <v>17062811</v>
      </c>
      <c r="T15" s="6">
        <f>INDEX(医院2县区2人!$D$2:$D$1048576,MATCH(L15,医院2县区2人!$A$2:$A$1048576,0))</f>
        <v>0</v>
      </c>
      <c r="W15" s="6" t="str">
        <f t="shared" si="3"/>
        <v>双黄连口服液10ml*10支</v>
      </c>
      <c r="X15" s="6" t="s">
        <v>2906</v>
      </c>
    </row>
    <row r="16" spans="1:24" x14ac:dyDescent="0.15">
      <c r="A16" s="7" t="str">
        <f t="shared" si="4"/>
        <v>201806</v>
      </c>
      <c r="C16" s="6" t="str">
        <f>INDEX(工厂基础数据!$A$2:$A$1024,MATCH(X16,工厂基础数据!$D$2:$D$1024,0))</f>
        <v>02005429</v>
      </c>
      <c r="E16" s="6" t="str">
        <f>INDEX(工厂基础数据!$B$2:$B$1024,MATCH(X16,工厂基础数据!$D$2:$D$1024,0))</f>
        <v>山东九州通医药有限公司</v>
      </c>
      <c r="F16" s="6">
        <f>INDEX(商业2转码!$B$2:$B$10000,MATCH(E16,商业2转码!$A$2:$A$10000,0))</f>
        <v>0</v>
      </c>
      <c r="G16" s="6">
        <f>INDEX(品种2编码!$A$2:$A$1048576,MATCH(W16,品种2编码!$D$2:$D$1048576,0))</f>
        <v>0</v>
      </c>
      <c r="H16" s="6" t="s">
        <v>2923</v>
      </c>
      <c r="I16" s="6" t="s">
        <v>2929</v>
      </c>
      <c r="L16" s="6" t="s">
        <v>2939</v>
      </c>
      <c r="M16" s="6">
        <f>INDEX(医院2县区2人!$B$2:$B$1048576,MATCH(L16,医院2县区2人!$A$2:$A$1048576,0))</f>
        <v>0</v>
      </c>
      <c r="N16" s="6">
        <f>INDEX(医院2县区2人!$C$2:$C$1048576,MATCH(L16,医院2县区2人!$A$2:$A$1048576,0))</f>
        <v>0</v>
      </c>
      <c r="P16" s="7">
        <v>43273</v>
      </c>
      <c r="Q16" s="6">
        <v>91</v>
      </c>
      <c r="R16" s="6">
        <v>25</v>
      </c>
      <c r="S16" s="6">
        <v>17111823</v>
      </c>
      <c r="T16" s="6">
        <f>INDEX(医院2县区2人!$D$2:$D$1048576,MATCH(L16,医院2县区2人!$A$2:$A$1048576,0))</f>
        <v>0</v>
      </c>
      <c r="W16" s="6" t="str">
        <f t="shared" si="3"/>
        <v>葡萄糖酸钙口服溶液(有糖)10% 10ml*12支</v>
      </c>
      <c r="X16" s="6" t="s">
        <v>2906</v>
      </c>
    </row>
    <row r="17" spans="1:24" x14ac:dyDescent="0.15">
      <c r="A17" s="7" t="str">
        <f t="shared" si="4"/>
        <v>201806</v>
      </c>
      <c r="C17" s="6" t="str">
        <f>INDEX(工厂基础数据!$A$2:$A$1024,MATCH(X17,工厂基础数据!$D$2:$D$1024,0))</f>
        <v>02005429</v>
      </c>
      <c r="E17" s="6" t="str">
        <f>INDEX(工厂基础数据!$B$2:$B$1024,MATCH(X17,工厂基础数据!$D$2:$D$1024,0))</f>
        <v>山东九州通医药有限公司</v>
      </c>
      <c r="F17" s="6">
        <f>INDEX(商业2转码!$B$2:$B$10000,MATCH(E17,商业2转码!$A$2:$A$10000,0))</f>
        <v>0</v>
      </c>
      <c r="G17" s="6">
        <f>INDEX(品种2编码!$A$2:$A$1048576,MATCH(W17,品种2编码!$D$2:$D$1048576,0))</f>
        <v>0</v>
      </c>
      <c r="H17" s="6" t="s">
        <v>2923</v>
      </c>
      <c r="I17" s="6" t="s">
        <v>2929</v>
      </c>
      <c r="L17" s="6" t="s">
        <v>2939</v>
      </c>
      <c r="M17" s="6">
        <f>INDEX(医院2县区2人!$B$2:$B$1048576,MATCH(L17,医院2县区2人!$A$2:$A$1048576,0))</f>
        <v>0</v>
      </c>
      <c r="N17" s="6">
        <f>INDEX(医院2县区2人!$C$2:$C$1048576,MATCH(L17,医院2县区2人!$A$2:$A$1048576,0))</f>
        <v>0</v>
      </c>
      <c r="P17" s="7">
        <v>43273</v>
      </c>
      <c r="Q17" s="6">
        <v>5</v>
      </c>
      <c r="R17" s="6">
        <v>25</v>
      </c>
      <c r="S17" s="6">
        <v>17111823</v>
      </c>
      <c r="T17" s="6">
        <f>INDEX(医院2县区2人!$D$2:$D$1048576,MATCH(L17,医院2县区2人!$A$2:$A$1048576,0))</f>
        <v>0</v>
      </c>
      <c r="W17" s="6" t="str">
        <f t="shared" si="3"/>
        <v>葡萄糖酸钙口服溶液(有糖)10% 10ml*12支</v>
      </c>
      <c r="X17" s="6" t="s">
        <v>2906</v>
      </c>
    </row>
    <row r="18" spans="1:24" x14ac:dyDescent="0.15">
      <c r="A18" s="7" t="str">
        <f t="shared" si="4"/>
        <v>201806</v>
      </c>
      <c r="C18" s="6" t="str">
        <f>INDEX(工厂基础数据!$A$2:$A$1024,MATCH(X18,工厂基础数据!$D$2:$D$1024,0))</f>
        <v>02005429</v>
      </c>
      <c r="E18" s="6" t="str">
        <f>INDEX(工厂基础数据!$B$2:$B$1024,MATCH(X18,工厂基础数据!$D$2:$D$1024,0))</f>
        <v>山东九州通医药有限公司</v>
      </c>
      <c r="F18" s="6">
        <f>INDEX(商业2转码!$B$2:$B$10000,MATCH(E18,商业2转码!$A$2:$A$10000,0))</f>
        <v>0</v>
      </c>
      <c r="G18" s="6">
        <f>INDEX(品种2编码!$A$2:$A$1048576,MATCH(W18,品种2编码!$D$2:$D$1048576,0))</f>
        <v>0</v>
      </c>
      <c r="H18" s="6" t="s">
        <v>1885</v>
      </c>
      <c r="I18" s="6" t="s">
        <v>2933</v>
      </c>
      <c r="L18" s="6" t="s">
        <v>2939</v>
      </c>
      <c r="M18" s="6">
        <f>INDEX(医院2县区2人!$B$2:$B$1048576,MATCH(L18,医院2县区2人!$A$2:$A$1048576,0))</f>
        <v>0</v>
      </c>
      <c r="N18" s="6">
        <f>INDEX(医院2县区2人!$C$2:$C$1048576,MATCH(L18,医院2县区2人!$A$2:$A$1048576,0))</f>
        <v>0</v>
      </c>
      <c r="P18" s="7">
        <v>43273</v>
      </c>
      <c r="Q18" s="6">
        <v>10</v>
      </c>
      <c r="R18" s="6">
        <v>25.2</v>
      </c>
      <c r="S18" s="6">
        <v>180103</v>
      </c>
      <c r="T18" s="6">
        <f>INDEX(医院2县区2人!$D$2:$D$1048576,MATCH(L18,医院2县区2人!$A$2:$A$1048576,0))</f>
        <v>0</v>
      </c>
      <c r="W18" s="6" t="str">
        <f t="shared" si="3"/>
        <v>新盖中盖高钙片2.5g*36s</v>
      </c>
      <c r="X18" s="6" t="s">
        <v>2906</v>
      </c>
    </row>
    <row r="19" spans="1:24" x14ac:dyDescent="0.15">
      <c r="A19" s="7" t="str">
        <f t="shared" si="4"/>
        <v>201806</v>
      </c>
      <c r="C19" s="6" t="str">
        <f>INDEX(工厂基础数据!$A$2:$A$1024,MATCH(X19,工厂基础数据!$D$2:$D$1024,0))</f>
        <v>02005429</v>
      </c>
      <c r="E19" s="6" t="str">
        <f>INDEX(工厂基础数据!$B$2:$B$1024,MATCH(X19,工厂基础数据!$D$2:$D$1024,0))</f>
        <v>山东九州通医药有限公司</v>
      </c>
      <c r="F19" s="6">
        <f>INDEX(商业2转码!$B$2:$B$10000,MATCH(E19,商业2转码!$A$2:$A$10000,0))</f>
        <v>0</v>
      </c>
      <c r="G19" s="6">
        <f>INDEX(品种2编码!$A$2:$A$1048576,MATCH(W19,品种2编码!$D$2:$D$1048576,0))</f>
        <v>0</v>
      </c>
      <c r="H19" s="15" t="s">
        <v>2923</v>
      </c>
      <c r="I19" s="6" t="s">
        <v>2929</v>
      </c>
      <c r="L19" s="6" t="s">
        <v>2943</v>
      </c>
      <c r="M19" s="6">
        <f>INDEX(医院2县区2人!$B$2:$B$1048576,MATCH(L19,医院2县区2人!$A$2:$A$1048576,0))</f>
        <v>0</v>
      </c>
      <c r="N19" s="6">
        <f>INDEX(医院2县区2人!$C$2:$C$1048576,MATCH(L19,医院2县区2人!$A$2:$A$1048576,0))</f>
        <v>0</v>
      </c>
      <c r="P19" s="7">
        <v>43278</v>
      </c>
      <c r="Q19" s="6">
        <v>5</v>
      </c>
      <c r="R19" s="6">
        <v>22.5</v>
      </c>
      <c r="S19" s="6">
        <v>17111823</v>
      </c>
      <c r="T19" s="6">
        <f>INDEX(医院2县区2人!$D$2:$D$1048576,MATCH(L19,医院2县区2人!$A$2:$A$1048576,0))</f>
        <v>0</v>
      </c>
      <c r="W19" s="6" t="str">
        <f t="shared" si="3"/>
        <v>葡萄糖酸钙口服溶液(有糖)10% 10ml*12支</v>
      </c>
      <c r="X19" s="6" t="s">
        <v>2906</v>
      </c>
    </row>
    <row r="20" spans="1:24" x14ac:dyDescent="0.15">
      <c r="A20" s="7" t="str">
        <f t="shared" si="4"/>
        <v>201806</v>
      </c>
      <c r="C20" s="6" t="str">
        <f>INDEX(工厂基础数据!$A$2:$A$1024,MATCH(X20,工厂基础数据!$D$2:$D$1024,0))</f>
        <v>02005429</v>
      </c>
      <c r="E20" s="6" t="str">
        <f>INDEX(工厂基础数据!$B$2:$B$1024,MATCH(X20,工厂基础数据!$D$2:$D$1024,0))</f>
        <v>山东九州通医药有限公司</v>
      </c>
      <c r="F20" s="6">
        <f>INDEX(商业2转码!$B$2:$B$10000,MATCH(E20,商业2转码!$A$2:$A$10000,0))</f>
        <v>0</v>
      </c>
      <c r="G20" s="6">
        <f>INDEX(品种2编码!$A$2:$A$1048576,MATCH(W20,品种2编码!$D$2:$D$1048576,0))</f>
        <v>0</v>
      </c>
      <c r="H20" s="6" t="s">
        <v>1855</v>
      </c>
      <c r="I20" s="6" t="s">
        <v>2931</v>
      </c>
      <c r="L20" s="6" t="s">
        <v>2944</v>
      </c>
      <c r="M20" s="6">
        <f>INDEX(医院2县区2人!$B$2:$B$1048576,MATCH(L20,医院2县区2人!$A$2:$A$1048576,0))</f>
        <v>0</v>
      </c>
      <c r="N20" s="6">
        <f>INDEX(医院2县区2人!$C$2:$C$1048576,MATCH(L20,医院2县区2人!$A$2:$A$1048576,0))</f>
        <v>0</v>
      </c>
      <c r="P20" s="7">
        <v>43276</v>
      </c>
      <c r="Q20" s="6">
        <v>30</v>
      </c>
      <c r="R20" s="6">
        <v>5.75</v>
      </c>
      <c r="S20" s="6">
        <v>180301</v>
      </c>
      <c r="T20" s="6">
        <f>INDEX(医院2县区2人!$D$2:$D$1048576,MATCH(L20,医院2县区2人!$A$2:$A$1048576,0))</f>
        <v>0</v>
      </c>
      <c r="W20" s="6" t="str">
        <f t="shared" si="3"/>
        <v>颠茄磺苄啶片12s</v>
      </c>
      <c r="X20" s="6" t="s">
        <v>2906</v>
      </c>
    </row>
    <row r="21" spans="1:24" x14ac:dyDescent="0.15">
      <c r="A21" s="7" t="str">
        <f t="shared" si="4"/>
        <v>201806</v>
      </c>
      <c r="C21" s="6" t="str">
        <f>INDEX(工厂基础数据!$A$2:$A$1024,MATCH(X21,工厂基础数据!$D$2:$D$1024,0))</f>
        <v>02005429</v>
      </c>
      <c r="E21" s="6" t="str">
        <f>INDEX(工厂基础数据!$B$2:$B$1024,MATCH(X21,工厂基础数据!$D$2:$D$1024,0))</f>
        <v>山东九州通医药有限公司</v>
      </c>
      <c r="F21" s="6">
        <f>INDEX(商业2转码!$B$2:$B$10000,MATCH(E21,商业2转码!$A$2:$A$10000,0))</f>
        <v>0</v>
      </c>
      <c r="G21" s="6">
        <f>INDEX(品种2编码!$A$2:$A$1048576,MATCH(W21,品种2编码!$D$2:$D$1048576,0))</f>
        <v>0</v>
      </c>
      <c r="H21" s="6" t="s">
        <v>1885</v>
      </c>
      <c r="I21" s="6" t="s">
        <v>2933</v>
      </c>
      <c r="L21" s="6" t="s">
        <v>2939</v>
      </c>
      <c r="M21" s="6">
        <f>INDEX(医院2县区2人!$B$2:$B$1048576,MATCH(L21,医院2县区2人!$A$2:$A$1048576,0))</f>
        <v>0</v>
      </c>
      <c r="N21" s="6">
        <f>INDEX(医院2县区2人!$C$2:$C$1048576,MATCH(L21,医院2县区2人!$A$2:$A$1048576,0))</f>
        <v>0</v>
      </c>
      <c r="P21" s="7">
        <v>43262</v>
      </c>
      <c r="Q21" s="6">
        <v>3</v>
      </c>
      <c r="R21" s="6">
        <v>25.2</v>
      </c>
      <c r="S21" s="6">
        <v>180103</v>
      </c>
      <c r="T21" s="6">
        <f>INDEX(医院2县区2人!$D$2:$D$1048576,MATCH(L21,医院2县区2人!$A$2:$A$1048576,0))</f>
        <v>0</v>
      </c>
      <c r="W21" s="6" t="str">
        <f t="shared" si="3"/>
        <v>新盖中盖高钙片2.5g*36s</v>
      </c>
      <c r="X21" s="6" t="s">
        <v>2906</v>
      </c>
    </row>
    <row r="22" spans="1:24" x14ac:dyDescent="0.15">
      <c r="A22" s="7" t="str">
        <f t="shared" si="4"/>
        <v>201806</v>
      </c>
      <c r="C22" s="6" t="str">
        <f>INDEX(工厂基础数据!$A$2:$A$1024,MATCH(X22,工厂基础数据!$D$2:$D$1024,0))</f>
        <v>02005429</v>
      </c>
      <c r="E22" s="6" t="str">
        <f>INDEX(工厂基础数据!$B$2:$B$1024,MATCH(X22,工厂基础数据!$D$2:$D$1024,0))</f>
        <v>山东九州通医药有限公司</v>
      </c>
      <c r="F22" s="6">
        <f>INDEX(商业2转码!$B$2:$B$10000,MATCH(E22,商业2转码!$A$2:$A$10000,0))</f>
        <v>0</v>
      </c>
      <c r="G22" s="6">
        <f>INDEX(品种2编码!$A$2:$A$1048576,MATCH(W22,品种2编码!$D$2:$D$1048576,0))</f>
        <v>0</v>
      </c>
      <c r="H22" s="6" t="s">
        <v>2923</v>
      </c>
      <c r="I22" s="6" t="s">
        <v>2929</v>
      </c>
      <c r="L22" s="6" t="s">
        <v>2939</v>
      </c>
      <c r="M22" s="6">
        <f>INDEX(医院2县区2人!$B$2:$B$1048576,MATCH(L22,医院2县区2人!$A$2:$A$1048576,0))</f>
        <v>0</v>
      </c>
      <c r="N22" s="6">
        <f>INDEX(医院2县区2人!$C$2:$C$1048576,MATCH(L22,医院2县区2人!$A$2:$A$1048576,0))</f>
        <v>0</v>
      </c>
      <c r="P22" s="7">
        <v>43278</v>
      </c>
      <c r="Q22" s="6">
        <v>10</v>
      </c>
      <c r="R22" s="6">
        <v>25</v>
      </c>
      <c r="S22" s="6">
        <v>17111823</v>
      </c>
      <c r="T22" s="6">
        <f>INDEX(医院2县区2人!$D$2:$D$1048576,MATCH(L22,医院2县区2人!$A$2:$A$1048576,0))</f>
        <v>0</v>
      </c>
      <c r="W22" s="6" t="str">
        <f t="shared" si="3"/>
        <v>葡萄糖酸钙口服溶液(有糖)10% 10ml*12支</v>
      </c>
      <c r="X22" s="6" t="s">
        <v>2906</v>
      </c>
    </row>
    <row r="23" spans="1:24" x14ac:dyDescent="0.15">
      <c r="A23" s="7" t="str">
        <f t="shared" si="4"/>
        <v>201806</v>
      </c>
      <c r="C23" s="6" t="str">
        <f>INDEX(工厂基础数据!$A$2:$A$1024,MATCH(X23,工厂基础数据!$D$2:$D$1024,0))</f>
        <v>02005429</v>
      </c>
      <c r="E23" s="6" t="str">
        <f>INDEX(工厂基础数据!$B$2:$B$1024,MATCH(X23,工厂基础数据!$D$2:$D$1024,0))</f>
        <v>山东九州通医药有限公司</v>
      </c>
      <c r="F23" s="6">
        <f>INDEX(商业2转码!$B$2:$B$10000,MATCH(E23,商业2转码!$A$2:$A$10000,0))</f>
        <v>0</v>
      </c>
      <c r="G23" s="6">
        <f>INDEX(品种2编码!$A$2:$A$1048576,MATCH(W23,品种2编码!$D$2:$D$1048576,0))</f>
        <v>0</v>
      </c>
      <c r="H23" s="6" t="s">
        <v>2924</v>
      </c>
      <c r="I23" s="6" t="s">
        <v>2934</v>
      </c>
      <c r="L23" s="6" t="s">
        <v>2945</v>
      </c>
      <c r="M23" s="6">
        <f>INDEX(医院2县区2人!$B$2:$B$1048576,MATCH(L23,医院2县区2人!$A$2:$A$1048576,0))</f>
        <v>0</v>
      </c>
      <c r="N23" s="6">
        <f>INDEX(医院2县区2人!$C$2:$C$1048576,MATCH(L23,医院2县区2人!$A$2:$A$1048576,0))</f>
        <v>0</v>
      </c>
      <c r="P23" s="7">
        <v>43272</v>
      </c>
      <c r="Q23" s="6">
        <v>30</v>
      </c>
      <c r="R23" s="6">
        <v>4.5199999999999996</v>
      </c>
      <c r="S23" s="6">
        <v>180101</v>
      </c>
      <c r="T23" s="6">
        <f>INDEX(医院2县区2人!$D$2:$D$1048576,MATCH(L23,医院2县区2人!$A$2:$A$1048576,0))</f>
        <v>0</v>
      </c>
      <c r="W23" s="6" t="str">
        <f t="shared" si="3"/>
        <v>罗红霉素分散片(严迪)(儿)50mg*12s</v>
      </c>
      <c r="X23" s="6" t="s">
        <v>2906</v>
      </c>
    </row>
    <row r="24" spans="1:24" x14ac:dyDescent="0.15">
      <c r="A24" s="7" t="str">
        <f t="shared" si="4"/>
        <v>201806</v>
      </c>
      <c r="C24" s="6" t="str">
        <f>INDEX(工厂基础数据!$A$2:$A$1024,MATCH(X24,工厂基础数据!$D$2:$D$1024,0))</f>
        <v>02005429</v>
      </c>
      <c r="E24" s="6" t="str">
        <f>INDEX(工厂基础数据!$B$2:$B$1024,MATCH(X24,工厂基础数据!$D$2:$D$1024,0))</f>
        <v>山东九州通医药有限公司</v>
      </c>
      <c r="F24" s="6">
        <f>INDEX(商业2转码!$B$2:$B$10000,MATCH(E24,商业2转码!$A$2:$A$10000,0))</f>
        <v>0</v>
      </c>
      <c r="G24" s="6">
        <f>INDEX(品种2编码!$A$2:$A$1048576,MATCH(W24,品种2编码!$D$2:$D$1048576,0))</f>
        <v>0</v>
      </c>
      <c r="H24" s="6" t="s">
        <v>2923</v>
      </c>
      <c r="I24" s="6" t="s">
        <v>2929</v>
      </c>
      <c r="L24" s="6" t="s">
        <v>2939</v>
      </c>
      <c r="M24" s="6">
        <f>INDEX(医院2县区2人!$B$2:$B$1048576,MATCH(L24,医院2县区2人!$A$2:$A$1048576,0))</f>
        <v>0</v>
      </c>
      <c r="N24" s="6">
        <f>INDEX(医院2县区2人!$C$2:$C$1048576,MATCH(L24,医院2县区2人!$A$2:$A$1048576,0))</f>
        <v>0</v>
      </c>
      <c r="P24" s="7">
        <v>43265</v>
      </c>
      <c r="Q24" s="6">
        <v>20</v>
      </c>
      <c r="R24" s="6">
        <v>25</v>
      </c>
      <c r="S24" s="6">
        <v>17111823</v>
      </c>
      <c r="T24" s="6">
        <f>INDEX(医院2县区2人!$D$2:$D$1048576,MATCH(L24,医院2县区2人!$A$2:$A$1048576,0))</f>
        <v>0</v>
      </c>
      <c r="W24" s="6" t="str">
        <f t="shared" si="3"/>
        <v>葡萄糖酸钙口服溶液(有糖)10% 10ml*12支</v>
      </c>
      <c r="X24" s="6" t="s">
        <v>2906</v>
      </c>
    </row>
    <row r="25" spans="1:24" x14ac:dyDescent="0.15">
      <c r="A25" s="7" t="str">
        <f t="shared" si="4"/>
        <v>201806</v>
      </c>
      <c r="C25" s="6" t="str">
        <f>INDEX(工厂基础数据!$A$2:$A$1024,MATCH(X25,工厂基础数据!$D$2:$D$1024,0))</f>
        <v>02005429</v>
      </c>
      <c r="E25" s="6" t="str">
        <f>INDEX(工厂基础数据!$B$2:$B$1024,MATCH(X25,工厂基础数据!$D$2:$D$1024,0))</f>
        <v>山东九州通医药有限公司</v>
      </c>
      <c r="F25" s="6">
        <f>INDEX(商业2转码!$B$2:$B$10000,MATCH(E25,商业2转码!$A$2:$A$10000,0))</f>
        <v>0</v>
      </c>
      <c r="G25" s="6">
        <f>INDEX(品种2编码!$A$2:$A$1048576,MATCH(W25,品种2编码!$D$2:$D$1048576,0))</f>
        <v>0</v>
      </c>
      <c r="H25" s="6" t="s">
        <v>2924</v>
      </c>
      <c r="I25" s="6" t="s">
        <v>2934</v>
      </c>
      <c r="L25" s="6" t="s">
        <v>2939</v>
      </c>
      <c r="M25" s="6">
        <f>INDEX(医院2县区2人!$B$2:$B$1048576,MATCH(L25,医院2县区2人!$A$2:$A$1048576,0))</f>
        <v>0</v>
      </c>
      <c r="N25" s="6">
        <f>INDEX(医院2县区2人!$C$2:$C$1048576,MATCH(L25,医院2县区2人!$A$2:$A$1048576,0))</f>
        <v>0</v>
      </c>
      <c r="P25" s="7">
        <v>43262</v>
      </c>
      <c r="Q25" s="6">
        <v>10</v>
      </c>
      <c r="R25" s="6">
        <v>4.5199999999999996</v>
      </c>
      <c r="S25" s="6">
        <v>180101</v>
      </c>
      <c r="T25" s="6">
        <f>INDEX(医院2县区2人!$D$2:$D$1048576,MATCH(L25,医院2县区2人!$A$2:$A$1048576,0))</f>
        <v>0</v>
      </c>
      <c r="W25" s="6" t="str">
        <f t="shared" si="3"/>
        <v>罗红霉素分散片(严迪)(儿)50mg*12s</v>
      </c>
      <c r="X25" s="6" t="s">
        <v>2906</v>
      </c>
    </row>
    <row r="26" spans="1:24" x14ac:dyDescent="0.15">
      <c r="A26" s="7" t="str">
        <f t="shared" si="4"/>
        <v>201806</v>
      </c>
      <c r="C26" s="6" t="str">
        <f>INDEX(工厂基础数据!$A$2:$A$1024,MATCH(X26,工厂基础数据!$D$2:$D$1024,0))</f>
        <v>02005429</v>
      </c>
      <c r="E26" s="6" t="str">
        <f>INDEX(工厂基础数据!$B$2:$B$1024,MATCH(X26,工厂基础数据!$D$2:$D$1024,0))</f>
        <v>山东九州通医药有限公司</v>
      </c>
      <c r="F26" s="6">
        <f>INDEX(商业2转码!$B$2:$B$10000,MATCH(E26,商业2转码!$A$2:$A$10000,0))</f>
        <v>0</v>
      </c>
      <c r="G26" s="6" t="str">
        <f>INDEX(品种2编码!$A$2:$A$1048576,MATCH(W26,品种2编码!$D$2:$D$1048576,0))</f>
        <v>0020050090SJZY0001</v>
      </c>
      <c r="H26" s="6" t="s">
        <v>630</v>
      </c>
      <c r="I26" s="6" t="s">
        <v>1850</v>
      </c>
      <c r="L26" s="6" t="s">
        <v>2946</v>
      </c>
      <c r="M26" s="6">
        <f>INDEX(医院2县区2人!$B$2:$B$1048576,MATCH(L26,医院2县区2人!$A$2:$A$1048576,0))</f>
        <v>0</v>
      </c>
      <c r="N26" s="6">
        <f>INDEX(医院2县区2人!$C$2:$C$1048576,MATCH(L26,医院2县区2人!$A$2:$A$1048576,0))</f>
        <v>0</v>
      </c>
      <c r="P26" s="7">
        <v>43277</v>
      </c>
      <c r="Q26" s="6">
        <v>3</v>
      </c>
      <c r="R26" s="6">
        <v>16.8</v>
      </c>
      <c r="S26" s="6">
        <v>17062811</v>
      </c>
      <c r="T26" s="6">
        <f>INDEX(医院2县区2人!$D$2:$D$1048576,MATCH(L26,医院2县区2人!$A$2:$A$1048576,0))</f>
        <v>0</v>
      </c>
      <c r="W26" s="6" t="str">
        <f t="shared" si="3"/>
        <v>双黄连口服液10ml*10支</v>
      </c>
      <c r="X26" s="6" t="s">
        <v>2906</v>
      </c>
    </row>
    <row r="27" spans="1:24" x14ac:dyDescent="0.15">
      <c r="A27" s="7" t="str">
        <f t="shared" si="4"/>
        <v>201806</v>
      </c>
      <c r="C27" s="6" t="str">
        <f>INDEX(工厂基础数据!$A$2:$A$1024,MATCH(X27,工厂基础数据!$D$2:$D$1024,0))</f>
        <v>02005429</v>
      </c>
      <c r="E27" s="6" t="str">
        <f>INDEX(工厂基础数据!$B$2:$B$1024,MATCH(X27,工厂基础数据!$D$2:$D$1024,0))</f>
        <v>山东九州通医药有限公司</v>
      </c>
      <c r="F27" s="6">
        <f>INDEX(商业2转码!$B$2:$B$10000,MATCH(E27,商业2转码!$A$2:$A$10000,0))</f>
        <v>0</v>
      </c>
      <c r="G27" s="6" t="str">
        <f>INDEX(品种2编码!$A$2:$A$1048576,MATCH(W27,品种2编码!$D$2:$D$1048576,0))</f>
        <v>0020050090SJZY0001</v>
      </c>
      <c r="H27" s="6" t="s">
        <v>630</v>
      </c>
      <c r="I27" s="6" t="s">
        <v>1850</v>
      </c>
      <c r="L27" s="6" t="s">
        <v>2946</v>
      </c>
      <c r="M27" s="6">
        <f>INDEX(医院2县区2人!$B$2:$B$1048576,MATCH(L27,医院2县区2人!$A$2:$A$1048576,0))</f>
        <v>0</v>
      </c>
      <c r="N27" s="6">
        <f>INDEX(医院2县区2人!$C$2:$C$1048576,MATCH(L27,医院2县区2人!$A$2:$A$1048576,0))</f>
        <v>0</v>
      </c>
      <c r="P27" s="7">
        <v>43256</v>
      </c>
      <c r="Q27" s="6">
        <v>2</v>
      </c>
      <c r="R27" s="6">
        <v>16.8</v>
      </c>
      <c r="S27" s="6">
        <v>17062811</v>
      </c>
      <c r="T27" s="6">
        <f>INDEX(医院2县区2人!$D$2:$D$1048576,MATCH(L27,医院2县区2人!$A$2:$A$1048576,0))</f>
        <v>0</v>
      </c>
      <c r="W27" s="6" t="str">
        <f t="shared" si="3"/>
        <v>双黄连口服液10ml*10支</v>
      </c>
      <c r="X27" s="6" t="s">
        <v>2906</v>
      </c>
    </row>
    <row r="28" spans="1:24" x14ac:dyDescent="0.15">
      <c r="A28" s="7" t="str">
        <f t="shared" si="4"/>
        <v>201806</v>
      </c>
      <c r="C28" s="6" t="str">
        <f>INDEX(工厂基础数据!$A$2:$A$1024,MATCH(X28,工厂基础数据!$D$2:$D$1024,0))</f>
        <v>02005429</v>
      </c>
      <c r="E28" s="6" t="str">
        <f>INDEX(工厂基础数据!$B$2:$B$1024,MATCH(X28,工厂基础数据!$D$2:$D$1024,0))</f>
        <v>山东九州通医药有限公司</v>
      </c>
      <c r="F28" s="6">
        <f>INDEX(商业2转码!$B$2:$B$10000,MATCH(E28,商业2转码!$A$2:$A$10000,0))</f>
        <v>0</v>
      </c>
      <c r="G28" s="6">
        <f>INDEX(品种2编码!$A$2:$A$1048576,MATCH(W28,品种2编码!$D$2:$D$1048576,0))</f>
        <v>0</v>
      </c>
      <c r="H28" s="6" t="s">
        <v>2923</v>
      </c>
      <c r="I28" s="6" t="s">
        <v>2929</v>
      </c>
      <c r="L28" s="6" t="s">
        <v>2939</v>
      </c>
      <c r="M28" s="6">
        <f>INDEX(医院2县区2人!$B$2:$B$1048576,MATCH(L28,医院2县区2人!$A$2:$A$1048576,0))</f>
        <v>0</v>
      </c>
      <c r="N28" s="6">
        <f>INDEX(医院2县区2人!$C$2:$C$1048576,MATCH(L28,医院2县区2人!$A$2:$A$1048576,0))</f>
        <v>0</v>
      </c>
      <c r="P28" s="7">
        <v>43272</v>
      </c>
      <c r="Q28" s="6">
        <v>20</v>
      </c>
      <c r="R28" s="6">
        <v>25</v>
      </c>
      <c r="S28" s="6">
        <v>17111823</v>
      </c>
      <c r="T28" s="6">
        <f>INDEX(医院2县区2人!$D$2:$D$1048576,MATCH(L28,医院2县区2人!$A$2:$A$1048576,0))</f>
        <v>0</v>
      </c>
      <c r="W28" s="6" t="str">
        <f t="shared" si="3"/>
        <v>葡萄糖酸钙口服溶液(有糖)10% 10ml*12支</v>
      </c>
      <c r="X28" s="6" t="s">
        <v>2906</v>
      </c>
    </row>
    <row r="29" spans="1:24" x14ac:dyDescent="0.15">
      <c r="A29" s="7" t="str">
        <f t="shared" si="4"/>
        <v>201806</v>
      </c>
      <c r="C29" s="6" t="str">
        <f>INDEX(工厂基础数据!$A$2:$A$1024,MATCH(X29,工厂基础数据!$D$2:$D$1024,0))</f>
        <v>02005429</v>
      </c>
      <c r="E29" s="6" t="str">
        <f>INDEX(工厂基础数据!$B$2:$B$1024,MATCH(X29,工厂基础数据!$D$2:$D$1024,0))</f>
        <v>山东九州通医药有限公司</v>
      </c>
      <c r="F29" s="6">
        <f>INDEX(商业2转码!$B$2:$B$10000,MATCH(E29,商业2转码!$A$2:$A$10000,0))</f>
        <v>0</v>
      </c>
      <c r="G29" s="6">
        <f>INDEX(品种2编码!$A$2:$A$1048576,MATCH(W29,品种2编码!$D$2:$D$1048576,0))</f>
        <v>0</v>
      </c>
      <c r="H29" s="6" t="s">
        <v>1855</v>
      </c>
      <c r="I29" s="6" t="s">
        <v>2931</v>
      </c>
      <c r="L29" s="6" t="s">
        <v>2939</v>
      </c>
      <c r="M29" s="6">
        <f>INDEX(医院2县区2人!$B$2:$B$1048576,MATCH(L29,医院2县区2人!$A$2:$A$1048576,0))</f>
        <v>0</v>
      </c>
      <c r="N29" s="6">
        <f>INDEX(医院2县区2人!$C$2:$C$1048576,MATCH(L29,医院2县区2人!$A$2:$A$1048576,0))</f>
        <v>0</v>
      </c>
      <c r="P29" s="7">
        <v>43262</v>
      </c>
      <c r="Q29" s="6">
        <v>30</v>
      </c>
      <c r="R29" s="6">
        <v>5.75</v>
      </c>
      <c r="S29" s="6">
        <v>180301</v>
      </c>
      <c r="T29" s="6">
        <f>INDEX(医院2县区2人!$D$2:$D$1048576,MATCH(L29,医院2县区2人!$A$2:$A$1048576,0))</f>
        <v>0</v>
      </c>
      <c r="W29" s="6" t="str">
        <f t="shared" si="3"/>
        <v>颠茄磺苄啶片12s</v>
      </c>
      <c r="X29" s="6" t="s">
        <v>2906</v>
      </c>
    </row>
    <row r="30" spans="1:24" x14ac:dyDescent="0.15">
      <c r="A30" s="7" t="str">
        <f t="shared" si="4"/>
        <v>201806</v>
      </c>
      <c r="C30" s="6" t="str">
        <f>INDEX(工厂基础数据!$A$2:$A$1024,MATCH(X30,工厂基础数据!$D$2:$D$1024,0))</f>
        <v>02005429</v>
      </c>
      <c r="E30" s="6" t="str">
        <f>INDEX(工厂基础数据!$B$2:$B$1024,MATCH(X30,工厂基础数据!$D$2:$D$1024,0))</f>
        <v>山东九州通医药有限公司</v>
      </c>
      <c r="F30" s="6">
        <f>INDEX(商业2转码!$B$2:$B$10000,MATCH(E30,商业2转码!$A$2:$A$10000,0))</f>
        <v>0</v>
      </c>
      <c r="G30" s="6">
        <f>INDEX(品种2编码!$A$2:$A$1048576,MATCH(W30,品种2编码!$D$2:$D$1048576,0))</f>
        <v>0</v>
      </c>
      <c r="H30" s="6" t="s">
        <v>494</v>
      </c>
      <c r="I30" s="6" t="s">
        <v>2932</v>
      </c>
      <c r="L30" s="6" t="s">
        <v>2947</v>
      </c>
      <c r="M30" s="6">
        <f>INDEX(医院2县区2人!$B$2:$B$1048576,MATCH(L30,医院2县区2人!$A$2:$A$1048576,0))</f>
        <v>0</v>
      </c>
      <c r="N30" s="6">
        <f>INDEX(医院2县区2人!$C$2:$C$1048576,MATCH(L30,医院2县区2人!$A$2:$A$1048576,0))</f>
        <v>0</v>
      </c>
      <c r="P30" s="7">
        <v>43271</v>
      </c>
      <c r="Q30" s="6">
        <v>50</v>
      </c>
      <c r="R30" s="6">
        <v>8.8000000000000007</v>
      </c>
      <c r="S30" s="6">
        <v>180201</v>
      </c>
      <c r="T30" s="6">
        <f>INDEX(医院2县区2人!$D$2:$D$1048576,MATCH(L30,医院2县区2人!$A$2:$A$1048576,0))</f>
        <v>0</v>
      </c>
      <c r="W30" s="6" t="str">
        <f t="shared" si="3"/>
        <v>罗红霉素分散片(严迪)75mg*12s</v>
      </c>
      <c r="X30" s="6" t="s">
        <v>2906</v>
      </c>
    </row>
    <row r="31" spans="1:24" x14ac:dyDescent="0.15">
      <c r="A31" s="7" t="str">
        <f t="shared" si="4"/>
        <v>201806</v>
      </c>
      <c r="C31" s="6" t="str">
        <f>INDEX(工厂基础数据!$A$2:$A$1024,MATCH(X31,工厂基础数据!$D$2:$D$1024,0))</f>
        <v>02005429</v>
      </c>
      <c r="E31" s="6" t="str">
        <f>INDEX(工厂基础数据!$B$2:$B$1024,MATCH(X31,工厂基础数据!$D$2:$D$1024,0))</f>
        <v>山东九州通医药有限公司</v>
      </c>
      <c r="F31" s="6">
        <f>INDEX(商业2转码!$B$2:$B$10000,MATCH(E31,商业2转码!$A$2:$A$10000,0))</f>
        <v>0</v>
      </c>
      <c r="G31" s="6">
        <f>INDEX(品种2编码!$A$2:$A$1048576,MATCH(W31,品种2编码!$D$2:$D$1048576,0))</f>
        <v>0</v>
      </c>
      <c r="H31" s="6" t="s">
        <v>2925</v>
      </c>
      <c r="I31" s="6" t="s">
        <v>914</v>
      </c>
      <c r="L31" s="6" t="s">
        <v>2948</v>
      </c>
      <c r="M31" s="6">
        <f>INDEX(医院2县区2人!$B$2:$B$1048576,MATCH(L31,医院2县区2人!$A$2:$A$1048576,0))</f>
        <v>0</v>
      </c>
      <c r="N31" s="6">
        <f>INDEX(医院2县区2人!$C$2:$C$1048576,MATCH(L31,医院2县区2人!$A$2:$A$1048576,0))</f>
        <v>0</v>
      </c>
      <c r="P31" s="7">
        <v>43256</v>
      </c>
      <c r="Q31" s="6">
        <v>100</v>
      </c>
      <c r="R31" s="6">
        <v>3.5</v>
      </c>
      <c r="S31" s="6" t="s">
        <v>2937</v>
      </c>
      <c r="T31" s="6">
        <f>INDEX(医院2县区2人!$D$2:$D$1048576,MATCH(L31,医院2县区2人!$A$2:$A$1048576,0))</f>
        <v>0</v>
      </c>
      <c r="W31" s="6" t="str">
        <f t="shared" si="3"/>
        <v>注射用乳糖酸阿奇霉素(齐宏)(精)0.25g</v>
      </c>
      <c r="X31" s="6" t="s">
        <v>2906</v>
      </c>
    </row>
    <row r="32" spans="1:24" x14ac:dyDescent="0.15">
      <c r="A32" s="7" t="str">
        <f t="shared" si="4"/>
        <v>201806</v>
      </c>
      <c r="C32" s="6" t="str">
        <f>INDEX(工厂基础数据!$A$2:$A$1024,MATCH(X32,工厂基础数据!$D$2:$D$1024,0))</f>
        <v>02005429</v>
      </c>
      <c r="E32" s="6" t="str">
        <f>INDEX(工厂基础数据!$B$2:$B$1024,MATCH(X32,工厂基础数据!$D$2:$D$1024,0))</f>
        <v>山东九州通医药有限公司</v>
      </c>
      <c r="F32" s="6">
        <f>INDEX(商业2转码!$B$2:$B$10000,MATCH(E32,商业2转码!$A$2:$A$10000,0))</f>
        <v>0</v>
      </c>
      <c r="G32" s="6">
        <f>INDEX(品种2编码!$A$2:$A$1048576,MATCH(W32,品种2编码!$D$2:$D$1048576,0))</f>
        <v>0</v>
      </c>
      <c r="H32" s="6" t="s">
        <v>2923</v>
      </c>
      <c r="I32" s="6" t="s">
        <v>2929</v>
      </c>
      <c r="L32" s="6" t="s">
        <v>2327</v>
      </c>
      <c r="M32" s="6">
        <f>INDEX(医院2县区2人!$B$2:$B$1048576,MATCH(L32,医院2县区2人!$A$2:$A$1048576,0))</f>
        <v>3</v>
      </c>
      <c r="N32" s="6" t="str">
        <f>INDEX(医院2县区2人!$C$2:$C$1048576,MATCH(L32,医院2县区2人!$A$2:$A$1048576,0))</f>
        <v>1857</v>
      </c>
      <c r="P32" s="7">
        <v>43270</v>
      </c>
      <c r="Q32" s="6">
        <v>50</v>
      </c>
      <c r="R32" s="6">
        <v>23.5</v>
      </c>
      <c r="S32" s="6">
        <v>17111823</v>
      </c>
      <c r="T32" s="6" t="str">
        <f>INDEX(医院2县区2人!$D$2:$D$1048576,MATCH(L32,医院2县区2人!$A$2:$A$1048576,0))</f>
        <v>201602151421097</v>
      </c>
      <c r="W32" s="6" t="str">
        <f t="shared" si="3"/>
        <v>葡萄糖酸钙口服溶液(有糖)10% 10ml*12支</v>
      </c>
      <c r="X32" s="6" t="s">
        <v>2906</v>
      </c>
    </row>
    <row r="33" spans="1:24" x14ac:dyDescent="0.15">
      <c r="A33" s="7" t="str">
        <f t="shared" si="4"/>
        <v>201806</v>
      </c>
      <c r="C33" s="6" t="str">
        <f>INDEX(工厂基础数据!$A$2:$A$1024,MATCH(X33,工厂基础数据!$D$2:$D$1024,0))</f>
        <v>02005429</v>
      </c>
      <c r="E33" s="6" t="str">
        <f>INDEX(工厂基础数据!$B$2:$B$1024,MATCH(X33,工厂基础数据!$D$2:$D$1024,0))</f>
        <v>山东九州通医药有限公司</v>
      </c>
      <c r="F33" s="6">
        <f>INDEX(商业2转码!$B$2:$B$10000,MATCH(E33,商业2转码!$A$2:$A$10000,0))</f>
        <v>0</v>
      </c>
      <c r="G33" s="6">
        <f>INDEX(品种2编码!$A$2:$A$1048576,MATCH(W33,品种2编码!$D$2:$D$1048576,0))</f>
        <v>0</v>
      </c>
      <c r="H33" s="6" t="s">
        <v>1885</v>
      </c>
      <c r="I33" s="6" t="s">
        <v>2933</v>
      </c>
      <c r="L33" s="6" t="s">
        <v>2939</v>
      </c>
      <c r="M33" s="6">
        <f>INDEX(医院2县区2人!$B$2:$B$1048576,MATCH(L33,医院2县区2人!$A$2:$A$1048576,0))</f>
        <v>0</v>
      </c>
      <c r="N33" s="6">
        <f>INDEX(医院2县区2人!$C$2:$C$1048576,MATCH(L33,医院2县区2人!$A$2:$A$1048576,0))</f>
        <v>0</v>
      </c>
      <c r="P33" s="7">
        <v>43270</v>
      </c>
      <c r="Q33" s="6">
        <v>5</v>
      </c>
      <c r="R33" s="6">
        <v>25.2</v>
      </c>
      <c r="S33" s="6">
        <v>180103</v>
      </c>
      <c r="T33" s="6">
        <f>INDEX(医院2县区2人!$D$2:$D$1048576,MATCH(L33,医院2县区2人!$A$2:$A$1048576,0))</f>
        <v>0</v>
      </c>
      <c r="W33" s="6" t="str">
        <f t="shared" si="3"/>
        <v>新盖中盖高钙片2.5g*36s</v>
      </c>
      <c r="X33" s="6" t="s">
        <v>2906</v>
      </c>
    </row>
    <row r="34" spans="1:24" x14ac:dyDescent="0.15">
      <c r="A34" s="7" t="str">
        <f t="shared" si="4"/>
        <v>201806</v>
      </c>
      <c r="C34" s="6" t="str">
        <f>INDEX(工厂基础数据!$A$2:$A$1024,MATCH(X34,工厂基础数据!$D$2:$D$1024,0))</f>
        <v>02005429</v>
      </c>
      <c r="E34" s="6" t="str">
        <f>INDEX(工厂基础数据!$B$2:$B$1024,MATCH(X34,工厂基础数据!$D$2:$D$1024,0))</f>
        <v>山东九州通医药有限公司</v>
      </c>
      <c r="F34" s="6">
        <f>INDEX(商业2转码!$B$2:$B$10000,MATCH(E34,商业2转码!$A$2:$A$10000,0))</f>
        <v>0</v>
      </c>
      <c r="G34" s="6">
        <f>INDEX(品种2编码!$A$2:$A$1048576,MATCH(W34,品种2编码!$D$2:$D$1048576,0))</f>
        <v>0</v>
      </c>
      <c r="H34" s="6" t="s">
        <v>494</v>
      </c>
      <c r="I34" s="6" t="s">
        <v>2932</v>
      </c>
      <c r="L34" s="6" t="s">
        <v>2939</v>
      </c>
      <c r="M34" s="6">
        <f>INDEX(医院2县区2人!$B$2:$B$1048576,MATCH(L34,医院2县区2人!$A$2:$A$1048576,0))</f>
        <v>0</v>
      </c>
      <c r="N34" s="6">
        <f>INDEX(医院2县区2人!$C$2:$C$1048576,MATCH(L34,医院2县区2人!$A$2:$A$1048576,0))</f>
        <v>0</v>
      </c>
      <c r="P34" s="7">
        <v>43270</v>
      </c>
      <c r="Q34" s="6">
        <v>10</v>
      </c>
      <c r="R34" s="6">
        <v>8.4</v>
      </c>
      <c r="S34" s="6">
        <v>180201</v>
      </c>
      <c r="T34" s="6">
        <f>INDEX(医院2县区2人!$D$2:$D$1048576,MATCH(L34,医院2县区2人!$A$2:$A$1048576,0))</f>
        <v>0</v>
      </c>
      <c r="W34" s="6" t="str">
        <f t="shared" si="3"/>
        <v>罗红霉素分散片(严迪)75mg*12s</v>
      </c>
      <c r="X34" s="6" t="s">
        <v>2906</v>
      </c>
    </row>
    <row r="35" spans="1:24" x14ac:dyDescent="0.15">
      <c r="A35" s="7" t="str">
        <f t="shared" si="4"/>
        <v>201806</v>
      </c>
      <c r="C35" s="6" t="str">
        <f>INDEX(工厂基础数据!$A$2:$A$1024,MATCH(X35,工厂基础数据!$D$2:$D$1024,0))</f>
        <v>02005429</v>
      </c>
      <c r="E35" s="6" t="str">
        <f>INDEX(工厂基础数据!$B$2:$B$1024,MATCH(X35,工厂基础数据!$D$2:$D$1024,0))</f>
        <v>山东九州通医药有限公司</v>
      </c>
      <c r="F35" s="6">
        <f>INDEX(商业2转码!$B$2:$B$10000,MATCH(E35,商业2转码!$A$2:$A$10000,0))</f>
        <v>0</v>
      </c>
      <c r="G35" s="6">
        <f>INDEX(品种2编码!$A$2:$A$1048576,MATCH(W35,品种2编码!$D$2:$D$1048576,0))</f>
        <v>0</v>
      </c>
      <c r="H35" s="6" t="s">
        <v>2924</v>
      </c>
      <c r="I35" s="6" t="s">
        <v>2934</v>
      </c>
      <c r="L35" s="6" t="s">
        <v>2939</v>
      </c>
      <c r="M35" s="6">
        <f>INDEX(医院2县区2人!$B$2:$B$1048576,MATCH(L35,医院2县区2人!$A$2:$A$1048576,0))</f>
        <v>0</v>
      </c>
      <c r="N35" s="6">
        <f>INDEX(医院2县区2人!$C$2:$C$1048576,MATCH(L35,医院2县区2人!$A$2:$A$1048576,0))</f>
        <v>0</v>
      </c>
      <c r="P35" s="7">
        <v>43270</v>
      </c>
      <c r="Q35" s="6">
        <v>10</v>
      </c>
      <c r="R35" s="6">
        <v>4.5199999999999996</v>
      </c>
      <c r="S35" s="6">
        <v>180101</v>
      </c>
      <c r="T35" s="6">
        <f>INDEX(医院2县区2人!$D$2:$D$1048576,MATCH(L35,医院2县区2人!$A$2:$A$1048576,0))</f>
        <v>0</v>
      </c>
      <c r="W35" s="6" t="str">
        <f t="shared" si="3"/>
        <v>罗红霉素分散片(严迪)(儿)50mg*12s</v>
      </c>
      <c r="X35" s="6" t="s">
        <v>2906</v>
      </c>
    </row>
    <row r="36" spans="1:24" x14ac:dyDescent="0.15">
      <c r="A36" s="7" t="str">
        <f t="shared" si="4"/>
        <v>201806</v>
      </c>
      <c r="C36" s="6" t="str">
        <f>INDEX(工厂基础数据!$A$2:$A$1024,MATCH(X36,工厂基础数据!$D$2:$D$1024,0))</f>
        <v>02005429</v>
      </c>
      <c r="E36" s="6" t="str">
        <f>INDEX(工厂基础数据!$B$2:$B$1024,MATCH(X36,工厂基础数据!$D$2:$D$1024,0))</f>
        <v>山东九州通医药有限公司</v>
      </c>
      <c r="F36" s="6">
        <f>INDEX(商业2转码!$B$2:$B$10000,MATCH(E36,商业2转码!$A$2:$A$10000,0))</f>
        <v>0</v>
      </c>
      <c r="G36" s="6">
        <f>INDEX(品种2编码!$A$2:$A$1048576,MATCH(W36,品种2编码!$D$2:$D$1048576,0))</f>
        <v>0</v>
      </c>
      <c r="H36" s="6" t="s">
        <v>1855</v>
      </c>
      <c r="I36" s="6" t="s">
        <v>2931</v>
      </c>
      <c r="L36" s="6" t="s">
        <v>2949</v>
      </c>
      <c r="M36" s="6">
        <f>INDEX(医院2县区2人!$B$2:$B$1048576,MATCH(L36,医院2县区2人!$A$2:$A$1048576,0))</f>
        <v>0</v>
      </c>
      <c r="N36" s="6">
        <f>INDEX(医院2县区2人!$C$2:$C$1048576,MATCH(L36,医院2县区2人!$A$2:$A$1048576,0))</f>
        <v>0</v>
      </c>
      <c r="P36" s="7">
        <v>43278</v>
      </c>
      <c r="Q36" s="6">
        <v>60</v>
      </c>
      <c r="R36" s="6">
        <v>5.8</v>
      </c>
      <c r="S36" s="6">
        <v>180301</v>
      </c>
      <c r="T36" s="6">
        <f>INDEX(医院2县区2人!$D$2:$D$1048576,MATCH(L36,医院2县区2人!$A$2:$A$1048576,0))</f>
        <v>0</v>
      </c>
      <c r="W36" s="6" t="str">
        <f t="shared" si="3"/>
        <v>颠茄磺苄啶片12s</v>
      </c>
      <c r="X36" s="6" t="s">
        <v>2906</v>
      </c>
    </row>
    <row r="37" spans="1:24" x14ac:dyDescent="0.15">
      <c r="A37" s="7" t="str">
        <f t="shared" si="4"/>
        <v>201806</v>
      </c>
      <c r="C37" s="6" t="str">
        <f>INDEX(工厂基础数据!$A$2:$A$1024,MATCH(X37,工厂基础数据!$D$2:$D$1024,0))</f>
        <v>02005429</v>
      </c>
      <c r="E37" s="6" t="str">
        <f>INDEX(工厂基础数据!$B$2:$B$1024,MATCH(X37,工厂基础数据!$D$2:$D$1024,0))</f>
        <v>山东九州通医药有限公司</v>
      </c>
      <c r="F37" s="6">
        <f>INDEX(商业2转码!$B$2:$B$10000,MATCH(E37,商业2转码!$A$2:$A$10000,0))</f>
        <v>0</v>
      </c>
      <c r="G37" s="6">
        <f>INDEX(品种2编码!$A$2:$A$1048576,MATCH(W37,品种2编码!$D$2:$D$1048576,0))</f>
        <v>0</v>
      </c>
      <c r="H37" s="6" t="s">
        <v>2926</v>
      </c>
      <c r="I37" s="6" t="s">
        <v>2935</v>
      </c>
      <c r="L37" s="6" t="s">
        <v>2939</v>
      </c>
      <c r="M37" s="6">
        <f>INDEX(医院2县区2人!$B$2:$B$1048576,MATCH(L37,医院2县区2人!$A$2:$A$1048576,0))</f>
        <v>0</v>
      </c>
      <c r="N37" s="6">
        <f>INDEX(医院2县区2人!$C$2:$C$1048576,MATCH(L37,医院2县区2人!$A$2:$A$1048576,0))</f>
        <v>0</v>
      </c>
      <c r="P37" s="7">
        <v>43277</v>
      </c>
      <c r="Q37" s="6">
        <v>1</v>
      </c>
      <c r="R37" s="6">
        <v>22.6</v>
      </c>
      <c r="S37" s="6">
        <v>180107</v>
      </c>
      <c r="T37" s="6">
        <f>INDEX(医院2县区2人!$D$2:$D$1048576,MATCH(L37,医院2县区2人!$A$2:$A$1048576,0))</f>
        <v>0</v>
      </c>
      <c r="W37" s="6" t="str">
        <f t="shared" si="3"/>
        <v>新盖中盖儿童钙片1.75g*36s</v>
      </c>
      <c r="X37" s="6" t="s">
        <v>2906</v>
      </c>
    </row>
    <row r="38" spans="1:24" x14ac:dyDescent="0.15">
      <c r="A38" s="7" t="str">
        <f t="shared" si="4"/>
        <v>201806</v>
      </c>
      <c r="C38" s="6" t="str">
        <f>INDEX(工厂基础数据!$A$2:$A$1024,MATCH(X38,工厂基础数据!$D$2:$D$1024,0))</f>
        <v>02005429</v>
      </c>
      <c r="E38" s="6" t="str">
        <f>INDEX(工厂基础数据!$B$2:$B$1024,MATCH(X38,工厂基础数据!$D$2:$D$1024,0))</f>
        <v>山东九州通医药有限公司</v>
      </c>
      <c r="F38" s="6">
        <f>INDEX(商业2转码!$B$2:$B$10000,MATCH(E38,商业2转码!$A$2:$A$10000,0))</f>
        <v>0</v>
      </c>
      <c r="G38" s="6" t="str">
        <f>INDEX(品种2编码!$A$2:$A$1048576,MATCH(W38,品种2编码!$D$2:$D$1048576,0))</f>
        <v>0020070001ZYLC0001</v>
      </c>
      <c r="H38" s="6" t="s">
        <v>1905</v>
      </c>
      <c r="I38" s="6" t="s">
        <v>411</v>
      </c>
      <c r="L38" s="6" t="s">
        <v>2939</v>
      </c>
      <c r="M38" s="6">
        <f>INDEX(医院2县区2人!$B$2:$B$1048576,MATCH(L38,医院2县区2人!$A$2:$A$1048576,0))</f>
        <v>0</v>
      </c>
      <c r="N38" s="6">
        <f>INDEX(医院2县区2人!$C$2:$C$1048576,MATCH(L38,医院2县区2人!$A$2:$A$1048576,0))</f>
        <v>0</v>
      </c>
      <c r="P38" s="7">
        <v>43271</v>
      </c>
      <c r="Q38" s="6">
        <v>20</v>
      </c>
      <c r="R38" s="6">
        <v>18.190000000000001</v>
      </c>
      <c r="S38" s="6">
        <v>180105</v>
      </c>
      <c r="T38" s="6">
        <f>INDEX(医院2县区2人!$D$2:$D$1048576,MATCH(L38,医院2县区2人!$A$2:$A$1048576,0))</f>
        <v>0</v>
      </c>
      <c r="W38" s="6" t="str">
        <f t="shared" si="3"/>
        <v>哈药六钙锌口服液10ml*12支</v>
      </c>
      <c r="X38" s="6" t="s">
        <v>2906</v>
      </c>
    </row>
    <row r="39" spans="1:24" x14ac:dyDescent="0.15">
      <c r="A39" s="7" t="str">
        <f t="shared" si="4"/>
        <v>201806</v>
      </c>
      <c r="C39" s="6" t="str">
        <f>INDEX(工厂基础数据!$A$2:$A$1024,MATCH(X39,工厂基础数据!$D$2:$D$1024,0))</f>
        <v>02005429</v>
      </c>
      <c r="E39" s="6" t="str">
        <f>INDEX(工厂基础数据!$B$2:$B$1024,MATCH(X39,工厂基础数据!$D$2:$D$1024,0))</f>
        <v>山东九州通医药有限公司</v>
      </c>
      <c r="F39" s="6">
        <f>INDEX(商业2转码!$B$2:$B$10000,MATCH(E39,商业2转码!$A$2:$A$10000,0))</f>
        <v>0</v>
      </c>
      <c r="G39" s="6" t="str">
        <f>INDEX(品种2编码!$A$2:$A$1048576,MATCH(W39,品种2编码!$D$2:$D$1048576,0))</f>
        <v>0020050090SJZY0001</v>
      </c>
      <c r="H39" s="6" t="s">
        <v>630</v>
      </c>
      <c r="I39" s="6" t="s">
        <v>1850</v>
      </c>
      <c r="L39" s="6" t="s">
        <v>2939</v>
      </c>
      <c r="M39" s="6">
        <f>INDEX(医院2县区2人!$B$2:$B$1048576,MATCH(L39,医院2县区2人!$A$2:$A$1048576,0))</f>
        <v>0</v>
      </c>
      <c r="N39" s="6">
        <f>INDEX(医院2县区2人!$C$2:$C$1048576,MATCH(L39,医院2县区2人!$A$2:$A$1048576,0))</f>
        <v>0</v>
      </c>
      <c r="P39" s="7">
        <v>43271</v>
      </c>
      <c r="Q39" s="6">
        <v>5</v>
      </c>
      <c r="R39" s="6">
        <v>17.20054</v>
      </c>
      <c r="S39" s="6">
        <v>17062811</v>
      </c>
      <c r="T39" s="6">
        <f>INDEX(医院2县区2人!$D$2:$D$1048576,MATCH(L39,医院2县区2人!$A$2:$A$1048576,0))</f>
        <v>0</v>
      </c>
      <c r="W39" s="6" t="str">
        <f t="shared" si="3"/>
        <v>双黄连口服液10ml*10支</v>
      </c>
      <c r="X39" s="6" t="s">
        <v>2906</v>
      </c>
    </row>
    <row r="40" spans="1:24" x14ac:dyDescent="0.15">
      <c r="A40" s="7" t="str">
        <f t="shared" si="4"/>
        <v>201806</v>
      </c>
      <c r="C40" s="6" t="str">
        <f>INDEX(工厂基础数据!$A$2:$A$1024,MATCH(X40,工厂基础数据!$D$2:$D$1024,0))</f>
        <v>02005429</v>
      </c>
      <c r="E40" s="6" t="str">
        <f>INDEX(工厂基础数据!$B$2:$B$1024,MATCH(X40,工厂基础数据!$D$2:$D$1024,0))</f>
        <v>山东九州通医药有限公司</v>
      </c>
      <c r="F40" s="6">
        <f>INDEX(商业2转码!$B$2:$B$10000,MATCH(E40,商业2转码!$A$2:$A$10000,0))</f>
        <v>0</v>
      </c>
      <c r="G40" s="6" t="str">
        <f>INDEX(品种2编码!$A$2:$A$1048576,MATCH(W40,品种2编码!$D$2:$D$1048576,0))</f>
        <v>0020070001ZYLC0001</v>
      </c>
      <c r="H40" s="6" t="s">
        <v>1905</v>
      </c>
      <c r="I40" s="6" t="s">
        <v>411</v>
      </c>
      <c r="L40" s="6" t="s">
        <v>2939</v>
      </c>
      <c r="M40" s="6">
        <f>INDEX(医院2县区2人!$B$2:$B$1048576,MATCH(L40,医院2县区2人!$A$2:$A$1048576,0))</f>
        <v>0</v>
      </c>
      <c r="N40" s="6">
        <f>INDEX(医院2县区2人!$C$2:$C$1048576,MATCH(L40,医院2县区2人!$A$2:$A$1048576,0))</f>
        <v>0</v>
      </c>
      <c r="P40" s="7">
        <v>43269</v>
      </c>
      <c r="Q40" s="6">
        <v>4</v>
      </c>
      <c r="R40" s="6">
        <v>18.190000000000001</v>
      </c>
      <c r="S40" s="6">
        <v>180105</v>
      </c>
      <c r="T40" s="6">
        <f>INDEX(医院2县区2人!$D$2:$D$1048576,MATCH(L40,医院2县区2人!$A$2:$A$1048576,0))</f>
        <v>0</v>
      </c>
      <c r="W40" s="6" t="str">
        <f t="shared" si="3"/>
        <v>哈药六钙锌口服液10ml*12支</v>
      </c>
      <c r="X40" s="6" t="s">
        <v>2906</v>
      </c>
    </row>
    <row r="41" spans="1:24" x14ac:dyDescent="0.15">
      <c r="A41" s="7" t="str">
        <f t="shared" si="4"/>
        <v>201806</v>
      </c>
      <c r="C41" s="6" t="str">
        <f>INDEX(工厂基础数据!$A$2:$A$1024,MATCH(X41,工厂基础数据!$D$2:$D$1024,0))</f>
        <v>02005429</v>
      </c>
      <c r="E41" s="6" t="str">
        <f>INDEX(工厂基础数据!$B$2:$B$1024,MATCH(X41,工厂基础数据!$D$2:$D$1024,0))</f>
        <v>山东九州通医药有限公司</v>
      </c>
      <c r="F41" s="6">
        <f>INDEX(商业2转码!$B$2:$B$10000,MATCH(E41,商业2转码!$A$2:$A$10000,0))</f>
        <v>0</v>
      </c>
      <c r="G41" s="6" t="str">
        <f>INDEX(品种2编码!$A$2:$A$1048576,MATCH(W41,品种2编码!$D$2:$D$1048576,0))</f>
        <v>0020070001ZYLC0001</v>
      </c>
      <c r="H41" s="6" t="s">
        <v>1905</v>
      </c>
      <c r="I41" s="6" t="s">
        <v>411</v>
      </c>
      <c r="L41" s="6" t="s">
        <v>2939</v>
      </c>
      <c r="M41" s="6">
        <f>INDEX(医院2县区2人!$B$2:$B$1048576,MATCH(L41,医院2县区2人!$A$2:$A$1048576,0))</f>
        <v>0</v>
      </c>
      <c r="N41" s="6">
        <f>INDEX(医院2县区2人!$C$2:$C$1048576,MATCH(L41,医院2县区2人!$A$2:$A$1048576,0))</f>
        <v>0</v>
      </c>
      <c r="P41" s="7">
        <v>43270</v>
      </c>
      <c r="Q41" s="6">
        <v>4</v>
      </c>
      <c r="R41" s="6">
        <v>18.190000000000001</v>
      </c>
      <c r="S41" s="6">
        <v>180105</v>
      </c>
      <c r="T41" s="6">
        <f>INDEX(医院2县区2人!$D$2:$D$1048576,MATCH(L41,医院2县区2人!$A$2:$A$1048576,0))</f>
        <v>0</v>
      </c>
      <c r="W41" s="6" t="str">
        <f t="shared" si="3"/>
        <v>哈药六钙锌口服液10ml*12支</v>
      </c>
      <c r="X41" s="6" t="s">
        <v>2906</v>
      </c>
    </row>
    <row r="42" spans="1:24" x14ac:dyDescent="0.15">
      <c r="A42" s="7" t="str">
        <f t="shared" si="4"/>
        <v>201806</v>
      </c>
      <c r="C42" s="6" t="str">
        <f>INDEX(工厂基础数据!$A$2:$A$1024,MATCH(X42,工厂基础数据!$D$2:$D$1024,0))</f>
        <v>02005429</v>
      </c>
      <c r="E42" s="6" t="str">
        <f>INDEX(工厂基础数据!$B$2:$B$1024,MATCH(X42,工厂基础数据!$D$2:$D$1024,0))</f>
        <v>山东九州通医药有限公司</v>
      </c>
      <c r="F42" s="6">
        <f>INDEX(商业2转码!$B$2:$B$10000,MATCH(E42,商业2转码!$A$2:$A$10000,0))</f>
        <v>0</v>
      </c>
      <c r="G42" s="6" t="str">
        <f>INDEX(品种2编码!$A$2:$A$1048576,MATCH(W42,品种2编码!$D$2:$D$1048576,0))</f>
        <v>0020070001ZYLC0001</v>
      </c>
      <c r="H42" s="6" t="s">
        <v>1905</v>
      </c>
      <c r="I42" s="6" t="s">
        <v>411</v>
      </c>
      <c r="L42" s="6" t="s">
        <v>2939</v>
      </c>
      <c r="M42" s="6">
        <f>INDEX(医院2县区2人!$B$2:$B$1048576,MATCH(L42,医院2县区2人!$A$2:$A$1048576,0))</f>
        <v>0</v>
      </c>
      <c r="N42" s="6">
        <f>INDEX(医院2县区2人!$C$2:$C$1048576,MATCH(L42,医院2县区2人!$A$2:$A$1048576,0))</f>
        <v>0</v>
      </c>
      <c r="P42" s="7">
        <v>43270</v>
      </c>
      <c r="Q42" s="6">
        <v>2</v>
      </c>
      <c r="R42" s="6">
        <v>18.190000000000001</v>
      </c>
      <c r="S42" s="6">
        <v>180105</v>
      </c>
      <c r="T42" s="6">
        <f>INDEX(医院2县区2人!$D$2:$D$1048576,MATCH(L42,医院2县区2人!$A$2:$A$1048576,0))</f>
        <v>0</v>
      </c>
      <c r="W42" s="6" t="str">
        <f t="shared" si="3"/>
        <v>哈药六钙锌口服液10ml*12支</v>
      </c>
      <c r="X42" s="6" t="s">
        <v>2906</v>
      </c>
    </row>
    <row r="43" spans="1:24" x14ac:dyDescent="0.15">
      <c r="A43" s="7" t="str">
        <f t="shared" si="4"/>
        <v>201806</v>
      </c>
      <c r="C43" s="6" t="str">
        <f>INDEX(工厂基础数据!$A$2:$A$1024,MATCH(X43,工厂基础数据!$D$2:$D$1024,0))</f>
        <v>02005429</v>
      </c>
      <c r="E43" s="6" t="str">
        <f>INDEX(工厂基础数据!$B$2:$B$1024,MATCH(X43,工厂基础数据!$D$2:$D$1024,0))</f>
        <v>山东九州通医药有限公司</v>
      </c>
      <c r="F43" s="6">
        <f>INDEX(商业2转码!$B$2:$B$10000,MATCH(E43,商业2转码!$A$2:$A$10000,0))</f>
        <v>0</v>
      </c>
      <c r="G43" s="6">
        <f>INDEX(品种2编码!$A$2:$A$1048576,MATCH(W43,品种2编码!$D$2:$D$1048576,0))</f>
        <v>0</v>
      </c>
      <c r="H43" s="6" t="s">
        <v>1855</v>
      </c>
      <c r="I43" s="6" t="s">
        <v>2931</v>
      </c>
      <c r="L43" s="6" t="s">
        <v>2950</v>
      </c>
      <c r="M43" s="6">
        <f>INDEX(医院2县区2人!$B$2:$B$1048576,MATCH(L43,医院2县区2人!$A$2:$A$1048576,0))</f>
        <v>0</v>
      </c>
      <c r="N43" s="6">
        <f>INDEX(医院2县区2人!$C$2:$C$1048576,MATCH(L43,医院2县区2人!$A$2:$A$1048576,0))</f>
        <v>0</v>
      </c>
      <c r="P43" s="7">
        <v>43271</v>
      </c>
      <c r="Q43" s="6">
        <v>1</v>
      </c>
      <c r="R43" s="6">
        <v>5.75</v>
      </c>
      <c r="S43" s="6">
        <v>180301</v>
      </c>
      <c r="T43" s="6">
        <f>INDEX(医院2县区2人!$D$2:$D$1048576,MATCH(L43,医院2县区2人!$A$2:$A$1048576,0))</f>
        <v>0</v>
      </c>
      <c r="W43" s="6" t="str">
        <f t="shared" si="3"/>
        <v>颠茄磺苄啶片12s</v>
      </c>
      <c r="X43" s="6" t="s">
        <v>2906</v>
      </c>
    </row>
    <row r="44" spans="1:24" x14ac:dyDescent="0.15">
      <c r="A44" s="7" t="str">
        <f t="shared" si="4"/>
        <v>201806</v>
      </c>
      <c r="C44" s="6" t="str">
        <f>INDEX(工厂基础数据!$A$2:$A$1024,MATCH(X44,工厂基础数据!$D$2:$D$1024,0))</f>
        <v>02005429</v>
      </c>
      <c r="E44" s="6" t="str">
        <f>INDEX(工厂基础数据!$B$2:$B$1024,MATCH(X44,工厂基础数据!$D$2:$D$1024,0))</f>
        <v>山东九州通医药有限公司</v>
      </c>
      <c r="F44" s="6">
        <f>INDEX(商业2转码!$B$2:$B$10000,MATCH(E44,商业2转码!$A$2:$A$10000,0))</f>
        <v>0</v>
      </c>
      <c r="G44" s="6">
        <f>INDEX(品种2编码!$A$2:$A$1048576,MATCH(W44,品种2编码!$D$2:$D$1048576,0))</f>
        <v>0</v>
      </c>
      <c r="H44" s="6" t="s">
        <v>1855</v>
      </c>
      <c r="I44" s="6" t="s">
        <v>2931</v>
      </c>
      <c r="L44" s="6" t="s">
        <v>2951</v>
      </c>
      <c r="M44" s="6">
        <f>INDEX(医院2县区2人!$B$2:$B$1048576,MATCH(L44,医院2县区2人!$A$2:$A$1048576,0))</f>
        <v>0</v>
      </c>
      <c r="N44" s="6">
        <f>INDEX(医院2县区2人!$C$2:$C$1048576,MATCH(L44,医院2县区2人!$A$2:$A$1048576,0))</f>
        <v>0</v>
      </c>
      <c r="P44" s="7">
        <v>43278</v>
      </c>
      <c r="Q44" s="6">
        <v>1</v>
      </c>
      <c r="R44" s="6">
        <v>5.75</v>
      </c>
      <c r="S44" s="6">
        <v>180301</v>
      </c>
      <c r="T44" s="6">
        <f>INDEX(医院2县区2人!$D$2:$D$1048576,MATCH(L44,医院2县区2人!$A$2:$A$1048576,0))</f>
        <v>0</v>
      </c>
      <c r="W44" s="6" t="str">
        <f t="shared" si="3"/>
        <v>颠茄磺苄啶片12s</v>
      </c>
      <c r="X44" s="6" t="s">
        <v>2906</v>
      </c>
    </row>
    <row r="45" spans="1:24" x14ac:dyDescent="0.15">
      <c r="A45" s="7" t="str">
        <f t="shared" si="4"/>
        <v>201806</v>
      </c>
      <c r="C45" s="6" t="str">
        <f>INDEX(工厂基础数据!$A$2:$A$1024,MATCH(X45,工厂基础数据!$D$2:$D$1024,0))</f>
        <v>02005429</v>
      </c>
      <c r="E45" s="6" t="str">
        <f>INDEX(工厂基础数据!$B$2:$B$1024,MATCH(X45,工厂基础数据!$D$2:$D$1024,0))</f>
        <v>山东九州通医药有限公司</v>
      </c>
      <c r="F45" s="6">
        <f>INDEX(商业2转码!$B$2:$B$10000,MATCH(E45,商业2转码!$A$2:$A$10000,0))</f>
        <v>0</v>
      </c>
      <c r="G45" s="6" t="str">
        <f>INDEX(品种2编码!$A$2:$A$1048576,MATCH(W45,品种2编码!$D$2:$D$1048576,0))</f>
        <v>0020050090SJZY0001</v>
      </c>
      <c r="H45" s="6" t="s">
        <v>630</v>
      </c>
      <c r="I45" s="6" t="s">
        <v>1850</v>
      </c>
      <c r="L45" s="6" t="s">
        <v>2951</v>
      </c>
      <c r="M45" s="6">
        <f>INDEX(医院2县区2人!$B$2:$B$1048576,MATCH(L45,医院2县区2人!$A$2:$A$1048576,0))</f>
        <v>0</v>
      </c>
      <c r="N45" s="6">
        <f>INDEX(医院2县区2人!$C$2:$C$1048576,MATCH(L45,医院2县区2人!$A$2:$A$1048576,0))</f>
        <v>0</v>
      </c>
      <c r="P45" s="7">
        <v>43278</v>
      </c>
      <c r="Q45" s="6">
        <v>2</v>
      </c>
      <c r="R45" s="6">
        <v>16.8</v>
      </c>
      <c r="S45" s="6">
        <v>17062811</v>
      </c>
      <c r="T45" s="6">
        <f>INDEX(医院2县区2人!$D$2:$D$1048576,MATCH(L45,医院2县区2人!$A$2:$A$1048576,0))</f>
        <v>0</v>
      </c>
      <c r="W45" s="6" t="str">
        <f t="shared" si="3"/>
        <v>双黄连口服液10ml*10支</v>
      </c>
      <c r="X45" s="6" t="s">
        <v>2906</v>
      </c>
    </row>
    <row r="46" spans="1:24" x14ac:dyDescent="0.15">
      <c r="A46" s="7" t="str">
        <f t="shared" si="4"/>
        <v>201806</v>
      </c>
      <c r="C46" s="6" t="str">
        <f>INDEX(工厂基础数据!$A$2:$A$1024,MATCH(X46,工厂基础数据!$D$2:$D$1024,0))</f>
        <v>02005429</v>
      </c>
      <c r="E46" s="6" t="str">
        <f>INDEX(工厂基础数据!$B$2:$B$1024,MATCH(X46,工厂基础数据!$D$2:$D$1024,0))</f>
        <v>山东九州通医药有限公司</v>
      </c>
      <c r="F46" s="6">
        <f>INDEX(商业2转码!$B$2:$B$10000,MATCH(E46,商业2转码!$A$2:$A$10000,0))</f>
        <v>0</v>
      </c>
      <c r="G46" s="6" t="str">
        <f>INDEX(品种2编码!$A$2:$A$1048576,MATCH(W46,品种2编码!$D$2:$D$1048576,0))</f>
        <v>0020050090SJZY0001</v>
      </c>
      <c r="H46" s="6" t="s">
        <v>630</v>
      </c>
      <c r="I46" s="6" t="s">
        <v>1850</v>
      </c>
      <c r="L46" s="6" t="s">
        <v>2952</v>
      </c>
      <c r="M46" s="6">
        <f>INDEX(医院2县区2人!$B$2:$B$1048576,MATCH(L46,医院2县区2人!$A$2:$A$1048576,0))</f>
        <v>0</v>
      </c>
      <c r="N46" s="6">
        <f>INDEX(医院2县区2人!$C$2:$C$1048576,MATCH(L46,医院2县区2人!$A$2:$A$1048576,0))</f>
        <v>0</v>
      </c>
      <c r="P46" s="7">
        <v>43273</v>
      </c>
      <c r="Q46" s="6">
        <v>5</v>
      </c>
      <c r="R46" s="6">
        <v>16.8</v>
      </c>
      <c r="S46" s="6">
        <v>17062811</v>
      </c>
      <c r="T46" s="6">
        <f>INDEX(医院2县区2人!$D$2:$D$1048576,MATCH(L46,医院2县区2人!$A$2:$A$1048576,0))</f>
        <v>0</v>
      </c>
      <c r="W46" s="6" t="str">
        <f t="shared" si="3"/>
        <v>双黄连口服液10ml*10支</v>
      </c>
      <c r="X46" s="6" t="s">
        <v>2906</v>
      </c>
    </row>
    <row r="47" spans="1:24" x14ac:dyDescent="0.15">
      <c r="A47" s="7" t="str">
        <f t="shared" si="4"/>
        <v>201806</v>
      </c>
      <c r="C47" s="6" t="str">
        <f>INDEX(工厂基础数据!$A$2:$A$1024,MATCH(X47,工厂基础数据!$D$2:$D$1024,0))</f>
        <v>02005429</v>
      </c>
      <c r="E47" s="6" t="str">
        <f>INDEX(工厂基础数据!$B$2:$B$1024,MATCH(X47,工厂基础数据!$D$2:$D$1024,0))</f>
        <v>山东九州通医药有限公司</v>
      </c>
      <c r="F47" s="6">
        <f>INDEX(商业2转码!$B$2:$B$10000,MATCH(E47,商业2转码!$A$2:$A$10000,0))</f>
        <v>0</v>
      </c>
      <c r="G47" s="6" t="str">
        <f>INDEX(品种2编码!$A$2:$A$1048576,MATCH(W47,品种2编码!$D$2:$D$1048576,0))</f>
        <v>0020050090SJZY0001</v>
      </c>
      <c r="H47" s="6" t="s">
        <v>630</v>
      </c>
      <c r="I47" s="6" t="s">
        <v>1850</v>
      </c>
      <c r="L47" s="6" t="s">
        <v>2953</v>
      </c>
      <c r="M47" s="6">
        <f>INDEX(医院2县区2人!$B$2:$B$1048576,MATCH(L47,医院2县区2人!$A$2:$A$1048576,0))</f>
        <v>0</v>
      </c>
      <c r="N47" s="6">
        <f>INDEX(医院2县区2人!$C$2:$C$1048576,MATCH(L47,医院2县区2人!$A$2:$A$1048576,0))</f>
        <v>0</v>
      </c>
      <c r="P47" s="7">
        <v>43277</v>
      </c>
      <c r="Q47" s="6">
        <v>1</v>
      </c>
      <c r="R47" s="6">
        <v>16.8</v>
      </c>
      <c r="S47" s="6">
        <v>17062811</v>
      </c>
      <c r="T47" s="6">
        <f>INDEX(医院2县区2人!$D$2:$D$1048576,MATCH(L47,医院2县区2人!$A$2:$A$1048576,0))</f>
        <v>0</v>
      </c>
      <c r="W47" s="6" t="str">
        <f t="shared" si="3"/>
        <v>双黄连口服液10ml*10支</v>
      </c>
      <c r="X47" s="6" t="s">
        <v>2906</v>
      </c>
    </row>
    <row r="48" spans="1:24" x14ac:dyDescent="0.15">
      <c r="A48" s="7" t="str">
        <f t="shared" si="4"/>
        <v>201806</v>
      </c>
      <c r="C48" s="6" t="str">
        <f>INDEX(工厂基础数据!$A$2:$A$1024,MATCH(X48,工厂基础数据!$D$2:$D$1024,0))</f>
        <v>02005429</v>
      </c>
      <c r="E48" s="6" t="str">
        <f>INDEX(工厂基础数据!$B$2:$B$1024,MATCH(X48,工厂基础数据!$D$2:$D$1024,0))</f>
        <v>山东九州通医药有限公司</v>
      </c>
      <c r="F48" s="6">
        <f>INDEX(商业2转码!$B$2:$B$10000,MATCH(E48,商业2转码!$A$2:$A$10000,0))</f>
        <v>0</v>
      </c>
      <c r="G48" s="6">
        <f>INDEX(品种2编码!$A$2:$A$1048576,MATCH(W48,品种2编码!$D$2:$D$1048576,0))</f>
        <v>0</v>
      </c>
      <c r="H48" s="6" t="s">
        <v>1885</v>
      </c>
      <c r="I48" s="6" t="s">
        <v>2933</v>
      </c>
      <c r="L48" s="6" t="s">
        <v>2954</v>
      </c>
      <c r="M48" s="6">
        <f>INDEX(医院2县区2人!$B$2:$B$1048576,MATCH(L48,医院2县区2人!$A$2:$A$1048576,0))</f>
        <v>0</v>
      </c>
      <c r="N48" s="6">
        <f>INDEX(医院2县区2人!$C$2:$C$1048576,MATCH(L48,医院2县区2人!$A$2:$A$1048576,0))</f>
        <v>0</v>
      </c>
      <c r="P48" s="7">
        <v>43271</v>
      </c>
      <c r="Q48" s="6">
        <v>5</v>
      </c>
      <c r="R48" s="6">
        <v>25.2</v>
      </c>
      <c r="S48" s="6">
        <v>180103</v>
      </c>
      <c r="T48" s="6">
        <f>INDEX(医院2县区2人!$D$2:$D$1048576,MATCH(L48,医院2县区2人!$A$2:$A$1048576,0))</f>
        <v>0</v>
      </c>
      <c r="W48" s="6" t="str">
        <f t="shared" si="3"/>
        <v>新盖中盖高钙片2.5g*36s</v>
      </c>
      <c r="X48" s="6" t="s">
        <v>2906</v>
      </c>
    </row>
    <row r="49" spans="1:24" x14ac:dyDescent="0.15">
      <c r="A49" s="7" t="str">
        <f t="shared" si="4"/>
        <v>201806</v>
      </c>
      <c r="C49" s="6" t="str">
        <f>INDEX(工厂基础数据!$A$2:$A$1024,MATCH(X49,工厂基础数据!$D$2:$D$1024,0))</f>
        <v>02005429</v>
      </c>
      <c r="E49" s="6" t="str">
        <f>INDEX(工厂基础数据!$B$2:$B$1024,MATCH(X49,工厂基础数据!$D$2:$D$1024,0))</f>
        <v>山东九州通医药有限公司</v>
      </c>
      <c r="F49" s="6">
        <f>INDEX(商业2转码!$B$2:$B$10000,MATCH(E49,商业2转码!$A$2:$A$10000,0))</f>
        <v>0</v>
      </c>
      <c r="G49" s="6">
        <f>INDEX(品种2编码!$A$2:$A$1048576,MATCH(W49,品种2编码!$D$2:$D$1048576,0))</f>
        <v>0</v>
      </c>
      <c r="H49" s="6" t="s">
        <v>1855</v>
      </c>
      <c r="I49" s="6" t="s">
        <v>2931</v>
      </c>
      <c r="L49" s="6" t="s">
        <v>2939</v>
      </c>
      <c r="M49" s="6">
        <f>INDEX(医院2县区2人!$B$2:$B$1048576,MATCH(L49,医院2县区2人!$A$2:$A$1048576,0))</f>
        <v>0</v>
      </c>
      <c r="N49" s="6">
        <f>INDEX(医院2县区2人!$C$2:$C$1048576,MATCH(L49,医院2县区2人!$A$2:$A$1048576,0))</f>
        <v>0</v>
      </c>
      <c r="P49" s="7">
        <v>43257</v>
      </c>
      <c r="Q49" s="6">
        <v>50</v>
      </c>
      <c r="R49" s="6">
        <v>5.75</v>
      </c>
      <c r="S49" s="6">
        <v>180301</v>
      </c>
      <c r="T49" s="6">
        <f>INDEX(医院2县区2人!$D$2:$D$1048576,MATCH(L49,医院2县区2人!$A$2:$A$1048576,0))</f>
        <v>0</v>
      </c>
      <c r="W49" s="6" t="str">
        <f t="shared" si="3"/>
        <v>颠茄磺苄啶片12s</v>
      </c>
      <c r="X49" s="6" t="s">
        <v>2906</v>
      </c>
    </row>
    <row r="50" spans="1:24" x14ac:dyDescent="0.15">
      <c r="A50" s="7" t="str">
        <f t="shared" si="4"/>
        <v>201806</v>
      </c>
      <c r="C50" s="6" t="str">
        <f>INDEX(工厂基础数据!$A$2:$A$1024,MATCH(X50,工厂基础数据!$D$2:$D$1024,0))</f>
        <v>02005429</v>
      </c>
      <c r="E50" s="6" t="str">
        <f>INDEX(工厂基础数据!$B$2:$B$1024,MATCH(X50,工厂基础数据!$D$2:$D$1024,0))</f>
        <v>山东九州通医药有限公司</v>
      </c>
      <c r="F50" s="6">
        <f>INDEX(商业2转码!$B$2:$B$10000,MATCH(E50,商业2转码!$A$2:$A$10000,0))</f>
        <v>0</v>
      </c>
      <c r="G50" s="6">
        <f>INDEX(品种2编码!$A$2:$A$1048576,MATCH(W50,品种2编码!$D$2:$D$1048576,0))</f>
        <v>0</v>
      </c>
      <c r="H50" s="6" t="s">
        <v>1885</v>
      </c>
      <c r="I50" s="6" t="s">
        <v>2933</v>
      </c>
      <c r="L50" s="6" t="s">
        <v>2955</v>
      </c>
      <c r="M50" s="6">
        <f>INDEX(医院2县区2人!$B$2:$B$1048576,MATCH(L50,医院2县区2人!$A$2:$A$1048576,0))</f>
        <v>0</v>
      </c>
      <c r="N50" s="6">
        <f>INDEX(医院2县区2人!$C$2:$C$1048576,MATCH(L50,医院2县区2人!$A$2:$A$1048576,0))</f>
        <v>0</v>
      </c>
      <c r="P50" s="7">
        <v>43279</v>
      </c>
      <c r="Q50" s="6">
        <v>20</v>
      </c>
      <c r="R50" s="6">
        <v>25.2</v>
      </c>
      <c r="S50" s="6">
        <v>180103</v>
      </c>
      <c r="T50" s="6">
        <f>INDEX(医院2县区2人!$D$2:$D$1048576,MATCH(L50,医院2县区2人!$A$2:$A$1048576,0))</f>
        <v>0</v>
      </c>
      <c r="W50" s="6" t="str">
        <f t="shared" si="3"/>
        <v>新盖中盖高钙片2.5g*36s</v>
      </c>
      <c r="X50" s="6" t="s">
        <v>2906</v>
      </c>
    </row>
    <row r="51" spans="1:24" x14ac:dyDescent="0.15">
      <c r="A51" s="7" t="str">
        <f t="shared" si="4"/>
        <v>201806</v>
      </c>
      <c r="C51" s="6" t="str">
        <f>INDEX(工厂基础数据!$A$2:$A$1024,MATCH(X51,工厂基础数据!$D$2:$D$1024,0))</f>
        <v>02005429</v>
      </c>
      <c r="E51" s="6" t="str">
        <f>INDEX(工厂基础数据!$B$2:$B$1024,MATCH(X51,工厂基础数据!$D$2:$D$1024,0))</f>
        <v>山东九州通医药有限公司</v>
      </c>
      <c r="F51" s="6">
        <f>INDEX(商业2转码!$B$2:$B$10000,MATCH(E51,商业2转码!$A$2:$A$10000,0))</f>
        <v>0</v>
      </c>
      <c r="G51" s="6" t="str">
        <f>INDEX(品种2编码!$A$2:$A$1048576,MATCH(W51,品种2编码!$D$2:$D$1048576,0))</f>
        <v>0020070001ZYZC0383</v>
      </c>
      <c r="H51" s="6" t="s">
        <v>1849</v>
      </c>
      <c r="I51" s="6" t="s">
        <v>1850</v>
      </c>
      <c r="L51" s="6" t="s">
        <v>2955</v>
      </c>
      <c r="M51" s="6">
        <f>INDEX(医院2县区2人!$B$2:$B$1048576,MATCH(L51,医院2县区2人!$A$2:$A$1048576,0))</f>
        <v>0</v>
      </c>
      <c r="N51" s="6">
        <f>INDEX(医院2县区2人!$C$2:$C$1048576,MATCH(L51,医院2县区2人!$A$2:$A$1048576,0))</f>
        <v>0</v>
      </c>
      <c r="P51" s="7">
        <v>43280</v>
      </c>
      <c r="Q51" s="6">
        <v>40</v>
      </c>
      <c r="R51" s="6">
        <v>14.5</v>
      </c>
      <c r="S51" s="6" t="s">
        <v>2938</v>
      </c>
      <c r="T51" s="6">
        <f>INDEX(医院2县区2人!$D$2:$D$1048576,MATCH(L51,医院2县区2人!$A$2:$A$1048576,0))</f>
        <v>0</v>
      </c>
      <c r="W51" s="6" t="str">
        <f t="shared" si="3"/>
        <v>哈药牌钙铁锌口服液10ml*10支</v>
      </c>
      <c r="X51" s="6" t="s">
        <v>2906</v>
      </c>
    </row>
    <row r="52" spans="1:24" x14ac:dyDescent="0.15">
      <c r="A52" s="7" t="str">
        <f t="shared" si="4"/>
        <v>201806</v>
      </c>
      <c r="C52" s="6" t="str">
        <f>INDEX(工厂基础数据!$A$2:$A$1024,MATCH(X52,工厂基础数据!$D$2:$D$1024,0))</f>
        <v>02005429</v>
      </c>
      <c r="E52" s="6" t="str">
        <f>INDEX(工厂基础数据!$B$2:$B$1024,MATCH(X52,工厂基础数据!$D$2:$D$1024,0))</f>
        <v>山东九州通医药有限公司</v>
      </c>
      <c r="F52" s="6">
        <f>INDEX(商业2转码!$B$2:$B$10000,MATCH(E52,商业2转码!$A$2:$A$10000,0))</f>
        <v>0</v>
      </c>
      <c r="G52" s="6">
        <f>INDEX(品种2编码!$A$2:$A$1048576,MATCH(W52,品种2编码!$D$2:$D$1048576,0))</f>
        <v>0</v>
      </c>
      <c r="H52" s="6" t="s">
        <v>2924</v>
      </c>
      <c r="I52" s="6" t="s">
        <v>2934</v>
      </c>
      <c r="L52" s="6" t="s">
        <v>2956</v>
      </c>
      <c r="M52" s="6">
        <f>INDEX(医院2县区2人!$B$2:$B$1048576,MATCH(L52,医院2县区2人!$A$2:$A$1048576,0))</f>
        <v>0</v>
      </c>
      <c r="N52" s="6">
        <f>INDEX(医院2县区2人!$C$2:$C$1048576,MATCH(L52,医院2县区2人!$A$2:$A$1048576,0))</f>
        <v>0</v>
      </c>
      <c r="P52" s="7">
        <v>43278</v>
      </c>
      <c r="Q52" s="6">
        <v>10</v>
      </c>
      <c r="R52" s="6">
        <v>4.5199999999999996</v>
      </c>
      <c r="S52" s="6">
        <v>180101</v>
      </c>
      <c r="T52" s="6">
        <f>INDEX(医院2县区2人!$D$2:$D$1048576,MATCH(L52,医院2县区2人!$A$2:$A$1048576,0))</f>
        <v>0</v>
      </c>
      <c r="W52" s="6" t="str">
        <f t="shared" si="3"/>
        <v>罗红霉素分散片(严迪)(儿)50mg*12s</v>
      </c>
      <c r="X52" s="6" t="s">
        <v>2906</v>
      </c>
    </row>
    <row r="53" spans="1:24" x14ac:dyDescent="0.15">
      <c r="A53" s="7" t="str">
        <f t="shared" si="4"/>
        <v>201806</v>
      </c>
      <c r="C53" s="6" t="str">
        <f>INDEX(工厂基础数据!$A$2:$A$1024,MATCH(X53,工厂基础数据!$D$2:$D$1024,0))</f>
        <v>02005429</v>
      </c>
      <c r="E53" s="6" t="str">
        <f>INDEX(工厂基础数据!$B$2:$B$1024,MATCH(X53,工厂基础数据!$D$2:$D$1024,0))</f>
        <v>山东九州通医药有限公司</v>
      </c>
      <c r="F53" s="6">
        <f>INDEX(商业2转码!$B$2:$B$10000,MATCH(E53,商业2转码!$A$2:$A$10000,0))</f>
        <v>0</v>
      </c>
      <c r="G53" s="6">
        <f>INDEX(品种2编码!$A$2:$A$1048576,MATCH(W53,品种2编码!$D$2:$D$1048576,0))</f>
        <v>0</v>
      </c>
      <c r="H53" s="6" t="s">
        <v>1885</v>
      </c>
      <c r="I53" s="6" t="s">
        <v>2933</v>
      </c>
      <c r="L53" s="6" t="s">
        <v>2956</v>
      </c>
      <c r="M53" s="6">
        <f>INDEX(医院2县区2人!$B$2:$B$1048576,MATCH(L53,医院2县区2人!$A$2:$A$1048576,0))</f>
        <v>0</v>
      </c>
      <c r="N53" s="6">
        <f>INDEX(医院2县区2人!$C$2:$C$1048576,MATCH(L53,医院2县区2人!$A$2:$A$1048576,0))</f>
        <v>0</v>
      </c>
      <c r="P53" s="7">
        <v>43270</v>
      </c>
      <c r="Q53" s="6">
        <v>20</v>
      </c>
      <c r="R53" s="6">
        <v>25.2</v>
      </c>
      <c r="S53" s="6">
        <v>180103</v>
      </c>
      <c r="T53" s="6">
        <f>INDEX(医院2县区2人!$D$2:$D$1048576,MATCH(L53,医院2县区2人!$A$2:$A$1048576,0))</f>
        <v>0</v>
      </c>
      <c r="W53" s="6" t="str">
        <f t="shared" si="3"/>
        <v>新盖中盖高钙片2.5g*36s</v>
      </c>
      <c r="X53" s="6" t="s">
        <v>2906</v>
      </c>
    </row>
    <row r="54" spans="1:24" x14ac:dyDescent="0.15">
      <c r="A54" s="7" t="str">
        <f t="shared" si="4"/>
        <v>201806</v>
      </c>
      <c r="C54" s="6" t="str">
        <f>INDEX(工厂基础数据!$A$2:$A$1024,MATCH(X54,工厂基础数据!$D$2:$D$1024,0))</f>
        <v>02005429</v>
      </c>
      <c r="E54" s="6" t="str">
        <f>INDEX(工厂基础数据!$B$2:$B$1024,MATCH(X54,工厂基础数据!$D$2:$D$1024,0))</f>
        <v>山东九州通医药有限公司</v>
      </c>
      <c r="F54" s="6">
        <f>INDEX(商业2转码!$B$2:$B$10000,MATCH(E54,商业2转码!$A$2:$A$10000,0))</f>
        <v>0</v>
      </c>
      <c r="G54" s="6">
        <f>INDEX(品种2编码!$A$2:$A$1048576,MATCH(W54,品种2编码!$D$2:$D$1048576,0))</f>
        <v>0</v>
      </c>
      <c r="H54" s="6" t="s">
        <v>1855</v>
      </c>
      <c r="I54" s="6" t="s">
        <v>2931</v>
      </c>
      <c r="L54" s="6" t="s">
        <v>2957</v>
      </c>
      <c r="M54" s="6">
        <f>INDEX(医院2县区2人!$B$2:$B$1048576,MATCH(L54,医院2县区2人!$A$2:$A$1048576,0))</f>
        <v>0</v>
      </c>
      <c r="N54" s="6">
        <f>INDEX(医院2县区2人!$C$2:$C$1048576,MATCH(L54,医院2县区2人!$A$2:$A$1048576,0))</f>
        <v>0</v>
      </c>
      <c r="P54" s="7">
        <v>43270</v>
      </c>
      <c r="Q54" s="6">
        <v>10</v>
      </c>
      <c r="R54" s="6">
        <v>6.04</v>
      </c>
      <c r="S54" s="6">
        <v>180301</v>
      </c>
      <c r="T54" s="6">
        <f>INDEX(医院2县区2人!$D$2:$D$1048576,MATCH(L54,医院2县区2人!$A$2:$A$1048576,0))</f>
        <v>0</v>
      </c>
      <c r="W54" s="6" t="str">
        <f t="shared" si="3"/>
        <v>颠茄磺苄啶片12s</v>
      </c>
      <c r="X54" s="6" t="s">
        <v>2906</v>
      </c>
    </row>
    <row r="55" spans="1:24" x14ac:dyDescent="0.15">
      <c r="A55" s="7" t="str">
        <f t="shared" si="4"/>
        <v>201806</v>
      </c>
      <c r="C55" s="6" t="str">
        <f>INDEX(工厂基础数据!$A$2:$A$1024,MATCH(X55,工厂基础数据!$D$2:$D$1024,0))</f>
        <v>02005429</v>
      </c>
      <c r="E55" s="6" t="str">
        <f>INDEX(工厂基础数据!$B$2:$B$1024,MATCH(X55,工厂基础数据!$D$2:$D$1024,0))</f>
        <v>山东九州通医药有限公司</v>
      </c>
      <c r="F55" s="6">
        <f>INDEX(商业2转码!$B$2:$B$10000,MATCH(E55,商业2转码!$A$2:$A$10000,0))</f>
        <v>0</v>
      </c>
      <c r="G55" s="6">
        <f>INDEX(品种2编码!$A$2:$A$1048576,MATCH(W55,品种2编码!$D$2:$D$1048576,0))</f>
        <v>0</v>
      </c>
      <c r="H55" s="6" t="s">
        <v>1855</v>
      </c>
      <c r="I55" s="6" t="s">
        <v>2931</v>
      </c>
      <c r="L55" s="6" t="s">
        <v>2957</v>
      </c>
      <c r="M55" s="6">
        <f>INDEX(医院2县区2人!$B$2:$B$1048576,MATCH(L55,医院2县区2人!$A$2:$A$1048576,0))</f>
        <v>0</v>
      </c>
      <c r="N55" s="6">
        <f>INDEX(医院2县区2人!$C$2:$C$1048576,MATCH(L55,医院2县区2人!$A$2:$A$1048576,0))</f>
        <v>0</v>
      </c>
      <c r="P55" s="7">
        <v>43257</v>
      </c>
      <c r="Q55" s="6">
        <v>50</v>
      </c>
      <c r="R55" s="6">
        <v>6.04</v>
      </c>
      <c r="S55" s="6">
        <v>180301</v>
      </c>
      <c r="T55" s="6">
        <f>INDEX(医院2县区2人!$D$2:$D$1048576,MATCH(L55,医院2县区2人!$A$2:$A$1048576,0))</f>
        <v>0</v>
      </c>
      <c r="W55" s="6" t="str">
        <f t="shared" si="3"/>
        <v>颠茄磺苄啶片12s</v>
      </c>
      <c r="X55" s="6" t="s">
        <v>2906</v>
      </c>
    </row>
    <row r="56" spans="1:24" x14ac:dyDescent="0.15">
      <c r="A56" s="7" t="str">
        <f t="shared" si="4"/>
        <v>201806</v>
      </c>
      <c r="C56" s="6" t="str">
        <f>INDEX(工厂基础数据!$A$2:$A$1024,MATCH(X56,工厂基础数据!$D$2:$D$1024,0))</f>
        <v>02005429</v>
      </c>
      <c r="E56" s="6" t="str">
        <f>INDEX(工厂基础数据!$B$2:$B$1024,MATCH(X56,工厂基础数据!$D$2:$D$1024,0))</f>
        <v>山东九州通医药有限公司</v>
      </c>
      <c r="F56" s="6">
        <f>INDEX(商业2转码!$B$2:$B$10000,MATCH(E56,商业2转码!$A$2:$A$10000,0))</f>
        <v>0</v>
      </c>
      <c r="G56" s="6">
        <f>INDEX(品种2编码!$A$2:$A$1048576,MATCH(W56,品种2编码!$D$2:$D$1048576,0))</f>
        <v>0</v>
      </c>
      <c r="H56" s="6" t="s">
        <v>1855</v>
      </c>
      <c r="I56" s="6" t="s">
        <v>2931</v>
      </c>
      <c r="L56" s="6" t="s">
        <v>2957</v>
      </c>
      <c r="M56" s="6">
        <f>INDEX(医院2县区2人!$B$2:$B$1048576,MATCH(L56,医院2县区2人!$A$2:$A$1048576,0))</f>
        <v>0</v>
      </c>
      <c r="N56" s="6">
        <f>INDEX(医院2县区2人!$C$2:$C$1048576,MATCH(L56,医院2县区2人!$A$2:$A$1048576,0))</f>
        <v>0</v>
      </c>
      <c r="P56" s="7">
        <v>43263</v>
      </c>
      <c r="Q56" s="6">
        <v>20</v>
      </c>
      <c r="R56" s="6">
        <v>6.04</v>
      </c>
      <c r="S56" s="6">
        <v>180301</v>
      </c>
      <c r="T56" s="6">
        <f>INDEX(医院2县区2人!$D$2:$D$1048576,MATCH(L56,医院2县区2人!$A$2:$A$1048576,0))</f>
        <v>0</v>
      </c>
      <c r="W56" s="6" t="str">
        <f t="shared" si="3"/>
        <v>颠茄磺苄啶片12s</v>
      </c>
      <c r="X56" s="6" t="s">
        <v>2906</v>
      </c>
    </row>
    <row r="57" spans="1:24" x14ac:dyDescent="0.15">
      <c r="A57" s="7" t="str">
        <f t="shared" si="4"/>
        <v>201806</v>
      </c>
      <c r="C57" s="6" t="str">
        <f>INDEX(工厂基础数据!$A$2:$A$1024,MATCH(X57,工厂基础数据!$D$2:$D$1024,0))</f>
        <v>02005429</v>
      </c>
      <c r="E57" s="6" t="str">
        <f>INDEX(工厂基础数据!$B$2:$B$1024,MATCH(X57,工厂基础数据!$D$2:$D$1024,0))</f>
        <v>山东九州通医药有限公司</v>
      </c>
      <c r="F57" s="6">
        <f>INDEX(商业2转码!$B$2:$B$10000,MATCH(E57,商业2转码!$A$2:$A$10000,0))</f>
        <v>0</v>
      </c>
      <c r="G57" s="6">
        <f>INDEX(品种2编码!$A$2:$A$1048576,MATCH(W57,品种2编码!$D$2:$D$1048576,0))</f>
        <v>0</v>
      </c>
      <c r="H57" s="6" t="s">
        <v>1855</v>
      </c>
      <c r="I57" s="6" t="s">
        <v>2931</v>
      </c>
      <c r="L57" s="6" t="s">
        <v>2957</v>
      </c>
      <c r="M57" s="6">
        <f>INDEX(医院2县区2人!$B$2:$B$1048576,MATCH(L57,医院2县区2人!$A$2:$A$1048576,0))</f>
        <v>0</v>
      </c>
      <c r="N57" s="6">
        <f>INDEX(医院2县区2人!$C$2:$C$1048576,MATCH(L57,医院2县区2人!$A$2:$A$1048576,0))</f>
        <v>0</v>
      </c>
      <c r="P57" s="7">
        <v>43262</v>
      </c>
      <c r="Q57" s="6">
        <v>10</v>
      </c>
      <c r="R57" s="6">
        <v>6.04</v>
      </c>
      <c r="S57" s="6">
        <v>180301</v>
      </c>
      <c r="T57" s="6">
        <f>INDEX(医院2县区2人!$D$2:$D$1048576,MATCH(L57,医院2县区2人!$A$2:$A$1048576,0))</f>
        <v>0</v>
      </c>
      <c r="W57" s="6" t="str">
        <f t="shared" si="3"/>
        <v>颠茄磺苄啶片12s</v>
      </c>
      <c r="X57" s="6" t="s">
        <v>2906</v>
      </c>
    </row>
    <row r="58" spans="1:24" x14ac:dyDescent="0.15">
      <c r="A58" s="7" t="str">
        <f t="shared" si="4"/>
        <v>201806</v>
      </c>
      <c r="C58" s="6" t="str">
        <f>INDEX(工厂基础数据!$A$2:$A$1024,MATCH(X58,工厂基础数据!$D$2:$D$1024,0))</f>
        <v>02005429</v>
      </c>
      <c r="E58" s="6" t="str">
        <f>INDEX(工厂基础数据!$B$2:$B$1024,MATCH(X58,工厂基础数据!$D$2:$D$1024,0))</f>
        <v>山东九州通医药有限公司</v>
      </c>
      <c r="F58" s="6">
        <f>INDEX(商业2转码!$B$2:$B$10000,MATCH(E58,商业2转码!$A$2:$A$10000,0))</f>
        <v>0</v>
      </c>
      <c r="G58" s="6">
        <f>INDEX(品种2编码!$A$2:$A$1048576,MATCH(W58,品种2编码!$D$2:$D$1048576,0))</f>
        <v>0</v>
      </c>
      <c r="H58" s="6" t="s">
        <v>1949</v>
      </c>
      <c r="I58" s="6" t="s">
        <v>2930</v>
      </c>
      <c r="L58" s="6" t="s">
        <v>2958</v>
      </c>
      <c r="M58" s="6">
        <f>INDEX(医院2县区2人!$B$2:$B$1048576,MATCH(L58,医院2县区2人!$A$2:$A$1048576,0))</f>
        <v>0</v>
      </c>
      <c r="N58" s="6">
        <f>INDEX(医院2县区2人!$C$2:$C$1048576,MATCH(L58,医院2县区2人!$A$2:$A$1048576,0))</f>
        <v>0</v>
      </c>
      <c r="P58" s="7">
        <v>43256</v>
      </c>
      <c r="Q58" s="6">
        <v>30</v>
      </c>
      <c r="R58" s="6">
        <v>24.15</v>
      </c>
      <c r="S58" s="6">
        <v>17120711</v>
      </c>
      <c r="T58" s="6">
        <f>INDEX(医院2县区2人!$D$2:$D$1048576,MATCH(L58,医院2县区2人!$A$2:$A$1048576,0))</f>
        <v>0</v>
      </c>
      <c r="W58" s="6" t="str">
        <f t="shared" si="3"/>
        <v>葡萄糖酸锌口服溶液10ml:35mg*12支</v>
      </c>
      <c r="X58" s="6" t="s">
        <v>2906</v>
      </c>
    </row>
    <row r="59" spans="1:24" x14ac:dyDescent="0.15">
      <c r="A59" s="7" t="str">
        <f t="shared" si="4"/>
        <v>201806</v>
      </c>
      <c r="C59" s="6" t="str">
        <f>INDEX(工厂基础数据!$A$2:$A$1024,MATCH(X59,工厂基础数据!$D$2:$D$1024,0))</f>
        <v>02005429</v>
      </c>
      <c r="E59" s="6" t="str">
        <f>INDEX(工厂基础数据!$B$2:$B$1024,MATCH(X59,工厂基础数据!$D$2:$D$1024,0))</f>
        <v>山东九州通医药有限公司</v>
      </c>
      <c r="F59" s="6">
        <f>INDEX(商业2转码!$B$2:$B$10000,MATCH(E59,商业2转码!$A$2:$A$10000,0))</f>
        <v>0</v>
      </c>
      <c r="G59" s="6">
        <f>INDEX(品种2编码!$A$2:$A$1048576,MATCH(W59,品种2编码!$D$2:$D$1048576,0))</f>
        <v>0</v>
      </c>
      <c r="H59" s="6" t="s">
        <v>2923</v>
      </c>
      <c r="I59" s="6" t="s">
        <v>2929</v>
      </c>
      <c r="L59" s="6" t="s">
        <v>2958</v>
      </c>
      <c r="M59" s="6">
        <f>INDEX(医院2县区2人!$B$2:$B$1048576,MATCH(L59,医院2县区2人!$A$2:$A$1048576,0))</f>
        <v>0</v>
      </c>
      <c r="N59" s="6">
        <f>INDEX(医院2县区2人!$C$2:$C$1048576,MATCH(L59,医院2县区2人!$A$2:$A$1048576,0))</f>
        <v>0</v>
      </c>
      <c r="P59" s="7">
        <v>43256</v>
      </c>
      <c r="Q59" s="6">
        <v>30</v>
      </c>
      <c r="R59" s="6">
        <v>23.1</v>
      </c>
      <c r="S59" s="6">
        <v>17111823</v>
      </c>
      <c r="T59" s="6">
        <f>INDEX(医院2县区2人!$D$2:$D$1048576,MATCH(L59,医院2县区2人!$A$2:$A$1048576,0))</f>
        <v>0</v>
      </c>
      <c r="W59" s="6" t="str">
        <f t="shared" si="3"/>
        <v>葡萄糖酸钙口服溶液(有糖)10% 10ml*12支</v>
      </c>
      <c r="X59" s="6" t="s">
        <v>2906</v>
      </c>
    </row>
    <row r="60" spans="1:24" x14ac:dyDescent="0.15">
      <c r="A60" s="7" t="str">
        <f t="shared" si="4"/>
        <v>201806</v>
      </c>
      <c r="C60" s="6" t="str">
        <f>INDEX(工厂基础数据!$A$2:$A$1024,MATCH(X60,工厂基础数据!$D$2:$D$1024,0))</f>
        <v>02005429</v>
      </c>
      <c r="E60" s="6" t="str">
        <f>INDEX(工厂基础数据!$B$2:$B$1024,MATCH(X60,工厂基础数据!$D$2:$D$1024,0))</f>
        <v>山东九州通医药有限公司</v>
      </c>
      <c r="F60" s="6">
        <f>INDEX(商业2转码!$B$2:$B$10000,MATCH(E60,商业2转码!$A$2:$A$10000,0))</f>
        <v>0</v>
      </c>
      <c r="G60" s="6">
        <f>INDEX(品种2编码!$A$2:$A$1048576,MATCH(W60,品种2编码!$D$2:$D$1048576,0))</f>
        <v>0</v>
      </c>
      <c r="H60" s="6" t="s">
        <v>1885</v>
      </c>
      <c r="I60" s="6" t="s">
        <v>2933</v>
      </c>
      <c r="L60" s="6" t="s">
        <v>2959</v>
      </c>
      <c r="M60" s="6">
        <f>INDEX(医院2县区2人!$B$2:$B$1048576,MATCH(L60,医院2县区2人!$A$2:$A$1048576,0))</f>
        <v>0</v>
      </c>
      <c r="N60" s="6">
        <f>INDEX(医院2县区2人!$C$2:$C$1048576,MATCH(L60,医院2县区2人!$A$2:$A$1048576,0))</f>
        <v>0</v>
      </c>
      <c r="P60" s="7">
        <v>43280</v>
      </c>
      <c r="Q60" s="6">
        <v>40</v>
      </c>
      <c r="R60" s="6">
        <v>25.2</v>
      </c>
      <c r="S60" s="6">
        <v>180103</v>
      </c>
      <c r="T60" s="6">
        <f>INDEX(医院2县区2人!$D$2:$D$1048576,MATCH(L60,医院2县区2人!$A$2:$A$1048576,0))</f>
        <v>0</v>
      </c>
      <c r="W60" s="6" t="str">
        <f t="shared" si="3"/>
        <v>新盖中盖高钙片2.5g*36s</v>
      </c>
      <c r="X60" s="6" t="s">
        <v>2906</v>
      </c>
    </row>
    <row r="61" spans="1:24" x14ac:dyDescent="0.15">
      <c r="A61" s="7" t="str">
        <f t="shared" si="4"/>
        <v>201806</v>
      </c>
      <c r="C61" s="6" t="str">
        <f>INDEX(工厂基础数据!$A$2:$A$1024,MATCH(X61,工厂基础数据!$D$2:$D$1024,0))</f>
        <v>02005429</v>
      </c>
      <c r="E61" s="6" t="str">
        <f>INDEX(工厂基础数据!$B$2:$B$1024,MATCH(X61,工厂基础数据!$D$2:$D$1024,0))</f>
        <v>山东九州通医药有限公司</v>
      </c>
      <c r="F61" s="6">
        <f>INDEX(商业2转码!$B$2:$B$10000,MATCH(E61,商业2转码!$A$2:$A$10000,0))</f>
        <v>0</v>
      </c>
      <c r="G61" s="6">
        <f>INDEX(品种2编码!$A$2:$A$1048576,MATCH(W61,品种2编码!$D$2:$D$1048576,0))</f>
        <v>0</v>
      </c>
      <c r="H61" s="6" t="s">
        <v>1949</v>
      </c>
      <c r="I61" s="6" t="s">
        <v>2930</v>
      </c>
      <c r="L61" s="6" t="s">
        <v>2959</v>
      </c>
      <c r="M61" s="6">
        <f>INDEX(医院2县区2人!$B$2:$B$1048576,MATCH(L61,医院2县区2人!$A$2:$A$1048576,0))</f>
        <v>0</v>
      </c>
      <c r="N61" s="6">
        <f>INDEX(医院2县区2人!$C$2:$C$1048576,MATCH(L61,医院2县区2人!$A$2:$A$1048576,0))</f>
        <v>0</v>
      </c>
      <c r="P61" s="7">
        <v>43259</v>
      </c>
      <c r="Q61" s="6">
        <v>19</v>
      </c>
      <c r="R61" s="6">
        <v>23.5</v>
      </c>
      <c r="S61" s="6">
        <v>17120711</v>
      </c>
      <c r="T61" s="6">
        <f>INDEX(医院2县区2人!$D$2:$D$1048576,MATCH(L61,医院2县区2人!$A$2:$A$1048576,0))</f>
        <v>0</v>
      </c>
      <c r="W61" s="6" t="str">
        <f t="shared" si="3"/>
        <v>葡萄糖酸锌口服溶液10ml:35mg*12支</v>
      </c>
      <c r="X61" s="6" t="s">
        <v>2906</v>
      </c>
    </row>
    <row r="62" spans="1:24" x14ac:dyDescent="0.15">
      <c r="A62" s="7" t="str">
        <f t="shared" si="4"/>
        <v>201806</v>
      </c>
      <c r="C62" s="6" t="str">
        <f>INDEX(工厂基础数据!$A$2:$A$1024,MATCH(X62,工厂基础数据!$D$2:$D$1024,0))</f>
        <v>02005429</v>
      </c>
      <c r="E62" s="6" t="str">
        <f>INDEX(工厂基础数据!$B$2:$B$1024,MATCH(X62,工厂基础数据!$D$2:$D$1024,0))</f>
        <v>山东九州通医药有限公司</v>
      </c>
      <c r="F62" s="6">
        <f>INDEX(商业2转码!$B$2:$B$10000,MATCH(E62,商业2转码!$A$2:$A$10000,0))</f>
        <v>0</v>
      </c>
      <c r="G62" s="6">
        <f>INDEX(品种2编码!$A$2:$A$1048576,MATCH(W62,品种2编码!$D$2:$D$1048576,0))</f>
        <v>0</v>
      </c>
      <c r="H62" s="6" t="s">
        <v>1885</v>
      </c>
      <c r="I62" s="6" t="s">
        <v>2933</v>
      </c>
      <c r="L62" s="6" t="s">
        <v>2959</v>
      </c>
      <c r="M62" s="6">
        <f>INDEX(医院2县区2人!$B$2:$B$1048576,MATCH(L62,医院2县区2人!$A$2:$A$1048576,0))</f>
        <v>0</v>
      </c>
      <c r="N62" s="6">
        <f>INDEX(医院2县区2人!$C$2:$C$1048576,MATCH(L62,医院2县区2人!$A$2:$A$1048576,0))</f>
        <v>0</v>
      </c>
      <c r="P62" s="7">
        <v>43259</v>
      </c>
      <c r="Q62" s="6">
        <v>60</v>
      </c>
      <c r="R62" s="6">
        <v>25.2</v>
      </c>
      <c r="S62" s="6">
        <v>180103</v>
      </c>
      <c r="T62" s="6">
        <f>INDEX(医院2县区2人!$D$2:$D$1048576,MATCH(L62,医院2县区2人!$A$2:$A$1048576,0))</f>
        <v>0</v>
      </c>
      <c r="W62" s="6" t="str">
        <f t="shared" si="3"/>
        <v>新盖中盖高钙片2.5g*36s</v>
      </c>
      <c r="X62" s="6" t="s">
        <v>2906</v>
      </c>
    </row>
    <row r="63" spans="1:24" x14ac:dyDescent="0.15">
      <c r="A63" s="7" t="str">
        <f t="shared" si="4"/>
        <v>201806</v>
      </c>
      <c r="C63" s="6" t="str">
        <f>INDEX(工厂基础数据!$A$2:$A$1024,MATCH(X63,工厂基础数据!$D$2:$D$1024,0))</f>
        <v>02005429</v>
      </c>
      <c r="E63" s="6" t="str">
        <f>INDEX(工厂基础数据!$B$2:$B$1024,MATCH(X63,工厂基础数据!$D$2:$D$1024,0))</f>
        <v>山东九州通医药有限公司</v>
      </c>
      <c r="F63" s="6">
        <f>INDEX(商业2转码!$B$2:$B$10000,MATCH(E63,商业2转码!$A$2:$A$10000,0))</f>
        <v>0</v>
      </c>
      <c r="G63" s="6">
        <f>INDEX(品种2编码!$A$2:$A$1048576,MATCH(W63,品种2编码!$D$2:$D$1048576,0))</f>
        <v>0</v>
      </c>
      <c r="H63" s="6" t="s">
        <v>1855</v>
      </c>
      <c r="I63" s="6" t="s">
        <v>2931</v>
      </c>
      <c r="L63" s="6" t="s">
        <v>2960</v>
      </c>
      <c r="M63" s="6">
        <f>INDEX(医院2县区2人!$B$2:$B$1048576,MATCH(L63,医院2县区2人!$A$2:$A$1048576,0))</f>
        <v>0</v>
      </c>
      <c r="N63" s="6">
        <f>INDEX(医院2县区2人!$C$2:$C$1048576,MATCH(L63,医院2县区2人!$A$2:$A$1048576,0))</f>
        <v>0</v>
      </c>
      <c r="P63" s="7">
        <v>43277</v>
      </c>
      <c r="Q63" s="6">
        <v>100</v>
      </c>
      <c r="R63" s="6">
        <v>5.75</v>
      </c>
      <c r="S63" s="6">
        <v>180301</v>
      </c>
      <c r="T63" s="6">
        <f>INDEX(医院2县区2人!$D$2:$D$1048576,MATCH(L63,医院2县区2人!$A$2:$A$1048576,0))</f>
        <v>0</v>
      </c>
      <c r="W63" s="6" t="str">
        <f t="shared" si="3"/>
        <v>颠茄磺苄啶片12s</v>
      </c>
      <c r="X63" s="6" t="s">
        <v>2906</v>
      </c>
    </row>
    <row r="64" spans="1:24" x14ac:dyDescent="0.15">
      <c r="A64" s="7" t="str">
        <f t="shared" si="4"/>
        <v>201806</v>
      </c>
      <c r="C64" s="6" t="str">
        <f>INDEX(工厂基础数据!$A$2:$A$1024,MATCH(X64,工厂基础数据!$D$2:$D$1024,0))</f>
        <v>02005429</v>
      </c>
      <c r="E64" s="6" t="str">
        <f>INDEX(工厂基础数据!$B$2:$B$1024,MATCH(X64,工厂基础数据!$D$2:$D$1024,0))</f>
        <v>山东九州通医药有限公司</v>
      </c>
      <c r="F64" s="6">
        <f>INDEX(商业2转码!$B$2:$B$10000,MATCH(E64,商业2转码!$A$2:$A$10000,0))</f>
        <v>0</v>
      </c>
      <c r="G64" s="6">
        <f>INDEX(品种2编码!$A$2:$A$1048576,MATCH(W64,品种2编码!$D$2:$D$1048576,0))</f>
        <v>0</v>
      </c>
      <c r="H64" s="6" t="s">
        <v>2923</v>
      </c>
      <c r="I64" s="6" t="s">
        <v>2929</v>
      </c>
      <c r="L64" s="6" t="s">
        <v>2961</v>
      </c>
      <c r="M64" s="6">
        <f>INDEX(医院2县区2人!$B$2:$B$1048576,MATCH(L64,医院2县区2人!$A$2:$A$1048576,0))</f>
        <v>0</v>
      </c>
      <c r="N64" s="6">
        <f>INDEX(医院2县区2人!$C$2:$C$1048576,MATCH(L64,医院2县区2人!$A$2:$A$1048576,0))</f>
        <v>0</v>
      </c>
      <c r="P64" s="7">
        <v>43272</v>
      </c>
      <c r="Q64" s="6">
        <v>160</v>
      </c>
      <c r="R64" s="6">
        <v>22.5</v>
      </c>
      <c r="S64" s="6">
        <v>17111823</v>
      </c>
      <c r="T64" s="6">
        <f>INDEX(医院2县区2人!$D$2:$D$1048576,MATCH(L64,医院2县区2人!$A$2:$A$1048576,0))</f>
        <v>0</v>
      </c>
      <c r="W64" s="6" t="str">
        <f t="shared" si="3"/>
        <v>葡萄糖酸钙口服溶液(有糖)10% 10ml*12支</v>
      </c>
      <c r="X64" s="6" t="s">
        <v>2906</v>
      </c>
    </row>
    <row r="65" spans="1:24" x14ac:dyDescent="0.15">
      <c r="A65" s="7" t="str">
        <f t="shared" si="4"/>
        <v>201806</v>
      </c>
      <c r="C65" s="6" t="str">
        <f>INDEX(工厂基础数据!$A$2:$A$1024,MATCH(X65,工厂基础数据!$D$2:$D$1024,0))</f>
        <v>02005429</v>
      </c>
      <c r="E65" s="6" t="str">
        <f>INDEX(工厂基础数据!$B$2:$B$1024,MATCH(X65,工厂基础数据!$D$2:$D$1024,0))</f>
        <v>山东九州通医药有限公司</v>
      </c>
      <c r="F65" s="6">
        <f>INDEX(商业2转码!$B$2:$B$10000,MATCH(E65,商业2转码!$A$2:$A$10000,0))</f>
        <v>0</v>
      </c>
      <c r="G65" s="6">
        <f>INDEX(品种2编码!$A$2:$A$1048576,MATCH(W65,品种2编码!$D$2:$D$1048576,0))</f>
        <v>0</v>
      </c>
      <c r="H65" s="6" t="s">
        <v>2924</v>
      </c>
      <c r="I65" s="6" t="s">
        <v>2934</v>
      </c>
      <c r="L65" s="6" t="s">
        <v>2939</v>
      </c>
      <c r="M65" s="6">
        <f>INDEX(医院2县区2人!$B$2:$B$1048576,MATCH(L65,医院2县区2人!$A$2:$A$1048576,0))</f>
        <v>0</v>
      </c>
      <c r="N65" s="6">
        <f>INDEX(医院2县区2人!$C$2:$C$1048576,MATCH(L65,医院2县区2人!$A$2:$A$1048576,0))</f>
        <v>0</v>
      </c>
      <c r="P65" s="7">
        <v>43276</v>
      </c>
      <c r="Q65" s="6">
        <v>20</v>
      </c>
      <c r="R65" s="6">
        <v>4.5199999999999996</v>
      </c>
      <c r="S65" s="6">
        <v>180101</v>
      </c>
      <c r="T65" s="6">
        <f>INDEX(医院2县区2人!$D$2:$D$1048576,MATCH(L65,医院2县区2人!$A$2:$A$1048576,0))</f>
        <v>0</v>
      </c>
      <c r="W65" s="6" t="str">
        <f t="shared" si="3"/>
        <v>罗红霉素分散片(严迪)(儿)50mg*12s</v>
      </c>
      <c r="X65" s="6" t="s">
        <v>2906</v>
      </c>
    </row>
    <row r="66" spans="1:24" x14ac:dyDescent="0.15">
      <c r="A66" s="7" t="str">
        <f t="shared" si="4"/>
        <v>201806</v>
      </c>
      <c r="C66" s="6" t="str">
        <f>INDEX(工厂基础数据!$A$2:$A$1024,MATCH(X66,工厂基础数据!$D$2:$D$1024,0))</f>
        <v>02005429</v>
      </c>
      <c r="E66" s="6" t="str">
        <f>INDEX(工厂基础数据!$B$2:$B$1024,MATCH(X66,工厂基础数据!$D$2:$D$1024,0))</f>
        <v>山东九州通医药有限公司</v>
      </c>
      <c r="F66" s="6">
        <f>INDEX(商业2转码!$B$2:$B$10000,MATCH(E66,商业2转码!$A$2:$A$10000,0))</f>
        <v>0</v>
      </c>
      <c r="G66" s="6">
        <f>INDEX(品种2编码!$A$2:$A$1048576,MATCH(W66,品种2编码!$D$2:$D$1048576,0))</f>
        <v>0</v>
      </c>
      <c r="H66" s="6" t="s">
        <v>2923</v>
      </c>
      <c r="I66" s="6" t="s">
        <v>2929</v>
      </c>
      <c r="L66" s="6" t="s">
        <v>2939</v>
      </c>
      <c r="M66" s="6">
        <f>INDEX(医院2县区2人!$B$2:$B$1048576,MATCH(L66,医院2县区2人!$A$2:$A$1048576,0))</f>
        <v>0</v>
      </c>
      <c r="N66" s="6">
        <f>INDEX(医院2县区2人!$C$2:$C$1048576,MATCH(L66,医院2县区2人!$A$2:$A$1048576,0))</f>
        <v>0</v>
      </c>
      <c r="P66" s="7">
        <v>43265</v>
      </c>
      <c r="Q66" s="6">
        <v>5</v>
      </c>
      <c r="R66" s="6">
        <v>25</v>
      </c>
      <c r="S66" s="6">
        <v>17111823</v>
      </c>
      <c r="T66" s="6">
        <f>INDEX(医院2县区2人!$D$2:$D$1048576,MATCH(L66,医院2县区2人!$A$2:$A$1048576,0))</f>
        <v>0</v>
      </c>
      <c r="W66" s="6" t="str">
        <f t="shared" si="3"/>
        <v>葡萄糖酸钙口服溶液(有糖)10% 10ml*12支</v>
      </c>
      <c r="X66" s="6" t="s">
        <v>2906</v>
      </c>
    </row>
    <row r="67" spans="1:24" x14ac:dyDescent="0.15">
      <c r="A67" s="7" t="str">
        <f t="shared" si="4"/>
        <v>201806</v>
      </c>
      <c r="C67" s="6" t="str">
        <f>INDEX(工厂基础数据!$A$2:$A$1024,MATCH(X67,工厂基础数据!$D$2:$D$1024,0))</f>
        <v>02005429</v>
      </c>
      <c r="E67" s="6" t="str">
        <f>INDEX(工厂基础数据!$B$2:$B$1024,MATCH(X67,工厂基础数据!$D$2:$D$1024,0))</f>
        <v>山东九州通医药有限公司</v>
      </c>
      <c r="F67" s="6">
        <f>INDEX(商业2转码!$B$2:$B$10000,MATCH(E67,商业2转码!$A$2:$A$10000,0))</f>
        <v>0</v>
      </c>
      <c r="G67" s="6">
        <f>INDEX(品种2编码!$A$2:$A$1048576,MATCH(W67,品种2编码!$D$2:$D$1048576,0))</f>
        <v>0</v>
      </c>
      <c r="H67" s="6" t="s">
        <v>702</v>
      </c>
      <c r="I67" s="6" t="s">
        <v>1853</v>
      </c>
      <c r="L67" s="6" t="s">
        <v>2962</v>
      </c>
      <c r="M67" s="6">
        <f>INDEX(医院2县区2人!$B$2:$B$1048576,MATCH(L67,医院2县区2人!$A$2:$A$1048576,0))</f>
        <v>0</v>
      </c>
      <c r="N67" s="6">
        <f>INDEX(医院2县区2人!$C$2:$C$1048576,MATCH(L67,医院2县区2人!$A$2:$A$1048576,0))</f>
        <v>0</v>
      </c>
      <c r="P67" s="7">
        <v>43280</v>
      </c>
      <c r="Q67" s="6">
        <v>5</v>
      </c>
      <c r="R67" s="6">
        <v>9.4499999999999993</v>
      </c>
      <c r="S67" s="6">
        <v>171117</v>
      </c>
      <c r="T67" s="6">
        <f>INDEX(医院2县区2人!$D$2:$D$1048576,MATCH(L67,医院2县区2人!$A$2:$A$1048576,0))</f>
        <v>0</v>
      </c>
      <c r="W67" s="6" t="str">
        <f t="shared" si="3"/>
        <v>小儿氨酚黄那敏颗粒(护彤)2g*12袋</v>
      </c>
      <c r="X67" s="6" t="s">
        <v>2906</v>
      </c>
    </row>
    <row r="68" spans="1:24" x14ac:dyDescent="0.15">
      <c r="A68" s="7" t="str">
        <f t="shared" si="4"/>
        <v>201806</v>
      </c>
      <c r="C68" s="6" t="str">
        <f>INDEX(工厂基础数据!$A$2:$A$1024,MATCH(X68,工厂基础数据!$D$2:$D$1024,0))</f>
        <v>02005429</v>
      </c>
      <c r="E68" s="6" t="str">
        <f>INDEX(工厂基础数据!$B$2:$B$1024,MATCH(X68,工厂基础数据!$D$2:$D$1024,0))</f>
        <v>山东九州通医药有限公司</v>
      </c>
      <c r="F68" s="6">
        <f>INDEX(商业2转码!$B$2:$B$10000,MATCH(E68,商业2转码!$A$2:$A$10000,0))</f>
        <v>0</v>
      </c>
      <c r="G68" s="6">
        <f>INDEX(品种2编码!$A$2:$A$1048576,MATCH(W68,品种2编码!$D$2:$D$1048576,0))</f>
        <v>0</v>
      </c>
      <c r="H68" s="6" t="s">
        <v>2923</v>
      </c>
      <c r="I68" s="6" t="s">
        <v>2929</v>
      </c>
      <c r="L68" s="6" t="s">
        <v>2939</v>
      </c>
      <c r="M68" s="6">
        <f>INDEX(医院2县区2人!$B$2:$B$1048576,MATCH(L68,医院2县区2人!$A$2:$A$1048576,0))</f>
        <v>0</v>
      </c>
      <c r="N68" s="6">
        <f>INDEX(医院2县区2人!$C$2:$C$1048576,MATCH(L68,医院2县区2人!$A$2:$A$1048576,0))</f>
        <v>0</v>
      </c>
      <c r="P68" s="7">
        <v>43263</v>
      </c>
      <c r="Q68" s="6">
        <v>3</v>
      </c>
      <c r="R68" s="6">
        <v>25</v>
      </c>
      <c r="S68" s="6">
        <v>17111823</v>
      </c>
      <c r="T68" s="6">
        <f>INDEX(医院2县区2人!$D$2:$D$1048576,MATCH(L68,医院2县区2人!$A$2:$A$1048576,0))</f>
        <v>0</v>
      </c>
      <c r="W68" s="6" t="str">
        <f t="shared" si="3"/>
        <v>葡萄糖酸钙口服溶液(有糖)10% 10ml*12支</v>
      </c>
      <c r="X68" s="6" t="s">
        <v>2906</v>
      </c>
    </row>
    <row r="69" spans="1:24" x14ac:dyDescent="0.15">
      <c r="A69" s="7" t="str">
        <f t="shared" si="4"/>
        <v>201806</v>
      </c>
      <c r="C69" s="6" t="str">
        <f>INDEX(工厂基础数据!$A$2:$A$1024,MATCH(X69,工厂基础数据!$D$2:$D$1024,0))</f>
        <v>02005429</v>
      </c>
      <c r="E69" s="6" t="str">
        <f>INDEX(工厂基础数据!$B$2:$B$1024,MATCH(X69,工厂基础数据!$D$2:$D$1024,0))</f>
        <v>山东九州通医药有限公司</v>
      </c>
      <c r="F69" s="6">
        <f>INDEX(商业2转码!$B$2:$B$10000,MATCH(E69,商业2转码!$A$2:$A$10000,0))</f>
        <v>0</v>
      </c>
      <c r="G69" s="6">
        <f>INDEX(品种2编码!$A$2:$A$1048576,MATCH(W69,品种2编码!$D$2:$D$1048576,0))</f>
        <v>0</v>
      </c>
      <c r="H69" s="6" t="s">
        <v>2925</v>
      </c>
      <c r="I69" s="6" t="s">
        <v>914</v>
      </c>
      <c r="L69" s="6" t="s">
        <v>2963</v>
      </c>
      <c r="M69" s="6">
        <f>INDEX(医院2县区2人!$B$2:$B$1048576,MATCH(L69,医院2县区2人!$A$2:$A$1048576,0))</f>
        <v>0</v>
      </c>
      <c r="N69" s="6">
        <f>INDEX(医院2县区2人!$C$2:$C$1048576,MATCH(L69,医院2县区2人!$A$2:$A$1048576,0))</f>
        <v>0</v>
      </c>
      <c r="P69" s="7">
        <v>43258</v>
      </c>
      <c r="Q69" s="6">
        <v>50</v>
      </c>
      <c r="R69" s="6">
        <v>3.36</v>
      </c>
      <c r="S69" s="6" t="s">
        <v>2937</v>
      </c>
      <c r="T69" s="6">
        <f>INDEX(医院2县区2人!$D$2:$D$1048576,MATCH(L69,医院2县区2人!$A$2:$A$1048576,0))</f>
        <v>0</v>
      </c>
      <c r="W69" s="6" t="str">
        <f t="shared" si="3"/>
        <v>注射用乳糖酸阿奇霉素(齐宏)(精)0.25g</v>
      </c>
      <c r="X69" s="6" t="s">
        <v>2906</v>
      </c>
    </row>
    <row r="70" spans="1:24" x14ac:dyDescent="0.15">
      <c r="A70" s="7" t="str">
        <f t="shared" si="4"/>
        <v>201806</v>
      </c>
      <c r="C70" s="6" t="str">
        <f>INDEX(工厂基础数据!$A$2:$A$1024,MATCH(X70,工厂基础数据!$D$2:$D$1024,0))</f>
        <v>02005429</v>
      </c>
      <c r="E70" s="6" t="str">
        <f>INDEX(工厂基础数据!$B$2:$B$1024,MATCH(X70,工厂基础数据!$D$2:$D$1024,0))</f>
        <v>山东九州通医药有限公司</v>
      </c>
      <c r="F70" s="6">
        <f>INDEX(商业2转码!$B$2:$B$10000,MATCH(E70,商业2转码!$A$2:$A$10000,0))</f>
        <v>0</v>
      </c>
      <c r="G70" s="6">
        <f>INDEX(品种2编码!$A$2:$A$1048576,MATCH(W70,品种2编码!$D$2:$D$1048576,0))</f>
        <v>0</v>
      </c>
      <c r="H70" s="6" t="s">
        <v>2925</v>
      </c>
      <c r="I70" s="6" t="s">
        <v>914</v>
      </c>
      <c r="L70" s="6" t="s">
        <v>2964</v>
      </c>
      <c r="M70" s="6">
        <f>INDEX(医院2县区2人!$B$2:$B$1048576,MATCH(L70,医院2县区2人!$A$2:$A$1048576,0))</f>
        <v>0</v>
      </c>
      <c r="N70" s="6">
        <f>INDEX(医院2县区2人!$C$2:$C$1048576,MATCH(L70,医院2县区2人!$A$2:$A$1048576,0))</f>
        <v>0</v>
      </c>
      <c r="P70" s="7">
        <v>43273</v>
      </c>
      <c r="Q70" s="6">
        <v>100</v>
      </c>
      <c r="R70" s="6">
        <v>3.36</v>
      </c>
      <c r="S70" s="6" t="s">
        <v>2937</v>
      </c>
      <c r="T70" s="6">
        <f>INDEX(医院2县区2人!$D$2:$D$1048576,MATCH(L70,医院2县区2人!$A$2:$A$1048576,0))</f>
        <v>0</v>
      </c>
      <c r="W70" s="6" t="str">
        <f t="shared" ref="W70:W133" si="5">H70&amp;I70</f>
        <v>注射用乳糖酸阿奇霉素(齐宏)(精)0.25g</v>
      </c>
      <c r="X70" s="6" t="s">
        <v>2906</v>
      </c>
    </row>
    <row r="71" spans="1:24" x14ac:dyDescent="0.15">
      <c r="A71" s="7" t="str">
        <f t="shared" ref="A71:A134" si="6">IF(MONTH(P71)&lt;10,YEAR(P71)&amp;"0"&amp;MONTH(P71),YEAR(P71)&amp;MONTH(P71))</f>
        <v>201806</v>
      </c>
      <c r="C71" s="6" t="str">
        <f>INDEX(工厂基础数据!$A$2:$A$1024,MATCH(X71,工厂基础数据!$D$2:$D$1024,0))</f>
        <v>02005429</v>
      </c>
      <c r="E71" s="6" t="str">
        <f>INDEX(工厂基础数据!$B$2:$B$1024,MATCH(X71,工厂基础数据!$D$2:$D$1024,0))</f>
        <v>山东九州通医药有限公司</v>
      </c>
      <c r="F71" s="6">
        <f>INDEX(商业2转码!$B$2:$B$10000,MATCH(E71,商业2转码!$A$2:$A$10000,0))</f>
        <v>0</v>
      </c>
      <c r="G71" s="6">
        <f>INDEX(品种2编码!$A$2:$A$1048576,MATCH(W71,品种2编码!$D$2:$D$1048576,0))</f>
        <v>0</v>
      </c>
      <c r="H71" s="6" t="s">
        <v>2923</v>
      </c>
      <c r="I71" s="6" t="s">
        <v>2929</v>
      </c>
      <c r="L71" s="6" t="s">
        <v>2965</v>
      </c>
      <c r="M71" s="6">
        <f>INDEX(医院2县区2人!$B$2:$B$1048576,MATCH(L71,医院2县区2人!$A$2:$A$1048576,0))</f>
        <v>0</v>
      </c>
      <c r="N71" s="6">
        <f>INDEX(医院2县区2人!$C$2:$C$1048576,MATCH(L71,医院2县区2人!$A$2:$A$1048576,0))</f>
        <v>0</v>
      </c>
      <c r="P71" s="7">
        <v>43279</v>
      </c>
      <c r="Q71" s="6">
        <v>5</v>
      </c>
      <c r="R71" s="6">
        <v>22.5</v>
      </c>
      <c r="S71" s="6">
        <v>17111823</v>
      </c>
      <c r="T71" s="6">
        <f>INDEX(医院2县区2人!$D$2:$D$1048576,MATCH(L71,医院2县区2人!$A$2:$A$1048576,0))</f>
        <v>0</v>
      </c>
      <c r="W71" s="6" t="str">
        <f t="shared" si="5"/>
        <v>葡萄糖酸钙口服溶液(有糖)10% 10ml*12支</v>
      </c>
      <c r="X71" s="6" t="s">
        <v>2906</v>
      </c>
    </row>
    <row r="72" spans="1:24" x14ac:dyDescent="0.15">
      <c r="A72" s="7" t="str">
        <f t="shared" si="6"/>
        <v>201806</v>
      </c>
      <c r="C72" s="6" t="str">
        <f>INDEX(工厂基础数据!$A$2:$A$1024,MATCH(X72,工厂基础数据!$D$2:$D$1024,0))</f>
        <v>02005429</v>
      </c>
      <c r="E72" s="6" t="str">
        <f>INDEX(工厂基础数据!$B$2:$B$1024,MATCH(X72,工厂基础数据!$D$2:$D$1024,0))</f>
        <v>山东九州通医药有限公司</v>
      </c>
      <c r="F72" s="6">
        <f>INDEX(商业2转码!$B$2:$B$10000,MATCH(E72,商业2转码!$A$2:$A$10000,0))</f>
        <v>0</v>
      </c>
      <c r="G72" s="6">
        <f>INDEX(品种2编码!$A$2:$A$1048576,MATCH(W72,品种2编码!$D$2:$D$1048576,0))</f>
        <v>0</v>
      </c>
      <c r="H72" s="6" t="s">
        <v>1855</v>
      </c>
      <c r="I72" s="6" t="s">
        <v>2931</v>
      </c>
      <c r="L72" s="6" t="s">
        <v>2966</v>
      </c>
      <c r="M72" s="6">
        <f>INDEX(医院2县区2人!$B$2:$B$1048576,MATCH(L72,医院2县区2人!$A$2:$A$1048576,0))</f>
        <v>0</v>
      </c>
      <c r="N72" s="6">
        <f>INDEX(医院2县区2人!$C$2:$C$1048576,MATCH(L72,医院2县区2人!$A$2:$A$1048576,0))</f>
        <v>0</v>
      </c>
      <c r="P72" s="7">
        <v>43273</v>
      </c>
      <c r="Q72" s="6">
        <v>30</v>
      </c>
      <c r="R72" s="6">
        <v>5.75</v>
      </c>
      <c r="S72" s="6">
        <v>180301</v>
      </c>
      <c r="T72" s="6">
        <f>INDEX(医院2县区2人!$D$2:$D$1048576,MATCH(L72,医院2县区2人!$A$2:$A$1048576,0))</f>
        <v>0</v>
      </c>
      <c r="W72" s="6" t="str">
        <f t="shared" si="5"/>
        <v>颠茄磺苄啶片12s</v>
      </c>
      <c r="X72" s="6" t="s">
        <v>2906</v>
      </c>
    </row>
    <row r="73" spans="1:24" x14ac:dyDescent="0.15">
      <c r="A73" s="7" t="str">
        <f t="shared" si="6"/>
        <v>201806</v>
      </c>
      <c r="C73" s="6" t="str">
        <f>INDEX(工厂基础数据!$A$2:$A$1024,MATCH(X73,工厂基础数据!$D$2:$D$1024,0))</f>
        <v>02005429</v>
      </c>
      <c r="E73" s="6" t="str">
        <f>INDEX(工厂基础数据!$B$2:$B$1024,MATCH(X73,工厂基础数据!$D$2:$D$1024,0))</f>
        <v>山东九州通医药有限公司</v>
      </c>
      <c r="F73" s="6">
        <f>INDEX(商业2转码!$B$2:$B$10000,MATCH(E73,商业2转码!$A$2:$A$10000,0))</f>
        <v>0</v>
      </c>
      <c r="G73" s="6">
        <f>INDEX(品种2编码!$A$2:$A$1048576,MATCH(W73,品种2编码!$D$2:$D$1048576,0))</f>
        <v>0</v>
      </c>
      <c r="H73" s="6" t="s">
        <v>1855</v>
      </c>
      <c r="I73" s="6" t="s">
        <v>2931</v>
      </c>
      <c r="L73" s="6" t="s">
        <v>2967</v>
      </c>
      <c r="M73" s="6">
        <f>INDEX(医院2县区2人!$B$2:$B$1048576,MATCH(L73,医院2县区2人!$A$2:$A$1048576,0))</f>
        <v>0</v>
      </c>
      <c r="N73" s="6">
        <f>INDEX(医院2县区2人!$C$2:$C$1048576,MATCH(L73,医院2县区2人!$A$2:$A$1048576,0))</f>
        <v>0</v>
      </c>
      <c r="P73" s="7">
        <v>43256</v>
      </c>
      <c r="Q73" s="6">
        <v>10</v>
      </c>
      <c r="R73" s="6">
        <v>5.75</v>
      </c>
      <c r="S73" s="6">
        <v>180301</v>
      </c>
      <c r="T73" s="6">
        <f>INDEX(医院2县区2人!$D$2:$D$1048576,MATCH(L73,医院2县区2人!$A$2:$A$1048576,0))</f>
        <v>0</v>
      </c>
      <c r="W73" s="6" t="str">
        <f t="shared" si="5"/>
        <v>颠茄磺苄啶片12s</v>
      </c>
      <c r="X73" s="6" t="s">
        <v>2906</v>
      </c>
    </row>
    <row r="74" spans="1:24" x14ac:dyDescent="0.15">
      <c r="A74" s="7" t="str">
        <f t="shared" si="6"/>
        <v>201806</v>
      </c>
      <c r="C74" s="6" t="str">
        <f>INDEX(工厂基础数据!$A$2:$A$1024,MATCH(X74,工厂基础数据!$D$2:$D$1024,0))</f>
        <v>02005429</v>
      </c>
      <c r="E74" s="6" t="str">
        <f>INDEX(工厂基础数据!$B$2:$B$1024,MATCH(X74,工厂基础数据!$D$2:$D$1024,0))</f>
        <v>山东九州通医药有限公司</v>
      </c>
      <c r="F74" s="6">
        <f>INDEX(商业2转码!$B$2:$B$10000,MATCH(E74,商业2转码!$A$2:$A$10000,0))</f>
        <v>0</v>
      </c>
      <c r="G74" s="6">
        <f>INDEX(品种2编码!$A$2:$A$1048576,MATCH(W74,品种2编码!$D$2:$D$1048576,0))</f>
        <v>0</v>
      </c>
      <c r="H74" s="6" t="s">
        <v>2923</v>
      </c>
      <c r="I74" s="6" t="s">
        <v>2929</v>
      </c>
      <c r="L74" s="6" t="s">
        <v>2939</v>
      </c>
      <c r="M74" s="6">
        <f>INDEX(医院2县区2人!$B$2:$B$1048576,MATCH(L74,医院2县区2人!$A$2:$A$1048576,0))</f>
        <v>0</v>
      </c>
      <c r="N74" s="6">
        <f>INDEX(医院2县区2人!$C$2:$C$1048576,MATCH(L74,医院2县区2人!$A$2:$A$1048576,0))</f>
        <v>0</v>
      </c>
      <c r="P74" s="7">
        <v>43266</v>
      </c>
      <c r="Q74" s="6">
        <v>2</v>
      </c>
      <c r="R74" s="6">
        <v>25</v>
      </c>
      <c r="S74" s="6">
        <v>17111823</v>
      </c>
      <c r="T74" s="6">
        <f>INDEX(医院2县区2人!$D$2:$D$1048576,MATCH(L74,医院2县区2人!$A$2:$A$1048576,0))</f>
        <v>0</v>
      </c>
      <c r="W74" s="6" t="str">
        <f t="shared" si="5"/>
        <v>葡萄糖酸钙口服溶液(有糖)10% 10ml*12支</v>
      </c>
      <c r="X74" s="6" t="s">
        <v>2906</v>
      </c>
    </row>
    <row r="75" spans="1:24" x14ac:dyDescent="0.15">
      <c r="A75" s="7" t="str">
        <f t="shared" si="6"/>
        <v>201806</v>
      </c>
      <c r="C75" s="6" t="str">
        <f>INDEX(工厂基础数据!$A$2:$A$1024,MATCH(X75,工厂基础数据!$D$2:$D$1024,0))</f>
        <v>02005429</v>
      </c>
      <c r="E75" s="6" t="str">
        <f>INDEX(工厂基础数据!$B$2:$B$1024,MATCH(X75,工厂基础数据!$D$2:$D$1024,0))</f>
        <v>山东九州通医药有限公司</v>
      </c>
      <c r="F75" s="6">
        <f>INDEX(商业2转码!$B$2:$B$10000,MATCH(E75,商业2转码!$A$2:$A$10000,0))</f>
        <v>0</v>
      </c>
      <c r="G75" s="6" t="str">
        <f>INDEX(品种2编码!$A$2:$A$1048576,MATCH(W75,品种2编码!$D$2:$D$1048576,0))</f>
        <v>0020070001ZYZC0383</v>
      </c>
      <c r="H75" s="6" t="s">
        <v>1849</v>
      </c>
      <c r="I75" s="6" t="s">
        <v>1850</v>
      </c>
      <c r="L75" s="6" t="s">
        <v>2939</v>
      </c>
      <c r="M75" s="6">
        <f>INDEX(医院2县区2人!$B$2:$B$1048576,MATCH(L75,医院2县区2人!$A$2:$A$1048576,0))</f>
        <v>0</v>
      </c>
      <c r="N75" s="6">
        <f>INDEX(医院2县区2人!$C$2:$C$1048576,MATCH(L75,医院2县区2人!$A$2:$A$1048576,0))</f>
        <v>0</v>
      </c>
      <c r="P75" s="7">
        <v>43255</v>
      </c>
      <c r="Q75" s="6">
        <v>3</v>
      </c>
      <c r="R75" s="6">
        <v>14.5</v>
      </c>
      <c r="S75" s="6" t="s">
        <v>2938</v>
      </c>
      <c r="T75" s="6">
        <f>INDEX(医院2县区2人!$D$2:$D$1048576,MATCH(L75,医院2县区2人!$A$2:$A$1048576,0))</f>
        <v>0</v>
      </c>
      <c r="W75" s="6" t="str">
        <f t="shared" si="5"/>
        <v>哈药牌钙铁锌口服液10ml*10支</v>
      </c>
      <c r="X75" s="6" t="s">
        <v>2906</v>
      </c>
    </row>
    <row r="76" spans="1:24" x14ac:dyDescent="0.15">
      <c r="A76" s="7" t="str">
        <f t="shared" si="6"/>
        <v>201806</v>
      </c>
      <c r="C76" s="6" t="str">
        <f>INDEX(工厂基础数据!$A$2:$A$1024,MATCH(X76,工厂基础数据!$D$2:$D$1024,0))</f>
        <v>02005429</v>
      </c>
      <c r="E76" s="6" t="str">
        <f>INDEX(工厂基础数据!$B$2:$B$1024,MATCH(X76,工厂基础数据!$D$2:$D$1024,0))</f>
        <v>山东九州通医药有限公司</v>
      </c>
      <c r="F76" s="6">
        <f>INDEX(商业2转码!$B$2:$B$10000,MATCH(E76,商业2转码!$A$2:$A$10000,0))</f>
        <v>0</v>
      </c>
      <c r="G76" s="6">
        <f>INDEX(品种2编码!$A$2:$A$1048576,MATCH(W76,品种2编码!$D$2:$D$1048576,0))</f>
        <v>0</v>
      </c>
      <c r="H76" s="6" t="s">
        <v>2923</v>
      </c>
      <c r="I76" s="6" t="s">
        <v>2929</v>
      </c>
      <c r="L76" s="6" t="s">
        <v>2968</v>
      </c>
      <c r="M76" s="6">
        <f>INDEX(医院2县区2人!$B$2:$B$1048576,MATCH(L76,医院2县区2人!$A$2:$A$1048576,0))</f>
        <v>0</v>
      </c>
      <c r="N76" s="6">
        <f>INDEX(医院2县区2人!$C$2:$C$1048576,MATCH(L76,医院2县区2人!$A$2:$A$1048576,0))</f>
        <v>0</v>
      </c>
      <c r="P76" s="7">
        <v>43252</v>
      </c>
      <c r="Q76" s="6">
        <v>5</v>
      </c>
      <c r="R76" s="6">
        <v>22.5</v>
      </c>
      <c r="S76" s="6">
        <v>17111823</v>
      </c>
      <c r="T76" s="6">
        <f>INDEX(医院2县区2人!$D$2:$D$1048576,MATCH(L76,医院2县区2人!$A$2:$A$1048576,0))</f>
        <v>0</v>
      </c>
      <c r="W76" s="6" t="str">
        <f t="shared" si="5"/>
        <v>葡萄糖酸钙口服溶液(有糖)10% 10ml*12支</v>
      </c>
      <c r="X76" s="6" t="s">
        <v>2906</v>
      </c>
    </row>
    <row r="77" spans="1:24" x14ac:dyDescent="0.15">
      <c r="A77" s="7" t="str">
        <f t="shared" si="6"/>
        <v>201806</v>
      </c>
      <c r="C77" s="6" t="str">
        <f>INDEX(工厂基础数据!$A$2:$A$1024,MATCH(X77,工厂基础数据!$D$2:$D$1024,0))</f>
        <v>02005429</v>
      </c>
      <c r="E77" s="6" t="str">
        <f>INDEX(工厂基础数据!$B$2:$B$1024,MATCH(X77,工厂基础数据!$D$2:$D$1024,0))</f>
        <v>山东九州通医药有限公司</v>
      </c>
      <c r="F77" s="6">
        <f>INDEX(商业2转码!$B$2:$B$10000,MATCH(E77,商业2转码!$A$2:$A$10000,0))</f>
        <v>0</v>
      </c>
      <c r="G77" s="6">
        <f>INDEX(品种2编码!$A$2:$A$1048576,MATCH(W77,品种2编码!$D$2:$D$1048576,0))</f>
        <v>0</v>
      </c>
      <c r="H77" s="6" t="s">
        <v>1949</v>
      </c>
      <c r="I77" s="6" t="s">
        <v>2930</v>
      </c>
      <c r="L77" s="6" t="s">
        <v>2968</v>
      </c>
      <c r="M77" s="6">
        <f>INDEX(医院2县区2人!$B$2:$B$1048576,MATCH(L77,医院2县区2人!$A$2:$A$1048576,0))</f>
        <v>0</v>
      </c>
      <c r="N77" s="6">
        <f>INDEX(医院2县区2人!$C$2:$C$1048576,MATCH(L77,医院2县区2人!$A$2:$A$1048576,0))</f>
        <v>0</v>
      </c>
      <c r="P77" s="7">
        <v>43252</v>
      </c>
      <c r="Q77" s="6">
        <v>5</v>
      </c>
      <c r="R77" s="6">
        <v>23.5</v>
      </c>
      <c r="S77" s="6">
        <v>17120711</v>
      </c>
      <c r="T77" s="6">
        <f>INDEX(医院2县区2人!$D$2:$D$1048576,MATCH(L77,医院2县区2人!$A$2:$A$1048576,0))</f>
        <v>0</v>
      </c>
      <c r="W77" s="6" t="str">
        <f t="shared" si="5"/>
        <v>葡萄糖酸锌口服溶液10ml:35mg*12支</v>
      </c>
      <c r="X77" s="6" t="s">
        <v>2906</v>
      </c>
    </row>
    <row r="78" spans="1:24" x14ac:dyDescent="0.15">
      <c r="A78" s="7" t="str">
        <f t="shared" si="6"/>
        <v>201806</v>
      </c>
      <c r="C78" s="6" t="str">
        <f>INDEX(工厂基础数据!$A$2:$A$1024,MATCH(X78,工厂基础数据!$D$2:$D$1024,0))</f>
        <v>02005429</v>
      </c>
      <c r="E78" s="6" t="str">
        <f>INDEX(工厂基础数据!$B$2:$B$1024,MATCH(X78,工厂基础数据!$D$2:$D$1024,0))</f>
        <v>山东九州通医药有限公司</v>
      </c>
      <c r="F78" s="6">
        <f>INDEX(商业2转码!$B$2:$B$10000,MATCH(E78,商业2转码!$A$2:$A$10000,0))</f>
        <v>0</v>
      </c>
      <c r="G78" s="6">
        <f>INDEX(品种2编码!$A$2:$A$1048576,MATCH(W78,品种2编码!$D$2:$D$1048576,0))</f>
        <v>0</v>
      </c>
      <c r="H78" s="6" t="s">
        <v>2923</v>
      </c>
      <c r="I78" s="6" t="s">
        <v>2929</v>
      </c>
      <c r="L78" s="6" t="s">
        <v>2969</v>
      </c>
      <c r="M78" s="6">
        <f>INDEX(医院2县区2人!$B$2:$B$1048576,MATCH(L78,医院2县区2人!$A$2:$A$1048576,0))</f>
        <v>0</v>
      </c>
      <c r="N78" s="6">
        <f>INDEX(医院2县区2人!$C$2:$C$1048576,MATCH(L78,医院2县区2人!$A$2:$A$1048576,0))</f>
        <v>0</v>
      </c>
      <c r="P78" s="7">
        <v>43258</v>
      </c>
      <c r="Q78" s="6">
        <v>30</v>
      </c>
      <c r="R78" s="6">
        <v>23.1</v>
      </c>
      <c r="S78" s="6">
        <v>17111823</v>
      </c>
      <c r="T78" s="6">
        <f>INDEX(医院2县区2人!$D$2:$D$1048576,MATCH(L78,医院2县区2人!$A$2:$A$1048576,0))</f>
        <v>0</v>
      </c>
      <c r="W78" s="6" t="str">
        <f t="shared" si="5"/>
        <v>葡萄糖酸钙口服溶液(有糖)10% 10ml*12支</v>
      </c>
      <c r="X78" s="6" t="s">
        <v>2906</v>
      </c>
    </row>
    <row r="79" spans="1:24" x14ac:dyDescent="0.15">
      <c r="A79" s="7" t="str">
        <f t="shared" si="6"/>
        <v>201806</v>
      </c>
      <c r="C79" s="6" t="str">
        <f>INDEX(工厂基础数据!$A$2:$A$1024,MATCH(X79,工厂基础数据!$D$2:$D$1024,0))</f>
        <v>02005429</v>
      </c>
      <c r="E79" s="6" t="str">
        <f>INDEX(工厂基础数据!$B$2:$B$1024,MATCH(X79,工厂基础数据!$D$2:$D$1024,0))</f>
        <v>山东九州通医药有限公司</v>
      </c>
      <c r="F79" s="6">
        <f>INDEX(商业2转码!$B$2:$B$10000,MATCH(E79,商业2转码!$A$2:$A$10000,0))</f>
        <v>0</v>
      </c>
      <c r="G79" s="6">
        <f>INDEX(品种2编码!$A$2:$A$1048576,MATCH(W79,品种2编码!$D$2:$D$1048576,0))</f>
        <v>0</v>
      </c>
      <c r="H79" s="6" t="s">
        <v>1949</v>
      </c>
      <c r="I79" s="6" t="s">
        <v>2930</v>
      </c>
      <c r="L79" s="6" t="s">
        <v>2969</v>
      </c>
      <c r="M79" s="6">
        <f>INDEX(医院2县区2人!$B$2:$B$1048576,MATCH(L79,医院2县区2人!$A$2:$A$1048576,0))</f>
        <v>0</v>
      </c>
      <c r="N79" s="6">
        <f>INDEX(医院2县区2人!$C$2:$C$1048576,MATCH(L79,医院2县区2人!$A$2:$A$1048576,0))</f>
        <v>0</v>
      </c>
      <c r="P79" s="7">
        <v>43258</v>
      </c>
      <c r="Q79" s="6">
        <v>20</v>
      </c>
      <c r="R79" s="6">
        <v>24.15</v>
      </c>
      <c r="S79" s="6">
        <v>17120711</v>
      </c>
      <c r="T79" s="6">
        <f>INDEX(医院2县区2人!$D$2:$D$1048576,MATCH(L79,医院2县区2人!$A$2:$A$1048576,0))</f>
        <v>0</v>
      </c>
      <c r="W79" s="6" t="str">
        <f t="shared" si="5"/>
        <v>葡萄糖酸锌口服溶液10ml:35mg*12支</v>
      </c>
      <c r="X79" s="6" t="s">
        <v>2906</v>
      </c>
    </row>
    <row r="80" spans="1:24" x14ac:dyDescent="0.15">
      <c r="A80" s="7" t="str">
        <f t="shared" si="6"/>
        <v>201806</v>
      </c>
      <c r="C80" s="6" t="str">
        <f>INDEX(工厂基础数据!$A$2:$A$1024,MATCH(X80,工厂基础数据!$D$2:$D$1024,0))</f>
        <v>02005429</v>
      </c>
      <c r="E80" s="6" t="str">
        <f>INDEX(工厂基础数据!$B$2:$B$1024,MATCH(X80,工厂基础数据!$D$2:$D$1024,0))</f>
        <v>山东九州通医药有限公司</v>
      </c>
      <c r="F80" s="6">
        <f>INDEX(商业2转码!$B$2:$B$10000,MATCH(E80,商业2转码!$A$2:$A$10000,0))</f>
        <v>0</v>
      </c>
      <c r="G80" s="6">
        <f>INDEX(品种2编码!$A$2:$A$1048576,MATCH(W80,品种2编码!$D$2:$D$1048576,0))</f>
        <v>0</v>
      </c>
      <c r="H80" s="6" t="s">
        <v>2923</v>
      </c>
      <c r="I80" s="6" t="s">
        <v>2929</v>
      </c>
      <c r="L80" s="6" t="s">
        <v>2969</v>
      </c>
      <c r="M80" s="6">
        <f>INDEX(医院2县区2人!$B$2:$B$1048576,MATCH(L80,医院2县区2人!$A$2:$A$1048576,0))</f>
        <v>0</v>
      </c>
      <c r="N80" s="6">
        <f>INDEX(医院2县区2人!$C$2:$C$1048576,MATCH(L80,医院2县区2人!$A$2:$A$1048576,0))</f>
        <v>0</v>
      </c>
      <c r="P80" s="7">
        <v>43258</v>
      </c>
      <c r="Q80" s="6">
        <v>0</v>
      </c>
      <c r="R80" s="6">
        <v>23.1</v>
      </c>
      <c r="S80" s="6">
        <v>999999</v>
      </c>
      <c r="T80" s="6">
        <f>INDEX(医院2县区2人!$D$2:$D$1048576,MATCH(L80,医院2县区2人!$A$2:$A$1048576,0))</f>
        <v>0</v>
      </c>
      <c r="W80" s="6" t="str">
        <f t="shared" si="5"/>
        <v>葡萄糖酸钙口服溶液(有糖)10% 10ml*12支</v>
      </c>
      <c r="X80" s="6" t="s">
        <v>2906</v>
      </c>
    </row>
    <row r="81" spans="1:24" x14ac:dyDescent="0.15">
      <c r="A81" s="7" t="str">
        <f t="shared" si="6"/>
        <v>201806</v>
      </c>
      <c r="C81" s="6" t="str">
        <f>INDEX(工厂基础数据!$A$2:$A$1024,MATCH(X81,工厂基础数据!$D$2:$D$1024,0))</f>
        <v>02005429</v>
      </c>
      <c r="E81" s="6" t="str">
        <f>INDEX(工厂基础数据!$B$2:$B$1024,MATCH(X81,工厂基础数据!$D$2:$D$1024,0))</f>
        <v>山东九州通医药有限公司</v>
      </c>
      <c r="F81" s="6">
        <f>INDEX(商业2转码!$B$2:$B$10000,MATCH(E81,商业2转码!$A$2:$A$10000,0))</f>
        <v>0</v>
      </c>
      <c r="G81" s="6">
        <f>INDEX(品种2编码!$A$2:$A$1048576,MATCH(W81,品种2编码!$D$2:$D$1048576,0))</f>
        <v>0</v>
      </c>
      <c r="H81" s="6" t="s">
        <v>1949</v>
      </c>
      <c r="I81" s="6" t="s">
        <v>2930</v>
      </c>
      <c r="L81" s="6" t="s">
        <v>2969</v>
      </c>
      <c r="M81" s="6">
        <f>INDEX(医院2县区2人!$B$2:$B$1048576,MATCH(L81,医院2县区2人!$A$2:$A$1048576,0))</f>
        <v>0</v>
      </c>
      <c r="N81" s="6">
        <f>INDEX(医院2县区2人!$C$2:$C$1048576,MATCH(L81,医院2县区2人!$A$2:$A$1048576,0))</f>
        <v>0</v>
      </c>
      <c r="P81" s="7">
        <v>43258</v>
      </c>
      <c r="Q81" s="6">
        <v>0</v>
      </c>
      <c r="R81" s="6">
        <v>24.15</v>
      </c>
      <c r="S81" s="6">
        <v>999999</v>
      </c>
      <c r="T81" s="6">
        <f>INDEX(医院2县区2人!$D$2:$D$1048576,MATCH(L81,医院2县区2人!$A$2:$A$1048576,0))</f>
        <v>0</v>
      </c>
      <c r="W81" s="6" t="str">
        <f t="shared" si="5"/>
        <v>葡萄糖酸锌口服溶液10ml:35mg*12支</v>
      </c>
      <c r="X81" s="6" t="s">
        <v>2906</v>
      </c>
    </row>
    <row r="82" spans="1:24" x14ac:dyDescent="0.15">
      <c r="A82" s="7" t="str">
        <f t="shared" si="6"/>
        <v>201806</v>
      </c>
      <c r="C82" s="6" t="str">
        <f>INDEX(工厂基础数据!$A$2:$A$1024,MATCH(X82,工厂基础数据!$D$2:$D$1024,0))</f>
        <v>02005429</v>
      </c>
      <c r="E82" s="6" t="str">
        <f>INDEX(工厂基础数据!$B$2:$B$1024,MATCH(X82,工厂基础数据!$D$2:$D$1024,0))</f>
        <v>山东九州通医药有限公司</v>
      </c>
      <c r="F82" s="6">
        <f>INDEX(商业2转码!$B$2:$B$10000,MATCH(E82,商业2转码!$A$2:$A$10000,0))</f>
        <v>0</v>
      </c>
      <c r="G82" s="6">
        <f>INDEX(品种2编码!$A$2:$A$1048576,MATCH(W82,品种2编码!$D$2:$D$1048576,0))</f>
        <v>0</v>
      </c>
      <c r="H82" s="6" t="s">
        <v>494</v>
      </c>
      <c r="I82" s="6" t="s">
        <v>2932</v>
      </c>
      <c r="L82" s="6" t="s">
        <v>2970</v>
      </c>
      <c r="M82" s="6">
        <f>INDEX(医院2县区2人!$B$2:$B$1048576,MATCH(L82,医院2县区2人!$A$2:$A$1048576,0))</f>
        <v>0</v>
      </c>
      <c r="N82" s="6">
        <f>INDEX(医院2县区2人!$C$2:$C$1048576,MATCH(L82,医院2县区2人!$A$2:$A$1048576,0))</f>
        <v>0</v>
      </c>
      <c r="P82" s="7">
        <v>43273</v>
      </c>
      <c r="Q82" s="6">
        <v>5</v>
      </c>
      <c r="R82" s="6">
        <v>8.4</v>
      </c>
      <c r="S82" s="6">
        <v>180201</v>
      </c>
      <c r="T82" s="6">
        <f>INDEX(医院2县区2人!$D$2:$D$1048576,MATCH(L82,医院2县区2人!$A$2:$A$1048576,0))</f>
        <v>0</v>
      </c>
      <c r="W82" s="6" t="str">
        <f t="shared" si="5"/>
        <v>罗红霉素分散片(严迪)75mg*12s</v>
      </c>
      <c r="X82" s="6" t="s">
        <v>2906</v>
      </c>
    </row>
    <row r="83" spans="1:24" x14ac:dyDescent="0.15">
      <c r="A83" s="7" t="str">
        <f t="shared" si="6"/>
        <v>201806</v>
      </c>
      <c r="C83" s="6" t="str">
        <f>INDEX(工厂基础数据!$A$2:$A$1024,MATCH(X83,工厂基础数据!$D$2:$D$1024,0))</f>
        <v>02005429</v>
      </c>
      <c r="E83" s="6" t="str">
        <f>INDEX(工厂基础数据!$B$2:$B$1024,MATCH(X83,工厂基础数据!$D$2:$D$1024,0))</f>
        <v>山东九州通医药有限公司</v>
      </c>
      <c r="F83" s="6">
        <f>INDEX(商业2转码!$B$2:$B$10000,MATCH(E83,商业2转码!$A$2:$A$10000,0))</f>
        <v>0</v>
      </c>
      <c r="G83" s="6">
        <f>INDEX(品种2编码!$A$2:$A$1048576,MATCH(W83,品种2编码!$D$2:$D$1048576,0))</f>
        <v>0</v>
      </c>
      <c r="H83" s="6" t="s">
        <v>2923</v>
      </c>
      <c r="I83" s="6" t="s">
        <v>2929</v>
      </c>
      <c r="L83" s="6" t="s">
        <v>2971</v>
      </c>
      <c r="M83" s="6">
        <f>INDEX(医院2县区2人!$B$2:$B$1048576,MATCH(L83,医院2县区2人!$A$2:$A$1048576,0))</f>
        <v>0</v>
      </c>
      <c r="N83" s="6">
        <f>INDEX(医院2县区2人!$C$2:$C$1048576,MATCH(L83,医院2县区2人!$A$2:$A$1048576,0))</f>
        <v>0</v>
      </c>
      <c r="P83" s="7">
        <v>43276</v>
      </c>
      <c r="Q83" s="6">
        <v>20</v>
      </c>
      <c r="R83" s="6">
        <v>22.5</v>
      </c>
      <c r="S83" s="6">
        <v>17111823</v>
      </c>
      <c r="T83" s="6">
        <f>INDEX(医院2县区2人!$D$2:$D$1048576,MATCH(L83,医院2县区2人!$A$2:$A$1048576,0))</f>
        <v>0</v>
      </c>
      <c r="W83" s="6" t="str">
        <f t="shared" si="5"/>
        <v>葡萄糖酸钙口服溶液(有糖)10% 10ml*12支</v>
      </c>
      <c r="X83" s="6" t="s">
        <v>2906</v>
      </c>
    </row>
    <row r="84" spans="1:24" x14ac:dyDescent="0.15">
      <c r="A84" s="7" t="str">
        <f t="shared" si="6"/>
        <v>201806</v>
      </c>
      <c r="C84" s="6" t="str">
        <f>INDEX(工厂基础数据!$A$2:$A$1024,MATCH(X84,工厂基础数据!$D$2:$D$1024,0))</f>
        <v>02005429</v>
      </c>
      <c r="E84" s="6" t="str">
        <f>INDEX(工厂基础数据!$B$2:$B$1024,MATCH(X84,工厂基础数据!$D$2:$D$1024,0))</f>
        <v>山东九州通医药有限公司</v>
      </c>
      <c r="F84" s="6">
        <f>INDEX(商业2转码!$B$2:$B$10000,MATCH(E84,商业2转码!$A$2:$A$10000,0))</f>
        <v>0</v>
      </c>
      <c r="G84" s="6">
        <f>INDEX(品种2编码!$A$2:$A$1048576,MATCH(W84,品种2编码!$D$2:$D$1048576,0))</f>
        <v>0</v>
      </c>
      <c r="H84" s="6" t="s">
        <v>2923</v>
      </c>
      <c r="I84" s="6" t="s">
        <v>2929</v>
      </c>
      <c r="L84" s="6" t="s">
        <v>2971</v>
      </c>
      <c r="M84" s="6">
        <f>INDEX(医院2县区2人!$B$2:$B$1048576,MATCH(L84,医院2县区2人!$A$2:$A$1048576,0))</f>
        <v>0</v>
      </c>
      <c r="N84" s="6">
        <f>INDEX(医院2县区2人!$C$2:$C$1048576,MATCH(L84,医院2县区2人!$A$2:$A$1048576,0))</f>
        <v>0</v>
      </c>
      <c r="P84" s="7">
        <v>43270</v>
      </c>
      <c r="Q84" s="6">
        <v>20</v>
      </c>
      <c r="R84" s="6">
        <v>22.5</v>
      </c>
      <c r="S84" s="6">
        <v>17111823</v>
      </c>
      <c r="T84" s="6">
        <f>INDEX(医院2县区2人!$D$2:$D$1048576,MATCH(L84,医院2县区2人!$A$2:$A$1048576,0))</f>
        <v>0</v>
      </c>
      <c r="W84" s="6" t="str">
        <f t="shared" si="5"/>
        <v>葡萄糖酸钙口服溶液(有糖)10% 10ml*12支</v>
      </c>
      <c r="X84" s="6" t="s">
        <v>2906</v>
      </c>
    </row>
    <row r="85" spans="1:24" x14ac:dyDescent="0.15">
      <c r="A85" s="7" t="str">
        <f t="shared" si="6"/>
        <v>201806</v>
      </c>
      <c r="C85" s="6" t="str">
        <f>INDEX(工厂基础数据!$A$2:$A$1024,MATCH(X85,工厂基础数据!$D$2:$D$1024,0))</f>
        <v>02005429</v>
      </c>
      <c r="E85" s="6" t="str">
        <f>INDEX(工厂基础数据!$B$2:$B$1024,MATCH(X85,工厂基础数据!$D$2:$D$1024,0))</f>
        <v>山东九州通医药有限公司</v>
      </c>
      <c r="F85" s="6">
        <f>INDEX(商业2转码!$B$2:$B$10000,MATCH(E85,商业2转码!$A$2:$A$10000,0))</f>
        <v>0</v>
      </c>
      <c r="G85" s="6">
        <f>INDEX(品种2编码!$A$2:$A$1048576,MATCH(W85,品种2编码!$D$2:$D$1048576,0))</f>
        <v>0</v>
      </c>
      <c r="H85" s="6" t="s">
        <v>2923</v>
      </c>
      <c r="I85" s="6" t="s">
        <v>2929</v>
      </c>
      <c r="L85" s="6" t="s">
        <v>2971</v>
      </c>
      <c r="M85" s="6">
        <f>INDEX(医院2县区2人!$B$2:$B$1048576,MATCH(L85,医院2县区2人!$A$2:$A$1048576,0))</f>
        <v>0</v>
      </c>
      <c r="N85" s="6">
        <f>INDEX(医院2县区2人!$C$2:$C$1048576,MATCH(L85,医院2县区2人!$A$2:$A$1048576,0))</f>
        <v>0</v>
      </c>
      <c r="P85" s="7">
        <v>43255</v>
      </c>
      <c r="Q85" s="6">
        <v>20</v>
      </c>
      <c r="R85" s="6">
        <v>22.5</v>
      </c>
      <c r="S85" s="6">
        <v>17111823</v>
      </c>
      <c r="T85" s="6">
        <f>INDEX(医院2县区2人!$D$2:$D$1048576,MATCH(L85,医院2县区2人!$A$2:$A$1048576,0))</f>
        <v>0</v>
      </c>
      <c r="W85" s="6" t="str">
        <f t="shared" si="5"/>
        <v>葡萄糖酸钙口服溶液(有糖)10% 10ml*12支</v>
      </c>
      <c r="X85" s="6" t="s">
        <v>2906</v>
      </c>
    </row>
    <row r="86" spans="1:24" x14ac:dyDescent="0.15">
      <c r="A86" s="7" t="str">
        <f t="shared" si="6"/>
        <v>201806</v>
      </c>
      <c r="C86" s="6" t="str">
        <f>INDEX(工厂基础数据!$A$2:$A$1024,MATCH(X86,工厂基础数据!$D$2:$D$1024,0))</f>
        <v>02005429</v>
      </c>
      <c r="E86" s="6" t="str">
        <f>INDEX(工厂基础数据!$B$2:$B$1024,MATCH(X86,工厂基础数据!$D$2:$D$1024,0))</f>
        <v>山东九州通医药有限公司</v>
      </c>
      <c r="F86" s="6">
        <f>INDEX(商业2转码!$B$2:$B$10000,MATCH(E86,商业2转码!$A$2:$A$10000,0))</f>
        <v>0</v>
      </c>
      <c r="G86" s="6">
        <f>INDEX(品种2编码!$A$2:$A$1048576,MATCH(W86,品种2编码!$D$2:$D$1048576,0))</f>
        <v>0</v>
      </c>
      <c r="H86" s="6" t="s">
        <v>2923</v>
      </c>
      <c r="I86" s="6" t="s">
        <v>2929</v>
      </c>
      <c r="L86" s="6" t="s">
        <v>2939</v>
      </c>
      <c r="M86" s="6">
        <f>INDEX(医院2县区2人!$B$2:$B$1048576,MATCH(L86,医院2县区2人!$A$2:$A$1048576,0))</f>
        <v>0</v>
      </c>
      <c r="N86" s="6">
        <f>INDEX(医院2县区2人!$C$2:$C$1048576,MATCH(L86,医院2县区2人!$A$2:$A$1048576,0))</f>
        <v>0</v>
      </c>
      <c r="P86" s="7">
        <v>43272</v>
      </c>
      <c r="Q86" s="6">
        <v>30</v>
      </c>
      <c r="R86" s="6">
        <v>25</v>
      </c>
      <c r="S86" s="6">
        <v>17111823</v>
      </c>
      <c r="T86" s="6">
        <f>INDEX(医院2县区2人!$D$2:$D$1048576,MATCH(L86,医院2县区2人!$A$2:$A$1048576,0))</f>
        <v>0</v>
      </c>
      <c r="W86" s="6" t="str">
        <f t="shared" si="5"/>
        <v>葡萄糖酸钙口服溶液(有糖)10% 10ml*12支</v>
      </c>
      <c r="X86" s="6" t="s">
        <v>2906</v>
      </c>
    </row>
    <row r="87" spans="1:24" x14ac:dyDescent="0.15">
      <c r="A87" s="7" t="str">
        <f t="shared" si="6"/>
        <v>201806</v>
      </c>
      <c r="C87" s="6" t="str">
        <f>INDEX(工厂基础数据!$A$2:$A$1024,MATCH(X87,工厂基础数据!$D$2:$D$1024,0))</f>
        <v>02005429</v>
      </c>
      <c r="E87" s="6" t="str">
        <f>INDEX(工厂基础数据!$B$2:$B$1024,MATCH(X87,工厂基础数据!$D$2:$D$1024,0))</f>
        <v>山东九州通医药有限公司</v>
      </c>
      <c r="F87" s="6">
        <f>INDEX(商业2转码!$B$2:$B$10000,MATCH(E87,商业2转码!$A$2:$A$10000,0))</f>
        <v>0</v>
      </c>
      <c r="G87" s="6">
        <f>INDEX(品种2编码!$A$2:$A$1048576,MATCH(W87,品种2编码!$D$2:$D$1048576,0))</f>
        <v>0</v>
      </c>
      <c r="H87" s="6" t="s">
        <v>1885</v>
      </c>
      <c r="I87" s="6" t="s">
        <v>2933</v>
      </c>
      <c r="L87" s="6" t="s">
        <v>2939</v>
      </c>
      <c r="M87" s="6">
        <f>INDEX(医院2县区2人!$B$2:$B$1048576,MATCH(L87,医院2县区2人!$A$2:$A$1048576,0))</f>
        <v>0</v>
      </c>
      <c r="N87" s="6">
        <f>INDEX(医院2县区2人!$C$2:$C$1048576,MATCH(L87,医院2县区2人!$A$2:$A$1048576,0))</f>
        <v>0</v>
      </c>
      <c r="P87" s="7">
        <v>43266</v>
      </c>
      <c r="Q87" s="6">
        <v>-1</v>
      </c>
      <c r="R87" s="6">
        <v>25.2</v>
      </c>
      <c r="S87" s="6">
        <v>171220</v>
      </c>
      <c r="T87" s="6">
        <f>INDEX(医院2县区2人!$D$2:$D$1048576,MATCH(L87,医院2县区2人!$A$2:$A$1048576,0))</f>
        <v>0</v>
      </c>
      <c r="W87" s="6" t="str">
        <f t="shared" si="5"/>
        <v>新盖中盖高钙片2.5g*36s</v>
      </c>
      <c r="X87" s="6" t="s">
        <v>2906</v>
      </c>
    </row>
    <row r="88" spans="1:24" x14ac:dyDescent="0.15">
      <c r="A88" s="7" t="str">
        <f t="shared" si="6"/>
        <v>201806</v>
      </c>
      <c r="C88" s="6" t="str">
        <f>INDEX(工厂基础数据!$A$2:$A$1024,MATCH(X88,工厂基础数据!$D$2:$D$1024,0))</f>
        <v>02005429</v>
      </c>
      <c r="E88" s="6" t="str">
        <f>INDEX(工厂基础数据!$B$2:$B$1024,MATCH(X88,工厂基础数据!$D$2:$D$1024,0))</f>
        <v>山东九州通医药有限公司</v>
      </c>
      <c r="F88" s="6">
        <f>INDEX(商业2转码!$B$2:$B$10000,MATCH(E88,商业2转码!$A$2:$A$10000,0))</f>
        <v>0</v>
      </c>
      <c r="G88" s="6" t="str">
        <f>INDEX(品种2编码!$A$2:$A$1048576,MATCH(W88,品种2编码!$D$2:$D$1048576,0))</f>
        <v>0020070001ZYLC0001</v>
      </c>
      <c r="H88" s="6" t="s">
        <v>1905</v>
      </c>
      <c r="I88" s="6" t="s">
        <v>411</v>
      </c>
      <c r="L88" s="6" t="s">
        <v>2939</v>
      </c>
      <c r="M88" s="6">
        <f>INDEX(医院2县区2人!$B$2:$B$1048576,MATCH(L88,医院2县区2人!$A$2:$A$1048576,0))</f>
        <v>0</v>
      </c>
      <c r="N88" s="6">
        <f>INDEX(医院2县区2人!$C$2:$C$1048576,MATCH(L88,医院2县区2人!$A$2:$A$1048576,0))</f>
        <v>0</v>
      </c>
      <c r="P88" s="7">
        <v>43279</v>
      </c>
      <c r="Q88" s="6">
        <v>5</v>
      </c>
      <c r="R88" s="6">
        <v>17</v>
      </c>
      <c r="S88" s="6">
        <v>180105</v>
      </c>
      <c r="T88" s="6">
        <f>INDEX(医院2县区2人!$D$2:$D$1048576,MATCH(L88,医院2县区2人!$A$2:$A$1048576,0))</f>
        <v>0</v>
      </c>
      <c r="W88" s="6" t="str">
        <f t="shared" si="5"/>
        <v>哈药六钙锌口服液10ml*12支</v>
      </c>
      <c r="X88" s="6" t="s">
        <v>2906</v>
      </c>
    </row>
    <row r="89" spans="1:24" x14ac:dyDescent="0.15">
      <c r="A89" s="7" t="str">
        <f t="shared" si="6"/>
        <v>201806</v>
      </c>
      <c r="C89" s="6" t="str">
        <f>INDEX(工厂基础数据!$A$2:$A$1024,MATCH(X89,工厂基础数据!$D$2:$D$1024,0))</f>
        <v>02005429</v>
      </c>
      <c r="E89" s="6" t="str">
        <f>INDEX(工厂基础数据!$B$2:$B$1024,MATCH(X89,工厂基础数据!$D$2:$D$1024,0))</f>
        <v>山东九州通医药有限公司</v>
      </c>
      <c r="F89" s="6">
        <f>INDEX(商业2转码!$B$2:$B$10000,MATCH(E89,商业2转码!$A$2:$A$10000,0))</f>
        <v>0</v>
      </c>
      <c r="G89" s="6">
        <f>INDEX(品种2编码!$A$2:$A$1048576,MATCH(W89,品种2编码!$D$2:$D$1048576,0))</f>
        <v>0</v>
      </c>
      <c r="H89" s="6" t="s">
        <v>2923</v>
      </c>
      <c r="I89" s="6" t="s">
        <v>2929</v>
      </c>
      <c r="L89" s="6" t="s">
        <v>2939</v>
      </c>
      <c r="M89" s="6">
        <f>INDEX(医院2县区2人!$B$2:$B$1048576,MATCH(L89,医院2县区2人!$A$2:$A$1048576,0))</f>
        <v>0</v>
      </c>
      <c r="N89" s="6">
        <f>INDEX(医院2县区2人!$C$2:$C$1048576,MATCH(L89,医院2县区2人!$A$2:$A$1048576,0))</f>
        <v>0</v>
      </c>
      <c r="P89" s="7">
        <v>43262</v>
      </c>
      <c r="Q89" s="6">
        <v>10</v>
      </c>
      <c r="R89" s="6">
        <v>25</v>
      </c>
      <c r="S89" s="6">
        <v>17111823</v>
      </c>
      <c r="T89" s="6">
        <f>INDEX(医院2县区2人!$D$2:$D$1048576,MATCH(L89,医院2县区2人!$A$2:$A$1048576,0))</f>
        <v>0</v>
      </c>
      <c r="W89" s="6" t="str">
        <f t="shared" si="5"/>
        <v>葡萄糖酸钙口服溶液(有糖)10% 10ml*12支</v>
      </c>
      <c r="X89" s="6" t="s">
        <v>2906</v>
      </c>
    </row>
    <row r="90" spans="1:24" x14ac:dyDescent="0.15">
      <c r="A90" s="7" t="str">
        <f t="shared" si="6"/>
        <v>201806</v>
      </c>
      <c r="C90" s="6" t="str">
        <f>INDEX(工厂基础数据!$A$2:$A$1024,MATCH(X90,工厂基础数据!$D$2:$D$1024,0))</f>
        <v>02005429</v>
      </c>
      <c r="E90" s="6" t="str">
        <f>INDEX(工厂基础数据!$B$2:$B$1024,MATCH(X90,工厂基础数据!$D$2:$D$1024,0))</f>
        <v>山东九州通医药有限公司</v>
      </c>
      <c r="F90" s="6">
        <f>INDEX(商业2转码!$B$2:$B$10000,MATCH(E90,商业2转码!$A$2:$A$10000,0))</f>
        <v>0</v>
      </c>
      <c r="G90" s="6" t="str">
        <f>INDEX(品种2编码!$A$2:$A$1048576,MATCH(W90,品种2编码!$D$2:$D$1048576,0))</f>
        <v>0020070001ZYLC0001</v>
      </c>
      <c r="H90" s="6" t="s">
        <v>1905</v>
      </c>
      <c r="I90" s="6" t="s">
        <v>411</v>
      </c>
      <c r="L90" s="6" t="s">
        <v>2939</v>
      </c>
      <c r="M90" s="6">
        <f>INDEX(医院2县区2人!$B$2:$B$1048576,MATCH(L90,医院2县区2人!$A$2:$A$1048576,0))</f>
        <v>0</v>
      </c>
      <c r="N90" s="6">
        <f>INDEX(医院2县区2人!$C$2:$C$1048576,MATCH(L90,医院2县区2人!$A$2:$A$1048576,0))</f>
        <v>0</v>
      </c>
      <c r="P90" s="7">
        <v>43257</v>
      </c>
      <c r="Q90" s="6">
        <v>80</v>
      </c>
      <c r="R90" s="6">
        <v>17</v>
      </c>
      <c r="S90" s="6">
        <v>180105</v>
      </c>
      <c r="T90" s="6">
        <f>INDEX(医院2县区2人!$D$2:$D$1048576,MATCH(L90,医院2县区2人!$A$2:$A$1048576,0))</f>
        <v>0</v>
      </c>
      <c r="W90" s="6" t="str">
        <f t="shared" si="5"/>
        <v>哈药六钙锌口服液10ml*12支</v>
      </c>
      <c r="X90" s="6" t="s">
        <v>2906</v>
      </c>
    </row>
    <row r="91" spans="1:24" x14ac:dyDescent="0.15">
      <c r="A91" s="7" t="str">
        <f t="shared" si="6"/>
        <v>201806</v>
      </c>
      <c r="C91" s="6" t="str">
        <f>INDEX(工厂基础数据!$A$2:$A$1024,MATCH(X91,工厂基础数据!$D$2:$D$1024,0))</f>
        <v>02005429</v>
      </c>
      <c r="E91" s="6" t="str">
        <f>INDEX(工厂基础数据!$B$2:$B$1024,MATCH(X91,工厂基础数据!$D$2:$D$1024,0))</f>
        <v>山东九州通医药有限公司</v>
      </c>
      <c r="F91" s="6">
        <f>INDEX(商业2转码!$B$2:$B$10000,MATCH(E91,商业2转码!$A$2:$A$10000,0))</f>
        <v>0</v>
      </c>
      <c r="G91" s="6">
        <f>INDEX(品种2编码!$A$2:$A$1048576,MATCH(W91,品种2编码!$D$2:$D$1048576,0))</f>
        <v>0</v>
      </c>
      <c r="H91" s="6" t="s">
        <v>1949</v>
      </c>
      <c r="I91" s="6" t="s">
        <v>2930</v>
      </c>
      <c r="L91" s="6" t="s">
        <v>2939</v>
      </c>
      <c r="M91" s="6">
        <f>INDEX(医院2县区2人!$B$2:$B$1048576,MATCH(L91,医院2县区2人!$A$2:$A$1048576,0))</f>
        <v>0</v>
      </c>
      <c r="N91" s="6">
        <f>INDEX(医院2县区2人!$C$2:$C$1048576,MATCH(L91,医院2县区2人!$A$2:$A$1048576,0))</f>
        <v>0</v>
      </c>
      <c r="P91" s="7">
        <v>43257</v>
      </c>
      <c r="Q91" s="6">
        <v>320</v>
      </c>
      <c r="R91" s="6">
        <v>25</v>
      </c>
      <c r="S91" s="6">
        <v>17120711</v>
      </c>
      <c r="T91" s="6">
        <f>INDEX(医院2县区2人!$D$2:$D$1048576,MATCH(L91,医院2县区2人!$A$2:$A$1048576,0))</f>
        <v>0</v>
      </c>
      <c r="W91" s="6" t="str">
        <f t="shared" si="5"/>
        <v>葡萄糖酸锌口服溶液10ml:35mg*12支</v>
      </c>
      <c r="X91" s="6" t="s">
        <v>2906</v>
      </c>
    </row>
    <row r="92" spans="1:24" x14ac:dyDescent="0.15">
      <c r="A92" s="7" t="str">
        <f t="shared" si="6"/>
        <v>201806</v>
      </c>
      <c r="C92" s="6" t="str">
        <f>INDEX(工厂基础数据!$A$2:$A$1024,MATCH(X92,工厂基础数据!$D$2:$D$1024,0))</f>
        <v>02005429</v>
      </c>
      <c r="E92" s="6" t="str">
        <f>INDEX(工厂基础数据!$B$2:$B$1024,MATCH(X92,工厂基础数据!$D$2:$D$1024,0))</f>
        <v>山东九州通医药有限公司</v>
      </c>
      <c r="F92" s="6">
        <f>INDEX(商业2转码!$B$2:$B$10000,MATCH(E92,商业2转码!$A$2:$A$10000,0))</f>
        <v>0</v>
      </c>
      <c r="G92" s="6" t="str">
        <f>INDEX(品种2编码!$A$2:$A$1048576,MATCH(W92,品种2编码!$D$2:$D$1048576,0))</f>
        <v>0020050090SJZY0001</v>
      </c>
      <c r="H92" s="6" t="s">
        <v>630</v>
      </c>
      <c r="I92" s="6" t="s">
        <v>1850</v>
      </c>
      <c r="L92" s="6" t="s">
        <v>2972</v>
      </c>
      <c r="M92" s="6">
        <f>INDEX(医院2县区2人!$B$2:$B$1048576,MATCH(L92,医院2县区2人!$A$2:$A$1048576,0))</f>
        <v>0</v>
      </c>
      <c r="N92" s="6">
        <f>INDEX(医院2县区2人!$C$2:$C$1048576,MATCH(L92,医院2县区2人!$A$2:$A$1048576,0))</f>
        <v>0</v>
      </c>
      <c r="P92" s="7">
        <v>43257</v>
      </c>
      <c r="Q92" s="6">
        <v>30</v>
      </c>
      <c r="R92" s="6">
        <v>16.8</v>
      </c>
      <c r="S92" s="6">
        <v>17062811</v>
      </c>
      <c r="T92" s="6">
        <f>INDEX(医院2县区2人!$D$2:$D$1048576,MATCH(L92,医院2县区2人!$A$2:$A$1048576,0))</f>
        <v>0</v>
      </c>
      <c r="W92" s="6" t="str">
        <f t="shared" si="5"/>
        <v>双黄连口服液10ml*10支</v>
      </c>
      <c r="X92" s="6" t="s">
        <v>2906</v>
      </c>
    </row>
    <row r="93" spans="1:24" x14ac:dyDescent="0.15">
      <c r="A93" s="7" t="str">
        <f t="shared" si="6"/>
        <v>201806</v>
      </c>
      <c r="C93" s="6" t="str">
        <f>INDEX(工厂基础数据!$A$2:$A$1024,MATCH(X93,工厂基础数据!$D$2:$D$1024,0))</f>
        <v>02005429</v>
      </c>
      <c r="E93" s="6" t="str">
        <f>INDEX(工厂基础数据!$B$2:$B$1024,MATCH(X93,工厂基础数据!$D$2:$D$1024,0))</f>
        <v>山东九州通医药有限公司</v>
      </c>
      <c r="F93" s="6">
        <f>INDEX(商业2转码!$B$2:$B$10000,MATCH(E93,商业2转码!$A$2:$A$10000,0))</f>
        <v>0</v>
      </c>
      <c r="G93" s="6">
        <f>INDEX(品种2编码!$A$2:$A$1048576,MATCH(W93,品种2编码!$D$2:$D$1048576,0))</f>
        <v>0</v>
      </c>
      <c r="H93" s="6" t="s">
        <v>2923</v>
      </c>
      <c r="I93" s="6" t="s">
        <v>2929</v>
      </c>
      <c r="L93" s="6" t="s">
        <v>2939</v>
      </c>
      <c r="M93" s="6">
        <f>INDEX(医院2县区2人!$B$2:$B$1048576,MATCH(L93,医院2县区2人!$A$2:$A$1048576,0))</f>
        <v>0</v>
      </c>
      <c r="N93" s="6">
        <f>INDEX(医院2县区2人!$C$2:$C$1048576,MATCH(L93,医院2县区2人!$A$2:$A$1048576,0))</f>
        <v>0</v>
      </c>
      <c r="P93" s="7">
        <v>43276</v>
      </c>
      <c r="Q93" s="6">
        <v>50</v>
      </c>
      <c r="R93" s="6">
        <v>25</v>
      </c>
      <c r="S93" s="6">
        <v>17111823</v>
      </c>
      <c r="T93" s="6">
        <f>INDEX(医院2县区2人!$D$2:$D$1048576,MATCH(L93,医院2县区2人!$A$2:$A$1048576,0))</f>
        <v>0</v>
      </c>
      <c r="W93" s="6" t="str">
        <f t="shared" si="5"/>
        <v>葡萄糖酸钙口服溶液(有糖)10% 10ml*12支</v>
      </c>
      <c r="X93" s="6" t="s">
        <v>2906</v>
      </c>
    </row>
    <row r="94" spans="1:24" x14ac:dyDescent="0.15">
      <c r="A94" s="7" t="str">
        <f t="shared" si="6"/>
        <v>201806</v>
      </c>
      <c r="C94" s="6" t="str">
        <f>INDEX(工厂基础数据!$A$2:$A$1024,MATCH(X94,工厂基础数据!$D$2:$D$1024,0))</f>
        <v>02005429</v>
      </c>
      <c r="E94" s="6" t="str">
        <f>INDEX(工厂基础数据!$B$2:$B$1024,MATCH(X94,工厂基础数据!$D$2:$D$1024,0))</f>
        <v>山东九州通医药有限公司</v>
      </c>
      <c r="F94" s="6">
        <f>INDEX(商业2转码!$B$2:$B$10000,MATCH(E94,商业2转码!$A$2:$A$10000,0))</f>
        <v>0</v>
      </c>
      <c r="G94" s="6">
        <f>INDEX(品种2编码!$A$2:$A$1048576,MATCH(W94,品种2编码!$D$2:$D$1048576,0))</f>
        <v>0</v>
      </c>
      <c r="H94" s="6" t="s">
        <v>2923</v>
      </c>
      <c r="I94" s="6" t="s">
        <v>2929</v>
      </c>
      <c r="L94" s="6" t="s">
        <v>2939</v>
      </c>
      <c r="M94" s="6">
        <f>INDEX(医院2县区2人!$B$2:$B$1048576,MATCH(L94,医院2县区2人!$A$2:$A$1048576,0))</f>
        <v>0</v>
      </c>
      <c r="N94" s="6">
        <f>INDEX(医院2县区2人!$C$2:$C$1048576,MATCH(L94,医院2县区2人!$A$2:$A$1048576,0))</f>
        <v>0</v>
      </c>
      <c r="P94" s="7">
        <v>43270</v>
      </c>
      <c r="Q94" s="6">
        <v>30</v>
      </c>
      <c r="R94" s="6">
        <v>25</v>
      </c>
      <c r="S94" s="6">
        <v>17111823</v>
      </c>
      <c r="T94" s="6">
        <f>INDEX(医院2县区2人!$D$2:$D$1048576,MATCH(L94,医院2县区2人!$A$2:$A$1048576,0))</f>
        <v>0</v>
      </c>
      <c r="W94" s="6" t="str">
        <f t="shared" si="5"/>
        <v>葡萄糖酸钙口服溶液(有糖)10% 10ml*12支</v>
      </c>
      <c r="X94" s="6" t="s">
        <v>2906</v>
      </c>
    </row>
    <row r="95" spans="1:24" x14ac:dyDescent="0.15">
      <c r="A95" s="7" t="str">
        <f t="shared" si="6"/>
        <v>201806</v>
      </c>
      <c r="C95" s="6" t="str">
        <f>INDEX(工厂基础数据!$A$2:$A$1024,MATCH(X95,工厂基础数据!$D$2:$D$1024,0))</f>
        <v>02005429</v>
      </c>
      <c r="E95" s="6" t="str">
        <f>INDEX(工厂基础数据!$B$2:$B$1024,MATCH(X95,工厂基础数据!$D$2:$D$1024,0))</f>
        <v>山东九州通医药有限公司</v>
      </c>
      <c r="F95" s="6">
        <f>INDEX(商业2转码!$B$2:$B$10000,MATCH(E95,商业2转码!$A$2:$A$10000,0))</f>
        <v>0</v>
      </c>
      <c r="G95" s="6" t="str">
        <f>INDEX(品种2编码!$A$2:$A$1048576,MATCH(W95,品种2编码!$D$2:$D$1048576,0))</f>
        <v>0020050090SJZY0001</v>
      </c>
      <c r="H95" s="6" t="s">
        <v>630</v>
      </c>
      <c r="I95" s="6" t="s">
        <v>1850</v>
      </c>
      <c r="L95" s="6" t="s">
        <v>96</v>
      </c>
      <c r="M95" s="6">
        <f>INDEX(医院2县区2人!$B$2:$B$1048576,MATCH(L95,医院2县区2人!$A$2:$A$1048576,0))</f>
        <v>0</v>
      </c>
      <c r="N95" s="6">
        <f>INDEX(医院2县区2人!$C$2:$C$1048576,MATCH(L95,医院2县区2人!$A$2:$A$1048576,0))</f>
        <v>0</v>
      </c>
      <c r="P95" s="7">
        <v>43278</v>
      </c>
      <c r="Q95" s="6">
        <v>50</v>
      </c>
      <c r="R95" s="6">
        <v>16.8</v>
      </c>
      <c r="S95" s="6">
        <v>17062811</v>
      </c>
      <c r="T95" s="6">
        <f>INDEX(医院2县区2人!$D$2:$D$1048576,MATCH(L95,医院2县区2人!$A$2:$A$1048576,0))</f>
        <v>0</v>
      </c>
      <c r="W95" s="6" t="str">
        <f t="shared" si="5"/>
        <v>双黄连口服液10ml*10支</v>
      </c>
      <c r="X95" s="6" t="s">
        <v>2906</v>
      </c>
    </row>
    <row r="96" spans="1:24" x14ac:dyDescent="0.15">
      <c r="A96" s="7" t="str">
        <f t="shared" si="6"/>
        <v>201806</v>
      </c>
      <c r="C96" s="6" t="str">
        <f>INDEX(工厂基础数据!$A$2:$A$1024,MATCH(X96,工厂基础数据!$D$2:$D$1024,0))</f>
        <v>02005429</v>
      </c>
      <c r="E96" s="6" t="str">
        <f>INDEX(工厂基础数据!$B$2:$B$1024,MATCH(X96,工厂基础数据!$D$2:$D$1024,0))</f>
        <v>山东九州通医药有限公司</v>
      </c>
      <c r="F96" s="6">
        <f>INDEX(商业2转码!$B$2:$B$10000,MATCH(E96,商业2转码!$A$2:$A$10000,0))</f>
        <v>0</v>
      </c>
      <c r="G96" s="6">
        <f>INDEX(品种2编码!$A$2:$A$1048576,MATCH(W96,品种2编码!$D$2:$D$1048576,0))</f>
        <v>0</v>
      </c>
      <c r="H96" s="6" t="s">
        <v>494</v>
      </c>
      <c r="I96" s="6" t="s">
        <v>2932</v>
      </c>
      <c r="L96" s="6" t="s">
        <v>96</v>
      </c>
      <c r="M96" s="6">
        <f>INDEX(医院2县区2人!$B$2:$B$1048576,MATCH(L96,医院2县区2人!$A$2:$A$1048576,0))</f>
        <v>0</v>
      </c>
      <c r="N96" s="6">
        <f>INDEX(医院2县区2人!$C$2:$C$1048576,MATCH(L96,医院2县区2人!$A$2:$A$1048576,0))</f>
        <v>0</v>
      </c>
      <c r="P96" s="7">
        <v>43277</v>
      </c>
      <c r="Q96" s="6">
        <v>50</v>
      </c>
      <c r="R96" s="6">
        <v>8.4</v>
      </c>
      <c r="S96" s="6">
        <v>180201</v>
      </c>
      <c r="T96" s="6">
        <f>INDEX(医院2县区2人!$D$2:$D$1048576,MATCH(L96,医院2县区2人!$A$2:$A$1048576,0))</f>
        <v>0</v>
      </c>
      <c r="W96" s="6" t="str">
        <f t="shared" si="5"/>
        <v>罗红霉素分散片(严迪)75mg*12s</v>
      </c>
      <c r="X96" s="6" t="s">
        <v>2906</v>
      </c>
    </row>
    <row r="97" spans="1:24" x14ac:dyDescent="0.15">
      <c r="A97" s="7" t="str">
        <f t="shared" si="6"/>
        <v>201806</v>
      </c>
      <c r="C97" s="6" t="str">
        <f>INDEX(工厂基础数据!$A$2:$A$1024,MATCH(X97,工厂基础数据!$D$2:$D$1024,0))</f>
        <v>02005429</v>
      </c>
      <c r="E97" s="6" t="str">
        <f>INDEX(工厂基础数据!$B$2:$B$1024,MATCH(X97,工厂基础数据!$D$2:$D$1024,0))</f>
        <v>山东九州通医药有限公司</v>
      </c>
      <c r="F97" s="6">
        <f>INDEX(商业2转码!$B$2:$B$10000,MATCH(E97,商业2转码!$A$2:$A$10000,0))</f>
        <v>0</v>
      </c>
      <c r="G97" s="6">
        <f>INDEX(品种2编码!$A$2:$A$1048576,MATCH(W97,品种2编码!$D$2:$D$1048576,0))</f>
        <v>0</v>
      </c>
      <c r="H97" s="6" t="s">
        <v>2923</v>
      </c>
      <c r="I97" s="6" t="s">
        <v>2929</v>
      </c>
      <c r="L97" s="6" t="s">
        <v>2939</v>
      </c>
      <c r="M97" s="6">
        <f>INDEX(医院2县区2人!$B$2:$B$1048576,MATCH(L97,医院2县区2人!$A$2:$A$1048576,0))</f>
        <v>0</v>
      </c>
      <c r="N97" s="6">
        <f>INDEX(医院2县区2人!$C$2:$C$1048576,MATCH(L97,医院2县区2人!$A$2:$A$1048576,0))</f>
        <v>0</v>
      </c>
      <c r="P97" s="7">
        <v>43271</v>
      </c>
      <c r="Q97" s="6">
        <v>160</v>
      </c>
      <c r="R97" s="6">
        <v>25</v>
      </c>
      <c r="S97" s="6">
        <v>17111823</v>
      </c>
      <c r="T97" s="6">
        <f>INDEX(医院2县区2人!$D$2:$D$1048576,MATCH(L97,医院2县区2人!$A$2:$A$1048576,0))</f>
        <v>0</v>
      </c>
      <c r="W97" s="6" t="str">
        <f t="shared" si="5"/>
        <v>葡萄糖酸钙口服溶液(有糖)10% 10ml*12支</v>
      </c>
      <c r="X97" s="6" t="s">
        <v>2906</v>
      </c>
    </row>
    <row r="98" spans="1:24" x14ac:dyDescent="0.15">
      <c r="A98" s="7" t="str">
        <f t="shared" si="6"/>
        <v>201806</v>
      </c>
      <c r="C98" s="6" t="str">
        <f>INDEX(工厂基础数据!$A$2:$A$1024,MATCH(X98,工厂基础数据!$D$2:$D$1024,0))</f>
        <v>02005429</v>
      </c>
      <c r="E98" s="6" t="str">
        <f>INDEX(工厂基础数据!$B$2:$B$1024,MATCH(X98,工厂基础数据!$D$2:$D$1024,0))</f>
        <v>山东九州通医药有限公司</v>
      </c>
      <c r="F98" s="6">
        <f>INDEX(商业2转码!$B$2:$B$10000,MATCH(E98,商业2转码!$A$2:$A$10000,0))</f>
        <v>0</v>
      </c>
      <c r="G98" s="6">
        <f>INDEX(品种2编码!$A$2:$A$1048576,MATCH(W98,品种2编码!$D$2:$D$1048576,0))</f>
        <v>0</v>
      </c>
      <c r="H98" s="6" t="s">
        <v>1855</v>
      </c>
      <c r="I98" s="6" t="s">
        <v>2931</v>
      </c>
      <c r="L98" s="6" t="s">
        <v>2939</v>
      </c>
      <c r="M98" s="6">
        <f>INDEX(医院2县区2人!$B$2:$B$1048576,MATCH(L98,医院2县区2人!$A$2:$A$1048576,0))</f>
        <v>0</v>
      </c>
      <c r="N98" s="6">
        <f>INDEX(医院2县区2人!$C$2:$C$1048576,MATCH(L98,医院2县区2人!$A$2:$A$1048576,0))</f>
        <v>0</v>
      </c>
      <c r="P98" s="7">
        <v>43277</v>
      </c>
      <c r="Q98" s="6">
        <v>5</v>
      </c>
      <c r="R98" s="6">
        <v>5.5</v>
      </c>
      <c r="S98" s="6">
        <v>180301</v>
      </c>
      <c r="T98" s="6">
        <f>INDEX(医院2县区2人!$D$2:$D$1048576,MATCH(L98,医院2县区2人!$A$2:$A$1048576,0))</f>
        <v>0</v>
      </c>
      <c r="W98" s="6" t="str">
        <f t="shared" si="5"/>
        <v>颠茄磺苄啶片12s</v>
      </c>
      <c r="X98" s="6" t="s">
        <v>2906</v>
      </c>
    </row>
    <row r="99" spans="1:24" x14ac:dyDescent="0.15">
      <c r="A99" s="7" t="str">
        <f t="shared" si="6"/>
        <v>201806</v>
      </c>
      <c r="C99" s="6" t="str">
        <f>INDEX(工厂基础数据!$A$2:$A$1024,MATCH(X99,工厂基础数据!$D$2:$D$1024,0))</f>
        <v>02005429</v>
      </c>
      <c r="E99" s="6" t="str">
        <f>INDEX(工厂基础数据!$B$2:$B$1024,MATCH(X99,工厂基础数据!$D$2:$D$1024,0))</f>
        <v>山东九州通医药有限公司</v>
      </c>
      <c r="F99" s="6">
        <f>INDEX(商业2转码!$B$2:$B$10000,MATCH(E99,商业2转码!$A$2:$A$10000,0))</f>
        <v>0</v>
      </c>
      <c r="G99" s="6">
        <f>INDEX(品种2编码!$A$2:$A$1048576,MATCH(W99,品种2编码!$D$2:$D$1048576,0))</f>
        <v>0</v>
      </c>
      <c r="H99" s="6" t="s">
        <v>1885</v>
      </c>
      <c r="I99" s="6" t="s">
        <v>2933</v>
      </c>
      <c r="L99" s="6" t="s">
        <v>2939</v>
      </c>
      <c r="M99" s="6">
        <f>INDEX(医院2县区2人!$B$2:$B$1048576,MATCH(L99,医院2县区2人!$A$2:$A$1048576,0))</f>
        <v>0</v>
      </c>
      <c r="N99" s="6">
        <f>INDEX(医院2县区2人!$C$2:$C$1048576,MATCH(L99,医院2县区2人!$A$2:$A$1048576,0))</f>
        <v>0</v>
      </c>
      <c r="P99" s="7">
        <v>43252</v>
      </c>
      <c r="Q99" s="6">
        <v>10</v>
      </c>
      <c r="R99" s="6">
        <v>23.5</v>
      </c>
      <c r="S99" s="6">
        <v>180103</v>
      </c>
      <c r="T99" s="6">
        <f>INDEX(医院2县区2人!$D$2:$D$1048576,MATCH(L99,医院2县区2人!$A$2:$A$1048576,0))</f>
        <v>0</v>
      </c>
      <c r="W99" s="6" t="str">
        <f t="shared" si="5"/>
        <v>新盖中盖高钙片2.5g*36s</v>
      </c>
      <c r="X99" s="6" t="s">
        <v>2906</v>
      </c>
    </row>
    <row r="100" spans="1:24" x14ac:dyDescent="0.15">
      <c r="A100" s="7" t="str">
        <f t="shared" si="6"/>
        <v>201806</v>
      </c>
      <c r="C100" s="6" t="str">
        <f>INDEX(工厂基础数据!$A$2:$A$1024,MATCH(X100,工厂基础数据!$D$2:$D$1024,0))</f>
        <v>02005429</v>
      </c>
      <c r="E100" s="6" t="str">
        <f>INDEX(工厂基础数据!$B$2:$B$1024,MATCH(X100,工厂基础数据!$D$2:$D$1024,0))</f>
        <v>山东九州通医药有限公司</v>
      </c>
      <c r="F100" s="6">
        <f>INDEX(商业2转码!$B$2:$B$10000,MATCH(E100,商业2转码!$A$2:$A$10000,0))</f>
        <v>0</v>
      </c>
      <c r="G100" s="6">
        <f>INDEX(品种2编码!$A$2:$A$1048576,MATCH(W100,品种2编码!$D$2:$D$1048576,0))</f>
        <v>0</v>
      </c>
      <c r="H100" s="6" t="s">
        <v>1855</v>
      </c>
      <c r="I100" s="6" t="s">
        <v>2931</v>
      </c>
      <c r="L100" s="6" t="s">
        <v>2939</v>
      </c>
      <c r="M100" s="6">
        <f>INDEX(医院2县区2人!$B$2:$B$1048576,MATCH(L100,医院2县区2人!$A$2:$A$1048576,0))</f>
        <v>0</v>
      </c>
      <c r="N100" s="6">
        <f>INDEX(医院2县区2人!$C$2:$C$1048576,MATCH(L100,医院2县区2人!$A$2:$A$1048576,0))</f>
        <v>0</v>
      </c>
      <c r="P100" s="7">
        <v>43278</v>
      </c>
      <c r="Q100" s="6">
        <v>-400</v>
      </c>
      <c r="R100" s="6">
        <v>5.5</v>
      </c>
      <c r="S100" s="6">
        <v>180301</v>
      </c>
      <c r="T100" s="6">
        <f>INDEX(医院2县区2人!$D$2:$D$1048576,MATCH(L100,医院2县区2人!$A$2:$A$1048576,0))</f>
        <v>0</v>
      </c>
      <c r="W100" s="6" t="str">
        <f t="shared" si="5"/>
        <v>颠茄磺苄啶片12s</v>
      </c>
      <c r="X100" s="6" t="s">
        <v>2906</v>
      </c>
    </row>
    <row r="101" spans="1:24" x14ac:dyDescent="0.15">
      <c r="A101" s="7" t="str">
        <f t="shared" si="6"/>
        <v>201806</v>
      </c>
      <c r="C101" s="6" t="str">
        <f>INDEX(工厂基础数据!$A$2:$A$1024,MATCH(X101,工厂基础数据!$D$2:$D$1024,0))</f>
        <v>02005429</v>
      </c>
      <c r="E101" s="6" t="str">
        <f>INDEX(工厂基础数据!$B$2:$B$1024,MATCH(X101,工厂基础数据!$D$2:$D$1024,0))</f>
        <v>山东九州通医药有限公司</v>
      </c>
      <c r="F101" s="6">
        <f>INDEX(商业2转码!$B$2:$B$10000,MATCH(E101,商业2转码!$A$2:$A$10000,0))</f>
        <v>0</v>
      </c>
      <c r="G101" s="6">
        <f>INDEX(品种2编码!$A$2:$A$1048576,MATCH(W101,品种2编码!$D$2:$D$1048576,0))</f>
        <v>0</v>
      </c>
      <c r="H101" s="6" t="s">
        <v>702</v>
      </c>
      <c r="I101" s="6" t="s">
        <v>1853</v>
      </c>
      <c r="L101" s="6" t="s">
        <v>2939</v>
      </c>
      <c r="M101" s="6">
        <f>INDEX(医院2县区2人!$B$2:$B$1048576,MATCH(L101,医院2县区2人!$A$2:$A$1048576,0))</f>
        <v>0</v>
      </c>
      <c r="N101" s="6">
        <f>INDEX(医院2县区2人!$C$2:$C$1048576,MATCH(L101,医院2县区2人!$A$2:$A$1048576,0))</f>
        <v>0</v>
      </c>
      <c r="P101" s="7">
        <v>43278</v>
      </c>
      <c r="Q101" s="6">
        <v>-200</v>
      </c>
      <c r="R101" s="6">
        <v>9</v>
      </c>
      <c r="S101" s="6">
        <v>171117</v>
      </c>
      <c r="T101" s="6">
        <f>INDEX(医院2县区2人!$D$2:$D$1048576,MATCH(L101,医院2县区2人!$A$2:$A$1048576,0))</f>
        <v>0</v>
      </c>
      <c r="W101" s="6" t="str">
        <f t="shared" si="5"/>
        <v>小儿氨酚黄那敏颗粒(护彤)2g*12袋</v>
      </c>
      <c r="X101" s="6" t="s">
        <v>2906</v>
      </c>
    </row>
    <row r="102" spans="1:24" x14ac:dyDescent="0.15">
      <c r="A102" s="7" t="str">
        <f t="shared" si="6"/>
        <v>201806</v>
      </c>
      <c r="C102" s="6" t="str">
        <f>INDEX(工厂基础数据!$A$2:$A$1024,MATCH(X102,工厂基础数据!$D$2:$D$1024,0))</f>
        <v>02005429</v>
      </c>
      <c r="E102" s="6" t="str">
        <f>INDEX(工厂基础数据!$B$2:$B$1024,MATCH(X102,工厂基础数据!$D$2:$D$1024,0))</f>
        <v>山东九州通医药有限公司</v>
      </c>
      <c r="F102" s="6">
        <f>INDEX(商业2转码!$B$2:$B$10000,MATCH(E102,商业2转码!$A$2:$A$10000,0))</f>
        <v>0</v>
      </c>
      <c r="G102" s="6" t="str">
        <f>INDEX(品种2编码!$A$2:$A$1048576,MATCH(W102,品种2编码!$D$2:$D$1048576,0))</f>
        <v>0020050090SJZY0001</v>
      </c>
      <c r="H102" s="6" t="s">
        <v>630</v>
      </c>
      <c r="I102" s="6" t="s">
        <v>1850</v>
      </c>
      <c r="L102" s="6" t="s">
        <v>2939</v>
      </c>
      <c r="M102" s="6">
        <f>INDEX(医院2县区2人!$B$2:$B$1048576,MATCH(L102,医院2县区2人!$A$2:$A$1048576,0))</f>
        <v>0</v>
      </c>
      <c r="N102" s="6">
        <f>INDEX(医院2县区2人!$C$2:$C$1048576,MATCH(L102,医院2县区2人!$A$2:$A$1048576,0))</f>
        <v>0</v>
      </c>
      <c r="P102" s="7">
        <v>43266</v>
      </c>
      <c r="Q102" s="6">
        <v>-10</v>
      </c>
      <c r="R102" s="6">
        <v>16.07527</v>
      </c>
      <c r="S102" s="6">
        <v>17062811</v>
      </c>
      <c r="T102" s="6">
        <f>INDEX(医院2县区2人!$D$2:$D$1048576,MATCH(L102,医院2县区2人!$A$2:$A$1048576,0))</f>
        <v>0</v>
      </c>
      <c r="W102" s="6" t="str">
        <f t="shared" si="5"/>
        <v>双黄连口服液10ml*10支</v>
      </c>
      <c r="X102" s="6" t="s">
        <v>2906</v>
      </c>
    </row>
    <row r="103" spans="1:24" x14ac:dyDescent="0.15">
      <c r="A103" s="7" t="str">
        <f t="shared" si="6"/>
        <v>201806</v>
      </c>
      <c r="C103" s="6" t="str">
        <f>INDEX(工厂基础数据!$A$2:$A$1024,MATCH(X103,工厂基础数据!$D$2:$D$1024,0))</f>
        <v>02005429</v>
      </c>
      <c r="E103" s="6" t="str">
        <f>INDEX(工厂基础数据!$B$2:$B$1024,MATCH(X103,工厂基础数据!$D$2:$D$1024,0))</f>
        <v>山东九州通医药有限公司</v>
      </c>
      <c r="F103" s="6">
        <f>INDEX(商业2转码!$B$2:$B$10000,MATCH(E103,商业2转码!$A$2:$A$10000,0))</f>
        <v>0</v>
      </c>
      <c r="G103" s="6">
        <f>INDEX(品种2编码!$A$2:$A$1048576,MATCH(W103,品种2编码!$D$2:$D$1048576,0))</f>
        <v>0</v>
      </c>
      <c r="H103" s="6" t="s">
        <v>2923</v>
      </c>
      <c r="I103" s="6" t="s">
        <v>2929</v>
      </c>
      <c r="L103" s="6" t="s">
        <v>2939</v>
      </c>
      <c r="M103" s="6">
        <f>INDEX(医院2县区2人!$B$2:$B$1048576,MATCH(L103,医院2县区2人!$A$2:$A$1048576,0))</f>
        <v>0</v>
      </c>
      <c r="N103" s="6">
        <f>INDEX(医院2县区2人!$C$2:$C$1048576,MATCH(L103,医院2县区2人!$A$2:$A$1048576,0))</f>
        <v>0</v>
      </c>
      <c r="P103" s="7">
        <v>43270</v>
      </c>
      <c r="Q103" s="6">
        <v>5</v>
      </c>
      <c r="R103" s="6">
        <v>25</v>
      </c>
      <c r="S103" s="6">
        <v>17111823</v>
      </c>
      <c r="T103" s="6">
        <f>INDEX(医院2县区2人!$D$2:$D$1048576,MATCH(L103,医院2县区2人!$A$2:$A$1048576,0))</f>
        <v>0</v>
      </c>
      <c r="W103" s="6" t="str">
        <f t="shared" si="5"/>
        <v>葡萄糖酸钙口服溶液(有糖)10% 10ml*12支</v>
      </c>
      <c r="X103" s="6" t="s">
        <v>2906</v>
      </c>
    </row>
    <row r="104" spans="1:24" x14ac:dyDescent="0.15">
      <c r="A104" s="7" t="str">
        <f t="shared" si="6"/>
        <v>201806</v>
      </c>
      <c r="C104" s="6" t="str">
        <f>INDEX(工厂基础数据!$A$2:$A$1024,MATCH(X104,工厂基础数据!$D$2:$D$1024,0))</f>
        <v>02005429</v>
      </c>
      <c r="E104" s="6" t="str">
        <f>INDEX(工厂基础数据!$B$2:$B$1024,MATCH(X104,工厂基础数据!$D$2:$D$1024,0))</f>
        <v>山东九州通医药有限公司</v>
      </c>
      <c r="F104" s="6">
        <f>INDEX(商业2转码!$B$2:$B$10000,MATCH(E104,商业2转码!$A$2:$A$10000,0))</f>
        <v>0</v>
      </c>
      <c r="G104" s="6">
        <f>INDEX(品种2编码!$A$2:$A$1048576,MATCH(W104,品种2编码!$D$2:$D$1048576,0))</f>
        <v>0</v>
      </c>
      <c r="H104" s="6" t="s">
        <v>1949</v>
      </c>
      <c r="I104" s="6" t="s">
        <v>2930</v>
      </c>
      <c r="L104" s="6" t="s">
        <v>2973</v>
      </c>
      <c r="M104" s="6">
        <f>INDEX(医院2县区2人!$B$2:$B$1048576,MATCH(L104,医院2县区2人!$A$2:$A$1048576,0))</f>
        <v>0</v>
      </c>
      <c r="N104" s="6">
        <f>INDEX(医院2县区2人!$C$2:$C$1048576,MATCH(L104,医院2县区2人!$A$2:$A$1048576,0))</f>
        <v>0</v>
      </c>
      <c r="P104" s="7">
        <v>43255</v>
      </c>
      <c r="Q104" s="6">
        <v>6</v>
      </c>
      <c r="R104" s="6">
        <v>24.2</v>
      </c>
      <c r="S104" s="6">
        <v>17120711</v>
      </c>
      <c r="T104" s="6">
        <f>INDEX(医院2县区2人!$D$2:$D$1048576,MATCH(L104,医院2县区2人!$A$2:$A$1048576,0))</f>
        <v>0</v>
      </c>
      <c r="W104" s="6" t="str">
        <f t="shared" si="5"/>
        <v>葡萄糖酸锌口服溶液10ml:35mg*12支</v>
      </c>
      <c r="X104" s="6" t="s">
        <v>2906</v>
      </c>
    </row>
    <row r="105" spans="1:24" x14ac:dyDescent="0.15">
      <c r="A105" s="7" t="str">
        <f t="shared" si="6"/>
        <v>201806</v>
      </c>
      <c r="C105" s="6" t="str">
        <f>INDEX(工厂基础数据!$A$2:$A$1024,MATCH(X105,工厂基础数据!$D$2:$D$1024,0))</f>
        <v>02005429</v>
      </c>
      <c r="E105" s="6" t="str">
        <f>INDEX(工厂基础数据!$B$2:$B$1024,MATCH(X105,工厂基础数据!$D$2:$D$1024,0))</f>
        <v>山东九州通医药有限公司</v>
      </c>
      <c r="F105" s="6">
        <f>INDEX(商业2转码!$B$2:$B$10000,MATCH(E105,商业2转码!$A$2:$A$10000,0))</f>
        <v>0</v>
      </c>
      <c r="G105" s="6">
        <f>INDEX(品种2编码!$A$2:$A$1048576,MATCH(W105,品种2编码!$D$2:$D$1048576,0))</f>
        <v>0</v>
      </c>
      <c r="H105" s="6" t="s">
        <v>2923</v>
      </c>
      <c r="I105" s="6" t="s">
        <v>2929</v>
      </c>
      <c r="L105" s="6" t="s">
        <v>2973</v>
      </c>
      <c r="M105" s="6">
        <f>INDEX(医院2县区2人!$B$2:$B$1048576,MATCH(L105,医院2县区2人!$A$2:$A$1048576,0))</f>
        <v>0</v>
      </c>
      <c r="N105" s="6">
        <f>INDEX(医院2县区2人!$C$2:$C$1048576,MATCH(L105,医院2县区2人!$A$2:$A$1048576,0))</f>
        <v>0</v>
      </c>
      <c r="P105" s="7">
        <v>43255</v>
      </c>
      <c r="Q105" s="6">
        <v>6</v>
      </c>
      <c r="R105" s="6">
        <v>23.1</v>
      </c>
      <c r="S105" s="6">
        <v>17111823</v>
      </c>
      <c r="T105" s="6">
        <f>INDEX(医院2县区2人!$D$2:$D$1048576,MATCH(L105,医院2县区2人!$A$2:$A$1048576,0))</f>
        <v>0</v>
      </c>
      <c r="W105" s="6" t="str">
        <f t="shared" si="5"/>
        <v>葡萄糖酸钙口服溶液(有糖)10% 10ml*12支</v>
      </c>
      <c r="X105" s="6" t="s">
        <v>2906</v>
      </c>
    </row>
    <row r="106" spans="1:24" x14ac:dyDescent="0.15">
      <c r="A106" s="7" t="str">
        <f t="shared" si="6"/>
        <v>201806</v>
      </c>
      <c r="C106" s="6" t="str">
        <f>INDEX(工厂基础数据!$A$2:$A$1024,MATCH(X106,工厂基础数据!$D$2:$D$1024,0))</f>
        <v>02005429</v>
      </c>
      <c r="E106" s="6" t="str">
        <f>INDEX(工厂基础数据!$B$2:$B$1024,MATCH(X106,工厂基础数据!$D$2:$D$1024,0))</f>
        <v>山东九州通医药有限公司</v>
      </c>
      <c r="F106" s="6">
        <f>INDEX(商业2转码!$B$2:$B$10000,MATCH(E106,商业2转码!$A$2:$A$10000,0))</f>
        <v>0</v>
      </c>
      <c r="G106" s="6" t="str">
        <f>INDEX(品种2编码!$A$2:$A$1048576,MATCH(W106,品种2编码!$D$2:$D$1048576,0))</f>
        <v>0020020012SWGC0007</v>
      </c>
      <c r="H106" s="6" t="s">
        <v>851</v>
      </c>
      <c r="I106" s="6" t="s">
        <v>852</v>
      </c>
      <c r="L106" s="6" t="s">
        <v>2857</v>
      </c>
      <c r="M106" s="6">
        <f>INDEX(医院2县区2人!$B$2:$B$1048576,MATCH(L106,医院2县区2人!$A$2:$A$1048576,0))</f>
        <v>2</v>
      </c>
      <c r="N106" s="6" t="str">
        <f>INDEX(医院2县区2人!$C$2:$C$1048576,MATCH(L106,医院2县区2人!$A$2:$A$1048576,0))</f>
        <v>1833</v>
      </c>
      <c r="P106" s="7">
        <v>43257</v>
      </c>
      <c r="Q106" s="6">
        <v>150</v>
      </c>
      <c r="R106" s="6">
        <v>2.8</v>
      </c>
      <c r="S106" s="6">
        <v>201711082</v>
      </c>
      <c r="T106" s="6">
        <f>INDEX(医院2县区2人!$D$2:$D$1048576,MATCH(L106,医院2县区2人!$A$2:$A$1048576,0))</f>
        <v>0</v>
      </c>
      <c r="W106" s="6" t="str">
        <f t="shared" si="5"/>
        <v>注射用奥美拉唑钠40mg</v>
      </c>
      <c r="X106" s="6" t="s">
        <v>2906</v>
      </c>
    </row>
    <row r="107" spans="1:24" x14ac:dyDescent="0.15">
      <c r="A107" s="7" t="str">
        <f t="shared" si="6"/>
        <v>201806</v>
      </c>
      <c r="C107" s="6" t="str">
        <f>INDEX(工厂基础数据!$A$2:$A$1024,MATCH(X107,工厂基础数据!$D$2:$D$1024,0))</f>
        <v>02005429</v>
      </c>
      <c r="E107" s="6" t="str">
        <f>INDEX(工厂基础数据!$B$2:$B$1024,MATCH(X107,工厂基础数据!$D$2:$D$1024,0))</f>
        <v>山东九州通医药有限公司</v>
      </c>
      <c r="F107" s="6">
        <f>INDEX(商业2转码!$B$2:$B$10000,MATCH(E107,商业2转码!$A$2:$A$10000,0))</f>
        <v>0</v>
      </c>
      <c r="G107" s="6" t="str">
        <f>INDEX(品种2编码!$A$2:$A$1048576,MATCH(W107,品种2编码!$D$2:$D$1048576,0))</f>
        <v>0020020012SWGC0007</v>
      </c>
      <c r="H107" s="6" t="s">
        <v>851</v>
      </c>
      <c r="I107" s="6" t="s">
        <v>852</v>
      </c>
      <c r="L107" s="6" t="s">
        <v>2857</v>
      </c>
      <c r="M107" s="6">
        <f>INDEX(医院2县区2人!$B$2:$B$1048576,MATCH(L107,医院2县区2人!$A$2:$A$1048576,0))</f>
        <v>2</v>
      </c>
      <c r="N107" s="6" t="str">
        <f>INDEX(医院2县区2人!$C$2:$C$1048576,MATCH(L107,医院2县区2人!$A$2:$A$1048576,0))</f>
        <v>1833</v>
      </c>
      <c r="P107" s="7">
        <v>43272</v>
      </c>
      <c r="Q107" s="6">
        <v>50</v>
      </c>
      <c r="R107" s="6">
        <v>2.8</v>
      </c>
      <c r="S107" s="6">
        <v>201712022</v>
      </c>
      <c r="T107" s="6">
        <f>INDEX(医院2县区2人!$D$2:$D$1048576,MATCH(L107,医院2县区2人!$A$2:$A$1048576,0))</f>
        <v>0</v>
      </c>
      <c r="W107" s="6" t="str">
        <f t="shared" si="5"/>
        <v>注射用奥美拉唑钠40mg</v>
      </c>
      <c r="X107" s="6" t="s">
        <v>2906</v>
      </c>
    </row>
    <row r="108" spans="1:24" x14ac:dyDescent="0.15">
      <c r="A108" s="7" t="str">
        <f t="shared" si="6"/>
        <v>201806</v>
      </c>
      <c r="C108" s="6" t="str">
        <f>INDEX(工厂基础数据!$A$2:$A$1024,MATCH(X108,工厂基础数据!$D$2:$D$1024,0))</f>
        <v>02005429</v>
      </c>
      <c r="E108" s="6" t="str">
        <f>INDEX(工厂基础数据!$B$2:$B$1024,MATCH(X108,工厂基础数据!$D$2:$D$1024,0))</f>
        <v>山东九州通医药有限公司</v>
      </c>
      <c r="F108" s="6">
        <f>INDEX(商业2转码!$B$2:$B$10000,MATCH(E108,商业2转码!$A$2:$A$10000,0))</f>
        <v>0</v>
      </c>
      <c r="G108" s="6" t="str">
        <f>INDEX(品种2编码!$A$2:$A$1048576,MATCH(W108,品种2编码!$D$2:$D$1048576,0))</f>
        <v>0020020012SWGC0007</v>
      </c>
      <c r="H108" s="6" t="s">
        <v>851</v>
      </c>
      <c r="I108" s="6" t="s">
        <v>852</v>
      </c>
      <c r="L108" s="6" t="s">
        <v>2789</v>
      </c>
      <c r="M108" s="6">
        <f>INDEX(医院2县区2人!$B$2:$B$1048576,MATCH(L108,医院2县区2人!$A$2:$A$1048576,0))</f>
        <v>2</v>
      </c>
      <c r="N108" s="6" t="str">
        <f>INDEX(医院2县区2人!$C$2:$C$1048576,MATCH(L108,医院2县区2人!$A$2:$A$1048576,0))</f>
        <v>1779</v>
      </c>
      <c r="P108" s="7">
        <v>43273</v>
      </c>
      <c r="Q108" s="6">
        <v>300</v>
      </c>
      <c r="R108" s="6">
        <v>2.8</v>
      </c>
      <c r="S108" s="6">
        <v>201712022</v>
      </c>
      <c r="T108" s="6">
        <f>INDEX(医院2县区2人!$D$2:$D$1048576,MATCH(L108,医院2县区2人!$A$2:$A$1048576,0))</f>
        <v>0</v>
      </c>
      <c r="W108" s="6" t="str">
        <f t="shared" si="5"/>
        <v>注射用奥美拉唑钠40mg</v>
      </c>
      <c r="X108" s="6" t="s">
        <v>2906</v>
      </c>
    </row>
    <row r="109" spans="1:24" x14ac:dyDescent="0.15">
      <c r="A109" s="7" t="str">
        <f t="shared" si="6"/>
        <v>201806</v>
      </c>
      <c r="C109" s="6" t="str">
        <f>INDEX(工厂基础数据!$A$2:$A$1024,MATCH(X109,工厂基础数据!$D$2:$D$1024,0))</f>
        <v>02005429</v>
      </c>
      <c r="E109" s="6" t="str">
        <f>INDEX(工厂基础数据!$B$2:$B$1024,MATCH(X109,工厂基础数据!$D$2:$D$1024,0))</f>
        <v>山东九州通医药有限公司</v>
      </c>
      <c r="F109" s="6">
        <f>INDEX(商业2转码!$B$2:$B$10000,MATCH(E109,商业2转码!$A$2:$A$10000,0))</f>
        <v>0</v>
      </c>
      <c r="G109" s="6" t="str">
        <f>INDEX(品种2编码!$A$2:$A$1048576,MATCH(W109,品种2编码!$D$2:$D$1048576,0))</f>
        <v>0020020012SWGC0007</v>
      </c>
      <c r="H109" s="6" t="s">
        <v>851</v>
      </c>
      <c r="I109" s="6" t="s">
        <v>852</v>
      </c>
      <c r="L109" s="6" t="s">
        <v>2790</v>
      </c>
      <c r="M109" s="6">
        <f>INDEX(医院2县区2人!$B$2:$B$1048576,MATCH(L109,医院2县区2人!$A$2:$A$1048576,0))</f>
        <v>2</v>
      </c>
      <c r="N109" s="6" t="str">
        <f>INDEX(医院2县区2人!$C$2:$C$1048576,MATCH(L109,医院2县区2人!$A$2:$A$1048576,0))</f>
        <v>1779</v>
      </c>
      <c r="P109" s="7">
        <v>43259</v>
      </c>
      <c r="Q109" s="6">
        <v>1440</v>
      </c>
      <c r="R109" s="6">
        <v>2.8</v>
      </c>
      <c r="S109" s="6">
        <v>201712022</v>
      </c>
      <c r="T109" s="6">
        <f>INDEX(医院2县区2人!$D$2:$D$1048576,MATCH(L109,医院2县区2人!$A$2:$A$1048576,0))</f>
        <v>0</v>
      </c>
      <c r="W109" s="6" t="str">
        <f t="shared" si="5"/>
        <v>注射用奥美拉唑钠40mg</v>
      </c>
      <c r="X109" s="6" t="s">
        <v>2906</v>
      </c>
    </row>
    <row r="110" spans="1:24" x14ac:dyDescent="0.15">
      <c r="A110" s="7" t="str">
        <f t="shared" si="6"/>
        <v>201806</v>
      </c>
      <c r="C110" s="6" t="str">
        <f>INDEX(工厂基础数据!$A$2:$A$1024,MATCH(X110,工厂基础数据!$D$2:$D$1024,0))</f>
        <v>02005429</v>
      </c>
      <c r="E110" s="6" t="str">
        <f>INDEX(工厂基础数据!$B$2:$B$1024,MATCH(X110,工厂基础数据!$D$2:$D$1024,0))</f>
        <v>山东九州通医药有限公司</v>
      </c>
      <c r="F110" s="6">
        <f>INDEX(商业2转码!$B$2:$B$10000,MATCH(E110,商业2转码!$A$2:$A$10000,0))</f>
        <v>0</v>
      </c>
      <c r="G110" s="6" t="str">
        <f>INDEX(品种2编码!$A$2:$A$1048576,MATCH(W110,品种2编码!$D$2:$D$1048576,0))</f>
        <v>0020020012SWGC0007</v>
      </c>
      <c r="H110" s="6" t="s">
        <v>851</v>
      </c>
      <c r="I110" s="6" t="s">
        <v>852</v>
      </c>
      <c r="L110" s="6" t="s">
        <v>2974</v>
      </c>
      <c r="M110" s="6">
        <f>INDEX(医院2县区2人!$B$2:$B$1048576,MATCH(L110,医院2县区2人!$A$2:$A$1048576,0))</f>
        <v>0</v>
      </c>
      <c r="N110" s="6">
        <f>INDEX(医院2县区2人!$C$2:$C$1048576,MATCH(L110,医院2县区2人!$A$2:$A$1048576,0))</f>
        <v>0</v>
      </c>
      <c r="P110" s="7">
        <v>43263</v>
      </c>
      <c r="Q110" s="6">
        <v>100</v>
      </c>
      <c r="R110" s="6">
        <v>2.8</v>
      </c>
      <c r="S110" s="6">
        <v>201712022</v>
      </c>
      <c r="T110" s="6">
        <f>INDEX(医院2县区2人!$D$2:$D$1048576,MATCH(L110,医院2县区2人!$A$2:$A$1048576,0))</f>
        <v>0</v>
      </c>
      <c r="W110" s="6" t="str">
        <f t="shared" si="5"/>
        <v>注射用奥美拉唑钠40mg</v>
      </c>
      <c r="X110" s="6" t="s">
        <v>2906</v>
      </c>
    </row>
    <row r="111" spans="1:24" x14ac:dyDescent="0.15">
      <c r="A111" s="7" t="str">
        <f t="shared" si="6"/>
        <v>201806</v>
      </c>
      <c r="C111" s="6" t="str">
        <f>INDEX(工厂基础数据!$A$2:$A$1024,MATCH(X111,工厂基础数据!$D$2:$D$1024,0))</f>
        <v>02005429</v>
      </c>
      <c r="E111" s="6" t="str">
        <f>INDEX(工厂基础数据!$B$2:$B$1024,MATCH(X111,工厂基础数据!$D$2:$D$1024,0))</f>
        <v>山东九州通医药有限公司</v>
      </c>
      <c r="F111" s="6">
        <f>INDEX(商业2转码!$B$2:$B$10000,MATCH(E111,商业2转码!$A$2:$A$10000,0))</f>
        <v>0</v>
      </c>
      <c r="G111" s="6" t="str">
        <f>INDEX(品种2编码!$A$2:$A$1048576,MATCH(W111,品种2编码!$D$2:$D$1048576,0))</f>
        <v>0020020012SWGC0007</v>
      </c>
      <c r="H111" s="6" t="s">
        <v>851</v>
      </c>
      <c r="I111" s="6" t="s">
        <v>852</v>
      </c>
      <c r="L111" s="6" t="s">
        <v>2974</v>
      </c>
      <c r="M111" s="6">
        <f>INDEX(医院2县区2人!$B$2:$B$1048576,MATCH(L111,医院2县区2人!$A$2:$A$1048576,0))</f>
        <v>0</v>
      </c>
      <c r="N111" s="6">
        <f>INDEX(医院2县区2人!$C$2:$C$1048576,MATCH(L111,医院2县区2人!$A$2:$A$1048576,0))</f>
        <v>0</v>
      </c>
      <c r="P111" s="7">
        <v>43272</v>
      </c>
      <c r="Q111" s="6">
        <v>100</v>
      </c>
      <c r="R111" s="6">
        <v>2.8</v>
      </c>
      <c r="S111" s="6">
        <v>201712022</v>
      </c>
      <c r="T111" s="6">
        <f>INDEX(医院2县区2人!$D$2:$D$1048576,MATCH(L111,医院2县区2人!$A$2:$A$1048576,0))</f>
        <v>0</v>
      </c>
      <c r="W111" s="6" t="str">
        <f t="shared" si="5"/>
        <v>注射用奥美拉唑钠40mg</v>
      </c>
      <c r="X111" s="6" t="s">
        <v>2906</v>
      </c>
    </row>
    <row r="112" spans="1:24" x14ac:dyDescent="0.15">
      <c r="A112" s="7" t="str">
        <f t="shared" si="6"/>
        <v>201806</v>
      </c>
      <c r="C112" s="6" t="str">
        <f>INDEX(工厂基础数据!$A$2:$A$1024,MATCH(X112,工厂基础数据!$D$2:$D$1024,0))</f>
        <v>02005429</v>
      </c>
      <c r="E112" s="6" t="str">
        <f>INDEX(工厂基础数据!$B$2:$B$1024,MATCH(X112,工厂基础数据!$D$2:$D$1024,0))</f>
        <v>山东九州通医药有限公司</v>
      </c>
      <c r="F112" s="6">
        <f>INDEX(商业2转码!$B$2:$B$10000,MATCH(E112,商业2转码!$A$2:$A$10000,0))</f>
        <v>0</v>
      </c>
      <c r="G112" s="6" t="str">
        <f>INDEX(品种2编码!$A$2:$A$1048576,MATCH(W112,品种2编码!$D$2:$D$1048576,0))</f>
        <v>0020020012SWGC0007</v>
      </c>
      <c r="H112" s="6" t="s">
        <v>851</v>
      </c>
      <c r="I112" s="6" t="s">
        <v>852</v>
      </c>
      <c r="L112" s="6" t="s">
        <v>2849</v>
      </c>
      <c r="M112" s="6">
        <f>INDEX(医院2县区2人!$B$2:$B$1048576,MATCH(L112,医院2县区2人!$A$2:$A$1048576,0))</f>
        <v>2</v>
      </c>
      <c r="N112" s="6" t="str">
        <f>INDEX(医院2县区2人!$C$2:$C$1048576,MATCH(L112,医院2县区2人!$A$2:$A$1048576,0))</f>
        <v>1841</v>
      </c>
      <c r="P112" s="7">
        <v>43256</v>
      </c>
      <c r="Q112" s="6">
        <v>200</v>
      </c>
      <c r="R112" s="6">
        <v>2.8</v>
      </c>
      <c r="S112" s="6">
        <v>201711082</v>
      </c>
      <c r="T112" s="6">
        <f>INDEX(医院2县区2人!$D$2:$D$1048576,MATCH(L112,医院2县区2人!$A$2:$A$1048576,0))</f>
        <v>0</v>
      </c>
      <c r="W112" s="6" t="str">
        <f t="shared" si="5"/>
        <v>注射用奥美拉唑钠40mg</v>
      </c>
      <c r="X112" s="6" t="s">
        <v>2906</v>
      </c>
    </row>
    <row r="113" spans="1:24" x14ac:dyDescent="0.15">
      <c r="A113" s="7" t="str">
        <f t="shared" si="6"/>
        <v>201806</v>
      </c>
      <c r="C113" s="6" t="str">
        <f>INDEX(工厂基础数据!$A$2:$A$1024,MATCH(X113,工厂基础数据!$D$2:$D$1024,0))</f>
        <v>02005429</v>
      </c>
      <c r="E113" s="6" t="str">
        <f>INDEX(工厂基础数据!$B$2:$B$1024,MATCH(X113,工厂基础数据!$D$2:$D$1024,0))</f>
        <v>山东九州通医药有限公司</v>
      </c>
      <c r="F113" s="6">
        <f>INDEX(商业2转码!$B$2:$B$10000,MATCH(E113,商业2转码!$A$2:$A$10000,0))</f>
        <v>0</v>
      </c>
      <c r="G113" s="6" t="str">
        <f>INDEX(品种2编码!$A$2:$A$1048576,MATCH(W113,品种2编码!$D$2:$D$1048576,0))</f>
        <v>0020020012SWGC0007</v>
      </c>
      <c r="H113" s="6" t="s">
        <v>851</v>
      </c>
      <c r="I113" s="6" t="s">
        <v>852</v>
      </c>
      <c r="L113" s="6" t="s">
        <v>2975</v>
      </c>
      <c r="M113" s="6">
        <f>INDEX(医院2县区2人!$B$2:$B$1048576,MATCH(L113,医院2县区2人!$A$2:$A$1048576,0))</f>
        <v>0</v>
      </c>
      <c r="N113" s="6">
        <f>INDEX(医院2县区2人!$C$2:$C$1048576,MATCH(L113,医院2县区2人!$A$2:$A$1048576,0))</f>
        <v>0</v>
      </c>
      <c r="P113" s="7">
        <v>43270</v>
      </c>
      <c r="Q113" s="6">
        <v>100</v>
      </c>
      <c r="R113" s="6">
        <v>2.8</v>
      </c>
      <c r="S113" s="6">
        <v>201712022</v>
      </c>
      <c r="T113" s="6">
        <f>INDEX(医院2县区2人!$D$2:$D$1048576,MATCH(L113,医院2县区2人!$A$2:$A$1048576,0))</f>
        <v>0</v>
      </c>
      <c r="W113" s="6" t="str">
        <f t="shared" si="5"/>
        <v>注射用奥美拉唑钠40mg</v>
      </c>
      <c r="X113" s="6" t="s">
        <v>2906</v>
      </c>
    </row>
    <row r="114" spans="1:24" x14ac:dyDescent="0.15">
      <c r="A114" s="7" t="str">
        <f t="shared" si="6"/>
        <v>201806</v>
      </c>
      <c r="C114" s="6" t="str">
        <f>INDEX(工厂基础数据!$A$2:$A$1024,MATCH(X114,工厂基础数据!$D$2:$D$1024,0))</f>
        <v>02005429</v>
      </c>
      <c r="E114" s="6" t="str">
        <f>INDEX(工厂基础数据!$B$2:$B$1024,MATCH(X114,工厂基础数据!$D$2:$D$1024,0))</f>
        <v>山东九州通医药有限公司</v>
      </c>
      <c r="F114" s="6">
        <f>INDEX(商业2转码!$B$2:$B$10000,MATCH(E114,商业2转码!$A$2:$A$10000,0))</f>
        <v>0</v>
      </c>
      <c r="G114" s="6" t="str">
        <f>INDEX(品种2编码!$A$2:$A$1048576,MATCH(W114,品种2编码!$D$2:$D$1048576,0))</f>
        <v>0020020012SWGC0007</v>
      </c>
      <c r="H114" s="6" t="s">
        <v>851</v>
      </c>
      <c r="I114" s="6" t="s">
        <v>852</v>
      </c>
      <c r="L114" s="6" t="s">
        <v>2536</v>
      </c>
      <c r="M114" s="6">
        <f>INDEX(医院2县区2人!$B$2:$B$1048576,MATCH(L114,医院2县区2人!$A$2:$A$1048576,0))</f>
        <v>2</v>
      </c>
      <c r="N114" s="6" t="str">
        <f>INDEX(医院2县区2人!$C$2:$C$1048576,MATCH(L114,医院2县区2人!$A$2:$A$1048576,0))</f>
        <v>1724</v>
      </c>
      <c r="P114" s="7">
        <v>43252</v>
      </c>
      <c r="Q114" s="6">
        <v>20</v>
      </c>
      <c r="R114" s="6">
        <v>2.8</v>
      </c>
      <c r="S114" s="6">
        <v>201711082</v>
      </c>
      <c r="T114" s="6">
        <f>INDEX(医院2县区2人!$D$2:$D$1048576,MATCH(L114,医院2县区2人!$A$2:$A$1048576,0))</f>
        <v>0</v>
      </c>
      <c r="W114" s="6" t="str">
        <f t="shared" si="5"/>
        <v>注射用奥美拉唑钠40mg</v>
      </c>
      <c r="X114" s="6" t="s">
        <v>2906</v>
      </c>
    </row>
    <row r="115" spans="1:24" x14ac:dyDescent="0.15">
      <c r="A115" s="7" t="str">
        <f t="shared" si="6"/>
        <v>201806</v>
      </c>
      <c r="C115" s="6" t="str">
        <f>INDEX(工厂基础数据!$A$2:$A$1024,MATCH(X115,工厂基础数据!$D$2:$D$1024,0))</f>
        <v>02005429</v>
      </c>
      <c r="E115" s="6" t="str">
        <f>INDEX(工厂基础数据!$B$2:$B$1024,MATCH(X115,工厂基础数据!$D$2:$D$1024,0))</f>
        <v>山东九州通医药有限公司</v>
      </c>
      <c r="F115" s="6">
        <f>INDEX(商业2转码!$B$2:$B$10000,MATCH(E115,商业2转码!$A$2:$A$10000,0))</f>
        <v>0</v>
      </c>
      <c r="G115" s="6" t="str">
        <f>INDEX(品种2编码!$A$2:$A$1048576,MATCH(W115,品种2编码!$D$2:$D$1048576,0))</f>
        <v>0020020012SWGC0007</v>
      </c>
      <c r="H115" s="6" t="s">
        <v>851</v>
      </c>
      <c r="I115" s="6" t="s">
        <v>852</v>
      </c>
      <c r="L115" s="6" t="s">
        <v>2536</v>
      </c>
      <c r="M115" s="6">
        <f>INDEX(医院2县区2人!$B$2:$B$1048576,MATCH(L115,医院2县区2人!$A$2:$A$1048576,0))</f>
        <v>2</v>
      </c>
      <c r="N115" s="6" t="str">
        <f>INDEX(医院2县区2人!$C$2:$C$1048576,MATCH(L115,医院2县区2人!$A$2:$A$1048576,0))</f>
        <v>1724</v>
      </c>
      <c r="P115" s="7">
        <v>43262</v>
      </c>
      <c r="Q115" s="6">
        <v>60</v>
      </c>
      <c r="R115" s="6">
        <v>2.8</v>
      </c>
      <c r="S115" s="6">
        <v>201711082</v>
      </c>
      <c r="T115" s="6">
        <f>INDEX(医院2县区2人!$D$2:$D$1048576,MATCH(L115,医院2县区2人!$A$2:$A$1048576,0))</f>
        <v>0</v>
      </c>
      <c r="W115" s="6" t="str">
        <f t="shared" si="5"/>
        <v>注射用奥美拉唑钠40mg</v>
      </c>
      <c r="X115" s="6" t="s">
        <v>2906</v>
      </c>
    </row>
    <row r="116" spans="1:24" x14ac:dyDescent="0.15">
      <c r="A116" s="7" t="str">
        <f t="shared" si="6"/>
        <v>201806</v>
      </c>
      <c r="C116" s="6" t="str">
        <f>INDEX(工厂基础数据!$A$2:$A$1024,MATCH(X116,工厂基础数据!$D$2:$D$1024,0))</f>
        <v>02005429</v>
      </c>
      <c r="E116" s="6" t="str">
        <f>INDEX(工厂基础数据!$B$2:$B$1024,MATCH(X116,工厂基础数据!$D$2:$D$1024,0))</f>
        <v>山东九州通医药有限公司</v>
      </c>
      <c r="F116" s="6">
        <f>INDEX(商业2转码!$B$2:$B$10000,MATCH(E116,商业2转码!$A$2:$A$10000,0))</f>
        <v>0</v>
      </c>
      <c r="G116" s="6" t="str">
        <f>INDEX(品种2编码!$A$2:$A$1048576,MATCH(W116,品种2编码!$D$2:$D$1048576,0))</f>
        <v>0020020012SWGC0007</v>
      </c>
      <c r="H116" s="6" t="s">
        <v>851</v>
      </c>
      <c r="I116" s="6" t="s">
        <v>852</v>
      </c>
      <c r="L116" s="6" t="s">
        <v>2976</v>
      </c>
      <c r="M116" s="6">
        <f>INDEX(医院2县区2人!$B$2:$B$1048576,MATCH(L116,医院2县区2人!$A$2:$A$1048576,0))</f>
        <v>0</v>
      </c>
      <c r="N116" s="6">
        <f>INDEX(医院2县区2人!$C$2:$C$1048576,MATCH(L116,医院2县区2人!$A$2:$A$1048576,0))</f>
        <v>0</v>
      </c>
      <c r="P116" s="7">
        <v>43255</v>
      </c>
      <c r="Q116" s="6">
        <v>50</v>
      </c>
      <c r="R116" s="6">
        <v>2.8</v>
      </c>
      <c r="S116" s="6">
        <v>201711082</v>
      </c>
      <c r="T116" s="6">
        <f>INDEX(医院2县区2人!$D$2:$D$1048576,MATCH(L116,医院2县区2人!$A$2:$A$1048576,0))</f>
        <v>0</v>
      </c>
      <c r="W116" s="6" t="str">
        <f t="shared" si="5"/>
        <v>注射用奥美拉唑钠40mg</v>
      </c>
      <c r="X116" s="6" t="s">
        <v>2906</v>
      </c>
    </row>
    <row r="117" spans="1:24" x14ac:dyDescent="0.15">
      <c r="A117" s="7" t="str">
        <f t="shared" si="6"/>
        <v>201806</v>
      </c>
      <c r="C117" s="6" t="str">
        <f>INDEX(工厂基础数据!$A$2:$A$1024,MATCH(X117,工厂基础数据!$D$2:$D$1024,0))</f>
        <v>02005429</v>
      </c>
      <c r="E117" s="6" t="str">
        <f>INDEX(工厂基础数据!$B$2:$B$1024,MATCH(X117,工厂基础数据!$D$2:$D$1024,0))</f>
        <v>山东九州通医药有限公司</v>
      </c>
      <c r="F117" s="6">
        <f>INDEX(商业2转码!$B$2:$B$10000,MATCH(E117,商业2转码!$A$2:$A$10000,0))</f>
        <v>0</v>
      </c>
      <c r="G117" s="6" t="str">
        <f>INDEX(品种2编码!$A$2:$A$1048576,MATCH(W117,品种2编码!$D$2:$D$1048576,0))</f>
        <v>0020020012SWGC0007</v>
      </c>
      <c r="H117" s="6" t="s">
        <v>851</v>
      </c>
      <c r="I117" s="6" t="s">
        <v>852</v>
      </c>
      <c r="L117" s="6" t="s">
        <v>2976</v>
      </c>
      <c r="M117" s="6">
        <f>INDEX(医院2县区2人!$B$2:$B$1048576,MATCH(L117,医院2县区2人!$A$2:$A$1048576,0))</f>
        <v>0</v>
      </c>
      <c r="N117" s="6">
        <f>INDEX(医院2县区2人!$C$2:$C$1048576,MATCH(L117,医院2县区2人!$A$2:$A$1048576,0))</f>
        <v>0</v>
      </c>
      <c r="P117" s="7">
        <v>43266</v>
      </c>
      <c r="Q117" s="6">
        <v>50</v>
      </c>
      <c r="R117" s="6">
        <v>2.8</v>
      </c>
      <c r="S117" s="6">
        <v>201712022</v>
      </c>
      <c r="T117" s="6">
        <f>INDEX(医院2县区2人!$D$2:$D$1048576,MATCH(L117,医院2县区2人!$A$2:$A$1048576,0))</f>
        <v>0</v>
      </c>
      <c r="W117" s="6" t="str">
        <f t="shared" si="5"/>
        <v>注射用奥美拉唑钠40mg</v>
      </c>
      <c r="X117" s="6" t="s">
        <v>2906</v>
      </c>
    </row>
    <row r="118" spans="1:24" x14ac:dyDescent="0.15">
      <c r="A118" s="7" t="str">
        <f t="shared" si="6"/>
        <v>201806</v>
      </c>
      <c r="C118" s="6" t="str">
        <f>INDEX(工厂基础数据!$A$2:$A$1024,MATCH(X118,工厂基础数据!$D$2:$D$1024,0))</f>
        <v>02005429</v>
      </c>
      <c r="E118" s="6" t="str">
        <f>INDEX(工厂基础数据!$B$2:$B$1024,MATCH(X118,工厂基础数据!$D$2:$D$1024,0))</f>
        <v>山东九州通医药有限公司</v>
      </c>
      <c r="F118" s="6">
        <f>INDEX(商业2转码!$B$2:$B$10000,MATCH(E118,商业2转码!$A$2:$A$10000,0))</f>
        <v>0</v>
      </c>
      <c r="G118" s="6" t="str">
        <f>INDEX(品种2编码!$A$2:$A$1048576,MATCH(W118,品种2编码!$D$2:$D$1048576,0))</f>
        <v>0020020012SWGC0007</v>
      </c>
      <c r="H118" s="6" t="s">
        <v>851</v>
      </c>
      <c r="I118" s="6" t="s">
        <v>852</v>
      </c>
      <c r="L118" s="6" t="s">
        <v>2977</v>
      </c>
      <c r="M118" s="6">
        <f>INDEX(医院2县区2人!$B$2:$B$1048576,MATCH(L118,医院2县区2人!$A$2:$A$1048576,0))</f>
        <v>0</v>
      </c>
      <c r="N118" s="6">
        <f>INDEX(医院2县区2人!$C$2:$C$1048576,MATCH(L118,医院2县区2人!$A$2:$A$1048576,0))</f>
        <v>0</v>
      </c>
      <c r="P118" s="7">
        <v>43255</v>
      </c>
      <c r="Q118" s="6">
        <v>200</v>
      </c>
      <c r="R118" s="6">
        <v>2.8</v>
      </c>
      <c r="S118" s="6">
        <v>201711082</v>
      </c>
      <c r="T118" s="6">
        <f>INDEX(医院2县区2人!$D$2:$D$1048576,MATCH(L118,医院2县区2人!$A$2:$A$1048576,0))</f>
        <v>0</v>
      </c>
      <c r="W118" s="6" t="str">
        <f t="shared" si="5"/>
        <v>注射用奥美拉唑钠40mg</v>
      </c>
      <c r="X118" s="6" t="s">
        <v>2906</v>
      </c>
    </row>
    <row r="119" spans="1:24" x14ac:dyDescent="0.15">
      <c r="A119" s="7" t="str">
        <f t="shared" si="6"/>
        <v>201806</v>
      </c>
      <c r="C119" s="6" t="str">
        <f>INDEX(工厂基础数据!$A$2:$A$1024,MATCH(X119,工厂基础数据!$D$2:$D$1024,0))</f>
        <v>02005429</v>
      </c>
      <c r="E119" s="6" t="str">
        <f>INDEX(工厂基础数据!$B$2:$B$1024,MATCH(X119,工厂基础数据!$D$2:$D$1024,0))</f>
        <v>山东九州通医药有限公司</v>
      </c>
      <c r="F119" s="6">
        <f>INDEX(商业2转码!$B$2:$B$10000,MATCH(E119,商业2转码!$A$2:$A$10000,0))</f>
        <v>0</v>
      </c>
      <c r="G119" s="6" t="str">
        <f>INDEX(品种2编码!$A$2:$A$1048576,MATCH(W119,品种2编码!$D$2:$D$1048576,0))</f>
        <v>0020020012SWGC0007</v>
      </c>
      <c r="H119" s="6" t="s">
        <v>851</v>
      </c>
      <c r="I119" s="6" t="s">
        <v>852</v>
      </c>
      <c r="L119" s="6" t="s">
        <v>2978</v>
      </c>
      <c r="M119" s="6">
        <f>INDEX(医院2县区2人!$B$2:$B$1048576,MATCH(L119,医院2县区2人!$A$2:$A$1048576,0))</f>
        <v>0</v>
      </c>
      <c r="N119" s="6">
        <f>INDEX(医院2县区2人!$C$2:$C$1048576,MATCH(L119,医院2县区2人!$A$2:$A$1048576,0))</f>
        <v>0</v>
      </c>
      <c r="P119" s="7">
        <v>43272</v>
      </c>
      <c r="Q119" s="6">
        <v>300</v>
      </c>
      <c r="R119" s="6">
        <v>2.8</v>
      </c>
      <c r="S119" s="6">
        <v>201712022</v>
      </c>
      <c r="T119" s="6">
        <f>INDEX(医院2县区2人!$D$2:$D$1048576,MATCH(L119,医院2县区2人!$A$2:$A$1048576,0))</f>
        <v>0</v>
      </c>
      <c r="W119" s="6" t="str">
        <f t="shared" si="5"/>
        <v>注射用奥美拉唑钠40mg</v>
      </c>
      <c r="X119" s="6" t="s">
        <v>2906</v>
      </c>
    </row>
    <row r="120" spans="1:24" x14ac:dyDescent="0.15">
      <c r="A120" s="7" t="str">
        <f t="shared" si="6"/>
        <v>201806</v>
      </c>
      <c r="C120" s="6" t="str">
        <f>INDEX(工厂基础数据!$A$2:$A$1024,MATCH(X120,工厂基础数据!$D$2:$D$1024,0))</f>
        <v>02005429</v>
      </c>
      <c r="E120" s="6" t="str">
        <f>INDEX(工厂基础数据!$B$2:$B$1024,MATCH(X120,工厂基础数据!$D$2:$D$1024,0))</f>
        <v>山东九州通医药有限公司</v>
      </c>
      <c r="F120" s="6">
        <f>INDEX(商业2转码!$B$2:$B$10000,MATCH(E120,商业2转码!$A$2:$A$10000,0))</f>
        <v>0</v>
      </c>
      <c r="G120" s="6" t="str">
        <f>INDEX(品种2编码!$A$2:$A$1048576,MATCH(W120,品种2编码!$D$2:$D$1048576,0))</f>
        <v>0020020012SWGC0007</v>
      </c>
      <c r="H120" s="6" t="s">
        <v>851</v>
      </c>
      <c r="I120" s="6" t="s">
        <v>852</v>
      </c>
      <c r="L120" s="6" t="s">
        <v>2979</v>
      </c>
      <c r="M120" s="6">
        <f>INDEX(医院2县区2人!$B$2:$B$1048576,MATCH(L120,医院2县区2人!$A$2:$A$1048576,0))</f>
        <v>0</v>
      </c>
      <c r="N120" s="6">
        <f>INDEX(医院2县区2人!$C$2:$C$1048576,MATCH(L120,医院2县区2人!$A$2:$A$1048576,0))</f>
        <v>0</v>
      </c>
      <c r="P120" s="7">
        <v>43263</v>
      </c>
      <c r="Q120" s="6">
        <v>240</v>
      </c>
      <c r="R120" s="6">
        <v>2.8</v>
      </c>
      <c r="S120" s="6">
        <v>201711082</v>
      </c>
      <c r="T120" s="6">
        <f>INDEX(医院2县区2人!$D$2:$D$1048576,MATCH(L120,医院2县区2人!$A$2:$A$1048576,0))</f>
        <v>0</v>
      </c>
      <c r="W120" s="6" t="str">
        <f t="shared" si="5"/>
        <v>注射用奥美拉唑钠40mg</v>
      </c>
      <c r="X120" s="6" t="s">
        <v>2906</v>
      </c>
    </row>
    <row r="121" spans="1:24" x14ac:dyDescent="0.15">
      <c r="A121" s="7" t="str">
        <f t="shared" si="6"/>
        <v>201806</v>
      </c>
      <c r="C121" s="6" t="str">
        <f>INDEX(工厂基础数据!$A$2:$A$1024,MATCH(X121,工厂基础数据!$D$2:$D$1024,0))</f>
        <v>02005429</v>
      </c>
      <c r="E121" s="6" t="str">
        <f>INDEX(工厂基础数据!$B$2:$B$1024,MATCH(X121,工厂基础数据!$D$2:$D$1024,0))</f>
        <v>山东九州通医药有限公司</v>
      </c>
      <c r="F121" s="6">
        <f>INDEX(商业2转码!$B$2:$B$10000,MATCH(E121,商业2转码!$A$2:$A$10000,0))</f>
        <v>0</v>
      </c>
      <c r="G121" s="6" t="str">
        <f>INDEX(品种2编码!$A$2:$A$1048576,MATCH(W121,品种2编码!$D$2:$D$1048576,0))</f>
        <v>0020020012SWGC0007</v>
      </c>
      <c r="H121" s="6" t="s">
        <v>851</v>
      </c>
      <c r="I121" s="6" t="s">
        <v>852</v>
      </c>
      <c r="L121" s="6" t="s">
        <v>2979</v>
      </c>
      <c r="M121" s="6">
        <f>INDEX(医院2县区2人!$B$2:$B$1048576,MATCH(L121,医院2县区2人!$A$2:$A$1048576,0))</f>
        <v>0</v>
      </c>
      <c r="N121" s="6">
        <f>INDEX(医院2县区2人!$C$2:$C$1048576,MATCH(L121,医院2县区2人!$A$2:$A$1048576,0))</f>
        <v>0</v>
      </c>
      <c r="P121" s="7">
        <v>43263</v>
      </c>
      <c r="Q121" s="6">
        <v>260</v>
      </c>
      <c r="R121" s="6">
        <v>2.8</v>
      </c>
      <c r="S121" s="6">
        <v>201712022</v>
      </c>
      <c r="T121" s="6">
        <f>INDEX(医院2县区2人!$D$2:$D$1048576,MATCH(L121,医院2县区2人!$A$2:$A$1048576,0))</f>
        <v>0</v>
      </c>
      <c r="W121" s="6" t="str">
        <f t="shared" si="5"/>
        <v>注射用奥美拉唑钠40mg</v>
      </c>
      <c r="X121" s="6" t="s">
        <v>2906</v>
      </c>
    </row>
    <row r="122" spans="1:24" x14ac:dyDescent="0.15">
      <c r="A122" s="7" t="str">
        <f t="shared" si="6"/>
        <v>201806</v>
      </c>
      <c r="C122" s="6" t="str">
        <f>INDEX(工厂基础数据!$A$2:$A$1024,MATCH(X122,工厂基础数据!$D$2:$D$1024,0))</f>
        <v>02005429</v>
      </c>
      <c r="E122" s="6" t="str">
        <f>INDEX(工厂基础数据!$B$2:$B$1024,MATCH(X122,工厂基础数据!$D$2:$D$1024,0))</f>
        <v>山东九州通医药有限公司</v>
      </c>
      <c r="F122" s="6">
        <f>INDEX(商业2转码!$B$2:$B$10000,MATCH(E122,商业2转码!$A$2:$A$10000,0))</f>
        <v>0</v>
      </c>
      <c r="G122" s="6" t="str">
        <f>INDEX(品种2编码!$A$2:$A$1048576,MATCH(W122,品种2编码!$D$2:$D$1048576,0))</f>
        <v>0020020012SWGC0007</v>
      </c>
      <c r="H122" s="6" t="s">
        <v>851</v>
      </c>
      <c r="I122" s="6" t="s">
        <v>852</v>
      </c>
      <c r="L122" s="6" t="s">
        <v>2518</v>
      </c>
      <c r="M122" s="6">
        <f>INDEX(医院2县区2人!$B$2:$B$1048576,MATCH(L122,医院2县区2人!$A$2:$A$1048576,0))</f>
        <v>2</v>
      </c>
      <c r="N122" s="6" t="str">
        <f>INDEX(医院2县区2人!$C$2:$C$1048576,MATCH(L122,医院2县区2人!$A$2:$A$1048576,0))</f>
        <v>1833</v>
      </c>
      <c r="P122" s="7">
        <v>43272</v>
      </c>
      <c r="Q122" s="6">
        <v>400</v>
      </c>
      <c r="R122" s="6">
        <v>2.8</v>
      </c>
      <c r="S122" s="6">
        <v>201712022</v>
      </c>
      <c r="T122" s="6">
        <f>INDEX(医院2县区2人!$D$2:$D$1048576,MATCH(L122,医院2县区2人!$A$2:$A$1048576,0))</f>
        <v>0</v>
      </c>
      <c r="W122" s="6" t="str">
        <f t="shared" si="5"/>
        <v>注射用奥美拉唑钠40mg</v>
      </c>
      <c r="X122" s="6" t="s">
        <v>2906</v>
      </c>
    </row>
    <row r="123" spans="1:24" x14ac:dyDescent="0.15">
      <c r="A123" s="7" t="str">
        <f t="shared" si="6"/>
        <v>201806</v>
      </c>
      <c r="C123" s="6" t="str">
        <f>INDEX(工厂基础数据!$A$2:$A$1024,MATCH(X123,工厂基础数据!$D$2:$D$1024,0))</f>
        <v>02005429</v>
      </c>
      <c r="E123" s="6" t="str">
        <f>INDEX(工厂基础数据!$B$2:$B$1024,MATCH(X123,工厂基础数据!$D$2:$D$1024,0))</f>
        <v>山东九州通医药有限公司</v>
      </c>
      <c r="F123" s="6">
        <f>INDEX(商业2转码!$B$2:$B$10000,MATCH(E123,商业2转码!$A$2:$A$10000,0))</f>
        <v>0</v>
      </c>
      <c r="G123" s="6" t="str">
        <f>INDEX(品种2编码!$A$2:$A$1048576,MATCH(W123,品种2编码!$D$2:$D$1048576,0))</f>
        <v>0020020012SWGC0007</v>
      </c>
      <c r="H123" s="6" t="s">
        <v>851</v>
      </c>
      <c r="I123" s="6" t="s">
        <v>852</v>
      </c>
      <c r="L123" s="6" t="s">
        <v>2533</v>
      </c>
      <c r="M123" s="6">
        <f>INDEX(医院2县区2人!$B$2:$B$1048576,MATCH(L123,医院2县区2人!$A$2:$A$1048576,0))</f>
        <v>2</v>
      </c>
      <c r="N123" s="6" t="str">
        <f>INDEX(医院2县区2人!$C$2:$C$1048576,MATCH(L123,医院2县区2人!$A$2:$A$1048576,0))</f>
        <v>1833</v>
      </c>
      <c r="P123" s="7">
        <v>43257</v>
      </c>
      <c r="Q123" s="6">
        <v>400</v>
      </c>
      <c r="R123" s="6">
        <v>2.8</v>
      </c>
      <c r="S123" s="6">
        <v>201711082</v>
      </c>
      <c r="T123" s="6">
        <f>INDEX(医院2县区2人!$D$2:$D$1048576,MATCH(L123,医院2县区2人!$A$2:$A$1048576,0))</f>
        <v>0</v>
      </c>
      <c r="W123" s="6" t="str">
        <f t="shared" si="5"/>
        <v>注射用奥美拉唑钠40mg</v>
      </c>
      <c r="X123" s="6" t="s">
        <v>2906</v>
      </c>
    </row>
    <row r="124" spans="1:24" x14ac:dyDescent="0.15">
      <c r="A124" s="7" t="str">
        <f t="shared" si="6"/>
        <v>201806</v>
      </c>
      <c r="C124" s="6" t="str">
        <f>INDEX(工厂基础数据!$A$2:$A$1024,MATCH(X124,工厂基础数据!$D$2:$D$1024,0))</f>
        <v>02005429</v>
      </c>
      <c r="E124" s="6" t="str">
        <f>INDEX(工厂基础数据!$B$2:$B$1024,MATCH(X124,工厂基础数据!$D$2:$D$1024,0))</f>
        <v>山东九州通医药有限公司</v>
      </c>
      <c r="F124" s="6">
        <f>INDEX(商业2转码!$B$2:$B$10000,MATCH(E124,商业2转码!$A$2:$A$10000,0))</f>
        <v>0</v>
      </c>
      <c r="G124" s="6" t="str">
        <f>INDEX(品种2编码!$A$2:$A$1048576,MATCH(W124,品种2编码!$D$2:$D$1048576,0))</f>
        <v>0020020012SWGC0007</v>
      </c>
      <c r="H124" s="6" t="s">
        <v>851</v>
      </c>
      <c r="I124" s="6" t="s">
        <v>852</v>
      </c>
      <c r="L124" s="6" t="s">
        <v>2792</v>
      </c>
      <c r="M124" s="6">
        <f>INDEX(医院2县区2人!$B$2:$B$1048576,MATCH(L124,医院2县区2人!$A$2:$A$1048576,0))</f>
        <v>2</v>
      </c>
      <c r="N124" s="6" t="str">
        <f>INDEX(医院2县区2人!$C$2:$C$1048576,MATCH(L124,医院2县区2人!$A$2:$A$1048576,0))</f>
        <v>1838</v>
      </c>
      <c r="P124" s="7">
        <v>43278</v>
      </c>
      <c r="Q124" s="6">
        <v>200</v>
      </c>
      <c r="R124" s="6">
        <v>2.8</v>
      </c>
      <c r="S124" s="6">
        <v>201712022</v>
      </c>
      <c r="T124" s="6">
        <f>INDEX(医院2县区2人!$D$2:$D$1048576,MATCH(L124,医院2县区2人!$A$2:$A$1048576,0))</f>
        <v>0</v>
      </c>
      <c r="W124" s="6" t="str">
        <f t="shared" si="5"/>
        <v>注射用奥美拉唑钠40mg</v>
      </c>
      <c r="X124" s="6" t="s">
        <v>2906</v>
      </c>
    </row>
    <row r="125" spans="1:24" x14ac:dyDescent="0.15">
      <c r="A125" s="7" t="str">
        <f t="shared" si="6"/>
        <v>201806</v>
      </c>
      <c r="C125" s="6" t="str">
        <f>INDEX(工厂基础数据!$A$2:$A$1024,MATCH(X125,工厂基础数据!$D$2:$D$1024,0))</f>
        <v>02005429</v>
      </c>
      <c r="E125" s="6" t="str">
        <f>INDEX(工厂基础数据!$B$2:$B$1024,MATCH(X125,工厂基础数据!$D$2:$D$1024,0))</f>
        <v>山东九州通医药有限公司</v>
      </c>
      <c r="F125" s="6">
        <f>INDEX(商业2转码!$B$2:$B$10000,MATCH(E125,商业2转码!$A$2:$A$10000,0))</f>
        <v>0</v>
      </c>
      <c r="G125" s="6" t="str">
        <f>INDEX(品种2编码!$A$2:$A$1048576,MATCH(W125,品种2编码!$D$2:$D$1048576,0))</f>
        <v>0020020012SWGC0007</v>
      </c>
      <c r="H125" s="6" t="s">
        <v>851</v>
      </c>
      <c r="I125" s="6" t="s">
        <v>852</v>
      </c>
      <c r="L125" s="6" t="s">
        <v>2793</v>
      </c>
      <c r="M125" s="6">
        <f>INDEX(医院2县区2人!$B$2:$B$1048576,MATCH(L125,医院2县区2人!$A$2:$A$1048576,0))</f>
        <v>2</v>
      </c>
      <c r="N125" s="6" t="str">
        <f>INDEX(医院2县区2人!$C$2:$C$1048576,MATCH(L125,医院2县区2人!$A$2:$A$1048576,0))</f>
        <v>1837</v>
      </c>
      <c r="P125" s="7">
        <v>43257</v>
      </c>
      <c r="Q125" s="6">
        <v>1440</v>
      </c>
      <c r="R125" s="6">
        <v>2.8</v>
      </c>
      <c r="S125" s="6">
        <v>201712022</v>
      </c>
      <c r="T125" s="6">
        <f>INDEX(医院2县区2人!$D$2:$D$1048576,MATCH(L125,医院2县区2人!$A$2:$A$1048576,0))</f>
        <v>0</v>
      </c>
      <c r="W125" s="6" t="str">
        <f t="shared" si="5"/>
        <v>注射用奥美拉唑钠40mg</v>
      </c>
      <c r="X125" s="6" t="s">
        <v>2906</v>
      </c>
    </row>
    <row r="126" spans="1:24" x14ac:dyDescent="0.15">
      <c r="A126" s="7" t="str">
        <f t="shared" si="6"/>
        <v>201806</v>
      </c>
      <c r="C126" s="6" t="str">
        <f>INDEX(工厂基础数据!$A$2:$A$1024,MATCH(X126,工厂基础数据!$D$2:$D$1024,0))</f>
        <v>02005429</v>
      </c>
      <c r="E126" s="6" t="str">
        <f>INDEX(工厂基础数据!$B$2:$B$1024,MATCH(X126,工厂基础数据!$D$2:$D$1024,0))</f>
        <v>山东九州通医药有限公司</v>
      </c>
      <c r="F126" s="6">
        <f>INDEX(商业2转码!$B$2:$B$10000,MATCH(E126,商业2转码!$A$2:$A$10000,0))</f>
        <v>0</v>
      </c>
      <c r="G126" s="6" t="str">
        <f>INDEX(品种2编码!$A$2:$A$1048576,MATCH(W126,品种2编码!$D$2:$D$1048576,0))</f>
        <v>0020020012SWGC0007</v>
      </c>
      <c r="H126" s="6" t="s">
        <v>851</v>
      </c>
      <c r="I126" s="6" t="s">
        <v>852</v>
      </c>
      <c r="L126" s="6" t="s">
        <v>2535</v>
      </c>
      <c r="M126" s="6">
        <f>INDEX(医院2县区2人!$B$2:$B$1048576,MATCH(L126,医院2县区2人!$A$2:$A$1048576,0))</f>
        <v>2</v>
      </c>
      <c r="N126" s="6" t="str">
        <f>INDEX(医院2县区2人!$C$2:$C$1048576,MATCH(L126,医院2县区2人!$A$2:$A$1048576,0))</f>
        <v>1779</v>
      </c>
      <c r="P126" s="7">
        <v>43259</v>
      </c>
      <c r="Q126" s="6">
        <v>200</v>
      </c>
      <c r="R126" s="6">
        <v>2.8</v>
      </c>
      <c r="S126" s="6">
        <v>201711082</v>
      </c>
      <c r="T126" s="6">
        <f>INDEX(医院2县区2人!$D$2:$D$1048576,MATCH(L126,医院2县区2人!$A$2:$A$1048576,0))</f>
        <v>0</v>
      </c>
      <c r="W126" s="6" t="str">
        <f t="shared" si="5"/>
        <v>注射用奥美拉唑钠40mg</v>
      </c>
      <c r="X126" s="6" t="s">
        <v>2906</v>
      </c>
    </row>
    <row r="127" spans="1:24" x14ac:dyDescent="0.15">
      <c r="A127" s="7" t="str">
        <f t="shared" si="6"/>
        <v>201806</v>
      </c>
      <c r="C127" s="6" t="str">
        <f>INDEX(工厂基础数据!$A$2:$A$1024,MATCH(X127,工厂基础数据!$D$2:$D$1024,0))</f>
        <v>02005429</v>
      </c>
      <c r="E127" s="6" t="str">
        <f>INDEX(工厂基础数据!$B$2:$B$1024,MATCH(X127,工厂基础数据!$D$2:$D$1024,0))</f>
        <v>山东九州通医药有限公司</v>
      </c>
      <c r="F127" s="6">
        <f>INDEX(商业2转码!$B$2:$B$10000,MATCH(E127,商业2转码!$A$2:$A$10000,0))</f>
        <v>0</v>
      </c>
      <c r="G127" s="6" t="str">
        <f>INDEX(品种2编码!$A$2:$A$1048576,MATCH(W127,品种2编码!$D$2:$D$1048576,0))</f>
        <v>0020020012SWGC0007</v>
      </c>
      <c r="H127" s="6" t="s">
        <v>851</v>
      </c>
      <c r="I127" s="6" t="s">
        <v>852</v>
      </c>
      <c r="L127" s="6" t="s">
        <v>2535</v>
      </c>
      <c r="M127" s="6">
        <f>INDEX(医院2县区2人!$B$2:$B$1048576,MATCH(L127,医院2县区2人!$A$2:$A$1048576,0))</f>
        <v>2</v>
      </c>
      <c r="N127" s="6" t="str">
        <f>INDEX(医院2县区2人!$C$2:$C$1048576,MATCH(L127,医院2县区2人!$A$2:$A$1048576,0))</f>
        <v>1779</v>
      </c>
      <c r="P127" s="7">
        <v>43276</v>
      </c>
      <c r="Q127" s="6">
        <v>200</v>
      </c>
      <c r="R127" s="6">
        <v>2.8</v>
      </c>
      <c r="S127" s="6">
        <v>201712022</v>
      </c>
      <c r="T127" s="6">
        <f>INDEX(医院2县区2人!$D$2:$D$1048576,MATCH(L127,医院2县区2人!$A$2:$A$1048576,0))</f>
        <v>0</v>
      </c>
      <c r="W127" s="6" t="str">
        <f t="shared" si="5"/>
        <v>注射用奥美拉唑钠40mg</v>
      </c>
      <c r="X127" s="6" t="s">
        <v>2906</v>
      </c>
    </row>
    <row r="128" spans="1:24" x14ac:dyDescent="0.15">
      <c r="A128" s="7" t="str">
        <f t="shared" si="6"/>
        <v>201806</v>
      </c>
      <c r="C128" s="6" t="str">
        <f>INDEX(工厂基础数据!$A$2:$A$1024,MATCH(X128,工厂基础数据!$D$2:$D$1024,0))</f>
        <v>02005429</v>
      </c>
      <c r="E128" s="6" t="str">
        <f>INDEX(工厂基础数据!$B$2:$B$1024,MATCH(X128,工厂基础数据!$D$2:$D$1024,0))</f>
        <v>山东九州通医药有限公司</v>
      </c>
      <c r="F128" s="6">
        <f>INDEX(商业2转码!$B$2:$B$10000,MATCH(E128,商业2转码!$A$2:$A$10000,0))</f>
        <v>0</v>
      </c>
      <c r="G128" s="6" t="str">
        <f>INDEX(品种2编码!$A$2:$A$1048576,MATCH(W128,品种2编码!$D$2:$D$1048576,0))</f>
        <v>0020020012SWGC0007</v>
      </c>
      <c r="H128" s="6" t="s">
        <v>851</v>
      </c>
      <c r="I128" s="6" t="s">
        <v>852</v>
      </c>
      <c r="L128" s="6" t="s">
        <v>2795</v>
      </c>
      <c r="M128" s="6">
        <f>INDEX(医院2县区2人!$B$2:$B$1048576,MATCH(L128,医院2县区2人!$A$2:$A$1048576,0))</f>
        <v>2</v>
      </c>
      <c r="N128" s="6" t="str">
        <f>INDEX(医院2县区2人!$C$2:$C$1048576,MATCH(L128,医院2县区2人!$A$2:$A$1048576,0))</f>
        <v>1724</v>
      </c>
      <c r="P128" s="7">
        <v>43262</v>
      </c>
      <c r="Q128" s="6">
        <v>50</v>
      </c>
      <c r="R128" s="6">
        <v>2.8</v>
      </c>
      <c r="S128" s="6">
        <v>201711082</v>
      </c>
      <c r="T128" s="6">
        <f>INDEX(医院2县区2人!$D$2:$D$1048576,MATCH(L128,医院2县区2人!$A$2:$A$1048576,0))</f>
        <v>0</v>
      </c>
      <c r="W128" s="6" t="str">
        <f t="shared" si="5"/>
        <v>注射用奥美拉唑钠40mg</v>
      </c>
      <c r="X128" s="6" t="s">
        <v>2906</v>
      </c>
    </row>
    <row r="129" spans="1:24" x14ac:dyDescent="0.15">
      <c r="A129" s="7" t="str">
        <f t="shared" si="6"/>
        <v>201806</v>
      </c>
      <c r="C129" s="6" t="str">
        <f>INDEX(工厂基础数据!$A$2:$A$1024,MATCH(X129,工厂基础数据!$D$2:$D$1024,0))</f>
        <v>02005429</v>
      </c>
      <c r="E129" s="6" t="str">
        <f>INDEX(工厂基础数据!$B$2:$B$1024,MATCH(X129,工厂基础数据!$D$2:$D$1024,0))</f>
        <v>山东九州通医药有限公司</v>
      </c>
      <c r="F129" s="6">
        <f>INDEX(商业2转码!$B$2:$B$10000,MATCH(E129,商业2转码!$A$2:$A$10000,0))</f>
        <v>0</v>
      </c>
      <c r="G129" s="6" t="str">
        <f>INDEX(品种2编码!$A$2:$A$1048576,MATCH(W129,品种2编码!$D$2:$D$1048576,0))</f>
        <v>0020020012SWGC0007</v>
      </c>
      <c r="H129" s="6" t="s">
        <v>851</v>
      </c>
      <c r="I129" s="6" t="s">
        <v>852</v>
      </c>
      <c r="L129" s="6" t="s">
        <v>2980</v>
      </c>
      <c r="M129" s="6">
        <f>INDEX(医院2县区2人!$B$2:$B$1048576,MATCH(L129,医院2县区2人!$A$2:$A$1048576,0))</f>
        <v>0</v>
      </c>
      <c r="N129" s="6">
        <f>INDEX(医院2县区2人!$C$2:$C$1048576,MATCH(L129,医院2县区2人!$A$2:$A$1048576,0))</f>
        <v>0</v>
      </c>
      <c r="P129" s="7">
        <v>43266</v>
      </c>
      <c r="Q129" s="6">
        <v>100</v>
      </c>
      <c r="R129" s="6">
        <v>2.8</v>
      </c>
      <c r="S129" s="6">
        <v>201712022</v>
      </c>
      <c r="T129" s="6">
        <f>INDEX(医院2县区2人!$D$2:$D$1048576,MATCH(L129,医院2县区2人!$A$2:$A$1048576,0))</f>
        <v>0</v>
      </c>
      <c r="W129" s="6" t="str">
        <f t="shared" si="5"/>
        <v>注射用奥美拉唑钠40mg</v>
      </c>
      <c r="X129" s="6" t="s">
        <v>2906</v>
      </c>
    </row>
    <row r="130" spans="1:24" x14ac:dyDescent="0.15">
      <c r="A130" s="7" t="str">
        <f t="shared" si="6"/>
        <v>201806</v>
      </c>
      <c r="C130" s="6" t="str">
        <f>INDEX(工厂基础数据!$A$2:$A$1024,MATCH(X130,工厂基础数据!$D$2:$D$1024,0))</f>
        <v>02005429</v>
      </c>
      <c r="E130" s="6" t="str">
        <f>INDEX(工厂基础数据!$B$2:$B$1024,MATCH(X130,工厂基础数据!$D$2:$D$1024,0))</f>
        <v>山东九州通医药有限公司</v>
      </c>
      <c r="F130" s="6">
        <f>INDEX(商业2转码!$B$2:$B$10000,MATCH(E130,商业2转码!$A$2:$A$10000,0))</f>
        <v>0</v>
      </c>
      <c r="G130" s="6" t="str">
        <f>INDEX(品种2编码!$A$2:$A$1048576,MATCH(W130,品种2编码!$D$2:$D$1048576,0))</f>
        <v>0020020012SWGC0007</v>
      </c>
      <c r="H130" s="6" t="s">
        <v>851</v>
      </c>
      <c r="I130" s="6" t="s">
        <v>852</v>
      </c>
      <c r="L130" s="6" t="s">
        <v>2544</v>
      </c>
      <c r="M130" s="6">
        <f>INDEX(医院2县区2人!$B$2:$B$1048576,MATCH(L130,医院2县区2人!$A$2:$A$1048576,0))</f>
        <v>2</v>
      </c>
      <c r="N130" s="6" t="str">
        <f>INDEX(医院2县区2人!$C$2:$C$1048576,MATCH(L130,医院2县区2人!$A$2:$A$1048576,0))</f>
        <v>1839</v>
      </c>
      <c r="P130" s="7">
        <v>43266</v>
      </c>
      <c r="Q130" s="6">
        <v>30</v>
      </c>
      <c r="R130" s="6">
        <v>2.8</v>
      </c>
      <c r="S130" s="6">
        <v>201712022</v>
      </c>
      <c r="T130" s="6">
        <f>INDEX(医院2县区2人!$D$2:$D$1048576,MATCH(L130,医院2县区2人!$A$2:$A$1048576,0))</f>
        <v>0</v>
      </c>
      <c r="W130" s="6" t="str">
        <f t="shared" si="5"/>
        <v>注射用奥美拉唑钠40mg</v>
      </c>
      <c r="X130" s="6" t="s">
        <v>2906</v>
      </c>
    </row>
    <row r="131" spans="1:24" x14ac:dyDescent="0.15">
      <c r="A131" s="7" t="str">
        <f t="shared" si="6"/>
        <v>201806</v>
      </c>
      <c r="C131" s="6" t="str">
        <f>INDEX(工厂基础数据!$A$2:$A$1024,MATCH(X131,工厂基础数据!$D$2:$D$1024,0))</f>
        <v>02005429</v>
      </c>
      <c r="E131" s="6" t="str">
        <f>INDEX(工厂基础数据!$B$2:$B$1024,MATCH(X131,工厂基础数据!$D$2:$D$1024,0))</f>
        <v>山东九州通医药有限公司</v>
      </c>
      <c r="F131" s="6">
        <f>INDEX(商业2转码!$B$2:$B$10000,MATCH(E131,商业2转码!$A$2:$A$10000,0))</f>
        <v>0</v>
      </c>
      <c r="G131" s="6" t="str">
        <f>INDEX(品种2编码!$A$2:$A$1048576,MATCH(W131,品种2编码!$D$2:$D$1048576,0))</f>
        <v>0020020012SWGC0007</v>
      </c>
      <c r="H131" s="6" t="s">
        <v>851</v>
      </c>
      <c r="I131" s="6" t="s">
        <v>852</v>
      </c>
      <c r="L131" s="6" t="s">
        <v>2537</v>
      </c>
      <c r="M131" s="6">
        <f>INDEX(医院2县区2人!$B$2:$B$1048576,MATCH(L131,医院2县区2人!$A$2:$A$1048576,0))</f>
        <v>2</v>
      </c>
      <c r="N131" s="6" t="str">
        <f>INDEX(医院2县区2人!$C$2:$C$1048576,MATCH(L131,医院2县区2人!$A$2:$A$1048576,0))</f>
        <v>1803</v>
      </c>
      <c r="P131" s="7">
        <v>43252</v>
      </c>
      <c r="Q131" s="6">
        <v>300</v>
      </c>
      <c r="R131" s="6">
        <v>2.8</v>
      </c>
      <c r="S131" s="6">
        <v>201711082</v>
      </c>
      <c r="T131" s="6">
        <f>INDEX(医院2县区2人!$D$2:$D$1048576,MATCH(L131,医院2县区2人!$A$2:$A$1048576,0))</f>
        <v>0</v>
      </c>
      <c r="W131" s="6" t="str">
        <f t="shared" si="5"/>
        <v>注射用奥美拉唑钠40mg</v>
      </c>
      <c r="X131" s="6" t="s">
        <v>2906</v>
      </c>
    </row>
    <row r="132" spans="1:24" x14ac:dyDescent="0.15">
      <c r="A132" s="7" t="str">
        <f t="shared" si="6"/>
        <v>201806</v>
      </c>
      <c r="C132" s="6" t="str">
        <f>INDEX(工厂基础数据!$A$2:$A$1024,MATCH(X132,工厂基础数据!$D$2:$D$1024,0))</f>
        <v>02005429</v>
      </c>
      <c r="E132" s="6" t="str">
        <f>INDEX(工厂基础数据!$B$2:$B$1024,MATCH(X132,工厂基础数据!$D$2:$D$1024,0))</f>
        <v>山东九州通医药有限公司</v>
      </c>
      <c r="F132" s="6">
        <f>INDEX(商业2转码!$B$2:$B$10000,MATCH(E132,商业2转码!$A$2:$A$10000,0))</f>
        <v>0</v>
      </c>
      <c r="G132" s="6" t="str">
        <f>INDEX(品种2编码!$A$2:$A$1048576,MATCH(W132,品种2编码!$D$2:$D$1048576,0))</f>
        <v>0020020012SWGC0007</v>
      </c>
      <c r="H132" s="6" t="s">
        <v>851</v>
      </c>
      <c r="I132" s="6" t="s">
        <v>852</v>
      </c>
      <c r="L132" s="6" t="s">
        <v>2543</v>
      </c>
      <c r="M132" s="6">
        <f>INDEX(医院2县区2人!$B$2:$B$1048576,MATCH(L132,医院2县区2人!$A$2:$A$1048576,0))</f>
        <v>2</v>
      </c>
      <c r="N132" s="6" t="str">
        <f>INDEX(医院2县区2人!$C$2:$C$1048576,MATCH(L132,医院2县区2人!$A$2:$A$1048576,0))</f>
        <v>1803</v>
      </c>
      <c r="P132" s="7">
        <v>43252</v>
      </c>
      <c r="Q132" s="6">
        <v>500</v>
      </c>
      <c r="R132" s="6">
        <v>2.8</v>
      </c>
      <c r="S132" s="6">
        <v>201711082</v>
      </c>
      <c r="T132" s="6">
        <f>INDEX(医院2县区2人!$D$2:$D$1048576,MATCH(L132,医院2县区2人!$A$2:$A$1048576,0))</f>
        <v>0</v>
      </c>
      <c r="W132" s="6" t="str">
        <f t="shared" si="5"/>
        <v>注射用奥美拉唑钠40mg</v>
      </c>
      <c r="X132" s="6" t="s">
        <v>2906</v>
      </c>
    </row>
    <row r="133" spans="1:24" x14ac:dyDescent="0.15">
      <c r="A133" s="7" t="str">
        <f t="shared" si="6"/>
        <v>201806</v>
      </c>
      <c r="C133" s="6" t="str">
        <f>INDEX(工厂基础数据!$A$2:$A$1024,MATCH(X133,工厂基础数据!$D$2:$D$1024,0))</f>
        <v>02005429</v>
      </c>
      <c r="E133" s="6" t="str">
        <f>INDEX(工厂基础数据!$B$2:$B$1024,MATCH(X133,工厂基础数据!$D$2:$D$1024,0))</f>
        <v>山东九州通医药有限公司</v>
      </c>
      <c r="F133" s="6">
        <f>INDEX(商业2转码!$B$2:$B$10000,MATCH(E133,商业2转码!$A$2:$A$10000,0))</f>
        <v>0</v>
      </c>
      <c r="G133" s="6" t="str">
        <f>INDEX(品种2编码!$A$2:$A$1048576,MATCH(W133,品种2编码!$D$2:$D$1048576,0))</f>
        <v>0020020012SWGC0007</v>
      </c>
      <c r="H133" s="6" t="s">
        <v>851</v>
      </c>
      <c r="I133" s="6" t="s">
        <v>852</v>
      </c>
      <c r="L133" s="6" t="s">
        <v>2542</v>
      </c>
      <c r="M133" s="6">
        <f>INDEX(医院2县区2人!$B$2:$B$1048576,MATCH(L133,医院2县区2人!$A$2:$A$1048576,0))</f>
        <v>2</v>
      </c>
      <c r="N133" s="6" t="str">
        <f>INDEX(医院2县区2人!$C$2:$C$1048576,MATCH(L133,医院2县区2人!$A$2:$A$1048576,0))</f>
        <v>1803</v>
      </c>
      <c r="P133" s="7">
        <v>43252</v>
      </c>
      <c r="Q133" s="6">
        <v>720</v>
      </c>
      <c r="R133" s="6">
        <v>2.8</v>
      </c>
      <c r="S133" s="6">
        <v>201711082</v>
      </c>
      <c r="T133" s="6">
        <f>INDEX(医院2县区2人!$D$2:$D$1048576,MATCH(L133,医院2县区2人!$A$2:$A$1048576,0))</f>
        <v>0</v>
      </c>
      <c r="W133" s="6" t="str">
        <f t="shared" si="5"/>
        <v>注射用奥美拉唑钠40mg</v>
      </c>
      <c r="X133" s="6" t="s">
        <v>2906</v>
      </c>
    </row>
    <row r="134" spans="1:24" x14ac:dyDescent="0.15">
      <c r="A134" s="7" t="str">
        <f t="shared" si="6"/>
        <v>201806</v>
      </c>
      <c r="C134" s="6" t="str">
        <f>INDEX(工厂基础数据!$A$2:$A$1024,MATCH(X134,工厂基础数据!$D$2:$D$1024,0))</f>
        <v>02005429</v>
      </c>
      <c r="E134" s="6" t="str">
        <f>INDEX(工厂基础数据!$B$2:$B$1024,MATCH(X134,工厂基础数据!$D$2:$D$1024,0))</f>
        <v>山东九州通医药有限公司</v>
      </c>
      <c r="F134" s="6">
        <f>INDEX(商业2转码!$B$2:$B$10000,MATCH(E134,商业2转码!$A$2:$A$10000,0))</f>
        <v>0</v>
      </c>
      <c r="G134" s="6" t="str">
        <f>INDEX(品种2编码!$A$2:$A$1048576,MATCH(W134,品种2编码!$D$2:$D$1048576,0))</f>
        <v>0020020012SWGC0007</v>
      </c>
      <c r="H134" s="6" t="s">
        <v>851</v>
      </c>
      <c r="I134" s="6" t="s">
        <v>852</v>
      </c>
      <c r="L134" s="6" t="s">
        <v>2538</v>
      </c>
      <c r="M134" s="6">
        <f>INDEX(医院2县区2人!$B$2:$B$1048576,MATCH(L134,医院2县区2人!$A$2:$A$1048576,0))</f>
        <v>2</v>
      </c>
      <c r="N134" s="6" t="str">
        <f>INDEX(医院2县区2人!$C$2:$C$1048576,MATCH(L134,医院2县区2人!$A$2:$A$1048576,0))</f>
        <v>1841</v>
      </c>
      <c r="P134" s="7">
        <v>43270</v>
      </c>
      <c r="Q134" s="6">
        <v>200</v>
      </c>
      <c r="R134" s="6">
        <v>2.8</v>
      </c>
      <c r="S134" s="6">
        <v>201712022</v>
      </c>
      <c r="T134" s="6">
        <f>INDEX(医院2县区2人!$D$2:$D$1048576,MATCH(L134,医院2县区2人!$A$2:$A$1048576,0))</f>
        <v>0</v>
      </c>
      <c r="W134" s="6" t="str">
        <f t="shared" ref="W134:W196" si="7">H134&amp;I134</f>
        <v>注射用奥美拉唑钠40mg</v>
      </c>
      <c r="X134" s="6" t="s">
        <v>2906</v>
      </c>
    </row>
    <row r="135" spans="1:24" x14ac:dyDescent="0.15">
      <c r="A135" s="7" t="str">
        <f t="shared" ref="A135:A197" si="8">IF(MONTH(P135)&lt;10,YEAR(P135)&amp;"0"&amp;MONTH(P135),YEAR(P135)&amp;MONTH(P135))</f>
        <v>201806</v>
      </c>
      <c r="C135" s="6" t="str">
        <f>INDEX(工厂基础数据!$A$2:$A$1024,MATCH(X135,工厂基础数据!$D$2:$D$1024,0))</f>
        <v>02005429</v>
      </c>
      <c r="E135" s="6" t="str">
        <f>INDEX(工厂基础数据!$B$2:$B$1024,MATCH(X135,工厂基础数据!$D$2:$D$1024,0))</f>
        <v>山东九州通医药有限公司</v>
      </c>
      <c r="F135" s="6">
        <f>INDEX(商业2转码!$B$2:$B$10000,MATCH(E135,商业2转码!$A$2:$A$10000,0))</f>
        <v>0</v>
      </c>
      <c r="G135" s="6" t="str">
        <f>INDEX(品种2编码!$A$2:$A$1048576,MATCH(W135,品种2编码!$D$2:$D$1048576,0))</f>
        <v>0020020012SWGC0007</v>
      </c>
      <c r="H135" s="6" t="s">
        <v>851</v>
      </c>
      <c r="I135" s="6" t="s">
        <v>852</v>
      </c>
      <c r="L135" s="6" t="s">
        <v>2530</v>
      </c>
      <c r="M135" s="6">
        <f>INDEX(医院2县区2人!$B$2:$B$1048576,MATCH(L135,医院2县区2人!$A$2:$A$1048576,0))</f>
        <v>2</v>
      </c>
      <c r="N135" s="6" t="str">
        <f>INDEX(医院2县区2人!$C$2:$C$1048576,MATCH(L135,医院2县区2人!$A$2:$A$1048576,0))</f>
        <v>1841</v>
      </c>
      <c r="P135" s="7">
        <v>43276</v>
      </c>
      <c r="Q135" s="6">
        <v>200</v>
      </c>
      <c r="R135" s="6">
        <v>2.8</v>
      </c>
      <c r="S135" s="6">
        <v>201712022</v>
      </c>
      <c r="T135" s="6">
        <f>INDEX(医院2县区2人!$D$2:$D$1048576,MATCH(L135,医院2县区2人!$A$2:$A$1048576,0))</f>
        <v>0</v>
      </c>
      <c r="W135" s="6" t="str">
        <f t="shared" si="7"/>
        <v>注射用奥美拉唑钠40mg</v>
      </c>
      <c r="X135" s="6" t="s">
        <v>2906</v>
      </c>
    </row>
    <row r="136" spans="1:24" x14ac:dyDescent="0.15">
      <c r="A136" s="7" t="str">
        <f t="shared" si="8"/>
        <v>201806</v>
      </c>
      <c r="C136" s="6" t="str">
        <f>INDEX(工厂基础数据!$A$2:$A$1024,MATCH(X136,工厂基础数据!$D$2:$D$1024,0))</f>
        <v>02005429</v>
      </c>
      <c r="E136" s="6" t="str">
        <f>INDEX(工厂基础数据!$B$2:$B$1024,MATCH(X136,工厂基础数据!$D$2:$D$1024,0))</f>
        <v>山东九州通医药有限公司</v>
      </c>
      <c r="F136" s="6">
        <f>INDEX(商业2转码!$B$2:$B$10000,MATCH(E136,商业2转码!$A$2:$A$10000,0))</f>
        <v>0</v>
      </c>
      <c r="G136" s="6" t="str">
        <f>INDEX(品种2编码!$A$2:$A$1048576,MATCH(W136,品种2编码!$D$2:$D$1048576,0))</f>
        <v>0020020012SWGC0007</v>
      </c>
      <c r="H136" s="6" t="s">
        <v>851</v>
      </c>
      <c r="I136" s="6" t="s">
        <v>852</v>
      </c>
      <c r="L136" s="6" t="s">
        <v>2539</v>
      </c>
      <c r="M136" s="6">
        <f>INDEX(医院2县区2人!$B$2:$B$1048576,MATCH(L136,医院2县区2人!$A$2:$A$1048576,0))</f>
        <v>2</v>
      </c>
      <c r="N136" s="6" t="str">
        <f>INDEX(医院2县区2人!$C$2:$C$1048576,MATCH(L136,医院2县区2人!$A$2:$A$1048576,0))</f>
        <v>1833</v>
      </c>
      <c r="P136" s="7">
        <v>43265</v>
      </c>
      <c r="Q136" s="6">
        <v>100</v>
      </c>
      <c r="R136" s="6">
        <v>2.8</v>
      </c>
      <c r="S136" s="6">
        <v>201712022</v>
      </c>
      <c r="T136" s="6">
        <f>INDEX(医院2县区2人!$D$2:$D$1048576,MATCH(L136,医院2县区2人!$A$2:$A$1048576,0))</f>
        <v>0</v>
      </c>
      <c r="W136" s="6" t="str">
        <f t="shared" si="7"/>
        <v>注射用奥美拉唑钠40mg</v>
      </c>
      <c r="X136" s="6" t="s">
        <v>2906</v>
      </c>
    </row>
    <row r="137" spans="1:24" x14ac:dyDescent="0.15">
      <c r="A137" s="7" t="str">
        <f t="shared" si="8"/>
        <v>201806</v>
      </c>
      <c r="C137" s="6" t="str">
        <f>INDEX(工厂基础数据!$A$2:$A$1024,MATCH(X137,工厂基础数据!$D$2:$D$1024,0))</f>
        <v>02005429</v>
      </c>
      <c r="E137" s="6" t="str">
        <f>INDEX(工厂基础数据!$B$2:$B$1024,MATCH(X137,工厂基础数据!$D$2:$D$1024,0))</f>
        <v>山东九州通医药有限公司</v>
      </c>
      <c r="F137" s="6">
        <f>INDEX(商业2转码!$B$2:$B$10000,MATCH(E137,商业2转码!$A$2:$A$10000,0))</f>
        <v>0</v>
      </c>
      <c r="G137" s="6" t="str">
        <f>INDEX(品种2编码!$A$2:$A$1048576,MATCH(W137,品种2编码!$D$2:$D$1048576,0))</f>
        <v>0020020012SWGC0007</v>
      </c>
      <c r="H137" s="6" t="s">
        <v>851</v>
      </c>
      <c r="I137" s="6" t="s">
        <v>852</v>
      </c>
      <c r="L137" s="6" t="s">
        <v>2981</v>
      </c>
      <c r="M137" s="6">
        <f>INDEX(医院2县区2人!$B$2:$B$1048576,MATCH(L137,医院2县区2人!$A$2:$A$1048576,0))</f>
        <v>0</v>
      </c>
      <c r="N137" s="6">
        <f>INDEX(医院2县区2人!$C$2:$C$1048576,MATCH(L137,医院2县区2人!$A$2:$A$1048576,0))</f>
        <v>0</v>
      </c>
      <c r="P137" s="7">
        <v>43262</v>
      </c>
      <c r="Q137" s="6">
        <v>100</v>
      </c>
      <c r="R137" s="6">
        <v>2.8</v>
      </c>
      <c r="S137" s="6">
        <v>201711082</v>
      </c>
      <c r="T137" s="6">
        <f>INDEX(医院2县区2人!$D$2:$D$1048576,MATCH(L137,医院2县区2人!$A$2:$A$1048576,0))</f>
        <v>0</v>
      </c>
      <c r="W137" s="6" t="str">
        <f t="shared" si="7"/>
        <v>注射用奥美拉唑钠40mg</v>
      </c>
      <c r="X137" s="6" t="s">
        <v>2906</v>
      </c>
    </row>
    <row r="138" spans="1:24" x14ac:dyDescent="0.15">
      <c r="A138" s="7" t="str">
        <f t="shared" si="8"/>
        <v>201806</v>
      </c>
      <c r="C138" s="6" t="str">
        <f>INDEX(工厂基础数据!$A$2:$A$1024,MATCH(X138,工厂基础数据!$D$2:$D$1024,0))</f>
        <v>02005429</v>
      </c>
      <c r="E138" s="6" t="str">
        <f>INDEX(工厂基础数据!$B$2:$B$1024,MATCH(X138,工厂基础数据!$D$2:$D$1024,0))</f>
        <v>山东九州通医药有限公司</v>
      </c>
      <c r="F138" s="6">
        <f>INDEX(商业2转码!$B$2:$B$10000,MATCH(E138,商业2转码!$A$2:$A$10000,0))</f>
        <v>0</v>
      </c>
      <c r="G138" s="6" t="str">
        <f>INDEX(品种2编码!$A$2:$A$1048576,MATCH(W138,品种2编码!$D$2:$D$1048576,0))</f>
        <v>0020020012SWGC0007</v>
      </c>
      <c r="H138" s="6" t="s">
        <v>851</v>
      </c>
      <c r="I138" s="6" t="s">
        <v>852</v>
      </c>
      <c r="L138" s="6" t="s">
        <v>2981</v>
      </c>
      <c r="M138" s="6">
        <f>INDEX(医院2县区2人!$B$2:$B$1048576,MATCH(L138,医院2县区2人!$A$2:$A$1048576,0))</f>
        <v>0</v>
      </c>
      <c r="N138" s="6">
        <f>INDEX(医院2县区2人!$C$2:$C$1048576,MATCH(L138,医院2县区2人!$A$2:$A$1048576,0))</f>
        <v>0</v>
      </c>
      <c r="P138" s="7">
        <v>43276</v>
      </c>
      <c r="Q138" s="6">
        <v>100</v>
      </c>
      <c r="R138" s="6">
        <v>2.8</v>
      </c>
      <c r="S138" s="6">
        <v>201712022</v>
      </c>
      <c r="T138" s="6">
        <f>INDEX(医院2县区2人!$D$2:$D$1048576,MATCH(L138,医院2县区2人!$A$2:$A$1048576,0))</f>
        <v>0</v>
      </c>
      <c r="W138" s="6" t="str">
        <f t="shared" si="7"/>
        <v>注射用奥美拉唑钠40mg</v>
      </c>
      <c r="X138" s="6" t="s">
        <v>2906</v>
      </c>
    </row>
    <row r="139" spans="1:24" x14ac:dyDescent="0.15">
      <c r="A139" s="7" t="str">
        <f t="shared" si="8"/>
        <v>201806</v>
      </c>
      <c r="C139" s="6" t="str">
        <f>INDEX(工厂基础数据!$A$2:$A$1024,MATCH(X139,工厂基础数据!$D$2:$D$1024,0))</f>
        <v>02005429</v>
      </c>
      <c r="E139" s="6" t="str">
        <f>INDEX(工厂基础数据!$B$2:$B$1024,MATCH(X139,工厂基础数据!$D$2:$D$1024,0))</f>
        <v>山东九州通医药有限公司</v>
      </c>
      <c r="F139" s="6">
        <f>INDEX(商业2转码!$B$2:$B$10000,MATCH(E139,商业2转码!$A$2:$A$10000,0))</f>
        <v>0</v>
      </c>
      <c r="G139" s="6" t="str">
        <f>INDEX(品种2编码!$A$2:$A$1048576,MATCH(W139,品种2编码!$D$2:$D$1048576,0))</f>
        <v>0020020012SWGC0007</v>
      </c>
      <c r="H139" s="6" t="s">
        <v>851</v>
      </c>
      <c r="I139" s="6" t="s">
        <v>852</v>
      </c>
      <c r="L139" s="6" t="s">
        <v>2982</v>
      </c>
      <c r="M139" s="6">
        <f>INDEX(医院2县区2人!$B$2:$B$1048576,MATCH(L139,医院2县区2人!$A$2:$A$1048576,0))</f>
        <v>0</v>
      </c>
      <c r="N139" s="6">
        <f>INDEX(医院2县区2人!$C$2:$C$1048576,MATCH(L139,医院2县区2人!$A$2:$A$1048576,0))</f>
        <v>0</v>
      </c>
      <c r="P139" s="7">
        <v>43266</v>
      </c>
      <c r="Q139" s="6">
        <v>200</v>
      </c>
      <c r="R139" s="6">
        <v>2.8</v>
      </c>
      <c r="S139" s="6">
        <v>201712022</v>
      </c>
      <c r="T139" s="6">
        <f>INDEX(医院2县区2人!$D$2:$D$1048576,MATCH(L139,医院2县区2人!$A$2:$A$1048576,0))</f>
        <v>0</v>
      </c>
      <c r="W139" s="6" t="str">
        <f t="shared" si="7"/>
        <v>注射用奥美拉唑钠40mg</v>
      </c>
      <c r="X139" s="6" t="s">
        <v>2906</v>
      </c>
    </row>
    <row r="140" spans="1:24" x14ac:dyDescent="0.15">
      <c r="A140" s="7" t="str">
        <f t="shared" si="8"/>
        <v>201806</v>
      </c>
      <c r="C140" s="6" t="str">
        <f>INDEX(工厂基础数据!$A$2:$A$1024,MATCH(X140,工厂基础数据!$D$2:$D$1024,0))</f>
        <v>02005429</v>
      </c>
      <c r="E140" s="6" t="str">
        <f>INDEX(工厂基础数据!$B$2:$B$1024,MATCH(X140,工厂基础数据!$D$2:$D$1024,0))</f>
        <v>山东九州通医药有限公司</v>
      </c>
      <c r="F140" s="6">
        <f>INDEX(商业2转码!$B$2:$B$10000,MATCH(E140,商业2转码!$A$2:$A$10000,0))</f>
        <v>0</v>
      </c>
      <c r="G140" s="6" t="str">
        <f>INDEX(品种2编码!$A$2:$A$1048576,MATCH(W140,品种2编码!$D$2:$D$1048576,0))</f>
        <v>0020020012SWGC0007</v>
      </c>
      <c r="H140" s="6" t="s">
        <v>851</v>
      </c>
      <c r="I140" s="6" t="s">
        <v>852</v>
      </c>
      <c r="L140" s="6" t="s">
        <v>2983</v>
      </c>
      <c r="M140" s="6">
        <f>INDEX(医院2县区2人!$B$2:$B$1048576,MATCH(L140,医院2县区2人!$A$2:$A$1048576,0))</f>
        <v>0</v>
      </c>
      <c r="N140" s="6">
        <f>INDEX(医院2县区2人!$C$2:$C$1048576,MATCH(L140,医院2县区2人!$A$2:$A$1048576,0))</f>
        <v>0</v>
      </c>
      <c r="P140" s="7">
        <v>43262</v>
      </c>
      <c r="Q140" s="6">
        <v>300</v>
      </c>
      <c r="R140" s="6">
        <v>2.8</v>
      </c>
      <c r="S140" s="6">
        <v>201711082</v>
      </c>
      <c r="T140" s="6">
        <f>INDEX(医院2县区2人!$D$2:$D$1048576,MATCH(L140,医院2县区2人!$A$2:$A$1048576,0))</f>
        <v>0</v>
      </c>
      <c r="W140" s="6" t="str">
        <f t="shared" si="7"/>
        <v>注射用奥美拉唑钠40mg</v>
      </c>
      <c r="X140" s="6" t="s">
        <v>2906</v>
      </c>
    </row>
    <row r="141" spans="1:24" x14ac:dyDescent="0.15">
      <c r="A141" s="7" t="str">
        <f t="shared" si="8"/>
        <v>201806</v>
      </c>
      <c r="C141" s="6" t="str">
        <f>INDEX(工厂基础数据!$A$2:$A$1024,MATCH(X141,工厂基础数据!$D$2:$D$1024,0))</f>
        <v>02005429</v>
      </c>
      <c r="E141" s="6" t="str">
        <f>INDEX(工厂基础数据!$B$2:$B$1024,MATCH(X141,工厂基础数据!$D$2:$D$1024,0))</f>
        <v>山东九州通医药有限公司</v>
      </c>
      <c r="F141" s="6">
        <f>INDEX(商业2转码!$B$2:$B$10000,MATCH(E141,商业2转码!$A$2:$A$10000,0))</f>
        <v>0</v>
      </c>
      <c r="G141" s="6" t="str">
        <f>INDEX(品种2编码!$A$2:$A$1048576,MATCH(W141,品种2编码!$D$2:$D$1048576,0))</f>
        <v>0020020012SWGC0007</v>
      </c>
      <c r="H141" s="6" t="s">
        <v>851</v>
      </c>
      <c r="I141" s="6" t="s">
        <v>852</v>
      </c>
      <c r="L141" s="6" t="s">
        <v>2534</v>
      </c>
      <c r="M141" s="6">
        <f>INDEX(医院2县区2人!$B$2:$B$1048576,MATCH(L141,医院2县区2人!$A$2:$A$1048576,0))</f>
        <v>2</v>
      </c>
      <c r="N141" s="6" t="str">
        <f>INDEX(医院2县区2人!$C$2:$C$1048576,MATCH(L141,医院2县区2人!$A$2:$A$1048576,0))</f>
        <v>1720</v>
      </c>
      <c r="P141" s="7">
        <v>43258</v>
      </c>
      <c r="Q141" s="6">
        <v>100</v>
      </c>
      <c r="R141" s="6">
        <v>2.8</v>
      </c>
      <c r="S141" s="6">
        <v>201711082</v>
      </c>
      <c r="T141" s="6">
        <f>INDEX(医院2县区2人!$D$2:$D$1048576,MATCH(L141,医院2县区2人!$A$2:$A$1048576,0))</f>
        <v>0</v>
      </c>
      <c r="W141" s="6" t="str">
        <f t="shared" si="7"/>
        <v>注射用奥美拉唑钠40mg</v>
      </c>
      <c r="X141" s="6" t="s">
        <v>2906</v>
      </c>
    </row>
    <row r="142" spans="1:24" x14ac:dyDescent="0.15">
      <c r="A142" s="7" t="str">
        <f t="shared" si="8"/>
        <v>201806</v>
      </c>
      <c r="C142" s="6" t="str">
        <f>INDEX(工厂基础数据!$A$2:$A$1024,MATCH(X142,工厂基础数据!$D$2:$D$1024,0))</f>
        <v>02005429</v>
      </c>
      <c r="E142" s="6" t="str">
        <f>INDEX(工厂基础数据!$B$2:$B$1024,MATCH(X142,工厂基础数据!$D$2:$D$1024,0))</f>
        <v>山东九州通医药有限公司</v>
      </c>
      <c r="F142" s="6">
        <f>INDEX(商业2转码!$B$2:$B$10000,MATCH(E142,商业2转码!$A$2:$A$10000,0))</f>
        <v>0</v>
      </c>
      <c r="G142" s="6" t="str">
        <f>INDEX(品种2编码!$A$2:$A$1048576,MATCH(W142,品种2编码!$D$2:$D$1048576,0))</f>
        <v>0020020012SWGC0007</v>
      </c>
      <c r="H142" s="6" t="s">
        <v>851</v>
      </c>
      <c r="I142" s="6" t="s">
        <v>852</v>
      </c>
      <c r="L142" s="6" t="s">
        <v>2534</v>
      </c>
      <c r="M142" s="6">
        <f>INDEX(医院2县区2人!$B$2:$B$1048576,MATCH(L142,医院2县区2人!$A$2:$A$1048576,0))</f>
        <v>2</v>
      </c>
      <c r="N142" s="6" t="str">
        <f>INDEX(医院2县区2人!$C$2:$C$1048576,MATCH(L142,医院2县区2人!$A$2:$A$1048576,0))</f>
        <v>1720</v>
      </c>
      <c r="P142" s="7">
        <v>43276</v>
      </c>
      <c r="Q142" s="6">
        <v>100</v>
      </c>
      <c r="R142" s="6">
        <v>2.8</v>
      </c>
      <c r="S142" s="6">
        <v>201712022</v>
      </c>
      <c r="T142" s="6">
        <f>INDEX(医院2县区2人!$D$2:$D$1048576,MATCH(L142,医院2县区2人!$A$2:$A$1048576,0))</f>
        <v>0</v>
      </c>
      <c r="W142" s="6" t="str">
        <f t="shared" si="7"/>
        <v>注射用奥美拉唑钠40mg</v>
      </c>
      <c r="X142" s="6" t="s">
        <v>2906</v>
      </c>
    </row>
    <row r="143" spans="1:24" x14ac:dyDescent="0.15">
      <c r="A143" s="7" t="str">
        <f t="shared" si="8"/>
        <v>201806</v>
      </c>
      <c r="C143" s="6" t="str">
        <f>INDEX(工厂基础数据!$A$2:$A$1024,MATCH(X143,工厂基础数据!$D$2:$D$1024,0))</f>
        <v>02005429</v>
      </c>
      <c r="E143" s="6" t="str">
        <f>INDEX(工厂基础数据!$B$2:$B$1024,MATCH(X143,工厂基础数据!$D$2:$D$1024,0))</f>
        <v>山东九州通医药有限公司</v>
      </c>
      <c r="F143" s="6">
        <f>INDEX(商业2转码!$B$2:$B$10000,MATCH(E143,商业2转码!$A$2:$A$10000,0))</f>
        <v>0</v>
      </c>
      <c r="G143" s="6" t="str">
        <f>INDEX(品种2编码!$A$2:$A$1048576,MATCH(W143,品种2编码!$D$2:$D$1048576,0))</f>
        <v>0020020012SWGC0007</v>
      </c>
      <c r="H143" s="6" t="s">
        <v>851</v>
      </c>
      <c r="I143" s="6" t="s">
        <v>852</v>
      </c>
      <c r="L143" s="6" t="s">
        <v>2984</v>
      </c>
      <c r="M143" s="6">
        <f>INDEX(医院2县区2人!$B$2:$B$1048576,MATCH(L143,医院2县区2人!$A$2:$A$1048576,0))</f>
        <v>0</v>
      </c>
      <c r="N143" s="6">
        <f>INDEX(医院2县区2人!$C$2:$C$1048576,MATCH(L143,医院2县区2人!$A$2:$A$1048576,0))</f>
        <v>0</v>
      </c>
      <c r="P143" s="7">
        <v>43265</v>
      </c>
      <c r="Q143" s="6">
        <v>200</v>
      </c>
      <c r="R143" s="6">
        <v>2.8</v>
      </c>
      <c r="S143" s="6">
        <v>201712022</v>
      </c>
      <c r="T143" s="6">
        <f>INDEX(医院2县区2人!$D$2:$D$1048576,MATCH(L143,医院2县区2人!$A$2:$A$1048576,0))</f>
        <v>0</v>
      </c>
      <c r="W143" s="6" t="str">
        <f t="shared" si="7"/>
        <v>注射用奥美拉唑钠40mg</v>
      </c>
      <c r="X143" s="6" t="s">
        <v>2906</v>
      </c>
    </row>
    <row r="144" spans="1:24" x14ac:dyDescent="0.15">
      <c r="A144" s="7" t="str">
        <f t="shared" si="8"/>
        <v>201806</v>
      </c>
      <c r="C144" s="6" t="str">
        <f>INDEX(工厂基础数据!$A$2:$A$1024,MATCH(X144,工厂基础数据!$D$2:$D$1024,0))</f>
        <v>02005429</v>
      </c>
      <c r="E144" s="6" t="str">
        <f>INDEX(工厂基础数据!$B$2:$B$1024,MATCH(X144,工厂基础数据!$D$2:$D$1024,0))</f>
        <v>山东九州通医药有限公司</v>
      </c>
      <c r="F144" s="6">
        <f>INDEX(商业2转码!$B$2:$B$10000,MATCH(E144,商业2转码!$A$2:$A$10000,0))</f>
        <v>0</v>
      </c>
      <c r="G144" s="6" t="str">
        <f>INDEX(品种2编码!$A$2:$A$1048576,MATCH(W144,品种2编码!$D$2:$D$1048576,0))</f>
        <v>0020020012SWGC0007</v>
      </c>
      <c r="H144" s="6" t="s">
        <v>851</v>
      </c>
      <c r="I144" s="6" t="s">
        <v>852</v>
      </c>
      <c r="L144" s="6" t="s">
        <v>2798</v>
      </c>
      <c r="M144" s="6">
        <f>INDEX(医院2县区2人!$B$2:$B$1048576,MATCH(L144,医院2县区2人!$A$2:$A$1048576,0))</f>
        <v>2</v>
      </c>
      <c r="N144" s="6" t="str">
        <f>INDEX(医院2县区2人!$C$2:$C$1048576,MATCH(L144,医院2县区2人!$A$2:$A$1048576,0))</f>
        <v>1773</v>
      </c>
      <c r="P144" s="7">
        <v>43266</v>
      </c>
      <c r="Q144" s="6">
        <v>1440</v>
      </c>
      <c r="R144" s="6">
        <v>2.8</v>
      </c>
      <c r="S144" s="6">
        <v>201712022</v>
      </c>
      <c r="T144" s="6">
        <f>INDEX(医院2县区2人!$D$2:$D$1048576,MATCH(L144,医院2县区2人!$A$2:$A$1048576,0))</f>
        <v>0</v>
      </c>
      <c r="W144" s="6" t="str">
        <f t="shared" si="7"/>
        <v>注射用奥美拉唑钠40mg</v>
      </c>
      <c r="X144" s="6" t="s">
        <v>2906</v>
      </c>
    </row>
    <row r="145" spans="1:24" x14ac:dyDescent="0.15">
      <c r="A145" s="7" t="str">
        <f t="shared" si="8"/>
        <v>201806</v>
      </c>
      <c r="C145" s="6" t="str">
        <f>INDEX(工厂基础数据!$A$2:$A$1024,MATCH(X145,工厂基础数据!$D$2:$D$1024,0))</f>
        <v>02005429</v>
      </c>
      <c r="E145" s="6" t="str">
        <f>INDEX(工厂基础数据!$B$2:$B$1024,MATCH(X145,工厂基础数据!$D$2:$D$1024,0))</f>
        <v>山东九州通医药有限公司</v>
      </c>
      <c r="F145" s="6">
        <f>INDEX(商业2转码!$B$2:$B$10000,MATCH(E145,商业2转码!$A$2:$A$10000,0))</f>
        <v>0</v>
      </c>
      <c r="G145" s="6" t="str">
        <f>INDEX(品种2编码!$A$2:$A$1048576,MATCH(W145,品种2编码!$D$2:$D$1048576,0))</f>
        <v>0020020012SWGC0007</v>
      </c>
      <c r="H145" s="6" t="s">
        <v>851</v>
      </c>
      <c r="I145" s="6" t="s">
        <v>852</v>
      </c>
      <c r="L145" s="6" t="s">
        <v>2799</v>
      </c>
      <c r="M145" s="6">
        <f>INDEX(医院2县区2人!$B$2:$B$1048576,MATCH(L145,医院2县区2人!$A$2:$A$1048576,0))</f>
        <v>2</v>
      </c>
      <c r="N145" s="6" t="str">
        <f>INDEX(医院2县区2人!$C$2:$C$1048576,MATCH(L145,医院2县区2人!$A$2:$A$1048576,0))</f>
        <v>1773</v>
      </c>
      <c r="P145" s="7">
        <v>43265</v>
      </c>
      <c r="Q145" s="6">
        <v>300</v>
      </c>
      <c r="R145" s="6">
        <v>2.8</v>
      </c>
      <c r="S145" s="6">
        <v>201712022</v>
      </c>
      <c r="T145" s="6">
        <f>INDEX(医院2县区2人!$D$2:$D$1048576,MATCH(L145,医院2县区2人!$A$2:$A$1048576,0))</f>
        <v>0</v>
      </c>
      <c r="W145" s="6" t="str">
        <f t="shared" si="7"/>
        <v>注射用奥美拉唑钠40mg</v>
      </c>
      <c r="X145" s="6" t="s">
        <v>2906</v>
      </c>
    </row>
    <row r="146" spans="1:24" x14ac:dyDescent="0.15">
      <c r="A146" s="7" t="str">
        <f t="shared" si="8"/>
        <v>201806</v>
      </c>
      <c r="C146" s="6" t="str">
        <f>INDEX(工厂基础数据!$A$2:$A$1024,MATCH(X146,工厂基础数据!$D$2:$D$1024,0))</f>
        <v>02005429</v>
      </c>
      <c r="E146" s="6" t="str">
        <f>INDEX(工厂基础数据!$B$2:$B$1024,MATCH(X146,工厂基础数据!$D$2:$D$1024,0))</f>
        <v>山东九州通医药有限公司</v>
      </c>
      <c r="F146" s="6">
        <f>INDEX(商业2转码!$B$2:$B$10000,MATCH(E146,商业2转码!$A$2:$A$10000,0))</f>
        <v>0</v>
      </c>
      <c r="G146" s="6" t="str">
        <f>INDEX(品种2编码!$A$2:$A$1048576,MATCH(W146,品种2编码!$D$2:$D$1048576,0))</f>
        <v>0020020012SWGC0007</v>
      </c>
      <c r="H146" s="6" t="s">
        <v>851</v>
      </c>
      <c r="I146" s="6" t="s">
        <v>852</v>
      </c>
      <c r="L146" s="6" t="s">
        <v>2532</v>
      </c>
      <c r="M146" s="6">
        <f>INDEX(医院2县区2人!$B$2:$B$1048576,MATCH(L146,医院2县区2人!$A$2:$A$1048576,0))</f>
        <v>2</v>
      </c>
      <c r="N146" s="6" t="str">
        <f>INDEX(医院2县区2人!$C$2:$C$1048576,MATCH(L146,医院2县区2人!$A$2:$A$1048576,0))</f>
        <v>1833</v>
      </c>
      <c r="P146" s="7">
        <v>43257</v>
      </c>
      <c r="Q146" s="6">
        <v>50</v>
      </c>
      <c r="R146" s="6">
        <v>2.8</v>
      </c>
      <c r="S146" s="6">
        <v>201711082</v>
      </c>
      <c r="T146" s="6">
        <f>INDEX(医院2县区2人!$D$2:$D$1048576,MATCH(L146,医院2县区2人!$A$2:$A$1048576,0))</f>
        <v>0</v>
      </c>
      <c r="W146" s="6" t="str">
        <f t="shared" si="7"/>
        <v>注射用奥美拉唑钠40mg</v>
      </c>
      <c r="X146" s="6" t="s">
        <v>2906</v>
      </c>
    </row>
    <row r="147" spans="1:24" x14ac:dyDescent="0.15">
      <c r="A147" s="7" t="str">
        <f t="shared" si="8"/>
        <v>201806</v>
      </c>
      <c r="C147" s="6" t="str">
        <f>INDEX(工厂基础数据!$A$2:$A$1024,MATCH(X147,工厂基础数据!$D$2:$D$1024,0))</f>
        <v>02005429</v>
      </c>
      <c r="E147" s="6" t="str">
        <f>INDEX(工厂基础数据!$B$2:$B$1024,MATCH(X147,工厂基础数据!$D$2:$D$1024,0))</f>
        <v>山东九州通医药有限公司</v>
      </c>
      <c r="F147" s="6">
        <f>INDEX(商业2转码!$B$2:$B$10000,MATCH(E147,商业2转码!$A$2:$A$10000,0))</f>
        <v>0</v>
      </c>
      <c r="G147" s="6" t="str">
        <f>INDEX(品种2编码!$A$2:$A$1048576,MATCH(W147,品种2编码!$D$2:$D$1048576,0))</f>
        <v>0020020012SWGC0007</v>
      </c>
      <c r="H147" s="6" t="s">
        <v>851</v>
      </c>
      <c r="I147" s="6" t="s">
        <v>852</v>
      </c>
      <c r="L147" s="6" t="s">
        <v>2801</v>
      </c>
      <c r="M147" s="6">
        <f>INDEX(医院2县区2人!$B$2:$B$1048576,MATCH(L147,医院2县区2人!$A$2:$A$1048576,0))</f>
        <v>2</v>
      </c>
      <c r="N147" s="6" t="str">
        <f>INDEX(医院2县区2人!$C$2:$C$1048576,MATCH(L147,医院2县区2人!$A$2:$A$1048576,0))</f>
        <v>1837</v>
      </c>
      <c r="P147" s="7">
        <v>43273</v>
      </c>
      <c r="Q147" s="6">
        <v>720</v>
      </c>
      <c r="R147" s="6">
        <v>2.8</v>
      </c>
      <c r="S147" s="6">
        <v>201712022</v>
      </c>
      <c r="T147" s="6">
        <f>INDEX(医院2县区2人!$D$2:$D$1048576,MATCH(L147,医院2县区2人!$A$2:$A$1048576,0))</f>
        <v>0</v>
      </c>
      <c r="W147" s="6" t="str">
        <f t="shared" si="7"/>
        <v>注射用奥美拉唑钠40mg</v>
      </c>
      <c r="X147" s="6" t="s">
        <v>2906</v>
      </c>
    </row>
    <row r="148" spans="1:24" x14ac:dyDescent="0.15">
      <c r="A148" s="7" t="str">
        <f t="shared" si="8"/>
        <v>201806</v>
      </c>
      <c r="C148" s="6" t="str">
        <f>INDEX(工厂基础数据!$A$2:$A$1024,MATCH(X148,工厂基础数据!$D$2:$D$1024,0))</f>
        <v>02005429</v>
      </c>
      <c r="E148" s="6" t="str">
        <f>INDEX(工厂基础数据!$B$2:$B$1024,MATCH(X148,工厂基础数据!$D$2:$D$1024,0))</f>
        <v>山东九州通医药有限公司</v>
      </c>
      <c r="F148" s="6">
        <f>INDEX(商业2转码!$B$2:$B$10000,MATCH(E148,商业2转码!$A$2:$A$10000,0))</f>
        <v>0</v>
      </c>
      <c r="G148" s="6" t="str">
        <f>INDEX(品种2编码!$A$2:$A$1048576,MATCH(W148,品种2编码!$D$2:$D$1048576,0))</f>
        <v>0020020012SWGC0007</v>
      </c>
      <c r="H148" s="6" t="s">
        <v>851</v>
      </c>
      <c r="I148" s="6" t="s">
        <v>852</v>
      </c>
      <c r="L148" s="6" t="s">
        <v>2985</v>
      </c>
      <c r="M148" s="6">
        <f>INDEX(医院2县区2人!$B$2:$B$1048576,MATCH(L148,医院2县区2人!$A$2:$A$1048576,0))</f>
        <v>0</v>
      </c>
      <c r="N148" s="6">
        <f>INDEX(医院2县区2人!$C$2:$C$1048576,MATCH(L148,医院2县区2人!$A$2:$A$1048576,0))</f>
        <v>0</v>
      </c>
      <c r="P148" s="7">
        <v>43252</v>
      </c>
      <c r="Q148" s="6">
        <v>400</v>
      </c>
      <c r="R148" s="6">
        <v>2.8</v>
      </c>
      <c r="S148" s="6">
        <v>201711082</v>
      </c>
      <c r="T148" s="6">
        <f>INDEX(医院2县区2人!$D$2:$D$1048576,MATCH(L148,医院2县区2人!$A$2:$A$1048576,0))</f>
        <v>0</v>
      </c>
      <c r="W148" s="6" t="str">
        <f t="shared" si="7"/>
        <v>注射用奥美拉唑钠40mg</v>
      </c>
      <c r="X148" s="6" t="s">
        <v>2906</v>
      </c>
    </row>
    <row r="149" spans="1:24" x14ac:dyDescent="0.15">
      <c r="A149" s="7" t="str">
        <f t="shared" si="8"/>
        <v>201806</v>
      </c>
      <c r="C149" s="6" t="str">
        <f>INDEX(工厂基础数据!$A$2:$A$1024,MATCH(X149,工厂基础数据!$D$2:$D$1024,0))</f>
        <v>02005429</v>
      </c>
      <c r="E149" s="6" t="str">
        <f>INDEX(工厂基础数据!$B$2:$B$1024,MATCH(X149,工厂基础数据!$D$2:$D$1024,0))</f>
        <v>山东九州通医药有限公司</v>
      </c>
      <c r="F149" s="6">
        <f>INDEX(商业2转码!$B$2:$B$10000,MATCH(E149,商业2转码!$A$2:$A$10000,0))</f>
        <v>0</v>
      </c>
      <c r="G149" s="6" t="str">
        <f>INDEX(品种2编码!$A$2:$A$1048576,MATCH(W149,品种2编码!$D$2:$D$1048576,0))</f>
        <v>0020020012SWGC0007</v>
      </c>
      <c r="H149" s="6" t="s">
        <v>851</v>
      </c>
      <c r="I149" s="6" t="s">
        <v>852</v>
      </c>
      <c r="L149" s="6" t="s">
        <v>2802</v>
      </c>
      <c r="M149" s="6">
        <f>INDEX(医院2县区2人!$B$2:$B$1048576,MATCH(L149,医院2县区2人!$A$2:$A$1048576,0))</f>
        <v>2</v>
      </c>
      <c r="N149" s="6" t="str">
        <f>INDEX(医院2县区2人!$C$2:$C$1048576,MATCH(L149,医院2县区2人!$A$2:$A$1048576,0))</f>
        <v>1773</v>
      </c>
      <c r="P149" s="7">
        <v>43252</v>
      </c>
      <c r="Q149" s="6">
        <v>1800</v>
      </c>
      <c r="R149" s="6">
        <v>2.8</v>
      </c>
      <c r="S149" s="6">
        <v>201711082</v>
      </c>
      <c r="T149" s="6">
        <f>INDEX(医院2县区2人!$D$2:$D$1048576,MATCH(L149,医院2县区2人!$A$2:$A$1048576,0))</f>
        <v>0</v>
      </c>
      <c r="W149" s="6" t="str">
        <f t="shared" si="7"/>
        <v>注射用奥美拉唑钠40mg</v>
      </c>
      <c r="X149" s="6" t="s">
        <v>2906</v>
      </c>
    </row>
    <row r="150" spans="1:24" x14ac:dyDescent="0.15">
      <c r="A150" s="7" t="str">
        <f t="shared" si="8"/>
        <v>201806</v>
      </c>
      <c r="C150" s="6" t="str">
        <f>INDEX(工厂基础数据!$A$2:$A$1024,MATCH(X150,工厂基础数据!$D$2:$D$1024,0))</f>
        <v>02005429</v>
      </c>
      <c r="E150" s="6" t="str">
        <f>INDEX(工厂基础数据!$B$2:$B$1024,MATCH(X150,工厂基础数据!$D$2:$D$1024,0))</f>
        <v>山东九州通医药有限公司</v>
      </c>
      <c r="F150" s="6">
        <f>INDEX(商业2转码!$B$2:$B$10000,MATCH(E150,商业2转码!$A$2:$A$10000,0))</f>
        <v>0</v>
      </c>
      <c r="G150" s="6" t="str">
        <f>INDEX(品种2编码!$A$2:$A$1048576,MATCH(W150,品种2编码!$D$2:$D$1048576,0))</f>
        <v>0020020012SWGC0007</v>
      </c>
      <c r="H150" s="6" t="s">
        <v>851</v>
      </c>
      <c r="I150" s="6" t="s">
        <v>852</v>
      </c>
      <c r="L150" s="6" t="s">
        <v>2986</v>
      </c>
      <c r="M150" s="6">
        <f>INDEX(医院2县区2人!$B$2:$B$1048576,MATCH(L150,医院2县区2人!$A$2:$A$1048576,0))</f>
        <v>0</v>
      </c>
      <c r="N150" s="6">
        <f>INDEX(医院2县区2人!$C$2:$C$1048576,MATCH(L150,医院2县区2人!$A$2:$A$1048576,0))</f>
        <v>0</v>
      </c>
      <c r="P150" s="7">
        <v>43256</v>
      </c>
      <c r="Q150" s="6">
        <v>100</v>
      </c>
      <c r="R150" s="6">
        <v>2.8</v>
      </c>
      <c r="S150" s="6">
        <v>201711082</v>
      </c>
      <c r="T150" s="6">
        <f>INDEX(医院2县区2人!$D$2:$D$1048576,MATCH(L150,医院2县区2人!$A$2:$A$1048576,0))</f>
        <v>0</v>
      </c>
      <c r="W150" s="6" t="str">
        <f t="shared" si="7"/>
        <v>注射用奥美拉唑钠40mg</v>
      </c>
      <c r="X150" s="6" t="s">
        <v>2906</v>
      </c>
    </row>
    <row r="151" spans="1:24" x14ac:dyDescent="0.15">
      <c r="A151" s="7" t="str">
        <f t="shared" si="8"/>
        <v>201806</v>
      </c>
      <c r="C151" s="6" t="str">
        <f>INDEX(工厂基础数据!$A$2:$A$1024,MATCH(X151,工厂基础数据!$D$2:$D$1024,0))</f>
        <v>02005429</v>
      </c>
      <c r="E151" s="6" t="str">
        <f>INDEX(工厂基础数据!$B$2:$B$1024,MATCH(X151,工厂基础数据!$D$2:$D$1024,0))</f>
        <v>山东九州通医药有限公司</v>
      </c>
      <c r="F151" s="6">
        <f>INDEX(商业2转码!$B$2:$B$10000,MATCH(E151,商业2转码!$A$2:$A$10000,0))</f>
        <v>0</v>
      </c>
      <c r="G151" s="6" t="str">
        <f>INDEX(品种2编码!$A$2:$A$1048576,MATCH(W151,品种2编码!$D$2:$D$1048576,0))</f>
        <v>0020020012SWGC0007</v>
      </c>
      <c r="H151" s="6" t="s">
        <v>851</v>
      </c>
      <c r="I151" s="6" t="s">
        <v>852</v>
      </c>
      <c r="L151" s="6" t="s">
        <v>2987</v>
      </c>
      <c r="M151" s="6">
        <f>INDEX(医院2县区2人!$B$2:$B$1048576,MATCH(L151,医院2县区2人!$A$2:$A$1048576,0))</f>
        <v>0</v>
      </c>
      <c r="N151" s="6">
        <f>INDEX(医院2县区2人!$C$2:$C$1048576,MATCH(L151,医院2县区2人!$A$2:$A$1048576,0))</f>
        <v>0</v>
      </c>
      <c r="P151" s="7">
        <v>43256</v>
      </c>
      <c r="Q151" s="6">
        <v>200</v>
      </c>
      <c r="R151" s="6">
        <v>2.8</v>
      </c>
      <c r="S151" s="6">
        <v>201711082</v>
      </c>
      <c r="T151" s="6">
        <f>INDEX(医院2县区2人!$D$2:$D$1048576,MATCH(L151,医院2县区2人!$A$2:$A$1048576,0))</f>
        <v>0</v>
      </c>
      <c r="W151" s="6" t="str">
        <f t="shared" si="7"/>
        <v>注射用奥美拉唑钠40mg</v>
      </c>
      <c r="X151" s="6" t="s">
        <v>2906</v>
      </c>
    </row>
    <row r="152" spans="1:24" x14ac:dyDescent="0.15">
      <c r="A152" s="7" t="str">
        <f t="shared" si="8"/>
        <v>201806</v>
      </c>
      <c r="C152" s="6" t="str">
        <f>INDEX(工厂基础数据!$A$2:$A$1024,MATCH(X152,工厂基础数据!$D$2:$D$1024,0))</f>
        <v>02005429</v>
      </c>
      <c r="E152" s="6" t="str">
        <f>INDEX(工厂基础数据!$B$2:$B$1024,MATCH(X152,工厂基础数据!$D$2:$D$1024,0))</f>
        <v>山东九州通医药有限公司</v>
      </c>
      <c r="F152" s="6">
        <f>INDEX(商业2转码!$B$2:$B$10000,MATCH(E152,商业2转码!$A$2:$A$10000,0))</f>
        <v>0</v>
      </c>
      <c r="G152" s="6" t="str">
        <f>INDEX(品种2编码!$A$2:$A$1048576,MATCH(W152,品种2编码!$D$2:$D$1048576,0))</f>
        <v>0020020012SWGC0007</v>
      </c>
      <c r="H152" s="6" t="s">
        <v>851</v>
      </c>
      <c r="I152" s="6" t="s">
        <v>852</v>
      </c>
      <c r="L152" s="6" t="s">
        <v>2988</v>
      </c>
      <c r="M152" s="6">
        <f>INDEX(医院2县区2人!$B$2:$B$1048576,MATCH(L152,医院2县区2人!$A$2:$A$1048576,0))</f>
        <v>0</v>
      </c>
      <c r="N152" s="6">
        <f>INDEX(医院2县区2人!$C$2:$C$1048576,MATCH(L152,医院2县区2人!$A$2:$A$1048576,0))</f>
        <v>0</v>
      </c>
      <c r="P152" s="7">
        <v>43270</v>
      </c>
      <c r="Q152" s="6">
        <v>720</v>
      </c>
      <c r="R152" s="6">
        <v>2.8</v>
      </c>
      <c r="S152" s="6">
        <v>201712022</v>
      </c>
      <c r="T152" s="6">
        <f>INDEX(医院2县区2人!$D$2:$D$1048576,MATCH(L152,医院2县区2人!$A$2:$A$1048576,0))</f>
        <v>0</v>
      </c>
      <c r="W152" s="6" t="str">
        <f t="shared" si="7"/>
        <v>注射用奥美拉唑钠40mg</v>
      </c>
      <c r="X152" s="6" t="s">
        <v>2906</v>
      </c>
    </row>
    <row r="153" spans="1:24" x14ac:dyDescent="0.15">
      <c r="A153" s="7" t="str">
        <f t="shared" si="8"/>
        <v>201806</v>
      </c>
      <c r="C153" s="6" t="str">
        <f>INDEX(工厂基础数据!$A$2:$A$1024,MATCH(X153,工厂基础数据!$D$2:$D$1024,0))</f>
        <v>02005429</v>
      </c>
      <c r="E153" s="6" t="str">
        <f>INDEX(工厂基础数据!$B$2:$B$1024,MATCH(X153,工厂基础数据!$D$2:$D$1024,0))</f>
        <v>山东九州通医药有限公司</v>
      </c>
      <c r="F153" s="6">
        <f>INDEX(商业2转码!$B$2:$B$10000,MATCH(E153,商业2转码!$A$2:$A$10000,0))</f>
        <v>0</v>
      </c>
      <c r="G153" s="6" t="str">
        <f>INDEX(品种2编码!$A$2:$A$1048576,MATCH(W153,品种2编码!$D$2:$D$1048576,0))</f>
        <v>0020020012SWGC0007</v>
      </c>
      <c r="H153" s="6" t="s">
        <v>851</v>
      </c>
      <c r="I153" s="6" t="s">
        <v>852</v>
      </c>
      <c r="L153" s="6" t="s">
        <v>2522</v>
      </c>
      <c r="M153" s="6">
        <f>INDEX(医院2县区2人!$B$2:$B$1048576,MATCH(L153,医院2县区2人!$A$2:$A$1048576,0))</f>
        <v>2</v>
      </c>
      <c r="N153" s="6" t="str">
        <f>INDEX(医院2县区2人!$C$2:$C$1048576,MATCH(L153,医院2县区2人!$A$2:$A$1048576,0))</f>
        <v>1723</v>
      </c>
      <c r="P153" s="7">
        <v>43272</v>
      </c>
      <c r="Q153" s="6">
        <v>500</v>
      </c>
      <c r="R153" s="6">
        <v>2.8</v>
      </c>
      <c r="S153" s="6">
        <v>201712022</v>
      </c>
      <c r="T153" s="6">
        <f>INDEX(医院2县区2人!$D$2:$D$1048576,MATCH(L153,医院2县区2人!$A$2:$A$1048576,0))</f>
        <v>0</v>
      </c>
      <c r="W153" s="6" t="str">
        <f t="shared" si="7"/>
        <v>注射用奥美拉唑钠40mg</v>
      </c>
      <c r="X153" s="6" t="s">
        <v>2906</v>
      </c>
    </row>
    <row r="154" spans="1:24" x14ac:dyDescent="0.15">
      <c r="A154" s="7" t="str">
        <f t="shared" si="8"/>
        <v>201806</v>
      </c>
      <c r="C154" s="6" t="str">
        <f>INDEX(工厂基础数据!$A$2:$A$1024,MATCH(X154,工厂基础数据!$D$2:$D$1024,0))</f>
        <v>02005429</v>
      </c>
      <c r="E154" s="6" t="str">
        <f>INDEX(工厂基础数据!$B$2:$B$1024,MATCH(X154,工厂基础数据!$D$2:$D$1024,0))</f>
        <v>山东九州通医药有限公司</v>
      </c>
      <c r="F154" s="6">
        <f>INDEX(商业2转码!$B$2:$B$10000,MATCH(E154,商业2转码!$A$2:$A$10000,0))</f>
        <v>0</v>
      </c>
      <c r="G154" s="6" t="str">
        <f>INDEX(品种2编码!$A$2:$A$1048576,MATCH(W154,品种2编码!$D$2:$D$1048576,0))</f>
        <v>0020020012SWGC0007</v>
      </c>
      <c r="H154" s="6" t="s">
        <v>851</v>
      </c>
      <c r="I154" s="6" t="s">
        <v>852</v>
      </c>
      <c r="L154" s="6" t="s">
        <v>2989</v>
      </c>
      <c r="M154" s="6">
        <f>INDEX(医院2县区2人!$B$2:$B$1048576,MATCH(L154,医院2县区2人!$A$2:$A$1048576,0))</f>
        <v>0</v>
      </c>
      <c r="N154" s="6">
        <f>INDEX(医院2县区2人!$C$2:$C$1048576,MATCH(L154,医院2县区2人!$A$2:$A$1048576,0))</f>
        <v>0</v>
      </c>
      <c r="P154" s="7">
        <v>43263</v>
      </c>
      <c r="Q154" s="6">
        <v>400</v>
      </c>
      <c r="R154" s="6">
        <v>2.8</v>
      </c>
      <c r="S154" s="6">
        <v>201712022</v>
      </c>
      <c r="T154" s="6">
        <f>INDEX(医院2县区2人!$D$2:$D$1048576,MATCH(L154,医院2县区2人!$A$2:$A$1048576,0))</f>
        <v>0</v>
      </c>
      <c r="W154" s="6" t="str">
        <f t="shared" si="7"/>
        <v>注射用奥美拉唑钠40mg</v>
      </c>
      <c r="X154" s="6" t="s">
        <v>2906</v>
      </c>
    </row>
    <row r="155" spans="1:24" x14ac:dyDescent="0.15">
      <c r="A155" s="7" t="str">
        <f t="shared" si="8"/>
        <v>201806</v>
      </c>
      <c r="C155" s="6" t="str">
        <f>INDEX(工厂基础数据!$A$2:$A$1024,MATCH(X155,工厂基础数据!$D$2:$D$1024,0))</f>
        <v>02005429</v>
      </c>
      <c r="E155" s="6" t="str">
        <f>INDEX(工厂基础数据!$B$2:$B$1024,MATCH(X155,工厂基础数据!$D$2:$D$1024,0))</f>
        <v>山东九州通医药有限公司</v>
      </c>
      <c r="F155" s="6">
        <f>INDEX(商业2转码!$B$2:$B$10000,MATCH(E155,商业2转码!$A$2:$A$10000,0))</f>
        <v>0</v>
      </c>
      <c r="G155" s="6" t="str">
        <f>INDEX(品种2编码!$A$2:$A$1048576,MATCH(W155,品种2编码!$D$2:$D$1048576,0))</f>
        <v>0020020012SWGC0007</v>
      </c>
      <c r="H155" s="6" t="s">
        <v>851</v>
      </c>
      <c r="I155" s="6" t="s">
        <v>852</v>
      </c>
      <c r="L155" s="6" t="s">
        <v>2990</v>
      </c>
      <c r="M155" s="6">
        <f>INDEX(医院2县区2人!$B$2:$B$1048576,MATCH(L155,医院2县区2人!$A$2:$A$1048576,0))</f>
        <v>0</v>
      </c>
      <c r="N155" s="6">
        <f>INDEX(医院2县区2人!$C$2:$C$1048576,MATCH(L155,医院2县区2人!$A$2:$A$1048576,0))</f>
        <v>0</v>
      </c>
      <c r="P155" s="7">
        <v>43255</v>
      </c>
      <c r="Q155" s="6">
        <v>10</v>
      </c>
      <c r="R155" s="6">
        <v>2.8</v>
      </c>
      <c r="S155" s="6">
        <v>201711082</v>
      </c>
      <c r="T155" s="6">
        <f>INDEX(医院2县区2人!$D$2:$D$1048576,MATCH(L155,医院2县区2人!$A$2:$A$1048576,0))</f>
        <v>0</v>
      </c>
      <c r="W155" s="6" t="str">
        <f t="shared" si="7"/>
        <v>注射用奥美拉唑钠40mg</v>
      </c>
      <c r="X155" s="6" t="s">
        <v>2906</v>
      </c>
    </row>
    <row r="156" spans="1:24" x14ac:dyDescent="0.15">
      <c r="A156" s="7" t="str">
        <f t="shared" si="8"/>
        <v>201806</v>
      </c>
      <c r="C156" s="6" t="str">
        <f>INDEX(工厂基础数据!$A$2:$A$1024,MATCH(X156,工厂基础数据!$D$2:$D$1024,0))</f>
        <v>02005429</v>
      </c>
      <c r="E156" s="6" t="str">
        <f>INDEX(工厂基础数据!$B$2:$B$1024,MATCH(X156,工厂基础数据!$D$2:$D$1024,0))</f>
        <v>山东九州通医药有限公司</v>
      </c>
      <c r="F156" s="6">
        <f>INDEX(商业2转码!$B$2:$B$10000,MATCH(E156,商业2转码!$A$2:$A$10000,0))</f>
        <v>0</v>
      </c>
      <c r="G156" s="6" t="str">
        <f>INDEX(品种2编码!$A$2:$A$1048576,MATCH(W156,品种2编码!$D$2:$D$1048576,0))</f>
        <v>0020020012SWGC0007</v>
      </c>
      <c r="H156" s="6" t="s">
        <v>851</v>
      </c>
      <c r="I156" s="6" t="s">
        <v>852</v>
      </c>
      <c r="L156" s="6" t="s">
        <v>2991</v>
      </c>
      <c r="M156" s="6">
        <f>INDEX(医院2县区2人!$B$2:$B$1048576,MATCH(L156,医院2县区2人!$A$2:$A$1048576,0))</f>
        <v>0</v>
      </c>
      <c r="N156" s="6">
        <f>INDEX(医院2县区2人!$C$2:$C$1048576,MATCH(L156,医院2县区2人!$A$2:$A$1048576,0))</f>
        <v>0</v>
      </c>
      <c r="P156" s="7">
        <v>43266</v>
      </c>
      <c r="Q156" s="6">
        <v>30</v>
      </c>
      <c r="R156" s="6">
        <v>2.8</v>
      </c>
      <c r="S156" s="6">
        <v>201712022</v>
      </c>
      <c r="T156" s="6">
        <f>INDEX(医院2县区2人!$D$2:$D$1048576,MATCH(L156,医院2县区2人!$A$2:$A$1048576,0))</f>
        <v>0</v>
      </c>
      <c r="W156" s="6" t="str">
        <f t="shared" si="7"/>
        <v>注射用奥美拉唑钠40mg</v>
      </c>
      <c r="X156" s="6" t="s">
        <v>2906</v>
      </c>
    </row>
    <row r="157" spans="1:24" x14ac:dyDescent="0.15">
      <c r="A157" s="7" t="str">
        <f t="shared" si="8"/>
        <v>201806</v>
      </c>
      <c r="C157" s="6" t="str">
        <f>INDEX(工厂基础数据!$A$2:$A$1024,MATCH(X157,工厂基础数据!$D$2:$D$1024,0))</f>
        <v>02005429</v>
      </c>
      <c r="E157" s="6" t="str">
        <f>INDEX(工厂基础数据!$B$2:$B$1024,MATCH(X157,工厂基础数据!$D$2:$D$1024,0))</f>
        <v>山东九州通医药有限公司</v>
      </c>
      <c r="F157" s="6">
        <f>INDEX(商业2转码!$B$2:$B$10000,MATCH(E157,商业2转码!$A$2:$A$10000,0))</f>
        <v>0</v>
      </c>
      <c r="G157" s="6" t="str">
        <f>INDEX(品种2编码!$A$2:$A$1048576,MATCH(W157,品种2编码!$D$2:$D$1048576,0))</f>
        <v>0020020012SWGC0007</v>
      </c>
      <c r="H157" s="6" t="s">
        <v>851</v>
      </c>
      <c r="I157" s="6" t="s">
        <v>852</v>
      </c>
      <c r="L157" s="6" t="s">
        <v>2992</v>
      </c>
      <c r="M157" s="6">
        <f>INDEX(医院2县区2人!$B$2:$B$1048576,MATCH(L157,医院2县区2人!$A$2:$A$1048576,0))</f>
        <v>0</v>
      </c>
      <c r="N157" s="6">
        <f>INDEX(医院2县区2人!$C$2:$C$1048576,MATCH(L157,医院2县区2人!$A$2:$A$1048576,0))</f>
        <v>0</v>
      </c>
      <c r="P157" s="7">
        <v>43258</v>
      </c>
      <c r="Q157" s="6">
        <v>10</v>
      </c>
      <c r="R157" s="6">
        <v>2.8</v>
      </c>
      <c r="S157" s="6">
        <v>201711082</v>
      </c>
      <c r="T157" s="6">
        <f>INDEX(医院2县区2人!$D$2:$D$1048576,MATCH(L157,医院2县区2人!$A$2:$A$1048576,0))</f>
        <v>0</v>
      </c>
      <c r="W157" s="6" t="str">
        <f t="shared" si="7"/>
        <v>注射用奥美拉唑钠40mg</v>
      </c>
      <c r="X157" s="6" t="s">
        <v>2906</v>
      </c>
    </row>
    <row r="158" spans="1:24" x14ac:dyDescent="0.15">
      <c r="A158" s="7" t="str">
        <f t="shared" si="8"/>
        <v>201806</v>
      </c>
      <c r="C158" s="6" t="str">
        <f>INDEX(工厂基础数据!$A$2:$A$1024,MATCH(X158,工厂基础数据!$D$2:$D$1024,0))</f>
        <v>02005429</v>
      </c>
      <c r="E158" s="6" t="str">
        <f>INDEX(工厂基础数据!$B$2:$B$1024,MATCH(X158,工厂基础数据!$D$2:$D$1024,0))</f>
        <v>山东九州通医药有限公司</v>
      </c>
      <c r="F158" s="6">
        <f>INDEX(商业2转码!$B$2:$B$10000,MATCH(E158,商业2转码!$A$2:$A$10000,0))</f>
        <v>0</v>
      </c>
      <c r="G158" s="6" t="str">
        <f>INDEX(品种2编码!$A$2:$A$1048576,MATCH(W158,品种2编码!$D$2:$D$1048576,0))</f>
        <v>0020020012SWGC0007</v>
      </c>
      <c r="H158" s="6" t="s">
        <v>851</v>
      </c>
      <c r="I158" s="6" t="s">
        <v>852</v>
      </c>
      <c r="L158" s="6" t="s">
        <v>2993</v>
      </c>
      <c r="M158" s="6">
        <f>INDEX(医院2县区2人!$B$2:$B$1048576,MATCH(L158,医院2县区2人!$A$2:$A$1048576,0))</f>
        <v>0</v>
      </c>
      <c r="N158" s="6">
        <f>INDEX(医院2县区2人!$C$2:$C$1048576,MATCH(L158,医院2县区2人!$A$2:$A$1048576,0))</f>
        <v>0</v>
      </c>
      <c r="P158" s="7">
        <v>43255</v>
      </c>
      <c r="Q158" s="6">
        <v>20</v>
      </c>
      <c r="R158" s="6">
        <v>2.8</v>
      </c>
      <c r="S158" s="6">
        <v>201711082</v>
      </c>
      <c r="T158" s="6">
        <f>INDEX(医院2县区2人!$D$2:$D$1048576,MATCH(L158,医院2县区2人!$A$2:$A$1048576,0))</f>
        <v>0</v>
      </c>
      <c r="W158" s="6" t="str">
        <f t="shared" si="7"/>
        <v>注射用奥美拉唑钠40mg</v>
      </c>
      <c r="X158" s="6" t="s">
        <v>2906</v>
      </c>
    </row>
    <row r="159" spans="1:24" x14ac:dyDescent="0.15">
      <c r="A159" s="7" t="str">
        <f t="shared" si="8"/>
        <v>201806</v>
      </c>
      <c r="C159" s="6" t="str">
        <f>INDEX(工厂基础数据!$A$2:$A$1024,MATCH(X159,工厂基础数据!$D$2:$D$1024,0))</f>
        <v>02005429</v>
      </c>
      <c r="E159" s="6" t="str">
        <f>INDEX(工厂基础数据!$B$2:$B$1024,MATCH(X159,工厂基础数据!$D$2:$D$1024,0))</f>
        <v>山东九州通医药有限公司</v>
      </c>
      <c r="F159" s="6">
        <f>INDEX(商业2转码!$B$2:$B$10000,MATCH(E159,商业2转码!$A$2:$A$10000,0))</f>
        <v>0</v>
      </c>
      <c r="G159" s="6">
        <f>INDEX(品种2编码!$A$2:$A$1048576,MATCH(W159,品种2编码!$D$2:$D$1048576,0))</f>
        <v>0</v>
      </c>
      <c r="H159" s="6" t="s">
        <v>2927</v>
      </c>
      <c r="I159" s="6" t="s">
        <v>785</v>
      </c>
      <c r="L159" s="6" t="s">
        <v>2994</v>
      </c>
      <c r="M159" s="6">
        <f>INDEX(医院2县区2人!$B$2:$B$1048576,MATCH(L159,医院2县区2人!$A$2:$A$1048576,0))</f>
        <v>0</v>
      </c>
      <c r="N159" s="6">
        <f>INDEX(医院2县区2人!$C$2:$C$1048576,MATCH(L159,医院2县区2人!$A$2:$A$1048576,0))</f>
        <v>0</v>
      </c>
      <c r="P159" s="7">
        <v>43257</v>
      </c>
      <c r="Q159" s="6">
        <v>300</v>
      </c>
      <c r="R159" s="6">
        <v>22.6</v>
      </c>
      <c r="S159" s="6">
        <v>201801022</v>
      </c>
      <c r="T159" s="6">
        <f>INDEX(医院2县区2人!$D$2:$D$1048576,MATCH(L159,医院2县区2人!$A$2:$A$1048576,0))</f>
        <v>0</v>
      </c>
      <c r="W159" s="6" t="str">
        <f t="shared" si="7"/>
        <v>重组人促红素注射液(CHO细胞)(雪达升)3000IU</v>
      </c>
      <c r="X159" s="6" t="s">
        <v>2906</v>
      </c>
    </row>
    <row r="160" spans="1:24" x14ac:dyDescent="0.15">
      <c r="A160" s="7" t="str">
        <f t="shared" si="8"/>
        <v>201806</v>
      </c>
      <c r="C160" s="6" t="str">
        <f>INDEX(工厂基础数据!$A$2:$A$1024,MATCH(X160,工厂基础数据!$D$2:$D$1024,0))</f>
        <v>02005429</v>
      </c>
      <c r="E160" s="6" t="str">
        <f>INDEX(工厂基础数据!$B$2:$B$1024,MATCH(X160,工厂基础数据!$D$2:$D$1024,0))</f>
        <v>山东九州通医药有限公司</v>
      </c>
      <c r="F160" s="6">
        <f>INDEX(商业2转码!$B$2:$B$10000,MATCH(E160,商业2转码!$A$2:$A$10000,0))</f>
        <v>0</v>
      </c>
      <c r="G160" s="6">
        <f>INDEX(品种2编码!$A$2:$A$1048576,MATCH(W160,品种2编码!$D$2:$D$1048576,0))</f>
        <v>0</v>
      </c>
      <c r="H160" s="6" t="s">
        <v>2927</v>
      </c>
      <c r="I160" s="6" t="s">
        <v>785</v>
      </c>
      <c r="L160" s="6" t="s">
        <v>2994</v>
      </c>
      <c r="M160" s="6">
        <f>INDEX(医院2县区2人!$B$2:$B$1048576,MATCH(L160,医院2县区2人!$A$2:$A$1048576,0))</f>
        <v>0</v>
      </c>
      <c r="N160" s="6">
        <f>INDEX(医院2县区2人!$C$2:$C$1048576,MATCH(L160,医院2县区2人!$A$2:$A$1048576,0))</f>
        <v>0</v>
      </c>
      <c r="P160" s="7">
        <v>43271</v>
      </c>
      <c r="Q160" s="6">
        <v>300</v>
      </c>
      <c r="R160" s="6">
        <v>22.6</v>
      </c>
      <c r="S160" s="6">
        <v>201801022</v>
      </c>
      <c r="T160" s="6">
        <f>INDEX(医院2县区2人!$D$2:$D$1048576,MATCH(L160,医院2县区2人!$A$2:$A$1048576,0))</f>
        <v>0</v>
      </c>
      <c r="W160" s="6" t="str">
        <f t="shared" si="7"/>
        <v>重组人促红素注射液(CHO细胞)(雪达升)3000IU</v>
      </c>
      <c r="X160" s="6" t="s">
        <v>2906</v>
      </c>
    </row>
    <row r="161" spans="1:24" x14ac:dyDescent="0.15">
      <c r="A161" s="7" t="str">
        <f t="shared" si="8"/>
        <v>201806</v>
      </c>
      <c r="C161" s="6" t="str">
        <f>INDEX(工厂基础数据!$A$2:$A$1024,MATCH(X161,工厂基础数据!$D$2:$D$1024,0))</f>
        <v>02005429</v>
      </c>
      <c r="E161" s="6" t="str">
        <f>INDEX(工厂基础数据!$B$2:$B$1024,MATCH(X161,工厂基础数据!$D$2:$D$1024,0))</f>
        <v>山东九州通医药有限公司</v>
      </c>
      <c r="F161" s="6">
        <f>INDEX(商业2转码!$B$2:$B$10000,MATCH(E161,商业2转码!$A$2:$A$10000,0))</f>
        <v>0</v>
      </c>
      <c r="G161" s="6">
        <f>INDEX(品种2编码!$A$2:$A$1048576,MATCH(W161,品种2编码!$D$2:$D$1048576,0))</f>
        <v>0</v>
      </c>
      <c r="H161" s="6" t="s">
        <v>2928</v>
      </c>
      <c r="I161" s="6" t="s">
        <v>2936</v>
      </c>
      <c r="L161" s="6" t="s">
        <v>2818</v>
      </c>
      <c r="M161" s="6">
        <f>INDEX(医院2县区2人!$B$2:$B$1048576,MATCH(L161,医院2县区2人!$A$2:$A$1048576,0))</f>
        <v>3</v>
      </c>
      <c r="N161" s="6" t="str">
        <f>INDEX(医院2县区2人!$C$2:$C$1048576,MATCH(L161,医院2县区2人!$A$2:$A$1048576,0))</f>
        <v>1855</v>
      </c>
      <c r="P161" s="7">
        <v>43276</v>
      </c>
      <c r="Q161" s="6">
        <v>300</v>
      </c>
      <c r="R161" s="6">
        <v>20.64</v>
      </c>
      <c r="S161" s="6">
        <v>1801710</v>
      </c>
      <c r="T161" s="6" t="str">
        <f>INDEX(医院2县区2人!$D$2:$D$1048576,MATCH(L161,医院2县区2人!$A$2:$A$1048576,0))</f>
        <v>201602151421097</v>
      </c>
      <c r="W161" s="6" t="str">
        <f t="shared" si="7"/>
        <v>注射用丹参(冻干)0.4g</v>
      </c>
      <c r="X161" s="6" t="s">
        <v>2906</v>
      </c>
    </row>
    <row r="162" spans="1:24" x14ac:dyDescent="0.15">
      <c r="A162" s="7" t="str">
        <f t="shared" si="8"/>
        <v>201806</v>
      </c>
      <c r="C162" s="6" t="str">
        <f>INDEX(工厂基础数据!$A$2:$A$1024,MATCH(X162,工厂基础数据!$D$2:$D$1024,0))</f>
        <v>02025767</v>
      </c>
      <c r="E162" s="6" t="str">
        <f>INDEX(工厂基础数据!$B$2:$B$1024,MATCH(X162,工厂基础数据!$D$2:$D$1024,0))</f>
        <v>滨州市仁信医药有限公司</v>
      </c>
      <c r="F162" s="6">
        <f>INDEX(商业2转码!$B$2:$B$10000,MATCH(E162,商业2转码!$A$2:$A$10000,0))</f>
        <v>0</v>
      </c>
      <c r="G162" s="6" t="str">
        <f>INDEX(品种2编码!$A$2:$A$1048576,MATCH(W162,品种2编码!$D$2:$D$1048576,0))</f>
        <v>0020020021ZYLC0004</v>
      </c>
      <c r="H162" s="6" t="s">
        <v>1899</v>
      </c>
      <c r="I162" s="6" t="s">
        <v>1869</v>
      </c>
      <c r="J162" s="6" t="s">
        <v>3036</v>
      </c>
      <c r="L162" s="6" t="s">
        <v>2279</v>
      </c>
      <c r="M162" s="6">
        <f>INDEX(医院2县区2人!$B$2:$B$1048576,MATCH(L162,医院2县区2人!$A$2:$A$1048576,0))</f>
        <v>4</v>
      </c>
      <c r="N162" s="6" t="str">
        <f>INDEX(医院2县区2人!$C$2:$C$1048576,MATCH(L162,医院2县区2人!$A$2:$A$1048576,0))</f>
        <v>1855</v>
      </c>
      <c r="P162" s="7">
        <v>43253.736770833333</v>
      </c>
      <c r="Q162" s="6">
        <v>10</v>
      </c>
      <c r="R162" s="6">
        <v>8</v>
      </c>
      <c r="S162" s="6">
        <v>180201</v>
      </c>
      <c r="T162" s="6" t="str">
        <f>INDEX(医院2县区2人!$D$2:$D$1048576,MATCH(L162,医院2县区2人!$A$2:$A$1048576,0))</f>
        <v>201602151421097</v>
      </c>
      <c r="W162" s="6" t="str">
        <f t="shared" si="7"/>
        <v>大严迪片/罗红霉素分散片75mg*12片</v>
      </c>
      <c r="X162" s="6" t="s">
        <v>2890</v>
      </c>
    </row>
    <row r="163" spans="1:24" x14ac:dyDescent="0.15">
      <c r="A163" s="7" t="str">
        <f t="shared" si="8"/>
        <v>201806</v>
      </c>
      <c r="C163" s="6" t="str">
        <f>INDEX(工厂基础数据!$A$2:$A$1024,MATCH(X163,工厂基础数据!$D$2:$D$1024,0))</f>
        <v>02025767</v>
      </c>
      <c r="E163" s="6" t="str">
        <f>INDEX(工厂基础数据!$B$2:$B$1024,MATCH(X163,工厂基础数据!$D$2:$D$1024,0))</f>
        <v>滨州市仁信医药有限公司</v>
      </c>
      <c r="F163" s="6">
        <f>INDEX(商业2转码!$B$2:$B$10000,MATCH(E163,商业2转码!$A$2:$A$10000,0))</f>
        <v>0</v>
      </c>
      <c r="G163" s="6" t="str">
        <f>INDEX(品种2编码!$A$2:$A$1048576,MATCH(W163,品种2编码!$D$2:$D$1048576,0))</f>
        <v>0020030040SHYT0010</v>
      </c>
      <c r="H163" s="6" t="s">
        <v>317</v>
      </c>
      <c r="I163" s="6" t="s">
        <v>1848</v>
      </c>
      <c r="J163" s="6" t="s">
        <v>3037</v>
      </c>
      <c r="L163" s="6" t="s">
        <v>2279</v>
      </c>
      <c r="M163" s="6">
        <f>INDEX(医院2县区2人!$B$2:$B$1048576,MATCH(L163,医院2县区2人!$A$2:$A$1048576,0))</f>
        <v>4</v>
      </c>
      <c r="N163" s="6" t="str">
        <f>INDEX(医院2县区2人!$C$2:$C$1048576,MATCH(L163,医院2县区2人!$A$2:$A$1048576,0))</f>
        <v>1855</v>
      </c>
      <c r="P163" s="7">
        <v>43253.736805555556</v>
      </c>
      <c r="Q163" s="6">
        <v>10</v>
      </c>
      <c r="R163" s="6">
        <v>12.5</v>
      </c>
      <c r="S163" s="6">
        <v>1801608</v>
      </c>
      <c r="T163" s="6" t="str">
        <f>INDEX(医院2县区2人!$D$2:$D$1048576,MATCH(L163,医院2县区2人!$A$2:$A$1048576,0))</f>
        <v>201602151421097</v>
      </c>
      <c r="W163" s="6" t="str">
        <f t="shared" si="7"/>
        <v>布洛芬颗粒0.2g*12袋</v>
      </c>
      <c r="X163" s="6" t="s">
        <v>2890</v>
      </c>
    </row>
    <row r="164" spans="1:24" x14ac:dyDescent="0.15">
      <c r="A164" s="7" t="str">
        <f t="shared" si="8"/>
        <v>201806</v>
      </c>
      <c r="C164" s="6" t="str">
        <f>INDEX(工厂基础数据!$A$2:$A$1024,MATCH(X164,工厂基础数据!$D$2:$D$1024,0))</f>
        <v>02025767</v>
      </c>
      <c r="E164" s="6" t="str">
        <f>INDEX(工厂基础数据!$B$2:$B$1024,MATCH(X164,工厂基础数据!$D$2:$D$1024,0))</f>
        <v>滨州市仁信医药有限公司</v>
      </c>
      <c r="F164" s="6">
        <f>INDEX(商业2转码!$B$2:$B$10000,MATCH(E164,商业2转码!$A$2:$A$10000,0))</f>
        <v>0</v>
      </c>
      <c r="G164" s="6" t="str">
        <f>INDEX(品种2编码!$A$2:$A$1048576,MATCH(W164,品种2编码!$D$2:$D$1048576,0))</f>
        <v>0020070000ZYLC0003</v>
      </c>
      <c r="H164" s="6" t="s">
        <v>722</v>
      </c>
      <c r="I164" s="6" t="s">
        <v>1909</v>
      </c>
      <c r="J164" s="6" t="s">
        <v>3036</v>
      </c>
      <c r="L164" s="6" t="s">
        <v>2279</v>
      </c>
      <c r="M164" s="6">
        <f>INDEX(医院2县区2人!$B$2:$B$1048576,MATCH(L164,医院2县区2人!$A$2:$A$1048576,0))</f>
        <v>4</v>
      </c>
      <c r="N164" s="6" t="str">
        <f>INDEX(医院2县区2人!$C$2:$C$1048576,MATCH(L164,医院2县区2人!$A$2:$A$1048576,0))</f>
        <v>1855</v>
      </c>
      <c r="P164" s="7">
        <v>43253.736701388887</v>
      </c>
      <c r="Q164" s="6">
        <v>10</v>
      </c>
      <c r="R164" s="6">
        <v>24</v>
      </c>
      <c r="S164" s="6">
        <v>180107</v>
      </c>
      <c r="T164" s="6" t="str">
        <f>INDEX(医院2县区2人!$D$2:$D$1048576,MATCH(L164,医院2县区2人!$A$2:$A$1048576,0))</f>
        <v>201602151421097</v>
      </c>
      <c r="W164" s="6" t="str">
        <f t="shared" si="7"/>
        <v>新盖中盖牌儿童钙片1.75g*36p</v>
      </c>
      <c r="X164" s="6" t="s">
        <v>2890</v>
      </c>
    </row>
    <row r="165" spans="1:24" x14ac:dyDescent="0.15">
      <c r="A165" s="7" t="str">
        <f t="shared" si="8"/>
        <v>201806</v>
      </c>
      <c r="C165" s="6" t="str">
        <f>INDEX(工厂基础数据!$A$2:$A$1024,MATCH(X165,工厂基础数据!$D$2:$D$1024,0))</f>
        <v>02025767</v>
      </c>
      <c r="E165" s="6" t="str">
        <f>INDEX(工厂基础数据!$B$2:$B$1024,MATCH(X165,工厂基础数据!$D$2:$D$1024,0))</f>
        <v>滨州市仁信医药有限公司</v>
      </c>
      <c r="F165" s="6">
        <f>INDEX(商业2转码!$B$2:$B$10000,MATCH(E165,商业2转码!$A$2:$A$10000,0))</f>
        <v>0</v>
      </c>
      <c r="G165" s="6" t="str">
        <f>INDEX(品种2编码!$A$2:$A$1048576,MATCH(W165,品种2编码!$D$2:$D$1048576,0))</f>
        <v>0020070001ZYZC0377</v>
      </c>
      <c r="H165" s="6" t="s">
        <v>1849</v>
      </c>
      <c r="I165" s="6" t="s">
        <v>1887</v>
      </c>
      <c r="J165" s="6" t="s">
        <v>3038</v>
      </c>
      <c r="L165" s="6" t="s">
        <v>2279</v>
      </c>
      <c r="M165" s="6">
        <f>INDEX(医院2县区2人!$B$2:$B$1048576,MATCH(L165,医院2县区2人!$A$2:$A$1048576,0))</f>
        <v>4</v>
      </c>
      <c r="N165" s="6" t="str">
        <f>INDEX(医院2县区2人!$C$2:$C$1048576,MATCH(L165,医院2县区2人!$A$2:$A$1048576,0))</f>
        <v>1855</v>
      </c>
      <c r="P165" s="7">
        <v>43253.736805555556</v>
      </c>
      <c r="Q165" s="6">
        <v>30</v>
      </c>
      <c r="R165" s="6">
        <v>19</v>
      </c>
      <c r="S165" s="6" t="s">
        <v>3048</v>
      </c>
      <c r="T165" s="6" t="str">
        <f>INDEX(医院2县区2人!$D$2:$D$1048576,MATCH(L165,医院2县区2人!$A$2:$A$1048576,0))</f>
        <v>201602151421097</v>
      </c>
      <c r="W165" s="6" t="str">
        <f t="shared" si="7"/>
        <v>哈药牌钙铁锌口服液10ml*15支</v>
      </c>
      <c r="X165" s="6" t="s">
        <v>2890</v>
      </c>
    </row>
    <row r="166" spans="1:24" x14ac:dyDescent="0.15">
      <c r="A166" s="7" t="str">
        <f t="shared" si="8"/>
        <v>201806</v>
      </c>
      <c r="C166" s="6" t="str">
        <f>INDEX(工厂基础数据!$A$2:$A$1024,MATCH(X166,工厂基础数据!$D$2:$D$1024,0))</f>
        <v>02025767</v>
      </c>
      <c r="E166" s="6" t="str">
        <f>INDEX(工厂基础数据!$B$2:$B$1024,MATCH(X166,工厂基础数据!$D$2:$D$1024,0))</f>
        <v>滨州市仁信医药有限公司</v>
      </c>
      <c r="F166" s="6">
        <f>INDEX(商业2转码!$B$2:$B$10000,MATCH(E166,商业2转码!$A$2:$A$10000,0))</f>
        <v>0</v>
      </c>
      <c r="G166" s="6" t="str">
        <f>INDEX(品种2编码!$A$2:$A$1048576,MATCH(W166,品种2编码!$D$2:$D$1048576,0))</f>
        <v>0020070001ZYLC0001</v>
      </c>
      <c r="H166" s="6" t="s">
        <v>1905</v>
      </c>
      <c r="I166" s="6" t="s">
        <v>411</v>
      </c>
      <c r="J166" s="6" t="s">
        <v>3036</v>
      </c>
      <c r="L166" s="6" t="s">
        <v>2279</v>
      </c>
      <c r="M166" s="6">
        <f>INDEX(医院2县区2人!$B$2:$B$1048576,MATCH(L166,医院2县区2人!$A$2:$A$1048576,0))</f>
        <v>4</v>
      </c>
      <c r="N166" s="6" t="str">
        <f>INDEX(医院2县区2人!$C$2:$C$1048576,MATCH(L166,医院2县区2人!$A$2:$A$1048576,0))</f>
        <v>1855</v>
      </c>
      <c r="P166" s="7">
        <v>43253.73673611111</v>
      </c>
      <c r="Q166" s="6">
        <v>50</v>
      </c>
      <c r="R166" s="6">
        <v>20</v>
      </c>
      <c r="S166" s="6">
        <v>180121</v>
      </c>
      <c r="T166" s="6" t="str">
        <f>INDEX(医院2县区2人!$D$2:$D$1048576,MATCH(L166,医院2县区2人!$A$2:$A$1048576,0))</f>
        <v>201602151421097</v>
      </c>
      <c r="W166" s="6" t="str">
        <f t="shared" si="7"/>
        <v>哈药六钙锌口服液10ml*12支</v>
      </c>
      <c r="X166" s="6" t="s">
        <v>2890</v>
      </c>
    </row>
    <row r="167" spans="1:24" x14ac:dyDescent="0.15">
      <c r="A167" s="7" t="str">
        <f t="shared" si="8"/>
        <v>201806</v>
      </c>
      <c r="C167" s="6" t="str">
        <f>INDEX(工厂基础数据!$A$2:$A$1024,MATCH(X167,工厂基础数据!$D$2:$D$1024,0))</f>
        <v>02025767</v>
      </c>
      <c r="E167" s="6" t="str">
        <f>INDEX(工厂基础数据!$B$2:$B$1024,MATCH(X167,工厂基础数据!$D$2:$D$1024,0))</f>
        <v>滨州市仁信医药有限公司</v>
      </c>
      <c r="F167" s="6">
        <f>INDEX(商业2转码!$B$2:$B$10000,MATCH(E167,商业2转码!$A$2:$A$10000,0))</f>
        <v>0</v>
      </c>
      <c r="G167" s="6" t="str">
        <f>INDEX(品种2编码!$A$2:$A$1048576,MATCH(W167,品种2编码!$D$2:$D$1048576,0))</f>
        <v>0020020021ZYLC0004</v>
      </c>
      <c r="H167" s="6" t="s">
        <v>1899</v>
      </c>
      <c r="I167" s="6" t="s">
        <v>1869</v>
      </c>
      <c r="J167" s="6" t="s">
        <v>3036</v>
      </c>
      <c r="L167" s="6" t="s">
        <v>2279</v>
      </c>
      <c r="M167" s="6">
        <f>INDEX(医院2县区2人!$B$2:$B$1048576,MATCH(L167,医院2县区2人!$A$2:$A$1048576,0))</f>
        <v>4</v>
      </c>
      <c r="N167" s="6" t="str">
        <f>INDEX(医院2县区2人!$C$2:$C$1048576,MATCH(L167,医院2县区2人!$A$2:$A$1048576,0))</f>
        <v>1855</v>
      </c>
      <c r="P167" s="7">
        <v>43253.73673611111</v>
      </c>
      <c r="Q167" s="6">
        <v>40</v>
      </c>
      <c r="R167" s="6">
        <v>8</v>
      </c>
      <c r="S167" s="6">
        <v>180201</v>
      </c>
      <c r="T167" s="6" t="str">
        <f>INDEX(医院2县区2人!$D$2:$D$1048576,MATCH(L167,医院2县区2人!$A$2:$A$1048576,0))</f>
        <v>201602151421097</v>
      </c>
      <c r="W167" s="6" t="str">
        <f t="shared" si="7"/>
        <v>大严迪片/罗红霉素分散片75mg*12片</v>
      </c>
      <c r="X167" s="6" t="s">
        <v>2890</v>
      </c>
    </row>
    <row r="168" spans="1:24" x14ac:dyDescent="0.15">
      <c r="A168" s="7" t="str">
        <f t="shared" si="8"/>
        <v>201806</v>
      </c>
      <c r="C168" s="6" t="str">
        <f>INDEX(工厂基础数据!$A$2:$A$1024,MATCH(X168,工厂基础数据!$D$2:$D$1024,0))</f>
        <v>02025767</v>
      </c>
      <c r="E168" s="6" t="str">
        <f>INDEX(工厂基础数据!$B$2:$B$1024,MATCH(X168,工厂基础数据!$D$2:$D$1024,0))</f>
        <v>滨州市仁信医药有限公司</v>
      </c>
      <c r="F168" s="6">
        <f>INDEX(商业2转码!$B$2:$B$10000,MATCH(E168,商业2转码!$A$2:$A$10000,0))</f>
        <v>0</v>
      </c>
      <c r="G168" s="6" t="str">
        <f>INDEX(品种2编码!$A$2:$A$1048576,MATCH(W168,品种2编码!$D$2:$D$1048576,0))</f>
        <v>0020030001SJZY0009</v>
      </c>
      <c r="H168" s="6" t="s">
        <v>555</v>
      </c>
      <c r="I168" s="6" t="s">
        <v>1889</v>
      </c>
      <c r="J168" s="6" t="s">
        <v>3039</v>
      </c>
      <c r="L168" s="6" t="s">
        <v>2279</v>
      </c>
      <c r="M168" s="6">
        <f>INDEX(医院2县区2人!$B$2:$B$1048576,MATCH(L168,医院2县区2人!$A$2:$A$1048576,0))</f>
        <v>4</v>
      </c>
      <c r="N168" s="6" t="str">
        <f>INDEX(医院2县区2人!$C$2:$C$1048576,MATCH(L168,医院2县区2人!$A$2:$A$1048576,0))</f>
        <v>1855</v>
      </c>
      <c r="P168" s="7">
        <v>43253.736805555556</v>
      </c>
      <c r="Q168" s="6">
        <v>80</v>
      </c>
      <c r="R168" s="6">
        <v>23</v>
      </c>
      <c r="S168" s="6">
        <v>17070527</v>
      </c>
      <c r="T168" s="6" t="str">
        <f>INDEX(医院2县区2人!$D$2:$D$1048576,MATCH(L168,医院2县区2人!$A$2:$A$1048576,0))</f>
        <v>201602151421097</v>
      </c>
      <c r="W168" s="6" t="str">
        <f t="shared" si="7"/>
        <v>葡萄糖酸锌口服液10ML*12支</v>
      </c>
      <c r="X168" s="6" t="s">
        <v>2890</v>
      </c>
    </row>
    <row r="169" spans="1:24" x14ac:dyDescent="0.15">
      <c r="A169" s="7" t="str">
        <f t="shared" si="8"/>
        <v>201806</v>
      </c>
      <c r="C169" s="6" t="str">
        <f>INDEX(工厂基础数据!$A$2:$A$1024,MATCH(X169,工厂基础数据!$D$2:$D$1024,0))</f>
        <v>02025767</v>
      </c>
      <c r="E169" s="6" t="str">
        <f>INDEX(工厂基础数据!$B$2:$B$1024,MATCH(X169,工厂基础数据!$D$2:$D$1024,0))</f>
        <v>滨州市仁信医药有限公司</v>
      </c>
      <c r="F169" s="6">
        <f>INDEX(商业2转码!$B$2:$B$10000,MATCH(E169,商业2转码!$A$2:$A$10000,0))</f>
        <v>0</v>
      </c>
      <c r="G169" s="6" t="str">
        <f>INDEX(品种2编码!$A$2:$A$1048576,MATCH(W169,品种2编码!$D$2:$D$1048576,0))</f>
        <v>0020030001SJZY0006</v>
      </c>
      <c r="H169" s="6" t="s">
        <v>1888</v>
      </c>
      <c r="I169" s="6" t="s">
        <v>411</v>
      </c>
      <c r="J169" s="6" t="s">
        <v>3040</v>
      </c>
      <c r="L169" s="6" t="s">
        <v>2279</v>
      </c>
      <c r="M169" s="6">
        <f>INDEX(医院2县区2人!$B$2:$B$1048576,MATCH(L169,医院2县区2人!$A$2:$A$1048576,0))</f>
        <v>4</v>
      </c>
      <c r="N169" s="6" t="str">
        <f>INDEX(医院2县区2人!$C$2:$C$1048576,MATCH(L169,医院2县区2人!$A$2:$A$1048576,0))</f>
        <v>1855</v>
      </c>
      <c r="P169" s="7">
        <v>43253.736805555556</v>
      </c>
      <c r="Q169" s="6">
        <v>80</v>
      </c>
      <c r="R169" s="6">
        <v>22</v>
      </c>
      <c r="S169" s="6">
        <v>17071042</v>
      </c>
      <c r="T169" s="6" t="str">
        <f>INDEX(医院2县区2人!$D$2:$D$1048576,MATCH(L169,医院2县区2人!$A$2:$A$1048576,0))</f>
        <v>201602151421097</v>
      </c>
      <c r="W169" s="6" t="str">
        <f t="shared" si="7"/>
        <v>葡萄糖酸钙口服溶液（含糖）10ml*12支</v>
      </c>
      <c r="X169" s="6" t="s">
        <v>2890</v>
      </c>
    </row>
    <row r="170" spans="1:24" x14ac:dyDescent="0.15">
      <c r="A170" s="7" t="str">
        <f t="shared" si="8"/>
        <v>201806</v>
      </c>
      <c r="C170" s="6" t="str">
        <f>INDEX(工厂基础数据!$A$2:$A$1024,MATCH(X170,工厂基础数据!$D$2:$D$1024,0))</f>
        <v>02025767</v>
      </c>
      <c r="E170" s="6" t="str">
        <f>INDEX(工厂基础数据!$B$2:$B$1024,MATCH(X170,工厂基础数据!$D$2:$D$1024,0))</f>
        <v>滨州市仁信医药有限公司</v>
      </c>
      <c r="F170" s="6">
        <f>INDEX(商业2转码!$B$2:$B$10000,MATCH(E170,商业2转码!$A$2:$A$10000,0))</f>
        <v>0</v>
      </c>
      <c r="G170" s="6" t="str">
        <f>INDEX(品种2编码!$A$2:$A$1048576,MATCH(W170,品种2编码!$D$2:$D$1048576,0))</f>
        <v>0020020020ZYLC0010</v>
      </c>
      <c r="H170" s="6" t="s">
        <v>1877</v>
      </c>
      <c r="I170" s="6" t="s">
        <v>1878</v>
      </c>
      <c r="J170" s="6" t="s">
        <v>3036</v>
      </c>
      <c r="L170" s="6" t="s">
        <v>2247</v>
      </c>
      <c r="M170" s="6">
        <f>INDEX(医院2县区2人!$B$2:$B$1048576,MATCH(L170,医院2县区2人!$A$2:$A$1048576,0))</f>
        <v>4</v>
      </c>
      <c r="N170" s="6" t="str">
        <f>INDEX(医院2县区2人!$C$2:$C$1048576,MATCH(L170,医院2县区2人!$A$2:$A$1048576,0))</f>
        <v>1855</v>
      </c>
      <c r="P170" s="7">
        <v>43253.736701388887</v>
      </c>
      <c r="Q170" s="6">
        <v>60</v>
      </c>
      <c r="R170" s="6">
        <v>3.5</v>
      </c>
      <c r="S170" s="6">
        <v>180401</v>
      </c>
      <c r="T170" s="6" t="str">
        <f>INDEX(医院2县区2人!$D$2:$D$1048576,MATCH(L170,医院2县区2人!$A$2:$A$1048576,0))</f>
        <v>201602151421097</v>
      </c>
      <c r="W170" s="6" t="str">
        <f t="shared" si="7"/>
        <v xml:space="preserve">泻利停/颠茄磺苄啶片0.48g*10片 </v>
      </c>
      <c r="X170" s="6" t="s">
        <v>2890</v>
      </c>
    </row>
    <row r="171" spans="1:24" x14ac:dyDescent="0.15">
      <c r="A171" s="7" t="str">
        <f t="shared" si="8"/>
        <v>201806</v>
      </c>
      <c r="C171" s="6" t="str">
        <f>INDEX(工厂基础数据!$A$2:$A$1024,MATCH(X171,工厂基础数据!$D$2:$D$1024,0))</f>
        <v>02025767</v>
      </c>
      <c r="E171" s="6" t="str">
        <f>INDEX(工厂基础数据!$B$2:$B$1024,MATCH(X171,工厂基础数据!$D$2:$D$1024,0))</f>
        <v>滨州市仁信医药有限公司</v>
      </c>
      <c r="F171" s="6">
        <f>INDEX(商业2转码!$B$2:$B$10000,MATCH(E171,商业2转码!$A$2:$A$10000,0))</f>
        <v>0</v>
      </c>
      <c r="G171" s="6" t="str">
        <f>INDEX(品种2编码!$A$2:$A$1048576,MATCH(W171,品种2编码!$D$2:$D$1048576,0))</f>
        <v>0020030170ZYEC0003</v>
      </c>
      <c r="H171" s="6" t="s">
        <v>1835</v>
      </c>
      <c r="I171" s="6" t="s">
        <v>1836</v>
      </c>
      <c r="J171" s="6" t="s">
        <v>3041</v>
      </c>
      <c r="L171" s="6" t="s">
        <v>2247</v>
      </c>
      <c r="M171" s="6">
        <f>INDEX(医院2县区2人!$B$2:$B$1048576,MATCH(L171,医院2县区2人!$A$2:$A$1048576,0))</f>
        <v>4</v>
      </c>
      <c r="N171" s="6" t="str">
        <f>INDEX(医院2县区2人!$C$2:$C$1048576,MATCH(L171,医院2县区2人!$A$2:$A$1048576,0))</f>
        <v>1855</v>
      </c>
      <c r="P171" s="7">
        <v>43253.736759259256</v>
      </c>
      <c r="Q171" s="6">
        <v>50</v>
      </c>
      <c r="R171" s="6">
        <v>14</v>
      </c>
      <c r="S171" s="6">
        <v>161119</v>
      </c>
      <c r="T171" s="6" t="str">
        <f>INDEX(医院2县区2人!$D$2:$D$1048576,MATCH(L171,医院2县区2人!$A$2:$A$1048576,0))</f>
        <v>201602151421097</v>
      </c>
      <c r="W171" s="6" t="str">
        <f t="shared" si="7"/>
        <v>蒙脱石散3g*12袋</v>
      </c>
      <c r="X171" s="6" t="s">
        <v>2890</v>
      </c>
    </row>
    <row r="172" spans="1:24" x14ac:dyDescent="0.15">
      <c r="A172" s="7" t="str">
        <f t="shared" si="8"/>
        <v>201806</v>
      </c>
      <c r="C172" s="6" t="str">
        <f>INDEX(工厂基础数据!$A$2:$A$1024,MATCH(X172,工厂基础数据!$D$2:$D$1024,0))</f>
        <v>02025767</v>
      </c>
      <c r="E172" s="6" t="str">
        <f>INDEX(工厂基础数据!$B$2:$B$1024,MATCH(X172,工厂基础数据!$D$2:$D$1024,0))</f>
        <v>滨州市仁信医药有限公司</v>
      </c>
      <c r="F172" s="6">
        <f>INDEX(商业2转码!$B$2:$B$10000,MATCH(E172,商业2转码!$A$2:$A$10000,0))</f>
        <v>0</v>
      </c>
      <c r="G172" s="6" t="str">
        <f>INDEX(品种2编码!$A$2:$A$1048576,MATCH(W172,品种2编码!$D$2:$D$1048576,0))</f>
        <v>0020020021ZYZC0341</v>
      </c>
      <c r="H172" s="6" t="s">
        <v>1936</v>
      </c>
      <c r="I172" s="6" t="s">
        <v>279</v>
      </c>
      <c r="J172" s="6" t="s">
        <v>3042</v>
      </c>
      <c r="L172" s="6" t="s">
        <v>2247</v>
      </c>
      <c r="M172" s="6">
        <f>INDEX(医院2县区2人!$B$2:$B$1048576,MATCH(L172,医院2县区2人!$A$2:$A$1048576,0))</f>
        <v>4</v>
      </c>
      <c r="N172" s="6" t="str">
        <f>INDEX(医院2县区2人!$C$2:$C$1048576,MATCH(L172,医院2县区2人!$A$2:$A$1048576,0))</f>
        <v>1855</v>
      </c>
      <c r="P172" s="7">
        <v>43253.73673611111</v>
      </c>
      <c r="Q172" s="6">
        <v>20</v>
      </c>
      <c r="R172" s="6">
        <v>9.5</v>
      </c>
      <c r="S172" s="6" t="s">
        <v>3049</v>
      </c>
      <c r="T172" s="6" t="str">
        <f>INDEX(医院2县区2人!$D$2:$D$1048576,MATCH(L172,医院2县区2人!$A$2:$A$1048576,0))</f>
        <v>201602151421097</v>
      </c>
      <c r="W172" s="6" t="str">
        <f t="shared" si="7"/>
        <v>阿莫西林克拉维酸钾分散片0.2285g*12片</v>
      </c>
      <c r="X172" s="6" t="s">
        <v>2890</v>
      </c>
    </row>
    <row r="173" spans="1:24" x14ac:dyDescent="0.15">
      <c r="A173" s="7" t="str">
        <f t="shared" si="8"/>
        <v>201806</v>
      </c>
      <c r="C173" s="6" t="str">
        <f>INDEX(工厂基础数据!$A$2:$A$1024,MATCH(X173,工厂基础数据!$D$2:$D$1024,0))</f>
        <v>02025767</v>
      </c>
      <c r="E173" s="6" t="str">
        <f>INDEX(工厂基础数据!$B$2:$B$1024,MATCH(X173,工厂基础数据!$D$2:$D$1024,0))</f>
        <v>滨州市仁信医药有限公司</v>
      </c>
      <c r="F173" s="6">
        <f>INDEX(商业2转码!$B$2:$B$10000,MATCH(E173,商业2转码!$A$2:$A$10000,0))</f>
        <v>0</v>
      </c>
      <c r="G173" s="6" t="str">
        <f>INDEX(品种2编码!$A$2:$A$1048576,MATCH(W173,品种2编码!$D$2:$D$1048576,0))</f>
        <v>0020030040SJET0003</v>
      </c>
      <c r="H173" s="6" t="s">
        <v>306</v>
      </c>
      <c r="I173" s="6" t="s">
        <v>1874</v>
      </c>
      <c r="J173" s="6" t="s">
        <v>3043</v>
      </c>
      <c r="L173" s="6" t="s">
        <v>2247</v>
      </c>
      <c r="M173" s="6">
        <f>INDEX(医院2县区2人!$B$2:$B$1048576,MATCH(L173,医院2县区2人!$A$2:$A$1048576,0))</f>
        <v>4</v>
      </c>
      <c r="N173" s="6" t="str">
        <f>INDEX(医院2县区2人!$C$2:$C$1048576,MATCH(L173,医院2县区2人!$A$2:$A$1048576,0))</f>
        <v>1855</v>
      </c>
      <c r="P173" s="7">
        <v>43253.736712962964</v>
      </c>
      <c r="Q173" s="6">
        <v>80</v>
      </c>
      <c r="R173" s="6">
        <v>5</v>
      </c>
      <c r="S173" s="6">
        <v>161206</v>
      </c>
      <c r="T173" s="6" t="str">
        <f>INDEX(医院2县区2人!$D$2:$D$1048576,MATCH(L173,医院2县区2人!$A$2:$A$1048576,0))</f>
        <v>201602151421097</v>
      </c>
      <c r="W173" s="6" t="str">
        <f t="shared" si="7"/>
        <v>氨金黄敏颗粒6g*10袋</v>
      </c>
      <c r="X173" s="6" t="s">
        <v>2890</v>
      </c>
    </row>
    <row r="174" spans="1:24" x14ac:dyDescent="0.15">
      <c r="A174" s="7" t="str">
        <f t="shared" si="8"/>
        <v>201806</v>
      </c>
      <c r="C174" s="6" t="str">
        <f>INDEX(工厂基础数据!$A$2:$A$1024,MATCH(X174,工厂基础数据!$D$2:$D$1024,0))</f>
        <v>02025767</v>
      </c>
      <c r="E174" s="6" t="str">
        <f>INDEX(工厂基础数据!$B$2:$B$1024,MATCH(X174,工厂基础数据!$D$2:$D$1024,0))</f>
        <v>滨州市仁信医药有限公司</v>
      </c>
      <c r="F174" s="6">
        <f>INDEX(商业2转码!$B$2:$B$10000,MATCH(E174,商业2转码!$A$2:$A$10000,0))</f>
        <v>0</v>
      </c>
      <c r="G174" s="6" t="str">
        <f>INDEX(品种2编码!$A$2:$A$1048576,MATCH(W174,品种2编码!$D$2:$D$1048576,0))</f>
        <v>0020070001ZYZC0383</v>
      </c>
      <c r="H174" s="6" t="s">
        <v>1849</v>
      </c>
      <c r="I174" s="6" t="s">
        <v>1850</v>
      </c>
      <c r="J174" s="6" t="s">
        <v>3038</v>
      </c>
      <c r="L174" s="6" t="s">
        <v>2247</v>
      </c>
      <c r="M174" s="6">
        <f>INDEX(医院2县区2人!$B$2:$B$1048576,MATCH(L174,医院2县区2人!$A$2:$A$1048576,0))</f>
        <v>4</v>
      </c>
      <c r="N174" s="6" t="str">
        <f>INDEX(医院2县区2人!$C$2:$C$1048576,MATCH(L174,医院2县区2人!$A$2:$A$1048576,0))</f>
        <v>1855</v>
      </c>
      <c r="P174" s="7">
        <v>43253.736793981479</v>
      </c>
      <c r="Q174" s="6">
        <v>80</v>
      </c>
      <c r="R174" s="6">
        <v>14</v>
      </c>
      <c r="S174" s="6">
        <v>1801107</v>
      </c>
      <c r="T174" s="6" t="str">
        <f>INDEX(医院2县区2人!$D$2:$D$1048576,MATCH(L174,医院2县区2人!$A$2:$A$1048576,0))</f>
        <v>201602151421097</v>
      </c>
      <c r="W174" s="6" t="str">
        <f t="shared" si="7"/>
        <v>哈药牌钙铁锌口服液10ml*10支</v>
      </c>
      <c r="X174" s="6" t="s">
        <v>2890</v>
      </c>
    </row>
    <row r="175" spans="1:24" x14ac:dyDescent="0.15">
      <c r="A175" s="7" t="str">
        <f t="shared" si="8"/>
        <v>201806</v>
      </c>
      <c r="C175" s="6" t="str">
        <f>INDEX(工厂基础数据!$A$2:$A$1024,MATCH(X175,工厂基础数据!$D$2:$D$1024,0))</f>
        <v>02025767</v>
      </c>
      <c r="E175" s="6" t="str">
        <f>INDEX(工厂基础数据!$B$2:$B$1024,MATCH(X175,工厂基础数据!$D$2:$D$1024,0))</f>
        <v>滨州市仁信医药有限公司</v>
      </c>
      <c r="F175" s="6">
        <f>INDEX(商业2转码!$B$2:$B$10000,MATCH(E175,商业2转码!$A$2:$A$10000,0))</f>
        <v>0</v>
      </c>
      <c r="G175" s="6" t="str">
        <f>INDEX(品种2编码!$A$2:$A$1048576,MATCH(W175,品种2编码!$D$2:$D$1048576,0))</f>
        <v>0020030020ZYLC0010</v>
      </c>
      <c r="H175" s="6" t="s">
        <v>1883</v>
      </c>
      <c r="I175" s="6" t="s">
        <v>1839</v>
      </c>
      <c r="J175" s="6" t="s">
        <v>3036</v>
      </c>
      <c r="L175" s="6" t="s">
        <v>2247</v>
      </c>
      <c r="M175" s="6">
        <f>INDEX(医院2县区2人!$B$2:$B$1048576,MATCH(L175,医院2县区2人!$A$2:$A$1048576,0))</f>
        <v>4</v>
      </c>
      <c r="N175" s="6" t="str">
        <f>INDEX(医院2县区2人!$C$2:$C$1048576,MATCH(L175,医院2县区2人!$A$2:$A$1048576,0))</f>
        <v>1855</v>
      </c>
      <c r="P175" s="7">
        <v>43253.736770833333</v>
      </c>
      <c r="Q175" s="6">
        <v>100</v>
      </c>
      <c r="R175" s="6">
        <v>3.7</v>
      </c>
      <c r="S175" s="6">
        <v>180128</v>
      </c>
      <c r="T175" s="6" t="str">
        <f>INDEX(医院2县区2人!$D$2:$D$1048576,MATCH(L175,医院2县区2人!$A$2:$A$1048576,0))</f>
        <v>201602151421097</v>
      </c>
      <c r="W175" s="6" t="str">
        <f t="shared" si="7"/>
        <v>“为消”牌乳酸菌素片0.4g*36片</v>
      </c>
      <c r="X175" s="6" t="s">
        <v>2890</v>
      </c>
    </row>
    <row r="176" spans="1:24" x14ac:dyDescent="0.15">
      <c r="A176" s="7" t="str">
        <f t="shared" si="8"/>
        <v>201806</v>
      </c>
      <c r="C176" s="6" t="str">
        <f>INDEX(工厂基础数据!$A$2:$A$1024,MATCH(X176,工厂基础数据!$D$2:$D$1024,0))</f>
        <v>02025767</v>
      </c>
      <c r="E176" s="6" t="str">
        <f>INDEX(工厂基础数据!$B$2:$B$1024,MATCH(X176,工厂基础数据!$D$2:$D$1024,0))</f>
        <v>滨州市仁信医药有限公司</v>
      </c>
      <c r="F176" s="6">
        <f>INDEX(商业2转码!$B$2:$B$10000,MATCH(E176,商业2转码!$A$2:$A$10000,0))</f>
        <v>0</v>
      </c>
      <c r="G176" s="6" t="str">
        <f>INDEX(品种2编码!$A$2:$A$1048576,MATCH(W176,品种2编码!$D$2:$D$1048576,0))</f>
        <v>0020020021ZYLC0005</v>
      </c>
      <c r="H176" s="6" t="s">
        <v>1920</v>
      </c>
      <c r="I176" s="6" t="s">
        <v>1841</v>
      </c>
      <c r="J176" s="6" t="s">
        <v>3036</v>
      </c>
      <c r="L176" s="6" t="s">
        <v>2233</v>
      </c>
      <c r="M176" s="6">
        <f>INDEX(医院2县区2人!$B$2:$B$1048576,MATCH(L176,医院2县区2人!$A$2:$A$1048576,0))</f>
        <v>4</v>
      </c>
      <c r="N176" s="6" t="str">
        <f>INDEX(医院2县区2人!$C$2:$C$1048576,MATCH(L176,医院2县区2人!$A$2:$A$1048576,0))</f>
        <v>1858</v>
      </c>
      <c r="P176" s="7">
        <v>43253.736643518518</v>
      </c>
      <c r="Q176" s="6">
        <v>30</v>
      </c>
      <c r="R176" s="6">
        <v>4</v>
      </c>
      <c r="S176" s="6">
        <v>180201</v>
      </c>
      <c r="T176" s="6" t="str">
        <f>INDEX(医院2县区2人!$D$2:$D$1048576,MATCH(L176,医院2县区2人!$A$2:$A$1048576,0))</f>
        <v>201602151421097</v>
      </c>
      <c r="W176" s="6" t="str">
        <f t="shared" si="7"/>
        <v>小儿严迪片/罗红霉素分散片50mg*12片</v>
      </c>
      <c r="X176" s="6" t="s">
        <v>2890</v>
      </c>
    </row>
    <row r="177" spans="1:24" x14ac:dyDescent="0.15">
      <c r="A177" s="7" t="str">
        <f t="shared" si="8"/>
        <v>201806</v>
      </c>
      <c r="C177" s="6" t="str">
        <f>INDEX(工厂基础数据!$A$2:$A$1024,MATCH(X177,工厂基础数据!$D$2:$D$1024,0))</f>
        <v>02025767</v>
      </c>
      <c r="E177" s="6" t="str">
        <f>INDEX(工厂基础数据!$B$2:$B$1024,MATCH(X177,工厂基础数据!$D$2:$D$1024,0))</f>
        <v>滨州市仁信医药有限公司</v>
      </c>
      <c r="F177" s="6">
        <f>INDEX(商业2转码!$B$2:$B$10000,MATCH(E177,商业2转码!$A$2:$A$10000,0))</f>
        <v>0</v>
      </c>
      <c r="G177" s="6" t="str">
        <f>INDEX(品种2编码!$A$2:$A$1048576,MATCH(W177,品种2编码!$D$2:$D$1048576,0))</f>
        <v>0020050090SJZY0001</v>
      </c>
      <c r="H177" s="6" t="s">
        <v>630</v>
      </c>
      <c r="I177" s="6" t="s">
        <v>1850</v>
      </c>
      <c r="J177" s="6" t="s">
        <v>3040</v>
      </c>
      <c r="L177" s="6" t="s">
        <v>2233</v>
      </c>
      <c r="M177" s="6">
        <f>INDEX(医院2县区2人!$B$2:$B$1048576,MATCH(L177,医院2县区2人!$A$2:$A$1048576,0))</f>
        <v>4</v>
      </c>
      <c r="N177" s="6" t="str">
        <f>INDEX(医院2县区2人!$C$2:$C$1048576,MATCH(L177,医院2县区2人!$A$2:$A$1048576,0))</f>
        <v>1858</v>
      </c>
      <c r="P177" s="7">
        <v>43253.736643518518</v>
      </c>
      <c r="Q177" s="6">
        <v>90</v>
      </c>
      <c r="R177" s="6">
        <v>16.5</v>
      </c>
      <c r="S177" s="6">
        <v>17062821</v>
      </c>
      <c r="T177" s="6" t="str">
        <f>INDEX(医院2县区2人!$D$2:$D$1048576,MATCH(L177,医院2县区2人!$A$2:$A$1048576,0))</f>
        <v>201602151421097</v>
      </c>
      <c r="W177" s="6" t="str">
        <f t="shared" si="7"/>
        <v>双黄连口服液10ml*10支</v>
      </c>
      <c r="X177" s="6" t="s">
        <v>2890</v>
      </c>
    </row>
    <row r="178" spans="1:24" x14ac:dyDescent="0.15">
      <c r="A178" s="7" t="str">
        <f t="shared" si="8"/>
        <v>201806</v>
      </c>
      <c r="C178" s="6" t="str">
        <f>INDEX(工厂基础数据!$A$2:$A$1024,MATCH(X178,工厂基础数据!$D$2:$D$1024,0))</f>
        <v>02025767</v>
      </c>
      <c r="E178" s="6" t="str">
        <f>INDEX(工厂基础数据!$B$2:$B$1024,MATCH(X178,工厂基础数据!$D$2:$D$1024,0))</f>
        <v>滨州市仁信医药有限公司</v>
      </c>
      <c r="F178" s="6">
        <f>INDEX(商业2转码!$B$2:$B$10000,MATCH(E178,商业2转码!$A$2:$A$10000,0))</f>
        <v>0</v>
      </c>
      <c r="G178" s="6" t="str">
        <f>INDEX(品种2编码!$A$2:$A$1048576,MATCH(W178,品种2编码!$D$2:$D$1048576,0))</f>
        <v>0020030020ZYLC0010</v>
      </c>
      <c r="H178" s="6" t="s">
        <v>1903</v>
      </c>
      <c r="I178" s="6" t="s">
        <v>1839</v>
      </c>
      <c r="J178" s="6" t="s">
        <v>3036</v>
      </c>
      <c r="L178" s="6" t="s">
        <v>2233</v>
      </c>
      <c r="M178" s="6">
        <f>INDEX(医院2县区2人!$B$2:$B$1048576,MATCH(L178,医院2县区2人!$A$2:$A$1048576,0))</f>
        <v>4</v>
      </c>
      <c r="N178" s="6" t="str">
        <f>INDEX(医院2县区2人!$C$2:$C$1048576,MATCH(L178,医院2县区2人!$A$2:$A$1048576,0))</f>
        <v>1858</v>
      </c>
      <c r="P178" s="7">
        <v>43253.736643518518</v>
      </c>
      <c r="Q178" s="6">
        <v>30</v>
      </c>
      <c r="R178" s="6">
        <v>8</v>
      </c>
      <c r="S178" s="6">
        <v>180302</v>
      </c>
      <c r="T178" s="6" t="str">
        <f>INDEX(医院2县区2人!$D$2:$D$1048576,MATCH(L178,医院2县区2人!$A$2:$A$1048576,0))</f>
        <v>201602151421097</v>
      </c>
      <c r="W178" s="6" t="str">
        <f t="shared" si="7"/>
        <v>乳酸菌素片/为消0.4g*36片</v>
      </c>
      <c r="X178" s="6" t="s">
        <v>2890</v>
      </c>
    </row>
    <row r="179" spans="1:24" x14ac:dyDescent="0.15">
      <c r="A179" s="7" t="str">
        <f t="shared" si="8"/>
        <v>201806</v>
      </c>
      <c r="C179" s="6" t="str">
        <f>INDEX(工厂基础数据!$A$2:$A$1024,MATCH(X179,工厂基础数据!$D$2:$D$1024,0))</f>
        <v>02025767</v>
      </c>
      <c r="E179" s="6" t="str">
        <f>INDEX(工厂基础数据!$B$2:$B$1024,MATCH(X179,工厂基础数据!$D$2:$D$1024,0))</f>
        <v>滨州市仁信医药有限公司</v>
      </c>
      <c r="F179" s="6">
        <f>INDEX(商业2转码!$B$2:$B$10000,MATCH(E179,商业2转码!$A$2:$A$10000,0))</f>
        <v>0</v>
      </c>
      <c r="G179" s="6" t="str">
        <f>INDEX(品种2编码!$A$2:$A$1048576,MATCH(W179,品种2编码!$D$2:$D$1048576,0))</f>
        <v>0020030020ZYLC0010</v>
      </c>
      <c r="H179" s="6" t="s">
        <v>1883</v>
      </c>
      <c r="I179" s="6" t="s">
        <v>1839</v>
      </c>
      <c r="J179" s="6" t="s">
        <v>3036</v>
      </c>
      <c r="L179" s="6" t="s">
        <v>2233</v>
      </c>
      <c r="M179" s="6">
        <f>INDEX(医院2县区2人!$B$2:$B$1048576,MATCH(L179,医院2县区2人!$A$2:$A$1048576,0))</f>
        <v>4</v>
      </c>
      <c r="N179" s="6" t="str">
        <f>INDEX(医院2县区2人!$C$2:$C$1048576,MATCH(L179,医院2县区2人!$A$2:$A$1048576,0))</f>
        <v>1858</v>
      </c>
      <c r="P179" s="7">
        <v>43253.736643518518</v>
      </c>
      <c r="Q179" s="6">
        <v>100</v>
      </c>
      <c r="R179" s="6">
        <v>3.7</v>
      </c>
      <c r="S179" s="6">
        <v>180136</v>
      </c>
      <c r="T179" s="6" t="str">
        <f>INDEX(医院2县区2人!$D$2:$D$1048576,MATCH(L179,医院2县区2人!$A$2:$A$1048576,0))</f>
        <v>201602151421097</v>
      </c>
      <c r="W179" s="6" t="str">
        <f t="shared" si="7"/>
        <v>“为消”牌乳酸菌素片0.4g*36片</v>
      </c>
      <c r="X179" s="6" t="s">
        <v>2890</v>
      </c>
    </row>
    <row r="180" spans="1:24" x14ac:dyDescent="0.15">
      <c r="A180" s="7" t="str">
        <f t="shared" si="8"/>
        <v>201806</v>
      </c>
      <c r="C180" s="6" t="str">
        <f>INDEX(工厂基础数据!$A$2:$A$1024,MATCH(X180,工厂基础数据!$D$2:$D$1024,0))</f>
        <v>02025767</v>
      </c>
      <c r="E180" s="6" t="str">
        <f>INDEX(工厂基础数据!$B$2:$B$1024,MATCH(X180,工厂基础数据!$D$2:$D$1024,0))</f>
        <v>滨州市仁信医药有限公司</v>
      </c>
      <c r="F180" s="6">
        <f>INDEX(商业2转码!$B$2:$B$10000,MATCH(E180,商业2转码!$A$2:$A$10000,0))</f>
        <v>0</v>
      </c>
      <c r="G180" s="6" t="str">
        <f>INDEX(品种2编码!$A$2:$A$1048576,MATCH(W180,品种2编码!$D$2:$D$1048576,0))</f>
        <v>0020020020SJMS0008</v>
      </c>
      <c r="H180" s="6" t="s">
        <v>1904</v>
      </c>
      <c r="I180" s="6" t="s">
        <v>1873</v>
      </c>
      <c r="J180" s="6" t="s">
        <v>3044</v>
      </c>
      <c r="L180" s="6" t="s">
        <v>2233</v>
      </c>
      <c r="M180" s="6">
        <f>INDEX(医院2县区2人!$B$2:$B$1048576,MATCH(L180,医院2县区2人!$A$2:$A$1048576,0))</f>
        <v>4</v>
      </c>
      <c r="N180" s="6" t="str">
        <f>INDEX(医院2县区2人!$C$2:$C$1048576,MATCH(L180,医院2县区2人!$A$2:$A$1048576,0))</f>
        <v>1858</v>
      </c>
      <c r="P180" s="7">
        <v>43253.736643518518</v>
      </c>
      <c r="Q180" s="6">
        <v>13</v>
      </c>
      <c r="R180" s="6">
        <v>26.5</v>
      </c>
      <c r="S180" s="6">
        <v>1801004</v>
      </c>
      <c r="T180" s="6" t="str">
        <f>INDEX(医院2县区2人!$D$2:$D$1048576,MATCH(L180,医院2县区2人!$A$2:$A$1048576,0))</f>
        <v>201602151421097</v>
      </c>
      <c r="W180" s="6" t="str">
        <f t="shared" si="7"/>
        <v>拉西地平片/三精司乐平片4mg*15片</v>
      </c>
      <c r="X180" s="6" t="s">
        <v>2890</v>
      </c>
    </row>
    <row r="181" spans="1:24" x14ac:dyDescent="0.15">
      <c r="A181" s="7" t="str">
        <f t="shared" si="8"/>
        <v>201806</v>
      </c>
      <c r="C181" s="6" t="str">
        <f>INDEX(工厂基础数据!$A$2:$A$1024,MATCH(X181,工厂基础数据!$D$2:$D$1024,0))</f>
        <v>02025767</v>
      </c>
      <c r="E181" s="6" t="str">
        <f>INDEX(工厂基础数据!$B$2:$B$1024,MATCH(X181,工厂基础数据!$D$2:$D$1024,0))</f>
        <v>滨州市仁信医药有限公司</v>
      </c>
      <c r="F181" s="6">
        <f>INDEX(商业2转码!$B$2:$B$10000,MATCH(E181,商业2转码!$A$2:$A$10000,0))</f>
        <v>0</v>
      </c>
      <c r="G181" s="6" t="str">
        <f>INDEX(品种2编码!$A$2:$A$1048576,MATCH(W181,品种2编码!$D$2:$D$1048576,0))</f>
        <v>0020020020ZYLC0011</v>
      </c>
      <c r="H181" s="6" t="s">
        <v>1877</v>
      </c>
      <c r="I181" s="6" t="s">
        <v>1919</v>
      </c>
      <c r="J181" s="6" t="s">
        <v>3036</v>
      </c>
      <c r="L181" s="6" t="s">
        <v>2233</v>
      </c>
      <c r="M181" s="6">
        <f>INDEX(医院2县区2人!$B$2:$B$1048576,MATCH(L181,医院2县区2人!$A$2:$A$1048576,0))</f>
        <v>4</v>
      </c>
      <c r="N181" s="6" t="str">
        <f>INDEX(医院2县区2人!$C$2:$C$1048576,MATCH(L181,医院2县区2人!$A$2:$A$1048576,0))</f>
        <v>1858</v>
      </c>
      <c r="P181" s="7">
        <v>43253.736643518518</v>
      </c>
      <c r="Q181" s="6">
        <v>50</v>
      </c>
      <c r="R181" s="6">
        <v>2.5</v>
      </c>
      <c r="S181" s="6">
        <v>160803</v>
      </c>
      <c r="T181" s="6" t="str">
        <f>INDEX(医院2县区2人!$D$2:$D$1048576,MATCH(L181,医院2县区2人!$A$2:$A$1048576,0))</f>
        <v>201602151421097</v>
      </c>
      <c r="W181" s="6" t="str">
        <f t="shared" si="7"/>
        <v xml:space="preserve">泻利停/颠茄磺苄啶片0.12g*20片 </v>
      </c>
      <c r="X181" s="6" t="s">
        <v>2890</v>
      </c>
    </row>
    <row r="182" spans="1:24" x14ac:dyDescent="0.15">
      <c r="A182" s="7" t="str">
        <f t="shared" si="8"/>
        <v>201806</v>
      </c>
      <c r="C182" s="6" t="str">
        <f>INDEX(工厂基础数据!$A$2:$A$1024,MATCH(X182,工厂基础数据!$D$2:$D$1024,0))</f>
        <v>02025767</v>
      </c>
      <c r="E182" s="6" t="str">
        <f>INDEX(工厂基础数据!$B$2:$B$1024,MATCH(X182,工厂基础数据!$D$2:$D$1024,0))</f>
        <v>滨州市仁信医药有限公司</v>
      </c>
      <c r="F182" s="6">
        <f>INDEX(商业2转码!$B$2:$B$10000,MATCH(E182,商业2转码!$A$2:$A$10000,0))</f>
        <v>0</v>
      </c>
      <c r="G182" s="6" t="str">
        <f>INDEX(品种2编码!$A$2:$A$1048576,MATCH(W182,品种2编码!$D$2:$D$1048576,0))</f>
        <v>0020020020ZYLC0003</v>
      </c>
      <c r="H182" s="6" t="s">
        <v>1940</v>
      </c>
      <c r="I182" s="6" t="s">
        <v>1941</v>
      </c>
      <c r="J182" s="6" t="s">
        <v>3036</v>
      </c>
      <c r="L182" s="6" t="s">
        <v>2233</v>
      </c>
      <c r="M182" s="6">
        <f>INDEX(医院2县区2人!$B$2:$B$1048576,MATCH(L182,医院2县区2人!$A$2:$A$1048576,0))</f>
        <v>4</v>
      </c>
      <c r="N182" s="6" t="str">
        <f>INDEX(医院2县区2人!$C$2:$C$1048576,MATCH(L182,医院2县区2人!$A$2:$A$1048576,0))</f>
        <v>1858</v>
      </c>
      <c r="P182" s="7">
        <v>43253.736643518518</v>
      </c>
      <c r="Q182" s="6">
        <v>50</v>
      </c>
      <c r="R182" s="6">
        <v>5.5</v>
      </c>
      <c r="S182" s="6">
        <v>161103</v>
      </c>
      <c r="T182" s="6" t="str">
        <f>INDEX(医院2县区2人!$D$2:$D$1048576,MATCH(L182,医院2县区2人!$A$2:$A$1048576,0))</f>
        <v>201602151421097</v>
      </c>
      <c r="W182" s="6" t="str">
        <f t="shared" si="7"/>
        <v>泻立停片/颠茄磺苄啶片0.4g：80mg：8mg*12片</v>
      </c>
      <c r="X182" s="6" t="s">
        <v>2890</v>
      </c>
    </row>
    <row r="183" spans="1:24" x14ac:dyDescent="0.15">
      <c r="A183" s="7" t="str">
        <f t="shared" si="8"/>
        <v>201806</v>
      </c>
      <c r="C183" s="6" t="str">
        <f>INDEX(工厂基础数据!$A$2:$A$1024,MATCH(X183,工厂基础数据!$D$2:$D$1024,0))</f>
        <v>02025767</v>
      </c>
      <c r="E183" s="6" t="str">
        <f>INDEX(工厂基础数据!$B$2:$B$1024,MATCH(X183,工厂基础数据!$D$2:$D$1024,0))</f>
        <v>滨州市仁信医药有限公司</v>
      </c>
      <c r="F183" s="6">
        <f>INDEX(商业2转码!$B$2:$B$10000,MATCH(E183,商业2转码!$A$2:$A$10000,0))</f>
        <v>0</v>
      </c>
      <c r="G183" s="6" t="str">
        <f>INDEX(品种2编码!$A$2:$A$1048576,MATCH(W183,品种2编码!$D$2:$D$1048576,0))</f>
        <v>0020100000ZYLC0012</v>
      </c>
      <c r="H183" s="6" t="s">
        <v>672</v>
      </c>
      <c r="I183" s="6" t="s">
        <v>1884</v>
      </c>
      <c r="J183" s="6" t="s">
        <v>3036</v>
      </c>
      <c r="L183" s="6" t="s">
        <v>2302</v>
      </c>
      <c r="M183" s="6">
        <f>INDEX(医院2县区2人!$B$2:$B$1048576,MATCH(L183,医院2县区2人!$A$2:$A$1048576,0))</f>
        <v>1</v>
      </c>
      <c r="N183" s="6" t="str">
        <f>INDEX(医院2县区2人!$C$2:$C$1048576,MATCH(L183,医院2县区2人!$A$2:$A$1048576,0))</f>
        <v>1856</v>
      </c>
      <c r="P183" s="7">
        <v>43253.736793981479</v>
      </c>
      <c r="Q183" s="6">
        <v>200</v>
      </c>
      <c r="R183" s="6">
        <v>0</v>
      </c>
      <c r="S183" s="6">
        <v>20180104</v>
      </c>
      <c r="T183" s="6" t="str">
        <f>INDEX(医院2县区2人!$D$2:$D$1048576,MATCH(L183,医院2县区2人!$A$2:$A$1048576,0))</f>
        <v>201602151421097</v>
      </c>
      <c r="W183" s="6" t="str">
        <f t="shared" si="7"/>
        <v>退热贴40mm*110mm*2贴</v>
      </c>
      <c r="X183" s="6" t="s">
        <v>2890</v>
      </c>
    </row>
    <row r="184" spans="1:24" x14ac:dyDescent="0.15">
      <c r="A184" s="7" t="str">
        <f t="shared" si="8"/>
        <v>201806</v>
      </c>
      <c r="C184" s="6" t="str">
        <f>INDEX(工厂基础数据!$A$2:$A$1024,MATCH(X184,工厂基础数据!$D$2:$D$1024,0))</f>
        <v>02025767</v>
      </c>
      <c r="E184" s="6" t="str">
        <f>INDEX(工厂基础数据!$B$2:$B$1024,MATCH(X184,工厂基础数据!$D$2:$D$1024,0))</f>
        <v>滨州市仁信医药有限公司</v>
      </c>
      <c r="F184" s="6">
        <f>INDEX(商业2转码!$B$2:$B$10000,MATCH(E184,商业2转码!$A$2:$A$10000,0))</f>
        <v>0</v>
      </c>
      <c r="G184" s="6" t="str">
        <f>INDEX(品种2编码!$A$2:$A$1048576,MATCH(W184,品种2编码!$D$2:$D$1048576,0))</f>
        <v>0020070000ZYLC0055</v>
      </c>
      <c r="H184" s="6" t="s">
        <v>1906</v>
      </c>
      <c r="I184" s="6" t="s">
        <v>411</v>
      </c>
      <c r="J184" s="6" t="s">
        <v>3036</v>
      </c>
      <c r="L184" s="6" t="s">
        <v>2457</v>
      </c>
      <c r="M184" s="6">
        <f>INDEX(医院2县区2人!$B$2:$B$1048576,MATCH(L184,医院2县区2人!$A$2:$A$1048576,0))</f>
        <v>4</v>
      </c>
      <c r="N184" s="6" t="str">
        <f>INDEX(医院2县区2人!$C$2:$C$1048576,MATCH(L184,医院2县区2人!$A$2:$A$1048576,0))</f>
        <v>1854</v>
      </c>
      <c r="P184" s="7">
        <v>43253.736701388887</v>
      </c>
      <c r="Q184" s="6">
        <v>30</v>
      </c>
      <c r="R184" s="6">
        <v>16</v>
      </c>
      <c r="S184" s="6">
        <v>170615</v>
      </c>
      <c r="T184" s="6" t="str">
        <f>INDEX(医院2县区2人!$D$2:$D$1048576,MATCH(L184,医院2县区2人!$A$2:$A$1048576,0))</f>
        <v>201602151421097</v>
      </c>
      <c r="W184" s="6" t="str">
        <f t="shared" si="7"/>
        <v>朴血/乳酸亚铁口服液10ml*12支</v>
      </c>
      <c r="X184" s="6" t="s">
        <v>2890</v>
      </c>
    </row>
    <row r="185" spans="1:24" x14ac:dyDescent="0.15">
      <c r="A185" s="7" t="str">
        <f t="shared" si="8"/>
        <v>201806</v>
      </c>
      <c r="C185" s="6" t="str">
        <f>INDEX(工厂基础数据!$A$2:$A$1024,MATCH(X185,工厂基础数据!$D$2:$D$1024,0))</f>
        <v>02025767</v>
      </c>
      <c r="E185" s="6" t="str">
        <f>INDEX(工厂基础数据!$B$2:$B$1024,MATCH(X185,工厂基础数据!$D$2:$D$1024,0))</f>
        <v>滨州市仁信医药有限公司</v>
      </c>
      <c r="F185" s="6">
        <f>INDEX(商业2转码!$B$2:$B$10000,MATCH(E185,商业2转码!$A$2:$A$10000,0))</f>
        <v>0</v>
      </c>
      <c r="G185" s="6" t="str">
        <f>INDEX(品种2编码!$A$2:$A$1048576,MATCH(W185,品种2编码!$D$2:$D$1048576,0))</f>
        <v>0020050090SJZY0001</v>
      </c>
      <c r="H185" s="6" t="s">
        <v>630</v>
      </c>
      <c r="I185" s="6" t="s">
        <v>1850</v>
      </c>
      <c r="J185" s="6" t="s">
        <v>3040</v>
      </c>
      <c r="L185" s="6" t="s">
        <v>2302</v>
      </c>
      <c r="M185" s="6">
        <f>INDEX(医院2县区2人!$B$2:$B$1048576,MATCH(L185,医院2县区2人!$A$2:$A$1048576,0))</f>
        <v>1</v>
      </c>
      <c r="N185" s="6" t="str">
        <f>INDEX(医院2县区2人!$C$2:$C$1048576,MATCH(L185,医院2县区2人!$A$2:$A$1048576,0))</f>
        <v>1856</v>
      </c>
      <c r="P185" s="7">
        <v>43253.736712962964</v>
      </c>
      <c r="Q185" s="6">
        <v>10</v>
      </c>
      <c r="R185" s="6">
        <v>16.5</v>
      </c>
      <c r="S185" s="6">
        <v>18031742</v>
      </c>
      <c r="T185" s="6" t="str">
        <f>INDEX(医院2县区2人!$D$2:$D$1048576,MATCH(L185,医院2县区2人!$A$2:$A$1048576,0))</f>
        <v>201602151421097</v>
      </c>
      <c r="W185" s="6" t="str">
        <f t="shared" si="7"/>
        <v>双黄连口服液10ml*10支</v>
      </c>
      <c r="X185" s="6" t="s">
        <v>2890</v>
      </c>
    </row>
    <row r="186" spans="1:24" x14ac:dyDescent="0.15">
      <c r="A186" s="7" t="str">
        <f t="shared" si="8"/>
        <v>201806</v>
      </c>
      <c r="C186" s="6" t="str">
        <f>INDEX(工厂基础数据!$A$2:$A$1024,MATCH(X186,工厂基础数据!$D$2:$D$1024,0))</f>
        <v>02025767</v>
      </c>
      <c r="E186" s="6" t="str">
        <f>INDEX(工厂基础数据!$B$2:$B$1024,MATCH(X186,工厂基础数据!$D$2:$D$1024,0))</f>
        <v>滨州市仁信医药有限公司</v>
      </c>
      <c r="F186" s="6">
        <f>INDEX(商业2转码!$B$2:$B$10000,MATCH(E186,商业2转码!$A$2:$A$10000,0))</f>
        <v>0</v>
      </c>
      <c r="G186" s="6" t="str">
        <f>INDEX(品种2编码!$A$2:$A$1048576,MATCH(W186,品种2编码!$D$2:$D$1048576,0))</f>
        <v>0020050090SJZY0001</v>
      </c>
      <c r="H186" s="6" t="s">
        <v>630</v>
      </c>
      <c r="I186" s="6" t="s">
        <v>1850</v>
      </c>
      <c r="J186" s="6" t="s">
        <v>3040</v>
      </c>
      <c r="L186" s="6" t="s">
        <v>2302</v>
      </c>
      <c r="M186" s="6">
        <f>INDEX(医院2县区2人!$B$2:$B$1048576,MATCH(L186,医院2县区2人!$A$2:$A$1048576,0))</f>
        <v>1</v>
      </c>
      <c r="N186" s="6" t="str">
        <f>INDEX(医院2县区2人!$C$2:$C$1048576,MATCH(L186,医院2县区2人!$A$2:$A$1048576,0))</f>
        <v>1856</v>
      </c>
      <c r="P186" s="7">
        <v>43253.736712962964</v>
      </c>
      <c r="Q186" s="6">
        <v>80</v>
      </c>
      <c r="R186" s="6">
        <v>16.5</v>
      </c>
      <c r="S186" s="6">
        <v>18011223</v>
      </c>
      <c r="T186" s="6" t="str">
        <f>INDEX(医院2县区2人!$D$2:$D$1048576,MATCH(L186,医院2县区2人!$A$2:$A$1048576,0))</f>
        <v>201602151421097</v>
      </c>
      <c r="W186" s="6" t="str">
        <f t="shared" si="7"/>
        <v>双黄连口服液10ml*10支</v>
      </c>
      <c r="X186" s="6" t="s">
        <v>2890</v>
      </c>
    </row>
    <row r="187" spans="1:24" x14ac:dyDescent="0.15">
      <c r="A187" s="7" t="str">
        <f t="shared" si="8"/>
        <v>201806</v>
      </c>
      <c r="C187" s="6" t="str">
        <f>INDEX(工厂基础数据!$A$2:$A$1024,MATCH(X187,工厂基础数据!$D$2:$D$1024,0))</f>
        <v>02025767</v>
      </c>
      <c r="E187" s="6" t="str">
        <f>INDEX(工厂基础数据!$B$2:$B$1024,MATCH(X187,工厂基础数据!$D$2:$D$1024,0))</f>
        <v>滨州市仁信医药有限公司</v>
      </c>
      <c r="F187" s="6">
        <f>INDEX(商业2转码!$B$2:$B$10000,MATCH(E187,商业2转码!$A$2:$A$10000,0))</f>
        <v>0</v>
      </c>
      <c r="G187" s="6" t="str">
        <f>INDEX(品种2编码!$A$2:$A$1048576,MATCH(W187,品种2编码!$D$2:$D$1048576,0))</f>
        <v>0020040220SHYT0005</v>
      </c>
      <c r="H187" s="6" t="s">
        <v>1857</v>
      </c>
      <c r="I187" s="6" t="s">
        <v>1896</v>
      </c>
      <c r="J187" s="6" t="s">
        <v>3037</v>
      </c>
      <c r="L187" s="6" t="s">
        <v>2192</v>
      </c>
      <c r="M187" s="6">
        <f>INDEX(医院2县区2人!$B$2:$B$1048576,MATCH(L187,医院2县区2人!$A$2:$A$1048576,0))</f>
        <v>2</v>
      </c>
      <c r="N187" s="6" t="str">
        <f>INDEX(医院2县区2人!$C$2:$C$1048576,MATCH(L187,医院2县区2人!$A$2:$A$1048576,0))</f>
        <v>1856</v>
      </c>
      <c r="P187" s="7">
        <v>43253.736504629633</v>
      </c>
      <c r="Q187" s="6">
        <v>10</v>
      </c>
      <c r="R187" s="6">
        <v>14</v>
      </c>
      <c r="S187" s="6">
        <v>1610403</v>
      </c>
      <c r="T187" s="6" t="str">
        <f>INDEX(医院2县区2人!$D$2:$D$1048576,MATCH(L187,医院2县区2人!$A$2:$A$1048576,0))</f>
        <v>201602151421097</v>
      </c>
      <c r="W187" s="6" t="str">
        <f t="shared" si="7"/>
        <v>妇宁栓1.6g×7枚</v>
      </c>
      <c r="X187" s="6" t="s">
        <v>2890</v>
      </c>
    </row>
    <row r="188" spans="1:24" x14ac:dyDescent="0.15">
      <c r="A188" s="7" t="str">
        <f t="shared" si="8"/>
        <v>201806</v>
      </c>
      <c r="C188" s="6" t="str">
        <f>INDEX(工厂基础数据!$A$2:$A$1024,MATCH(X188,工厂基础数据!$D$2:$D$1024,0))</f>
        <v>02025767</v>
      </c>
      <c r="E188" s="6" t="str">
        <f>INDEX(工厂基础数据!$B$2:$B$1024,MATCH(X188,工厂基础数据!$D$2:$D$1024,0))</f>
        <v>滨州市仁信医药有限公司</v>
      </c>
      <c r="F188" s="6">
        <f>INDEX(商业2转码!$B$2:$B$10000,MATCH(E188,商业2转码!$A$2:$A$10000,0))</f>
        <v>0</v>
      </c>
      <c r="G188" s="6" t="str">
        <f>INDEX(品种2编码!$A$2:$A$1048576,MATCH(W188,品种2编码!$D$2:$D$1048576,0))</f>
        <v>0020020021ZYLC0005</v>
      </c>
      <c r="H188" s="6" t="s">
        <v>1920</v>
      </c>
      <c r="I188" s="6" t="s">
        <v>1841</v>
      </c>
      <c r="J188" s="6" t="s">
        <v>3036</v>
      </c>
      <c r="L188" s="6" t="s">
        <v>2192</v>
      </c>
      <c r="M188" s="6">
        <f>INDEX(医院2县区2人!$B$2:$B$1048576,MATCH(L188,医院2县区2人!$A$2:$A$1048576,0))</f>
        <v>2</v>
      </c>
      <c r="N188" s="6" t="str">
        <f>INDEX(医院2县区2人!$C$2:$C$1048576,MATCH(L188,医院2县区2人!$A$2:$A$1048576,0))</f>
        <v>1856</v>
      </c>
      <c r="P188" s="7">
        <v>43253.736620370371</v>
      </c>
      <c r="Q188" s="6">
        <v>200</v>
      </c>
      <c r="R188" s="6">
        <v>4</v>
      </c>
      <c r="S188" s="6">
        <v>180201</v>
      </c>
      <c r="T188" s="6" t="str">
        <f>INDEX(医院2县区2人!$D$2:$D$1048576,MATCH(L188,医院2县区2人!$A$2:$A$1048576,0))</f>
        <v>201602151421097</v>
      </c>
      <c r="W188" s="6" t="str">
        <f t="shared" si="7"/>
        <v>小儿严迪片/罗红霉素分散片50mg*12片</v>
      </c>
      <c r="X188" s="6" t="s">
        <v>2890</v>
      </c>
    </row>
    <row r="189" spans="1:24" x14ac:dyDescent="0.15">
      <c r="A189" s="7" t="str">
        <f t="shared" si="8"/>
        <v>201806</v>
      </c>
      <c r="C189" s="6" t="str">
        <f>INDEX(工厂基础数据!$A$2:$A$1024,MATCH(X189,工厂基础数据!$D$2:$D$1024,0))</f>
        <v>02025767</v>
      </c>
      <c r="E189" s="6" t="str">
        <f>INDEX(工厂基础数据!$B$2:$B$1024,MATCH(X189,工厂基础数据!$D$2:$D$1024,0))</f>
        <v>滨州市仁信医药有限公司</v>
      </c>
      <c r="F189" s="6">
        <f>INDEX(商业2转码!$B$2:$B$10000,MATCH(E189,商业2转码!$A$2:$A$10000,0))</f>
        <v>0</v>
      </c>
      <c r="G189" s="6" t="str">
        <f>INDEX(品种2编码!$A$2:$A$1048576,MATCH(W189,品种2编码!$D$2:$D$1048576,0))</f>
        <v>0020020021ZYLC0005</v>
      </c>
      <c r="H189" s="6" t="s">
        <v>1920</v>
      </c>
      <c r="I189" s="6" t="s">
        <v>1841</v>
      </c>
      <c r="J189" s="6" t="s">
        <v>3036</v>
      </c>
      <c r="L189" s="6" t="s">
        <v>2192</v>
      </c>
      <c r="M189" s="6">
        <f>INDEX(医院2县区2人!$B$2:$B$1048576,MATCH(L189,医院2县区2人!$A$2:$A$1048576,0))</f>
        <v>2</v>
      </c>
      <c r="N189" s="6" t="str">
        <f>INDEX(医院2县区2人!$C$2:$C$1048576,MATCH(L189,医院2县区2人!$A$2:$A$1048576,0))</f>
        <v>1856</v>
      </c>
      <c r="P189" s="7">
        <v>43253.736550925925</v>
      </c>
      <c r="Q189" s="6">
        <v>800</v>
      </c>
      <c r="R189" s="6">
        <v>4</v>
      </c>
      <c r="S189" s="6">
        <v>180201</v>
      </c>
      <c r="T189" s="6" t="str">
        <f>INDEX(医院2县区2人!$D$2:$D$1048576,MATCH(L189,医院2县区2人!$A$2:$A$1048576,0))</f>
        <v>201602151421097</v>
      </c>
      <c r="W189" s="6" t="str">
        <f t="shared" si="7"/>
        <v>小儿严迪片/罗红霉素分散片50mg*12片</v>
      </c>
      <c r="X189" s="6" t="s">
        <v>2890</v>
      </c>
    </row>
    <row r="190" spans="1:24" x14ac:dyDescent="0.15">
      <c r="A190" s="7" t="str">
        <f t="shared" si="8"/>
        <v>201806</v>
      </c>
      <c r="C190" s="6" t="str">
        <f>INDEX(工厂基础数据!$A$2:$A$1024,MATCH(X190,工厂基础数据!$D$2:$D$1024,0))</f>
        <v>02025767</v>
      </c>
      <c r="E190" s="6" t="str">
        <f>INDEX(工厂基础数据!$B$2:$B$1024,MATCH(X190,工厂基础数据!$D$2:$D$1024,0))</f>
        <v>滨州市仁信医药有限公司</v>
      </c>
      <c r="F190" s="6">
        <f>INDEX(商业2转码!$B$2:$B$10000,MATCH(E190,商业2转码!$A$2:$A$10000,0))</f>
        <v>0</v>
      </c>
      <c r="G190" s="6" t="str">
        <f>INDEX(品种2编码!$A$2:$A$1048576,MATCH(W190,品种2编码!$D$2:$D$1048576,0))</f>
        <v>0020020030ZYZC0282</v>
      </c>
      <c r="H190" s="6" t="s">
        <v>699</v>
      </c>
      <c r="I190" s="6" t="s">
        <v>1937</v>
      </c>
      <c r="J190" s="6" t="s">
        <v>3038</v>
      </c>
      <c r="L190" s="6" t="s">
        <v>2192</v>
      </c>
      <c r="M190" s="6">
        <f>INDEX(医院2县区2人!$B$2:$B$1048576,MATCH(L190,医院2县区2人!$A$2:$A$1048576,0))</f>
        <v>2</v>
      </c>
      <c r="N190" s="6" t="str">
        <f>INDEX(医院2县区2人!$C$2:$C$1048576,MATCH(L190,医院2县区2人!$A$2:$A$1048576,0))</f>
        <v>1856</v>
      </c>
      <c r="P190" s="7">
        <v>43253.736504629633</v>
      </c>
      <c r="Q190" s="6">
        <v>20</v>
      </c>
      <c r="R190" s="6">
        <v>0</v>
      </c>
      <c r="S190" s="6" t="s">
        <v>3050</v>
      </c>
      <c r="T190" s="6" t="str">
        <f>INDEX(医院2县区2人!$D$2:$D$1048576,MATCH(L190,医院2县区2人!$A$2:$A$1048576,0))</f>
        <v>201602151421097</v>
      </c>
      <c r="W190" s="6" t="str">
        <f t="shared" si="7"/>
        <v>小檗碱甲氧苄啶胶囊30粒</v>
      </c>
      <c r="X190" s="6" t="s">
        <v>2890</v>
      </c>
    </row>
    <row r="191" spans="1:24" x14ac:dyDescent="0.15">
      <c r="A191" s="7" t="str">
        <f t="shared" si="8"/>
        <v>201806</v>
      </c>
      <c r="C191" s="6" t="str">
        <f>INDEX(工厂基础数据!$A$2:$A$1024,MATCH(X191,工厂基础数据!$D$2:$D$1024,0))</f>
        <v>02025767</v>
      </c>
      <c r="E191" s="6" t="str">
        <f>INDEX(工厂基础数据!$B$2:$B$1024,MATCH(X191,工厂基础数据!$D$2:$D$1024,0))</f>
        <v>滨州市仁信医药有限公司</v>
      </c>
      <c r="F191" s="6">
        <f>INDEX(商业2转码!$B$2:$B$10000,MATCH(E191,商业2转码!$A$2:$A$10000,0))</f>
        <v>0</v>
      </c>
      <c r="G191" s="6" t="str">
        <f>INDEX(品种2编码!$A$2:$A$1048576,MATCH(W191,品种2编码!$D$2:$D$1048576,0))</f>
        <v>0020070001ZYZC0369</v>
      </c>
      <c r="H191" s="6" t="s">
        <v>1849</v>
      </c>
      <c r="I191" s="6" t="s">
        <v>411</v>
      </c>
      <c r="J191" s="6" t="s">
        <v>3038</v>
      </c>
      <c r="L191" s="6" t="s">
        <v>2191</v>
      </c>
      <c r="M191" s="6">
        <f>INDEX(医院2县区2人!$B$2:$B$1048576,MATCH(L191,医院2县区2人!$A$2:$A$1048576,0))</f>
        <v>2</v>
      </c>
      <c r="N191" s="6" t="str">
        <f>INDEX(医院2县区2人!$C$2:$C$1048576,MATCH(L191,医院2县区2人!$A$2:$A$1048576,0))</f>
        <v>1855</v>
      </c>
      <c r="P191" s="7">
        <v>43253.73642361111</v>
      </c>
      <c r="Q191" s="6">
        <v>5</v>
      </c>
      <c r="R191" s="6">
        <v>16.5</v>
      </c>
      <c r="S191" s="6">
        <v>1803014</v>
      </c>
      <c r="T191" s="6" t="str">
        <f>INDEX(医院2县区2人!$D$2:$D$1048576,MATCH(L191,医院2县区2人!$A$2:$A$1048576,0))</f>
        <v>201602151421097</v>
      </c>
      <c r="W191" s="6" t="str">
        <f t="shared" si="7"/>
        <v>哈药牌钙铁锌口服液10ml*12支</v>
      </c>
      <c r="X191" s="6" t="s">
        <v>2890</v>
      </c>
    </row>
    <row r="192" spans="1:24" x14ac:dyDescent="0.15">
      <c r="A192" s="7" t="str">
        <f t="shared" si="8"/>
        <v>201806</v>
      </c>
      <c r="C192" s="6" t="str">
        <f>INDEX(工厂基础数据!$A$2:$A$1024,MATCH(X192,工厂基础数据!$D$2:$D$1024,0))</f>
        <v>02025767</v>
      </c>
      <c r="E192" s="6" t="str">
        <f>INDEX(工厂基础数据!$B$2:$B$1024,MATCH(X192,工厂基础数据!$D$2:$D$1024,0))</f>
        <v>滨州市仁信医药有限公司</v>
      </c>
      <c r="F192" s="6">
        <f>INDEX(商业2转码!$B$2:$B$10000,MATCH(E192,商业2转码!$A$2:$A$10000,0))</f>
        <v>0</v>
      </c>
      <c r="G192" s="6" t="str">
        <f>INDEX(品种2编码!$A$2:$A$1048576,MATCH(W192,品种2编码!$D$2:$D$1048576,0))</f>
        <v>0020030001SJZY0009</v>
      </c>
      <c r="H192" s="6" t="s">
        <v>555</v>
      </c>
      <c r="I192" s="6" t="s">
        <v>1889</v>
      </c>
      <c r="J192" s="6" t="s">
        <v>3039</v>
      </c>
      <c r="L192" s="6" t="s">
        <v>2244</v>
      </c>
      <c r="M192" s="6">
        <f>INDEX(医院2县区2人!$B$2:$B$1048576,MATCH(L192,医院2县区2人!$A$2:$A$1048576,0))</f>
        <v>1</v>
      </c>
      <c r="N192" s="6" t="str">
        <f>INDEX(医院2县区2人!$C$2:$C$1048576,MATCH(L192,医院2县区2人!$A$2:$A$1048576,0))</f>
        <v>1858</v>
      </c>
      <c r="P192" s="7">
        <v>43252.767581018517</v>
      </c>
      <c r="Q192" s="6">
        <v>20</v>
      </c>
      <c r="R192" s="6">
        <v>25</v>
      </c>
      <c r="S192" s="6">
        <v>18031227</v>
      </c>
      <c r="T192" s="6" t="str">
        <f>INDEX(医院2县区2人!$D$2:$D$1048576,MATCH(L192,医院2县区2人!$A$2:$A$1048576,0))</f>
        <v>201602151421097</v>
      </c>
      <c r="W192" s="6" t="str">
        <f t="shared" si="7"/>
        <v>葡萄糖酸锌口服液10ML*12支</v>
      </c>
      <c r="X192" s="6" t="s">
        <v>2890</v>
      </c>
    </row>
    <row r="193" spans="1:24" x14ac:dyDescent="0.15">
      <c r="A193" s="7" t="str">
        <f t="shared" si="8"/>
        <v>201806</v>
      </c>
      <c r="C193" s="6" t="str">
        <f>INDEX(工厂基础数据!$A$2:$A$1024,MATCH(X193,工厂基础数据!$D$2:$D$1024,0))</f>
        <v>02025767</v>
      </c>
      <c r="E193" s="6" t="str">
        <f>INDEX(工厂基础数据!$B$2:$B$1024,MATCH(X193,工厂基础数据!$D$2:$D$1024,0))</f>
        <v>滨州市仁信医药有限公司</v>
      </c>
      <c r="F193" s="6">
        <f>INDEX(商业2转码!$B$2:$B$10000,MATCH(E193,商业2转码!$A$2:$A$10000,0))</f>
        <v>0</v>
      </c>
      <c r="G193" s="6" t="str">
        <f>INDEX(品种2编码!$A$2:$A$1048576,MATCH(W193,品种2编码!$D$2:$D$1048576,0))</f>
        <v>0020070001ZYZC0383</v>
      </c>
      <c r="H193" s="6" t="s">
        <v>1849</v>
      </c>
      <c r="I193" s="6" t="s">
        <v>1850</v>
      </c>
      <c r="J193" s="6" t="s">
        <v>3038</v>
      </c>
      <c r="L193" s="6" t="s">
        <v>2244</v>
      </c>
      <c r="M193" s="6">
        <f>INDEX(医院2县区2人!$B$2:$B$1048576,MATCH(L193,医院2县区2人!$A$2:$A$1048576,0))</f>
        <v>1</v>
      </c>
      <c r="N193" s="6" t="str">
        <f>INDEX(医院2县区2人!$C$2:$C$1048576,MATCH(L193,医院2县区2人!$A$2:$A$1048576,0))</f>
        <v>1858</v>
      </c>
      <c r="P193" s="7">
        <v>43252.767581018517</v>
      </c>
      <c r="Q193" s="6">
        <v>30</v>
      </c>
      <c r="R193" s="6">
        <v>15</v>
      </c>
      <c r="S193" s="6">
        <v>1801107</v>
      </c>
      <c r="T193" s="6" t="str">
        <f>INDEX(医院2县区2人!$D$2:$D$1048576,MATCH(L193,医院2县区2人!$A$2:$A$1048576,0))</f>
        <v>201602151421097</v>
      </c>
      <c r="W193" s="6" t="str">
        <f t="shared" si="7"/>
        <v>哈药牌钙铁锌口服液10ml*10支</v>
      </c>
      <c r="X193" s="6" t="s">
        <v>2890</v>
      </c>
    </row>
    <row r="194" spans="1:24" x14ac:dyDescent="0.15">
      <c r="A194" s="7" t="str">
        <f t="shared" si="8"/>
        <v>201806</v>
      </c>
      <c r="C194" s="6" t="str">
        <f>INDEX(工厂基础数据!$A$2:$A$1024,MATCH(X194,工厂基础数据!$D$2:$D$1024,0))</f>
        <v>02025767</v>
      </c>
      <c r="E194" s="6" t="str">
        <f>INDEX(工厂基础数据!$B$2:$B$1024,MATCH(X194,工厂基础数据!$D$2:$D$1024,0))</f>
        <v>滨州市仁信医药有限公司</v>
      </c>
      <c r="F194" s="6">
        <f>INDEX(商业2转码!$B$2:$B$10000,MATCH(E194,商业2转码!$A$2:$A$10000,0))</f>
        <v>0</v>
      </c>
      <c r="G194" s="6" t="str">
        <f>INDEX(品种2编码!$A$2:$A$1048576,MATCH(W194,品种2编码!$D$2:$D$1048576,0))</f>
        <v>0020020020ZYLC0010</v>
      </c>
      <c r="H194" s="6" t="s">
        <v>1877</v>
      </c>
      <c r="I194" s="6" t="s">
        <v>1878</v>
      </c>
      <c r="J194" s="6" t="s">
        <v>3036</v>
      </c>
      <c r="L194" s="6" t="s">
        <v>2725</v>
      </c>
      <c r="M194" s="6">
        <f>INDEX(医院2县区2人!$B$2:$B$1048576,MATCH(L194,医院2县区2人!$A$2:$A$1048576,0))</f>
        <v>2</v>
      </c>
      <c r="N194" s="6" t="str">
        <f>INDEX(医院2县区2人!$C$2:$C$1048576,MATCH(L194,医院2县区2人!$A$2:$A$1048576,0))</f>
        <v>1854</v>
      </c>
      <c r="P194" s="7">
        <v>43252.76761574074</v>
      </c>
      <c r="Q194" s="6">
        <v>10</v>
      </c>
      <c r="R194" s="6">
        <v>3.5</v>
      </c>
      <c r="S194" s="6">
        <v>180401</v>
      </c>
      <c r="T194" s="6" t="str">
        <f>INDEX(医院2县区2人!$D$2:$D$1048576,MATCH(L194,医院2县区2人!$A$2:$A$1048576,0))</f>
        <v>201602151421097</v>
      </c>
      <c r="W194" s="6" t="str">
        <f t="shared" si="7"/>
        <v xml:space="preserve">泻利停/颠茄磺苄啶片0.48g*10片 </v>
      </c>
      <c r="X194" s="6" t="s">
        <v>2890</v>
      </c>
    </row>
    <row r="195" spans="1:24" x14ac:dyDescent="0.15">
      <c r="A195" s="7" t="str">
        <f t="shared" si="8"/>
        <v>201806</v>
      </c>
      <c r="C195" s="6" t="str">
        <f>INDEX(工厂基础数据!$A$2:$A$1024,MATCH(X195,工厂基础数据!$D$2:$D$1024,0))</f>
        <v>02025767</v>
      </c>
      <c r="E195" s="6" t="str">
        <f>INDEX(工厂基础数据!$B$2:$B$1024,MATCH(X195,工厂基础数据!$D$2:$D$1024,0))</f>
        <v>滨州市仁信医药有限公司</v>
      </c>
      <c r="F195" s="6">
        <f>INDEX(商业2转码!$B$2:$B$10000,MATCH(E195,商业2转码!$A$2:$A$10000,0))</f>
        <v>0</v>
      </c>
      <c r="G195" s="6" t="str">
        <f>INDEX(品种2编码!$A$2:$A$1048576,MATCH(W195,品种2编码!$D$2:$D$1048576,0))</f>
        <v>0020020020ZYLC0010</v>
      </c>
      <c r="H195" s="6" t="s">
        <v>1877</v>
      </c>
      <c r="I195" s="6" t="s">
        <v>1878</v>
      </c>
      <c r="J195" s="6" t="s">
        <v>3036</v>
      </c>
      <c r="L195" s="6" t="s">
        <v>2302</v>
      </c>
      <c r="M195" s="6">
        <f>INDEX(医院2县区2人!$B$2:$B$1048576,MATCH(L195,医院2县区2人!$A$2:$A$1048576,0))</f>
        <v>1</v>
      </c>
      <c r="N195" s="6" t="str">
        <f>INDEX(医院2县区2人!$C$2:$C$1048576,MATCH(L195,医院2县区2人!$A$2:$A$1048576,0))</f>
        <v>1856</v>
      </c>
      <c r="P195" s="7">
        <v>43253.73678240741</v>
      </c>
      <c r="Q195" s="6">
        <v>600</v>
      </c>
      <c r="R195" s="6">
        <v>3.5</v>
      </c>
      <c r="S195" s="6">
        <v>180401</v>
      </c>
      <c r="T195" s="6" t="str">
        <f>INDEX(医院2县区2人!$D$2:$D$1048576,MATCH(L195,医院2县区2人!$A$2:$A$1048576,0))</f>
        <v>201602151421097</v>
      </c>
      <c r="W195" s="6" t="str">
        <f t="shared" si="7"/>
        <v xml:space="preserve">泻利停/颠茄磺苄啶片0.48g*10片 </v>
      </c>
      <c r="X195" s="6" t="s">
        <v>2890</v>
      </c>
    </row>
    <row r="196" spans="1:24" x14ac:dyDescent="0.15">
      <c r="A196" s="7" t="str">
        <f t="shared" si="8"/>
        <v>201806</v>
      </c>
      <c r="C196" s="6" t="str">
        <f>INDEX(工厂基础数据!$A$2:$A$1024,MATCH(X196,工厂基础数据!$D$2:$D$1024,0))</f>
        <v>02025767</v>
      </c>
      <c r="E196" s="6" t="str">
        <f>INDEX(工厂基础数据!$B$2:$B$1024,MATCH(X196,工厂基础数据!$D$2:$D$1024,0))</f>
        <v>滨州市仁信医药有限公司</v>
      </c>
      <c r="F196" s="6">
        <f>INDEX(商业2转码!$B$2:$B$10000,MATCH(E196,商业2转码!$A$2:$A$10000,0))</f>
        <v>0</v>
      </c>
      <c r="G196" s="6" t="str">
        <f>INDEX(品种2编码!$A$2:$A$1048576,MATCH(W196,品种2编码!$D$2:$D$1048576,0))</f>
        <v>0020020021ZYLC0004</v>
      </c>
      <c r="H196" s="6" t="s">
        <v>1899</v>
      </c>
      <c r="I196" s="6" t="s">
        <v>1869</v>
      </c>
      <c r="J196" s="6" t="s">
        <v>3036</v>
      </c>
      <c r="L196" s="6" t="s">
        <v>2233</v>
      </c>
      <c r="M196" s="6">
        <f>INDEX(医院2县区2人!$B$2:$B$1048576,MATCH(L196,医院2县区2人!$A$2:$A$1048576,0))</f>
        <v>4</v>
      </c>
      <c r="N196" s="6" t="str">
        <f>INDEX(医院2县区2人!$C$2:$C$1048576,MATCH(L196,医院2县区2人!$A$2:$A$1048576,0))</f>
        <v>1858</v>
      </c>
      <c r="P196" s="7">
        <v>43252.767511574071</v>
      </c>
      <c r="Q196" s="6">
        <v>30</v>
      </c>
      <c r="R196" s="6">
        <v>8</v>
      </c>
      <c r="S196" s="6">
        <v>180201</v>
      </c>
      <c r="T196" s="6" t="str">
        <f>INDEX(医院2县区2人!$D$2:$D$1048576,MATCH(L196,医院2县区2人!$A$2:$A$1048576,0))</f>
        <v>201602151421097</v>
      </c>
      <c r="W196" s="6" t="str">
        <f t="shared" si="7"/>
        <v>大严迪片/罗红霉素分散片75mg*12片</v>
      </c>
      <c r="X196" s="6" t="s">
        <v>2890</v>
      </c>
    </row>
    <row r="197" spans="1:24" x14ac:dyDescent="0.15">
      <c r="A197" s="7" t="str">
        <f t="shared" si="8"/>
        <v>201806</v>
      </c>
      <c r="C197" s="6" t="str">
        <f>INDEX(工厂基础数据!$A$2:$A$1024,MATCH(X197,工厂基础数据!$D$2:$D$1024,0))</f>
        <v>02025767</v>
      </c>
      <c r="E197" s="6" t="str">
        <f>INDEX(工厂基础数据!$B$2:$B$1024,MATCH(X197,工厂基础数据!$D$2:$D$1024,0))</f>
        <v>滨州市仁信医药有限公司</v>
      </c>
      <c r="F197" s="6">
        <f>INDEX(商业2转码!$B$2:$B$10000,MATCH(E197,商业2转码!$A$2:$A$10000,0))</f>
        <v>0</v>
      </c>
      <c r="G197" s="6" t="str">
        <f>INDEX(品种2编码!$A$2:$A$1048576,MATCH(W197,品种2编码!$D$2:$D$1048576,0))</f>
        <v>0020020020ZYLC0010</v>
      </c>
      <c r="H197" s="6" t="s">
        <v>1877</v>
      </c>
      <c r="I197" s="6" t="s">
        <v>1878</v>
      </c>
      <c r="J197" s="6" t="s">
        <v>3036</v>
      </c>
      <c r="L197" s="6" t="s">
        <v>2634</v>
      </c>
      <c r="M197" s="6">
        <f>INDEX(医院2县区2人!$B$2:$B$1048576,MATCH(L197,医院2县区2人!$A$2:$A$1048576,0))</f>
        <v>1</v>
      </c>
      <c r="N197" s="6" t="str">
        <f>INDEX(医院2县区2人!$C$2:$C$1048576,MATCH(L197,医院2县区2人!$A$2:$A$1048576,0))</f>
        <v>1853</v>
      </c>
      <c r="P197" s="7">
        <v>43252.767569444448</v>
      </c>
      <c r="Q197" s="6">
        <v>40</v>
      </c>
      <c r="R197" s="6">
        <v>3.5</v>
      </c>
      <c r="S197" s="6">
        <v>180401</v>
      </c>
      <c r="T197" s="6" t="str">
        <f>INDEX(医院2县区2人!$D$2:$D$1048576,MATCH(L197,医院2县区2人!$A$2:$A$1048576,0))</f>
        <v>201602151421097</v>
      </c>
      <c r="W197" s="6" t="str">
        <f t="shared" ref="W197:W260" si="9">H197&amp;I197</f>
        <v xml:space="preserve">泻利停/颠茄磺苄啶片0.48g*10片 </v>
      </c>
      <c r="X197" s="6" t="s">
        <v>2890</v>
      </c>
    </row>
    <row r="198" spans="1:24" x14ac:dyDescent="0.15">
      <c r="A198" s="7" t="str">
        <f t="shared" ref="A198:A261" si="10">IF(MONTH(P198)&lt;10,YEAR(P198)&amp;"0"&amp;MONTH(P198),YEAR(P198)&amp;MONTH(P198))</f>
        <v>201806</v>
      </c>
      <c r="C198" s="6" t="str">
        <f>INDEX(工厂基础数据!$A$2:$A$1024,MATCH(X198,工厂基础数据!$D$2:$D$1024,0))</f>
        <v>02025767</v>
      </c>
      <c r="E198" s="6" t="str">
        <f>INDEX(工厂基础数据!$B$2:$B$1024,MATCH(X198,工厂基础数据!$D$2:$D$1024,0))</f>
        <v>滨州市仁信医药有限公司</v>
      </c>
      <c r="F198" s="6">
        <f>INDEX(商业2转码!$B$2:$B$10000,MATCH(E198,商业2转码!$A$2:$A$10000,0))</f>
        <v>0</v>
      </c>
      <c r="G198" s="6" t="str">
        <f>INDEX(品种2编码!$A$2:$A$1048576,MATCH(W198,品种2编码!$D$2:$D$1048576,0))</f>
        <v>0020020013ZYZC0491</v>
      </c>
      <c r="H198" s="6" t="s">
        <v>1921</v>
      </c>
      <c r="I198" s="6" t="s">
        <v>914</v>
      </c>
      <c r="J198" s="6" t="s">
        <v>3038</v>
      </c>
      <c r="L198" s="6" t="s">
        <v>2995</v>
      </c>
      <c r="M198" s="6" t="e">
        <f>INDEX(医院2县区2人!$B$2:$B$1048576,MATCH(L198,医院2县区2人!$A$2:$A$1048576,0))</f>
        <v>#N/A</v>
      </c>
      <c r="N198" s="6" t="e">
        <f>INDEX(医院2县区2人!$C$2:$C$1048576,MATCH(L198,医院2县区2人!$A$2:$A$1048576,0))</f>
        <v>#N/A</v>
      </c>
      <c r="P198" s="7">
        <v>43252.767233796294</v>
      </c>
      <c r="Q198" s="6">
        <v>20</v>
      </c>
      <c r="R198" s="6">
        <v>3.5</v>
      </c>
      <c r="S198" s="6" t="s">
        <v>3051</v>
      </c>
      <c r="T198" s="6" t="e">
        <f>INDEX(医院2县区2人!$D$2:$D$1048576,MATCH(L198,医院2县区2人!$A$2:$A$1048576,0))</f>
        <v>#N/A</v>
      </c>
      <c r="W198" s="6" t="str">
        <f t="shared" si="9"/>
        <v>阿奇针/注射用乳糖酸阿奇霉素针0.25g</v>
      </c>
      <c r="X198" s="6" t="s">
        <v>2890</v>
      </c>
    </row>
    <row r="199" spans="1:24" x14ac:dyDescent="0.15">
      <c r="A199" s="7" t="str">
        <f t="shared" si="10"/>
        <v>201806</v>
      </c>
      <c r="C199" s="6" t="str">
        <f>INDEX(工厂基础数据!$A$2:$A$1024,MATCH(X199,工厂基础数据!$D$2:$D$1024,0))</f>
        <v>02025767</v>
      </c>
      <c r="E199" s="6" t="str">
        <f>INDEX(工厂基础数据!$B$2:$B$1024,MATCH(X199,工厂基础数据!$D$2:$D$1024,0))</f>
        <v>滨州市仁信医药有限公司</v>
      </c>
      <c r="F199" s="6">
        <f>INDEX(商业2转码!$B$2:$B$10000,MATCH(E199,商业2转码!$A$2:$A$10000,0))</f>
        <v>0</v>
      </c>
      <c r="G199" s="6" t="str">
        <f>INDEX(品种2编码!$A$2:$A$1048576,MATCH(W199,品种2编码!$D$2:$D$1048576,0))</f>
        <v>0020030020ZYLC0010</v>
      </c>
      <c r="H199" s="6" t="s">
        <v>1903</v>
      </c>
      <c r="I199" s="6" t="s">
        <v>1839</v>
      </c>
      <c r="J199" s="6" t="s">
        <v>3036</v>
      </c>
      <c r="L199" s="6" t="s">
        <v>2234</v>
      </c>
      <c r="M199" s="6">
        <f>INDEX(医院2县区2人!$B$2:$B$1048576,MATCH(L199,医院2县区2人!$A$2:$A$1048576,0))</f>
        <v>2</v>
      </c>
      <c r="N199" s="6" t="str">
        <f>INDEX(医院2县区2人!$C$2:$C$1048576,MATCH(L199,医院2县区2人!$A$2:$A$1048576,0))</f>
        <v>1855</v>
      </c>
      <c r="P199" s="7">
        <v>43252.767326388886</v>
      </c>
      <c r="Q199" s="6">
        <v>10</v>
      </c>
      <c r="R199" s="6">
        <v>9</v>
      </c>
      <c r="S199" s="6">
        <v>180302</v>
      </c>
      <c r="T199" s="6" t="str">
        <f>INDEX(医院2县区2人!$D$2:$D$1048576,MATCH(L199,医院2县区2人!$A$2:$A$1048576,0))</f>
        <v>201602151421097</v>
      </c>
      <c r="W199" s="6" t="str">
        <f t="shared" si="9"/>
        <v>乳酸菌素片/为消0.4g*36片</v>
      </c>
      <c r="X199" s="6" t="s">
        <v>2890</v>
      </c>
    </row>
    <row r="200" spans="1:24" x14ac:dyDescent="0.15">
      <c r="A200" s="7" t="str">
        <f t="shared" si="10"/>
        <v>201806</v>
      </c>
      <c r="C200" s="6" t="str">
        <f>INDEX(工厂基础数据!$A$2:$A$1024,MATCH(X200,工厂基础数据!$D$2:$D$1024,0))</f>
        <v>02025767</v>
      </c>
      <c r="E200" s="6" t="str">
        <f>INDEX(工厂基础数据!$B$2:$B$1024,MATCH(X200,工厂基础数据!$D$2:$D$1024,0))</f>
        <v>滨州市仁信医药有限公司</v>
      </c>
      <c r="F200" s="6">
        <f>INDEX(商业2转码!$B$2:$B$10000,MATCH(E200,商业2转码!$A$2:$A$10000,0))</f>
        <v>0</v>
      </c>
      <c r="G200" s="6" t="str">
        <f>INDEX(品种2编码!$A$2:$A$1048576,MATCH(W200,品种2编码!$D$2:$D$1048576,0))</f>
        <v>0020030040ZYLC0001</v>
      </c>
      <c r="H200" s="6" t="s">
        <v>1933</v>
      </c>
      <c r="I200" s="6" t="s">
        <v>1853</v>
      </c>
      <c r="J200" s="6" t="s">
        <v>3036</v>
      </c>
      <c r="L200" s="6" t="s">
        <v>2193</v>
      </c>
      <c r="M200" s="6">
        <f>INDEX(医院2县区2人!$B$2:$B$1048576,MATCH(L200,医院2县区2人!$A$2:$A$1048576,0))</f>
        <v>4</v>
      </c>
      <c r="N200" s="6" t="str">
        <f>INDEX(医院2县区2人!$C$2:$C$1048576,MATCH(L200,医院2县区2人!$A$2:$A$1048576,0))</f>
        <v>1853</v>
      </c>
      <c r="P200" s="7">
        <v>43252.767511574071</v>
      </c>
      <c r="Q200" s="6">
        <v>5</v>
      </c>
      <c r="R200" s="6">
        <v>10</v>
      </c>
      <c r="S200" s="6">
        <v>180141</v>
      </c>
      <c r="T200" s="6" t="str">
        <f>INDEX(医院2县区2人!$D$2:$D$1048576,MATCH(L200,医院2县区2人!$A$2:$A$1048576,0))</f>
        <v>201602151421097</v>
      </c>
      <c r="W200" s="6" t="str">
        <f t="shared" si="9"/>
        <v>护彤冲剂/小儿氨酚黄那敏颗粒2g*12袋</v>
      </c>
      <c r="X200" s="6" t="s">
        <v>2890</v>
      </c>
    </row>
    <row r="201" spans="1:24" x14ac:dyDescent="0.15">
      <c r="A201" s="7" t="str">
        <f t="shared" si="10"/>
        <v>201806</v>
      </c>
      <c r="C201" s="6" t="str">
        <f>INDEX(工厂基础数据!$A$2:$A$1024,MATCH(X201,工厂基础数据!$D$2:$D$1024,0))</f>
        <v>02025767</v>
      </c>
      <c r="E201" s="6" t="str">
        <f>INDEX(工厂基础数据!$B$2:$B$1024,MATCH(X201,工厂基础数据!$D$2:$D$1024,0))</f>
        <v>滨州市仁信医药有限公司</v>
      </c>
      <c r="F201" s="6">
        <f>INDEX(商业2转码!$B$2:$B$10000,MATCH(E201,商业2转码!$A$2:$A$10000,0))</f>
        <v>0</v>
      </c>
      <c r="G201" s="6" t="str">
        <f>INDEX(品种2编码!$A$2:$A$1048576,MATCH(W201,品种2编码!$D$2:$D$1048576,0))</f>
        <v>0020050090SJZY0001</v>
      </c>
      <c r="H201" s="6" t="s">
        <v>630</v>
      </c>
      <c r="I201" s="6" t="s">
        <v>1850</v>
      </c>
      <c r="J201" s="6" t="s">
        <v>3040</v>
      </c>
      <c r="L201" s="6" t="s">
        <v>2265</v>
      </c>
      <c r="M201" s="6">
        <f>INDEX(医院2县区2人!$B$2:$B$1048576,MATCH(L201,医院2县区2人!$A$2:$A$1048576,0))</f>
        <v>2</v>
      </c>
      <c r="N201" s="6" t="str">
        <f>INDEX(医院2县区2人!$C$2:$C$1048576,MATCH(L201,医院2县区2人!$A$2:$A$1048576,0))</f>
        <v>1855</v>
      </c>
      <c r="P201" s="7">
        <v>43252.767314814817</v>
      </c>
      <c r="Q201" s="6">
        <v>5</v>
      </c>
      <c r="R201" s="6">
        <v>16.5</v>
      </c>
      <c r="S201" s="6">
        <v>18031742</v>
      </c>
      <c r="T201" s="6" t="str">
        <f>INDEX(医院2县区2人!$D$2:$D$1048576,MATCH(L201,医院2县区2人!$A$2:$A$1048576,0))</f>
        <v>201602151421097</v>
      </c>
      <c r="W201" s="6" t="str">
        <f t="shared" si="9"/>
        <v>双黄连口服液10ml*10支</v>
      </c>
      <c r="X201" s="6" t="s">
        <v>2890</v>
      </c>
    </row>
    <row r="202" spans="1:24" x14ac:dyDescent="0.15">
      <c r="A202" s="7" t="str">
        <f t="shared" si="10"/>
        <v>201806</v>
      </c>
      <c r="C202" s="6" t="str">
        <f>INDEX(工厂基础数据!$A$2:$A$1024,MATCH(X202,工厂基础数据!$D$2:$D$1024,0))</f>
        <v>02025767</v>
      </c>
      <c r="E202" s="6" t="str">
        <f>INDEX(工厂基础数据!$B$2:$B$1024,MATCH(X202,工厂基础数据!$D$2:$D$1024,0))</f>
        <v>滨州市仁信医药有限公司</v>
      </c>
      <c r="F202" s="6">
        <f>INDEX(商业2转码!$B$2:$B$10000,MATCH(E202,商业2转码!$A$2:$A$10000,0))</f>
        <v>0</v>
      </c>
      <c r="G202" s="6" t="str">
        <f>INDEX(品种2编码!$A$2:$A$1048576,MATCH(W202,品种2编码!$D$2:$D$1048576,0))</f>
        <v>0020030020SJSC0004</v>
      </c>
      <c r="H202" s="6" t="s">
        <v>1907</v>
      </c>
      <c r="I202" s="6" t="s">
        <v>1871</v>
      </c>
      <c r="J202" s="6" t="s">
        <v>3045</v>
      </c>
      <c r="L202" s="6" t="s">
        <v>2258</v>
      </c>
      <c r="M202" s="6">
        <f>INDEX(医院2县区2人!$B$2:$B$1048576,MATCH(L202,医院2县区2人!$A$2:$A$1048576,0))</f>
        <v>2</v>
      </c>
      <c r="N202" s="6" t="str">
        <f>INDEX(医院2县区2人!$C$2:$C$1048576,MATCH(L202,医院2县区2人!$A$2:$A$1048576,0))</f>
        <v>1857</v>
      </c>
      <c r="P202" s="7">
        <v>43255.334016203706</v>
      </c>
      <c r="Q202" s="6">
        <v>-5</v>
      </c>
      <c r="R202" s="6">
        <v>11</v>
      </c>
      <c r="S202" s="6">
        <v>1609021</v>
      </c>
      <c r="T202" s="6" t="str">
        <f>INDEX(医院2县区2人!$D$2:$D$1048576,MATCH(L202,医院2县区2人!$A$2:$A$1048576,0))</f>
        <v>201602151421097</v>
      </c>
      <c r="W202" s="6" t="str">
        <f t="shared" si="9"/>
        <v>胃必治/复方铝酸铋片50片</v>
      </c>
      <c r="X202" s="6" t="s">
        <v>2890</v>
      </c>
    </row>
    <row r="203" spans="1:24" x14ac:dyDescent="0.15">
      <c r="A203" s="7" t="str">
        <f t="shared" si="10"/>
        <v>201806</v>
      </c>
      <c r="C203" s="6" t="str">
        <f>INDEX(工厂基础数据!$A$2:$A$1024,MATCH(X203,工厂基础数据!$D$2:$D$1024,0))</f>
        <v>02025767</v>
      </c>
      <c r="E203" s="6" t="str">
        <f>INDEX(工厂基础数据!$B$2:$B$1024,MATCH(X203,工厂基础数据!$D$2:$D$1024,0))</f>
        <v>滨州市仁信医药有限公司</v>
      </c>
      <c r="F203" s="6">
        <f>INDEX(商业2转码!$B$2:$B$10000,MATCH(E203,商业2转码!$A$2:$A$10000,0))</f>
        <v>0</v>
      </c>
      <c r="G203" s="6" t="str">
        <f>INDEX(品种2编码!$A$2:$A$1048576,MATCH(W203,品种2编码!$D$2:$D$1048576,0))</f>
        <v>0020020030SJMS0024</v>
      </c>
      <c r="H203" s="6" t="s">
        <v>1900</v>
      </c>
      <c r="I203" s="6" t="s">
        <v>1914</v>
      </c>
      <c r="J203" s="6" t="s">
        <v>3046</v>
      </c>
      <c r="L203" s="6" t="s">
        <v>2183</v>
      </c>
      <c r="M203" s="6">
        <f>INDEX(医院2县区2人!$B$2:$B$1048576,MATCH(L203,医院2县区2人!$A$2:$A$1048576,0))</f>
        <v>4</v>
      </c>
      <c r="N203" s="6" t="str">
        <f>INDEX(医院2县区2人!$C$2:$C$1048576,MATCH(L203,医院2县区2人!$A$2:$A$1048576,0))</f>
        <v>1859</v>
      </c>
      <c r="P203" s="7">
        <v>43253.736655092594</v>
      </c>
      <c r="Q203" s="6">
        <v>1440</v>
      </c>
      <c r="R203" s="6">
        <v>4</v>
      </c>
      <c r="S203" s="6">
        <v>1803012</v>
      </c>
      <c r="T203" s="6" t="str">
        <f>INDEX(医院2县区2人!$D$2:$D$1048576,MATCH(L203,医院2县区2人!$A$2:$A$1048576,0))</f>
        <v>201602151421097</v>
      </c>
      <c r="W203" s="6" t="str">
        <f t="shared" si="9"/>
        <v>人工牛黄甲硝唑胶囊/牙疼安10粒*2板</v>
      </c>
      <c r="X203" s="6" t="s">
        <v>2890</v>
      </c>
    </row>
    <row r="204" spans="1:24" x14ac:dyDescent="0.15">
      <c r="A204" s="7" t="str">
        <f t="shared" si="10"/>
        <v>201806</v>
      </c>
      <c r="C204" s="6" t="str">
        <f>INDEX(工厂基础数据!$A$2:$A$1024,MATCH(X204,工厂基础数据!$D$2:$D$1024,0))</f>
        <v>02025767</v>
      </c>
      <c r="E204" s="6" t="str">
        <f>INDEX(工厂基础数据!$B$2:$B$1024,MATCH(X204,工厂基础数据!$D$2:$D$1024,0))</f>
        <v>滨州市仁信医药有限公司</v>
      </c>
      <c r="F204" s="6">
        <f>INDEX(商业2转码!$B$2:$B$10000,MATCH(E204,商业2转码!$A$2:$A$10000,0))</f>
        <v>0</v>
      </c>
      <c r="G204" s="6" t="str">
        <f>INDEX(品种2编码!$A$2:$A$1048576,MATCH(W204,品种2编码!$D$2:$D$1048576,0))</f>
        <v>0020030001SJZY0009</v>
      </c>
      <c r="H204" s="6" t="s">
        <v>555</v>
      </c>
      <c r="I204" s="6" t="s">
        <v>1889</v>
      </c>
      <c r="J204" s="6" t="s">
        <v>3039</v>
      </c>
      <c r="L204" s="6" t="s">
        <v>2317</v>
      </c>
      <c r="M204" s="6">
        <f>INDEX(医院2县区2人!$B$2:$B$1048576,MATCH(L204,医院2县区2人!$A$2:$A$1048576,0))</f>
        <v>2</v>
      </c>
      <c r="N204" s="6" t="str">
        <f>INDEX(医院2县区2人!$C$2:$C$1048576,MATCH(L204,医院2县区2人!$A$2:$A$1048576,0))</f>
        <v>1853</v>
      </c>
      <c r="P204" s="7">
        <v>43252.767291666663</v>
      </c>
      <c r="Q204" s="6">
        <v>3</v>
      </c>
      <c r="R204" s="6">
        <v>25</v>
      </c>
      <c r="S204" s="6">
        <v>18031227</v>
      </c>
      <c r="T204" s="6" t="str">
        <f>INDEX(医院2县区2人!$D$2:$D$1048576,MATCH(L204,医院2县区2人!$A$2:$A$1048576,0))</f>
        <v>201602151421097</v>
      </c>
      <c r="W204" s="6" t="str">
        <f t="shared" si="9"/>
        <v>葡萄糖酸锌口服液10ML*12支</v>
      </c>
      <c r="X204" s="6" t="s">
        <v>2890</v>
      </c>
    </row>
    <row r="205" spans="1:24" x14ac:dyDescent="0.15">
      <c r="A205" s="7" t="str">
        <f t="shared" si="10"/>
        <v>201806</v>
      </c>
      <c r="C205" s="6" t="str">
        <f>INDEX(工厂基础数据!$A$2:$A$1024,MATCH(X205,工厂基础数据!$D$2:$D$1024,0))</f>
        <v>02025767</v>
      </c>
      <c r="E205" s="6" t="str">
        <f>INDEX(工厂基础数据!$B$2:$B$1024,MATCH(X205,工厂基础数据!$D$2:$D$1024,0))</f>
        <v>滨州市仁信医药有限公司</v>
      </c>
      <c r="F205" s="6">
        <f>INDEX(商业2转码!$B$2:$B$10000,MATCH(E205,商业2转码!$A$2:$A$10000,0))</f>
        <v>0</v>
      </c>
      <c r="G205" s="6" t="str">
        <f>INDEX(品种2编码!$A$2:$A$1048576,MATCH(W205,品种2编码!$D$2:$D$1048576,0))</f>
        <v>0020030001SJZY0006</v>
      </c>
      <c r="H205" s="6" t="s">
        <v>1888</v>
      </c>
      <c r="I205" s="6" t="s">
        <v>411</v>
      </c>
      <c r="J205" s="6" t="s">
        <v>3040</v>
      </c>
      <c r="L205" s="6" t="s">
        <v>2996</v>
      </c>
      <c r="M205" s="6" t="e">
        <f>INDEX(医院2县区2人!$B$2:$B$1048576,MATCH(L205,医院2县区2人!$A$2:$A$1048576,0))</f>
        <v>#N/A</v>
      </c>
      <c r="N205" s="6" t="e">
        <f>INDEX(医院2县区2人!$C$2:$C$1048576,MATCH(L205,医院2县区2人!$A$2:$A$1048576,0))</f>
        <v>#N/A</v>
      </c>
      <c r="P205" s="7">
        <v>43255.759074074071</v>
      </c>
      <c r="Q205" s="6">
        <v>20</v>
      </c>
      <c r="R205" s="6">
        <v>25</v>
      </c>
      <c r="S205" s="6">
        <v>17071042</v>
      </c>
      <c r="T205" s="6" t="e">
        <f>INDEX(医院2县区2人!$D$2:$D$1048576,MATCH(L205,医院2县区2人!$A$2:$A$1048576,0))</f>
        <v>#N/A</v>
      </c>
      <c r="W205" s="6" t="str">
        <f t="shared" si="9"/>
        <v>葡萄糖酸钙口服溶液（含糖）10ml*12支</v>
      </c>
      <c r="X205" s="6" t="s">
        <v>2890</v>
      </c>
    </row>
    <row r="206" spans="1:24" x14ac:dyDescent="0.15">
      <c r="A206" s="7" t="str">
        <f t="shared" si="10"/>
        <v>201806</v>
      </c>
      <c r="C206" s="6" t="str">
        <f>INDEX(工厂基础数据!$A$2:$A$1024,MATCH(X206,工厂基础数据!$D$2:$D$1024,0))</f>
        <v>02025767</v>
      </c>
      <c r="E206" s="6" t="str">
        <f>INDEX(工厂基础数据!$B$2:$B$1024,MATCH(X206,工厂基础数据!$D$2:$D$1024,0))</f>
        <v>滨州市仁信医药有限公司</v>
      </c>
      <c r="F206" s="6">
        <f>INDEX(商业2转码!$B$2:$B$10000,MATCH(E206,商业2转码!$A$2:$A$10000,0))</f>
        <v>0</v>
      </c>
      <c r="G206" s="6" t="str">
        <f>INDEX(品种2编码!$A$2:$A$1048576,MATCH(W206,品种2编码!$D$2:$D$1048576,0))</f>
        <v>0020030001SJZY0009</v>
      </c>
      <c r="H206" s="6" t="s">
        <v>555</v>
      </c>
      <c r="I206" s="6" t="s">
        <v>1889</v>
      </c>
      <c r="J206" s="6" t="s">
        <v>3039</v>
      </c>
      <c r="L206" s="6" t="s">
        <v>2996</v>
      </c>
      <c r="M206" s="6" t="e">
        <f>INDEX(医院2县区2人!$B$2:$B$1048576,MATCH(L206,医院2县区2人!$A$2:$A$1048576,0))</f>
        <v>#N/A</v>
      </c>
      <c r="N206" s="6" t="e">
        <f>INDEX(医院2县区2人!$C$2:$C$1048576,MATCH(L206,医院2县区2人!$A$2:$A$1048576,0))</f>
        <v>#N/A</v>
      </c>
      <c r="P206" s="7">
        <v>43255.759085648147</v>
      </c>
      <c r="Q206" s="6">
        <v>20</v>
      </c>
      <c r="R206" s="6">
        <v>25</v>
      </c>
      <c r="S206" s="6">
        <v>18031227</v>
      </c>
      <c r="T206" s="6" t="e">
        <f>INDEX(医院2县区2人!$D$2:$D$1048576,MATCH(L206,医院2县区2人!$A$2:$A$1048576,0))</f>
        <v>#N/A</v>
      </c>
      <c r="W206" s="6" t="str">
        <f t="shared" si="9"/>
        <v>葡萄糖酸锌口服液10ML*12支</v>
      </c>
      <c r="X206" s="6" t="s">
        <v>2890</v>
      </c>
    </row>
    <row r="207" spans="1:24" x14ac:dyDescent="0.15">
      <c r="A207" s="7" t="str">
        <f t="shared" si="10"/>
        <v>201806</v>
      </c>
      <c r="C207" s="6" t="str">
        <f>INDEX(工厂基础数据!$A$2:$A$1024,MATCH(X207,工厂基础数据!$D$2:$D$1024,0))</f>
        <v>02025767</v>
      </c>
      <c r="E207" s="6" t="str">
        <f>INDEX(工厂基础数据!$B$2:$B$1024,MATCH(X207,工厂基础数据!$D$2:$D$1024,0))</f>
        <v>滨州市仁信医药有限公司</v>
      </c>
      <c r="F207" s="6">
        <f>INDEX(商业2转码!$B$2:$B$10000,MATCH(E207,商业2转码!$A$2:$A$10000,0))</f>
        <v>0</v>
      </c>
      <c r="G207" s="6" t="str">
        <f>INDEX(品种2编码!$A$2:$A$1048576,MATCH(W207,品种2编码!$D$2:$D$1048576,0))</f>
        <v>0020040220SHYT0005</v>
      </c>
      <c r="H207" s="6" t="s">
        <v>1857</v>
      </c>
      <c r="I207" s="6" t="s">
        <v>1896</v>
      </c>
      <c r="J207" s="6" t="s">
        <v>3037</v>
      </c>
      <c r="L207" s="6" t="s">
        <v>2192</v>
      </c>
      <c r="M207" s="6">
        <f>INDEX(医院2县区2人!$B$2:$B$1048576,MATCH(L207,医院2县区2人!$A$2:$A$1048576,0))</f>
        <v>2</v>
      </c>
      <c r="N207" s="6" t="str">
        <f>INDEX(医院2县区2人!$C$2:$C$1048576,MATCH(L207,医院2县区2人!$A$2:$A$1048576,0))</f>
        <v>1856</v>
      </c>
      <c r="P207" s="7">
        <v>43253.736608796295</v>
      </c>
      <c r="Q207" s="6">
        <v>10</v>
      </c>
      <c r="R207" s="6">
        <v>14</v>
      </c>
      <c r="S207" s="6">
        <v>1801404</v>
      </c>
      <c r="T207" s="6" t="str">
        <f>INDEX(医院2县区2人!$D$2:$D$1048576,MATCH(L207,医院2县区2人!$A$2:$A$1048576,0))</f>
        <v>201602151421097</v>
      </c>
      <c r="W207" s="6" t="str">
        <f t="shared" si="9"/>
        <v>妇宁栓1.6g×7枚</v>
      </c>
      <c r="X207" s="6" t="s">
        <v>2890</v>
      </c>
    </row>
    <row r="208" spans="1:24" x14ac:dyDescent="0.15">
      <c r="A208" s="7" t="str">
        <f t="shared" si="10"/>
        <v>201806</v>
      </c>
      <c r="C208" s="6" t="str">
        <f>INDEX(工厂基础数据!$A$2:$A$1024,MATCH(X208,工厂基础数据!$D$2:$D$1024,0))</f>
        <v>02025767</v>
      </c>
      <c r="E208" s="6" t="str">
        <f>INDEX(工厂基础数据!$B$2:$B$1024,MATCH(X208,工厂基础数据!$D$2:$D$1024,0))</f>
        <v>滨州市仁信医药有限公司</v>
      </c>
      <c r="F208" s="6">
        <f>INDEX(商业2转码!$B$2:$B$10000,MATCH(E208,商业2转码!$A$2:$A$10000,0))</f>
        <v>0</v>
      </c>
      <c r="G208" s="6" t="str">
        <f>INDEX(品种2编码!$A$2:$A$1048576,MATCH(W208,品种2编码!$D$2:$D$1048576,0))</f>
        <v>0020030020ZYLC0005</v>
      </c>
      <c r="H208" s="6" t="s">
        <v>705</v>
      </c>
      <c r="I208" s="6" t="s">
        <v>1908</v>
      </c>
      <c r="J208" s="6" t="s">
        <v>3036</v>
      </c>
      <c r="L208" s="6" t="s">
        <v>2192</v>
      </c>
      <c r="M208" s="6">
        <f>INDEX(医院2县区2人!$B$2:$B$1048576,MATCH(L208,医院2县区2人!$A$2:$A$1048576,0))</f>
        <v>2</v>
      </c>
      <c r="N208" s="6" t="str">
        <f>INDEX(医院2县区2人!$C$2:$C$1048576,MATCH(L208,医院2县区2人!$A$2:$A$1048576,0))</f>
        <v>1856</v>
      </c>
      <c r="P208" s="7">
        <v>43253.736608796295</v>
      </c>
      <c r="Q208" s="6">
        <v>50</v>
      </c>
      <c r="R208" s="6">
        <v>6</v>
      </c>
      <c r="S208" s="6">
        <v>170601</v>
      </c>
      <c r="T208" s="6" t="str">
        <f>INDEX(医院2县区2人!$D$2:$D$1048576,MATCH(L208,医院2县区2人!$A$2:$A$1048576,0))</f>
        <v>201602151421097</v>
      </c>
      <c r="W208" s="6" t="str">
        <f t="shared" si="9"/>
        <v>小儿氨酚黄那敏片0.125g*20片</v>
      </c>
      <c r="X208" s="6" t="s">
        <v>2890</v>
      </c>
    </row>
    <row r="209" spans="1:24" x14ac:dyDescent="0.15">
      <c r="A209" s="7" t="str">
        <f t="shared" si="10"/>
        <v>201806</v>
      </c>
      <c r="C209" s="6" t="str">
        <f>INDEX(工厂基础数据!$A$2:$A$1024,MATCH(X209,工厂基础数据!$D$2:$D$1024,0))</f>
        <v>02025767</v>
      </c>
      <c r="E209" s="6" t="str">
        <f>INDEX(工厂基础数据!$B$2:$B$1024,MATCH(X209,工厂基础数据!$D$2:$D$1024,0))</f>
        <v>滨州市仁信医药有限公司</v>
      </c>
      <c r="F209" s="6">
        <f>INDEX(商业2转码!$B$2:$B$10000,MATCH(E209,商业2转码!$A$2:$A$10000,0))</f>
        <v>0</v>
      </c>
      <c r="G209" s="6">
        <f>INDEX(品种2编码!$A$2:$A$1048576,MATCH(W209,品种2编码!$D$2:$D$1048576,0))</f>
        <v>0</v>
      </c>
      <c r="H209" s="6" t="s">
        <v>857</v>
      </c>
      <c r="I209" s="6" t="s">
        <v>861</v>
      </c>
      <c r="J209" s="6" t="s">
        <v>3047</v>
      </c>
      <c r="L209" s="6" t="s">
        <v>2318</v>
      </c>
      <c r="M209" s="6">
        <f>INDEX(医院2县区2人!$B$2:$B$1048576,MATCH(L209,医院2县区2人!$A$2:$A$1048576,0))</f>
        <v>2</v>
      </c>
      <c r="N209" s="6" t="str">
        <f>INDEX(医院2县区2人!$C$2:$C$1048576,MATCH(L209,医院2县区2人!$A$2:$A$1048576,0))</f>
        <v>1859</v>
      </c>
      <c r="P209" s="7">
        <v>43253.736643518518</v>
      </c>
      <c r="Q209" s="6">
        <v>50</v>
      </c>
      <c r="R209" s="6">
        <v>5</v>
      </c>
      <c r="S209" s="6">
        <v>201705012</v>
      </c>
      <c r="T209" s="6" t="str">
        <f>INDEX(医院2县区2人!$D$2:$D$1048576,MATCH(L209,医院2县区2人!$A$2:$A$1048576,0))</f>
        <v>201602151421097</v>
      </c>
      <c r="W209" s="6" t="str">
        <f t="shared" si="9"/>
        <v>注射用奥扎格雷钠80mg</v>
      </c>
      <c r="X209" s="6" t="s">
        <v>2890</v>
      </c>
    </row>
    <row r="210" spans="1:24" x14ac:dyDescent="0.15">
      <c r="A210" s="7" t="str">
        <f t="shared" si="10"/>
        <v>201806</v>
      </c>
      <c r="C210" s="6" t="str">
        <f>INDEX(工厂基础数据!$A$2:$A$1024,MATCH(X210,工厂基础数据!$D$2:$D$1024,0))</f>
        <v>02025767</v>
      </c>
      <c r="E210" s="6" t="str">
        <f>INDEX(工厂基础数据!$B$2:$B$1024,MATCH(X210,工厂基础数据!$D$2:$D$1024,0))</f>
        <v>滨州市仁信医药有限公司</v>
      </c>
      <c r="F210" s="6">
        <f>INDEX(商业2转码!$B$2:$B$10000,MATCH(E210,商业2转码!$A$2:$A$10000,0))</f>
        <v>0</v>
      </c>
      <c r="G210" s="6" t="str">
        <f>INDEX(品种2编码!$A$2:$A$1048576,MATCH(W210,品种2编码!$D$2:$D$1048576,0))</f>
        <v>0020100000ZYLC0012</v>
      </c>
      <c r="H210" s="6" t="s">
        <v>672</v>
      </c>
      <c r="I210" s="6" t="s">
        <v>1884</v>
      </c>
      <c r="J210" s="6" t="s">
        <v>3036</v>
      </c>
      <c r="L210" s="6" t="s">
        <v>2201</v>
      </c>
      <c r="M210" s="6">
        <f>INDEX(医院2县区2人!$B$2:$B$1048576,MATCH(L210,医院2县区2人!$A$2:$A$1048576,0))</f>
        <v>2</v>
      </c>
      <c r="N210" s="6" t="str">
        <f>INDEX(医院2县区2人!$C$2:$C$1048576,MATCH(L210,医院2县区2人!$A$2:$A$1048576,0))</f>
        <v>1853</v>
      </c>
      <c r="P210" s="7">
        <v>43255.758715277778</v>
      </c>
      <c r="Q210" s="6">
        <v>53</v>
      </c>
      <c r="R210" s="6">
        <v>0</v>
      </c>
      <c r="S210" s="6">
        <v>20180104</v>
      </c>
      <c r="T210" s="6" t="str">
        <f>INDEX(医院2县区2人!$D$2:$D$1048576,MATCH(L210,医院2县区2人!$A$2:$A$1048576,0))</f>
        <v>201602151421097</v>
      </c>
      <c r="W210" s="6" t="str">
        <f t="shared" si="9"/>
        <v>退热贴40mm*110mm*2贴</v>
      </c>
      <c r="X210" s="6" t="s">
        <v>2890</v>
      </c>
    </row>
    <row r="211" spans="1:24" x14ac:dyDescent="0.15">
      <c r="A211" s="7" t="str">
        <f t="shared" si="10"/>
        <v>201806</v>
      </c>
      <c r="C211" s="6" t="str">
        <f>INDEX(工厂基础数据!$A$2:$A$1024,MATCH(X211,工厂基础数据!$D$2:$D$1024,0))</f>
        <v>02025767</v>
      </c>
      <c r="E211" s="6" t="str">
        <f>INDEX(工厂基础数据!$B$2:$B$1024,MATCH(X211,工厂基础数据!$D$2:$D$1024,0))</f>
        <v>滨州市仁信医药有限公司</v>
      </c>
      <c r="F211" s="6">
        <f>INDEX(商业2转码!$B$2:$B$10000,MATCH(E211,商业2转码!$A$2:$A$10000,0))</f>
        <v>0</v>
      </c>
      <c r="G211" s="6" t="str">
        <f>INDEX(品种2编码!$A$2:$A$1048576,MATCH(W211,品种2编码!$D$2:$D$1048576,0))</f>
        <v>0020100000ZYLC0012</v>
      </c>
      <c r="H211" s="6" t="s">
        <v>672</v>
      </c>
      <c r="I211" s="6" t="s">
        <v>1884</v>
      </c>
      <c r="J211" s="6" t="s">
        <v>3036</v>
      </c>
      <c r="L211" s="6" t="s">
        <v>2201</v>
      </c>
      <c r="M211" s="6">
        <f>INDEX(医院2县区2人!$B$2:$B$1048576,MATCH(L211,医院2县区2人!$A$2:$A$1048576,0))</f>
        <v>2</v>
      </c>
      <c r="N211" s="6" t="str">
        <f>INDEX(医院2县区2人!$C$2:$C$1048576,MATCH(L211,医院2县区2人!$A$2:$A$1048576,0))</f>
        <v>1853</v>
      </c>
      <c r="P211" s="7">
        <v>43255.758715277778</v>
      </c>
      <c r="Q211" s="6">
        <v>54</v>
      </c>
      <c r="R211" s="6">
        <v>0</v>
      </c>
      <c r="S211" s="6">
        <v>20180104</v>
      </c>
      <c r="T211" s="6" t="str">
        <f>INDEX(医院2县区2人!$D$2:$D$1048576,MATCH(L211,医院2县区2人!$A$2:$A$1048576,0))</f>
        <v>201602151421097</v>
      </c>
      <c r="W211" s="6" t="str">
        <f t="shared" si="9"/>
        <v>退热贴40mm*110mm*2贴</v>
      </c>
      <c r="X211" s="6" t="s">
        <v>2890</v>
      </c>
    </row>
    <row r="212" spans="1:24" x14ac:dyDescent="0.15">
      <c r="A212" s="7" t="str">
        <f t="shared" si="10"/>
        <v>201806</v>
      </c>
      <c r="C212" s="6" t="str">
        <f>INDEX(工厂基础数据!$A$2:$A$1024,MATCH(X212,工厂基础数据!$D$2:$D$1024,0))</f>
        <v>02025767</v>
      </c>
      <c r="E212" s="6" t="str">
        <f>INDEX(工厂基础数据!$B$2:$B$1024,MATCH(X212,工厂基础数据!$D$2:$D$1024,0))</f>
        <v>滨州市仁信医药有限公司</v>
      </c>
      <c r="F212" s="6">
        <f>INDEX(商业2转码!$B$2:$B$10000,MATCH(E212,商业2转码!$A$2:$A$10000,0))</f>
        <v>0</v>
      </c>
      <c r="G212" s="6" t="str">
        <f>INDEX(品种2编码!$A$2:$A$1048576,MATCH(W212,品种2编码!$D$2:$D$1048576,0))</f>
        <v>0020100000ZYLC0012</v>
      </c>
      <c r="H212" s="6" t="s">
        <v>672</v>
      </c>
      <c r="I212" s="6" t="s">
        <v>1884</v>
      </c>
      <c r="J212" s="6" t="s">
        <v>3036</v>
      </c>
      <c r="L212" s="6" t="s">
        <v>2201</v>
      </c>
      <c r="M212" s="6">
        <f>INDEX(医院2县区2人!$B$2:$B$1048576,MATCH(L212,医院2县区2人!$A$2:$A$1048576,0))</f>
        <v>2</v>
      </c>
      <c r="N212" s="6" t="str">
        <f>INDEX(医院2县区2人!$C$2:$C$1048576,MATCH(L212,医院2县区2人!$A$2:$A$1048576,0))</f>
        <v>1853</v>
      </c>
      <c r="P212" s="7">
        <v>43255.758726851855</v>
      </c>
      <c r="Q212" s="6">
        <v>93</v>
      </c>
      <c r="R212" s="6">
        <v>0</v>
      </c>
      <c r="S212" s="6">
        <v>20170803</v>
      </c>
      <c r="T212" s="6" t="str">
        <f>INDEX(医院2县区2人!$D$2:$D$1048576,MATCH(L212,医院2县区2人!$A$2:$A$1048576,0))</f>
        <v>201602151421097</v>
      </c>
      <c r="W212" s="6" t="str">
        <f t="shared" si="9"/>
        <v>退热贴40mm*110mm*2贴</v>
      </c>
      <c r="X212" s="6" t="s">
        <v>2890</v>
      </c>
    </row>
    <row r="213" spans="1:24" x14ac:dyDescent="0.15">
      <c r="A213" s="7" t="str">
        <f t="shared" si="10"/>
        <v>201806</v>
      </c>
      <c r="C213" s="6" t="str">
        <f>INDEX(工厂基础数据!$A$2:$A$1024,MATCH(X213,工厂基础数据!$D$2:$D$1024,0))</f>
        <v>02025767</v>
      </c>
      <c r="E213" s="6" t="str">
        <f>INDEX(工厂基础数据!$B$2:$B$1024,MATCH(X213,工厂基础数据!$D$2:$D$1024,0))</f>
        <v>滨州市仁信医药有限公司</v>
      </c>
      <c r="F213" s="6">
        <f>INDEX(商业2转码!$B$2:$B$10000,MATCH(E213,商业2转码!$A$2:$A$10000,0))</f>
        <v>0</v>
      </c>
      <c r="G213" s="6" t="str">
        <f>INDEX(品种2编码!$A$2:$A$1048576,MATCH(W213,品种2编码!$D$2:$D$1048576,0))</f>
        <v>0020100000ZYLC0012</v>
      </c>
      <c r="H213" s="6" t="s">
        <v>672</v>
      </c>
      <c r="I213" s="6" t="s">
        <v>1884</v>
      </c>
      <c r="J213" s="6" t="s">
        <v>3036</v>
      </c>
      <c r="L213" s="6" t="s">
        <v>2215</v>
      </c>
      <c r="M213" s="6">
        <f>INDEX(医院2县区2人!$B$2:$B$1048576,MATCH(L213,医院2县区2人!$A$2:$A$1048576,0))</f>
        <v>2</v>
      </c>
      <c r="N213" s="6" t="str">
        <f>INDEX(医院2县区2人!$C$2:$C$1048576,MATCH(L213,医院2县区2人!$A$2:$A$1048576,0))</f>
        <v>1853</v>
      </c>
      <c r="P213" s="7">
        <v>43255.758703703701</v>
      </c>
      <c r="Q213" s="6">
        <v>400</v>
      </c>
      <c r="R213" s="6">
        <v>0</v>
      </c>
      <c r="S213" s="6">
        <v>20180104</v>
      </c>
      <c r="T213" s="6" t="str">
        <f>INDEX(医院2县区2人!$D$2:$D$1048576,MATCH(L213,医院2县区2人!$A$2:$A$1048576,0))</f>
        <v>201602151421097</v>
      </c>
      <c r="W213" s="6" t="str">
        <f t="shared" si="9"/>
        <v>退热贴40mm*110mm*2贴</v>
      </c>
      <c r="X213" s="6" t="s">
        <v>2890</v>
      </c>
    </row>
    <row r="214" spans="1:24" x14ac:dyDescent="0.15">
      <c r="A214" s="7" t="str">
        <f t="shared" si="10"/>
        <v>201806</v>
      </c>
      <c r="C214" s="6" t="str">
        <f>INDEX(工厂基础数据!$A$2:$A$1024,MATCH(X214,工厂基础数据!$D$2:$D$1024,0))</f>
        <v>02025767</v>
      </c>
      <c r="E214" s="6" t="str">
        <f>INDEX(工厂基础数据!$B$2:$B$1024,MATCH(X214,工厂基础数据!$D$2:$D$1024,0))</f>
        <v>滨州市仁信医药有限公司</v>
      </c>
      <c r="F214" s="6">
        <f>INDEX(商业2转码!$B$2:$B$10000,MATCH(E214,商业2转码!$A$2:$A$10000,0))</f>
        <v>0</v>
      </c>
      <c r="G214" s="6" t="str">
        <f>INDEX(品种2编码!$A$2:$A$1048576,MATCH(W214,品种2编码!$D$2:$D$1048576,0))</f>
        <v>0020020020ZYLC0010</v>
      </c>
      <c r="H214" s="6" t="s">
        <v>1877</v>
      </c>
      <c r="I214" s="6" t="s">
        <v>1878</v>
      </c>
      <c r="J214" s="6" t="s">
        <v>3036</v>
      </c>
      <c r="L214" s="6" t="s">
        <v>2997</v>
      </c>
      <c r="M214" s="6" t="e">
        <f>INDEX(医院2县区2人!$B$2:$B$1048576,MATCH(L214,医院2县区2人!$A$2:$A$1048576,0))</f>
        <v>#N/A</v>
      </c>
      <c r="N214" s="6" t="e">
        <f>INDEX(医院2县区2人!$C$2:$C$1048576,MATCH(L214,医院2县区2人!$A$2:$A$1048576,0))</f>
        <v>#N/A</v>
      </c>
      <c r="P214" s="7">
        <v>43253.73673611111</v>
      </c>
      <c r="Q214" s="6">
        <v>10</v>
      </c>
      <c r="R214" s="6">
        <v>3.5</v>
      </c>
      <c r="S214" s="6">
        <v>180401</v>
      </c>
      <c r="T214" s="6" t="e">
        <f>INDEX(医院2县区2人!$D$2:$D$1048576,MATCH(L214,医院2县区2人!$A$2:$A$1048576,0))</f>
        <v>#N/A</v>
      </c>
      <c r="W214" s="6" t="str">
        <f t="shared" si="9"/>
        <v xml:space="preserve">泻利停/颠茄磺苄啶片0.48g*10片 </v>
      </c>
      <c r="X214" s="6" t="s">
        <v>2890</v>
      </c>
    </row>
    <row r="215" spans="1:24" x14ac:dyDescent="0.15">
      <c r="A215" s="7" t="str">
        <f t="shared" si="10"/>
        <v>201806</v>
      </c>
      <c r="C215" s="6" t="str">
        <f>INDEX(工厂基础数据!$A$2:$A$1024,MATCH(X215,工厂基础数据!$D$2:$D$1024,0))</f>
        <v>02025767</v>
      </c>
      <c r="E215" s="6" t="str">
        <f>INDEX(工厂基础数据!$B$2:$B$1024,MATCH(X215,工厂基础数据!$D$2:$D$1024,0))</f>
        <v>滨州市仁信医药有限公司</v>
      </c>
      <c r="F215" s="6">
        <f>INDEX(商业2转码!$B$2:$B$10000,MATCH(E215,商业2转码!$A$2:$A$10000,0))</f>
        <v>0</v>
      </c>
      <c r="G215" s="6" t="str">
        <f>INDEX(品种2编码!$A$2:$A$1048576,MATCH(W215,品种2编码!$D$2:$D$1048576,0))</f>
        <v>0020030170ZYEC0003</v>
      </c>
      <c r="H215" s="6" t="s">
        <v>1835</v>
      </c>
      <c r="I215" s="6" t="s">
        <v>1836</v>
      </c>
      <c r="J215" s="6" t="s">
        <v>3041</v>
      </c>
      <c r="L215" s="6" t="s">
        <v>2266</v>
      </c>
      <c r="M215" s="6">
        <f>INDEX(医院2县区2人!$B$2:$B$1048576,MATCH(L215,医院2县区2人!$A$2:$A$1048576,0))</f>
        <v>4</v>
      </c>
      <c r="N215" s="6" t="str">
        <f>INDEX(医院2县区2人!$C$2:$C$1048576,MATCH(L215,医院2县区2人!$A$2:$A$1048576,0))</f>
        <v>1856</v>
      </c>
      <c r="P215" s="7">
        <v>43253.736793981479</v>
      </c>
      <c r="Q215" s="6">
        <v>20</v>
      </c>
      <c r="R215" s="6">
        <v>14</v>
      </c>
      <c r="S215" s="6">
        <v>161119</v>
      </c>
      <c r="T215" s="6" t="str">
        <f>INDEX(医院2县区2人!$D$2:$D$1048576,MATCH(L215,医院2县区2人!$A$2:$A$1048576,0))</f>
        <v>201602151421097</v>
      </c>
      <c r="W215" s="6" t="str">
        <f t="shared" si="9"/>
        <v>蒙脱石散3g*12袋</v>
      </c>
      <c r="X215" s="6" t="s">
        <v>2890</v>
      </c>
    </row>
    <row r="216" spans="1:24" x14ac:dyDescent="0.15">
      <c r="A216" s="7" t="str">
        <f t="shared" si="10"/>
        <v>201806</v>
      </c>
      <c r="C216" s="6" t="str">
        <f>INDEX(工厂基础数据!$A$2:$A$1024,MATCH(X216,工厂基础数据!$D$2:$D$1024,0))</f>
        <v>02025767</v>
      </c>
      <c r="E216" s="6" t="str">
        <f>INDEX(工厂基础数据!$B$2:$B$1024,MATCH(X216,工厂基础数据!$D$2:$D$1024,0))</f>
        <v>滨州市仁信医药有限公司</v>
      </c>
      <c r="F216" s="6">
        <f>INDEX(商业2转码!$B$2:$B$10000,MATCH(E216,商业2转码!$A$2:$A$10000,0))</f>
        <v>0</v>
      </c>
      <c r="G216" s="6" t="str">
        <f>INDEX(品种2编码!$A$2:$A$1048576,MATCH(W216,品种2编码!$D$2:$D$1048576,0))</f>
        <v>0020030001SJZY0006</v>
      </c>
      <c r="H216" s="6" t="s">
        <v>1888</v>
      </c>
      <c r="I216" s="6" t="s">
        <v>411</v>
      </c>
      <c r="J216" s="6" t="s">
        <v>3040</v>
      </c>
      <c r="L216" s="6" t="s">
        <v>2266</v>
      </c>
      <c r="M216" s="6">
        <f>INDEX(医院2县区2人!$B$2:$B$1048576,MATCH(L216,医院2县区2人!$A$2:$A$1048576,0))</f>
        <v>4</v>
      </c>
      <c r="N216" s="6" t="str">
        <f>INDEX(医院2县区2人!$C$2:$C$1048576,MATCH(L216,医院2县区2人!$A$2:$A$1048576,0))</f>
        <v>1856</v>
      </c>
      <c r="P216" s="7">
        <v>43253.736793981479</v>
      </c>
      <c r="Q216" s="6">
        <v>20</v>
      </c>
      <c r="R216" s="6">
        <v>25</v>
      </c>
      <c r="S216" s="6">
        <v>17071042</v>
      </c>
      <c r="T216" s="6" t="str">
        <f>INDEX(医院2县区2人!$D$2:$D$1048576,MATCH(L216,医院2县区2人!$A$2:$A$1048576,0))</f>
        <v>201602151421097</v>
      </c>
      <c r="W216" s="6" t="str">
        <f t="shared" si="9"/>
        <v>葡萄糖酸钙口服溶液（含糖）10ml*12支</v>
      </c>
      <c r="X216" s="6" t="s">
        <v>2890</v>
      </c>
    </row>
    <row r="217" spans="1:24" x14ac:dyDescent="0.15">
      <c r="A217" s="7" t="str">
        <f t="shared" si="10"/>
        <v>201806</v>
      </c>
      <c r="C217" s="6" t="str">
        <f>INDEX(工厂基础数据!$A$2:$A$1024,MATCH(X217,工厂基础数据!$D$2:$D$1024,0))</f>
        <v>02025767</v>
      </c>
      <c r="E217" s="6" t="str">
        <f>INDEX(工厂基础数据!$B$2:$B$1024,MATCH(X217,工厂基础数据!$D$2:$D$1024,0))</f>
        <v>滨州市仁信医药有限公司</v>
      </c>
      <c r="F217" s="6">
        <f>INDEX(商业2转码!$B$2:$B$10000,MATCH(E217,商业2转码!$A$2:$A$10000,0))</f>
        <v>0</v>
      </c>
      <c r="G217" s="6" t="str">
        <f>INDEX(品种2编码!$A$2:$A$1048576,MATCH(W217,品种2编码!$D$2:$D$1048576,0))</f>
        <v>0020030020ZYLC0010</v>
      </c>
      <c r="H217" s="6" t="s">
        <v>1903</v>
      </c>
      <c r="I217" s="6" t="s">
        <v>1839</v>
      </c>
      <c r="J217" s="6" t="s">
        <v>3036</v>
      </c>
      <c r="L217" s="6" t="s">
        <v>2266</v>
      </c>
      <c r="M217" s="6">
        <f>INDEX(医院2县区2人!$B$2:$B$1048576,MATCH(L217,医院2县区2人!$A$2:$A$1048576,0))</f>
        <v>4</v>
      </c>
      <c r="N217" s="6" t="str">
        <f>INDEX(医院2县区2人!$C$2:$C$1048576,MATCH(L217,医院2县区2人!$A$2:$A$1048576,0))</f>
        <v>1856</v>
      </c>
      <c r="P217" s="7">
        <v>43253.736793981479</v>
      </c>
      <c r="Q217" s="6">
        <v>20</v>
      </c>
      <c r="R217" s="6">
        <v>9</v>
      </c>
      <c r="S217" s="6">
        <v>180302</v>
      </c>
      <c r="T217" s="6" t="str">
        <f>INDEX(医院2县区2人!$D$2:$D$1048576,MATCH(L217,医院2县区2人!$A$2:$A$1048576,0))</f>
        <v>201602151421097</v>
      </c>
      <c r="W217" s="6" t="str">
        <f t="shared" si="9"/>
        <v>乳酸菌素片/为消0.4g*36片</v>
      </c>
      <c r="X217" s="6" t="s">
        <v>2890</v>
      </c>
    </row>
    <row r="218" spans="1:24" x14ac:dyDescent="0.15">
      <c r="A218" s="7" t="str">
        <f t="shared" si="10"/>
        <v>201806</v>
      </c>
      <c r="C218" s="6" t="str">
        <f>INDEX(工厂基础数据!$A$2:$A$1024,MATCH(X218,工厂基础数据!$D$2:$D$1024,0))</f>
        <v>02025767</v>
      </c>
      <c r="E218" s="6" t="str">
        <f>INDEX(工厂基础数据!$B$2:$B$1024,MATCH(X218,工厂基础数据!$D$2:$D$1024,0))</f>
        <v>滨州市仁信医药有限公司</v>
      </c>
      <c r="F218" s="6">
        <f>INDEX(商业2转码!$B$2:$B$10000,MATCH(E218,商业2转码!$A$2:$A$10000,0))</f>
        <v>0</v>
      </c>
      <c r="G218" s="6" t="str">
        <f>INDEX(品种2编码!$A$2:$A$1048576,MATCH(W218,品种2编码!$D$2:$D$1048576,0))</f>
        <v>0020020020ZYLC0010</v>
      </c>
      <c r="H218" s="6" t="s">
        <v>1877</v>
      </c>
      <c r="I218" s="6" t="s">
        <v>1878</v>
      </c>
      <c r="J218" s="6" t="s">
        <v>3036</v>
      </c>
      <c r="L218" s="6" t="s">
        <v>2266</v>
      </c>
      <c r="M218" s="6">
        <f>INDEX(医院2县区2人!$B$2:$B$1048576,MATCH(L218,医院2县区2人!$A$2:$A$1048576,0))</f>
        <v>4</v>
      </c>
      <c r="N218" s="6" t="str">
        <f>INDEX(医院2县区2人!$C$2:$C$1048576,MATCH(L218,医院2县区2人!$A$2:$A$1048576,0))</f>
        <v>1856</v>
      </c>
      <c r="P218" s="7">
        <v>43253.736747685187</v>
      </c>
      <c r="Q218" s="6">
        <v>20</v>
      </c>
      <c r="R218" s="6">
        <v>3.5</v>
      </c>
      <c r="S218" s="6">
        <v>180401</v>
      </c>
      <c r="T218" s="6" t="str">
        <f>INDEX(医院2县区2人!$D$2:$D$1048576,MATCH(L218,医院2县区2人!$A$2:$A$1048576,0))</f>
        <v>201602151421097</v>
      </c>
      <c r="W218" s="6" t="str">
        <f t="shared" si="9"/>
        <v xml:space="preserve">泻利停/颠茄磺苄啶片0.48g*10片 </v>
      </c>
      <c r="X218" s="6" t="s">
        <v>2890</v>
      </c>
    </row>
    <row r="219" spans="1:24" x14ac:dyDescent="0.15">
      <c r="A219" s="7" t="str">
        <f t="shared" si="10"/>
        <v>201806</v>
      </c>
      <c r="C219" s="6" t="str">
        <f>INDEX(工厂基础数据!$A$2:$A$1024,MATCH(X219,工厂基础数据!$D$2:$D$1024,0))</f>
        <v>02025767</v>
      </c>
      <c r="E219" s="6" t="str">
        <f>INDEX(工厂基础数据!$B$2:$B$1024,MATCH(X219,工厂基础数据!$D$2:$D$1024,0))</f>
        <v>滨州市仁信医药有限公司</v>
      </c>
      <c r="F219" s="6">
        <f>INDEX(商业2转码!$B$2:$B$10000,MATCH(E219,商业2转码!$A$2:$A$10000,0))</f>
        <v>0</v>
      </c>
      <c r="G219" s="6" t="str">
        <f>INDEX(品种2编码!$A$2:$A$1048576,MATCH(W219,品种2编码!$D$2:$D$1048576,0))</f>
        <v>0020070000ZYLC0001</v>
      </c>
      <c r="H219" s="6" t="s">
        <v>1885</v>
      </c>
      <c r="I219" s="6" t="s">
        <v>1886</v>
      </c>
      <c r="J219" s="6" t="s">
        <v>3036</v>
      </c>
      <c r="L219" s="6" t="s">
        <v>2266</v>
      </c>
      <c r="M219" s="6">
        <f>INDEX(医院2县区2人!$B$2:$B$1048576,MATCH(L219,医院2县区2人!$A$2:$A$1048576,0))</f>
        <v>4</v>
      </c>
      <c r="N219" s="6" t="str">
        <f>INDEX(医院2县区2人!$C$2:$C$1048576,MATCH(L219,医院2县区2人!$A$2:$A$1048576,0))</f>
        <v>1856</v>
      </c>
      <c r="P219" s="7">
        <v>43253.736747685187</v>
      </c>
      <c r="Q219" s="6">
        <v>10</v>
      </c>
      <c r="R219" s="6">
        <v>29</v>
      </c>
      <c r="S219" s="6">
        <v>180104</v>
      </c>
      <c r="T219" s="6" t="str">
        <f>INDEX(医院2县区2人!$D$2:$D$1048576,MATCH(L219,医院2县区2人!$A$2:$A$1048576,0))</f>
        <v>201602151421097</v>
      </c>
      <c r="W219" s="6" t="str">
        <f t="shared" si="9"/>
        <v>新盖中盖高钙片2.5g*36P</v>
      </c>
      <c r="X219" s="6" t="s">
        <v>2890</v>
      </c>
    </row>
    <row r="220" spans="1:24" x14ac:dyDescent="0.15">
      <c r="A220" s="7" t="str">
        <f t="shared" si="10"/>
        <v>201806</v>
      </c>
      <c r="C220" s="6" t="str">
        <f>INDEX(工厂基础数据!$A$2:$A$1024,MATCH(X220,工厂基础数据!$D$2:$D$1024,0))</f>
        <v>02025767</v>
      </c>
      <c r="E220" s="6" t="str">
        <f>INDEX(工厂基础数据!$B$2:$B$1024,MATCH(X220,工厂基础数据!$D$2:$D$1024,0))</f>
        <v>滨州市仁信医药有限公司</v>
      </c>
      <c r="F220" s="6">
        <f>INDEX(商业2转码!$B$2:$B$10000,MATCH(E220,商业2转码!$A$2:$A$10000,0))</f>
        <v>0</v>
      </c>
      <c r="G220" s="6" t="str">
        <f>INDEX(品种2编码!$A$2:$A$1048576,MATCH(W220,品种2编码!$D$2:$D$1048576,0))</f>
        <v>0020030001SJZY0009</v>
      </c>
      <c r="H220" s="6" t="s">
        <v>555</v>
      </c>
      <c r="I220" s="6" t="s">
        <v>1889</v>
      </c>
      <c r="J220" s="6" t="s">
        <v>3039</v>
      </c>
      <c r="L220" s="6" t="s">
        <v>2244</v>
      </c>
      <c r="M220" s="6">
        <f>INDEX(医院2县区2人!$B$2:$B$1048576,MATCH(L220,医院2县区2人!$A$2:$A$1048576,0))</f>
        <v>1</v>
      </c>
      <c r="N220" s="6" t="str">
        <f>INDEX(医院2县区2人!$C$2:$C$1048576,MATCH(L220,医院2县区2人!$A$2:$A$1048576,0))</f>
        <v>1858</v>
      </c>
      <c r="P220" s="7">
        <v>43255.334016203706</v>
      </c>
      <c r="Q220" s="6">
        <v>-10</v>
      </c>
      <c r="R220" s="6">
        <v>25</v>
      </c>
      <c r="S220" s="6">
        <v>18031227</v>
      </c>
      <c r="T220" s="6" t="str">
        <f>INDEX(医院2县区2人!$D$2:$D$1048576,MATCH(L220,医院2县区2人!$A$2:$A$1048576,0))</f>
        <v>201602151421097</v>
      </c>
      <c r="W220" s="6" t="str">
        <f t="shared" si="9"/>
        <v>葡萄糖酸锌口服液10ML*12支</v>
      </c>
      <c r="X220" s="6" t="s">
        <v>2890</v>
      </c>
    </row>
    <row r="221" spans="1:24" x14ac:dyDescent="0.15">
      <c r="A221" s="7" t="str">
        <f t="shared" si="10"/>
        <v>201806</v>
      </c>
      <c r="C221" s="6" t="str">
        <f>INDEX(工厂基础数据!$A$2:$A$1024,MATCH(X221,工厂基础数据!$D$2:$D$1024,0))</f>
        <v>02025767</v>
      </c>
      <c r="E221" s="6" t="str">
        <f>INDEX(工厂基础数据!$B$2:$B$1024,MATCH(X221,工厂基础数据!$D$2:$D$1024,0))</f>
        <v>滨州市仁信医药有限公司</v>
      </c>
      <c r="F221" s="6">
        <f>INDEX(商业2转码!$B$2:$B$10000,MATCH(E221,商业2转码!$A$2:$A$10000,0))</f>
        <v>0</v>
      </c>
      <c r="G221" s="6" t="str">
        <f>INDEX(品种2编码!$A$2:$A$1048576,MATCH(W221,品种2编码!$D$2:$D$1048576,0))</f>
        <v>0020020020ZYLC0010</v>
      </c>
      <c r="H221" s="6" t="s">
        <v>1877</v>
      </c>
      <c r="I221" s="6" t="s">
        <v>1878</v>
      </c>
      <c r="J221" s="6" t="s">
        <v>3036</v>
      </c>
      <c r="L221" s="6" t="s">
        <v>2737</v>
      </c>
      <c r="M221" s="6">
        <f>INDEX(医院2县区2人!$B$2:$B$1048576,MATCH(L221,医院2县区2人!$A$2:$A$1048576,0))</f>
        <v>2</v>
      </c>
      <c r="N221" s="6" t="str">
        <f>INDEX(医院2县区2人!$C$2:$C$1048576,MATCH(L221,医院2县区2人!$A$2:$A$1048576,0))</f>
        <v>1855</v>
      </c>
      <c r="P221" s="7">
        <v>43253.736620370371</v>
      </c>
      <c r="Q221" s="6">
        <v>50</v>
      </c>
      <c r="R221" s="6">
        <v>3.5</v>
      </c>
      <c r="S221" s="6">
        <v>180401</v>
      </c>
      <c r="T221" s="6" t="str">
        <f>INDEX(医院2县区2人!$D$2:$D$1048576,MATCH(L221,医院2县区2人!$A$2:$A$1048576,0))</f>
        <v>201602151421097</v>
      </c>
      <c r="W221" s="6" t="str">
        <f t="shared" si="9"/>
        <v xml:space="preserve">泻利停/颠茄磺苄啶片0.48g*10片 </v>
      </c>
      <c r="X221" s="6" t="s">
        <v>2890</v>
      </c>
    </row>
    <row r="222" spans="1:24" x14ac:dyDescent="0.15">
      <c r="A222" s="7" t="str">
        <f t="shared" si="10"/>
        <v>201806</v>
      </c>
      <c r="C222" s="6" t="str">
        <f>INDEX(工厂基础数据!$A$2:$A$1024,MATCH(X222,工厂基础数据!$D$2:$D$1024,0))</f>
        <v>02025767</v>
      </c>
      <c r="E222" s="6" t="str">
        <f>INDEX(工厂基础数据!$B$2:$B$1024,MATCH(X222,工厂基础数据!$D$2:$D$1024,0))</f>
        <v>滨州市仁信医药有限公司</v>
      </c>
      <c r="F222" s="6">
        <f>INDEX(商业2转码!$B$2:$B$10000,MATCH(E222,商业2转码!$A$2:$A$10000,0))</f>
        <v>0</v>
      </c>
      <c r="G222" s="6" t="str">
        <f>INDEX(品种2编码!$A$2:$A$1048576,MATCH(W222,品种2编码!$D$2:$D$1048576,0))</f>
        <v>0020050090SJZY0001</v>
      </c>
      <c r="H222" s="6" t="s">
        <v>630</v>
      </c>
      <c r="I222" s="6" t="s">
        <v>1850</v>
      </c>
      <c r="J222" s="6" t="s">
        <v>3040</v>
      </c>
      <c r="L222" s="6" t="s">
        <v>2638</v>
      </c>
      <c r="M222" s="6">
        <f>INDEX(医院2县区2人!$B$2:$B$1048576,MATCH(L222,医院2县区2人!$A$2:$A$1048576,0))</f>
        <v>2</v>
      </c>
      <c r="N222" s="6" t="str">
        <f>INDEX(医院2县区2人!$C$2:$C$1048576,MATCH(L222,医院2县区2人!$A$2:$A$1048576,0))</f>
        <v>1854</v>
      </c>
      <c r="P222" s="7">
        <v>43255.759189814817</v>
      </c>
      <c r="Q222" s="6">
        <v>5</v>
      </c>
      <c r="R222" s="6">
        <v>16.5</v>
      </c>
      <c r="S222" s="6">
        <v>18031742</v>
      </c>
      <c r="T222" s="6" t="str">
        <f>INDEX(医院2县区2人!$D$2:$D$1048576,MATCH(L222,医院2县区2人!$A$2:$A$1048576,0))</f>
        <v>201602151421097</v>
      </c>
      <c r="W222" s="6" t="str">
        <f t="shared" si="9"/>
        <v>双黄连口服液10ml*10支</v>
      </c>
      <c r="X222" s="6" t="s">
        <v>2890</v>
      </c>
    </row>
    <row r="223" spans="1:24" x14ac:dyDescent="0.15">
      <c r="A223" s="7" t="str">
        <f t="shared" si="10"/>
        <v>201806</v>
      </c>
      <c r="C223" s="6" t="str">
        <f>INDEX(工厂基础数据!$A$2:$A$1024,MATCH(X223,工厂基础数据!$D$2:$D$1024,0))</f>
        <v>02025767</v>
      </c>
      <c r="E223" s="6" t="str">
        <f>INDEX(工厂基础数据!$B$2:$B$1024,MATCH(X223,工厂基础数据!$D$2:$D$1024,0))</f>
        <v>滨州市仁信医药有限公司</v>
      </c>
      <c r="F223" s="6">
        <f>INDEX(商业2转码!$B$2:$B$10000,MATCH(E223,商业2转码!$A$2:$A$10000,0))</f>
        <v>0</v>
      </c>
      <c r="G223" s="6" t="str">
        <f>INDEX(品种2编码!$A$2:$A$1048576,MATCH(W223,品种2编码!$D$2:$D$1048576,0))</f>
        <v>0020020040ZYZC0304</v>
      </c>
      <c r="H223" s="6" t="s">
        <v>1942</v>
      </c>
      <c r="I223" s="6" t="s">
        <v>1943</v>
      </c>
      <c r="J223" s="6" t="s">
        <v>3038</v>
      </c>
      <c r="L223" s="6" t="s">
        <v>2290</v>
      </c>
      <c r="M223" s="6">
        <f>INDEX(医院2县区2人!$B$2:$B$1048576,MATCH(L223,医院2县区2人!$A$2:$A$1048576,0))</f>
        <v>2</v>
      </c>
      <c r="N223" s="6" t="str">
        <f>INDEX(医院2县区2人!$C$2:$C$1048576,MATCH(L223,医院2县区2人!$A$2:$A$1048576,0))</f>
        <v>1857</v>
      </c>
      <c r="P223" s="7">
        <v>43255.758831018517</v>
      </c>
      <c r="Q223" s="6">
        <v>10</v>
      </c>
      <c r="R223" s="6">
        <v>6.5</v>
      </c>
      <c r="S223" s="6">
        <v>1804003</v>
      </c>
      <c r="T223" s="6" t="str">
        <f>INDEX(医院2县区2人!$D$2:$D$1048576,MATCH(L223,医院2县区2人!$A$2:$A$1048576,0))</f>
        <v>201602151421097</v>
      </c>
      <c r="W223" s="6" t="str">
        <f t="shared" si="9"/>
        <v>阿莫西林颗粒0.125g*12袋</v>
      </c>
      <c r="X223" s="6" t="s">
        <v>2890</v>
      </c>
    </row>
    <row r="224" spans="1:24" x14ac:dyDescent="0.15">
      <c r="A224" s="7" t="str">
        <f t="shared" si="10"/>
        <v>201806</v>
      </c>
      <c r="C224" s="6" t="str">
        <f>INDEX(工厂基础数据!$A$2:$A$1024,MATCH(X224,工厂基础数据!$D$2:$D$1024,0))</f>
        <v>02025767</v>
      </c>
      <c r="E224" s="6" t="str">
        <f>INDEX(工厂基础数据!$B$2:$B$1024,MATCH(X224,工厂基础数据!$D$2:$D$1024,0))</f>
        <v>滨州市仁信医药有限公司</v>
      </c>
      <c r="F224" s="6">
        <f>INDEX(商业2转码!$B$2:$B$10000,MATCH(E224,商业2转码!$A$2:$A$10000,0))</f>
        <v>0</v>
      </c>
      <c r="G224" s="6" t="str">
        <f>INDEX(品种2编码!$A$2:$A$1048576,MATCH(W224,品种2编码!$D$2:$D$1048576,0))</f>
        <v>0020020020ZYLC0010</v>
      </c>
      <c r="H224" s="6" t="s">
        <v>1877</v>
      </c>
      <c r="I224" s="6" t="s">
        <v>1878</v>
      </c>
      <c r="J224" s="6" t="s">
        <v>3036</v>
      </c>
      <c r="L224" s="6" t="s">
        <v>2291</v>
      </c>
      <c r="M224" s="6">
        <f>INDEX(医院2县区2人!$B$2:$B$1048576,MATCH(L224,医院2县区2人!$A$2:$A$1048576,0))</f>
        <v>1</v>
      </c>
      <c r="N224" s="6" t="str">
        <f>INDEX(医院2县区2人!$C$2:$C$1048576,MATCH(L224,医院2县区2人!$A$2:$A$1048576,0))</f>
        <v>1854</v>
      </c>
      <c r="P224" s="7">
        <v>43255.758912037039</v>
      </c>
      <c r="Q224" s="6">
        <v>20</v>
      </c>
      <c r="R224" s="6">
        <v>3.5</v>
      </c>
      <c r="S224" s="6">
        <v>180401</v>
      </c>
      <c r="T224" s="6" t="str">
        <f>INDEX(医院2县区2人!$D$2:$D$1048576,MATCH(L224,医院2县区2人!$A$2:$A$1048576,0))</f>
        <v>201602151421097</v>
      </c>
      <c r="W224" s="6" t="str">
        <f t="shared" si="9"/>
        <v xml:space="preserve">泻利停/颠茄磺苄啶片0.48g*10片 </v>
      </c>
      <c r="X224" s="6" t="s">
        <v>2890</v>
      </c>
    </row>
    <row r="225" spans="1:24" x14ac:dyDescent="0.15">
      <c r="A225" s="7" t="str">
        <f t="shared" si="10"/>
        <v>201806</v>
      </c>
      <c r="C225" s="6" t="str">
        <f>INDEX(工厂基础数据!$A$2:$A$1024,MATCH(X225,工厂基础数据!$D$2:$D$1024,0))</f>
        <v>02025767</v>
      </c>
      <c r="E225" s="6" t="str">
        <f>INDEX(工厂基础数据!$B$2:$B$1024,MATCH(X225,工厂基础数据!$D$2:$D$1024,0))</f>
        <v>滨州市仁信医药有限公司</v>
      </c>
      <c r="F225" s="6">
        <f>INDEX(商业2转码!$B$2:$B$10000,MATCH(E225,商业2转码!$A$2:$A$10000,0))</f>
        <v>0</v>
      </c>
      <c r="G225" s="6" t="str">
        <f>INDEX(品种2编码!$A$2:$A$1048576,MATCH(W225,品种2编码!$D$2:$D$1048576,0))</f>
        <v>0020030001SJZY0006</v>
      </c>
      <c r="H225" s="6" t="s">
        <v>1888</v>
      </c>
      <c r="I225" s="6" t="s">
        <v>411</v>
      </c>
      <c r="J225" s="6" t="s">
        <v>3040</v>
      </c>
      <c r="L225" s="6" t="s">
        <v>2256</v>
      </c>
      <c r="M225" s="6">
        <f>INDEX(医院2县区2人!$B$2:$B$1048576,MATCH(L225,医院2县区2人!$A$2:$A$1048576,0))</f>
        <v>2</v>
      </c>
      <c r="N225" s="6" t="str">
        <f>INDEX(医院2县区2人!$C$2:$C$1048576,MATCH(L225,医院2县区2人!$A$2:$A$1048576,0))</f>
        <v>1855</v>
      </c>
      <c r="P225" s="7">
        <v>43255.758599537039</v>
      </c>
      <c r="Q225" s="6">
        <v>10</v>
      </c>
      <c r="R225" s="6">
        <v>25</v>
      </c>
      <c r="S225" s="6">
        <v>17071042</v>
      </c>
      <c r="T225" s="6" t="str">
        <f>INDEX(医院2县区2人!$D$2:$D$1048576,MATCH(L225,医院2县区2人!$A$2:$A$1048576,0))</f>
        <v>201602151421097</v>
      </c>
      <c r="W225" s="6" t="str">
        <f t="shared" si="9"/>
        <v>葡萄糖酸钙口服溶液（含糖）10ml*12支</v>
      </c>
      <c r="X225" s="6" t="s">
        <v>2890</v>
      </c>
    </row>
    <row r="226" spans="1:24" x14ac:dyDescent="0.15">
      <c r="A226" s="7" t="str">
        <f t="shared" si="10"/>
        <v>201806</v>
      </c>
      <c r="C226" s="6" t="str">
        <f>INDEX(工厂基础数据!$A$2:$A$1024,MATCH(X226,工厂基础数据!$D$2:$D$1024,0))</f>
        <v>02025767</v>
      </c>
      <c r="E226" s="6" t="str">
        <f>INDEX(工厂基础数据!$B$2:$B$1024,MATCH(X226,工厂基础数据!$D$2:$D$1024,0))</f>
        <v>滨州市仁信医药有限公司</v>
      </c>
      <c r="F226" s="6">
        <f>INDEX(商业2转码!$B$2:$B$10000,MATCH(E226,商业2转码!$A$2:$A$10000,0))</f>
        <v>0</v>
      </c>
      <c r="G226" s="6" t="str">
        <f>INDEX(品种2编码!$A$2:$A$1048576,MATCH(W226,品种2编码!$D$2:$D$1048576,0))</f>
        <v>0020030001SJZY0009</v>
      </c>
      <c r="H226" s="6" t="s">
        <v>555</v>
      </c>
      <c r="I226" s="6" t="s">
        <v>1889</v>
      </c>
      <c r="J226" s="6" t="s">
        <v>3039</v>
      </c>
      <c r="L226" s="6" t="s">
        <v>2256</v>
      </c>
      <c r="M226" s="6">
        <f>INDEX(医院2县区2人!$B$2:$B$1048576,MATCH(L226,医院2县区2人!$A$2:$A$1048576,0))</f>
        <v>2</v>
      </c>
      <c r="N226" s="6" t="str">
        <f>INDEX(医院2县区2人!$C$2:$C$1048576,MATCH(L226,医院2县区2人!$A$2:$A$1048576,0))</f>
        <v>1855</v>
      </c>
      <c r="P226" s="7">
        <v>43255.758530092593</v>
      </c>
      <c r="Q226" s="6">
        <v>10</v>
      </c>
      <c r="R226" s="6">
        <v>25</v>
      </c>
      <c r="S226" s="6">
        <v>18031227</v>
      </c>
      <c r="T226" s="6" t="str">
        <f>INDEX(医院2县区2人!$D$2:$D$1048576,MATCH(L226,医院2县区2人!$A$2:$A$1048576,0))</f>
        <v>201602151421097</v>
      </c>
      <c r="W226" s="6" t="str">
        <f t="shared" si="9"/>
        <v>葡萄糖酸锌口服液10ML*12支</v>
      </c>
      <c r="X226" s="6" t="s">
        <v>2890</v>
      </c>
    </row>
    <row r="227" spans="1:24" x14ac:dyDescent="0.15">
      <c r="A227" s="7" t="str">
        <f t="shared" si="10"/>
        <v>201806</v>
      </c>
      <c r="C227" s="6" t="str">
        <f>INDEX(工厂基础数据!$A$2:$A$1024,MATCH(X227,工厂基础数据!$D$2:$D$1024,0))</f>
        <v>02025767</v>
      </c>
      <c r="E227" s="6" t="str">
        <f>INDEX(工厂基础数据!$B$2:$B$1024,MATCH(X227,工厂基础数据!$D$2:$D$1024,0))</f>
        <v>滨州市仁信医药有限公司</v>
      </c>
      <c r="F227" s="6">
        <f>INDEX(商业2转码!$B$2:$B$10000,MATCH(E227,商业2转码!$A$2:$A$10000,0))</f>
        <v>0</v>
      </c>
      <c r="G227" s="6" t="str">
        <f>INDEX(品种2编码!$A$2:$A$1048576,MATCH(W227,品种2编码!$D$2:$D$1048576,0))</f>
        <v>0020020020ZYZC0359</v>
      </c>
      <c r="H227" s="6" t="s">
        <v>578</v>
      </c>
      <c r="I227" s="6" t="s">
        <v>1860</v>
      </c>
      <c r="J227" s="6" t="s">
        <v>3038</v>
      </c>
      <c r="L227" s="6" t="s">
        <v>2231</v>
      </c>
      <c r="M227" s="6">
        <f>INDEX(医院2县区2人!$B$2:$B$1048576,MATCH(L227,医院2县区2人!$A$2:$A$1048576,0))</f>
        <v>4</v>
      </c>
      <c r="N227" s="6" t="str">
        <f>INDEX(医院2县区2人!$C$2:$C$1048576,MATCH(L227,医院2县区2人!$A$2:$A$1048576,0))</f>
        <v>1853</v>
      </c>
      <c r="P227" s="7">
        <v>43255.758958333332</v>
      </c>
      <c r="Q227" s="6">
        <v>10</v>
      </c>
      <c r="R227" s="6">
        <v>9.1999999999999993</v>
      </c>
      <c r="S227" s="6">
        <v>1801001</v>
      </c>
      <c r="T227" s="6" t="str">
        <f>INDEX(医院2县区2人!$D$2:$D$1048576,MATCH(L227,医院2县区2人!$A$2:$A$1048576,0))</f>
        <v>201602151421097</v>
      </c>
      <c r="W227" s="6" t="str">
        <f t="shared" si="9"/>
        <v>青霉素V钾片（仙芬）0.236g*24片</v>
      </c>
      <c r="X227" s="6" t="s">
        <v>2890</v>
      </c>
    </row>
    <row r="228" spans="1:24" x14ac:dyDescent="0.15">
      <c r="A228" s="7" t="str">
        <f t="shared" si="10"/>
        <v>201806</v>
      </c>
      <c r="C228" s="6" t="str">
        <f>INDEX(工厂基础数据!$A$2:$A$1024,MATCH(X228,工厂基础数据!$D$2:$D$1024,0))</f>
        <v>02025767</v>
      </c>
      <c r="E228" s="6" t="str">
        <f>INDEX(工厂基础数据!$B$2:$B$1024,MATCH(X228,工厂基础数据!$D$2:$D$1024,0))</f>
        <v>滨州市仁信医药有限公司</v>
      </c>
      <c r="F228" s="6">
        <f>INDEX(商业2转码!$B$2:$B$10000,MATCH(E228,商业2转码!$A$2:$A$10000,0))</f>
        <v>0</v>
      </c>
      <c r="G228" s="6" t="str">
        <f>INDEX(品种2编码!$A$2:$A$1048576,MATCH(W228,品种2编码!$D$2:$D$1048576,0))</f>
        <v>0020020021ZYLC0011</v>
      </c>
      <c r="H228" s="6" t="s">
        <v>1890</v>
      </c>
      <c r="I228" s="6" t="s">
        <v>1891</v>
      </c>
      <c r="J228" s="6" t="s">
        <v>3036</v>
      </c>
      <c r="L228" s="6" t="s">
        <v>2231</v>
      </c>
      <c r="M228" s="6">
        <f>INDEX(医院2县区2人!$B$2:$B$1048576,MATCH(L228,医院2县区2人!$A$2:$A$1048576,0))</f>
        <v>4</v>
      </c>
      <c r="N228" s="6" t="str">
        <f>INDEX(医院2县区2人!$C$2:$C$1048576,MATCH(L228,医院2县区2人!$A$2:$A$1048576,0))</f>
        <v>1853</v>
      </c>
      <c r="P228" s="7">
        <v>43255.758958333332</v>
      </c>
      <c r="Q228" s="6">
        <v>10</v>
      </c>
      <c r="R228" s="6">
        <v>6</v>
      </c>
      <c r="S228" s="6">
        <v>161001</v>
      </c>
      <c r="T228" s="6" t="str">
        <f>INDEX(医院2县区2人!$D$2:$D$1048576,MATCH(L228,医院2县区2人!$A$2:$A$1048576,0))</f>
        <v>201602151421097</v>
      </c>
      <c r="W228" s="6" t="str">
        <f t="shared" si="9"/>
        <v>严迪/罗红霉素分散片150mg*12片</v>
      </c>
      <c r="X228" s="6" t="s">
        <v>2890</v>
      </c>
    </row>
    <row r="229" spans="1:24" x14ac:dyDescent="0.15">
      <c r="A229" s="7" t="str">
        <f t="shared" si="10"/>
        <v>201806</v>
      </c>
      <c r="C229" s="6" t="str">
        <f>INDEX(工厂基础数据!$A$2:$A$1024,MATCH(X229,工厂基础数据!$D$2:$D$1024,0))</f>
        <v>02025767</v>
      </c>
      <c r="E229" s="6" t="str">
        <f>INDEX(工厂基础数据!$B$2:$B$1024,MATCH(X229,工厂基础数据!$D$2:$D$1024,0))</f>
        <v>滨州市仁信医药有限公司</v>
      </c>
      <c r="F229" s="6">
        <f>INDEX(商业2转码!$B$2:$B$10000,MATCH(E229,商业2转码!$A$2:$A$10000,0))</f>
        <v>0</v>
      </c>
      <c r="G229" s="6" t="str">
        <f>INDEX(品种2编码!$A$2:$A$1048576,MATCH(W229,品种2编码!$D$2:$D$1048576,0))</f>
        <v>0020030001SJZY0009</v>
      </c>
      <c r="H229" s="6" t="s">
        <v>555</v>
      </c>
      <c r="I229" s="6" t="s">
        <v>1889</v>
      </c>
      <c r="J229" s="6" t="s">
        <v>3039</v>
      </c>
      <c r="L229" s="6" t="s">
        <v>2617</v>
      </c>
      <c r="M229" s="6">
        <f>INDEX(医院2县区2人!$B$2:$B$1048576,MATCH(L229,医院2县区2人!$A$2:$A$1048576,0))</f>
        <v>1</v>
      </c>
      <c r="N229" s="6" t="str">
        <f>INDEX(医院2县区2人!$C$2:$C$1048576,MATCH(L229,医院2县区2人!$A$2:$A$1048576,0))</f>
        <v>1855</v>
      </c>
      <c r="P229" s="7">
        <v>43255.758252314816</v>
      </c>
      <c r="Q229" s="6">
        <v>3</v>
      </c>
      <c r="R229" s="6">
        <v>25</v>
      </c>
      <c r="S229" s="6">
        <v>18031227</v>
      </c>
      <c r="T229" s="6" t="str">
        <f>INDEX(医院2县区2人!$D$2:$D$1048576,MATCH(L229,医院2县区2人!$A$2:$A$1048576,0))</f>
        <v>201602151421097</v>
      </c>
      <c r="W229" s="6" t="str">
        <f t="shared" si="9"/>
        <v>葡萄糖酸锌口服液10ML*12支</v>
      </c>
      <c r="X229" s="6" t="s">
        <v>2890</v>
      </c>
    </row>
    <row r="230" spans="1:24" x14ac:dyDescent="0.15">
      <c r="A230" s="7" t="str">
        <f t="shared" si="10"/>
        <v>201806</v>
      </c>
      <c r="C230" s="6" t="str">
        <f>INDEX(工厂基础数据!$A$2:$A$1024,MATCH(X230,工厂基础数据!$D$2:$D$1024,0))</f>
        <v>02025767</v>
      </c>
      <c r="E230" s="6" t="str">
        <f>INDEX(工厂基础数据!$B$2:$B$1024,MATCH(X230,工厂基础数据!$D$2:$D$1024,0))</f>
        <v>滨州市仁信医药有限公司</v>
      </c>
      <c r="F230" s="6">
        <f>INDEX(商业2转码!$B$2:$B$10000,MATCH(E230,商业2转码!$A$2:$A$10000,0))</f>
        <v>0</v>
      </c>
      <c r="G230" s="6" t="str">
        <f>INDEX(品种2编码!$A$2:$A$1048576,MATCH(W230,品种2编码!$D$2:$D$1048576,0))</f>
        <v>0020030001SJZY0006</v>
      </c>
      <c r="H230" s="6" t="s">
        <v>1888</v>
      </c>
      <c r="I230" s="6" t="s">
        <v>411</v>
      </c>
      <c r="J230" s="6" t="s">
        <v>3040</v>
      </c>
      <c r="L230" s="6" t="s">
        <v>2617</v>
      </c>
      <c r="M230" s="6">
        <f>INDEX(医院2县区2人!$B$2:$B$1048576,MATCH(L230,医院2县区2人!$A$2:$A$1048576,0))</f>
        <v>1</v>
      </c>
      <c r="N230" s="6" t="str">
        <f>INDEX(医院2县区2人!$C$2:$C$1048576,MATCH(L230,医院2县区2人!$A$2:$A$1048576,0))</f>
        <v>1855</v>
      </c>
      <c r="P230" s="7">
        <v>43255.758310185185</v>
      </c>
      <c r="Q230" s="6">
        <v>3</v>
      </c>
      <c r="R230" s="6">
        <v>25</v>
      </c>
      <c r="S230" s="6">
        <v>17071042</v>
      </c>
      <c r="T230" s="6" t="str">
        <f>INDEX(医院2县区2人!$D$2:$D$1048576,MATCH(L230,医院2县区2人!$A$2:$A$1048576,0))</f>
        <v>201602151421097</v>
      </c>
      <c r="W230" s="6" t="str">
        <f t="shared" si="9"/>
        <v>葡萄糖酸钙口服溶液（含糖）10ml*12支</v>
      </c>
      <c r="X230" s="6" t="s">
        <v>2890</v>
      </c>
    </row>
    <row r="231" spans="1:24" x14ac:dyDescent="0.15">
      <c r="A231" s="7" t="str">
        <f t="shared" si="10"/>
        <v>201806</v>
      </c>
      <c r="C231" s="6" t="str">
        <f>INDEX(工厂基础数据!$A$2:$A$1024,MATCH(X231,工厂基础数据!$D$2:$D$1024,0))</f>
        <v>02025767</v>
      </c>
      <c r="E231" s="6" t="str">
        <f>INDEX(工厂基础数据!$B$2:$B$1024,MATCH(X231,工厂基础数据!$D$2:$D$1024,0))</f>
        <v>滨州市仁信医药有限公司</v>
      </c>
      <c r="F231" s="6">
        <f>INDEX(商业2转码!$B$2:$B$10000,MATCH(E231,商业2转码!$A$2:$A$10000,0))</f>
        <v>0</v>
      </c>
      <c r="G231" s="6" t="str">
        <f>INDEX(品种2编码!$A$2:$A$1048576,MATCH(W231,品种2编码!$D$2:$D$1048576,0))</f>
        <v>0020020021ZYZC0341</v>
      </c>
      <c r="H231" s="6" t="s">
        <v>1936</v>
      </c>
      <c r="I231" s="6" t="s">
        <v>279</v>
      </c>
      <c r="J231" s="6" t="s">
        <v>3042</v>
      </c>
      <c r="L231" s="6" t="s">
        <v>2247</v>
      </c>
      <c r="M231" s="6">
        <f>INDEX(医院2县区2人!$B$2:$B$1048576,MATCH(L231,医院2县区2人!$A$2:$A$1048576,0))</f>
        <v>4</v>
      </c>
      <c r="N231" s="6" t="str">
        <f>INDEX(医院2县区2人!$C$2:$C$1048576,MATCH(L231,医院2县区2人!$A$2:$A$1048576,0))</f>
        <v>1855</v>
      </c>
      <c r="P231" s="7">
        <v>43255.334016203706</v>
      </c>
      <c r="Q231" s="6">
        <v>-1</v>
      </c>
      <c r="R231" s="6">
        <v>9.5</v>
      </c>
      <c r="S231" s="6" t="s">
        <v>3049</v>
      </c>
      <c r="T231" s="6" t="str">
        <f>INDEX(医院2县区2人!$D$2:$D$1048576,MATCH(L231,医院2县区2人!$A$2:$A$1048576,0))</f>
        <v>201602151421097</v>
      </c>
      <c r="W231" s="6" t="str">
        <f t="shared" si="9"/>
        <v>阿莫西林克拉维酸钾分散片0.2285g*12片</v>
      </c>
      <c r="X231" s="6" t="s">
        <v>2890</v>
      </c>
    </row>
    <row r="232" spans="1:24" x14ac:dyDescent="0.15">
      <c r="A232" s="7" t="str">
        <f t="shared" si="10"/>
        <v>201806</v>
      </c>
      <c r="C232" s="6" t="str">
        <f>INDEX(工厂基础数据!$A$2:$A$1024,MATCH(X232,工厂基础数据!$D$2:$D$1024,0))</f>
        <v>02025767</v>
      </c>
      <c r="E232" s="6" t="str">
        <f>INDEX(工厂基础数据!$B$2:$B$1024,MATCH(X232,工厂基础数据!$D$2:$D$1024,0))</f>
        <v>滨州市仁信医药有限公司</v>
      </c>
      <c r="F232" s="6">
        <f>INDEX(商业2转码!$B$2:$B$10000,MATCH(E232,商业2转码!$A$2:$A$10000,0))</f>
        <v>0</v>
      </c>
      <c r="G232" s="6" t="str">
        <f>INDEX(品种2编码!$A$2:$A$1048576,MATCH(W232,品种2编码!$D$2:$D$1048576,0))</f>
        <v>0020020021ZYLC0004</v>
      </c>
      <c r="H232" s="6" t="s">
        <v>1899</v>
      </c>
      <c r="I232" s="6" t="s">
        <v>1869</v>
      </c>
      <c r="J232" s="6" t="s">
        <v>3036</v>
      </c>
      <c r="L232" s="6" t="s">
        <v>2340</v>
      </c>
      <c r="M232" s="6">
        <f>INDEX(医院2县区2人!$B$2:$B$1048576,MATCH(L232,医院2县区2人!$A$2:$A$1048576,0))</f>
        <v>2</v>
      </c>
      <c r="N232" s="6" t="str">
        <f>INDEX(医院2县区2人!$C$2:$C$1048576,MATCH(L232,医院2县区2人!$A$2:$A$1048576,0))</f>
        <v>1855</v>
      </c>
      <c r="P232" s="7">
        <v>43255.758287037039</v>
      </c>
      <c r="Q232" s="6">
        <v>10</v>
      </c>
      <c r="R232" s="6">
        <v>8</v>
      </c>
      <c r="S232" s="6">
        <v>180201</v>
      </c>
      <c r="T232" s="6" t="str">
        <f>INDEX(医院2县区2人!$D$2:$D$1048576,MATCH(L232,医院2县区2人!$A$2:$A$1048576,0))</f>
        <v>201602151421097</v>
      </c>
      <c r="W232" s="6" t="str">
        <f t="shared" si="9"/>
        <v>大严迪片/罗红霉素分散片75mg*12片</v>
      </c>
      <c r="X232" s="6" t="s">
        <v>2890</v>
      </c>
    </row>
    <row r="233" spans="1:24" x14ac:dyDescent="0.15">
      <c r="A233" s="7" t="str">
        <f t="shared" si="10"/>
        <v>201806</v>
      </c>
      <c r="C233" s="6" t="str">
        <f>INDEX(工厂基础数据!$A$2:$A$1024,MATCH(X233,工厂基础数据!$D$2:$D$1024,0))</f>
        <v>02025767</v>
      </c>
      <c r="E233" s="6" t="str">
        <f>INDEX(工厂基础数据!$B$2:$B$1024,MATCH(X233,工厂基础数据!$D$2:$D$1024,0))</f>
        <v>滨州市仁信医药有限公司</v>
      </c>
      <c r="F233" s="6">
        <f>INDEX(商业2转码!$B$2:$B$10000,MATCH(E233,商业2转码!$A$2:$A$10000,0))</f>
        <v>0</v>
      </c>
      <c r="G233" s="6" t="str">
        <f>INDEX(品种2编码!$A$2:$A$1048576,MATCH(W233,品种2编码!$D$2:$D$1048576,0))</f>
        <v>0020020030ZYZC0264</v>
      </c>
      <c r="H233" s="6" t="s">
        <v>245</v>
      </c>
      <c r="I233" s="6" t="s">
        <v>254</v>
      </c>
      <c r="J233" s="6" t="s">
        <v>3038</v>
      </c>
      <c r="L233" s="6" t="s">
        <v>2340</v>
      </c>
      <c r="M233" s="6">
        <f>INDEX(医院2县区2人!$B$2:$B$1048576,MATCH(L233,医院2县区2人!$A$2:$A$1048576,0))</f>
        <v>2</v>
      </c>
      <c r="N233" s="6" t="str">
        <f>INDEX(医院2县区2人!$C$2:$C$1048576,MATCH(L233,医院2县区2人!$A$2:$A$1048576,0))</f>
        <v>1855</v>
      </c>
      <c r="P233" s="7">
        <v>43255.758506944447</v>
      </c>
      <c r="Q233" s="6">
        <v>20</v>
      </c>
      <c r="R233" s="6">
        <v>10</v>
      </c>
      <c r="S233" s="6" t="s">
        <v>3052</v>
      </c>
      <c r="T233" s="6" t="str">
        <f>INDEX(医院2县区2人!$D$2:$D$1048576,MATCH(L233,医院2县区2人!$A$2:$A$1048576,0))</f>
        <v>201602151421097</v>
      </c>
      <c r="W233" s="6" t="str">
        <f t="shared" si="9"/>
        <v>阿莫西林胶囊0.5g*20粒</v>
      </c>
      <c r="X233" s="6" t="s">
        <v>2890</v>
      </c>
    </row>
    <row r="234" spans="1:24" x14ac:dyDescent="0.15">
      <c r="A234" s="7" t="str">
        <f t="shared" si="10"/>
        <v>201806</v>
      </c>
      <c r="C234" s="6" t="str">
        <f>INDEX(工厂基础数据!$A$2:$A$1024,MATCH(X234,工厂基础数据!$D$2:$D$1024,0))</f>
        <v>02025767</v>
      </c>
      <c r="E234" s="6" t="str">
        <f>INDEX(工厂基础数据!$B$2:$B$1024,MATCH(X234,工厂基础数据!$D$2:$D$1024,0))</f>
        <v>滨州市仁信医药有限公司</v>
      </c>
      <c r="F234" s="6">
        <f>INDEX(商业2转码!$B$2:$B$10000,MATCH(E234,商业2转码!$A$2:$A$10000,0))</f>
        <v>0</v>
      </c>
      <c r="G234" s="6" t="str">
        <f>INDEX(品种2编码!$A$2:$A$1048576,MATCH(W234,品种2编码!$D$2:$D$1048576,0))</f>
        <v>0020040220SHYT0005</v>
      </c>
      <c r="H234" s="6" t="s">
        <v>1857</v>
      </c>
      <c r="I234" s="6" t="s">
        <v>1896</v>
      </c>
      <c r="J234" s="6" t="s">
        <v>3037</v>
      </c>
      <c r="L234" s="6" t="s">
        <v>2192</v>
      </c>
      <c r="M234" s="6">
        <f>INDEX(医院2县区2人!$B$2:$B$1048576,MATCH(L234,医院2县区2人!$A$2:$A$1048576,0))</f>
        <v>2</v>
      </c>
      <c r="N234" s="6" t="str">
        <f>INDEX(医院2县区2人!$C$2:$C$1048576,MATCH(L234,医院2县区2人!$A$2:$A$1048576,0))</f>
        <v>1856</v>
      </c>
      <c r="P234" s="7">
        <v>43255.334016203706</v>
      </c>
      <c r="Q234" s="6">
        <v>-10</v>
      </c>
      <c r="R234" s="6">
        <v>14</v>
      </c>
      <c r="S234" s="6">
        <v>1610403</v>
      </c>
      <c r="T234" s="6" t="str">
        <f>INDEX(医院2县区2人!$D$2:$D$1048576,MATCH(L234,医院2县区2人!$A$2:$A$1048576,0))</f>
        <v>201602151421097</v>
      </c>
      <c r="W234" s="6" t="str">
        <f t="shared" si="9"/>
        <v>妇宁栓1.6g×7枚</v>
      </c>
      <c r="X234" s="6" t="s">
        <v>2890</v>
      </c>
    </row>
    <row r="235" spans="1:24" x14ac:dyDescent="0.15">
      <c r="A235" s="7" t="str">
        <f t="shared" si="10"/>
        <v>201806</v>
      </c>
      <c r="C235" s="6" t="str">
        <f>INDEX(工厂基础数据!$A$2:$A$1024,MATCH(X235,工厂基础数据!$D$2:$D$1024,0))</f>
        <v>02025767</v>
      </c>
      <c r="E235" s="6" t="str">
        <f>INDEX(工厂基础数据!$B$2:$B$1024,MATCH(X235,工厂基础数据!$D$2:$D$1024,0))</f>
        <v>滨州市仁信医药有限公司</v>
      </c>
      <c r="F235" s="6">
        <f>INDEX(商业2转码!$B$2:$B$10000,MATCH(E235,商业2转码!$A$2:$A$10000,0))</f>
        <v>0</v>
      </c>
      <c r="G235" s="6" t="str">
        <f>INDEX(品种2编码!$A$2:$A$1048576,MATCH(W235,品种2编码!$D$2:$D$1048576,0))</f>
        <v>0020050090ZYEC0004</v>
      </c>
      <c r="H235" s="6" t="s">
        <v>324</v>
      </c>
      <c r="I235" s="6" t="s">
        <v>1851</v>
      </c>
      <c r="J235" s="6" t="s">
        <v>3041</v>
      </c>
      <c r="L235" s="6" t="s">
        <v>2192</v>
      </c>
      <c r="M235" s="6">
        <f>INDEX(医院2县区2人!$B$2:$B$1048576,MATCH(L235,医院2县区2人!$A$2:$A$1048576,0))</f>
        <v>2</v>
      </c>
      <c r="N235" s="6" t="str">
        <f>INDEX(医院2县区2人!$C$2:$C$1048576,MATCH(L235,医院2县区2人!$A$2:$A$1048576,0))</f>
        <v>1856</v>
      </c>
      <c r="P235" s="7">
        <v>43255.334016203706</v>
      </c>
      <c r="Q235" s="6">
        <v>-5</v>
      </c>
      <c r="R235" s="6">
        <v>13.5</v>
      </c>
      <c r="S235" s="6">
        <v>160801</v>
      </c>
      <c r="T235" s="6" t="str">
        <f>INDEX(医院2县区2人!$D$2:$D$1048576,MATCH(L235,医院2县区2人!$A$2:$A$1048576,0))</f>
        <v>201602151421097</v>
      </c>
      <c r="W235" s="6" t="str">
        <f t="shared" si="9"/>
        <v>刺五加脑灵液100ml</v>
      </c>
      <c r="X235" s="6" t="s">
        <v>2890</v>
      </c>
    </row>
    <row r="236" spans="1:24" x14ac:dyDescent="0.15">
      <c r="A236" s="7" t="str">
        <f t="shared" si="10"/>
        <v>201806</v>
      </c>
      <c r="C236" s="6" t="str">
        <f>INDEX(工厂基础数据!$A$2:$A$1024,MATCH(X236,工厂基础数据!$D$2:$D$1024,0))</f>
        <v>02025767</v>
      </c>
      <c r="E236" s="6" t="str">
        <f>INDEX(工厂基础数据!$B$2:$B$1024,MATCH(X236,工厂基础数据!$D$2:$D$1024,0))</f>
        <v>滨州市仁信医药有限公司</v>
      </c>
      <c r="F236" s="6">
        <f>INDEX(商业2转码!$B$2:$B$10000,MATCH(E236,商业2转码!$A$2:$A$10000,0))</f>
        <v>0</v>
      </c>
      <c r="G236" s="6" t="str">
        <f>INDEX(品种2编码!$A$2:$A$1048576,MATCH(W236,品种2编码!$D$2:$D$1048576,0))</f>
        <v>0020030020SJSC0025</v>
      </c>
      <c r="H236" s="6" t="s">
        <v>380</v>
      </c>
      <c r="I236" s="6" t="s">
        <v>381</v>
      </c>
      <c r="J236" s="6" t="s">
        <v>3045</v>
      </c>
      <c r="L236" s="6" t="s">
        <v>2192</v>
      </c>
      <c r="M236" s="6">
        <f>INDEX(医院2县区2人!$B$2:$B$1048576,MATCH(L236,医院2县区2人!$A$2:$A$1048576,0))</f>
        <v>2</v>
      </c>
      <c r="N236" s="6" t="str">
        <f>INDEX(医院2县区2人!$C$2:$C$1048576,MATCH(L236,医院2县区2人!$A$2:$A$1048576,0))</f>
        <v>1856</v>
      </c>
      <c r="P236" s="7">
        <v>43255.334016203706</v>
      </c>
      <c r="Q236" s="6">
        <v>-50</v>
      </c>
      <c r="R236" s="6">
        <v>3.6</v>
      </c>
      <c r="S236" s="6">
        <v>1712002</v>
      </c>
      <c r="T236" s="6" t="str">
        <f>INDEX(医院2县区2人!$D$2:$D$1048576,MATCH(L236,医院2县区2人!$A$2:$A$1048576,0))</f>
        <v>201602151421097</v>
      </c>
      <c r="W236" s="6" t="str">
        <f t="shared" si="9"/>
        <v>复方氨酚烷胺片12片</v>
      </c>
      <c r="X236" s="6" t="s">
        <v>2890</v>
      </c>
    </row>
    <row r="237" spans="1:24" x14ac:dyDescent="0.15">
      <c r="A237" s="7" t="str">
        <f t="shared" si="10"/>
        <v>201806</v>
      </c>
      <c r="C237" s="6" t="str">
        <f>INDEX(工厂基础数据!$A$2:$A$1024,MATCH(X237,工厂基础数据!$D$2:$D$1024,0))</f>
        <v>02025767</v>
      </c>
      <c r="E237" s="6" t="str">
        <f>INDEX(工厂基础数据!$B$2:$B$1024,MATCH(X237,工厂基础数据!$D$2:$D$1024,0))</f>
        <v>滨州市仁信医药有限公司</v>
      </c>
      <c r="F237" s="6">
        <f>INDEX(商业2转码!$B$2:$B$10000,MATCH(E237,商业2转码!$A$2:$A$10000,0))</f>
        <v>0</v>
      </c>
      <c r="G237" s="6" t="str">
        <f>INDEX(品种2编码!$A$2:$A$1048576,MATCH(W237,品种2编码!$D$2:$D$1048576,0))</f>
        <v>0020050090SJZY0001</v>
      </c>
      <c r="H237" s="6" t="s">
        <v>630</v>
      </c>
      <c r="I237" s="6" t="s">
        <v>1850</v>
      </c>
      <c r="J237" s="6" t="s">
        <v>3040</v>
      </c>
      <c r="L237" s="6" t="s">
        <v>2614</v>
      </c>
      <c r="M237" s="6">
        <f>INDEX(医院2县区2人!$B$2:$B$1048576,MATCH(L237,医院2县区2人!$A$2:$A$1048576,0))</f>
        <v>2</v>
      </c>
      <c r="N237" s="6" t="str">
        <f>INDEX(医院2县区2人!$C$2:$C$1048576,MATCH(L237,医院2县区2人!$A$2:$A$1048576,0))</f>
        <v>1853</v>
      </c>
      <c r="P237" s="7">
        <v>43255.75886574074</v>
      </c>
      <c r="Q237" s="6">
        <v>5</v>
      </c>
      <c r="R237" s="6">
        <v>16.5</v>
      </c>
      <c r="S237" s="6">
        <v>17062821</v>
      </c>
      <c r="T237" s="6" t="str">
        <f>INDEX(医院2县区2人!$D$2:$D$1048576,MATCH(L237,医院2县区2人!$A$2:$A$1048576,0))</f>
        <v>201602151421097</v>
      </c>
      <c r="W237" s="6" t="str">
        <f t="shared" si="9"/>
        <v>双黄连口服液10ml*10支</v>
      </c>
      <c r="X237" s="6" t="s">
        <v>2890</v>
      </c>
    </row>
    <row r="238" spans="1:24" x14ac:dyDescent="0.15">
      <c r="A238" s="7" t="str">
        <f t="shared" si="10"/>
        <v>201806</v>
      </c>
      <c r="C238" s="6" t="str">
        <f>INDEX(工厂基础数据!$A$2:$A$1024,MATCH(X238,工厂基础数据!$D$2:$D$1024,0))</f>
        <v>02025767</v>
      </c>
      <c r="E238" s="6" t="str">
        <f>INDEX(工厂基础数据!$B$2:$B$1024,MATCH(X238,工厂基础数据!$D$2:$D$1024,0))</f>
        <v>滨州市仁信医药有限公司</v>
      </c>
      <c r="F238" s="6">
        <f>INDEX(商业2转码!$B$2:$B$10000,MATCH(E238,商业2转码!$A$2:$A$10000,0))</f>
        <v>0</v>
      </c>
      <c r="G238" s="6" t="str">
        <f>INDEX(品种2编码!$A$2:$A$1048576,MATCH(W238,品种2编码!$D$2:$D$1048576,0))</f>
        <v>0020030020SJSC0014</v>
      </c>
      <c r="H238" s="6" t="s">
        <v>677</v>
      </c>
      <c r="I238" s="6" t="s">
        <v>1882</v>
      </c>
      <c r="J238" s="6" t="s">
        <v>3045</v>
      </c>
      <c r="L238" s="6" t="s">
        <v>2364</v>
      </c>
      <c r="M238" s="6">
        <f>INDEX(医院2县区2人!$B$2:$B$1048576,MATCH(L238,医院2县区2人!$A$2:$A$1048576,0))</f>
        <v>2</v>
      </c>
      <c r="N238" s="6" t="str">
        <f>INDEX(医院2县区2人!$C$2:$C$1048576,MATCH(L238,医院2县区2人!$A$2:$A$1048576,0))</f>
        <v>1853</v>
      </c>
      <c r="P238" s="7">
        <v>43255.758483796293</v>
      </c>
      <c r="Q238" s="6">
        <v>10</v>
      </c>
      <c r="R238" s="6">
        <v>10</v>
      </c>
      <c r="S238" s="6">
        <v>1707002</v>
      </c>
      <c r="T238" s="6" t="str">
        <f>INDEX(医院2县区2人!$D$2:$D$1048576,MATCH(L238,医院2县区2人!$A$2:$A$1048576,0))</f>
        <v>201602151421097</v>
      </c>
      <c r="W238" s="6" t="str">
        <f t="shared" si="9"/>
        <v>维D2磷酸氢钙片60片</v>
      </c>
      <c r="X238" s="6" t="s">
        <v>2890</v>
      </c>
    </row>
    <row r="239" spans="1:24" x14ac:dyDescent="0.15">
      <c r="A239" s="7" t="str">
        <f t="shared" si="10"/>
        <v>201806</v>
      </c>
      <c r="C239" s="6" t="str">
        <f>INDEX(工厂基础数据!$A$2:$A$1024,MATCH(X239,工厂基础数据!$D$2:$D$1024,0))</f>
        <v>02025767</v>
      </c>
      <c r="E239" s="6" t="str">
        <f>INDEX(工厂基础数据!$B$2:$B$1024,MATCH(X239,工厂基础数据!$D$2:$D$1024,0))</f>
        <v>滨州市仁信医药有限公司</v>
      </c>
      <c r="F239" s="6">
        <f>INDEX(商业2转码!$B$2:$B$10000,MATCH(E239,商业2转码!$A$2:$A$10000,0))</f>
        <v>0</v>
      </c>
      <c r="G239" s="6" t="str">
        <f>INDEX(品种2编码!$A$2:$A$1048576,MATCH(W239,品种2编码!$D$2:$D$1048576,0))</f>
        <v>0020030001SJZY0006</v>
      </c>
      <c r="H239" s="6" t="s">
        <v>1888</v>
      </c>
      <c r="I239" s="6" t="s">
        <v>411</v>
      </c>
      <c r="J239" s="6" t="s">
        <v>3040</v>
      </c>
      <c r="L239" s="6" t="s">
        <v>2313</v>
      </c>
      <c r="M239" s="6">
        <f>INDEX(医院2县区2人!$B$2:$B$1048576,MATCH(L239,医院2县区2人!$A$2:$A$1048576,0))</f>
        <v>2</v>
      </c>
      <c r="N239" s="6" t="str">
        <f>INDEX(医院2县区2人!$C$2:$C$1048576,MATCH(L239,医院2县区2人!$A$2:$A$1048576,0))</f>
        <v>1853</v>
      </c>
      <c r="P239" s="7">
        <v>43255.759050925924</v>
      </c>
      <c r="Q239" s="6">
        <v>5</v>
      </c>
      <c r="R239" s="6">
        <v>25</v>
      </c>
      <c r="S239" s="6">
        <v>17071042</v>
      </c>
      <c r="T239" s="6" t="str">
        <f>INDEX(医院2县区2人!$D$2:$D$1048576,MATCH(L239,医院2县区2人!$A$2:$A$1048576,0))</f>
        <v>201602151421097</v>
      </c>
      <c r="W239" s="6" t="str">
        <f t="shared" si="9"/>
        <v>葡萄糖酸钙口服溶液（含糖）10ml*12支</v>
      </c>
      <c r="X239" s="6" t="s">
        <v>2890</v>
      </c>
    </row>
    <row r="240" spans="1:24" x14ac:dyDescent="0.15">
      <c r="A240" s="7" t="str">
        <f t="shared" si="10"/>
        <v>201806</v>
      </c>
      <c r="C240" s="6" t="str">
        <f>INDEX(工厂基础数据!$A$2:$A$1024,MATCH(X240,工厂基础数据!$D$2:$D$1024,0))</f>
        <v>02025767</v>
      </c>
      <c r="E240" s="6" t="str">
        <f>INDEX(工厂基础数据!$B$2:$B$1024,MATCH(X240,工厂基础数据!$D$2:$D$1024,0))</f>
        <v>滨州市仁信医药有限公司</v>
      </c>
      <c r="F240" s="6">
        <f>INDEX(商业2转码!$B$2:$B$10000,MATCH(E240,商业2转码!$A$2:$A$10000,0))</f>
        <v>0</v>
      </c>
      <c r="G240" s="6" t="str">
        <f>INDEX(品种2编码!$A$2:$A$1048576,MATCH(W240,品种2编码!$D$2:$D$1048576,0))</f>
        <v>0020020020ZYLC0010</v>
      </c>
      <c r="H240" s="6" t="s">
        <v>1877</v>
      </c>
      <c r="I240" s="6" t="s">
        <v>1878</v>
      </c>
      <c r="J240" s="6" t="s">
        <v>3036</v>
      </c>
      <c r="L240" s="6" t="s">
        <v>2304</v>
      </c>
      <c r="M240" s="6">
        <f>INDEX(医院2县区2人!$B$2:$B$1048576,MATCH(L240,医院2县区2人!$A$2:$A$1048576,0))</f>
        <v>2</v>
      </c>
      <c r="N240" s="6" t="str">
        <f>INDEX(医院2县区2人!$C$2:$C$1048576,MATCH(L240,医院2县区2人!$A$2:$A$1048576,0))</f>
        <v>1855</v>
      </c>
      <c r="P240" s="7">
        <v>43255.759027777778</v>
      </c>
      <c r="Q240" s="6">
        <v>20</v>
      </c>
      <c r="R240" s="6">
        <v>3.5</v>
      </c>
      <c r="S240" s="6">
        <v>180401</v>
      </c>
      <c r="T240" s="6" t="str">
        <f>INDEX(医院2县区2人!$D$2:$D$1048576,MATCH(L240,医院2县区2人!$A$2:$A$1048576,0))</f>
        <v>201602151421097</v>
      </c>
      <c r="W240" s="6" t="str">
        <f t="shared" si="9"/>
        <v xml:space="preserve">泻利停/颠茄磺苄啶片0.48g*10片 </v>
      </c>
      <c r="X240" s="6" t="s">
        <v>2890</v>
      </c>
    </row>
    <row r="241" spans="1:24" x14ac:dyDescent="0.15">
      <c r="A241" s="7" t="str">
        <f t="shared" si="10"/>
        <v>201806</v>
      </c>
      <c r="C241" s="6" t="str">
        <f>INDEX(工厂基础数据!$A$2:$A$1024,MATCH(X241,工厂基础数据!$D$2:$D$1024,0))</f>
        <v>02025767</v>
      </c>
      <c r="E241" s="6" t="str">
        <f>INDEX(工厂基础数据!$B$2:$B$1024,MATCH(X241,工厂基础数据!$D$2:$D$1024,0))</f>
        <v>滨州市仁信医药有限公司</v>
      </c>
      <c r="F241" s="6">
        <f>INDEX(商业2转码!$B$2:$B$10000,MATCH(E241,商业2转码!$A$2:$A$10000,0))</f>
        <v>0</v>
      </c>
      <c r="G241" s="6" t="str">
        <f>INDEX(品种2编码!$A$2:$A$1048576,MATCH(W241,品种2编码!$D$2:$D$1048576,0))</f>
        <v>0020020020ZYLC0010</v>
      </c>
      <c r="H241" s="6" t="s">
        <v>1877</v>
      </c>
      <c r="I241" s="6" t="s">
        <v>1878</v>
      </c>
      <c r="J241" s="6" t="s">
        <v>3036</v>
      </c>
      <c r="L241" s="6" t="s">
        <v>2229</v>
      </c>
      <c r="M241" s="6">
        <f>INDEX(医院2县区2人!$B$2:$B$1048576,MATCH(L241,医院2县区2人!$A$2:$A$1048576,0))</f>
        <v>4</v>
      </c>
      <c r="N241" s="6" t="str">
        <f>INDEX(医院2县区2人!$C$2:$C$1048576,MATCH(L241,医院2县区2人!$A$2:$A$1048576,0))</f>
        <v>1853</v>
      </c>
      <c r="P241" s="7">
        <v>43255.75880787037</v>
      </c>
      <c r="Q241" s="6">
        <v>10</v>
      </c>
      <c r="R241" s="6">
        <v>3.5</v>
      </c>
      <c r="S241" s="6">
        <v>180401</v>
      </c>
      <c r="T241" s="6" t="str">
        <f>INDEX(医院2县区2人!$D$2:$D$1048576,MATCH(L241,医院2县区2人!$A$2:$A$1048576,0))</f>
        <v>201602151421097</v>
      </c>
      <c r="W241" s="6" t="str">
        <f t="shared" si="9"/>
        <v xml:space="preserve">泻利停/颠茄磺苄啶片0.48g*10片 </v>
      </c>
      <c r="X241" s="6" t="s">
        <v>2890</v>
      </c>
    </row>
    <row r="242" spans="1:24" x14ac:dyDescent="0.15">
      <c r="A242" s="7" t="str">
        <f t="shared" si="10"/>
        <v>201806</v>
      </c>
      <c r="C242" s="6" t="str">
        <f>INDEX(工厂基础数据!$A$2:$A$1024,MATCH(X242,工厂基础数据!$D$2:$D$1024,0))</f>
        <v>02025767</v>
      </c>
      <c r="E242" s="6" t="str">
        <f>INDEX(工厂基础数据!$B$2:$B$1024,MATCH(X242,工厂基础数据!$D$2:$D$1024,0))</f>
        <v>滨州市仁信医药有限公司</v>
      </c>
      <c r="F242" s="6">
        <f>INDEX(商业2转码!$B$2:$B$10000,MATCH(E242,商业2转码!$A$2:$A$10000,0))</f>
        <v>0</v>
      </c>
      <c r="G242" s="6" t="str">
        <f>INDEX(品种2编码!$A$2:$A$1048576,MATCH(W242,品种2编码!$D$2:$D$1048576,0))</f>
        <v>0020030020SJSC0004</v>
      </c>
      <c r="H242" s="6" t="s">
        <v>1907</v>
      </c>
      <c r="I242" s="6" t="s">
        <v>1871</v>
      </c>
      <c r="J242" s="6" t="s">
        <v>3045</v>
      </c>
      <c r="L242" s="6" t="s">
        <v>2229</v>
      </c>
      <c r="M242" s="6">
        <f>INDEX(医院2县区2人!$B$2:$B$1048576,MATCH(L242,医院2县区2人!$A$2:$A$1048576,0))</f>
        <v>4</v>
      </c>
      <c r="N242" s="6" t="str">
        <f>INDEX(医院2县区2人!$C$2:$C$1048576,MATCH(L242,医院2县区2人!$A$2:$A$1048576,0))</f>
        <v>1853</v>
      </c>
      <c r="P242" s="7">
        <v>43255.75880787037</v>
      </c>
      <c r="Q242" s="6">
        <v>5</v>
      </c>
      <c r="R242" s="6">
        <v>12.5</v>
      </c>
      <c r="S242" s="6">
        <v>1803006</v>
      </c>
      <c r="T242" s="6" t="str">
        <f>INDEX(医院2县区2人!$D$2:$D$1048576,MATCH(L242,医院2县区2人!$A$2:$A$1048576,0))</f>
        <v>201602151421097</v>
      </c>
      <c r="W242" s="6" t="str">
        <f t="shared" si="9"/>
        <v>胃必治/复方铝酸铋片50片</v>
      </c>
      <c r="X242" s="6" t="s">
        <v>2890</v>
      </c>
    </row>
    <row r="243" spans="1:24" x14ac:dyDescent="0.15">
      <c r="A243" s="7" t="str">
        <f t="shared" si="10"/>
        <v>201806</v>
      </c>
      <c r="C243" s="6" t="str">
        <f>INDEX(工厂基础数据!$A$2:$A$1024,MATCH(X243,工厂基础数据!$D$2:$D$1024,0))</f>
        <v>02025767</v>
      </c>
      <c r="E243" s="6" t="str">
        <f>INDEX(工厂基础数据!$B$2:$B$1024,MATCH(X243,工厂基础数据!$D$2:$D$1024,0))</f>
        <v>滨州市仁信医药有限公司</v>
      </c>
      <c r="F243" s="6">
        <f>INDEX(商业2转码!$B$2:$B$10000,MATCH(E243,商业2转码!$A$2:$A$10000,0))</f>
        <v>0</v>
      </c>
      <c r="G243" s="6" t="str">
        <f>INDEX(品种2编码!$A$2:$A$1048576,MATCH(W243,品种2编码!$D$2:$D$1048576,0))</f>
        <v>0020030020SJSC0004</v>
      </c>
      <c r="H243" s="6" t="s">
        <v>1907</v>
      </c>
      <c r="I243" s="6" t="s">
        <v>1871</v>
      </c>
      <c r="J243" s="6" t="s">
        <v>3045</v>
      </c>
      <c r="L243" s="6" t="s">
        <v>2229</v>
      </c>
      <c r="M243" s="6">
        <f>INDEX(医院2县区2人!$B$2:$B$1048576,MATCH(L243,医院2县区2人!$A$2:$A$1048576,0))</f>
        <v>4</v>
      </c>
      <c r="N243" s="6" t="str">
        <f>INDEX(医院2县区2人!$C$2:$C$1048576,MATCH(L243,医院2县区2人!$A$2:$A$1048576,0))</f>
        <v>1853</v>
      </c>
      <c r="P243" s="7">
        <v>43255.758819444447</v>
      </c>
      <c r="Q243" s="6">
        <v>5</v>
      </c>
      <c r="R243" s="6">
        <v>12.5</v>
      </c>
      <c r="S243" s="6">
        <v>1609021</v>
      </c>
      <c r="T243" s="6" t="str">
        <f>INDEX(医院2县区2人!$D$2:$D$1048576,MATCH(L243,医院2县区2人!$A$2:$A$1048576,0))</f>
        <v>201602151421097</v>
      </c>
      <c r="W243" s="6" t="str">
        <f t="shared" si="9"/>
        <v>胃必治/复方铝酸铋片50片</v>
      </c>
      <c r="X243" s="6" t="s">
        <v>2890</v>
      </c>
    </row>
    <row r="244" spans="1:24" x14ac:dyDescent="0.15">
      <c r="A244" s="7" t="str">
        <f t="shared" si="10"/>
        <v>201806</v>
      </c>
      <c r="C244" s="6" t="str">
        <f>INDEX(工厂基础数据!$A$2:$A$1024,MATCH(X244,工厂基础数据!$D$2:$D$1024,0))</f>
        <v>02025767</v>
      </c>
      <c r="E244" s="6" t="str">
        <f>INDEX(工厂基础数据!$B$2:$B$1024,MATCH(X244,工厂基础数据!$D$2:$D$1024,0))</f>
        <v>滨州市仁信医药有限公司</v>
      </c>
      <c r="F244" s="6">
        <f>INDEX(商业2转码!$B$2:$B$10000,MATCH(E244,商业2转码!$A$2:$A$10000,0))</f>
        <v>0</v>
      </c>
      <c r="G244" s="6">
        <f>INDEX(品种2编码!$A$2:$A$1048576,MATCH(W244,品种2编码!$D$2:$D$1048576,0))</f>
        <v>0</v>
      </c>
      <c r="H244" s="6" t="s">
        <v>857</v>
      </c>
      <c r="I244" s="6" t="s">
        <v>861</v>
      </c>
      <c r="J244" s="6" t="s">
        <v>3047</v>
      </c>
      <c r="L244" s="6" t="s">
        <v>2998</v>
      </c>
      <c r="M244" s="6" t="e">
        <f>INDEX(医院2县区2人!$B$2:$B$1048576,MATCH(L244,医院2县区2人!$A$2:$A$1048576,0))</f>
        <v>#N/A</v>
      </c>
      <c r="N244" s="6" t="e">
        <f>INDEX(医院2县区2人!$C$2:$C$1048576,MATCH(L244,医院2县区2人!$A$2:$A$1048576,0))</f>
        <v>#N/A</v>
      </c>
      <c r="P244" s="7">
        <v>43256.728252314817</v>
      </c>
      <c r="Q244" s="6">
        <v>300</v>
      </c>
      <c r="R244" s="6">
        <v>9.15</v>
      </c>
      <c r="S244" s="6">
        <v>201705012</v>
      </c>
      <c r="T244" s="6" t="e">
        <f>INDEX(医院2县区2人!$D$2:$D$1048576,MATCH(L244,医院2县区2人!$A$2:$A$1048576,0))</f>
        <v>#N/A</v>
      </c>
      <c r="W244" s="6" t="str">
        <f t="shared" si="9"/>
        <v>注射用奥扎格雷钠80mg</v>
      </c>
      <c r="X244" s="6" t="s">
        <v>2890</v>
      </c>
    </row>
    <row r="245" spans="1:24" x14ac:dyDescent="0.15">
      <c r="A245" s="7" t="str">
        <f t="shared" si="10"/>
        <v>201806</v>
      </c>
      <c r="C245" s="6" t="str">
        <f>INDEX(工厂基础数据!$A$2:$A$1024,MATCH(X245,工厂基础数据!$D$2:$D$1024,0))</f>
        <v>02025767</v>
      </c>
      <c r="E245" s="6" t="str">
        <f>INDEX(工厂基础数据!$B$2:$B$1024,MATCH(X245,工厂基础数据!$D$2:$D$1024,0))</f>
        <v>滨州市仁信医药有限公司</v>
      </c>
      <c r="F245" s="6">
        <f>INDEX(商业2转码!$B$2:$B$10000,MATCH(E245,商业2转码!$A$2:$A$10000,0))</f>
        <v>0</v>
      </c>
      <c r="G245" s="6" t="str">
        <f>INDEX(品种2编码!$A$2:$A$1048576,MATCH(W245,品种2编码!$D$2:$D$1048576,0))</f>
        <v>0020020030SJMS0025</v>
      </c>
      <c r="H245" s="6" t="s">
        <v>1900</v>
      </c>
      <c r="I245" s="6" t="s">
        <v>1901</v>
      </c>
      <c r="J245" s="6" t="s">
        <v>3046</v>
      </c>
      <c r="L245" s="6" t="s">
        <v>2331</v>
      </c>
      <c r="M245" s="6">
        <f>INDEX(医院2县区2人!$B$2:$B$1048576,MATCH(L245,医院2县区2人!$A$2:$A$1048576,0))</f>
        <v>1</v>
      </c>
      <c r="N245" s="6" t="str">
        <f>INDEX(医院2县区2人!$C$2:$C$1048576,MATCH(L245,医院2县区2人!$A$2:$A$1048576,0))</f>
        <v>1853</v>
      </c>
      <c r="P245" s="7">
        <v>43255.758298611108</v>
      </c>
      <c r="Q245" s="6">
        <v>30</v>
      </c>
      <c r="R245" s="6">
        <v>7.7</v>
      </c>
      <c r="S245" s="6">
        <v>1801007</v>
      </c>
      <c r="T245" s="6" t="str">
        <f>INDEX(医院2县区2人!$D$2:$D$1048576,MATCH(L245,医院2县区2人!$A$2:$A$1048576,0))</f>
        <v>201602151421097</v>
      </c>
      <c r="W245" s="6" t="str">
        <f t="shared" si="9"/>
        <v>人工牛黄甲硝唑胶囊/牙疼安10粒*3板</v>
      </c>
      <c r="X245" s="6" t="s">
        <v>2890</v>
      </c>
    </row>
    <row r="246" spans="1:24" x14ac:dyDescent="0.15">
      <c r="A246" s="7" t="str">
        <f t="shared" si="10"/>
        <v>201806</v>
      </c>
      <c r="C246" s="6" t="str">
        <f>INDEX(工厂基础数据!$A$2:$A$1024,MATCH(X246,工厂基础数据!$D$2:$D$1024,0))</f>
        <v>02025767</v>
      </c>
      <c r="E246" s="6" t="str">
        <f>INDEX(工厂基础数据!$B$2:$B$1024,MATCH(X246,工厂基础数据!$D$2:$D$1024,0))</f>
        <v>滨州市仁信医药有限公司</v>
      </c>
      <c r="F246" s="6">
        <f>INDEX(商业2转码!$B$2:$B$10000,MATCH(E246,商业2转码!$A$2:$A$10000,0))</f>
        <v>0</v>
      </c>
      <c r="G246" s="6" t="str">
        <f>INDEX(品种2编码!$A$2:$A$1048576,MATCH(W246,品种2编码!$D$2:$D$1048576,0))</f>
        <v>0020070000ZYLC0001</v>
      </c>
      <c r="H246" s="6" t="s">
        <v>1885</v>
      </c>
      <c r="I246" s="6" t="s">
        <v>1886</v>
      </c>
      <c r="J246" s="6" t="s">
        <v>3036</v>
      </c>
      <c r="L246" s="6" t="s">
        <v>2734</v>
      </c>
      <c r="M246" s="6">
        <f>INDEX(医院2县区2人!$B$2:$B$1048576,MATCH(L246,医院2县区2人!$A$2:$A$1048576,0))</f>
        <v>2</v>
      </c>
      <c r="N246" s="6" t="str">
        <f>INDEX(医院2县区2人!$C$2:$C$1048576,MATCH(L246,医院2县区2人!$A$2:$A$1048576,0))</f>
        <v>1853</v>
      </c>
      <c r="P246" s="7">
        <v>43255.758715277778</v>
      </c>
      <c r="Q246" s="6">
        <v>5</v>
      </c>
      <c r="R246" s="6">
        <v>29</v>
      </c>
      <c r="S246" s="6">
        <v>180104</v>
      </c>
      <c r="T246" s="6" t="str">
        <f>INDEX(医院2县区2人!$D$2:$D$1048576,MATCH(L246,医院2县区2人!$A$2:$A$1048576,0))</f>
        <v>201602151421097</v>
      </c>
      <c r="W246" s="6" t="str">
        <f t="shared" si="9"/>
        <v>新盖中盖高钙片2.5g*36P</v>
      </c>
      <c r="X246" s="6" t="s">
        <v>2890</v>
      </c>
    </row>
    <row r="247" spans="1:24" x14ac:dyDescent="0.15">
      <c r="A247" s="7" t="str">
        <f t="shared" si="10"/>
        <v>201806</v>
      </c>
      <c r="C247" s="6" t="str">
        <f>INDEX(工厂基础数据!$A$2:$A$1024,MATCH(X247,工厂基础数据!$D$2:$D$1024,0))</f>
        <v>02025767</v>
      </c>
      <c r="E247" s="6" t="str">
        <f>INDEX(工厂基础数据!$B$2:$B$1024,MATCH(X247,工厂基础数据!$D$2:$D$1024,0))</f>
        <v>滨州市仁信医药有限公司</v>
      </c>
      <c r="F247" s="6">
        <f>INDEX(商业2转码!$B$2:$B$10000,MATCH(E247,商业2转码!$A$2:$A$10000,0))</f>
        <v>0</v>
      </c>
      <c r="G247" s="6" t="str">
        <f>INDEX(品种2编码!$A$2:$A$1048576,MATCH(W247,品种2编码!$D$2:$D$1048576,0))</f>
        <v>0020020030ZYZC0508</v>
      </c>
      <c r="H247" s="6" t="s">
        <v>245</v>
      </c>
      <c r="I247" s="6" t="s">
        <v>1934</v>
      </c>
      <c r="J247" s="6" t="s">
        <v>3038</v>
      </c>
      <c r="L247" s="6" t="s">
        <v>2283</v>
      </c>
      <c r="M247" s="6">
        <f>INDEX(医院2县区2人!$B$2:$B$1048576,MATCH(L247,医院2县区2人!$A$2:$A$1048576,0))</f>
        <v>4</v>
      </c>
      <c r="N247" s="6" t="str">
        <f>INDEX(医院2县区2人!$C$2:$C$1048576,MATCH(L247,医院2县区2人!$A$2:$A$1048576,0))</f>
        <v>1856</v>
      </c>
      <c r="P247" s="7">
        <v>43255.759131944447</v>
      </c>
      <c r="Q247" s="6">
        <v>5</v>
      </c>
      <c r="R247" s="6">
        <v>7.3</v>
      </c>
      <c r="S247" s="6" t="s">
        <v>3053</v>
      </c>
      <c r="T247" s="6" t="str">
        <f>INDEX(医院2县区2人!$D$2:$D$1048576,MATCH(L247,医院2县区2人!$A$2:$A$1048576,0))</f>
        <v>201602151421097</v>
      </c>
      <c r="W247" s="6" t="str">
        <f t="shared" si="9"/>
        <v>阿莫西林胶囊0.25g*20s</v>
      </c>
      <c r="X247" s="6" t="s">
        <v>2890</v>
      </c>
    </row>
    <row r="248" spans="1:24" x14ac:dyDescent="0.15">
      <c r="A248" s="7" t="str">
        <f t="shared" si="10"/>
        <v>201806</v>
      </c>
      <c r="C248" s="6" t="str">
        <f>INDEX(工厂基础数据!$A$2:$A$1024,MATCH(X248,工厂基础数据!$D$2:$D$1024,0))</f>
        <v>02025767</v>
      </c>
      <c r="E248" s="6" t="str">
        <f>INDEX(工厂基础数据!$B$2:$B$1024,MATCH(X248,工厂基础数据!$D$2:$D$1024,0))</f>
        <v>滨州市仁信医药有限公司</v>
      </c>
      <c r="F248" s="6">
        <f>INDEX(商业2转码!$B$2:$B$10000,MATCH(E248,商业2转码!$A$2:$A$10000,0))</f>
        <v>0</v>
      </c>
      <c r="G248" s="6" t="str">
        <f>INDEX(品种2编码!$A$2:$A$1048576,MATCH(W248,品种2编码!$D$2:$D$1048576,0))</f>
        <v>0020030001SJZY0006</v>
      </c>
      <c r="H248" s="6" t="s">
        <v>1888</v>
      </c>
      <c r="I248" s="6" t="s">
        <v>411</v>
      </c>
      <c r="J248" s="6" t="s">
        <v>3040</v>
      </c>
      <c r="L248" s="6" t="s">
        <v>2283</v>
      </c>
      <c r="M248" s="6">
        <f>INDEX(医院2县区2人!$B$2:$B$1048576,MATCH(L248,医院2县区2人!$A$2:$A$1048576,0))</f>
        <v>4</v>
      </c>
      <c r="N248" s="6" t="str">
        <f>INDEX(医院2县区2人!$C$2:$C$1048576,MATCH(L248,医院2县区2人!$A$2:$A$1048576,0))</f>
        <v>1856</v>
      </c>
      <c r="P248" s="7">
        <v>43255.759143518517</v>
      </c>
      <c r="Q248" s="6">
        <v>5</v>
      </c>
      <c r="R248" s="6">
        <v>25</v>
      </c>
      <c r="S248" s="6">
        <v>17071042</v>
      </c>
      <c r="T248" s="6" t="str">
        <f>INDEX(医院2县区2人!$D$2:$D$1048576,MATCH(L248,医院2县区2人!$A$2:$A$1048576,0))</f>
        <v>201602151421097</v>
      </c>
      <c r="W248" s="6" t="str">
        <f t="shared" si="9"/>
        <v>葡萄糖酸钙口服溶液（含糖）10ml*12支</v>
      </c>
      <c r="X248" s="6" t="s">
        <v>2890</v>
      </c>
    </row>
    <row r="249" spans="1:24" x14ac:dyDescent="0.15">
      <c r="A249" s="7" t="str">
        <f t="shared" si="10"/>
        <v>201806</v>
      </c>
      <c r="C249" s="6" t="str">
        <f>INDEX(工厂基础数据!$A$2:$A$1024,MATCH(X249,工厂基础数据!$D$2:$D$1024,0))</f>
        <v>02025767</v>
      </c>
      <c r="E249" s="6" t="str">
        <f>INDEX(工厂基础数据!$B$2:$B$1024,MATCH(X249,工厂基础数据!$D$2:$D$1024,0))</f>
        <v>滨州市仁信医药有限公司</v>
      </c>
      <c r="F249" s="6">
        <f>INDEX(商业2转码!$B$2:$B$10000,MATCH(E249,商业2转码!$A$2:$A$10000,0))</f>
        <v>0</v>
      </c>
      <c r="G249" s="6" t="str">
        <f>INDEX(品种2编码!$A$2:$A$1048576,MATCH(W249,品种2编码!$D$2:$D$1048576,0))</f>
        <v>0020030020ZYLC0010</v>
      </c>
      <c r="H249" s="6" t="s">
        <v>1903</v>
      </c>
      <c r="I249" s="6" t="s">
        <v>1839</v>
      </c>
      <c r="J249" s="6" t="s">
        <v>3036</v>
      </c>
      <c r="L249" s="6" t="s">
        <v>2283</v>
      </c>
      <c r="M249" s="6">
        <f>INDEX(医院2县区2人!$B$2:$B$1048576,MATCH(L249,医院2县区2人!$A$2:$A$1048576,0))</f>
        <v>4</v>
      </c>
      <c r="N249" s="6" t="str">
        <f>INDEX(医院2县区2人!$C$2:$C$1048576,MATCH(L249,医院2县区2人!$A$2:$A$1048576,0))</f>
        <v>1856</v>
      </c>
      <c r="P249" s="7">
        <v>43255.759131944447</v>
      </c>
      <c r="Q249" s="6">
        <v>5</v>
      </c>
      <c r="R249" s="6">
        <v>9</v>
      </c>
      <c r="S249" s="6">
        <v>180302</v>
      </c>
      <c r="T249" s="6" t="str">
        <f>INDEX(医院2县区2人!$D$2:$D$1048576,MATCH(L249,医院2县区2人!$A$2:$A$1048576,0))</f>
        <v>201602151421097</v>
      </c>
      <c r="W249" s="6" t="str">
        <f t="shared" si="9"/>
        <v>乳酸菌素片/为消0.4g*36片</v>
      </c>
      <c r="X249" s="6" t="s">
        <v>2890</v>
      </c>
    </row>
    <row r="250" spans="1:24" x14ac:dyDescent="0.15">
      <c r="A250" s="7" t="str">
        <f t="shared" si="10"/>
        <v>201806</v>
      </c>
      <c r="C250" s="6" t="str">
        <f>INDEX(工厂基础数据!$A$2:$A$1024,MATCH(X250,工厂基础数据!$D$2:$D$1024,0))</f>
        <v>02025767</v>
      </c>
      <c r="E250" s="6" t="str">
        <f>INDEX(工厂基础数据!$B$2:$B$1024,MATCH(X250,工厂基础数据!$D$2:$D$1024,0))</f>
        <v>滨州市仁信医药有限公司</v>
      </c>
      <c r="F250" s="6">
        <f>INDEX(商业2转码!$B$2:$B$10000,MATCH(E250,商业2转码!$A$2:$A$10000,0))</f>
        <v>0</v>
      </c>
      <c r="G250" s="6" t="str">
        <f>INDEX(品种2编码!$A$2:$A$1048576,MATCH(W250,品种2编码!$D$2:$D$1048576,0))</f>
        <v>0020020021ZYLC0015</v>
      </c>
      <c r="H250" s="6" t="s">
        <v>1926</v>
      </c>
      <c r="I250" s="6" t="s">
        <v>1927</v>
      </c>
      <c r="J250" s="6" t="s">
        <v>3036</v>
      </c>
      <c r="L250" s="6" t="s">
        <v>2442</v>
      </c>
      <c r="M250" s="6">
        <f>INDEX(医院2县区2人!$B$2:$B$1048576,MATCH(L250,医院2县区2人!$A$2:$A$1048576,0))</f>
        <v>2</v>
      </c>
      <c r="N250" s="6" t="str">
        <f>INDEX(医院2县区2人!$C$2:$C$1048576,MATCH(L250,医院2县区2人!$A$2:$A$1048576,0))</f>
        <v>1853</v>
      </c>
      <c r="P250" s="7">
        <v>43255.758333333331</v>
      </c>
      <c r="Q250" s="6">
        <v>10</v>
      </c>
      <c r="R250" s="6">
        <v>17.600000000000001</v>
      </c>
      <c r="S250" s="6">
        <v>170401</v>
      </c>
      <c r="T250" s="6" t="str">
        <f>INDEX(医院2县区2人!$D$2:$D$1048576,MATCH(L250,医院2县区2人!$A$2:$A$1048576,0))</f>
        <v>201602151421097</v>
      </c>
      <c r="W250" s="6" t="str">
        <f t="shared" si="9"/>
        <v>克拉霉素分散片/长迪0.125g*24粒</v>
      </c>
      <c r="X250" s="6" t="s">
        <v>2890</v>
      </c>
    </row>
    <row r="251" spans="1:24" x14ac:dyDescent="0.15">
      <c r="A251" s="7" t="str">
        <f t="shared" si="10"/>
        <v>201806</v>
      </c>
      <c r="C251" s="6" t="str">
        <f>INDEX(工厂基础数据!$A$2:$A$1024,MATCH(X251,工厂基础数据!$D$2:$D$1024,0))</f>
        <v>02025767</v>
      </c>
      <c r="E251" s="6" t="str">
        <f>INDEX(工厂基础数据!$B$2:$B$1024,MATCH(X251,工厂基础数据!$D$2:$D$1024,0))</f>
        <v>滨州市仁信医药有限公司</v>
      </c>
      <c r="F251" s="6">
        <f>INDEX(商业2转码!$B$2:$B$10000,MATCH(E251,商业2转码!$A$2:$A$10000,0))</f>
        <v>0</v>
      </c>
      <c r="G251" s="6" t="str">
        <f>INDEX(品种2编码!$A$2:$A$1048576,MATCH(W251,品种2编码!$D$2:$D$1048576,0))</f>
        <v>0020030020SJSC0014</v>
      </c>
      <c r="H251" s="6" t="s">
        <v>677</v>
      </c>
      <c r="I251" s="6" t="s">
        <v>1882</v>
      </c>
      <c r="J251" s="6" t="s">
        <v>3045</v>
      </c>
      <c r="L251" s="6" t="s">
        <v>2768</v>
      </c>
      <c r="M251" s="6">
        <f>INDEX(医院2县区2人!$B$2:$B$1048576,MATCH(L251,医院2县区2人!$A$2:$A$1048576,0))</f>
        <v>2</v>
      </c>
      <c r="N251" s="6" t="str">
        <f>INDEX(医院2县区2人!$C$2:$C$1048576,MATCH(L251,医院2县区2人!$A$2:$A$1048576,0))</f>
        <v>1855</v>
      </c>
      <c r="P251" s="7">
        <v>43255.758344907408</v>
      </c>
      <c r="Q251" s="6">
        <v>10</v>
      </c>
      <c r="R251" s="6">
        <v>9.8000000000000007</v>
      </c>
      <c r="S251" s="6">
        <v>1707002</v>
      </c>
      <c r="T251" s="6" t="str">
        <f>INDEX(医院2县区2人!$D$2:$D$1048576,MATCH(L251,医院2县区2人!$A$2:$A$1048576,0))</f>
        <v>201602151421097</v>
      </c>
      <c r="W251" s="6" t="str">
        <f t="shared" si="9"/>
        <v>维D2磷酸氢钙片60片</v>
      </c>
      <c r="X251" s="6" t="s">
        <v>2890</v>
      </c>
    </row>
    <row r="252" spans="1:24" x14ac:dyDescent="0.15">
      <c r="A252" s="7" t="str">
        <f t="shared" si="10"/>
        <v>201806</v>
      </c>
      <c r="C252" s="6" t="str">
        <f>INDEX(工厂基础数据!$A$2:$A$1024,MATCH(X252,工厂基础数据!$D$2:$D$1024,0))</f>
        <v>02025767</v>
      </c>
      <c r="E252" s="6" t="str">
        <f>INDEX(工厂基础数据!$B$2:$B$1024,MATCH(X252,工厂基础数据!$D$2:$D$1024,0))</f>
        <v>滨州市仁信医药有限公司</v>
      </c>
      <c r="F252" s="6">
        <f>INDEX(商业2转码!$B$2:$B$10000,MATCH(E252,商业2转码!$A$2:$A$10000,0))</f>
        <v>0</v>
      </c>
      <c r="G252" s="6" t="str">
        <f>INDEX(品种2编码!$A$2:$A$1048576,MATCH(W252,品种2编码!$D$2:$D$1048576,0))</f>
        <v>0020020020ZYLC0010</v>
      </c>
      <c r="H252" s="6" t="s">
        <v>1877</v>
      </c>
      <c r="I252" s="6" t="s">
        <v>1878</v>
      </c>
      <c r="J252" s="6" t="s">
        <v>3036</v>
      </c>
      <c r="L252" s="6" t="s">
        <v>2999</v>
      </c>
      <c r="M252" s="6" t="e">
        <f>INDEX(医院2县区2人!$B$2:$B$1048576,MATCH(L252,医院2县区2人!$A$2:$A$1048576,0))</f>
        <v>#N/A</v>
      </c>
      <c r="N252" s="6" t="e">
        <f>INDEX(医院2县区2人!$C$2:$C$1048576,MATCH(L252,医院2县区2人!$A$2:$A$1048576,0))</f>
        <v>#N/A</v>
      </c>
      <c r="P252" s="7">
        <v>43257.770555555559</v>
      </c>
      <c r="Q252" s="6">
        <v>50</v>
      </c>
      <c r="R252" s="6">
        <v>3.5</v>
      </c>
      <c r="S252" s="6">
        <v>180401</v>
      </c>
      <c r="T252" s="6" t="e">
        <f>INDEX(医院2县区2人!$D$2:$D$1048576,MATCH(L252,医院2县区2人!$A$2:$A$1048576,0))</f>
        <v>#N/A</v>
      </c>
      <c r="W252" s="6" t="str">
        <f t="shared" si="9"/>
        <v xml:space="preserve">泻利停/颠茄磺苄啶片0.48g*10片 </v>
      </c>
      <c r="X252" s="6" t="s">
        <v>2890</v>
      </c>
    </row>
    <row r="253" spans="1:24" x14ac:dyDescent="0.15">
      <c r="A253" s="7" t="str">
        <f t="shared" si="10"/>
        <v>201806</v>
      </c>
      <c r="C253" s="6" t="str">
        <f>INDEX(工厂基础数据!$A$2:$A$1024,MATCH(X253,工厂基础数据!$D$2:$D$1024,0))</f>
        <v>02025767</v>
      </c>
      <c r="E253" s="6" t="str">
        <f>INDEX(工厂基础数据!$B$2:$B$1024,MATCH(X253,工厂基础数据!$D$2:$D$1024,0))</f>
        <v>滨州市仁信医药有限公司</v>
      </c>
      <c r="F253" s="6">
        <f>INDEX(商业2转码!$B$2:$B$10000,MATCH(E253,商业2转码!$A$2:$A$10000,0))</f>
        <v>0</v>
      </c>
      <c r="G253" s="6" t="str">
        <f>INDEX(品种2编码!$A$2:$A$1048576,MATCH(W253,品种2编码!$D$2:$D$1048576,0))</f>
        <v>0020050090SJZY0001</v>
      </c>
      <c r="H253" s="6" t="s">
        <v>630</v>
      </c>
      <c r="I253" s="6" t="s">
        <v>1850</v>
      </c>
      <c r="J253" s="6" t="s">
        <v>3040</v>
      </c>
      <c r="L253" s="6" t="s">
        <v>2265</v>
      </c>
      <c r="M253" s="6">
        <f>INDEX(医院2县区2人!$B$2:$B$1048576,MATCH(L253,医院2县区2人!$A$2:$A$1048576,0))</f>
        <v>2</v>
      </c>
      <c r="N253" s="6" t="str">
        <f>INDEX(医院2县区2人!$C$2:$C$1048576,MATCH(L253,医院2县区2人!$A$2:$A$1048576,0))</f>
        <v>1855</v>
      </c>
      <c r="P253" s="7">
        <v>43255.758449074077</v>
      </c>
      <c r="Q253" s="6">
        <v>5</v>
      </c>
      <c r="R253" s="6">
        <v>16.5</v>
      </c>
      <c r="S253" s="6">
        <v>17062821</v>
      </c>
      <c r="T253" s="6" t="str">
        <f>INDEX(医院2县区2人!$D$2:$D$1048576,MATCH(L253,医院2县区2人!$A$2:$A$1048576,0))</f>
        <v>201602151421097</v>
      </c>
      <c r="W253" s="6" t="str">
        <f t="shared" si="9"/>
        <v>双黄连口服液10ml*10支</v>
      </c>
      <c r="X253" s="6" t="s">
        <v>2890</v>
      </c>
    </row>
    <row r="254" spans="1:24" x14ac:dyDescent="0.15">
      <c r="A254" s="7" t="str">
        <f t="shared" si="10"/>
        <v>201806</v>
      </c>
      <c r="C254" s="6" t="str">
        <f>INDEX(工厂基础数据!$A$2:$A$1024,MATCH(X254,工厂基础数据!$D$2:$D$1024,0))</f>
        <v>02025767</v>
      </c>
      <c r="E254" s="6" t="str">
        <f>INDEX(工厂基础数据!$B$2:$B$1024,MATCH(X254,工厂基础数据!$D$2:$D$1024,0))</f>
        <v>滨州市仁信医药有限公司</v>
      </c>
      <c r="F254" s="6">
        <f>INDEX(商业2转码!$B$2:$B$10000,MATCH(E254,商业2转码!$A$2:$A$10000,0))</f>
        <v>0</v>
      </c>
      <c r="G254" s="6" t="str">
        <f>INDEX(品种2编码!$A$2:$A$1048576,MATCH(W254,品种2编码!$D$2:$D$1048576,0))</f>
        <v>0020020021ZYLC0011</v>
      </c>
      <c r="H254" s="6" t="s">
        <v>1890</v>
      </c>
      <c r="I254" s="6" t="s">
        <v>1891</v>
      </c>
      <c r="J254" s="6" t="s">
        <v>3036</v>
      </c>
      <c r="L254" s="6" t="s">
        <v>2265</v>
      </c>
      <c r="M254" s="6">
        <f>INDEX(医院2县区2人!$B$2:$B$1048576,MATCH(L254,医院2县区2人!$A$2:$A$1048576,0))</f>
        <v>2</v>
      </c>
      <c r="N254" s="6" t="str">
        <f>INDEX(医院2县区2人!$C$2:$C$1048576,MATCH(L254,医院2县区2人!$A$2:$A$1048576,0))</f>
        <v>1855</v>
      </c>
      <c r="P254" s="7">
        <v>43255.758356481485</v>
      </c>
      <c r="Q254" s="6">
        <v>5</v>
      </c>
      <c r="R254" s="6">
        <v>6</v>
      </c>
      <c r="S254" s="6">
        <v>161001</v>
      </c>
      <c r="T254" s="6" t="str">
        <f>INDEX(医院2县区2人!$D$2:$D$1048576,MATCH(L254,医院2县区2人!$A$2:$A$1048576,0))</f>
        <v>201602151421097</v>
      </c>
      <c r="W254" s="6" t="str">
        <f t="shared" si="9"/>
        <v>严迪/罗红霉素分散片150mg*12片</v>
      </c>
      <c r="X254" s="6" t="s">
        <v>2890</v>
      </c>
    </row>
    <row r="255" spans="1:24" x14ac:dyDescent="0.15">
      <c r="A255" s="7" t="str">
        <f t="shared" si="10"/>
        <v>201806</v>
      </c>
      <c r="C255" s="6" t="str">
        <f>INDEX(工厂基础数据!$A$2:$A$1024,MATCH(X255,工厂基础数据!$D$2:$D$1024,0))</f>
        <v>02025767</v>
      </c>
      <c r="E255" s="6" t="str">
        <f>INDEX(工厂基础数据!$B$2:$B$1024,MATCH(X255,工厂基础数据!$D$2:$D$1024,0))</f>
        <v>滨州市仁信医药有限公司</v>
      </c>
      <c r="F255" s="6">
        <f>INDEX(商业2转码!$B$2:$B$10000,MATCH(E255,商业2转码!$A$2:$A$10000,0))</f>
        <v>0</v>
      </c>
      <c r="G255" s="6" t="str">
        <f>INDEX(品种2编码!$A$2:$A$1048576,MATCH(W255,品种2编码!$D$2:$D$1048576,0))</f>
        <v>0020030020ZYLC0005</v>
      </c>
      <c r="H255" s="6" t="s">
        <v>705</v>
      </c>
      <c r="I255" s="6" t="s">
        <v>1908</v>
      </c>
      <c r="J255" s="6" t="s">
        <v>3036</v>
      </c>
      <c r="L255" s="6" t="s">
        <v>2265</v>
      </c>
      <c r="M255" s="6">
        <f>INDEX(医院2县区2人!$B$2:$B$1048576,MATCH(L255,医院2县区2人!$A$2:$A$1048576,0))</f>
        <v>2</v>
      </c>
      <c r="N255" s="6" t="str">
        <f>INDEX(医院2县区2人!$C$2:$C$1048576,MATCH(L255,医院2县区2人!$A$2:$A$1048576,0))</f>
        <v>1855</v>
      </c>
      <c r="P255" s="7">
        <v>43255.758668981478</v>
      </c>
      <c r="Q255" s="6">
        <v>5</v>
      </c>
      <c r="R255" s="6">
        <v>6</v>
      </c>
      <c r="S255" s="6">
        <v>170601</v>
      </c>
      <c r="T255" s="6" t="str">
        <f>INDEX(医院2县区2人!$D$2:$D$1048576,MATCH(L255,医院2县区2人!$A$2:$A$1048576,0))</f>
        <v>201602151421097</v>
      </c>
      <c r="W255" s="6" t="str">
        <f t="shared" si="9"/>
        <v>小儿氨酚黄那敏片0.125g*20片</v>
      </c>
      <c r="X255" s="6" t="s">
        <v>2890</v>
      </c>
    </row>
    <row r="256" spans="1:24" x14ac:dyDescent="0.15">
      <c r="A256" s="7" t="str">
        <f t="shared" si="10"/>
        <v>201806</v>
      </c>
      <c r="C256" s="6" t="str">
        <f>INDEX(工厂基础数据!$A$2:$A$1024,MATCH(X256,工厂基础数据!$D$2:$D$1024,0))</f>
        <v>02025767</v>
      </c>
      <c r="E256" s="6" t="str">
        <f>INDEX(工厂基础数据!$B$2:$B$1024,MATCH(X256,工厂基础数据!$D$2:$D$1024,0))</f>
        <v>滨州市仁信医药有限公司</v>
      </c>
      <c r="F256" s="6">
        <f>INDEX(商业2转码!$B$2:$B$10000,MATCH(E256,商业2转码!$A$2:$A$10000,0))</f>
        <v>0</v>
      </c>
      <c r="G256" s="6" t="str">
        <f>INDEX(品种2编码!$A$2:$A$1048576,MATCH(W256,品种2编码!$D$2:$D$1048576,0))</f>
        <v>0020030040SHYT0010</v>
      </c>
      <c r="H256" s="6" t="s">
        <v>317</v>
      </c>
      <c r="I256" s="6" t="s">
        <v>1848</v>
      </c>
      <c r="J256" s="6" t="s">
        <v>3037</v>
      </c>
      <c r="L256" s="6" t="s">
        <v>2216</v>
      </c>
      <c r="M256" s="6">
        <f>INDEX(医院2县区2人!$B$2:$B$1048576,MATCH(L256,医院2县区2人!$A$2:$A$1048576,0))</f>
        <v>2</v>
      </c>
      <c r="N256" s="6" t="str">
        <f>INDEX(医院2县区2人!$C$2:$C$1048576,MATCH(L256,医院2县区2人!$A$2:$A$1048576,0))</f>
        <v>1856</v>
      </c>
      <c r="P256" s="7">
        <v>43255.75854166667</v>
      </c>
      <c r="Q256" s="6">
        <v>10</v>
      </c>
      <c r="R256" s="6">
        <v>12.5</v>
      </c>
      <c r="S256" s="6">
        <v>1801608</v>
      </c>
      <c r="T256" s="6" t="str">
        <f>INDEX(医院2县区2人!$D$2:$D$1048576,MATCH(L256,医院2县区2人!$A$2:$A$1048576,0))</f>
        <v>201602151421097</v>
      </c>
      <c r="W256" s="6" t="str">
        <f t="shared" si="9"/>
        <v>布洛芬颗粒0.2g*12袋</v>
      </c>
      <c r="X256" s="6" t="s">
        <v>2890</v>
      </c>
    </row>
    <row r="257" spans="1:24" x14ac:dyDescent="0.15">
      <c r="A257" s="7" t="str">
        <f t="shared" si="10"/>
        <v>201806</v>
      </c>
      <c r="C257" s="6" t="str">
        <f>INDEX(工厂基础数据!$A$2:$A$1024,MATCH(X257,工厂基础数据!$D$2:$D$1024,0))</f>
        <v>02025767</v>
      </c>
      <c r="E257" s="6" t="str">
        <f>INDEX(工厂基础数据!$B$2:$B$1024,MATCH(X257,工厂基础数据!$D$2:$D$1024,0))</f>
        <v>滨州市仁信医药有限公司</v>
      </c>
      <c r="F257" s="6">
        <f>INDEX(商业2转码!$B$2:$B$10000,MATCH(E257,商业2转码!$A$2:$A$10000,0))</f>
        <v>0</v>
      </c>
      <c r="G257" s="6" t="str">
        <f>INDEX(品种2编码!$A$2:$A$1048576,MATCH(W257,品种2编码!$D$2:$D$1048576,0))</f>
        <v>0020020021ZYLC0011</v>
      </c>
      <c r="H257" s="6" t="s">
        <v>1890</v>
      </c>
      <c r="I257" s="6" t="s">
        <v>1891</v>
      </c>
      <c r="J257" s="6" t="s">
        <v>3036</v>
      </c>
      <c r="L257" s="6" t="s">
        <v>2222</v>
      </c>
      <c r="M257" s="6">
        <f>INDEX(医院2县区2人!$B$2:$B$1048576,MATCH(L257,医院2县区2人!$A$2:$A$1048576,0))</f>
        <v>2</v>
      </c>
      <c r="N257" s="6" t="str">
        <f>INDEX(医院2县区2人!$C$2:$C$1048576,MATCH(L257,医院2县区2人!$A$2:$A$1048576,0))</f>
        <v>1855</v>
      </c>
      <c r="P257" s="7">
        <v>43255.758564814816</v>
      </c>
      <c r="Q257" s="6">
        <v>20</v>
      </c>
      <c r="R257" s="6">
        <v>6</v>
      </c>
      <c r="S257" s="6">
        <v>161001</v>
      </c>
      <c r="T257" s="6" t="str">
        <f>INDEX(医院2县区2人!$D$2:$D$1048576,MATCH(L257,医院2县区2人!$A$2:$A$1048576,0))</f>
        <v>201602151421097</v>
      </c>
      <c r="W257" s="6" t="str">
        <f t="shared" si="9"/>
        <v>严迪/罗红霉素分散片150mg*12片</v>
      </c>
      <c r="X257" s="6" t="s">
        <v>2890</v>
      </c>
    </row>
    <row r="258" spans="1:24" x14ac:dyDescent="0.15">
      <c r="A258" s="7" t="str">
        <f t="shared" si="10"/>
        <v>201806</v>
      </c>
      <c r="C258" s="6" t="str">
        <f>INDEX(工厂基础数据!$A$2:$A$1024,MATCH(X258,工厂基础数据!$D$2:$D$1024,0))</f>
        <v>02025767</v>
      </c>
      <c r="E258" s="6" t="str">
        <f>INDEX(工厂基础数据!$B$2:$B$1024,MATCH(X258,工厂基础数据!$D$2:$D$1024,0))</f>
        <v>滨州市仁信医药有限公司</v>
      </c>
      <c r="F258" s="6">
        <f>INDEX(商业2转码!$B$2:$B$10000,MATCH(E258,商业2转码!$A$2:$A$10000,0))</f>
        <v>0</v>
      </c>
      <c r="G258" s="6" t="str">
        <f>INDEX(品种2编码!$A$2:$A$1048576,MATCH(W258,品种2编码!$D$2:$D$1048576,0))</f>
        <v>0020020021ZYLC0010</v>
      </c>
      <c r="H258" s="6" t="s">
        <v>469</v>
      </c>
      <c r="I258" s="6" t="s">
        <v>1916</v>
      </c>
      <c r="J258" s="6" t="s">
        <v>3036</v>
      </c>
      <c r="L258" s="6" t="s">
        <v>2222</v>
      </c>
      <c r="M258" s="6">
        <f>INDEX(医院2县区2人!$B$2:$B$1048576,MATCH(L258,医院2县区2人!$A$2:$A$1048576,0))</f>
        <v>2</v>
      </c>
      <c r="N258" s="6" t="str">
        <f>INDEX(医院2县区2人!$C$2:$C$1048576,MATCH(L258,医院2县区2人!$A$2:$A$1048576,0))</f>
        <v>1855</v>
      </c>
      <c r="P258" s="7">
        <v>43255.758564814816</v>
      </c>
      <c r="Q258" s="6">
        <v>10</v>
      </c>
      <c r="R258" s="6">
        <v>10.9</v>
      </c>
      <c r="S258" s="6">
        <v>171201</v>
      </c>
      <c r="T258" s="6" t="str">
        <f>INDEX(医院2县区2人!$D$2:$D$1048576,MATCH(L258,医院2县区2人!$A$2:$A$1048576,0))</f>
        <v>201602151421097</v>
      </c>
      <c r="W258" s="6" t="str">
        <f t="shared" si="9"/>
        <v>克拉霉素分散片0.125g*12片</v>
      </c>
      <c r="X258" s="6" t="s">
        <v>2890</v>
      </c>
    </row>
    <row r="259" spans="1:24" x14ac:dyDescent="0.15">
      <c r="A259" s="7" t="str">
        <f t="shared" si="10"/>
        <v>201806</v>
      </c>
      <c r="C259" s="6" t="str">
        <f>INDEX(工厂基础数据!$A$2:$A$1024,MATCH(X259,工厂基础数据!$D$2:$D$1024,0))</f>
        <v>02025767</v>
      </c>
      <c r="E259" s="6" t="str">
        <f>INDEX(工厂基础数据!$B$2:$B$1024,MATCH(X259,工厂基础数据!$D$2:$D$1024,0))</f>
        <v>滨州市仁信医药有限公司</v>
      </c>
      <c r="F259" s="6">
        <f>INDEX(商业2转码!$B$2:$B$10000,MATCH(E259,商业2转码!$A$2:$A$10000,0))</f>
        <v>0</v>
      </c>
      <c r="G259" s="6" t="str">
        <f>INDEX(品种2编码!$A$2:$A$1048576,MATCH(W259,品种2编码!$D$2:$D$1048576,0))</f>
        <v>0020070001ZYLC0001</v>
      </c>
      <c r="H259" s="6" t="s">
        <v>1905</v>
      </c>
      <c r="I259" s="6" t="s">
        <v>411</v>
      </c>
      <c r="J259" s="6" t="s">
        <v>3036</v>
      </c>
      <c r="L259" s="6" t="s">
        <v>2846</v>
      </c>
      <c r="M259" s="6">
        <f>INDEX(医院2县区2人!$B$2:$B$1048576,MATCH(L259,医院2县区2人!$A$2:$A$1048576,0))</f>
        <v>3</v>
      </c>
      <c r="N259" s="6" t="str">
        <f>INDEX(医院2县区2人!$C$2:$C$1048576,MATCH(L259,医院2县区2人!$A$2:$A$1048576,0))</f>
        <v>1853</v>
      </c>
      <c r="P259" s="7">
        <v>43255.758634259262</v>
      </c>
      <c r="Q259" s="6">
        <v>20</v>
      </c>
      <c r="R259" s="6">
        <v>20</v>
      </c>
      <c r="S259" s="6">
        <v>180121</v>
      </c>
      <c r="T259" s="6" t="str">
        <f>INDEX(医院2县区2人!$D$2:$D$1048576,MATCH(L259,医院2县区2人!$A$2:$A$1048576,0))</f>
        <v>201602151421097</v>
      </c>
      <c r="W259" s="6" t="str">
        <f t="shared" si="9"/>
        <v>哈药六钙锌口服液10ml*12支</v>
      </c>
      <c r="X259" s="6" t="s">
        <v>2890</v>
      </c>
    </row>
    <row r="260" spans="1:24" x14ac:dyDescent="0.15">
      <c r="A260" s="7" t="str">
        <f t="shared" si="10"/>
        <v>201806</v>
      </c>
      <c r="C260" s="6" t="str">
        <f>INDEX(工厂基础数据!$A$2:$A$1024,MATCH(X260,工厂基础数据!$D$2:$D$1024,0))</f>
        <v>02025767</v>
      </c>
      <c r="E260" s="6" t="str">
        <f>INDEX(工厂基础数据!$B$2:$B$1024,MATCH(X260,工厂基础数据!$D$2:$D$1024,0))</f>
        <v>滨州市仁信医药有限公司</v>
      </c>
      <c r="F260" s="6">
        <f>INDEX(商业2转码!$B$2:$B$10000,MATCH(E260,商业2转码!$A$2:$A$10000,0))</f>
        <v>0</v>
      </c>
      <c r="G260" s="6" t="str">
        <f>INDEX(品种2编码!$A$2:$A$1048576,MATCH(W260,品种2编码!$D$2:$D$1048576,0))</f>
        <v>0020030001SJZY0009</v>
      </c>
      <c r="H260" s="6" t="s">
        <v>555</v>
      </c>
      <c r="I260" s="6" t="s">
        <v>1889</v>
      </c>
      <c r="J260" s="6" t="s">
        <v>3039</v>
      </c>
      <c r="L260" s="6" t="s">
        <v>2846</v>
      </c>
      <c r="M260" s="6">
        <f>INDEX(医院2县区2人!$B$2:$B$1048576,MATCH(L260,医院2县区2人!$A$2:$A$1048576,0))</f>
        <v>3</v>
      </c>
      <c r="N260" s="6" t="str">
        <f>INDEX(医院2县区2人!$C$2:$C$1048576,MATCH(L260,医院2县区2人!$A$2:$A$1048576,0))</f>
        <v>1853</v>
      </c>
      <c r="P260" s="7">
        <v>43255.758634259262</v>
      </c>
      <c r="Q260" s="6">
        <v>15</v>
      </c>
      <c r="R260" s="6">
        <v>25</v>
      </c>
      <c r="S260" s="6">
        <v>18031227</v>
      </c>
      <c r="T260" s="6" t="str">
        <f>INDEX(医院2县区2人!$D$2:$D$1048576,MATCH(L260,医院2县区2人!$A$2:$A$1048576,0))</f>
        <v>201602151421097</v>
      </c>
      <c r="W260" s="6" t="str">
        <f t="shared" si="9"/>
        <v>葡萄糖酸锌口服液10ML*12支</v>
      </c>
      <c r="X260" s="6" t="s">
        <v>2890</v>
      </c>
    </row>
    <row r="261" spans="1:24" x14ac:dyDescent="0.15">
      <c r="A261" s="7" t="str">
        <f t="shared" si="10"/>
        <v>201806</v>
      </c>
      <c r="C261" s="6" t="str">
        <f>INDEX(工厂基础数据!$A$2:$A$1024,MATCH(X261,工厂基础数据!$D$2:$D$1024,0))</f>
        <v>02025767</v>
      </c>
      <c r="E261" s="6" t="str">
        <f>INDEX(工厂基础数据!$B$2:$B$1024,MATCH(X261,工厂基础数据!$D$2:$D$1024,0))</f>
        <v>滨州市仁信医药有限公司</v>
      </c>
      <c r="F261" s="6">
        <f>INDEX(商业2转码!$B$2:$B$10000,MATCH(E261,商业2转码!$A$2:$A$10000,0))</f>
        <v>0</v>
      </c>
      <c r="G261" s="6" t="str">
        <f>INDEX(品种2编码!$A$2:$A$1048576,MATCH(W261,品种2编码!$D$2:$D$1048576,0))</f>
        <v>0020030001SJZY0006</v>
      </c>
      <c r="H261" s="6" t="s">
        <v>1888</v>
      </c>
      <c r="I261" s="6" t="s">
        <v>411</v>
      </c>
      <c r="J261" s="6" t="s">
        <v>3040</v>
      </c>
      <c r="L261" s="6" t="s">
        <v>2345</v>
      </c>
      <c r="M261" s="6">
        <f>INDEX(医院2县区2人!$B$2:$B$1048576,MATCH(L261,医院2县区2人!$A$2:$A$1048576,0))</f>
        <v>1</v>
      </c>
      <c r="N261" s="6" t="str">
        <f>INDEX(医院2县区2人!$C$2:$C$1048576,MATCH(L261,医院2县区2人!$A$2:$A$1048576,0))</f>
        <v>1855</v>
      </c>
      <c r="P261" s="7">
        <v>43257.771053240744</v>
      </c>
      <c r="Q261" s="6">
        <v>10</v>
      </c>
      <c r="R261" s="6">
        <v>25</v>
      </c>
      <c r="S261" s="6">
        <v>17071042</v>
      </c>
      <c r="T261" s="6" t="str">
        <f>INDEX(医院2县区2人!$D$2:$D$1048576,MATCH(L261,医院2县区2人!$A$2:$A$1048576,0))</f>
        <v>201602151421097</v>
      </c>
      <c r="W261" s="6" t="str">
        <f t="shared" ref="W261:W324" si="11">H261&amp;I261</f>
        <v>葡萄糖酸钙口服溶液（含糖）10ml*12支</v>
      </c>
      <c r="X261" s="6" t="s">
        <v>2890</v>
      </c>
    </row>
    <row r="262" spans="1:24" x14ac:dyDescent="0.15">
      <c r="A262" s="7" t="str">
        <f t="shared" ref="A262:A325" si="12">IF(MONTH(P262)&lt;10,YEAR(P262)&amp;"0"&amp;MONTH(P262),YEAR(P262)&amp;MONTH(P262))</f>
        <v>201806</v>
      </c>
      <c r="C262" s="6" t="str">
        <f>INDEX(工厂基础数据!$A$2:$A$1024,MATCH(X262,工厂基础数据!$D$2:$D$1024,0))</f>
        <v>02025767</v>
      </c>
      <c r="E262" s="6" t="str">
        <f>INDEX(工厂基础数据!$B$2:$B$1024,MATCH(X262,工厂基础数据!$D$2:$D$1024,0))</f>
        <v>滨州市仁信医药有限公司</v>
      </c>
      <c r="F262" s="6">
        <f>INDEX(商业2转码!$B$2:$B$10000,MATCH(E262,商业2转码!$A$2:$A$10000,0))</f>
        <v>0</v>
      </c>
      <c r="G262" s="6" t="str">
        <f>INDEX(品种2编码!$A$2:$A$1048576,MATCH(W262,品种2编码!$D$2:$D$1048576,0))</f>
        <v>0020030001SJZY0009</v>
      </c>
      <c r="H262" s="6" t="s">
        <v>555</v>
      </c>
      <c r="I262" s="6" t="s">
        <v>1889</v>
      </c>
      <c r="J262" s="6" t="s">
        <v>3039</v>
      </c>
      <c r="L262" s="6" t="s">
        <v>2345</v>
      </c>
      <c r="M262" s="6">
        <f>INDEX(医院2县区2人!$B$2:$B$1048576,MATCH(L262,医院2县区2人!$A$2:$A$1048576,0))</f>
        <v>1</v>
      </c>
      <c r="N262" s="6" t="str">
        <f>INDEX(医院2县区2人!$C$2:$C$1048576,MATCH(L262,医院2县区2人!$A$2:$A$1048576,0))</f>
        <v>1855</v>
      </c>
      <c r="P262" s="7">
        <v>43257.771053240744</v>
      </c>
      <c r="Q262" s="6">
        <v>10</v>
      </c>
      <c r="R262" s="6">
        <v>25</v>
      </c>
      <c r="S262" s="6">
        <v>18031227</v>
      </c>
      <c r="T262" s="6" t="str">
        <f>INDEX(医院2县区2人!$D$2:$D$1048576,MATCH(L262,医院2县区2人!$A$2:$A$1048576,0))</f>
        <v>201602151421097</v>
      </c>
      <c r="W262" s="6" t="str">
        <f t="shared" si="11"/>
        <v>葡萄糖酸锌口服液10ML*12支</v>
      </c>
      <c r="X262" s="6" t="s">
        <v>2890</v>
      </c>
    </row>
    <row r="263" spans="1:24" x14ac:dyDescent="0.15">
      <c r="A263" s="7" t="str">
        <f t="shared" si="12"/>
        <v>201806</v>
      </c>
      <c r="C263" s="6" t="str">
        <f>INDEX(工厂基础数据!$A$2:$A$1024,MATCH(X263,工厂基础数据!$D$2:$D$1024,0))</f>
        <v>02025767</v>
      </c>
      <c r="E263" s="6" t="str">
        <f>INDEX(工厂基础数据!$B$2:$B$1024,MATCH(X263,工厂基础数据!$D$2:$D$1024,0))</f>
        <v>滨州市仁信医药有限公司</v>
      </c>
      <c r="F263" s="6">
        <f>INDEX(商业2转码!$B$2:$B$10000,MATCH(E263,商业2转码!$A$2:$A$10000,0))</f>
        <v>0</v>
      </c>
      <c r="G263" s="6" t="str">
        <f>INDEX(品种2编码!$A$2:$A$1048576,MATCH(W263,品种2编码!$D$2:$D$1048576,0))</f>
        <v>0020070000ZYLC0003</v>
      </c>
      <c r="H263" s="6" t="s">
        <v>722</v>
      </c>
      <c r="I263" s="6" t="s">
        <v>1909</v>
      </c>
      <c r="J263" s="6" t="s">
        <v>3036</v>
      </c>
      <c r="L263" s="6" t="s">
        <v>2315</v>
      </c>
      <c r="M263" s="6">
        <f>INDEX(医院2县区2人!$B$2:$B$1048576,MATCH(L263,医院2县区2人!$A$2:$A$1048576,0))</f>
        <v>1</v>
      </c>
      <c r="N263" s="6" t="str">
        <f>INDEX(医院2县区2人!$C$2:$C$1048576,MATCH(L263,医院2县区2人!$A$2:$A$1048576,0))</f>
        <v>1859</v>
      </c>
      <c r="P263" s="7">
        <v>43256.728518518517</v>
      </c>
      <c r="Q263" s="6">
        <v>5</v>
      </c>
      <c r="R263" s="6">
        <v>24</v>
      </c>
      <c r="S263" s="6">
        <v>180107</v>
      </c>
      <c r="T263" s="6" t="str">
        <f>INDEX(医院2县区2人!$D$2:$D$1048576,MATCH(L263,医院2县区2人!$A$2:$A$1048576,0))</f>
        <v>201602151421097</v>
      </c>
      <c r="W263" s="6" t="str">
        <f t="shared" si="11"/>
        <v>新盖中盖牌儿童钙片1.75g*36p</v>
      </c>
      <c r="X263" s="6" t="s">
        <v>2890</v>
      </c>
    </row>
    <row r="264" spans="1:24" x14ac:dyDescent="0.15">
      <c r="A264" s="7" t="str">
        <f t="shared" si="12"/>
        <v>201806</v>
      </c>
      <c r="C264" s="6" t="str">
        <f>INDEX(工厂基础数据!$A$2:$A$1024,MATCH(X264,工厂基础数据!$D$2:$D$1024,0))</f>
        <v>02025767</v>
      </c>
      <c r="E264" s="6" t="str">
        <f>INDEX(工厂基础数据!$B$2:$B$1024,MATCH(X264,工厂基础数据!$D$2:$D$1024,0))</f>
        <v>滨州市仁信医药有限公司</v>
      </c>
      <c r="F264" s="6">
        <f>INDEX(商业2转码!$B$2:$B$10000,MATCH(E264,商业2转码!$A$2:$A$10000,0))</f>
        <v>0</v>
      </c>
      <c r="G264" s="6" t="str">
        <f>INDEX(品种2编码!$A$2:$A$1048576,MATCH(W264,品种2编码!$D$2:$D$1048576,0))</f>
        <v>0020070001ZYZC0383</v>
      </c>
      <c r="H264" s="6" t="s">
        <v>1849</v>
      </c>
      <c r="I264" s="6" t="s">
        <v>1850</v>
      </c>
      <c r="J264" s="6" t="s">
        <v>3038</v>
      </c>
      <c r="L264" s="6" t="s">
        <v>2315</v>
      </c>
      <c r="M264" s="6">
        <f>INDEX(医院2县区2人!$B$2:$B$1048576,MATCH(L264,医院2县区2人!$A$2:$A$1048576,0))</f>
        <v>1</v>
      </c>
      <c r="N264" s="6" t="str">
        <f>INDEX(医院2县区2人!$C$2:$C$1048576,MATCH(L264,医院2县区2人!$A$2:$A$1048576,0))</f>
        <v>1859</v>
      </c>
      <c r="P264" s="7">
        <v>43256.728518518517</v>
      </c>
      <c r="Q264" s="6">
        <v>10</v>
      </c>
      <c r="R264" s="6">
        <v>15</v>
      </c>
      <c r="S264" s="6">
        <v>1801107</v>
      </c>
      <c r="T264" s="6" t="str">
        <f>INDEX(医院2县区2人!$D$2:$D$1048576,MATCH(L264,医院2县区2人!$A$2:$A$1048576,0))</f>
        <v>201602151421097</v>
      </c>
      <c r="W264" s="6" t="str">
        <f t="shared" si="11"/>
        <v>哈药牌钙铁锌口服液10ml*10支</v>
      </c>
      <c r="X264" s="6" t="s">
        <v>2890</v>
      </c>
    </row>
    <row r="265" spans="1:24" x14ac:dyDescent="0.15">
      <c r="A265" s="7" t="str">
        <f t="shared" si="12"/>
        <v>201806</v>
      </c>
      <c r="C265" s="6" t="str">
        <f>INDEX(工厂基础数据!$A$2:$A$1024,MATCH(X265,工厂基础数据!$D$2:$D$1024,0))</f>
        <v>02025767</v>
      </c>
      <c r="E265" s="6" t="str">
        <f>INDEX(工厂基础数据!$B$2:$B$1024,MATCH(X265,工厂基础数据!$D$2:$D$1024,0))</f>
        <v>滨州市仁信医药有限公司</v>
      </c>
      <c r="F265" s="6">
        <f>INDEX(商业2转码!$B$2:$B$10000,MATCH(E265,商业2转码!$A$2:$A$10000,0))</f>
        <v>0</v>
      </c>
      <c r="G265" s="6" t="str">
        <f>INDEX(品种2编码!$A$2:$A$1048576,MATCH(W265,品种2编码!$D$2:$D$1048576,0))</f>
        <v>0020070000ZYLC0001</v>
      </c>
      <c r="H265" s="6" t="s">
        <v>1885</v>
      </c>
      <c r="I265" s="6" t="s">
        <v>1886</v>
      </c>
      <c r="J265" s="6" t="s">
        <v>3036</v>
      </c>
      <c r="L265" s="6" t="s">
        <v>2351</v>
      </c>
      <c r="M265" s="6">
        <f>INDEX(医院2县区2人!$B$2:$B$1048576,MATCH(L265,医院2县区2人!$A$2:$A$1048576,0))</f>
        <v>2</v>
      </c>
      <c r="N265" s="6" t="str">
        <f>INDEX(医院2县区2人!$C$2:$C$1048576,MATCH(L265,医院2县区2人!$A$2:$A$1048576,0))</f>
        <v>1855</v>
      </c>
      <c r="P265" s="7">
        <v>43256.728425925925</v>
      </c>
      <c r="Q265" s="6">
        <v>5</v>
      </c>
      <c r="R265" s="6">
        <v>29</v>
      </c>
      <c r="S265" s="6">
        <v>180104</v>
      </c>
      <c r="T265" s="6" t="str">
        <f>INDEX(医院2县区2人!$D$2:$D$1048576,MATCH(L265,医院2县区2人!$A$2:$A$1048576,0))</f>
        <v>201602151421097</v>
      </c>
      <c r="W265" s="6" t="str">
        <f t="shared" si="11"/>
        <v>新盖中盖高钙片2.5g*36P</v>
      </c>
      <c r="X265" s="6" t="s">
        <v>2890</v>
      </c>
    </row>
    <row r="266" spans="1:24" x14ac:dyDescent="0.15">
      <c r="A266" s="7" t="str">
        <f t="shared" si="12"/>
        <v>201806</v>
      </c>
      <c r="C266" s="6" t="str">
        <f>INDEX(工厂基础数据!$A$2:$A$1024,MATCH(X266,工厂基础数据!$D$2:$D$1024,0))</f>
        <v>02025767</v>
      </c>
      <c r="E266" s="6" t="str">
        <f>INDEX(工厂基础数据!$B$2:$B$1024,MATCH(X266,工厂基础数据!$D$2:$D$1024,0))</f>
        <v>滨州市仁信医药有限公司</v>
      </c>
      <c r="F266" s="6">
        <f>INDEX(商业2转码!$B$2:$B$10000,MATCH(E266,商业2转码!$A$2:$A$10000,0))</f>
        <v>0</v>
      </c>
      <c r="G266" s="6" t="str">
        <f>INDEX(品种2编码!$A$2:$A$1048576,MATCH(W266,品种2编码!$D$2:$D$1048576,0))</f>
        <v>0020070001ZYZC0383</v>
      </c>
      <c r="H266" s="6" t="s">
        <v>1849</v>
      </c>
      <c r="I266" s="6" t="s">
        <v>1850</v>
      </c>
      <c r="J266" s="6" t="s">
        <v>3038</v>
      </c>
      <c r="L266" s="6" t="s">
        <v>2351</v>
      </c>
      <c r="M266" s="6">
        <f>INDEX(医院2县区2人!$B$2:$B$1048576,MATCH(L266,医院2县区2人!$A$2:$A$1048576,0))</f>
        <v>2</v>
      </c>
      <c r="N266" s="6" t="str">
        <f>INDEX(医院2县区2人!$C$2:$C$1048576,MATCH(L266,医院2县区2人!$A$2:$A$1048576,0))</f>
        <v>1855</v>
      </c>
      <c r="P266" s="7">
        <v>43256.728425925925</v>
      </c>
      <c r="Q266" s="6">
        <v>10</v>
      </c>
      <c r="R266" s="6">
        <v>15</v>
      </c>
      <c r="S266" s="6">
        <v>1801107</v>
      </c>
      <c r="T266" s="6" t="str">
        <f>INDEX(医院2县区2人!$D$2:$D$1048576,MATCH(L266,医院2县区2人!$A$2:$A$1048576,0))</f>
        <v>201602151421097</v>
      </c>
      <c r="W266" s="6" t="str">
        <f t="shared" si="11"/>
        <v>哈药牌钙铁锌口服液10ml*10支</v>
      </c>
      <c r="X266" s="6" t="s">
        <v>2890</v>
      </c>
    </row>
    <row r="267" spans="1:24" x14ac:dyDescent="0.15">
      <c r="A267" s="7" t="str">
        <f t="shared" si="12"/>
        <v>201806</v>
      </c>
      <c r="C267" s="6" t="str">
        <f>INDEX(工厂基础数据!$A$2:$A$1024,MATCH(X267,工厂基础数据!$D$2:$D$1024,0))</f>
        <v>02025767</v>
      </c>
      <c r="E267" s="6" t="str">
        <f>INDEX(工厂基础数据!$B$2:$B$1024,MATCH(X267,工厂基础数据!$D$2:$D$1024,0))</f>
        <v>滨州市仁信医药有限公司</v>
      </c>
      <c r="F267" s="6">
        <f>INDEX(商业2转码!$B$2:$B$10000,MATCH(E267,商业2转码!$A$2:$A$10000,0))</f>
        <v>0</v>
      </c>
      <c r="G267" s="6" t="str">
        <f>INDEX(品种2编码!$A$2:$A$1048576,MATCH(W267,品种2编码!$D$2:$D$1048576,0))</f>
        <v>0020020021ZYLC0004</v>
      </c>
      <c r="H267" s="6" t="s">
        <v>1899</v>
      </c>
      <c r="I267" s="6" t="s">
        <v>1869</v>
      </c>
      <c r="J267" s="6" t="s">
        <v>3036</v>
      </c>
      <c r="L267" s="6" t="s">
        <v>2274</v>
      </c>
      <c r="M267" s="6">
        <f>INDEX(医院2县区2人!$B$2:$B$1048576,MATCH(L267,医院2县区2人!$A$2:$A$1048576,0))</f>
        <v>1</v>
      </c>
      <c r="N267" s="6" t="str">
        <f>INDEX(医院2县区2人!$C$2:$C$1048576,MATCH(L267,医院2县区2人!$A$2:$A$1048576,0))</f>
        <v>1859</v>
      </c>
      <c r="P267" s="7">
        <v>43256.728506944448</v>
      </c>
      <c r="Q267" s="6">
        <v>50</v>
      </c>
      <c r="R267" s="6">
        <v>8</v>
      </c>
      <c r="S267" s="6">
        <v>180201</v>
      </c>
      <c r="T267" s="6" t="str">
        <f>INDEX(医院2县区2人!$D$2:$D$1048576,MATCH(L267,医院2县区2人!$A$2:$A$1048576,0))</f>
        <v>201602151421097</v>
      </c>
      <c r="W267" s="6" t="str">
        <f t="shared" si="11"/>
        <v>大严迪片/罗红霉素分散片75mg*12片</v>
      </c>
      <c r="X267" s="6" t="s">
        <v>2890</v>
      </c>
    </row>
    <row r="268" spans="1:24" x14ac:dyDescent="0.15">
      <c r="A268" s="7" t="str">
        <f t="shared" si="12"/>
        <v>201806</v>
      </c>
      <c r="C268" s="6" t="str">
        <f>INDEX(工厂基础数据!$A$2:$A$1024,MATCH(X268,工厂基础数据!$D$2:$D$1024,0))</f>
        <v>02025767</v>
      </c>
      <c r="E268" s="6" t="str">
        <f>INDEX(工厂基础数据!$B$2:$B$1024,MATCH(X268,工厂基础数据!$D$2:$D$1024,0))</f>
        <v>滨州市仁信医药有限公司</v>
      </c>
      <c r="F268" s="6">
        <f>INDEX(商业2转码!$B$2:$B$10000,MATCH(E268,商业2转码!$A$2:$A$10000,0))</f>
        <v>0</v>
      </c>
      <c r="G268" s="6" t="str">
        <f>INDEX(品种2编码!$A$2:$A$1048576,MATCH(W268,品种2编码!$D$2:$D$1048576,0))</f>
        <v>0020040001SHYT0018</v>
      </c>
      <c r="H268" s="6" t="s">
        <v>1932</v>
      </c>
      <c r="I268" s="6" t="s">
        <v>444</v>
      </c>
      <c r="J268" s="6" t="s">
        <v>3037</v>
      </c>
      <c r="L268" s="6" t="s">
        <v>2629</v>
      </c>
      <c r="M268" s="6">
        <f>INDEX(医院2县区2人!$B$2:$B$1048576,MATCH(L268,医院2县区2人!$A$2:$A$1048576,0))</f>
        <v>2</v>
      </c>
      <c r="N268" s="6" t="str">
        <f>INDEX(医院2县区2人!$C$2:$C$1048576,MATCH(L268,医院2县区2人!$A$2:$A$1048576,0))</f>
        <v>1854</v>
      </c>
      <c r="P268" s="7">
        <v>43256.728692129633</v>
      </c>
      <c r="Q268" s="6">
        <v>5</v>
      </c>
      <c r="R268" s="6">
        <v>10</v>
      </c>
      <c r="S268" s="6">
        <v>1612106</v>
      </c>
      <c r="T268" s="6" t="str">
        <f>INDEX(医院2县区2人!$D$2:$D$1048576,MATCH(L268,医院2县区2人!$A$2:$A$1048576,0))</f>
        <v>201602151421097</v>
      </c>
      <c r="W268" s="6" t="str">
        <f t="shared" si="11"/>
        <v>血府逐淤丸9g*10丸</v>
      </c>
      <c r="X268" s="6" t="s">
        <v>2890</v>
      </c>
    </row>
    <row r="269" spans="1:24" x14ac:dyDescent="0.15">
      <c r="A269" s="7" t="str">
        <f t="shared" si="12"/>
        <v>201806</v>
      </c>
      <c r="C269" s="6" t="str">
        <f>INDEX(工厂基础数据!$A$2:$A$1024,MATCH(X269,工厂基础数据!$D$2:$D$1024,0))</f>
        <v>02025767</v>
      </c>
      <c r="E269" s="6" t="str">
        <f>INDEX(工厂基础数据!$B$2:$B$1024,MATCH(X269,工厂基础数据!$D$2:$D$1024,0))</f>
        <v>滨州市仁信医药有限公司</v>
      </c>
      <c r="F269" s="6">
        <f>INDEX(商业2转码!$B$2:$B$10000,MATCH(E269,商业2转码!$A$2:$A$10000,0))</f>
        <v>0</v>
      </c>
      <c r="G269" s="6" t="str">
        <f>INDEX(品种2编码!$A$2:$A$1048576,MATCH(W269,品种2编码!$D$2:$D$1048576,0))</f>
        <v>0020070001ZYZC0383</v>
      </c>
      <c r="H269" s="6" t="s">
        <v>1849</v>
      </c>
      <c r="I269" s="6" t="s">
        <v>1850</v>
      </c>
      <c r="J269" s="6" t="s">
        <v>3038</v>
      </c>
      <c r="L269" s="6" t="s">
        <v>3000</v>
      </c>
      <c r="M269" s="6" t="e">
        <f>INDEX(医院2县区2人!$B$2:$B$1048576,MATCH(L269,医院2县区2人!$A$2:$A$1048576,0))</f>
        <v>#N/A</v>
      </c>
      <c r="N269" s="6" t="e">
        <f>INDEX(医院2县区2人!$C$2:$C$1048576,MATCH(L269,医院2县区2人!$A$2:$A$1048576,0))</f>
        <v>#N/A</v>
      </c>
      <c r="P269" s="7">
        <v>43256.728680555556</v>
      </c>
      <c r="Q269" s="6">
        <v>5</v>
      </c>
      <c r="R269" s="6">
        <v>15</v>
      </c>
      <c r="S269" s="6">
        <v>1801107</v>
      </c>
      <c r="T269" s="6" t="e">
        <f>INDEX(医院2县区2人!$D$2:$D$1048576,MATCH(L269,医院2县区2人!$A$2:$A$1048576,0))</f>
        <v>#N/A</v>
      </c>
      <c r="W269" s="6" t="str">
        <f t="shared" si="11"/>
        <v>哈药牌钙铁锌口服液10ml*10支</v>
      </c>
      <c r="X269" s="6" t="s">
        <v>2890</v>
      </c>
    </row>
    <row r="270" spans="1:24" x14ac:dyDescent="0.15">
      <c r="A270" s="7" t="str">
        <f t="shared" si="12"/>
        <v>201806</v>
      </c>
      <c r="C270" s="6" t="str">
        <f>INDEX(工厂基础数据!$A$2:$A$1024,MATCH(X270,工厂基础数据!$D$2:$D$1024,0))</f>
        <v>02025767</v>
      </c>
      <c r="E270" s="6" t="str">
        <f>INDEX(工厂基础数据!$B$2:$B$1024,MATCH(X270,工厂基础数据!$D$2:$D$1024,0))</f>
        <v>滨州市仁信医药有限公司</v>
      </c>
      <c r="F270" s="6">
        <f>INDEX(商业2转码!$B$2:$B$10000,MATCH(E270,商业2转码!$A$2:$A$10000,0))</f>
        <v>0</v>
      </c>
      <c r="G270" s="6" t="str">
        <f>INDEX(品种2编码!$A$2:$A$1048576,MATCH(W270,品种2编码!$D$2:$D$1048576,0))</f>
        <v>0020030001SJZY0009</v>
      </c>
      <c r="H270" s="6" t="s">
        <v>555</v>
      </c>
      <c r="I270" s="6" t="s">
        <v>1889</v>
      </c>
      <c r="J270" s="6" t="s">
        <v>3039</v>
      </c>
      <c r="L270" s="6" t="s">
        <v>2337</v>
      </c>
      <c r="M270" s="6">
        <f>INDEX(医院2县区2人!$B$2:$B$1048576,MATCH(L270,医院2县区2人!$A$2:$A$1048576,0))</f>
        <v>2</v>
      </c>
      <c r="N270" s="6" t="str">
        <f>INDEX(医院2县区2人!$C$2:$C$1048576,MATCH(L270,医院2县区2人!$A$2:$A$1048576,0))</f>
        <v>1855</v>
      </c>
      <c r="P270" s="7">
        <v>43256.728321759256</v>
      </c>
      <c r="Q270" s="6">
        <v>5</v>
      </c>
      <c r="R270" s="6">
        <v>25</v>
      </c>
      <c r="S270" s="6">
        <v>18031227</v>
      </c>
      <c r="T270" s="6" t="str">
        <f>INDEX(医院2县区2人!$D$2:$D$1048576,MATCH(L270,医院2县区2人!$A$2:$A$1048576,0))</f>
        <v>201602151421097</v>
      </c>
      <c r="W270" s="6" t="str">
        <f t="shared" si="11"/>
        <v>葡萄糖酸锌口服液10ML*12支</v>
      </c>
      <c r="X270" s="6" t="s">
        <v>2890</v>
      </c>
    </row>
    <row r="271" spans="1:24" x14ac:dyDescent="0.15">
      <c r="A271" s="7" t="str">
        <f t="shared" si="12"/>
        <v>201806</v>
      </c>
      <c r="C271" s="6" t="str">
        <f>INDEX(工厂基础数据!$A$2:$A$1024,MATCH(X271,工厂基础数据!$D$2:$D$1024,0))</f>
        <v>02025767</v>
      </c>
      <c r="E271" s="6" t="str">
        <f>INDEX(工厂基础数据!$B$2:$B$1024,MATCH(X271,工厂基础数据!$D$2:$D$1024,0))</f>
        <v>滨州市仁信医药有限公司</v>
      </c>
      <c r="F271" s="6">
        <f>INDEX(商业2转码!$B$2:$B$10000,MATCH(E271,商业2转码!$A$2:$A$10000,0))</f>
        <v>0</v>
      </c>
      <c r="G271" s="6" t="str">
        <f>INDEX(品种2编码!$A$2:$A$1048576,MATCH(W271,品种2编码!$D$2:$D$1048576,0))</f>
        <v>0020030001SJZY0006</v>
      </c>
      <c r="H271" s="6" t="s">
        <v>1888</v>
      </c>
      <c r="I271" s="6" t="s">
        <v>411</v>
      </c>
      <c r="J271" s="6" t="s">
        <v>3040</v>
      </c>
      <c r="L271" s="6" t="s">
        <v>2337</v>
      </c>
      <c r="M271" s="6">
        <f>INDEX(医院2县区2人!$B$2:$B$1048576,MATCH(L271,医院2县区2人!$A$2:$A$1048576,0))</f>
        <v>2</v>
      </c>
      <c r="N271" s="6" t="str">
        <f>INDEX(医院2县区2人!$C$2:$C$1048576,MATCH(L271,医院2县区2人!$A$2:$A$1048576,0))</f>
        <v>1855</v>
      </c>
      <c r="P271" s="7">
        <v>43256.728321759256</v>
      </c>
      <c r="Q271" s="6">
        <v>5</v>
      </c>
      <c r="R271" s="6">
        <v>25</v>
      </c>
      <c r="S271" s="6">
        <v>17071042</v>
      </c>
      <c r="T271" s="6" t="str">
        <f>INDEX(医院2县区2人!$D$2:$D$1048576,MATCH(L271,医院2县区2人!$A$2:$A$1048576,0))</f>
        <v>201602151421097</v>
      </c>
      <c r="W271" s="6" t="str">
        <f t="shared" si="11"/>
        <v>葡萄糖酸钙口服溶液（含糖）10ml*12支</v>
      </c>
      <c r="X271" s="6" t="s">
        <v>2890</v>
      </c>
    </row>
    <row r="272" spans="1:24" x14ac:dyDescent="0.15">
      <c r="A272" s="7" t="str">
        <f t="shared" si="12"/>
        <v>201806</v>
      </c>
      <c r="C272" s="6" t="str">
        <f>INDEX(工厂基础数据!$A$2:$A$1024,MATCH(X272,工厂基础数据!$D$2:$D$1024,0))</f>
        <v>02025767</v>
      </c>
      <c r="E272" s="6" t="str">
        <f>INDEX(工厂基础数据!$B$2:$B$1024,MATCH(X272,工厂基础数据!$D$2:$D$1024,0))</f>
        <v>滨州市仁信医药有限公司</v>
      </c>
      <c r="F272" s="6">
        <f>INDEX(商业2转码!$B$2:$B$10000,MATCH(E272,商业2转码!$A$2:$A$10000,0))</f>
        <v>0</v>
      </c>
      <c r="G272" s="6" t="str">
        <f>INDEX(品种2编码!$A$2:$A$1048576,MATCH(W272,品种2编码!$D$2:$D$1048576,0))</f>
        <v>0020020020ZYLC0010</v>
      </c>
      <c r="H272" s="6" t="s">
        <v>1877</v>
      </c>
      <c r="I272" s="6" t="s">
        <v>1878</v>
      </c>
      <c r="J272" s="6" t="s">
        <v>3036</v>
      </c>
      <c r="L272" s="6" t="s">
        <v>2643</v>
      </c>
      <c r="M272" s="6">
        <f>INDEX(医院2县区2人!$B$2:$B$1048576,MATCH(L272,医院2县区2人!$A$2:$A$1048576,0))</f>
        <v>1</v>
      </c>
      <c r="N272" s="6" t="str">
        <f>INDEX(医院2县区2人!$C$2:$C$1048576,MATCH(L272,医院2县区2人!$A$2:$A$1048576,0))</f>
        <v>1854</v>
      </c>
      <c r="P272" s="7">
        <v>43256.728622685187</v>
      </c>
      <c r="Q272" s="6">
        <v>50</v>
      </c>
      <c r="R272" s="6">
        <v>3.5</v>
      </c>
      <c r="S272" s="6">
        <v>180401</v>
      </c>
      <c r="T272" s="6" t="str">
        <f>INDEX(医院2县区2人!$D$2:$D$1048576,MATCH(L272,医院2县区2人!$A$2:$A$1048576,0))</f>
        <v>201602151421097</v>
      </c>
      <c r="W272" s="6" t="str">
        <f t="shared" si="11"/>
        <v xml:space="preserve">泻利停/颠茄磺苄啶片0.48g*10片 </v>
      </c>
      <c r="X272" s="6" t="s">
        <v>2890</v>
      </c>
    </row>
    <row r="273" spans="1:24" x14ac:dyDescent="0.15">
      <c r="A273" s="7" t="str">
        <f t="shared" si="12"/>
        <v>201806</v>
      </c>
      <c r="C273" s="6" t="str">
        <f>INDEX(工厂基础数据!$A$2:$A$1024,MATCH(X273,工厂基础数据!$D$2:$D$1024,0))</f>
        <v>02025767</v>
      </c>
      <c r="E273" s="6" t="str">
        <f>INDEX(工厂基础数据!$B$2:$B$1024,MATCH(X273,工厂基础数据!$D$2:$D$1024,0))</f>
        <v>滨州市仁信医药有限公司</v>
      </c>
      <c r="F273" s="6">
        <f>INDEX(商业2转码!$B$2:$B$10000,MATCH(E273,商业2转码!$A$2:$A$10000,0))</f>
        <v>0</v>
      </c>
      <c r="G273" s="6" t="str">
        <f>INDEX(品种2编码!$A$2:$A$1048576,MATCH(W273,品种2编码!$D$2:$D$1048576,0))</f>
        <v>0020030020ZYZC0360</v>
      </c>
      <c r="H273" s="6" t="s">
        <v>1880</v>
      </c>
      <c r="I273" s="6" t="s">
        <v>1881</v>
      </c>
      <c r="J273" s="6" t="s">
        <v>3038</v>
      </c>
      <c r="L273" s="6" t="s">
        <v>2272</v>
      </c>
      <c r="M273" s="6">
        <f>INDEX(医院2县区2人!$B$2:$B$1048576,MATCH(L273,医院2县区2人!$A$2:$A$1048576,0))</f>
        <v>1</v>
      </c>
      <c r="N273" s="6" t="str">
        <f>INDEX(医院2县区2人!$C$2:$C$1048576,MATCH(L273,医院2县区2人!$A$2:$A$1048576,0))</f>
        <v>1854</v>
      </c>
      <c r="P273" s="7">
        <v>43256.72859953704</v>
      </c>
      <c r="Q273" s="6">
        <v>5</v>
      </c>
      <c r="R273" s="6">
        <v>13.4</v>
      </c>
      <c r="S273" s="6" t="s">
        <v>3054</v>
      </c>
      <c r="T273" s="6" t="str">
        <f>INDEX(医院2县区2人!$D$2:$D$1048576,MATCH(L273,医院2县区2人!$A$2:$A$1048576,0))</f>
        <v>201602151421097</v>
      </c>
      <c r="W273" s="6" t="str">
        <f t="shared" si="11"/>
        <v>*维生素C咀嚼片/VC片0.1g*30片</v>
      </c>
      <c r="X273" s="6" t="s">
        <v>2890</v>
      </c>
    </row>
    <row r="274" spans="1:24" x14ac:dyDescent="0.15">
      <c r="A274" s="7" t="str">
        <f t="shared" si="12"/>
        <v>201806</v>
      </c>
      <c r="C274" s="6" t="str">
        <f>INDEX(工厂基础数据!$A$2:$A$1024,MATCH(X274,工厂基础数据!$D$2:$D$1024,0))</f>
        <v>02025767</v>
      </c>
      <c r="E274" s="6" t="str">
        <f>INDEX(工厂基础数据!$B$2:$B$1024,MATCH(X274,工厂基础数据!$D$2:$D$1024,0))</f>
        <v>滨州市仁信医药有限公司</v>
      </c>
      <c r="F274" s="6">
        <f>INDEX(商业2转码!$B$2:$B$10000,MATCH(E274,商业2转码!$A$2:$A$10000,0))</f>
        <v>0</v>
      </c>
      <c r="G274" s="6" t="str">
        <f>INDEX(品种2编码!$A$2:$A$1048576,MATCH(W274,品种2编码!$D$2:$D$1048576,0))</f>
        <v>0020020030SJMS0025</v>
      </c>
      <c r="H274" s="6" t="s">
        <v>1900</v>
      </c>
      <c r="I274" s="6" t="s">
        <v>1901</v>
      </c>
      <c r="J274" s="6" t="s">
        <v>3046</v>
      </c>
      <c r="L274" s="6" t="s">
        <v>2272</v>
      </c>
      <c r="M274" s="6">
        <f>INDEX(医院2县区2人!$B$2:$B$1048576,MATCH(L274,医院2县区2人!$A$2:$A$1048576,0))</f>
        <v>1</v>
      </c>
      <c r="N274" s="6" t="str">
        <f>INDEX(医院2县区2人!$C$2:$C$1048576,MATCH(L274,医院2县区2人!$A$2:$A$1048576,0))</f>
        <v>1854</v>
      </c>
      <c r="P274" s="7">
        <v>43256.72859953704</v>
      </c>
      <c r="Q274" s="6">
        <v>10</v>
      </c>
      <c r="R274" s="6">
        <v>7.7</v>
      </c>
      <c r="S274" s="6">
        <v>1801007</v>
      </c>
      <c r="T274" s="6" t="str">
        <f>INDEX(医院2县区2人!$D$2:$D$1048576,MATCH(L274,医院2县区2人!$A$2:$A$1048576,0))</f>
        <v>201602151421097</v>
      </c>
      <c r="W274" s="6" t="str">
        <f t="shared" si="11"/>
        <v>人工牛黄甲硝唑胶囊/牙疼安10粒*3板</v>
      </c>
      <c r="X274" s="6" t="s">
        <v>2890</v>
      </c>
    </row>
    <row r="275" spans="1:24" x14ac:dyDescent="0.15">
      <c r="A275" s="7" t="str">
        <f t="shared" si="12"/>
        <v>201806</v>
      </c>
      <c r="C275" s="6" t="str">
        <f>INDEX(工厂基础数据!$A$2:$A$1024,MATCH(X275,工厂基础数据!$D$2:$D$1024,0))</f>
        <v>02025767</v>
      </c>
      <c r="E275" s="6" t="str">
        <f>INDEX(工厂基础数据!$B$2:$B$1024,MATCH(X275,工厂基础数据!$D$2:$D$1024,0))</f>
        <v>滨州市仁信医药有限公司</v>
      </c>
      <c r="F275" s="6">
        <f>INDEX(商业2转码!$B$2:$B$10000,MATCH(E275,商业2转码!$A$2:$A$10000,0))</f>
        <v>0</v>
      </c>
      <c r="G275" s="6" t="str">
        <f>INDEX(品种2编码!$A$2:$A$1048576,MATCH(W275,品种2编码!$D$2:$D$1048576,0))</f>
        <v>0020030001SJZY0009</v>
      </c>
      <c r="H275" s="6" t="s">
        <v>555</v>
      </c>
      <c r="I275" s="6" t="s">
        <v>1889</v>
      </c>
      <c r="J275" s="6" t="s">
        <v>3039</v>
      </c>
      <c r="L275" s="6" t="s">
        <v>2189</v>
      </c>
      <c r="M275" s="6">
        <f>INDEX(医院2县区2人!$B$2:$B$1048576,MATCH(L275,医院2县区2人!$A$2:$A$1048576,0))</f>
        <v>1</v>
      </c>
      <c r="N275" s="6" t="str">
        <f>INDEX(医院2县区2人!$C$2:$C$1048576,MATCH(L275,医院2县区2人!$A$2:$A$1048576,0))</f>
        <v>1854</v>
      </c>
      <c r="P275" s="7">
        <v>43256.728634259256</v>
      </c>
      <c r="Q275" s="6">
        <v>3</v>
      </c>
      <c r="R275" s="6">
        <v>25</v>
      </c>
      <c r="S275" s="6">
        <v>18031227</v>
      </c>
      <c r="T275" s="6" t="str">
        <f>INDEX(医院2县区2人!$D$2:$D$1048576,MATCH(L275,医院2县区2人!$A$2:$A$1048576,0))</f>
        <v>201602151421097</v>
      </c>
      <c r="W275" s="6" t="str">
        <f t="shared" si="11"/>
        <v>葡萄糖酸锌口服液10ML*12支</v>
      </c>
      <c r="X275" s="6" t="s">
        <v>2890</v>
      </c>
    </row>
    <row r="276" spans="1:24" x14ac:dyDescent="0.15">
      <c r="A276" s="7" t="str">
        <f t="shared" si="12"/>
        <v>201806</v>
      </c>
      <c r="C276" s="6" t="str">
        <f>INDEX(工厂基础数据!$A$2:$A$1024,MATCH(X276,工厂基础数据!$D$2:$D$1024,0))</f>
        <v>02025767</v>
      </c>
      <c r="E276" s="6" t="str">
        <f>INDEX(工厂基础数据!$B$2:$B$1024,MATCH(X276,工厂基础数据!$D$2:$D$1024,0))</f>
        <v>滨州市仁信医药有限公司</v>
      </c>
      <c r="F276" s="6">
        <f>INDEX(商业2转码!$B$2:$B$10000,MATCH(E276,商业2转码!$A$2:$A$10000,0))</f>
        <v>0</v>
      </c>
      <c r="G276" s="6" t="str">
        <f>INDEX(品种2编码!$A$2:$A$1048576,MATCH(W276,品种2编码!$D$2:$D$1048576,0))</f>
        <v>0020030020ZYZC0360</v>
      </c>
      <c r="H276" s="6" t="s">
        <v>1902</v>
      </c>
      <c r="I276" s="6" t="s">
        <v>1881</v>
      </c>
      <c r="J276" s="6" t="s">
        <v>3038</v>
      </c>
      <c r="L276" s="6" t="s">
        <v>2636</v>
      </c>
      <c r="M276" s="6">
        <f>INDEX(医院2县区2人!$B$2:$B$1048576,MATCH(L276,医院2县区2人!$A$2:$A$1048576,0))</f>
        <v>2</v>
      </c>
      <c r="N276" s="6" t="str">
        <f>INDEX(医院2县区2人!$C$2:$C$1048576,MATCH(L276,医院2县区2人!$A$2:$A$1048576,0))</f>
        <v>1854</v>
      </c>
      <c r="P276" s="7">
        <v>43256.728645833333</v>
      </c>
      <c r="Q276" s="6">
        <v>5</v>
      </c>
      <c r="R276" s="6">
        <v>13.4</v>
      </c>
      <c r="S276" s="6" t="s">
        <v>3055</v>
      </c>
      <c r="T276" s="6" t="str">
        <f>INDEX(医院2县区2人!$D$2:$D$1048576,MATCH(L276,医院2县区2人!$A$2:$A$1048576,0))</f>
        <v>201602151421097</v>
      </c>
      <c r="W276" s="6" t="str">
        <f t="shared" si="11"/>
        <v>维生素C咀嚼片/VC片0.1g*30片</v>
      </c>
      <c r="X276" s="6" t="s">
        <v>2890</v>
      </c>
    </row>
    <row r="277" spans="1:24" x14ac:dyDescent="0.15">
      <c r="A277" s="7" t="str">
        <f t="shared" si="12"/>
        <v>201806</v>
      </c>
      <c r="C277" s="6" t="str">
        <f>INDEX(工厂基础数据!$A$2:$A$1024,MATCH(X277,工厂基础数据!$D$2:$D$1024,0))</f>
        <v>02025767</v>
      </c>
      <c r="E277" s="6" t="str">
        <f>INDEX(工厂基础数据!$B$2:$B$1024,MATCH(X277,工厂基础数据!$D$2:$D$1024,0))</f>
        <v>滨州市仁信医药有限公司</v>
      </c>
      <c r="F277" s="6">
        <f>INDEX(商业2转码!$B$2:$B$10000,MATCH(E277,商业2转码!$A$2:$A$10000,0))</f>
        <v>0</v>
      </c>
      <c r="G277" s="6" t="str">
        <f>INDEX(品种2编码!$A$2:$A$1048576,MATCH(W277,品种2编码!$D$2:$D$1048576,0))</f>
        <v>0020030020ZYLC0010</v>
      </c>
      <c r="H277" s="6" t="s">
        <v>1903</v>
      </c>
      <c r="I277" s="6" t="s">
        <v>1839</v>
      </c>
      <c r="J277" s="6" t="s">
        <v>3036</v>
      </c>
      <c r="L277" s="6" t="s">
        <v>2208</v>
      </c>
      <c r="M277" s="6">
        <f>INDEX(医院2县区2人!$B$2:$B$1048576,MATCH(L277,医院2县区2人!$A$2:$A$1048576,0))</f>
        <v>2</v>
      </c>
      <c r="N277" s="6" t="str">
        <f>INDEX(医院2县区2人!$C$2:$C$1048576,MATCH(L277,医院2县区2人!$A$2:$A$1048576,0))</f>
        <v>1855</v>
      </c>
      <c r="P277" s="7">
        <v>43256.728321759256</v>
      </c>
      <c r="Q277" s="6">
        <v>10</v>
      </c>
      <c r="R277" s="6">
        <v>9</v>
      </c>
      <c r="S277" s="6">
        <v>180302</v>
      </c>
      <c r="T277" s="6" t="str">
        <f>INDEX(医院2县区2人!$D$2:$D$1048576,MATCH(L277,医院2县区2人!$A$2:$A$1048576,0))</f>
        <v>201602151421097</v>
      </c>
      <c r="W277" s="6" t="str">
        <f t="shared" si="11"/>
        <v>乳酸菌素片/为消0.4g*36片</v>
      </c>
      <c r="X277" s="6" t="s">
        <v>2890</v>
      </c>
    </row>
    <row r="278" spans="1:24" x14ac:dyDescent="0.15">
      <c r="A278" s="7" t="str">
        <f t="shared" si="12"/>
        <v>201806</v>
      </c>
      <c r="C278" s="6" t="str">
        <f>INDEX(工厂基础数据!$A$2:$A$1024,MATCH(X278,工厂基础数据!$D$2:$D$1024,0))</f>
        <v>02025767</v>
      </c>
      <c r="E278" s="6" t="str">
        <f>INDEX(工厂基础数据!$B$2:$B$1024,MATCH(X278,工厂基础数据!$D$2:$D$1024,0))</f>
        <v>滨州市仁信医药有限公司</v>
      </c>
      <c r="F278" s="6">
        <f>INDEX(商业2转码!$B$2:$B$10000,MATCH(E278,商业2转码!$A$2:$A$10000,0))</f>
        <v>0</v>
      </c>
      <c r="G278" s="6" t="str">
        <f>INDEX(品种2编码!$A$2:$A$1048576,MATCH(W278,品种2编码!$D$2:$D$1048576,0))</f>
        <v>0020020021ZYLC0011</v>
      </c>
      <c r="H278" s="6" t="s">
        <v>1890</v>
      </c>
      <c r="I278" s="6" t="s">
        <v>1891</v>
      </c>
      <c r="J278" s="6" t="s">
        <v>3036</v>
      </c>
      <c r="L278" s="6" t="s">
        <v>2222</v>
      </c>
      <c r="M278" s="6">
        <f>INDEX(医院2县区2人!$B$2:$B$1048576,MATCH(L278,医院2县区2人!$A$2:$A$1048576,0))</f>
        <v>2</v>
      </c>
      <c r="N278" s="6" t="str">
        <f>INDEX(医院2县区2人!$C$2:$C$1048576,MATCH(L278,医院2县区2人!$A$2:$A$1048576,0))</f>
        <v>1855</v>
      </c>
      <c r="P278" s="7">
        <v>43257.770578703705</v>
      </c>
      <c r="Q278" s="6">
        <v>40</v>
      </c>
      <c r="R278" s="6">
        <v>5</v>
      </c>
      <c r="S278" s="6">
        <v>161001</v>
      </c>
      <c r="T278" s="6" t="str">
        <f>INDEX(医院2县区2人!$D$2:$D$1048576,MATCH(L278,医院2县区2人!$A$2:$A$1048576,0))</f>
        <v>201602151421097</v>
      </c>
      <c r="W278" s="6" t="str">
        <f t="shared" si="11"/>
        <v>严迪/罗红霉素分散片150mg*12片</v>
      </c>
      <c r="X278" s="6" t="s">
        <v>2890</v>
      </c>
    </row>
    <row r="279" spans="1:24" x14ac:dyDescent="0.15">
      <c r="A279" s="7" t="str">
        <f t="shared" si="12"/>
        <v>201806</v>
      </c>
      <c r="C279" s="6" t="str">
        <f>INDEX(工厂基础数据!$A$2:$A$1024,MATCH(X279,工厂基础数据!$D$2:$D$1024,0))</f>
        <v>02025767</v>
      </c>
      <c r="E279" s="6" t="str">
        <f>INDEX(工厂基础数据!$B$2:$B$1024,MATCH(X279,工厂基础数据!$D$2:$D$1024,0))</f>
        <v>滨州市仁信医药有限公司</v>
      </c>
      <c r="F279" s="6">
        <f>INDEX(商业2转码!$B$2:$B$10000,MATCH(E279,商业2转码!$A$2:$A$10000,0))</f>
        <v>0</v>
      </c>
      <c r="G279" s="6" t="str">
        <f>INDEX(品种2编码!$A$2:$A$1048576,MATCH(W279,品种2编码!$D$2:$D$1048576,0))</f>
        <v>0020030020ZYLC0005</v>
      </c>
      <c r="H279" s="6" t="s">
        <v>705</v>
      </c>
      <c r="I279" s="6" t="s">
        <v>1908</v>
      </c>
      <c r="J279" s="6" t="s">
        <v>3036</v>
      </c>
      <c r="L279" s="6" t="s">
        <v>2192</v>
      </c>
      <c r="M279" s="6">
        <f>INDEX(医院2县区2人!$B$2:$B$1048576,MATCH(L279,医院2县区2人!$A$2:$A$1048576,0))</f>
        <v>2</v>
      </c>
      <c r="N279" s="6" t="str">
        <f>INDEX(医院2县区2人!$C$2:$C$1048576,MATCH(L279,医院2县区2人!$A$2:$A$1048576,0))</f>
        <v>1856</v>
      </c>
      <c r="P279" s="7">
        <v>43258.461111111108</v>
      </c>
      <c r="Q279" s="6">
        <v>-50</v>
      </c>
      <c r="R279" s="6">
        <v>6</v>
      </c>
      <c r="S279" s="6">
        <v>170601</v>
      </c>
      <c r="T279" s="6" t="str">
        <f>INDEX(医院2县区2人!$D$2:$D$1048576,MATCH(L279,医院2县区2人!$A$2:$A$1048576,0))</f>
        <v>201602151421097</v>
      </c>
      <c r="W279" s="6" t="str">
        <f t="shared" si="11"/>
        <v>小儿氨酚黄那敏片0.125g*20片</v>
      </c>
      <c r="X279" s="6" t="s">
        <v>2890</v>
      </c>
    </row>
    <row r="280" spans="1:24" x14ac:dyDescent="0.15">
      <c r="A280" s="7" t="str">
        <f t="shared" si="12"/>
        <v>201806</v>
      </c>
      <c r="C280" s="6" t="str">
        <f>INDEX(工厂基础数据!$A$2:$A$1024,MATCH(X280,工厂基础数据!$D$2:$D$1024,0))</f>
        <v>02025767</v>
      </c>
      <c r="E280" s="6" t="str">
        <f>INDEX(工厂基础数据!$B$2:$B$1024,MATCH(X280,工厂基础数据!$D$2:$D$1024,0))</f>
        <v>滨州市仁信医药有限公司</v>
      </c>
      <c r="F280" s="6">
        <f>INDEX(商业2转码!$B$2:$B$10000,MATCH(E280,商业2转码!$A$2:$A$10000,0))</f>
        <v>0</v>
      </c>
      <c r="G280" s="6" t="str">
        <f>INDEX(品种2编码!$A$2:$A$1048576,MATCH(W280,品种2编码!$D$2:$D$1048576,0))</f>
        <v>0020050090SJZY0001</v>
      </c>
      <c r="H280" s="6" t="s">
        <v>630</v>
      </c>
      <c r="I280" s="6" t="s">
        <v>1850</v>
      </c>
      <c r="J280" s="6" t="s">
        <v>3040</v>
      </c>
      <c r="L280" s="6" t="s">
        <v>2187</v>
      </c>
      <c r="M280" s="6">
        <f>INDEX(医院2县区2人!$B$2:$B$1048576,MATCH(L280,医院2县区2人!$A$2:$A$1048576,0))</f>
        <v>4</v>
      </c>
      <c r="N280" s="6" t="str">
        <f>INDEX(医院2县区2人!$C$2:$C$1048576,MATCH(L280,医院2县区2人!$A$2:$A$1048576,0))</f>
        <v>1858</v>
      </c>
      <c r="P280" s="7">
        <v>43260.717534722222</v>
      </c>
      <c r="Q280" s="6">
        <v>10</v>
      </c>
      <c r="R280" s="6">
        <v>16.5</v>
      </c>
      <c r="S280" s="6">
        <v>17062821</v>
      </c>
      <c r="T280" s="6" t="str">
        <f>INDEX(医院2县区2人!$D$2:$D$1048576,MATCH(L280,医院2县区2人!$A$2:$A$1048576,0))</f>
        <v>201602151421097</v>
      </c>
      <c r="W280" s="6" t="str">
        <f t="shared" si="11"/>
        <v>双黄连口服液10ml*10支</v>
      </c>
      <c r="X280" s="6" t="s">
        <v>2890</v>
      </c>
    </row>
    <row r="281" spans="1:24" x14ac:dyDescent="0.15">
      <c r="A281" s="7" t="str">
        <f t="shared" si="12"/>
        <v>201806</v>
      </c>
      <c r="C281" s="6" t="str">
        <f>INDEX(工厂基础数据!$A$2:$A$1024,MATCH(X281,工厂基础数据!$D$2:$D$1024,0))</f>
        <v>02025767</v>
      </c>
      <c r="E281" s="6" t="str">
        <f>INDEX(工厂基础数据!$B$2:$B$1024,MATCH(X281,工厂基础数据!$D$2:$D$1024,0))</f>
        <v>滨州市仁信医药有限公司</v>
      </c>
      <c r="F281" s="6">
        <f>INDEX(商业2转码!$B$2:$B$10000,MATCH(E281,商业2转码!$A$2:$A$10000,0))</f>
        <v>0</v>
      </c>
      <c r="G281" s="6" t="str">
        <f>INDEX(品种2编码!$A$2:$A$1048576,MATCH(W281,品种2编码!$D$2:$D$1048576,0))</f>
        <v>0020020020ZYLC0010</v>
      </c>
      <c r="H281" s="6" t="s">
        <v>1877</v>
      </c>
      <c r="I281" s="6" t="s">
        <v>1878</v>
      </c>
      <c r="J281" s="6" t="s">
        <v>3036</v>
      </c>
      <c r="L281" s="6" t="s">
        <v>3001</v>
      </c>
      <c r="M281" s="6" t="e">
        <f>INDEX(医院2县区2人!$B$2:$B$1048576,MATCH(L281,医院2县区2人!$A$2:$A$1048576,0))</f>
        <v>#N/A</v>
      </c>
      <c r="N281" s="6" t="e">
        <f>INDEX(医院2县区2人!$C$2:$C$1048576,MATCH(L281,医院2县区2人!$A$2:$A$1048576,0))</f>
        <v>#N/A</v>
      </c>
      <c r="P281" s="7">
        <v>43257.770960648151</v>
      </c>
      <c r="Q281" s="6">
        <v>20</v>
      </c>
      <c r="R281" s="6">
        <v>3.5</v>
      </c>
      <c r="S281" s="6">
        <v>180401</v>
      </c>
      <c r="T281" s="6" t="e">
        <f>INDEX(医院2县区2人!$D$2:$D$1048576,MATCH(L281,医院2县区2人!$A$2:$A$1048576,0))</f>
        <v>#N/A</v>
      </c>
      <c r="W281" s="6" t="str">
        <f t="shared" si="11"/>
        <v xml:space="preserve">泻利停/颠茄磺苄啶片0.48g*10片 </v>
      </c>
      <c r="X281" s="6" t="s">
        <v>2890</v>
      </c>
    </row>
    <row r="282" spans="1:24" x14ac:dyDescent="0.15">
      <c r="A282" s="7" t="str">
        <f t="shared" si="12"/>
        <v>201806</v>
      </c>
      <c r="C282" s="6" t="str">
        <f>INDEX(工厂基础数据!$A$2:$A$1024,MATCH(X282,工厂基础数据!$D$2:$D$1024,0))</f>
        <v>02025767</v>
      </c>
      <c r="E282" s="6" t="str">
        <f>INDEX(工厂基础数据!$B$2:$B$1024,MATCH(X282,工厂基础数据!$D$2:$D$1024,0))</f>
        <v>滨州市仁信医药有限公司</v>
      </c>
      <c r="F282" s="6">
        <f>INDEX(商业2转码!$B$2:$B$10000,MATCH(E282,商业2转码!$A$2:$A$10000,0))</f>
        <v>0</v>
      </c>
      <c r="G282" s="6" t="str">
        <f>INDEX(品种2编码!$A$2:$A$1048576,MATCH(W282,品种2编码!$D$2:$D$1048576,0))</f>
        <v>0020030001SJZY0006</v>
      </c>
      <c r="H282" s="6" t="s">
        <v>1888</v>
      </c>
      <c r="I282" s="6" t="s">
        <v>411</v>
      </c>
      <c r="J282" s="6" t="s">
        <v>3040</v>
      </c>
      <c r="L282" s="6" t="s">
        <v>2814</v>
      </c>
      <c r="M282" s="6">
        <f>INDEX(医院2县区2人!$B$2:$B$1048576,MATCH(L282,医院2县区2人!$A$2:$A$1048576,0))</f>
        <v>2</v>
      </c>
      <c r="N282" s="6" t="str">
        <f>INDEX(医院2县区2人!$C$2:$C$1048576,MATCH(L282,医院2县区2人!$A$2:$A$1048576,0))</f>
        <v>1855</v>
      </c>
      <c r="P282" s="7">
        <v>43257.770543981482</v>
      </c>
      <c r="Q282" s="6">
        <v>5</v>
      </c>
      <c r="R282" s="6">
        <v>25</v>
      </c>
      <c r="S282" s="6">
        <v>17071042</v>
      </c>
      <c r="T282" s="6" t="str">
        <f>INDEX(医院2县区2人!$D$2:$D$1048576,MATCH(L282,医院2县区2人!$A$2:$A$1048576,0))</f>
        <v>201602151421097</v>
      </c>
      <c r="W282" s="6" t="str">
        <f t="shared" si="11"/>
        <v>葡萄糖酸钙口服溶液（含糖）10ml*12支</v>
      </c>
      <c r="X282" s="6" t="s">
        <v>2890</v>
      </c>
    </row>
    <row r="283" spans="1:24" x14ac:dyDescent="0.15">
      <c r="A283" s="7" t="str">
        <f t="shared" si="12"/>
        <v>201806</v>
      </c>
      <c r="C283" s="6" t="str">
        <f>INDEX(工厂基础数据!$A$2:$A$1024,MATCH(X283,工厂基础数据!$D$2:$D$1024,0))</f>
        <v>02025767</v>
      </c>
      <c r="E283" s="6" t="str">
        <f>INDEX(工厂基础数据!$B$2:$B$1024,MATCH(X283,工厂基础数据!$D$2:$D$1024,0))</f>
        <v>滨州市仁信医药有限公司</v>
      </c>
      <c r="F283" s="6">
        <f>INDEX(商业2转码!$B$2:$B$10000,MATCH(E283,商业2转码!$A$2:$A$10000,0))</f>
        <v>0</v>
      </c>
      <c r="G283" s="6" t="str">
        <f>INDEX(品种2编码!$A$2:$A$1048576,MATCH(W283,品种2编码!$D$2:$D$1048576,0))</f>
        <v>0020030020ZYZC0360</v>
      </c>
      <c r="H283" s="6" t="s">
        <v>1880</v>
      </c>
      <c r="I283" s="6" t="s">
        <v>1881</v>
      </c>
      <c r="J283" s="6" t="s">
        <v>3038</v>
      </c>
      <c r="L283" s="6" t="s">
        <v>2340</v>
      </c>
      <c r="M283" s="6">
        <f>INDEX(医院2县区2人!$B$2:$B$1048576,MATCH(L283,医院2县区2人!$A$2:$A$1048576,0))</f>
        <v>2</v>
      </c>
      <c r="N283" s="6" t="str">
        <f>INDEX(医院2县区2人!$C$2:$C$1048576,MATCH(L283,医院2县区2人!$A$2:$A$1048576,0))</f>
        <v>1855</v>
      </c>
      <c r="P283" s="7">
        <v>43257.770833333336</v>
      </c>
      <c r="Q283" s="6">
        <v>20</v>
      </c>
      <c r="R283" s="6">
        <v>11</v>
      </c>
      <c r="S283" s="6" t="s">
        <v>3054</v>
      </c>
      <c r="T283" s="6" t="str">
        <f>INDEX(医院2县区2人!$D$2:$D$1048576,MATCH(L283,医院2县区2人!$A$2:$A$1048576,0))</f>
        <v>201602151421097</v>
      </c>
      <c r="W283" s="6" t="str">
        <f t="shared" si="11"/>
        <v>*维生素C咀嚼片/VC片0.1g*30片</v>
      </c>
      <c r="X283" s="6" t="s">
        <v>2890</v>
      </c>
    </row>
    <row r="284" spans="1:24" x14ac:dyDescent="0.15">
      <c r="A284" s="7" t="str">
        <f t="shared" si="12"/>
        <v>201806</v>
      </c>
      <c r="C284" s="6" t="str">
        <f>INDEX(工厂基础数据!$A$2:$A$1024,MATCH(X284,工厂基础数据!$D$2:$D$1024,0))</f>
        <v>02025767</v>
      </c>
      <c r="E284" s="6" t="str">
        <f>INDEX(工厂基础数据!$B$2:$B$1024,MATCH(X284,工厂基础数据!$D$2:$D$1024,0))</f>
        <v>滨州市仁信医药有限公司</v>
      </c>
      <c r="F284" s="6">
        <f>INDEX(商业2转码!$B$2:$B$10000,MATCH(E284,商业2转码!$A$2:$A$10000,0))</f>
        <v>0</v>
      </c>
      <c r="G284" s="6" t="str">
        <f>INDEX(品种2编码!$A$2:$A$1048576,MATCH(W284,品种2编码!$D$2:$D$1048576,0))</f>
        <v>0020030020ZYLC0005</v>
      </c>
      <c r="H284" s="6" t="s">
        <v>705</v>
      </c>
      <c r="I284" s="6" t="s">
        <v>1908</v>
      </c>
      <c r="J284" s="6" t="s">
        <v>3036</v>
      </c>
      <c r="L284" s="6" t="s">
        <v>2279</v>
      </c>
      <c r="M284" s="6">
        <f>INDEX(医院2县区2人!$B$2:$B$1048576,MATCH(L284,医院2县区2人!$A$2:$A$1048576,0))</f>
        <v>4</v>
      </c>
      <c r="N284" s="6" t="str">
        <f>INDEX(医院2县区2人!$C$2:$C$1048576,MATCH(L284,医院2县区2人!$A$2:$A$1048576,0))</f>
        <v>1855</v>
      </c>
      <c r="P284" s="7">
        <v>43257.771041666667</v>
      </c>
      <c r="Q284" s="6">
        <v>10</v>
      </c>
      <c r="R284" s="6">
        <v>6</v>
      </c>
      <c r="S284" s="6">
        <v>170601</v>
      </c>
      <c r="T284" s="6" t="str">
        <f>INDEX(医院2县区2人!$D$2:$D$1048576,MATCH(L284,医院2县区2人!$A$2:$A$1048576,0))</f>
        <v>201602151421097</v>
      </c>
      <c r="W284" s="6" t="str">
        <f t="shared" si="11"/>
        <v>小儿氨酚黄那敏片0.125g*20片</v>
      </c>
      <c r="X284" s="6" t="s">
        <v>2890</v>
      </c>
    </row>
    <row r="285" spans="1:24" x14ac:dyDescent="0.15">
      <c r="A285" s="7" t="str">
        <f t="shared" si="12"/>
        <v>201806</v>
      </c>
      <c r="C285" s="6" t="str">
        <f>INDEX(工厂基础数据!$A$2:$A$1024,MATCH(X285,工厂基础数据!$D$2:$D$1024,0))</f>
        <v>02025767</v>
      </c>
      <c r="E285" s="6" t="str">
        <f>INDEX(工厂基础数据!$B$2:$B$1024,MATCH(X285,工厂基础数据!$D$2:$D$1024,0))</f>
        <v>滨州市仁信医药有限公司</v>
      </c>
      <c r="F285" s="6">
        <f>INDEX(商业2转码!$B$2:$B$10000,MATCH(E285,商业2转码!$A$2:$A$10000,0))</f>
        <v>0</v>
      </c>
      <c r="G285" s="6" t="str">
        <f>INDEX(品种2编码!$A$2:$A$1048576,MATCH(W285,品种2编码!$D$2:$D$1048576,0))</f>
        <v>0020040001SHYT0026</v>
      </c>
      <c r="H285" s="6" t="s">
        <v>715</v>
      </c>
      <c r="I285" s="6" t="s">
        <v>1867</v>
      </c>
      <c r="J285" s="6" t="s">
        <v>3037</v>
      </c>
      <c r="L285" s="6" t="s">
        <v>2279</v>
      </c>
      <c r="M285" s="6">
        <f>INDEX(医院2县区2人!$B$2:$B$1048576,MATCH(L285,医院2县区2人!$A$2:$A$1048576,0))</f>
        <v>4</v>
      </c>
      <c r="N285" s="6" t="str">
        <f>INDEX(医院2县区2人!$C$2:$C$1048576,MATCH(L285,医院2县区2人!$A$2:$A$1048576,0))</f>
        <v>1855</v>
      </c>
      <c r="P285" s="7">
        <v>43257.771041666667</v>
      </c>
      <c r="Q285" s="6">
        <v>10</v>
      </c>
      <c r="R285" s="6">
        <v>5.8</v>
      </c>
      <c r="S285" s="6">
        <v>1712115</v>
      </c>
      <c r="T285" s="6" t="str">
        <f>INDEX(医院2县区2人!$D$2:$D$1048576,MATCH(L285,医院2县区2人!$A$2:$A$1048576,0))</f>
        <v>201602151421097</v>
      </c>
      <c r="W285" s="6" t="str">
        <f t="shared" si="11"/>
        <v>小活络丸3g*10丸</v>
      </c>
      <c r="X285" s="6" t="s">
        <v>2890</v>
      </c>
    </row>
    <row r="286" spans="1:24" x14ac:dyDescent="0.15">
      <c r="A286" s="7" t="str">
        <f t="shared" si="12"/>
        <v>201806</v>
      </c>
      <c r="C286" s="6" t="str">
        <f>INDEX(工厂基础数据!$A$2:$A$1024,MATCH(X286,工厂基础数据!$D$2:$D$1024,0))</f>
        <v>02025767</v>
      </c>
      <c r="E286" s="6" t="str">
        <f>INDEX(工厂基础数据!$B$2:$B$1024,MATCH(X286,工厂基础数据!$D$2:$D$1024,0))</f>
        <v>滨州市仁信医药有限公司</v>
      </c>
      <c r="F286" s="6">
        <f>INDEX(商业2转码!$B$2:$B$10000,MATCH(E286,商业2转码!$A$2:$A$10000,0))</f>
        <v>0</v>
      </c>
      <c r="G286" s="6" t="str">
        <f>INDEX(品种2编码!$A$2:$A$1048576,MATCH(W286,品种2编码!$D$2:$D$1048576,0))</f>
        <v>0020030020ZYLC0010</v>
      </c>
      <c r="H286" s="6" t="s">
        <v>1903</v>
      </c>
      <c r="I286" s="6" t="s">
        <v>1839</v>
      </c>
      <c r="J286" s="6" t="s">
        <v>3036</v>
      </c>
      <c r="L286" s="6" t="s">
        <v>2279</v>
      </c>
      <c r="M286" s="6">
        <f>INDEX(医院2县区2人!$B$2:$B$1048576,MATCH(L286,医院2县区2人!$A$2:$A$1048576,0))</f>
        <v>4</v>
      </c>
      <c r="N286" s="6" t="str">
        <f>INDEX(医院2县区2人!$C$2:$C$1048576,MATCH(L286,医院2县区2人!$A$2:$A$1048576,0))</f>
        <v>1855</v>
      </c>
      <c r="P286" s="7">
        <v>43257.771041666667</v>
      </c>
      <c r="Q286" s="6">
        <v>10</v>
      </c>
      <c r="R286" s="6">
        <v>9</v>
      </c>
      <c r="S286" s="6">
        <v>180302</v>
      </c>
      <c r="T286" s="6" t="str">
        <f>INDEX(医院2县区2人!$D$2:$D$1048576,MATCH(L286,医院2县区2人!$A$2:$A$1048576,0))</f>
        <v>201602151421097</v>
      </c>
      <c r="W286" s="6" t="str">
        <f t="shared" si="11"/>
        <v>乳酸菌素片/为消0.4g*36片</v>
      </c>
      <c r="X286" s="6" t="s">
        <v>2890</v>
      </c>
    </row>
    <row r="287" spans="1:24" x14ac:dyDescent="0.15">
      <c r="A287" s="7" t="str">
        <f t="shared" si="12"/>
        <v>201806</v>
      </c>
      <c r="C287" s="6" t="str">
        <f>INDEX(工厂基础数据!$A$2:$A$1024,MATCH(X287,工厂基础数据!$D$2:$D$1024,0))</f>
        <v>02025767</v>
      </c>
      <c r="E287" s="6" t="str">
        <f>INDEX(工厂基础数据!$B$2:$B$1024,MATCH(X287,工厂基础数据!$D$2:$D$1024,0))</f>
        <v>滨州市仁信医药有限公司</v>
      </c>
      <c r="F287" s="6">
        <f>INDEX(商业2转码!$B$2:$B$10000,MATCH(E287,商业2转码!$A$2:$A$10000,0))</f>
        <v>0</v>
      </c>
      <c r="G287" s="6" t="str">
        <f>INDEX(品种2编码!$A$2:$A$1048576,MATCH(W287,品种2编码!$D$2:$D$1048576,0))</f>
        <v>0020070000ZYLC0055</v>
      </c>
      <c r="H287" s="6" t="s">
        <v>1906</v>
      </c>
      <c r="I287" s="6" t="s">
        <v>411</v>
      </c>
      <c r="J287" s="6" t="s">
        <v>3036</v>
      </c>
      <c r="L287" s="6" t="s">
        <v>2279</v>
      </c>
      <c r="M287" s="6">
        <f>INDEX(医院2县区2人!$B$2:$B$1048576,MATCH(L287,医院2县区2人!$A$2:$A$1048576,0))</f>
        <v>4</v>
      </c>
      <c r="N287" s="6" t="str">
        <f>INDEX(医院2县区2人!$C$2:$C$1048576,MATCH(L287,医院2县区2人!$A$2:$A$1048576,0))</f>
        <v>1855</v>
      </c>
      <c r="P287" s="7">
        <v>43257.771041666667</v>
      </c>
      <c r="Q287" s="6">
        <v>20</v>
      </c>
      <c r="R287" s="6">
        <v>20</v>
      </c>
      <c r="S287" s="6">
        <v>170615</v>
      </c>
      <c r="T287" s="6" t="str">
        <f>INDEX(医院2县区2人!$D$2:$D$1048576,MATCH(L287,医院2县区2人!$A$2:$A$1048576,0))</f>
        <v>201602151421097</v>
      </c>
      <c r="W287" s="6" t="str">
        <f t="shared" si="11"/>
        <v>朴血/乳酸亚铁口服液10ml*12支</v>
      </c>
      <c r="X287" s="6" t="s">
        <v>2890</v>
      </c>
    </row>
    <row r="288" spans="1:24" x14ac:dyDescent="0.15">
      <c r="A288" s="7" t="str">
        <f t="shared" si="12"/>
        <v>201806</v>
      </c>
      <c r="C288" s="6" t="str">
        <f>INDEX(工厂基础数据!$A$2:$A$1024,MATCH(X288,工厂基础数据!$D$2:$D$1024,0))</f>
        <v>02025767</v>
      </c>
      <c r="E288" s="6" t="str">
        <f>INDEX(工厂基础数据!$B$2:$B$1024,MATCH(X288,工厂基础数据!$D$2:$D$1024,0))</f>
        <v>滨州市仁信医药有限公司</v>
      </c>
      <c r="F288" s="6">
        <f>INDEX(商业2转码!$B$2:$B$10000,MATCH(E288,商业2转码!$A$2:$A$10000,0))</f>
        <v>0</v>
      </c>
      <c r="G288" s="6" t="str">
        <f>INDEX(品种2编码!$A$2:$A$1048576,MATCH(W288,品种2编码!$D$2:$D$1048576,0))</f>
        <v>0020020020ZYLC0010</v>
      </c>
      <c r="H288" s="6" t="s">
        <v>1877</v>
      </c>
      <c r="I288" s="6" t="s">
        <v>1878</v>
      </c>
      <c r="J288" s="6" t="s">
        <v>3036</v>
      </c>
      <c r="L288" s="6" t="s">
        <v>2279</v>
      </c>
      <c r="M288" s="6">
        <f>INDEX(医院2县区2人!$B$2:$B$1048576,MATCH(L288,医院2县区2人!$A$2:$A$1048576,0))</f>
        <v>4</v>
      </c>
      <c r="N288" s="6" t="str">
        <f>INDEX(医院2县区2人!$C$2:$C$1048576,MATCH(L288,医院2县区2人!$A$2:$A$1048576,0))</f>
        <v>1855</v>
      </c>
      <c r="P288" s="7">
        <v>43257.771041666667</v>
      </c>
      <c r="Q288" s="6">
        <v>40</v>
      </c>
      <c r="R288" s="6">
        <v>3.5</v>
      </c>
      <c r="S288" s="6">
        <v>180401</v>
      </c>
      <c r="T288" s="6" t="str">
        <f>INDEX(医院2县区2人!$D$2:$D$1048576,MATCH(L288,医院2县区2人!$A$2:$A$1048576,0))</f>
        <v>201602151421097</v>
      </c>
      <c r="W288" s="6" t="str">
        <f t="shared" si="11"/>
        <v xml:space="preserve">泻利停/颠茄磺苄啶片0.48g*10片 </v>
      </c>
      <c r="X288" s="6" t="s">
        <v>2890</v>
      </c>
    </row>
    <row r="289" spans="1:24" x14ac:dyDescent="0.15">
      <c r="A289" s="7" t="str">
        <f t="shared" si="12"/>
        <v>201806</v>
      </c>
      <c r="C289" s="6" t="str">
        <f>INDEX(工厂基础数据!$A$2:$A$1024,MATCH(X289,工厂基础数据!$D$2:$D$1024,0))</f>
        <v>02025767</v>
      </c>
      <c r="E289" s="6" t="str">
        <f>INDEX(工厂基础数据!$B$2:$B$1024,MATCH(X289,工厂基础数据!$D$2:$D$1024,0))</f>
        <v>滨州市仁信医药有限公司</v>
      </c>
      <c r="F289" s="6">
        <f>INDEX(商业2转码!$B$2:$B$10000,MATCH(E289,商业2转码!$A$2:$A$10000,0))</f>
        <v>0</v>
      </c>
      <c r="G289" s="6" t="str">
        <f>INDEX(品种2编码!$A$2:$A$1048576,MATCH(W289,品种2编码!$D$2:$D$1048576,0))</f>
        <v>0020030001SJZY0006</v>
      </c>
      <c r="H289" s="6" t="s">
        <v>1888</v>
      </c>
      <c r="I289" s="6" t="s">
        <v>411</v>
      </c>
      <c r="J289" s="6" t="s">
        <v>3040</v>
      </c>
      <c r="L289" s="6" t="s">
        <v>2443</v>
      </c>
      <c r="M289" s="6">
        <f>INDEX(医院2县区2人!$B$2:$B$1048576,MATCH(L289,医院2县区2人!$A$2:$A$1048576,0))</f>
        <v>2</v>
      </c>
      <c r="N289" s="6" t="str">
        <f>INDEX(医院2县区2人!$C$2:$C$1048576,MATCH(L289,医院2县区2人!$A$2:$A$1048576,0))</f>
        <v>1856</v>
      </c>
      <c r="P289" s="7">
        <v>43257.770925925928</v>
      </c>
      <c r="Q289" s="6">
        <v>20</v>
      </c>
      <c r="R289" s="6">
        <v>25</v>
      </c>
      <c r="S289" s="6">
        <v>17071042</v>
      </c>
      <c r="T289" s="6" t="str">
        <f>INDEX(医院2县区2人!$D$2:$D$1048576,MATCH(L289,医院2县区2人!$A$2:$A$1048576,0))</f>
        <v>201602151421097</v>
      </c>
      <c r="W289" s="6" t="str">
        <f t="shared" si="11"/>
        <v>葡萄糖酸钙口服溶液（含糖）10ml*12支</v>
      </c>
      <c r="X289" s="6" t="s">
        <v>2890</v>
      </c>
    </row>
    <row r="290" spans="1:24" x14ac:dyDescent="0.15">
      <c r="A290" s="7" t="str">
        <f t="shared" si="12"/>
        <v>201806</v>
      </c>
      <c r="C290" s="6" t="str">
        <f>INDEX(工厂基础数据!$A$2:$A$1024,MATCH(X290,工厂基础数据!$D$2:$D$1024,0))</f>
        <v>02025767</v>
      </c>
      <c r="E290" s="6" t="str">
        <f>INDEX(工厂基础数据!$B$2:$B$1024,MATCH(X290,工厂基础数据!$D$2:$D$1024,0))</f>
        <v>滨州市仁信医药有限公司</v>
      </c>
      <c r="F290" s="6">
        <f>INDEX(商业2转码!$B$2:$B$10000,MATCH(E290,商业2转码!$A$2:$A$10000,0))</f>
        <v>0</v>
      </c>
      <c r="G290" s="6" t="str">
        <f>INDEX(品种2编码!$A$2:$A$1048576,MATCH(W290,品种2编码!$D$2:$D$1048576,0))</f>
        <v>0020020040ZYZC0304</v>
      </c>
      <c r="H290" s="6" t="s">
        <v>1942</v>
      </c>
      <c r="I290" s="6" t="s">
        <v>1943</v>
      </c>
      <c r="J290" s="6" t="s">
        <v>3038</v>
      </c>
      <c r="L290" s="6" t="s">
        <v>2242</v>
      </c>
      <c r="M290" s="6">
        <f>INDEX(医院2县区2人!$B$2:$B$1048576,MATCH(L290,医院2县区2人!$A$2:$A$1048576,0))</f>
        <v>2</v>
      </c>
      <c r="N290" s="6" t="str">
        <f>INDEX(医院2县区2人!$C$2:$C$1048576,MATCH(L290,医院2县区2人!$A$2:$A$1048576,0))</f>
        <v>1855</v>
      </c>
      <c r="P290" s="7">
        <v>43257.770613425928</v>
      </c>
      <c r="Q290" s="6">
        <v>10</v>
      </c>
      <c r="R290" s="6">
        <v>6.5</v>
      </c>
      <c r="S290" s="6">
        <v>1804003</v>
      </c>
      <c r="T290" s="6" t="str">
        <f>INDEX(医院2县区2人!$D$2:$D$1048576,MATCH(L290,医院2县区2人!$A$2:$A$1048576,0))</f>
        <v>201602151421097</v>
      </c>
      <c r="W290" s="6" t="str">
        <f t="shared" si="11"/>
        <v>阿莫西林颗粒0.125g*12袋</v>
      </c>
      <c r="X290" s="6" t="s">
        <v>2890</v>
      </c>
    </row>
    <row r="291" spans="1:24" x14ac:dyDescent="0.15">
      <c r="A291" s="7" t="str">
        <f t="shared" si="12"/>
        <v>201806</v>
      </c>
      <c r="C291" s="6" t="str">
        <f>INDEX(工厂基础数据!$A$2:$A$1024,MATCH(X291,工厂基础数据!$D$2:$D$1024,0))</f>
        <v>02025767</v>
      </c>
      <c r="E291" s="6" t="str">
        <f>INDEX(工厂基础数据!$B$2:$B$1024,MATCH(X291,工厂基础数据!$D$2:$D$1024,0))</f>
        <v>滨州市仁信医药有限公司</v>
      </c>
      <c r="F291" s="6">
        <f>INDEX(商业2转码!$B$2:$B$10000,MATCH(E291,商业2转码!$A$2:$A$10000,0))</f>
        <v>0</v>
      </c>
      <c r="G291" s="6" t="str">
        <f>INDEX(品种2编码!$A$2:$A$1048576,MATCH(W291,品种2编码!$D$2:$D$1048576,0))</f>
        <v>0020040001SHYT0027</v>
      </c>
      <c r="H291" s="6" t="s">
        <v>313</v>
      </c>
      <c r="I291" s="6" t="s">
        <v>444</v>
      </c>
      <c r="J291" s="6" t="s">
        <v>3037</v>
      </c>
      <c r="L291" s="6" t="s">
        <v>2242</v>
      </c>
      <c r="M291" s="6">
        <f>INDEX(医院2县区2人!$B$2:$B$1048576,MATCH(L291,医院2县区2人!$A$2:$A$1048576,0))</f>
        <v>2</v>
      </c>
      <c r="N291" s="6" t="str">
        <f>INDEX(医院2县区2人!$C$2:$C$1048576,MATCH(L291,医院2县区2人!$A$2:$A$1048576,0))</f>
        <v>1855</v>
      </c>
      <c r="P291" s="7">
        <v>43257.770682870374</v>
      </c>
      <c r="Q291" s="6">
        <v>5</v>
      </c>
      <c r="R291" s="6">
        <v>10</v>
      </c>
      <c r="S291" s="6">
        <v>1606101</v>
      </c>
      <c r="T291" s="6" t="str">
        <f>INDEX(医院2县区2人!$D$2:$D$1048576,MATCH(L291,医院2县区2人!$A$2:$A$1048576,0))</f>
        <v>201602151421097</v>
      </c>
      <c r="W291" s="6" t="str">
        <f t="shared" si="11"/>
        <v>柏子养心丸9g*10丸</v>
      </c>
      <c r="X291" s="6" t="s">
        <v>2890</v>
      </c>
    </row>
    <row r="292" spans="1:24" x14ac:dyDescent="0.15">
      <c r="A292" s="7" t="str">
        <f t="shared" si="12"/>
        <v>201806</v>
      </c>
      <c r="C292" s="6" t="str">
        <f>INDEX(工厂基础数据!$A$2:$A$1024,MATCH(X292,工厂基础数据!$D$2:$D$1024,0))</f>
        <v>02025767</v>
      </c>
      <c r="E292" s="6" t="str">
        <f>INDEX(工厂基础数据!$B$2:$B$1024,MATCH(X292,工厂基础数据!$D$2:$D$1024,0))</f>
        <v>滨州市仁信医药有限公司</v>
      </c>
      <c r="F292" s="6">
        <f>INDEX(商业2转码!$B$2:$B$10000,MATCH(E292,商业2转码!$A$2:$A$10000,0))</f>
        <v>0</v>
      </c>
      <c r="G292" s="6" t="str">
        <f>INDEX(品种2编码!$A$2:$A$1048576,MATCH(W292,品种2编码!$D$2:$D$1048576,0))</f>
        <v>0020050020SHYT0016</v>
      </c>
      <c r="H292" s="6" t="s">
        <v>1864</v>
      </c>
      <c r="I292" s="6" t="s">
        <v>339</v>
      </c>
      <c r="J292" s="6" t="s">
        <v>3037</v>
      </c>
      <c r="L292" s="6" t="s">
        <v>2183</v>
      </c>
      <c r="M292" s="6">
        <f>INDEX(医院2县区2人!$B$2:$B$1048576,MATCH(L292,医院2县区2人!$A$2:$A$1048576,0))</f>
        <v>4</v>
      </c>
      <c r="N292" s="6" t="str">
        <f>INDEX(医院2县区2人!$C$2:$C$1048576,MATCH(L292,医院2县区2人!$A$2:$A$1048576,0))</f>
        <v>1859</v>
      </c>
      <c r="P292" s="7">
        <v>43260.717303240737</v>
      </c>
      <c r="Q292" s="6">
        <v>51</v>
      </c>
      <c r="R292" s="6">
        <v>16.5</v>
      </c>
      <c r="S292" s="6">
        <v>1801503</v>
      </c>
      <c r="T292" s="6" t="str">
        <f>INDEX(医院2县区2人!$D$2:$D$1048576,MATCH(L292,医院2县区2人!$A$2:$A$1048576,0))</f>
        <v>201602151421097</v>
      </c>
      <c r="W292" s="6" t="str">
        <f t="shared" si="11"/>
        <v>复方金银花颗粒10g*10袋</v>
      </c>
      <c r="X292" s="6" t="s">
        <v>2890</v>
      </c>
    </row>
    <row r="293" spans="1:24" x14ac:dyDescent="0.15">
      <c r="A293" s="7" t="str">
        <f t="shared" si="12"/>
        <v>201806</v>
      </c>
      <c r="C293" s="6" t="str">
        <f>INDEX(工厂基础数据!$A$2:$A$1024,MATCH(X293,工厂基础数据!$D$2:$D$1024,0))</f>
        <v>02025767</v>
      </c>
      <c r="E293" s="6" t="str">
        <f>INDEX(工厂基础数据!$B$2:$B$1024,MATCH(X293,工厂基础数据!$D$2:$D$1024,0))</f>
        <v>滨州市仁信医药有限公司</v>
      </c>
      <c r="F293" s="6">
        <f>INDEX(商业2转码!$B$2:$B$10000,MATCH(E293,商业2转码!$A$2:$A$10000,0))</f>
        <v>0</v>
      </c>
      <c r="G293" s="6" t="str">
        <f>INDEX(品种2编码!$A$2:$A$1048576,MATCH(W293,品种2编码!$D$2:$D$1048576,0))</f>
        <v>0020050020SHYT0016</v>
      </c>
      <c r="H293" s="6" t="s">
        <v>1864</v>
      </c>
      <c r="I293" s="6" t="s">
        <v>339</v>
      </c>
      <c r="J293" s="6" t="s">
        <v>3037</v>
      </c>
      <c r="L293" s="6" t="s">
        <v>2183</v>
      </c>
      <c r="M293" s="6">
        <f>INDEX(医院2县区2人!$B$2:$B$1048576,MATCH(L293,医院2县区2人!$A$2:$A$1048576,0))</f>
        <v>4</v>
      </c>
      <c r="N293" s="6" t="str">
        <f>INDEX(医院2县区2人!$C$2:$C$1048576,MATCH(L293,医院2县区2人!$A$2:$A$1048576,0))</f>
        <v>1859</v>
      </c>
      <c r="P293" s="7">
        <v>43260.717303240737</v>
      </c>
      <c r="Q293" s="6">
        <v>8</v>
      </c>
      <c r="R293" s="6">
        <v>16.5</v>
      </c>
      <c r="S293" s="6">
        <v>1801504</v>
      </c>
      <c r="T293" s="6" t="str">
        <f>INDEX(医院2县区2人!$D$2:$D$1048576,MATCH(L293,医院2县区2人!$A$2:$A$1048576,0))</f>
        <v>201602151421097</v>
      </c>
      <c r="W293" s="6" t="str">
        <f t="shared" si="11"/>
        <v>复方金银花颗粒10g*10袋</v>
      </c>
      <c r="X293" s="6" t="s">
        <v>2890</v>
      </c>
    </row>
    <row r="294" spans="1:24" x14ac:dyDescent="0.15">
      <c r="A294" s="7" t="str">
        <f t="shared" si="12"/>
        <v>201806</v>
      </c>
      <c r="C294" s="6" t="str">
        <f>INDEX(工厂基础数据!$A$2:$A$1024,MATCH(X294,工厂基础数据!$D$2:$D$1024,0))</f>
        <v>02025767</v>
      </c>
      <c r="E294" s="6" t="str">
        <f>INDEX(工厂基础数据!$B$2:$B$1024,MATCH(X294,工厂基础数据!$D$2:$D$1024,0))</f>
        <v>滨州市仁信医药有限公司</v>
      </c>
      <c r="F294" s="6">
        <f>INDEX(商业2转码!$B$2:$B$10000,MATCH(E294,商业2转码!$A$2:$A$10000,0))</f>
        <v>0</v>
      </c>
      <c r="G294" s="6" t="str">
        <f>INDEX(品种2编码!$A$2:$A$1048576,MATCH(W294,品种2编码!$D$2:$D$1048576,0))</f>
        <v>0020050020SHYT0016</v>
      </c>
      <c r="H294" s="6" t="s">
        <v>1864</v>
      </c>
      <c r="I294" s="6" t="s">
        <v>339</v>
      </c>
      <c r="J294" s="6" t="s">
        <v>3037</v>
      </c>
      <c r="L294" s="6" t="s">
        <v>2183</v>
      </c>
      <c r="M294" s="6">
        <f>INDEX(医院2县区2人!$B$2:$B$1048576,MATCH(L294,医院2县区2人!$A$2:$A$1048576,0))</f>
        <v>4</v>
      </c>
      <c r="N294" s="6" t="str">
        <f>INDEX(医院2县区2人!$C$2:$C$1048576,MATCH(L294,医院2县区2人!$A$2:$A$1048576,0))</f>
        <v>1859</v>
      </c>
      <c r="P294" s="7">
        <v>43260.717303240737</v>
      </c>
      <c r="Q294" s="6">
        <v>2</v>
      </c>
      <c r="R294" s="6">
        <v>16.5</v>
      </c>
      <c r="S294" s="6">
        <v>1801504</v>
      </c>
      <c r="T294" s="6" t="str">
        <f>INDEX(医院2县区2人!$D$2:$D$1048576,MATCH(L294,医院2县区2人!$A$2:$A$1048576,0))</f>
        <v>201602151421097</v>
      </c>
      <c r="W294" s="6" t="str">
        <f t="shared" si="11"/>
        <v>复方金银花颗粒10g*10袋</v>
      </c>
      <c r="X294" s="6" t="s">
        <v>2890</v>
      </c>
    </row>
    <row r="295" spans="1:24" x14ac:dyDescent="0.15">
      <c r="A295" s="7" t="str">
        <f t="shared" si="12"/>
        <v>201806</v>
      </c>
      <c r="C295" s="6" t="str">
        <f>INDEX(工厂基础数据!$A$2:$A$1024,MATCH(X295,工厂基础数据!$D$2:$D$1024,0))</f>
        <v>02025767</v>
      </c>
      <c r="E295" s="6" t="str">
        <f>INDEX(工厂基础数据!$B$2:$B$1024,MATCH(X295,工厂基础数据!$D$2:$D$1024,0))</f>
        <v>滨州市仁信医药有限公司</v>
      </c>
      <c r="F295" s="6">
        <f>INDEX(商业2转码!$B$2:$B$10000,MATCH(E295,商业2转码!$A$2:$A$10000,0))</f>
        <v>0</v>
      </c>
      <c r="G295" s="6" t="str">
        <f>INDEX(品种2编码!$A$2:$A$1048576,MATCH(W295,品种2编码!$D$2:$D$1048576,0))</f>
        <v>0020050020SHYT0016</v>
      </c>
      <c r="H295" s="6" t="s">
        <v>1864</v>
      </c>
      <c r="I295" s="6" t="s">
        <v>339</v>
      </c>
      <c r="J295" s="6" t="s">
        <v>3037</v>
      </c>
      <c r="L295" s="6" t="s">
        <v>2183</v>
      </c>
      <c r="M295" s="6">
        <f>INDEX(医院2县区2人!$B$2:$B$1048576,MATCH(L295,医院2县区2人!$A$2:$A$1048576,0))</f>
        <v>4</v>
      </c>
      <c r="N295" s="6" t="str">
        <f>INDEX(医院2县区2人!$C$2:$C$1048576,MATCH(L295,医院2县区2人!$A$2:$A$1048576,0))</f>
        <v>1859</v>
      </c>
      <c r="P295" s="7">
        <v>43260.717303240737</v>
      </c>
      <c r="Q295" s="6">
        <v>60</v>
      </c>
      <c r="R295" s="6">
        <v>16.5</v>
      </c>
      <c r="S295" s="6">
        <v>1801503</v>
      </c>
      <c r="T295" s="6" t="str">
        <f>INDEX(医院2县区2人!$D$2:$D$1048576,MATCH(L295,医院2县区2人!$A$2:$A$1048576,0))</f>
        <v>201602151421097</v>
      </c>
      <c r="W295" s="6" t="str">
        <f t="shared" si="11"/>
        <v>复方金银花颗粒10g*10袋</v>
      </c>
      <c r="X295" s="6" t="s">
        <v>2890</v>
      </c>
    </row>
    <row r="296" spans="1:24" x14ac:dyDescent="0.15">
      <c r="A296" s="7" t="str">
        <f t="shared" si="12"/>
        <v>201806</v>
      </c>
      <c r="C296" s="6" t="str">
        <f>INDEX(工厂基础数据!$A$2:$A$1024,MATCH(X296,工厂基础数据!$D$2:$D$1024,0))</f>
        <v>02025767</v>
      </c>
      <c r="E296" s="6" t="str">
        <f>INDEX(工厂基础数据!$B$2:$B$1024,MATCH(X296,工厂基础数据!$D$2:$D$1024,0))</f>
        <v>滨州市仁信医药有限公司</v>
      </c>
      <c r="F296" s="6">
        <f>INDEX(商业2转码!$B$2:$B$10000,MATCH(E296,商业2转码!$A$2:$A$10000,0))</f>
        <v>0</v>
      </c>
      <c r="G296" s="6" t="str">
        <f>INDEX(品种2编码!$A$2:$A$1048576,MATCH(W296,品种2编码!$D$2:$D$1048576,0))</f>
        <v>0020020030ZYZC0289</v>
      </c>
      <c r="H296" s="6" t="s">
        <v>245</v>
      </c>
      <c r="I296" s="6" t="s">
        <v>1952</v>
      </c>
      <c r="J296" s="6" t="s">
        <v>3038</v>
      </c>
      <c r="L296" s="6" t="s">
        <v>2183</v>
      </c>
      <c r="M296" s="6">
        <f>INDEX(医院2县区2人!$B$2:$B$1048576,MATCH(L296,医院2县区2人!$A$2:$A$1048576,0))</f>
        <v>4</v>
      </c>
      <c r="N296" s="6" t="str">
        <f>INDEX(医院2县区2人!$C$2:$C$1048576,MATCH(L296,医院2县区2人!$A$2:$A$1048576,0))</f>
        <v>1859</v>
      </c>
      <c r="P296" s="7">
        <v>43260.717361111114</v>
      </c>
      <c r="Q296" s="6">
        <v>400</v>
      </c>
      <c r="R296" s="6">
        <v>11.4</v>
      </c>
      <c r="S296" s="6">
        <v>1805009</v>
      </c>
      <c r="T296" s="6" t="str">
        <f>INDEX(医院2县区2人!$D$2:$D$1048576,MATCH(L296,医院2县区2人!$A$2:$A$1048576,0))</f>
        <v>201602151421097</v>
      </c>
      <c r="W296" s="6" t="str">
        <f t="shared" si="11"/>
        <v>阿莫西林胶囊0.5g*36粒</v>
      </c>
      <c r="X296" s="6" t="s">
        <v>2890</v>
      </c>
    </row>
    <row r="297" spans="1:24" x14ac:dyDescent="0.15">
      <c r="A297" s="7" t="str">
        <f t="shared" si="12"/>
        <v>201806</v>
      </c>
      <c r="C297" s="6" t="str">
        <f>INDEX(工厂基础数据!$A$2:$A$1024,MATCH(X297,工厂基础数据!$D$2:$D$1024,0))</f>
        <v>02025767</v>
      </c>
      <c r="E297" s="6" t="str">
        <f>INDEX(工厂基础数据!$B$2:$B$1024,MATCH(X297,工厂基础数据!$D$2:$D$1024,0))</f>
        <v>滨州市仁信医药有限公司</v>
      </c>
      <c r="F297" s="6">
        <f>INDEX(商业2转码!$B$2:$B$10000,MATCH(E297,商业2转码!$A$2:$A$10000,0))</f>
        <v>0</v>
      </c>
      <c r="G297" s="6" t="str">
        <f>INDEX(品种2编码!$A$2:$A$1048576,MATCH(W297,品种2编码!$D$2:$D$1048576,0))</f>
        <v>0020020030ZYZC0289</v>
      </c>
      <c r="H297" s="6" t="s">
        <v>245</v>
      </c>
      <c r="I297" s="6" t="s">
        <v>1952</v>
      </c>
      <c r="J297" s="6" t="s">
        <v>3038</v>
      </c>
      <c r="L297" s="6" t="s">
        <v>2183</v>
      </c>
      <c r="M297" s="6">
        <f>INDEX(医院2县区2人!$B$2:$B$1048576,MATCH(L297,医院2县区2人!$A$2:$A$1048576,0))</f>
        <v>4</v>
      </c>
      <c r="N297" s="6" t="str">
        <f>INDEX(医院2县区2人!$C$2:$C$1048576,MATCH(L297,医院2县区2人!$A$2:$A$1048576,0))</f>
        <v>1859</v>
      </c>
      <c r="P297" s="7">
        <v>43260.717210648145</v>
      </c>
      <c r="Q297" s="6">
        <v>200</v>
      </c>
      <c r="R297" s="6">
        <v>11.4</v>
      </c>
      <c r="S297" s="6">
        <v>1805009</v>
      </c>
      <c r="T297" s="6" t="str">
        <f>INDEX(医院2县区2人!$D$2:$D$1048576,MATCH(L297,医院2县区2人!$A$2:$A$1048576,0))</f>
        <v>201602151421097</v>
      </c>
      <c r="W297" s="6" t="str">
        <f t="shared" si="11"/>
        <v>阿莫西林胶囊0.5g*36粒</v>
      </c>
      <c r="X297" s="6" t="s">
        <v>2890</v>
      </c>
    </row>
    <row r="298" spans="1:24" x14ac:dyDescent="0.15">
      <c r="A298" s="7" t="str">
        <f t="shared" si="12"/>
        <v>201806</v>
      </c>
      <c r="C298" s="6" t="str">
        <f>INDEX(工厂基础数据!$A$2:$A$1024,MATCH(X298,工厂基础数据!$D$2:$D$1024,0))</f>
        <v>02025767</v>
      </c>
      <c r="E298" s="6" t="str">
        <f>INDEX(工厂基础数据!$B$2:$B$1024,MATCH(X298,工厂基础数据!$D$2:$D$1024,0))</f>
        <v>滨州市仁信医药有限公司</v>
      </c>
      <c r="F298" s="6">
        <f>INDEX(商业2转码!$B$2:$B$10000,MATCH(E298,商业2转码!$A$2:$A$10000,0))</f>
        <v>0</v>
      </c>
      <c r="G298" s="6" t="str">
        <f>INDEX(品种2编码!$A$2:$A$1048576,MATCH(W298,品种2编码!$D$2:$D$1048576,0))</f>
        <v>0020020021ZYLC0004</v>
      </c>
      <c r="H298" s="6" t="s">
        <v>1899</v>
      </c>
      <c r="I298" s="6" t="s">
        <v>1869</v>
      </c>
      <c r="J298" s="6" t="s">
        <v>3036</v>
      </c>
      <c r="L298" s="6" t="s">
        <v>2743</v>
      </c>
      <c r="M298" s="6">
        <f>INDEX(医院2县区2人!$B$2:$B$1048576,MATCH(L298,医院2县区2人!$A$2:$A$1048576,0))</f>
        <v>2</v>
      </c>
      <c r="N298" s="6" t="str">
        <f>INDEX(医院2县区2人!$C$2:$C$1048576,MATCH(L298,医院2县区2人!$A$2:$A$1048576,0))</f>
        <v>1855</v>
      </c>
      <c r="P298" s="7">
        <v>43257.770995370367</v>
      </c>
      <c r="Q298" s="6">
        <v>10</v>
      </c>
      <c r="R298" s="6">
        <v>8</v>
      </c>
      <c r="S298" s="6">
        <v>180201</v>
      </c>
      <c r="T298" s="6" t="str">
        <f>INDEX(医院2县区2人!$D$2:$D$1048576,MATCH(L298,医院2县区2人!$A$2:$A$1048576,0))</f>
        <v>201602151421097</v>
      </c>
      <c r="W298" s="6" t="str">
        <f t="shared" si="11"/>
        <v>大严迪片/罗红霉素分散片75mg*12片</v>
      </c>
      <c r="X298" s="6" t="s">
        <v>2890</v>
      </c>
    </row>
    <row r="299" spans="1:24" x14ac:dyDescent="0.15">
      <c r="A299" s="7" t="str">
        <f t="shared" si="12"/>
        <v>201806</v>
      </c>
      <c r="C299" s="6" t="str">
        <f>INDEX(工厂基础数据!$A$2:$A$1024,MATCH(X299,工厂基础数据!$D$2:$D$1024,0))</f>
        <v>02025767</v>
      </c>
      <c r="E299" s="6" t="str">
        <f>INDEX(工厂基础数据!$B$2:$B$1024,MATCH(X299,工厂基础数据!$D$2:$D$1024,0))</f>
        <v>滨州市仁信医药有限公司</v>
      </c>
      <c r="F299" s="6">
        <f>INDEX(商业2转码!$B$2:$B$10000,MATCH(E299,商业2转码!$A$2:$A$10000,0))</f>
        <v>0</v>
      </c>
      <c r="G299" s="6" t="str">
        <f>INDEX(品种2编码!$A$2:$A$1048576,MATCH(W299,品种2编码!$D$2:$D$1048576,0))</f>
        <v>0020020020ZYZC0473</v>
      </c>
      <c r="H299" s="6" t="s">
        <v>745</v>
      </c>
      <c r="I299" s="6" t="s">
        <v>290</v>
      </c>
      <c r="J299" s="6" t="s">
        <v>3038</v>
      </c>
      <c r="L299" s="6" t="s">
        <v>2360</v>
      </c>
      <c r="M299" s="6">
        <f>INDEX(医院2县区2人!$B$2:$B$1048576,MATCH(L299,医院2县区2人!$A$2:$A$1048576,0))</f>
        <v>2</v>
      </c>
      <c r="N299" s="6" t="str">
        <f>INDEX(医院2县区2人!$C$2:$C$1048576,MATCH(L299,医院2县区2人!$A$2:$A$1048576,0))</f>
        <v>1855</v>
      </c>
      <c r="P299" s="7">
        <v>43258.745972222219</v>
      </c>
      <c r="Q299" s="6">
        <v>10</v>
      </c>
      <c r="R299" s="6">
        <v>4.3</v>
      </c>
      <c r="S299" s="6" t="s">
        <v>3056</v>
      </c>
      <c r="T299" s="6" t="str">
        <f>INDEX(医院2县区2人!$D$2:$D$1048576,MATCH(L299,医院2县区2人!$A$2:$A$1048576,0))</f>
        <v>201602151421097</v>
      </c>
      <c r="W299" s="6" t="str">
        <f t="shared" si="11"/>
        <v>盐酸环丙沙星片0.25g*12片</v>
      </c>
      <c r="X299" s="6" t="s">
        <v>2890</v>
      </c>
    </row>
    <row r="300" spans="1:24" x14ac:dyDescent="0.15">
      <c r="A300" s="7" t="str">
        <f t="shared" si="12"/>
        <v>201806</v>
      </c>
      <c r="C300" s="6" t="str">
        <f>INDEX(工厂基础数据!$A$2:$A$1024,MATCH(X300,工厂基础数据!$D$2:$D$1024,0))</f>
        <v>02025767</v>
      </c>
      <c r="E300" s="6" t="str">
        <f>INDEX(工厂基础数据!$B$2:$B$1024,MATCH(X300,工厂基础数据!$D$2:$D$1024,0))</f>
        <v>滨州市仁信医药有限公司</v>
      </c>
      <c r="F300" s="6">
        <f>INDEX(商业2转码!$B$2:$B$10000,MATCH(E300,商业2转码!$A$2:$A$10000,0))</f>
        <v>0</v>
      </c>
      <c r="G300" s="6" t="str">
        <f>INDEX(品种2编码!$A$2:$A$1048576,MATCH(W300,品种2编码!$D$2:$D$1048576,0))</f>
        <v>0020030020SJSC0014</v>
      </c>
      <c r="H300" s="6" t="s">
        <v>677</v>
      </c>
      <c r="I300" s="6" t="s">
        <v>1882</v>
      </c>
      <c r="J300" s="6" t="s">
        <v>3045</v>
      </c>
      <c r="L300" s="6" t="s">
        <v>2268</v>
      </c>
      <c r="M300" s="6">
        <f>INDEX(医院2县区2人!$B$2:$B$1048576,MATCH(L300,医院2县区2人!$A$2:$A$1048576,0))</f>
        <v>2</v>
      </c>
      <c r="N300" s="6" t="str">
        <f>INDEX(医院2县区2人!$C$2:$C$1048576,MATCH(L300,医院2县区2人!$A$2:$A$1048576,0))</f>
        <v>1853</v>
      </c>
      <c r="P300" s="7">
        <v>43257.770891203705</v>
      </c>
      <c r="Q300" s="6">
        <v>10</v>
      </c>
      <c r="R300" s="6">
        <v>9.8000000000000007</v>
      </c>
      <c r="S300" s="6">
        <v>1707002</v>
      </c>
      <c r="T300" s="6" t="str">
        <f>INDEX(医院2县区2人!$D$2:$D$1048576,MATCH(L300,医院2县区2人!$A$2:$A$1048576,0))</f>
        <v>201602151421097</v>
      </c>
      <c r="W300" s="6" t="str">
        <f t="shared" si="11"/>
        <v>维D2磷酸氢钙片60片</v>
      </c>
      <c r="X300" s="6" t="s">
        <v>2890</v>
      </c>
    </row>
    <row r="301" spans="1:24" x14ac:dyDescent="0.15">
      <c r="A301" s="7" t="str">
        <f t="shared" si="12"/>
        <v>201806</v>
      </c>
      <c r="C301" s="6" t="str">
        <f>INDEX(工厂基础数据!$A$2:$A$1024,MATCH(X301,工厂基础数据!$D$2:$D$1024,0))</f>
        <v>02025767</v>
      </c>
      <c r="E301" s="6" t="str">
        <f>INDEX(工厂基础数据!$B$2:$B$1024,MATCH(X301,工厂基础数据!$D$2:$D$1024,0))</f>
        <v>滨州市仁信医药有限公司</v>
      </c>
      <c r="F301" s="6">
        <f>INDEX(商业2转码!$B$2:$B$10000,MATCH(E301,商业2转码!$A$2:$A$10000,0))</f>
        <v>0</v>
      </c>
      <c r="G301" s="6" t="str">
        <f>INDEX(品种2编码!$A$2:$A$1048576,MATCH(W301,品种2编码!$D$2:$D$1048576,0))</f>
        <v>0020030020ZYLC0010</v>
      </c>
      <c r="H301" s="6" t="s">
        <v>1903</v>
      </c>
      <c r="I301" s="6" t="s">
        <v>1839</v>
      </c>
      <c r="J301" s="6" t="s">
        <v>3036</v>
      </c>
      <c r="L301" s="6" t="s">
        <v>2821</v>
      </c>
      <c r="M301" s="6">
        <f>INDEX(医院2县区2人!$B$2:$B$1048576,MATCH(L301,医院2县区2人!$A$2:$A$1048576,0))</f>
        <v>2</v>
      </c>
      <c r="N301" s="6" t="str">
        <f>INDEX(医院2县区2人!$C$2:$C$1048576,MATCH(L301,医院2县区2人!$A$2:$A$1048576,0))</f>
        <v>1855</v>
      </c>
      <c r="P301" s="7">
        <v>43257.771041666667</v>
      </c>
      <c r="Q301" s="6">
        <v>5</v>
      </c>
      <c r="R301" s="6">
        <v>9</v>
      </c>
      <c r="S301" s="6">
        <v>180302</v>
      </c>
      <c r="T301" s="6" t="str">
        <f>INDEX(医院2县区2人!$D$2:$D$1048576,MATCH(L301,医院2县区2人!$A$2:$A$1048576,0))</f>
        <v>201602151421097</v>
      </c>
      <c r="W301" s="6" t="str">
        <f t="shared" si="11"/>
        <v>乳酸菌素片/为消0.4g*36片</v>
      </c>
      <c r="X301" s="6" t="s">
        <v>2890</v>
      </c>
    </row>
    <row r="302" spans="1:24" x14ac:dyDescent="0.15">
      <c r="A302" s="7" t="str">
        <f t="shared" si="12"/>
        <v>201806</v>
      </c>
      <c r="C302" s="6" t="str">
        <f>INDEX(工厂基础数据!$A$2:$A$1024,MATCH(X302,工厂基础数据!$D$2:$D$1024,0))</f>
        <v>02025767</v>
      </c>
      <c r="E302" s="6" t="str">
        <f>INDEX(工厂基础数据!$B$2:$B$1024,MATCH(X302,工厂基础数据!$D$2:$D$1024,0))</f>
        <v>滨州市仁信医药有限公司</v>
      </c>
      <c r="F302" s="6">
        <f>INDEX(商业2转码!$B$2:$B$10000,MATCH(E302,商业2转码!$A$2:$A$10000,0))</f>
        <v>0</v>
      </c>
      <c r="G302" s="6" t="str">
        <f>INDEX(品种2编码!$A$2:$A$1048576,MATCH(W302,品种2编码!$D$2:$D$1048576,0))</f>
        <v>0020020030ZYZC0263</v>
      </c>
      <c r="H302" s="6" t="s">
        <v>1892</v>
      </c>
      <c r="I302" s="6" t="s">
        <v>756</v>
      </c>
      <c r="J302" s="6" t="s">
        <v>3038</v>
      </c>
      <c r="L302" s="6" t="s">
        <v>2285</v>
      </c>
      <c r="M302" s="6">
        <f>INDEX(医院2县区2人!$B$2:$B$1048576,MATCH(L302,医院2县区2人!$A$2:$A$1048576,0))</f>
        <v>2</v>
      </c>
      <c r="N302" s="6" t="str">
        <f>INDEX(医院2县区2人!$C$2:$C$1048576,MATCH(L302,医院2县区2人!$A$2:$A$1048576,0))</f>
        <v>1853</v>
      </c>
      <c r="P302" s="7">
        <v>43257.770925925928</v>
      </c>
      <c r="Q302" s="6">
        <v>10</v>
      </c>
      <c r="R302" s="6">
        <v>9.5</v>
      </c>
      <c r="S302" s="6">
        <v>1801002</v>
      </c>
      <c r="T302" s="6" t="str">
        <f>INDEX(医院2县区2人!$D$2:$D$1048576,MATCH(L302,医院2县区2人!$A$2:$A$1048576,0))</f>
        <v>201602151421097</v>
      </c>
      <c r="W302" s="6" t="str">
        <f t="shared" si="11"/>
        <v>盐酸依托必利胶囊50mg*20粒</v>
      </c>
      <c r="X302" s="6" t="s">
        <v>2890</v>
      </c>
    </row>
    <row r="303" spans="1:24" x14ac:dyDescent="0.15">
      <c r="A303" s="7" t="str">
        <f t="shared" si="12"/>
        <v>201806</v>
      </c>
      <c r="C303" s="6" t="str">
        <f>INDEX(工厂基础数据!$A$2:$A$1024,MATCH(X303,工厂基础数据!$D$2:$D$1024,0))</f>
        <v>02025767</v>
      </c>
      <c r="E303" s="6" t="str">
        <f>INDEX(工厂基础数据!$B$2:$B$1024,MATCH(X303,工厂基础数据!$D$2:$D$1024,0))</f>
        <v>滨州市仁信医药有限公司</v>
      </c>
      <c r="F303" s="6">
        <f>INDEX(商业2转码!$B$2:$B$10000,MATCH(E303,商业2转码!$A$2:$A$10000,0))</f>
        <v>0</v>
      </c>
      <c r="G303" s="6" t="str">
        <f>INDEX(品种2编码!$A$2:$A$1048576,MATCH(W303,品种2编码!$D$2:$D$1048576,0))</f>
        <v>0020030001SJZY0009</v>
      </c>
      <c r="H303" s="6" t="s">
        <v>555</v>
      </c>
      <c r="I303" s="6" t="s">
        <v>1889</v>
      </c>
      <c r="J303" s="6" t="s">
        <v>3039</v>
      </c>
      <c r="L303" s="6" t="s">
        <v>3002</v>
      </c>
      <c r="M303" s="6" t="e">
        <f>INDEX(医院2县区2人!$B$2:$B$1048576,MATCH(L303,医院2县区2人!$A$2:$A$1048576,0))</f>
        <v>#N/A</v>
      </c>
      <c r="N303" s="6" t="e">
        <f>INDEX(医院2县区2人!$C$2:$C$1048576,MATCH(L303,医院2县区2人!$A$2:$A$1048576,0))</f>
        <v>#N/A</v>
      </c>
      <c r="P303" s="7">
        <v>43258.746041666665</v>
      </c>
      <c r="Q303" s="6">
        <v>5</v>
      </c>
      <c r="R303" s="6">
        <v>25</v>
      </c>
      <c r="S303" s="6">
        <v>18031227</v>
      </c>
      <c r="T303" s="6" t="e">
        <f>INDEX(医院2县区2人!$D$2:$D$1048576,MATCH(L303,医院2县区2人!$A$2:$A$1048576,0))</f>
        <v>#N/A</v>
      </c>
      <c r="W303" s="6" t="str">
        <f t="shared" si="11"/>
        <v>葡萄糖酸锌口服液10ML*12支</v>
      </c>
      <c r="X303" s="6" t="s">
        <v>2890</v>
      </c>
    </row>
    <row r="304" spans="1:24" x14ac:dyDescent="0.15">
      <c r="A304" s="7" t="str">
        <f t="shared" si="12"/>
        <v>201806</v>
      </c>
      <c r="C304" s="6" t="str">
        <f>INDEX(工厂基础数据!$A$2:$A$1024,MATCH(X304,工厂基础数据!$D$2:$D$1024,0))</f>
        <v>02025767</v>
      </c>
      <c r="E304" s="6" t="str">
        <f>INDEX(工厂基础数据!$B$2:$B$1024,MATCH(X304,工厂基础数据!$D$2:$D$1024,0))</f>
        <v>滨州市仁信医药有限公司</v>
      </c>
      <c r="F304" s="6">
        <f>INDEX(商业2转码!$B$2:$B$10000,MATCH(E304,商业2转码!$A$2:$A$10000,0))</f>
        <v>0</v>
      </c>
      <c r="G304" s="6" t="str">
        <f>INDEX(品种2编码!$A$2:$A$1048576,MATCH(W304,品种2编码!$D$2:$D$1048576,0))</f>
        <v>0020030020ZYLC0010</v>
      </c>
      <c r="H304" s="6" t="s">
        <v>1883</v>
      </c>
      <c r="I304" s="6" t="s">
        <v>1839</v>
      </c>
      <c r="J304" s="6" t="s">
        <v>3036</v>
      </c>
      <c r="L304" s="6" t="s">
        <v>2192</v>
      </c>
      <c r="M304" s="6">
        <f>INDEX(医院2县区2人!$B$2:$B$1048576,MATCH(L304,医院2县区2人!$A$2:$A$1048576,0))</f>
        <v>2</v>
      </c>
      <c r="N304" s="6" t="str">
        <f>INDEX(医院2县区2人!$C$2:$C$1048576,MATCH(L304,医院2县区2人!$A$2:$A$1048576,0))</f>
        <v>1856</v>
      </c>
      <c r="P304" s="7">
        <v>43257.77076388889</v>
      </c>
      <c r="Q304" s="6">
        <v>100</v>
      </c>
      <c r="R304" s="6">
        <v>3.7</v>
      </c>
      <c r="S304" s="6">
        <v>180136</v>
      </c>
      <c r="T304" s="6" t="str">
        <f>INDEX(医院2县区2人!$D$2:$D$1048576,MATCH(L304,医院2县区2人!$A$2:$A$1048576,0))</f>
        <v>201602151421097</v>
      </c>
      <c r="W304" s="6" t="str">
        <f t="shared" si="11"/>
        <v>“为消”牌乳酸菌素片0.4g*36片</v>
      </c>
      <c r="X304" s="6" t="s">
        <v>2890</v>
      </c>
    </row>
    <row r="305" spans="1:24" x14ac:dyDescent="0.15">
      <c r="A305" s="7" t="str">
        <f t="shared" si="12"/>
        <v>201806</v>
      </c>
      <c r="C305" s="6" t="str">
        <f>INDEX(工厂基础数据!$A$2:$A$1024,MATCH(X305,工厂基础数据!$D$2:$D$1024,0))</f>
        <v>02025767</v>
      </c>
      <c r="E305" s="6" t="str">
        <f>INDEX(工厂基础数据!$B$2:$B$1024,MATCH(X305,工厂基础数据!$D$2:$D$1024,0))</f>
        <v>滨州市仁信医药有限公司</v>
      </c>
      <c r="F305" s="6">
        <f>INDEX(商业2转码!$B$2:$B$10000,MATCH(E305,商业2转码!$A$2:$A$10000,0))</f>
        <v>0</v>
      </c>
      <c r="G305" s="6" t="str">
        <f>INDEX(品种2编码!$A$2:$A$1048576,MATCH(W305,品种2编码!$D$2:$D$1048576,0))</f>
        <v>0020030001SJZY0009</v>
      </c>
      <c r="H305" s="6" t="s">
        <v>555</v>
      </c>
      <c r="I305" s="6" t="s">
        <v>1889</v>
      </c>
      <c r="J305" s="6" t="s">
        <v>3039</v>
      </c>
      <c r="L305" s="6" t="s">
        <v>2193</v>
      </c>
      <c r="M305" s="6">
        <f>INDEX(医院2县区2人!$B$2:$B$1048576,MATCH(L305,医院2县区2人!$A$2:$A$1048576,0))</f>
        <v>4</v>
      </c>
      <c r="N305" s="6" t="str">
        <f>INDEX(医院2县区2人!$C$2:$C$1048576,MATCH(L305,医院2县区2人!$A$2:$A$1048576,0))</f>
        <v>1853</v>
      </c>
      <c r="P305" s="7">
        <v>43257.770914351851</v>
      </c>
      <c r="Q305" s="6">
        <v>5</v>
      </c>
      <c r="R305" s="6">
        <v>25</v>
      </c>
      <c r="S305" s="6">
        <v>18031227</v>
      </c>
      <c r="T305" s="6" t="str">
        <f>INDEX(医院2县区2人!$D$2:$D$1048576,MATCH(L305,医院2县区2人!$A$2:$A$1048576,0))</f>
        <v>201602151421097</v>
      </c>
      <c r="W305" s="6" t="str">
        <f t="shared" si="11"/>
        <v>葡萄糖酸锌口服液10ML*12支</v>
      </c>
      <c r="X305" s="6" t="s">
        <v>2890</v>
      </c>
    </row>
    <row r="306" spans="1:24" x14ac:dyDescent="0.15">
      <c r="A306" s="7" t="str">
        <f t="shared" si="12"/>
        <v>201806</v>
      </c>
      <c r="C306" s="6" t="str">
        <f>INDEX(工厂基础数据!$A$2:$A$1024,MATCH(X306,工厂基础数据!$D$2:$D$1024,0))</f>
        <v>02025767</v>
      </c>
      <c r="E306" s="6" t="str">
        <f>INDEX(工厂基础数据!$B$2:$B$1024,MATCH(X306,工厂基础数据!$D$2:$D$1024,0))</f>
        <v>滨州市仁信医药有限公司</v>
      </c>
      <c r="F306" s="6">
        <f>INDEX(商业2转码!$B$2:$B$10000,MATCH(E306,商业2转码!$A$2:$A$10000,0))</f>
        <v>0</v>
      </c>
      <c r="G306" s="6" t="str">
        <f>INDEX(品种2编码!$A$2:$A$1048576,MATCH(W306,品种2编码!$D$2:$D$1048576,0))</f>
        <v>0020020020ZYLC0010</v>
      </c>
      <c r="H306" s="6" t="s">
        <v>1877</v>
      </c>
      <c r="I306" s="6" t="s">
        <v>1878</v>
      </c>
      <c r="J306" s="6" t="s">
        <v>3036</v>
      </c>
      <c r="L306" s="6" t="s">
        <v>2298</v>
      </c>
      <c r="M306" s="6">
        <f>INDEX(医院2县区2人!$B$2:$B$1048576,MATCH(L306,医院2县区2人!$A$2:$A$1048576,0))</f>
        <v>1</v>
      </c>
      <c r="N306" s="6" t="str">
        <f>INDEX(医院2县区2人!$C$2:$C$1048576,MATCH(L306,医院2县区2人!$A$2:$A$1048576,0))</f>
        <v>1855</v>
      </c>
      <c r="P306" s="7">
        <v>43257.770995370367</v>
      </c>
      <c r="Q306" s="6">
        <v>10</v>
      </c>
      <c r="R306" s="6">
        <v>3.5</v>
      </c>
      <c r="S306" s="6">
        <v>180401</v>
      </c>
      <c r="T306" s="6" t="str">
        <f>INDEX(医院2县区2人!$D$2:$D$1048576,MATCH(L306,医院2县区2人!$A$2:$A$1048576,0))</f>
        <v>201602151421097</v>
      </c>
      <c r="W306" s="6" t="str">
        <f t="shared" si="11"/>
        <v xml:space="preserve">泻利停/颠茄磺苄啶片0.48g*10片 </v>
      </c>
      <c r="X306" s="6" t="s">
        <v>2890</v>
      </c>
    </row>
    <row r="307" spans="1:24" x14ac:dyDescent="0.15">
      <c r="A307" s="7" t="str">
        <f t="shared" si="12"/>
        <v>201806</v>
      </c>
      <c r="C307" s="6" t="str">
        <f>INDEX(工厂基础数据!$A$2:$A$1024,MATCH(X307,工厂基础数据!$D$2:$D$1024,0))</f>
        <v>02025767</v>
      </c>
      <c r="E307" s="6" t="str">
        <f>INDEX(工厂基础数据!$B$2:$B$1024,MATCH(X307,工厂基础数据!$D$2:$D$1024,0))</f>
        <v>滨州市仁信医药有限公司</v>
      </c>
      <c r="F307" s="6">
        <f>INDEX(商业2转码!$B$2:$B$10000,MATCH(E307,商业2转码!$A$2:$A$10000,0))</f>
        <v>0</v>
      </c>
      <c r="G307" s="6" t="str">
        <f>INDEX(品种2编码!$A$2:$A$1048576,MATCH(W307,品种2编码!$D$2:$D$1048576,0))</f>
        <v>0020020020ZYLC0010</v>
      </c>
      <c r="H307" s="6" t="s">
        <v>1877</v>
      </c>
      <c r="I307" s="6" t="s">
        <v>1878</v>
      </c>
      <c r="J307" s="6" t="s">
        <v>3036</v>
      </c>
      <c r="L307" s="6" t="s">
        <v>2282</v>
      </c>
      <c r="M307" s="6">
        <f>INDEX(医院2县区2人!$B$2:$B$1048576,MATCH(L307,医院2县区2人!$A$2:$A$1048576,0))</f>
        <v>4</v>
      </c>
      <c r="N307" s="6" t="str">
        <f>INDEX(医院2县区2人!$C$2:$C$1048576,MATCH(L307,医院2县区2人!$A$2:$A$1048576,0))</f>
        <v>1856</v>
      </c>
      <c r="P307" s="7">
        <v>43257.770682870374</v>
      </c>
      <c r="Q307" s="6">
        <v>20</v>
      </c>
      <c r="R307" s="6">
        <v>3.5</v>
      </c>
      <c r="S307" s="6">
        <v>180401</v>
      </c>
      <c r="T307" s="6" t="str">
        <f>INDEX(医院2县区2人!$D$2:$D$1048576,MATCH(L307,医院2县区2人!$A$2:$A$1048576,0))</f>
        <v>201602151421097</v>
      </c>
      <c r="W307" s="6" t="str">
        <f t="shared" si="11"/>
        <v xml:space="preserve">泻利停/颠茄磺苄啶片0.48g*10片 </v>
      </c>
      <c r="X307" s="6" t="s">
        <v>2890</v>
      </c>
    </row>
    <row r="308" spans="1:24" x14ac:dyDescent="0.15">
      <c r="A308" s="7" t="str">
        <f t="shared" si="12"/>
        <v>201806</v>
      </c>
      <c r="C308" s="6" t="str">
        <f>INDEX(工厂基础数据!$A$2:$A$1024,MATCH(X308,工厂基础数据!$D$2:$D$1024,0))</f>
        <v>02025767</v>
      </c>
      <c r="E308" s="6" t="str">
        <f>INDEX(工厂基础数据!$B$2:$B$1024,MATCH(X308,工厂基础数据!$D$2:$D$1024,0))</f>
        <v>滨州市仁信医药有限公司</v>
      </c>
      <c r="F308" s="6">
        <f>INDEX(商业2转码!$B$2:$B$10000,MATCH(E308,商业2转码!$A$2:$A$10000,0))</f>
        <v>0</v>
      </c>
      <c r="G308" s="6" t="str">
        <f>INDEX(品种2编码!$A$2:$A$1048576,MATCH(W308,品种2编码!$D$2:$D$1048576,0))</f>
        <v>0020020030ZYZC0283</v>
      </c>
      <c r="H308" s="6" t="s">
        <v>655</v>
      </c>
      <c r="I308" s="6" t="s">
        <v>1938</v>
      </c>
      <c r="J308" s="6" t="s">
        <v>3038</v>
      </c>
      <c r="L308" s="6" t="s">
        <v>2350</v>
      </c>
      <c r="M308" s="6">
        <f>INDEX(医院2县区2人!$B$2:$B$1048576,MATCH(L308,医院2县区2人!$A$2:$A$1048576,0))</f>
        <v>2</v>
      </c>
      <c r="N308" s="6" t="str">
        <f>INDEX(医院2县区2人!$C$2:$C$1048576,MATCH(L308,医院2县区2人!$A$2:$A$1048576,0))</f>
        <v>1853</v>
      </c>
      <c r="P308" s="7">
        <v>43257.770879629628</v>
      </c>
      <c r="Q308" s="6">
        <v>10</v>
      </c>
      <c r="R308" s="6">
        <v>7</v>
      </c>
      <c r="S308" s="6">
        <v>1802008</v>
      </c>
      <c r="T308" s="6" t="str">
        <f>INDEX(医院2县区2人!$D$2:$D$1048576,MATCH(L308,医院2县区2人!$A$2:$A$1048576,0))</f>
        <v>201602151421097</v>
      </c>
      <c r="W308" s="6" t="str">
        <f t="shared" si="11"/>
        <v>头孢拉定胶囊0.25g*24粒</v>
      </c>
      <c r="X308" s="6" t="s">
        <v>2890</v>
      </c>
    </row>
    <row r="309" spans="1:24" x14ac:dyDescent="0.15">
      <c r="A309" s="7" t="str">
        <f t="shared" si="12"/>
        <v>201806</v>
      </c>
      <c r="C309" s="6" t="str">
        <f>INDEX(工厂基础数据!$A$2:$A$1024,MATCH(X309,工厂基础数据!$D$2:$D$1024,0))</f>
        <v>02025767</v>
      </c>
      <c r="E309" s="6" t="str">
        <f>INDEX(工厂基础数据!$B$2:$B$1024,MATCH(X309,工厂基础数据!$D$2:$D$1024,0))</f>
        <v>滨州市仁信医药有限公司</v>
      </c>
      <c r="F309" s="6">
        <f>INDEX(商业2转码!$B$2:$B$10000,MATCH(E309,商业2转码!$A$2:$A$10000,0))</f>
        <v>0</v>
      </c>
      <c r="G309" s="6" t="str">
        <f>INDEX(品种2编码!$A$2:$A$1048576,MATCH(W309,品种2编码!$D$2:$D$1048576,0))</f>
        <v>0020070000ZYLC0003</v>
      </c>
      <c r="H309" s="6" t="s">
        <v>722</v>
      </c>
      <c r="I309" s="6" t="s">
        <v>1909</v>
      </c>
      <c r="J309" s="6" t="s">
        <v>3036</v>
      </c>
      <c r="L309" s="6" t="s">
        <v>2282</v>
      </c>
      <c r="M309" s="6">
        <f>INDEX(医院2县区2人!$B$2:$B$1048576,MATCH(L309,医院2县区2人!$A$2:$A$1048576,0))</f>
        <v>4</v>
      </c>
      <c r="N309" s="6" t="str">
        <f>INDEX(医院2县区2人!$C$2:$C$1048576,MATCH(L309,医院2县区2人!$A$2:$A$1048576,0))</f>
        <v>1856</v>
      </c>
      <c r="P309" s="7">
        <v>43257.770567129628</v>
      </c>
      <c r="Q309" s="6">
        <v>3</v>
      </c>
      <c r="R309" s="6">
        <v>24</v>
      </c>
      <c r="S309" s="6">
        <v>180107</v>
      </c>
      <c r="T309" s="6" t="str">
        <f>INDEX(医院2县区2人!$D$2:$D$1048576,MATCH(L309,医院2县区2人!$A$2:$A$1048576,0))</f>
        <v>201602151421097</v>
      </c>
      <c r="W309" s="6" t="str">
        <f t="shared" si="11"/>
        <v>新盖中盖牌儿童钙片1.75g*36p</v>
      </c>
      <c r="X309" s="6" t="s">
        <v>2890</v>
      </c>
    </row>
    <row r="310" spans="1:24" x14ac:dyDescent="0.15">
      <c r="A310" s="7" t="str">
        <f t="shared" si="12"/>
        <v>201806</v>
      </c>
      <c r="C310" s="6" t="str">
        <f>INDEX(工厂基础数据!$A$2:$A$1024,MATCH(X310,工厂基础数据!$D$2:$D$1024,0))</f>
        <v>02025767</v>
      </c>
      <c r="E310" s="6" t="str">
        <f>INDEX(工厂基础数据!$B$2:$B$1024,MATCH(X310,工厂基础数据!$D$2:$D$1024,0))</f>
        <v>滨州市仁信医药有限公司</v>
      </c>
      <c r="F310" s="6">
        <f>INDEX(商业2转码!$B$2:$B$10000,MATCH(E310,商业2转码!$A$2:$A$10000,0))</f>
        <v>0</v>
      </c>
      <c r="G310" s="6" t="str">
        <f>INDEX(品种2编码!$A$2:$A$1048576,MATCH(W310,品种2编码!$D$2:$D$1048576,0))</f>
        <v>0020030001SJZY0006</v>
      </c>
      <c r="H310" s="6" t="s">
        <v>1888</v>
      </c>
      <c r="I310" s="6" t="s">
        <v>411</v>
      </c>
      <c r="J310" s="6" t="s">
        <v>3040</v>
      </c>
      <c r="L310" s="6" t="s">
        <v>2282</v>
      </c>
      <c r="M310" s="6">
        <f>INDEX(医院2县区2人!$B$2:$B$1048576,MATCH(L310,医院2县区2人!$A$2:$A$1048576,0))</f>
        <v>4</v>
      </c>
      <c r="N310" s="6" t="str">
        <f>INDEX(医院2县区2人!$C$2:$C$1048576,MATCH(L310,医院2县区2人!$A$2:$A$1048576,0))</f>
        <v>1856</v>
      </c>
      <c r="P310" s="7">
        <v>43257.770578703705</v>
      </c>
      <c r="Q310" s="6">
        <v>5</v>
      </c>
      <c r="R310" s="6">
        <v>25</v>
      </c>
      <c r="S310" s="6">
        <v>17071042</v>
      </c>
      <c r="T310" s="6" t="str">
        <f>INDEX(医院2县区2人!$D$2:$D$1048576,MATCH(L310,医院2县区2人!$A$2:$A$1048576,0))</f>
        <v>201602151421097</v>
      </c>
      <c r="W310" s="6" t="str">
        <f t="shared" si="11"/>
        <v>葡萄糖酸钙口服溶液（含糖）10ml*12支</v>
      </c>
      <c r="X310" s="6" t="s">
        <v>2890</v>
      </c>
    </row>
    <row r="311" spans="1:24" x14ac:dyDescent="0.15">
      <c r="A311" s="7" t="str">
        <f t="shared" si="12"/>
        <v>201806</v>
      </c>
      <c r="C311" s="6" t="str">
        <f>INDEX(工厂基础数据!$A$2:$A$1024,MATCH(X311,工厂基础数据!$D$2:$D$1024,0))</f>
        <v>02025767</v>
      </c>
      <c r="E311" s="6" t="str">
        <f>INDEX(工厂基础数据!$B$2:$B$1024,MATCH(X311,工厂基础数据!$D$2:$D$1024,0))</f>
        <v>滨州市仁信医药有限公司</v>
      </c>
      <c r="F311" s="6">
        <f>INDEX(商业2转码!$B$2:$B$10000,MATCH(E311,商业2转码!$A$2:$A$10000,0))</f>
        <v>0</v>
      </c>
      <c r="G311" s="6" t="str">
        <f>INDEX(品种2编码!$A$2:$A$1048576,MATCH(W311,品种2编码!$D$2:$D$1048576,0))</f>
        <v>0020020021ZYLC0004</v>
      </c>
      <c r="H311" s="6" t="s">
        <v>1899</v>
      </c>
      <c r="I311" s="6" t="s">
        <v>1869</v>
      </c>
      <c r="J311" s="6" t="s">
        <v>3036</v>
      </c>
      <c r="L311" s="6" t="s">
        <v>2995</v>
      </c>
      <c r="M311" s="6" t="e">
        <f>INDEX(医院2县区2人!$B$2:$B$1048576,MATCH(L311,医院2县区2人!$A$2:$A$1048576,0))</f>
        <v>#N/A</v>
      </c>
      <c r="N311" s="6" t="e">
        <f>INDEX(医院2县区2人!$C$2:$C$1048576,MATCH(L311,医院2县区2人!$A$2:$A$1048576,0))</f>
        <v>#N/A</v>
      </c>
      <c r="P311" s="7">
        <v>43257.770729166667</v>
      </c>
      <c r="Q311" s="6">
        <v>2</v>
      </c>
      <c r="R311" s="6">
        <v>8</v>
      </c>
      <c r="S311" s="6">
        <v>180201</v>
      </c>
      <c r="T311" s="6" t="e">
        <f>INDEX(医院2县区2人!$D$2:$D$1048576,MATCH(L311,医院2县区2人!$A$2:$A$1048576,0))</f>
        <v>#N/A</v>
      </c>
      <c r="W311" s="6" t="str">
        <f t="shared" si="11"/>
        <v>大严迪片/罗红霉素分散片75mg*12片</v>
      </c>
      <c r="X311" s="6" t="s">
        <v>2890</v>
      </c>
    </row>
    <row r="312" spans="1:24" x14ac:dyDescent="0.15">
      <c r="A312" s="7" t="str">
        <f t="shared" si="12"/>
        <v>201806</v>
      </c>
      <c r="C312" s="6" t="str">
        <f>INDEX(工厂基础数据!$A$2:$A$1024,MATCH(X312,工厂基础数据!$D$2:$D$1024,0))</f>
        <v>02025767</v>
      </c>
      <c r="E312" s="6" t="str">
        <f>INDEX(工厂基础数据!$B$2:$B$1024,MATCH(X312,工厂基础数据!$D$2:$D$1024,0))</f>
        <v>滨州市仁信医药有限公司</v>
      </c>
      <c r="F312" s="6">
        <f>INDEX(商业2转码!$B$2:$B$10000,MATCH(E312,商业2转码!$A$2:$A$10000,0))</f>
        <v>0</v>
      </c>
      <c r="G312" s="6" t="str">
        <f>INDEX(品种2编码!$A$2:$A$1048576,MATCH(W312,品种2编码!$D$2:$D$1048576,0))</f>
        <v>0020030040ZYLC0001</v>
      </c>
      <c r="H312" s="6" t="s">
        <v>1933</v>
      </c>
      <c r="I312" s="6" t="s">
        <v>1853</v>
      </c>
      <c r="J312" s="6" t="s">
        <v>3036</v>
      </c>
      <c r="L312" s="6" t="s">
        <v>2995</v>
      </c>
      <c r="M312" s="6" t="e">
        <f>INDEX(医院2县区2人!$B$2:$B$1048576,MATCH(L312,医院2县区2人!$A$2:$A$1048576,0))</f>
        <v>#N/A</v>
      </c>
      <c r="N312" s="6" t="e">
        <f>INDEX(医院2县区2人!$C$2:$C$1048576,MATCH(L312,医院2县区2人!$A$2:$A$1048576,0))</f>
        <v>#N/A</v>
      </c>
      <c r="P312" s="7">
        <v>43257.77070601852</v>
      </c>
      <c r="Q312" s="6">
        <v>1</v>
      </c>
      <c r="R312" s="6">
        <v>10</v>
      </c>
      <c r="S312" s="6">
        <v>180141</v>
      </c>
      <c r="T312" s="6" t="e">
        <f>INDEX(医院2县区2人!$D$2:$D$1048576,MATCH(L312,医院2县区2人!$A$2:$A$1048576,0))</f>
        <v>#N/A</v>
      </c>
      <c r="W312" s="6" t="str">
        <f t="shared" si="11"/>
        <v>护彤冲剂/小儿氨酚黄那敏颗粒2g*12袋</v>
      </c>
      <c r="X312" s="6" t="s">
        <v>2890</v>
      </c>
    </row>
    <row r="313" spans="1:24" x14ac:dyDescent="0.15">
      <c r="A313" s="7" t="str">
        <f t="shared" si="12"/>
        <v>201806</v>
      </c>
      <c r="C313" s="6" t="str">
        <f>INDEX(工厂基础数据!$A$2:$A$1024,MATCH(X313,工厂基础数据!$D$2:$D$1024,0))</f>
        <v>02025767</v>
      </c>
      <c r="E313" s="6" t="str">
        <f>INDEX(工厂基础数据!$B$2:$B$1024,MATCH(X313,工厂基础数据!$D$2:$D$1024,0))</f>
        <v>滨州市仁信医药有限公司</v>
      </c>
      <c r="F313" s="6">
        <f>INDEX(商业2转码!$B$2:$B$10000,MATCH(E313,商业2转码!$A$2:$A$10000,0))</f>
        <v>0</v>
      </c>
      <c r="G313" s="6" t="str">
        <f>INDEX(品种2编码!$A$2:$A$1048576,MATCH(W313,品种2编码!$D$2:$D$1048576,0))</f>
        <v>0020020021ZYLC0011</v>
      </c>
      <c r="H313" s="6" t="s">
        <v>1890</v>
      </c>
      <c r="I313" s="6" t="s">
        <v>1891</v>
      </c>
      <c r="J313" s="6" t="s">
        <v>3036</v>
      </c>
      <c r="L313" s="6" t="s">
        <v>2222</v>
      </c>
      <c r="M313" s="6">
        <f>INDEX(医院2县区2人!$B$2:$B$1048576,MATCH(L313,医院2县区2人!$A$2:$A$1048576,0))</f>
        <v>2</v>
      </c>
      <c r="N313" s="6" t="str">
        <f>INDEX(医院2县区2人!$C$2:$C$1048576,MATCH(L313,医院2县区2人!$A$2:$A$1048576,0))</f>
        <v>1855</v>
      </c>
      <c r="P313" s="7">
        <v>43260.716724537036</v>
      </c>
      <c r="Q313" s="6">
        <v>30</v>
      </c>
      <c r="R313" s="6">
        <v>5</v>
      </c>
      <c r="S313" s="6">
        <v>161001</v>
      </c>
      <c r="T313" s="6" t="str">
        <f>INDEX(医院2县区2人!$D$2:$D$1048576,MATCH(L313,医院2县区2人!$A$2:$A$1048576,0))</f>
        <v>201602151421097</v>
      </c>
      <c r="W313" s="6" t="str">
        <f t="shared" si="11"/>
        <v>严迪/罗红霉素分散片150mg*12片</v>
      </c>
      <c r="X313" s="6" t="s">
        <v>2890</v>
      </c>
    </row>
    <row r="314" spans="1:24" x14ac:dyDescent="0.15">
      <c r="A314" s="7" t="str">
        <f t="shared" si="12"/>
        <v>201806</v>
      </c>
      <c r="C314" s="6" t="str">
        <f>INDEX(工厂基础数据!$A$2:$A$1024,MATCH(X314,工厂基础数据!$D$2:$D$1024,0))</f>
        <v>02025767</v>
      </c>
      <c r="E314" s="6" t="str">
        <f>INDEX(工厂基础数据!$B$2:$B$1024,MATCH(X314,工厂基础数据!$D$2:$D$1024,0))</f>
        <v>滨州市仁信医药有限公司</v>
      </c>
      <c r="F314" s="6">
        <f>INDEX(商业2转码!$B$2:$B$10000,MATCH(E314,商业2转码!$A$2:$A$10000,0))</f>
        <v>0</v>
      </c>
      <c r="G314" s="6" t="str">
        <f>INDEX(品种2编码!$A$2:$A$1048576,MATCH(W314,品种2编码!$D$2:$D$1048576,0))</f>
        <v>0020070000ZYLC0001</v>
      </c>
      <c r="H314" s="6" t="s">
        <v>1885</v>
      </c>
      <c r="I314" s="6" t="s">
        <v>1886</v>
      </c>
      <c r="J314" s="6" t="s">
        <v>3036</v>
      </c>
      <c r="L314" s="6" t="s">
        <v>2382</v>
      </c>
      <c r="M314" s="6">
        <f>INDEX(医院2县区2人!$B$2:$B$1048576,MATCH(L314,医院2县区2人!$A$2:$A$1048576,0))</f>
        <v>4</v>
      </c>
      <c r="N314" s="6" t="str">
        <f>INDEX(医院2县区2人!$C$2:$C$1048576,MATCH(L314,医院2县区2人!$A$2:$A$1048576,0))</f>
        <v>1859</v>
      </c>
      <c r="P314" s="7">
        <v>43260.717453703706</v>
      </c>
      <c r="Q314" s="6">
        <v>5</v>
      </c>
      <c r="R314" s="6">
        <v>29</v>
      </c>
      <c r="S314" s="6">
        <v>180104</v>
      </c>
      <c r="T314" s="6" t="str">
        <f>INDEX(医院2县区2人!$D$2:$D$1048576,MATCH(L314,医院2县区2人!$A$2:$A$1048576,0))</f>
        <v>201602151421097</v>
      </c>
      <c r="W314" s="6" t="str">
        <f t="shared" si="11"/>
        <v>新盖中盖高钙片2.5g*36P</v>
      </c>
      <c r="X314" s="6" t="s">
        <v>2890</v>
      </c>
    </row>
    <row r="315" spans="1:24" x14ac:dyDescent="0.15">
      <c r="A315" s="7" t="str">
        <f t="shared" si="12"/>
        <v>201806</v>
      </c>
      <c r="C315" s="6" t="str">
        <f>INDEX(工厂基础数据!$A$2:$A$1024,MATCH(X315,工厂基础数据!$D$2:$D$1024,0))</f>
        <v>02025767</v>
      </c>
      <c r="E315" s="6" t="str">
        <f>INDEX(工厂基础数据!$B$2:$B$1024,MATCH(X315,工厂基础数据!$D$2:$D$1024,0))</f>
        <v>滨州市仁信医药有限公司</v>
      </c>
      <c r="F315" s="6">
        <f>INDEX(商业2转码!$B$2:$B$10000,MATCH(E315,商业2转码!$A$2:$A$10000,0))</f>
        <v>0</v>
      </c>
      <c r="G315" s="6" t="str">
        <f>INDEX(品种2编码!$A$2:$A$1048576,MATCH(W315,品种2编码!$D$2:$D$1048576,0))</f>
        <v>0020050090SJZY0001</v>
      </c>
      <c r="H315" s="6" t="s">
        <v>630</v>
      </c>
      <c r="I315" s="6" t="s">
        <v>1850</v>
      </c>
      <c r="J315" s="6" t="s">
        <v>3040</v>
      </c>
      <c r="L315" s="6" t="s">
        <v>2382</v>
      </c>
      <c r="M315" s="6">
        <f>INDEX(医院2县区2人!$B$2:$B$1048576,MATCH(L315,医院2县区2人!$A$2:$A$1048576,0))</f>
        <v>4</v>
      </c>
      <c r="N315" s="6" t="str">
        <f>INDEX(医院2县区2人!$C$2:$C$1048576,MATCH(L315,医院2县区2人!$A$2:$A$1048576,0))</f>
        <v>1859</v>
      </c>
      <c r="P315" s="7">
        <v>43260.717453703706</v>
      </c>
      <c r="Q315" s="6">
        <v>4</v>
      </c>
      <c r="R315" s="6">
        <v>16.5</v>
      </c>
      <c r="S315" s="6">
        <v>17062821</v>
      </c>
      <c r="T315" s="6" t="str">
        <f>INDEX(医院2县区2人!$D$2:$D$1048576,MATCH(L315,医院2县区2人!$A$2:$A$1048576,0))</f>
        <v>201602151421097</v>
      </c>
      <c r="W315" s="6" t="str">
        <f t="shared" si="11"/>
        <v>双黄连口服液10ml*10支</v>
      </c>
      <c r="X315" s="6" t="s">
        <v>2890</v>
      </c>
    </row>
    <row r="316" spans="1:24" x14ac:dyDescent="0.15">
      <c r="A316" s="7" t="str">
        <f t="shared" si="12"/>
        <v>201806</v>
      </c>
      <c r="C316" s="6" t="str">
        <f>INDEX(工厂基础数据!$A$2:$A$1024,MATCH(X316,工厂基础数据!$D$2:$D$1024,0))</f>
        <v>02025767</v>
      </c>
      <c r="E316" s="6" t="str">
        <f>INDEX(工厂基础数据!$B$2:$B$1024,MATCH(X316,工厂基础数据!$D$2:$D$1024,0))</f>
        <v>滨州市仁信医药有限公司</v>
      </c>
      <c r="F316" s="6">
        <f>INDEX(商业2转码!$B$2:$B$10000,MATCH(E316,商业2转码!$A$2:$A$10000,0))</f>
        <v>0</v>
      </c>
      <c r="G316" s="6" t="str">
        <f>INDEX(品种2编码!$A$2:$A$1048576,MATCH(W316,品种2编码!$D$2:$D$1048576,0))</f>
        <v>0020050090SJZY0001</v>
      </c>
      <c r="H316" s="6" t="s">
        <v>630</v>
      </c>
      <c r="I316" s="6" t="s">
        <v>1850</v>
      </c>
      <c r="J316" s="6" t="s">
        <v>3040</v>
      </c>
      <c r="L316" s="6" t="s">
        <v>2382</v>
      </c>
      <c r="M316" s="6">
        <f>INDEX(医院2县区2人!$B$2:$B$1048576,MATCH(L316,医院2县区2人!$A$2:$A$1048576,0))</f>
        <v>4</v>
      </c>
      <c r="N316" s="6" t="str">
        <f>INDEX(医院2县区2人!$C$2:$C$1048576,MATCH(L316,医院2县区2人!$A$2:$A$1048576,0))</f>
        <v>1859</v>
      </c>
      <c r="P316" s="7">
        <v>43260.717453703706</v>
      </c>
      <c r="Q316" s="6">
        <v>16</v>
      </c>
      <c r="R316" s="6">
        <v>16.5</v>
      </c>
      <c r="S316" s="6">
        <v>17062821</v>
      </c>
      <c r="T316" s="6" t="str">
        <f>INDEX(医院2县区2人!$D$2:$D$1048576,MATCH(L316,医院2县区2人!$A$2:$A$1048576,0))</f>
        <v>201602151421097</v>
      </c>
      <c r="W316" s="6" t="str">
        <f t="shared" si="11"/>
        <v>双黄连口服液10ml*10支</v>
      </c>
      <c r="X316" s="6" t="s">
        <v>2890</v>
      </c>
    </row>
    <row r="317" spans="1:24" x14ac:dyDescent="0.15">
      <c r="A317" s="7" t="str">
        <f t="shared" si="12"/>
        <v>201806</v>
      </c>
      <c r="C317" s="6" t="str">
        <f>INDEX(工厂基础数据!$A$2:$A$1024,MATCH(X317,工厂基础数据!$D$2:$D$1024,0))</f>
        <v>02025767</v>
      </c>
      <c r="E317" s="6" t="str">
        <f>INDEX(工厂基础数据!$B$2:$B$1024,MATCH(X317,工厂基础数据!$D$2:$D$1024,0))</f>
        <v>滨州市仁信医药有限公司</v>
      </c>
      <c r="F317" s="6">
        <f>INDEX(商业2转码!$B$2:$B$10000,MATCH(E317,商业2转码!$A$2:$A$10000,0))</f>
        <v>0</v>
      </c>
      <c r="G317" s="6" t="str">
        <f>INDEX(品种2编码!$A$2:$A$1048576,MATCH(W317,品种2编码!$D$2:$D$1048576,0))</f>
        <v>0020020021ZYLC0004</v>
      </c>
      <c r="H317" s="6" t="s">
        <v>1899</v>
      </c>
      <c r="I317" s="6" t="s">
        <v>1869</v>
      </c>
      <c r="J317" s="6" t="s">
        <v>3036</v>
      </c>
      <c r="L317" s="6" t="s">
        <v>2382</v>
      </c>
      <c r="M317" s="6">
        <f>INDEX(医院2县区2人!$B$2:$B$1048576,MATCH(L317,医院2县区2人!$A$2:$A$1048576,0))</f>
        <v>4</v>
      </c>
      <c r="N317" s="6" t="str">
        <f>INDEX(医院2县区2人!$C$2:$C$1048576,MATCH(L317,医院2县区2人!$A$2:$A$1048576,0))</f>
        <v>1859</v>
      </c>
      <c r="P317" s="7">
        <v>43260.717465277776</v>
      </c>
      <c r="Q317" s="6">
        <v>50</v>
      </c>
      <c r="R317" s="6">
        <v>8</v>
      </c>
      <c r="S317" s="6">
        <v>180201</v>
      </c>
      <c r="T317" s="6" t="str">
        <f>INDEX(医院2县区2人!$D$2:$D$1048576,MATCH(L317,医院2县区2人!$A$2:$A$1048576,0))</f>
        <v>201602151421097</v>
      </c>
      <c r="W317" s="6" t="str">
        <f t="shared" si="11"/>
        <v>大严迪片/罗红霉素分散片75mg*12片</v>
      </c>
      <c r="X317" s="6" t="s">
        <v>2890</v>
      </c>
    </row>
    <row r="318" spans="1:24" x14ac:dyDescent="0.15">
      <c r="A318" s="7" t="str">
        <f t="shared" si="12"/>
        <v>201806</v>
      </c>
      <c r="C318" s="6" t="str">
        <f>INDEX(工厂基础数据!$A$2:$A$1024,MATCH(X318,工厂基础数据!$D$2:$D$1024,0))</f>
        <v>02025767</v>
      </c>
      <c r="E318" s="6" t="str">
        <f>INDEX(工厂基础数据!$B$2:$B$1024,MATCH(X318,工厂基础数据!$D$2:$D$1024,0))</f>
        <v>滨州市仁信医药有限公司</v>
      </c>
      <c r="F318" s="6">
        <f>INDEX(商业2转码!$B$2:$B$10000,MATCH(E318,商业2转码!$A$2:$A$10000,0))</f>
        <v>0</v>
      </c>
      <c r="G318" s="6" t="str">
        <f>INDEX(品种2编码!$A$2:$A$1048576,MATCH(W318,品种2编码!$D$2:$D$1048576,0))</f>
        <v>0020020020ZYLC0010</v>
      </c>
      <c r="H318" s="6" t="s">
        <v>1877</v>
      </c>
      <c r="I318" s="6" t="s">
        <v>1878</v>
      </c>
      <c r="J318" s="6" t="s">
        <v>3036</v>
      </c>
      <c r="L318" s="6" t="s">
        <v>3003</v>
      </c>
      <c r="M318" s="6" t="e">
        <f>INDEX(医院2县区2人!$B$2:$B$1048576,MATCH(L318,医院2县区2人!$A$2:$A$1048576,0))</f>
        <v>#N/A</v>
      </c>
      <c r="N318" s="6" t="e">
        <f>INDEX(医院2县区2人!$C$2:$C$1048576,MATCH(L318,医院2县区2人!$A$2:$A$1048576,0))</f>
        <v>#N/A</v>
      </c>
      <c r="P318" s="7">
        <v>43260.71702546296</v>
      </c>
      <c r="Q318" s="6">
        <v>10</v>
      </c>
      <c r="R318" s="6">
        <v>3.5</v>
      </c>
      <c r="S318" s="6">
        <v>180401</v>
      </c>
      <c r="T318" s="6" t="e">
        <f>INDEX(医院2县区2人!$D$2:$D$1048576,MATCH(L318,医院2县区2人!$A$2:$A$1048576,0))</f>
        <v>#N/A</v>
      </c>
      <c r="W318" s="6" t="str">
        <f t="shared" si="11"/>
        <v xml:space="preserve">泻利停/颠茄磺苄啶片0.48g*10片 </v>
      </c>
      <c r="X318" s="6" t="s">
        <v>2890</v>
      </c>
    </row>
    <row r="319" spans="1:24" x14ac:dyDescent="0.15">
      <c r="A319" s="7" t="str">
        <f t="shared" si="12"/>
        <v>201806</v>
      </c>
      <c r="C319" s="6" t="str">
        <f>INDEX(工厂基础数据!$A$2:$A$1024,MATCH(X319,工厂基础数据!$D$2:$D$1024,0))</f>
        <v>02025767</v>
      </c>
      <c r="E319" s="6" t="str">
        <f>INDEX(工厂基础数据!$B$2:$B$1024,MATCH(X319,工厂基础数据!$D$2:$D$1024,0))</f>
        <v>滨州市仁信医药有限公司</v>
      </c>
      <c r="F319" s="6">
        <f>INDEX(商业2转码!$B$2:$B$10000,MATCH(E319,商业2转码!$A$2:$A$10000,0))</f>
        <v>0</v>
      </c>
      <c r="G319" s="6" t="str">
        <f>INDEX(品种2编码!$A$2:$A$1048576,MATCH(W319,品种2编码!$D$2:$D$1048576,0))</f>
        <v>0020030001SJZY0009</v>
      </c>
      <c r="H319" s="6" t="s">
        <v>555</v>
      </c>
      <c r="I319" s="6" t="s">
        <v>1889</v>
      </c>
      <c r="J319" s="6" t="s">
        <v>3039</v>
      </c>
      <c r="L319" s="6" t="s">
        <v>2210</v>
      </c>
      <c r="M319" s="6">
        <f>INDEX(医院2县区2人!$B$2:$B$1048576,MATCH(L319,医院2县区2人!$A$2:$A$1048576,0))</f>
        <v>2</v>
      </c>
      <c r="N319" s="6" t="str">
        <f>INDEX(医院2县区2人!$C$2:$C$1048576,MATCH(L319,医院2县区2人!$A$2:$A$1048576,0))</f>
        <v>1855</v>
      </c>
      <c r="P319" s="7">
        <v>43258.745844907404</v>
      </c>
      <c r="Q319" s="6">
        <v>5</v>
      </c>
      <c r="R319" s="6">
        <v>25</v>
      </c>
      <c r="S319" s="6">
        <v>18031227</v>
      </c>
      <c r="T319" s="6" t="str">
        <f>INDEX(医院2县区2人!$D$2:$D$1048576,MATCH(L319,医院2县区2人!$A$2:$A$1048576,0))</f>
        <v>201602151421097</v>
      </c>
      <c r="W319" s="6" t="str">
        <f t="shared" si="11"/>
        <v>葡萄糖酸锌口服液10ML*12支</v>
      </c>
      <c r="X319" s="6" t="s">
        <v>2890</v>
      </c>
    </row>
    <row r="320" spans="1:24" x14ac:dyDescent="0.15">
      <c r="A320" s="7" t="str">
        <f t="shared" si="12"/>
        <v>201806</v>
      </c>
      <c r="C320" s="6" t="str">
        <f>INDEX(工厂基础数据!$A$2:$A$1024,MATCH(X320,工厂基础数据!$D$2:$D$1024,0))</f>
        <v>02025767</v>
      </c>
      <c r="E320" s="6" t="str">
        <f>INDEX(工厂基础数据!$B$2:$B$1024,MATCH(X320,工厂基础数据!$D$2:$D$1024,0))</f>
        <v>滨州市仁信医药有限公司</v>
      </c>
      <c r="F320" s="6">
        <f>INDEX(商业2转码!$B$2:$B$10000,MATCH(E320,商业2转码!$A$2:$A$10000,0))</f>
        <v>0</v>
      </c>
      <c r="G320" s="6" t="str">
        <f>INDEX(品种2编码!$A$2:$A$1048576,MATCH(W320,品种2编码!$D$2:$D$1048576,0))</f>
        <v>0020020021ZYLC0005</v>
      </c>
      <c r="H320" s="6" t="s">
        <v>1920</v>
      </c>
      <c r="I320" s="6" t="s">
        <v>1841</v>
      </c>
      <c r="J320" s="6" t="s">
        <v>3036</v>
      </c>
      <c r="L320" s="6" t="s">
        <v>2760</v>
      </c>
      <c r="M320" s="6">
        <f>INDEX(医院2县区2人!$B$2:$B$1048576,MATCH(L320,医院2县区2人!$A$2:$A$1048576,0))</f>
        <v>1</v>
      </c>
      <c r="N320" s="6" t="str">
        <f>INDEX(医院2县区2人!$C$2:$C$1048576,MATCH(L320,医院2县区2人!$A$2:$A$1048576,0))</f>
        <v>1855</v>
      </c>
      <c r="P320" s="7">
        <v>43258.461087962962</v>
      </c>
      <c r="Q320" s="6">
        <v>-4</v>
      </c>
      <c r="R320" s="6">
        <v>4</v>
      </c>
      <c r="S320" s="6">
        <v>180102</v>
      </c>
      <c r="T320" s="6" t="str">
        <f>INDEX(医院2县区2人!$D$2:$D$1048576,MATCH(L320,医院2县区2人!$A$2:$A$1048576,0))</f>
        <v>201602151421097</v>
      </c>
      <c r="W320" s="6" t="str">
        <f t="shared" si="11"/>
        <v>小儿严迪片/罗红霉素分散片50mg*12片</v>
      </c>
      <c r="X320" s="6" t="s">
        <v>2890</v>
      </c>
    </row>
    <row r="321" spans="1:24" x14ac:dyDescent="0.15">
      <c r="A321" s="7" t="str">
        <f t="shared" si="12"/>
        <v>201806</v>
      </c>
      <c r="C321" s="6" t="str">
        <f>INDEX(工厂基础数据!$A$2:$A$1024,MATCH(X321,工厂基础数据!$D$2:$D$1024,0))</f>
        <v>02025767</v>
      </c>
      <c r="E321" s="6" t="str">
        <f>INDEX(工厂基础数据!$B$2:$B$1024,MATCH(X321,工厂基础数据!$D$2:$D$1024,0))</f>
        <v>滨州市仁信医药有限公司</v>
      </c>
      <c r="F321" s="6">
        <f>INDEX(商业2转码!$B$2:$B$10000,MATCH(E321,商业2转码!$A$2:$A$10000,0))</f>
        <v>0</v>
      </c>
      <c r="G321" s="6" t="str">
        <f>INDEX(品种2编码!$A$2:$A$1048576,MATCH(W321,品种2编码!$D$2:$D$1048576,0))</f>
        <v>0020020020ZYLC0010</v>
      </c>
      <c r="H321" s="6" t="s">
        <v>1877</v>
      </c>
      <c r="I321" s="6" t="s">
        <v>1878</v>
      </c>
      <c r="J321" s="6" t="s">
        <v>3036</v>
      </c>
      <c r="L321" s="6" t="s">
        <v>2278</v>
      </c>
      <c r="M321" s="6">
        <f>INDEX(医院2县区2人!$B$2:$B$1048576,MATCH(L321,医院2县区2人!$A$2:$A$1048576,0))</f>
        <v>2</v>
      </c>
      <c r="N321" s="6" t="str">
        <f>INDEX(医院2县区2人!$C$2:$C$1048576,MATCH(L321,医院2县区2人!$A$2:$A$1048576,0))</f>
        <v>1855</v>
      </c>
      <c r="P321" s="7">
        <v>43258.745995370373</v>
      </c>
      <c r="Q321" s="6">
        <v>20</v>
      </c>
      <c r="R321" s="6">
        <v>3.5</v>
      </c>
      <c r="S321" s="6">
        <v>180401</v>
      </c>
      <c r="T321" s="6" t="str">
        <f>INDEX(医院2县区2人!$D$2:$D$1048576,MATCH(L321,医院2县区2人!$A$2:$A$1048576,0))</f>
        <v>201602151421097</v>
      </c>
      <c r="W321" s="6" t="str">
        <f t="shared" si="11"/>
        <v xml:space="preserve">泻利停/颠茄磺苄啶片0.48g*10片 </v>
      </c>
      <c r="X321" s="6" t="s">
        <v>2890</v>
      </c>
    </row>
    <row r="322" spans="1:24" x14ac:dyDescent="0.15">
      <c r="A322" s="7" t="str">
        <f t="shared" si="12"/>
        <v>201806</v>
      </c>
      <c r="C322" s="6" t="str">
        <f>INDEX(工厂基础数据!$A$2:$A$1024,MATCH(X322,工厂基础数据!$D$2:$D$1024,0))</f>
        <v>02025767</v>
      </c>
      <c r="E322" s="6" t="str">
        <f>INDEX(工厂基础数据!$B$2:$B$1024,MATCH(X322,工厂基础数据!$D$2:$D$1024,0))</f>
        <v>滨州市仁信医药有限公司</v>
      </c>
      <c r="F322" s="6">
        <f>INDEX(商业2转码!$B$2:$B$10000,MATCH(E322,商业2转码!$A$2:$A$10000,0))</f>
        <v>0</v>
      </c>
      <c r="G322" s="6" t="str">
        <f>INDEX(品种2编码!$A$2:$A$1048576,MATCH(W322,品种2编码!$D$2:$D$1048576,0))</f>
        <v>0020030020SJSC0004</v>
      </c>
      <c r="H322" s="6" t="s">
        <v>1907</v>
      </c>
      <c r="I322" s="6" t="s">
        <v>1871</v>
      </c>
      <c r="J322" s="6" t="s">
        <v>3045</v>
      </c>
      <c r="L322" s="6" t="s">
        <v>2300</v>
      </c>
      <c r="M322" s="6">
        <f>INDEX(医院2县区2人!$B$2:$B$1048576,MATCH(L322,医院2县区2人!$A$2:$A$1048576,0))</f>
        <v>4</v>
      </c>
      <c r="N322" s="6" t="str">
        <f>INDEX(医院2县区2人!$C$2:$C$1048576,MATCH(L322,医院2县区2人!$A$2:$A$1048576,0))</f>
        <v>1857</v>
      </c>
      <c r="P322" s="7">
        <v>43258.745891203704</v>
      </c>
      <c r="Q322" s="6">
        <v>20</v>
      </c>
      <c r="R322" s="6">
        <v>12.5</v>
      </c>
      <c r="S322" s="6">
        <v>1803006</v>
      </c>
      <c r="T322" s="6" t="str">
        <f>INDEX(医院2县区2人!$D$2:$D$1048576,MATCH(L322,医院2县区2人!$A$2:$A$1048576,0))</f>
        <v>201602151421097</v>
      </c>
      <c r="W322" s="6" t="str">
        <f t="shared" si="11"/>
        <v>胃必治/复方铝酸铋片50片</v>
      </c>
      <c r="X322" s="6" t="s">
        <v>2890</v>
      </c>
    </row>
    <row r="323" spans="1:24" x14ac:dyDescent="0.15">
      <c r="A323" s="7" t="str">
        <f t="shared" si="12"/>
        <v>201806</v>
      </c>
      <c r="C323" s="6" t="str">
        <f>INDEX(工厂基础数据!$A$2:$A$1024,MATCH(X323,工厂基础数据!$D$2:$D$1024,0))</f>
        <v>02025767</v>
      </c>
      <c r="E323" s="6" t="str">
        <f>INDEX(工厂基础数据!$B$2:$B$1024,MATCH(X323,工厂基础数据!$D$2:$D$1024,0))</f>
        <v>滨州市仁信医药有限公司</v>
      </c>
      <c r="F323" s="6">
        <f>INDEX(商业2转码!$B$2:$B$10000,MATCH(E323,商业2转码!$A$2:$A$10000,0))</f>
        <v>0</v>
      </c>
      <c r="G323" s="6" t="str">
        <f>INDEX(品种2编码!$A$2:$A$1048576,MATCH(W323,品种2编码!$D$2:$D$1048576,0))</f>
        <v>0020020013ZYZC0491</v>
      </c>
      <c r="H323" s="6" t="s">
        <v>1921</v>
      </c>
      <c r="I323" s="6" t="s">
        <v>914</v>
      </c>
      <c r="J323" s="6" t="s">
        <v>3038</v>
      </c>
      <c r="L323" s="6" t="s">
        <v>2185</v>
      </c>
      <c r="M323" s="6">
        <f>INDEX(医院2县区2人!$B$2:$B$1048576,MATCH(L323,医院2县区2人!$A$2:$A$1048576,0))</f>
        <v>2</v>
      </c>
      <c r="N323" s="6" t="str">
        <f>INDEX(医院2县区2人!$C$2:$C$1048576,MATCH(L323,医院2县区2人!$A$2:$A$1048576,0))</f>
        <v>1855</v>
      </c>
      <c r="P323" s="7">
        <v>43258.74596064815</v>
      </c>
      <c r="Q323" s="6">
        <v>100</v>
      </c>
      <c r="R323" s="6">
        <v>3.5</v>
      </c>
      <c r="S323" s="6" t="s">
        <v>3051</v>
      </c>
      <c r="T323" s="6" t="str">
        <f>INDEX(医院2县区2人!$D$2:$D$1048576,MATCH(L323,医院2县区2人!$A$2:$A$1048576,0))</f>
        <v>201602151421097</v>
      </c>
      <c r="W323" s="6" t="str">
        <f t="shared" si="11"/>
        <v>阿奇针/注射用乳糖酸阿奇霉素针0.25g</v>
      </c>
      <c r="X323" s="6" t="s">
        <v>2890</v>
      </c>
    </row>
    <row r="324" spans="1:24" x14ac:dyDescent="0.15">
      <c r="A324" s="7" t="str">
        <f t="shared" si="12"/>
        <v>201806</v>
      </c>
      <c r="C324" s="6" t="str">
        <f>INDEX(工厂基础数据!$A$2:$A$1024,MATCH(X324,工厂基础数据!$D$2:$D$1024,0))</f>
        <v>02025767</v>
      </c>
      <c r="E324" s="6" t="str">
        <f>INDEX(工厂基础数据!$B$2:$B$1024,MATCH(X324,工厂基础数据!$D$2:$D$1024,0))</f>
        <v>滨州市仁信医药有限公司</v>
      </c>
      <c r="F324" s="6">
        <f>INDEX(商业2转码!$B$2:$B$10000,MATCH(E324,商业2转码!$A$2:$A$10000,0))</f>
        <v>0</v>
      </c>
      <c r="G324" s="6" t="str">
        <f>INDEX(品种2编码!$A$2:$A$1048576,MATCH(W324,品种2编码!$D$2:$D$1048576,0))</f>
        <v>0020030020ZYLC0005</v>
      </c>
      <c r="H324" s="6" t="s">
        <v>705</v>
      </c>
      <c r="I324" s="6" t="s">
        <v>1908</v>
      </c>
      <c r="J324" s="6" t="s">
        <v>3036</v>
      </c>
      <c r="L324" s="6" t="s">
        <v>3004</v>
      </c>
      <c r="M324" s="6" t="e">
        <f>INDEX(医院2县区2人!$B$2:$B$1048576,MATCH(L324,医院2县区2人!$A$2:$A$1048576,0))</f>
        <v>#N/A</v>
      </c>
      <c r="N324" s="6" t="e">
        <f>INDEX(医院2县区2人!$C$2:$C$1048576,MATCH(L324,医院2县区2人!$A$2:$A$1048576,0))</f>
        <v>#N/A</v>
      </c>
      <c r="P324" s="7">
        <v>43258.745844907404</v>
      </c>
      <c r="Q324" s="6">
        <v>10</v>
      </c>
      <c r="R324" s="6">
        <v>6</v>
      </c>
      <c r="S324" s="6">
        <v>170601</v>
      </c>
      <c r="T324" s="6" t="e">
        <f>INDEX(医院2县区2人!$D$2:$D$1048576,MATCH(L324,医院2县区2人!$A$2:$A$1048576,0))</f>
        <v>#N/A</v>
      </c>
      <c r="W324" s="6" t="str">
        <f t="shared" si="11"/>
        <v>小儿氨酚黄那敏片0.125g*20片</v>
      </c>
      <c r="X324" s="6" t="s">
        <v>2890</v>
      </c>
    </row>
    <row r="325" spans="1:24" x14ac:dyDescent="0.15">
      <c r="A325" s="7" t="str">
        <f t="shared" si="12"/>
        <v>201806</v>
      </c>
      <c r="C325" s="6" t="str">
        <f>INDEX(工厂基础数据!$A$2:$A$1024,MATCH(X325,工厂基础数据!$D$2:$D$1024,0))</f>
        <v>02025767</v>
      </c>
      <c r="E325" s="6" t="str">
        <f>INDEX(工厂基础数据!$B$2:$B$1024,MATCH(X325,工厂基础数据!$D$2:$D$1024,0))</f>
        <v>滨州市仁信医药有限公司</v>
      </c>
      <c r="F325" s="6">
        <f>INDEX(商业2转码!$B$2:$B$10000,MATCH(E325,商业2转码!$A$2:$A$10000,0))</f>
        <v>0</v>
      </c>
      <c r="G325" s="6" t="str">
        <f>INDEX(品种2编码!$A$2:$A$1048576,MATCH(W325,品种2编码!$D$2:$D$1048576,0))</f>
        <v>0020030020ZYZC0360</v>
      </c>
      <c r="H325" s="6" t="s">
        <v>1880</v>
      </c>
      <c r="I325" s="6" t="s">
        <v>1881</v>
      </c>
      <c r="J325" s="6" t="s">
        <v>3038</v>
      </c>
      <c r="L325" s="6" t="s">
        <v>2258</v>
      </c>
      <c r="M325" s="6">
        <f>INDEX(医院2县区2人!$B$2:$B$1048576,MATCH(L325,医院2县区2人!$A$2:$A$1048576,0))</f>
        <v>2</v>
      </c>
      <c r="N325" s="6" t="str">
        <f>INDEX(医院2县区2人!$C$2:$C$1048576,MATCH(L325,医院2县区2人!$A$2:$A$1048576,0))</f>
        <v>1857</v>
      </c>
      <c r="P325" s="7">
        <v>43258.745729166665</v>
      </c>
      <c r="Q325" s="6">
        <v>5</v>
      </c>
      <c r="R325" s="6">
        <v>13.4</v>
      </c>
      <c r="S325" s="6" t="s">
        <v>3054</v>
      </c>
      <c r="T325" s="6" t="str">
        <f>INDEX(医院2县区2人!$D$2:$D$1048576,MATCH(L325,医院2县区2人!$A$2:$A$1048576,0))</f>
        <v>201602151421097</v>
      </c>
      <c r="W325" s="6" t="str">
        <f t="shared" ref="W325:W388" si="13">H325&amp;I325</f>
        <v>*维生素C咀嚼片/VC片0.1g*30片</v>
      </c>
      <c r="X325" s="6" t="s">
        <v>2890</v>
      </c>
    </row>
    <row r="326" spans="1:24" x14ac:dyDescent="0.15">
      <c r="A326" s="7" t="str">
        <f t="shared" ref="A326:A389" si="14">IF(MONTH(P326)&lt;10,YEAR(P326)&amp;"0"&amp;MONTH(P326),YEAR(P326)&amp;MONTH(P326))</f>
        <v>201806</v>
      </c>
      <c r="C326" s="6" t="str">
        <f>INDEX(工厂基础数据!$A$2:$A$1024,MATCH(X326,工厂基础数据!$D$2:$D$1024,0))</f>
        <v>02025767</v>
      </c>
      <c r="E326" s="6" t="str">
        <f>INDEX(工厂基础数据!$B$2:$B$1024,MATCH(X326,工厂基础数据!$D$2:$D$1024,0))</f>
        <v>滨州市仁信医药有限公司</v>
      </c>
      <c r="F326" s="6">
        <f>INDEX(商业2转码!$B$2:$B$10000,MATCH(E326,商业2转码!$A$2:$A$10000,0))</f>
        <v>0</v>
      </c>
      <c r="G326" s="6" t="str">
        <f>INDEX(品种2编码!$A$2:$A$1048576,MATCH(W326,品种2编码!$D$2:$D$1048576,0))</f>
        <v>0020020020ZYLC0010</v>
      </c>
      <c r="H326" s="6" t="s">
        <v>1877</v>
      </c>
      <c r="I326" s="6" t="s">
        <v>1878</v>
      </c>
      <c r="J326" s="6" t="s">
        <v>3036</v>
      </c>
      <c r="L326" s="6" t="s">
        <v>3005</v>
      </c>
      <c r="M326" s="6" t="e">
        <f>INDEX(医院2县区2人!$B$2:$B$1048576,MATCH(L326,医院2县区2人!$A$2:$A$1048576,0))</f>
        <v>#N/A</v>
      </c>
      <c r="N326" s="6" t="e">
        <f>INDEX(医院2县区2人!$C$2:$C$1048576,MATCH(L326,医院2县区2人!$A$2:$A$1048576,0))</f>
        <v>#N/A</v>
      </c>
      <c r="P326" s="7">
        <v>43258.745694444442</v>
      </c>
      <c r="Q326" s="6">
        <v>20</v>
      </c>
      <c r="R326" s="6">
        <v>3.5</v>
      </c>
      <c r="S326" s="6">
        <v>180401</v>
      </c>
      <c r="T326" s="6" t="e">
        <f>INDEX(医院2县区2人!$D$2:$D$1048576,MATCH(L326,医院2县区2人!$A$2:$A$1048576,0))</f>
        <v>#N/A</v>
      </c>
      <c r="W326" s="6" t="str">
        <f t="shared" si="13"/>
        <v xml:space="preserve">泻利停/颠茄磺苄啶片0.48g*10片 </v>
      </c>
      <c r="X326" s="6" t="s">
        <v>2890</v>
      </c>
    </row>
    <row r="327" spans="1:24" x14ac:dyDescent="0.15">
      <c r="A327" s="7" t="str">
        <f t="shared" si="14"/>
        <v>201806</v>
      </c>
      <c r="C327" s="6" t="str">
        <f>INDEX(工厂基础数据!$A$2:$A$1024,MATCH(X327,工厂基础数据!$D$2:$D$1024,0))</f>
        <v>02025767</v>
      </c>
      <c r="E327" s="6" t="str">
        <f>INDEX(工厂基础数据!$B$2:$B$1024,MATCH(X327,工厂基础数据!$D$2:$D$1024,0))</f>
        <v>滨州市仁信医药有限公司</v>
      </c>
      <c r="F327" s="6">
        <f>INDEX(商业2转码!$B$2:$B$10000,MATCH(E327,商业2转码!$A$2:$A$10000,0))</f>
        <v>0</v>
      </c>
      <c r="G327" s="6" t="str">
        <f>INDEX(品种2编码!$A$2:$A$1048576,MATCH(W327,品种2编码!$D$2:$D$1048576,0))</f>
        <v>0020070000ZYLC0001</v>
      </c>
      <c r="H327" s="6" t="s">
        <v>1885</v>
      </c>
      <c r="I327" s="6" t="s">
        <v>1886</v>
      </c>
      <c r="J327" s="6" t="s">
        <v>3036</v>
      </c>
      <c r="L327" s="6" t="s">
        <v>2220</v>
      </c>
      <c r="M327" s="6">
        <f>INDEX(医院2县区2人!$B$2:$B$1048576,MATCH(L327,医院2县区2人!$A$2:$A$1048576,0))</f>
        <v>2</v>
      </c>
      <c r="N327" s="6" t="str">
        <f>INDEX(医院2县区2人!$C$2:$C$1048576,MATCH(L327,医院2县区2人!$A$2:$A$1048576,0))</f>
        <v>1857</v>
      </c>
      <c r="P327" s="7">
        <v>43258.745752314811</v>
      </c>
      <c r="Q327" s="6">
        <v>5</v>
      </c>
      <c r="R327" s="6">
        <v>29</v>
      </c>
      <c r="S327" s="6">
        <v>180104</v>
      </c>
      <c r="T327" s="6" t="str">
        <f>INDEX(医院2县区2人!$D$2:$D$1048576,MATCH(L327,医院2县区2人!$A$2:$A$1048576,0))</f>
        <v>201602151421097</v>
      </c>
      <c r="W327" s="6" t="str">
        <f t="shared" si="13"/>
        <v>新盖中盖高钙片2.5g*36P</v>
      </c>
      <c r="X327" s="6" t="s">
        <v>2890</v>
      </c>
    </row>
    <row r="328" spans="1:24" x14ac:dyDescent="0.15">
      <c r="A328" s="7" t="str">
        <f t="shared" si="14"/>
        <v>201806</v>
      </c>
      <c r="C328" s="6" t="str">
        <f>INDEX(工厂基础数据!$A$2:$A$1024,MATCH(X328,工厂基础数据!$D$2:$D$1024,0))</f>
        <v>02025767</v>
      </c>
      <c r="E328" s="6" t="str">
        <f>INDEX(工厂基础数据!$B$2:$B$1024,MATCH(X328,工厂基础数据!$D$2:$D$1024,0))</f>
        <v>滨州市仁信医药有限公司</v>
      </c>
      <c r="F328" s="6">
        <f>INDEX(商业2转码!$B$2:$B$10000,MATCH(E328,商业2转码!$A$2:$A$10000,0))</f>
        <v>0</v>
      </c>
      <c r="G328" s="6" t="str">
        <f>INDEX(品种2编码!$A$2:$A$1048576,MATCH(W328,品种2编码!$D$2:$D$1048576,0))</f>
        <v>0020030020ZYLC0010</v>
      </c>
      <c r="H328" s="6" t="s">
        <v>1883</v>
      </c>
      <c r="I328" s="6" t="s">
        <v>1839</v>
      </c>
      <c r="J328" s="6" t="s">
        <v>3036</v>
      </c>
      <c r="L328" s="6" t="s">
        <v>2380</v>
      </c>
      <c r="M328" s="6">
        <f>INDEX(医院2县区2人!$B$2:$B$1048576,MATCH(L328,医院2县区2人!$A$2:$A$1048576,0))</f>
        <v>2</v>
      </c>
      <c r="N328" s="6" t="str">
        <f>INDEX(医院2县区2人!$C$2:$C$1048576,MATCH(L328,医院2县区2人!$A$2:$A$1048576,0))</f>
        <v>1855</v>
      </c>
      <c r="P328" s="7">
        <v>43260.716747685183</v>
      </c>
      <c r="Q328" s="6">
        <v>10</v>
      </c>
      <c r="R328" s="6">
        <v>3.7</v>
      </c>
      <c r="S328" s="6">
        <v>180136</v>
      </c>
      <c r="T328" s="6" t="str">
        <f>INDEX(医院2县区2人!$D$2:$D$1048576,MATCH(L328,医院2县区2人!$A$2:$A$1048576,0))</f>
        <v>201602151421097</v>
      </c>
      <c r="W328" s="6" t="str">
        <f t="shared" si="13"/>
        <v>“为消”牌乳酸菌素片0.4g*36片</v>
      </c>
      <c r="X328" s="6" t="s">
        <v>2890</v>
      </c>
    </row>
    <row r="329" spans="1:24" x14ac:dyDescent="0.15">
      <c r="A329" s="7" t="str">
        <f t="shared" si="14"/>
        <v>201806</v>
      </c>
      <c r="C329" s="6" t="str">
        <f>INDEX(工厂基础数据!$A$2:$A$1024,MATCH(X329,工厂基础数据!$D$2:$D$1024,0))</f>
        <v>02025767</v>
      </c>
      <c r="E329" s="6" t="str">
        <f>INDEX(工厂基础数据!$B$2:$B$1024,MATCH(X329,工厂基础数据!$D$2:$D$1024,0))</f>
        <v>滨州市仁信医药有限公司</v>
      </c>
      <c r="F329" s="6">
        <f>INDEX(商业2转码!$B$2:$B$10000,MATCH(E329,商业2转码!$A$2:$A$10000,0))</f>
        <v>0</v>
      </c>
      <c r="G329" s="6" t="str">
        <f>INDEX(品种2编码!$A$2:$A$1048576,MATCH(W329,品种2编码!$D$2:$D$1048576,0))</f>
        <v>0020020020ZYLC0010</v>
      </c>
      <c r="H329" s="6" t="s">
        <v>1877</v>
      </c>
      <c r="I329" s="6" t="s">
        <v>1878</v>
      </c>
      <c r="J329" s="6" t="s">
        <v>3036</v>
      </c>
      <c r="L329" s="6" t="s">
        <v>2380</v>
      </c>
      <c r="M329" s="6">
        <f>INDEX(医院2县区2人!$B$2:$B$1048576,MATCH(L329,医院2县区2人!$A$2:$A$1048576,0))</f>
        <v>2</v>
      </c>
      <c r="N329" s="6" t="str">
        <f>INDEX(医院2县区2人!$C$2:$C$1048576,MATCH(L329,医院2县区2人!$A$2:$A$1048576,0))</f>
        <v>1855</v>
      </c>
      <c r="P329" s="7">
        <v>43260.716828703706</v>
      </c>
      <c r="Q329" s="6">
        <v>10</v>
      </c>
      <c r="R329" s="6">
        <v>3.5</v>
      </c>
      <c r="S329" s="6">
        <v>180401</v>
      </c>
      <c r="T329" s="6" t="str">
        <f>INDEX(医院2县区2人!$D$2:$D$1048576,MATCH(L329,医院2县区2人!$A$2:$A$1048576,0))</f>
        <v>201602151421097</v>
      </c>
      <c r="W329" s="6" t="str">
        <f t="shared" si="13"/>
        <v xml:space="preserve">泻利停/颠茄磺苄啶片0.48g*10片 </v>
      </c>
      <c r="X329" s="6" t="s">
        <v>2890</v>
      </c>
    </row>
    <row r="330" spans="1:24" x14ac:dyDescent="0.15">
      <c r="A330" s="7" t="str">
        <f t="shared" si="14"/>
        <v>201806</v>
      </c>
      <c r="C330" s="6" t="str">
        <f>INDEX(工厂基础数据!$A$2:$A$1024,MATCH(X330,工厂基础数据!$D$2:$D$1024,0))</f>
        <v>02025767</v>
      </c>
      <c r="E330" s="6" t="str">
        <f>INDEX(工厂基础数据!$B$2:$B$1024,MATCH(X330,工厂基础数据!$D$2:$D$1024,0))</f>
        <v>滨州市仁信医药有限公司</v>
      </c>
      <c r="F330" s="6">
        <f>INDEX(商业2转码!$B$2:$B$10000,MATCH(E330,商业2转码!$A$2:$A$10000,0))</f>
        <v>0</v>
      </c>
      <c r="G330" s="6" t="str">
        <f>INDEX(品种2编码!$A$2:$A$1048576,MATCH(W330,品种2编码!$D$2:$D$1048576,0))</f>
        <v>0020030020SJSC0025</v>
      </c>
      <c r="H330" s="6" t="s">
        <v>380</v>
      </c>
      <c r="I330" s="6" t="s">
        <v>381</v>
      </c>
      <c r="J330" s="6" t="s">
        <v>3045</v>
      </c>
      <c r="L330" s="6" t="s">
        <v>2313</v>
      </c>
      <c r="M330" s="6">
        <f>INDEX(医院2县区2人!$B$2:$B$1048576,MATCH(L330,医院2县区2人!$A$2:$A$1048576,0))</f>
        <v>2</v>
      </c>
      <c r="N330" s="6" t="str">
        <f>INDEX(医院2县区2人!$C$2:$C$1048576,MATCH(L330,医院2县区2人!$A$2:$A$1048576,0))</f>
        <v>1853</v>
      </c>
      <c r="P330" s="7">
        <v>43260.717592592591</v>
      </c>
      <c r="Q330" s="6">
        <v>50</v>
      </c>
      <c r="R330" s="6">
        <v>3.6</v>
      </c>
      <c r="S330" s="6">
        <v>1712002</v>
      </c>
      <c r="T330" s="6" t="str">
        <f>INDEX(医院2县区2人!$D$2:$D$1048576,MATCH(L330,医院2县区2人!$A$2:$A$1048576,0))</f>
        <v>201602151421097</v>
      </c>
      <c r="W330" s="6" t="str">
        <f t="shared" si="13"/>
        <v>复方氨酚烷胺片12片</v>
      </c>
      <c r="X330" s="6" t="s">
        <v>2890</v>
      </c>
    </row>
    <row r="331" spans="1:24" x14ac:dyDescent="0.15">
      <c r="A331" s="7" t="str">
        <f t="shared" si="14"/>
        <v>201806</v>
      </c>
      <c r="C331" s="6" t="str">
        <f>INDEX(工厂基础数据!$A$2:$A$1024,MATCH(X331,工厂基础数据!$D$2:$D$1024,0))</f>
        <v>02025767</v>
      </c>
      <c r="E331" s="6" t="str">
        <f>INDEX(工厂基础数据!$B$2:$B$1024,MATCH(X331,工厂基础数据!$D$2:$D$1024,0))</f>
        <v>滨州市仁信医药有限公司</v>
      </c>
      <c r="F331" s="6">
        <f>INDEX(商业2转码!$B$2:$B$10000,MATCH(E331,商业2转码!$A$2:$A$10000,0))</f>
        <v>0</v>
      </c>
      <c r="G331" s="6" t="str">
        <f>INDEX(品种2编码!$A$2:$A$1048576,MATCH(W331,品种2编码!$D$2:$D$1048576,0))</f>
        <v>0020030001SJZY0009</v>
      </c>
      <c r="H331" s="6" t="s">
        <v>555</v>
      </c>
      <c r="I331" s="6" t="s">
        <v>1889</v>
      </c>
      <c r="J331" s="6" t="s">
        <v>3039</v>
      </c>
      <c r="L331" s="6" t="s">
        <v>2313</v>
      </c>
      <c r="M331" s="6">
        <f>INDEX(医院2县区2人!$B$2:$B$1048576,MATCH(L331,医院2县区2人!$A$2:$A$1048576,0))</f>
        <v>2</v>
      </c>
      <c r="N331" s="6" t="str">
        <f>INDEX(医院2县区2人!$C$2:$C$1048576,MATCH(L331,医院2县区2人!$A$2:$A$1048576,0))</f>
        <v>1853</v>
      </c>
      <c r="P331" s="7">
        <v>43260.717604166668</v>
      </c>
      <c r="Q331" s="6">
        <v>5</v>
      </c>
      <c r="R331" s="6">
        <v>25</v>
      </c>
      <c r="S331" s="6">
        <v>18031227</v>
      </c>
      <c r="T331" s="6" t="str">
        <f>INDEX(医院2县区2人!$D$2:$D$1048576,MATCH(L331,医院2县区2人!$A$2:$A$1048576,0))</f>
        <v>201602151421097</v>
      </c>
      <c r="W331" s="6" t="str">
        <f t="shared" si="13"/>
        <v>葡萄糖酸锌口服液10ML*12支</v>
      </c>
      <c r="X331" s="6" t="s">
        <v>2890</v>
      </c>
    </row>
    <row r="332" spans="1:24" x14ac:dyDescent="0.15">
      <c r="A332" s="7" t="str">
        <f t="shared" si="14"/>
        <v>201806</v>
      </c>
      <c r="C332" s="6" t="str">
        <f>INDEX(工厂基础数据!$A$2:$A$1024,MATCH(X332,工厂基础数据!$D$2:$D$1024,0))</f>
        <v>02025767</v>
      </c>
      <c r="E332" s="6" t="str">
        <f>INDEX(工厂基础数据!$B$2:$B$1024,MATCH(X332,工厂基础数据!$D$2:$D$1024,0))</f>
        <v>滨州市仁信医药有限公司</v>
      </c>
      <c r="F332" s="6">
        <f>INDEX(商业2转码!$B$2:$B$10000,MATCH(E332,商业2转码!$A$2:$A$10000,0))</f>
        <v>0</v>
      </c>
      <c r="G332" s="6" t="str">
        <f>INDEX(品种2编码!$A$2:$A$1048576,MATCH(W332,品种2编码!$D$2:$D$1048576,0))</f>
        <v>0020030020SJSC0004</v>
      </c>
      <c r="H332" s="6" t="s">
        <v>1907</v>
      </c>
      <c r="I332" s="6" t="s">
        <v>1871</v>
      </c>
      <c r="J332" s="6" t="s">
        <v>3045</v>
      </c>
      <c r="L332" s="6" t="s">
        <v>2340</v>
      </c>
      <c r="M332" s="6">
        <f>INDEX(医院2县区2人!$B$2:$B$1048576,MATCH(L332,医院2县区2人!$A$2:$A$1048576,0))</f>
        <v>2</v>
      </c>
      <c r="N332" s="6" t="str">
        <f>INDEX(医院2县区2人!$C$2:$C$1048576,MATCH(L332,医院2县区2人!$A$2:$A$1048576,0))</f>
        <v>1855</v>
      </c>
      <c r="P332" s="7">
        <v>43260.716828703706</v>
      </c>
      <c r="Q332" s="6">
        <v>5</v>
      </c>
      <c r="R332" s="6">
        <v>12.5</v>
      </c>
      <c r="S332" s="6">
        <v>1803006</v>
      </c>
      <c r="T332" s="6" t="str">
        <f>INDEX(医院2县区2人!$D$2:$D$1048576,MATCH(L332,医院2县区2人!$A$2:$A$1048576,0))</f>
        <v>201602151421097</v>
      </c>
      <c r="W332" s="6" t="str">
        <f t="shared" si="13"/>
        <v>胃必治/复方铝酸铋片50片</v>
      </c>
      <c r="X332" s="6" t="s">
        <v>2890</v>
      </c>
    </row>
    <row r="333" spans="1:24" x14ac:dyDescent="0.15">
      <c r="A333" s="7" t="str">
        <f t="shared" si="14"/>
        <v>201806</v>
      </c>
      <c r="C333" s="6" t="str">
        <f>INDEX(工厂基础数据!$A$2:$A$1024,MATCH(X333,工厂基础数据!$D$2:$D$1024,0))</f>
        <v>02025767</v>
      </c>
      <c r="E333" s="6" t="str">
        <f>INDEX(工厂基础数据!$B$2:$B$1024,MATCH(X333,工厂基础数据!$D$2:$D$1024,0))</f>
        <v>滨州市仁信医药有限公司</v>
      </c>
      <c r="F333" s="6">
        <f>INDEX(商业2转码!$B$2:$B$10000,MATCH(E333,商业2转码!$A$2:$A$10000,0))</f>
        <v>0</v>
      </c>
      <c r="G333" s="6" t="str">
        <f>INDEX(品种2编码!$A$2:$A$1048576,MATCH(W333,品种2编码!$D$2:$D$1048576,0))</f>
        <v>0020020021ZYLC0004</v>
      </c>
      <c r="H333" s="6" t="s">
        <v>1899</v>
      </c>
      <c r="I333" s="6" t="s">
        <v>1869</v>
      </c>
      <c r="J333" s="6" t="s">
        <v>3036</v>
      </c>
      <c r="L333" s="6" t="s">
        <v>2228</v>
      </c>
      <c r="M333" s="6">
        <f>INDEX(医院2县区2人!$B$2:$B$1048576,MATCH(L333,医院2县区2人!$A$2:$A$1048576,0))</f>
        <v>2</v>
      </c>
      <c r="N333" s="6" t="str">
        <f>INDEX(医院2县区2人!$C$2:$C$1048576,MATCH(L333,医院2县区2人!$A$2:$A$1048576,0))</f>
        <v>1854</v>
      </c>
      <c r="P333" s="7">
        <v>43260.717557870368</v>
      </c>
      <c r="Q333" s="6">
        <v>200</v>
      </c>
      <c r="R333" s="6">
        <v>8</v>
      </c>
      <c r="S333" s="6">
        <v>180201</v>
      </c>
      <c r="T333" s="6" t="str">
        <f>INDEX(医院2县区2人!$D$2:$D$1048576,MATCH(L333,医院2县区2人!$A$2:$A$1048576,0))</f>
        <v>201602151421097</v>
      </c>
      <c r="W333" s="6" t="str">
        <f t="shared" si="13"/>
        <v>大严迪片/罗红霉素分散片75mg*12片</v>
      </c>
      <c r="X333" s="6" t="s">
        <v>2890</v>
      </c>
    </row>
    <row r="334" spans="1:24" x14ac:dyDescent="0.15">
      <c r="A334" s="7" t="str">
        <f t="shared" si="14"/>
        <v>201806</v>
      </c>
      <c r="C334" s="6" t="str">
        <f>INDEX(工厂基础数据!$A$2:$A$1024,MATCH(X334,工厂基础数据!$D$2:$D$1024,0))</f>
        <v>02025767</v>
      </c>
      <c r="E334" s="6" t="str">
        <f>INDEX(工厂基础数据!$B$2:$B$1024,MATCH(X334,工厂基础数据!$D$2:$D$1024,0))</f>
        <v>滨州市仁信医药有限公司</v>
      </c>
      <c r="F334" s="6">
        <f>INDEX(商业2转码!$B$2:$B$10000,MATCH(E334,商业2转码!$A$2:$A$10000,0))</f>
        <v>0</v>
      </c>
      <c r="G334" s="6" t="str">
        <f>INDEX(品种2编码!$A$2:$A$1048576,MATCH(W334,品种2编码!$D$2:$D$1048576,0))</f>
        <v>0020030020ZYLC0010</v>
      </c>
      <c r="H334" s="6" t="s">
        <v>1903</v>
      </c>
      <c r="I334" s="6" t="s">
        <v>1839</v>
      </c>
      <c r="J334" s="6" t="s">
        <v>3036</v>
      </c>
      <c r="L334" s="6" t="s">
        <v>3006</v>
      </c>
      <c r="M334" s="6" t="e">
        <f>INDEX(医院2县区2人!$B$2:$B$1048576,MATCH(L334,医院2县区2人!$A$2:$A$1048576,0))</f>
        <v>#N/A</v>
      </c>
      <c r="N334" s="6" t="e">
        <f>INDEX(医院2县区2人!$C$2:$C$1048576,MATCH(L334,医院2县区2人!$A$2:$A$1048576,0))</f>
        <v>#N/A</v>
      </c>
      <c r="P334" s="7">
        <v>43260.71675925926</v>
      </c>
      <c r="Q334" s="6">
        <v>20</v>
      </c>
      <c r="R334" s="6">
        <v>9</v>
      </c>
      <c r="S334" s="6">
        <v>180302</v>
      </c>
      <c r="T334" s="6" t="e">
        <f>INDEX(医院2县区2人!$D$2:$D$1048576,MATCH(L334,医院2县区2人!$A$2:$A$1048576,0))</f>
        <v>#N/A</v>
      </c>
      <c r="W334" s="6" t="str">
        <f t="shared" si="13"/>
        <v>乳酸菌素片/为消0.4g*36片</v>
      </c>
      <c r="X334" s="6" t="s">
        <v>2890</v>
      </c>
    </row>
    <row r="335" spans="1:24" x14ac:dyDescent="0.15">
      <c r="A335" s="7" t="str">
        <f t="shared" si="14"/>
        <v>201806</v>
      </c>
      <c r="C335" s="6" t="str">
        <f>INDEX(工厂基础数据!$A$2:$A$1024,MATCH(X335,工厂基础数据!$D$2:$D$1024,0))</f>
        <v>02025767</v>
      </c>
      <c r="E335" s="6" t="str">
        <f>INDEX(工厂基础数据!$B$2:$B$1024,MATCH(X335,工厂基础数据!$D$2:$D$1024,0))</f>
        <v>滨州市仁信医药有限公司</v>
      </c>
      <c r="F335" s="6">
        <f>INDEX(商业2转码!$B$2:$B$10000,MATCH(E335,商业2转码!$A$2:$A$10000,0))</f>
        <v>0</v>
      </c>
      <c r="G335" s="6" t="str">
        <f>INDEX(品种2编码!$A$2:$A$1048576,MATCH(W335,品种2编码!$D$2:$D$1048576,0))</f>
        <v>0020050090SJZY0001</v>
      </c>
      <c r="H335" s="6" t="s">
        <v>630</v>
      </c>
      <c r="I335" s="6" t="s">
        <v>1850</v>
      </c>
      <c r="J335" s="6" t="s">
        <v>3040</v>
      </c>
      <c r="L335" s="6" t="s">
        <v>3007</v>
      </c>
      <c r="M335" s="6" t="e">
        <f>INDEX(医院2县区2人!$B$2:$B$1048576,MATCH(L335,医院2县区2人!$A$2:$A$1048576,0))</f>
        <v>#N/A</v>
      </c>
      <c r="N335" s="6" t="e">
        <f>INDEX(医院2县区2人!$C$2:$C$1048576,MATCH(L335,医院2县区2人!$A$2:$A$1048576,0))</f>
        <v>#N/A</v>
      </c>
      <c r="P335" s="7">
        <v>43260.717222222222</v>
      </c>
      <c r="Q335" s="6">
        <v>10</v>
      </c>
      <c r="R335" s="6">
        <v>16.5</v>
      </c>
      <c r="S335" s="6">
        <v>17062821</v>
      </c>
      <c r="T335" s="6" t="e">
        <f>INDEX(医院2县区2人!$D$2:$D$1048576,MATCH(L335,医院2县区2人!$A$2:$A$1048576,0))</f>
        <v>#N/A</v>
      </c>
      <c r="W335" s="6" t="str">
        <f t="shared" si="13"/>
        <v>双黄连口服液10ml*10支</v>
      </c>
      <c r="X335" s="6" t="s">
        <v>2890</v>
      </c>
    </row>
    <row r="336" spans="1:24" x14ac:dyDescent="0.15">
      <c r="A336" s="7" t="str">
        <f t="shared" si="14"/>
        <v>201806</v>
      </c>
      <c r="C336" s="6" t="str">
        <f>INDEX(工厂基础数据!$A$2:$A$1024,MATCH(X336,工厂基础数据!$D$2:$D$1024,0))</f>
        <v>02025767</v>
      </c>
      <c r="E336" s="6" t="str">
        <f>INDEX(工厂基础数据!$B$2:$B$1024,MATCH(X336,工厂基础数据!$D$2:$D$1024,0))</f>
        <v>滨州市仁信医药有限公司</v>
      </c>
      <c r="F336" s="6">
        <f>INDEX(商业2转码!$B$2:$B$10000,MATCH(E336,商业2转码!$A$2:$A$10000,0))</f>
        <v>0</v>
      </c>
      <c r="G336" s="6" t="str">
        <f>INDEX(品种2编码!$A$2:$A$1048576,MATCH(W336,品种2编码!$D$2:$D$1048576,0))</f>
        <v>0020050090SJZY0001</v>
      </c>
      <c r="H336" s="6" t="s">
        <v>630</v>
      </c>
      <c r="I336" s="6" t="s">
        <v>1850</v>
      </c>
      <c r="J336" s="6" t="s">
        <v>3040</v>
      </c>
      <c r="L336" s="6" t="s">
        <v>2656</v>
      </c>
      <c r="M336" s="6">
        <f>INDEX(医院2县区2人!$B$2:$B$1048576,MATCH(L336,医院2县区2人!$A$2:$A$1048576,0))</f>
        <v>2</v>
      </c>
      <c r="N336" s="6" t="str">
        <f>INDEX(医院2县区2人!$C$2:$C$1048576,MATCH(L336,医院2县区2人!$A$2:$A$1048576,0))</f>
        <v>1855</v>
      </c>
      <c r="P336" s="7">
        <v>43260.717048611114</v>
      </c>
      <c r="Q336" s="6">
        <v>5</v>
      </c>
      <c r="R336" s="6">
        <v>16.5</v>
      </c>
      <c r="S336" s="6">
        <v>17062821</v>
      </c>
      <c r="T336" s="6" t="str">
        <f>INDEX(医院2县区2人!$D$2:$D$1048576,MATCH(L336,医院2县区2人!$A$2:$A$1048576,0))</f>
        <v>201602151421097</v>
      </c>
      <c r="W336" s="6" t="str">
        <f t="shared" si="13"/>
        <v>双黄连口服液10ml*10支</v>
      </c>
      <c r="X336" s="6" t="s">
        <v>2890</v>
      </c>
    </row>
    <row r="337" spans="1:24" x14ac:dyDescent="0.15">
      <c r="A337" s="7" t="str">
        <f t="shared" si="14"/>
        <v>201806</v>
      </c>
      <c r="C337" s="6" t="str">
        <f>INDEX(工厂基础数据!$A$2:$A$1024,MATCH(X337,工厂基础数据!$D$2:$D$1024,0))</f>
        <v>02025767</v>
      </c>
      <c r="E337" s="6" t="str">
        <f>INDEX(工厂基础数据!$B$2:$B$1024,MATCH(X337,工厂基础数据!$D$2:$D$1024,0))</f>
        <v>滨州市仁信医药有限公司</v>
      </c>
      <c r="F337" s="6">
        <f>INDEX(商业2转码!$B$2:$B$10000,MATCH(E337,商业2转码!$A$2:$A$10000,0))</f>
        <v>0</v>
      </c>
      <c r="G337" s="6" t="str">
        <f>INDEX(品种2编码!$A$2:$A$1048576,MATCH(W337,品种2编码!$D$2:$D$1048576,0))</f>
        <v>0020030020ZYLC0010</v>
      </c>
      <c r="H337" s="6" t="s">
        <v>1883</v>
      </c>
      <c r="I337" s="6" t="s">
        <v>1839</v>
      </c>
      <c r="J337" s="6" t="s">
        <v>3036</v>
      </c>
      <c r="L337" s="6" t="s">
        <v>3008</v>
      </c>
      <c r="M337" s="6" t="e">
        <f>INDEX(医院2县区2人!$B$2:$B$1048576,MATCH(L337,医院2县区2人!$A$2:$A$1048576,0))</f>
        <v>#N/A</v>
      </c>
      <c r="N337" s="6" t="e">
        <f>INDEX(医院2县区2人!$C$2:$C$1048576,MATCH(L337,医院2县区2人!$A$2:$A$1048576,0))</f>
        <v>#N/A</v>
      </c>
      <c r="P337" s="7">
        <v>43260.717569444445</v>
      </c>
      <c r="Q337" s="6">
        <v>10</v>
      </c>
      <c r="R337" s="6">
        <v>3.7</v>
      </c>
      <c r="S337" s="6">
        <v>180128</v>
      </c>
      <c r="T337" s="6" t="e">
        <f>INDEX(医院2县区2人!$D$2:$D$1048576,MATCH(L337,医院2县区2人!$A$2:$A$1048576,0))</f>
        <v>#N/A</v>
      </c>
      <c r="W337" s="6" t="str">
        <f t="shared" si="13"/>
        <v>“为消”牌乳酸菌素片0.4g*36片</v>
      </c>
      <c r="X337" s="6" t="s">
        <v>2890</v>
      </c>
    </row>
    <row r="338" spans="1:24" x14ac:dyDescent="0.15">
      <c r="A338" s="7" t="str">
        <f t="shared" si="14"/>
        <v>201806</v>
      </c>
      <c r="C338" s="6" t="str">
        <f>INDEX(工厂基础数据!$A$2:$A$1024,MATCH(X338,工厂基础数据!$D$2:$D$1024,0))</f>
        <v>02025767</v>
      </c>
      <c r="E338" s="6" t="str">
        <f>INDEX(工厂基础数据!$B$2:$B$1024,MATCH(X338,工厂基础数据!$D$2:$D$1024,0))</f>
        <v>滨州市仁信医药有限公司</v>
      </c>
      <c r="F338" s="6">
        <f>INDEX(商业2转码!$B$2:$B$10000,MATCH(E338,商业2转码!$A$2:$A$10000,0))</f>
        <v>0</v>
      </c>
      <c r="G338" s="6" t="str">
        <f>INDEX(品种2编码!$A$2:$A$1048576,MATCH(W338,品种2编码!$D$2:$D$1048576,0))</f>
        <v>0020050090SJZY0001</v>
      </c>
      <c r="H338" s="6" t="s">
        <v>630</v>
      </c>
      <c r="I338" s="6" t="s">
        <v>1850</v>
      </c>
      <c r="J338" s="6" t="s">
        <v>3040</v>
      </c>
      <c r="L338" s="6" t="s">
        <v>2283</v>
      </c>
      <c r="M338" s="6">
        <f>INDEX(医院2县区2人!$B$2:$B$1048576,MATCH(L338,医院2县区2人!$A$2:$A$1048576,0))</f>
        <v>4</v>
      </c>
      <c r="N338" s="6" t="str">
        <f>INDEX(医院2县区2人!$C$2:$C$1048576,MATCH(L338,医院2县区2人!$A$2:$A$1048576,0))</f>
        <v>1856</v>
      </c>
      <c r="P338" s="7">
        <v>43260.717372685183</v>
      </c>
      <c r="Q338" s="6">
        <v>5</v>
      </c>
      <c r="R338" s="6">
        <v>16.5</v>
      </c>
      <c r="S338" s="6">
        <v>17062821</v>
      </c>
      <c r="T338" s="6" t="str">
        <f>INDEX(医院2县区2人!$D$2:$D$1048576,MATCH(L338,医院2县区2人!$A$2:$A$1048576,0))</f>
        <v>201602151421097</v>
      </c>
      <c r="W338" s="6" t="str">
        <f t="shared" si="13"/>
        <v>双黄连口服液10ml*10支</v>
      </c>
      <c r="X338" s="6" t="s">
        <v>2890</v>
      </c>
    </row>
    <row r="339" spans="1:24" x14ac:dyDescent="0.15">
      <c r="A339" s="7" t="str">
        <f t="shared" si="14"/>
        <v>201806</v>
      </c>
      <c r="C339" s="6" t="str">
        <f>INDEX(工厂基础数据!$A$2:$A$1024,MATCH(X339,工厂基础数据!$D$2:$D$1024,0))</f>
        <v>02025767</v>
      </c>
      <c r="E339" s="6" t="str">
        <f>INDEX(工厂基础数据!$B$2:$B$1024,MATCH(X339,工厂基础数据!$D$2:$D$1024,0))</f>
        <v>滨州市仁信医药有限公司</v>
      </c>
      <c r="F339" s="6">
        <f>INDEX(商业2转码!$B$2:$B$10000,MATCH(E339,商业2转码!$A$2:$A$10000,0))</f>
        <v>0</v>
      </c>
      <c r="G339" s="6" t="str">
        <f>INDEX(品种2编码!$A$2:$A$1048576,MATCH(W339,品种2编码!$D$2:$D$1048576,0))</f>
        <v>0020030020SJSC0004</v>
      </c>
      <c r="H339" s="6" t="s">
        <v>1907</v>
      </c>
      <c r="I339" s="6" t="s">
        <v>1871</v>
      </c>
      <c r="J339" s="6" t="s">
        <v>3045</v>
      </c>
      <c r="L339" s="6" t="s">
        <v>2300</v>
      </c>
      <c r="M339" s="6">
        <f>INDEX(医院2县区2人!$B$2:$B$1048576,MATCH(L339,医院2县区2人!$A$2:$A$1048576,0))</f>
        <v>4</v>
      </c>
      <c r="N339" s="6" t="str">
        <f>INDEX(医院2县区2人!$C$2:$C$1048576,MATCH(L339,医院2县区2人!$A$2:$A$1048576,0))</f>
        <v>1857</v>
      </c>
      <c r="P339" s="7">
        <v>43260.582094907404</v>
      </c>
      <c r="Q339" s="6">
        <v>-10</v>
      </c>
      <c r="R339" s="6">
        <v>12.5</v>
      </c>
      <c r="S339" s="6">
        <v>1803006</v>
      </c>
      <c r="T339" s="6" t="str">
        <f>INDEX(医院2县区2人!$D$2:$D$1048576,MATCH(L339,医院2县区2人!$A$2:$A$1048576,0))</f>
        <v>201602151421097</v>
      </c>
      <c r="W339" s="6" t="str">
        <f t="shared" si="13"/>
        <v>胃必治/复方铝酸铋片50片</v>
      </c>
      <c r="X339" s="6" t="s">
        <v>2890</v>
      </c>
    </row>
    <row r="340" spans="1:24" x14ac:dyDescent="0.15">
      <c r="A340" s="7" t="str">
        <f t="shared" si="14"/>
        <v>201806</v>
      </c>
      <c r="C340" s="6" t="str">
        <f>INDEX(工厂基础数据!$A$2:$A$1024,MATCH(X340,工厂基础数据!$D$2:$D$1024,0))</f>
        <v>02025767</v>
      </c>
      <c r="E340" s="6" t="str">
        <f>INDEX(工厂基础数据!$B$2:$B$1024,MATCH(X340,工厂基础数据!$D$2:$D$1024,0))</f>
        <v>滨州市仁信医药有限公司</v>
      </c>
      <c r="F340" s="6">
        <f>INDEX(商业2转码!$B$2:$B$10000,MATCH(E340,商业2转码!$A$2:$A$10000,0))</f>
        <v>0</v>
      </c>
      <c r="G340" s="6" t="str">
        <f>INDEX(品种2编码!$A$2:$A$1048576,MATCH(W340,品种2编码!$D$2:$D$1048576,0))</f>
        <v>0020020020ZYLC0010</v>
      </c>
      <c r="H340" s="6" t="s">
        <v>1877</v>
      </c>
      <c r="I340" s="6" t="s">
        <v>1878</v>
      </c>
      <c r="J340" s="6" t="s">
        <v>3036</v>
      </c>
      <c r="L340" s="6" t="s">
        <v>2199</v>
      </c>
      <c r="M340" s="6">
        <f>INDEX(医院2县区2人!$B$2:$B$1048576,MATCH(L340,医院2县区2人!$A$2:$A$1048576,0))</f>
        <v>2</v>
      </c>
      <c r="N340" s="6" t="str">
        <f>INDEX(医院2县区2人!$C$2:$C$1048576,MATCH(L340,医院2县区2人!$A$2:$A$1048576,0))</f>
        <v>1855</v>
      </c>
      <c r="P340" s="7">
        <v>43260.717372685183</v>
      </c>
      <c r="Q340" s="6">
        <v>60</v>
      </c>
      <c r="R340" s="6">
        <v>3.5</v>
      </c>
      <c r="S340" s="6">
        <v>180401</v>
      </c>
      <c r="T340" s="6" t="str">
        <f>INDEX(医院2县区2人!$D$2:$D$1048576,MATCH(L340,医院2县区2人!$A$2:$A$1048576,0))</f>
        <v>201602151421097</v>
      </c>
      <c r="W340" s="6" t="str">
        <f t="shared" si="13"/>
        <v xml:space="preserve">泻利停/颠茄磺苄啶片0.48g*10片 </v>
      </c>
      <c r="X340" s="6" t="s">
        <v>2890</v>
      </c>
    </row>
    <row r="341" spans="1:24" x14ac:dyDescent="0.15">
      <c r="A341" s="7" t="str">
        <f t="shared" si="14"/>
        <v>201806</v>
      </c>
      <c r="C341" s="6" t="str">
        <f>INDEX(工厂基础数据!$A$2:$A$1024,MATCH(X341,工厂基础数据!$D$2:$D$1024,0))</f>
        <v>02025767</v>
      </c>
      <c r="E341" s="6" t="str">
        <f>INDEX(工厂基础数据!$B$2:$B$1024,MATCH(X341,工厂基础数据!$D$2:$D$1024,0))</f>
        <v>滨州市仁信医药有限公司</v>
      </c>
      <c r="F341" s="6">
        <f>INDEX(商业2转码!$B$2:$B$10000,MATCH(E341,商业2转码!$A$2:$A$10000,0))</f>
        <v>0</v>
      </c>
      <c r="G341" s="6" t="str">
        <f>INDEX(品种2编码!$A$2:$A$1048576,MATCH(W341,品种2编码!$D$2:$D$1048576,0))</f>
        <v>0020030001SJZY0009</v>
      </c>
      <c r="H341" s="6" t="s">
        <v>555</v>
      </c>
      <c r="I341" s="6" t="s">
        <v>1889</v>
      </c>
      <c r="J341" s="6" t="s">
        <v>3039</v>
      </c>
      <c r="L341" s="6" t="s">
        <v>2266</v>
      </c>
      <c r="M341" s="6">
        <f>INDEX(医院2县区2人!$B$2:$B$1048576,MATCH(L341,医院2县区2人!$A$2:$A$1048576,0))</f>
        <v>4</v>
      </c>
      <c r="N341" s="6" t="str">
        <f>INDEX(医院2县区2人!$C$2:$C$1048576,MATCH(L341,医院2县区2人!$A$2:$A$1048576,0))</f>
        <v>1856</v>
      </c>
      <c r="P341" s="7">
        <v>43260.717615740738</v>
      </c>
      <c r="Q341" s="6">
        <v>20</v>
      </c>
      <c r="R341" s="6">
        <v>25</v>
      </c>
      <c r="S341" s="6">
        <v>18031227</v>
      </c>
      <c r="T341" s="6" t="str">
        <f>INDEX(医院2县区2人!$D$2:$D$1048576,MATCH(L341,医院2县区2人!$A$2:$A$1048576,0))</f>
        <v>201602151421097</v>
      </c>
      <c r="W341" s="6" t="str">
        <f t="shared" si="13"/>
        <v>葡萄糖酸锌口服液10ML*12支</v>
      </c>
      <c r="X341" s="6" t="s">
        <v>2890</v>
      </c>
    </row>
    <row r="342" spans="1:24" x14ac:dyDescent="0.15">
      <c r="A342" s="7" t="str">
        <f t="shared" si="14"/>
        <v>201806</v>
      </c>
      <c r="C342" s="6" t="str">
        <f>INDEX(工厂基础数据!$A$2:$A$1024,MATCH(X342,工厂基础数据!$D$2:$D$1024,0))</f>
        <v>02025767</v>
      </c>
      <c r="E342" s="6" t="str">
        <f>INDEX(工厂基础数据!$B$2:$B$1024,MATCH(X342,工厂基础数据!$D$2:$D$1024,0))</f>
        <v>滨州市仁信医药有限公司</v>
      </c>
      <c r="F342" s="6">
        <f>INDEX(商业2转码!$B$2:$B$10000,MATCH(E342,商业2转码!$A$2:$A$10000,0))</f>
        <v>0</v>
      </c>
      <c r="G342" s="6" t="str">
        <f>INDEX(品种2编码!$A$2:$A$1048576,MATCH(W342,品种2编码!$D$2:$D$1048576,0))</f>
        <v>0020070000ZYLC0001</v>
      </c>
      <c r="H342" s="6" t="s">
        <v>1885</v>
      </c>
      <c r="I342" s="6" t="s">
        <v>1886</v>
      </c>
      <c r="J342" s="6" t="s">
        <v>3036</v>
      </c>
      <c r="L342" s="6" t="s">
        <v>2266</v>
      </c>
      <c r="M342" s="6">
        <f>INDEX(医院2县区2人!$B$2:$B$1048576,MATCH(L342,医院2县区2人!$A$2:$A$1048576,0))</f>
        <v>4</v>
      </c>
      <c r="N342" s="6" t="str">
        <f>INDEX(医院2县区2人!$C$2:$C$1048576,MATCH(L342,医院2县区2人!$A$2:$A$1048576,0))</f>
        <v>1856</v>
      </c>
      <c r="P342" s="7">
        <v>43260.717627314814</v>
      </c>
      <c r="Q342" s="6">
        <v>10</v>
      </c>
      <c r="R342" s="6">
        <v>29</v>
      </c>
      <c r="S342" s="6">
        <v>180104</v>
      </c>
      <c r="T342" s="6" t="str">
        <f>INDEX(医院2县区2人!$D$2:$D$1048576,MATCH(L342,医院2县区2人!$A$2:$A$1048576,0))</f>
        <v>201602151421097</v>
      </c>
      <c r="W342" s="6" t="str">
        <f t="shared" si="13"/>
        <v>新盖中盖高钙片2.5g*36P</v>
      </c>
      <c r="X342" s="6" t="s">
        <v>2890</v>
      </c>
    </row>
    <row r="343" spans="1:24" x14ac:dyDescent="0.15">
      <c r="A343" s="7" t="str">
        <f t="shared" si="14"/>
        <v>201806</v>
      </c>
      <c r="C343" s="6" t="str">
        <f>INDEX(工厂基础数据!$A$2:$A$1024,MATCH(X343,工厂基础数据!$D$2:$D$1024,0))</f>
        <v>02025767</v>
      </c>
      <c r="E343" s="6" t="str">
        <f>INDEX(工厂基础数据!$B$2:$B$1024,MATCH(X343,工厂基础数据!$D$2:$D$1024,0))</f>
        <v>滨州市仁信医药有限公司</v>
      </c>
      <c r="F343" s="6">
        <f>INDEX(商业2转码!$B$2:$B$10000,MATCH(E343,商业2转码!$A$2:$A$10000,0))</f>
        <v>0</v>
      </c>
      <c r="G343" s="6" t="str">
        <f>INDEX(品种2编码!$A$2:$A$1048576,MATCH(W343,品种2编码!$D$2:$D$1048576,0))</f>
        <v>0020020020ZYLC0010</v>
      </c>
      <c r="H343" s="6" t="s">
        <v>1877</v>
      </c>
      <c r="I343" s="6" t="s">
        <v>1878</v>
      </c>
      <c r="J343" s="6" t="s">
        <v>3036</v>
      </c>
      <c r="L343" s="6" t="s">
        <v>2299</v>
      </c>
      <c r="M343" s="6">
        <f>INDEX(医院2县区2人!$B$2:$B$1048576,MATCH(L343,医院2县区2人!$A$2:$A$1048576,0))</f>
        <v>2</v>
      </c>
      <c r="N343" s="6" t="str">
        <f>INDEX(医院2县区2人!$C$2:$C$1048576,MATCH(L343,医院2县区2人!$A$2:$A$1048576,0))</f>
        <v>1855</v>
      </c>
      <c r="P343" s="7">
        <v>43260.716863425929</v>
      </c>
      <c r="Q343" s="6">
        <v>10</v>
      </c>
      <c r="R343" s="6">
        <v>3.5</v>
      </c>
      <c r="S343" s="6">
        <v>180401</v>
      </c>
      <c r="T343" s="6" t="str">
        <f>INDEX(医院2县区2人!$D$2:$D$1048576,MATCH(L343,医院2县区2人!$A$2:$A$1048576,0))</f>
        <v>201602151421097</v>
      </c>
      <c r="W343" s="6" t="str">
        <f t="shared" si="13"/>
        <v xml:space="preserve">泻利停/颠茄磺苄啶片0.48g*10片 </v>
      </c>
      <c r="X343" s="6" t="s">
        <v>2890</v>
      </c>
    </row>
    <row r="344" spans="1:24" x14ac:dyDescent="0.15">
      <c r="A344" s="7" t="str">
        <f t="shared" si="14"/>
        <v>201806</v>
      </c>
      <c r="C344" s="6" t="str">
        <f>INDEX(工厂基础数据!$A$2:$A$1024,MATCH(X344,工厂基础数据!$D$2:$D$1024,0))</f>
        <v>02025767</v>
      </c>
      <c r="E344" s="6" t="str">
        <f>INDEX(工厂基础数据!$B$2:$B$1024,MATCH(X344,工厂基础数据!$D$2:$D$1024,0))</f>
        <v>滨州市仁信医药有限公司</v>
      </c>
      <c r="F344" s="6">
        <f>INDEX(商业2转码!$B$2:$B$10000,MATCH(E344,商业2转码!$A$2:$A$10000,0))</f>
        <v>0</v>
      </c>
      <c r="G344" s="6" t="str">
        <f>INDEX(品种2编码!$A$2:$A$1048576,MATCH(W344,品种2编码!$D$2:$D$1048576,0))</f>
        <v>0020030001SJZY0006</v>
      </c>
      <c r="H344" s="6" t="s">
        <v>1888</v>
      </c>
      <c r="I344" s="6" t="s">
        <v>411</v>
      </c>
      <c r="J344" s="6" t="s">
        <v>3040</v>
      </c>
      <c r="L344" s="6" t="s">
        <v>2317</v>
      </c>
      <c r="M344" s="6">
        <f>INDEX(医院2县区2人!$B$2:$B$1048576,MATCH(L344,医院2县区2人!$A$2:$A$1048576,0))</f>
        <v>2</v>
      </c>
      <c r="N344" s="6" t="str">
        <f>INDEX(医院2县区2人!$C$2:$C$1048576,MATCH(L344,医院2县区2人!$A$2:$A$1048576,0))</f>
        <v>1853</v>
      </c>
      <c r="P344" s="7">
        <v>43260.716898148145</v>
      </c>
      <c r="Q344" s="6">
        <v>3</v>
      </c>
      <c r="R344" s="6">
        <v>25</v>
      </c>
      <c r="S344" s="6">
        <v>17071042</v>
      </c>
      <c r="T344" s="6" t="str">
        <f>INDEX(医院2县区2人!$D$2:$D$1048576,MATCH(L344,医院2县区2人!$A$2:$A$1048576,0))</f>
        <v>201602151421097</v>
      </c>
      <c r="W344" s="6" t="str">
        <f t="shared" si="13"/>
        <v>葡萄糖酸钙口服溶液（含糖）10ml*12支</v>
      </c>
      <c r="X344" s="6" t="s">
        <v>2890</v>
      </c>
    </row>
    <row r="345" spans="1:24" x14ac:dyDescent="0.15">
      <c r="A345" s="7" t="str">
        <f t="shared" si="14"/>
        <v>201806</v>
      </c>
      <c r="C345" s="6" t="str">
        <f>INDEX(工厂基础数据!$A$2:$A$1024,MATCH(X345,工厂基础数据!$D$2:$D$1024,0))</f>
        <v>02025767</v>
      </c>
      <c r="E345" s="6" t="str">
        <f>INDEX(工厂基础数据!$B$2:$B$1024,MATCH(X345,工厂基础数据!$D$2:$D$1024,0))</f>
        <v>滨州市仁信医药有限公司</v>
      </c>
      <c r="F345" s="6">
        <f>INDEX(商业2转码!$B$2:$B$10000,MATCH(E345,商业2转码!$A$2:$A$10000,0))</f>
        <v>0</v>
      </c>
      <c r="G345" s="6" t="str">
        <f>INDEX(品种2编码!$A$2:$A$1048576,MATCH(W345,品种2编码!$D$2:$D$1048576,0))</f>
        <v>0020030001SJZY0009</v>
      </c>
      <c r="H345" s="6" t="s">
        <v>555</v>
      </c>
      <c r="I345" s="6" t="s">
        <v>1889</v>
      </c>
      <c r="J345" s="6" t="s">
        <v>3039</v>
      </c>
      <c r="L345" s="6" t="s">
        <v>2317</v>
      </c>
      <c r="M345" s="6">
        <f>INDEX(医院2县区2人!$B$2:$B$1048576,MATCH(L345,医院2县区2人!$A$2:$A$1048576,0))</f>
        <v>2</v>
      </c>
      <c r="N345" s="6" t="str">
        <f>INDEX(医院2县区2人!$C$2:$C$1048576,MATCH(L345,医院2县区2人!$A$2:$A$1048576,0))</f>
        <v>1853</v>
      </c>
      <c r="P345" s="7">
        <v>43260.717210648145</v>
      </c>
      <c r="Q345" s="6">
        <v>3</v>
      </c>
      <c r="R345" s="6">
        <v>25</v>
      </c>
      <c r="S345" s="6">
        <v>18031227</v>
      </c>
      <c r="T345" s="6" t="str">
        <f>INDEX(医院2县区2人!$D$2:$D$1048576,MATCH(L345,医院2县区2人!$A$2:$A$1048576,0))</f>
        <v>201602151421097</v>
      </c>
      <c r="W345" s="6" t="str">
        <f t="shared" si="13"/>
        <v>葡萄糖酸锌口服液10ML*12支</v>
      </c>
      <c r="X345" s="6" t="s">
        <v>2890</v>
      </c>
    </row>
    <row r="346" spans="1:24" x14ac:dyDescent="0.15">
      <c r="A346" s="7" t="str">
        <f t="shared" si="14"/>
        <v>201806</v>
      </c>
      <c r="C346" s="6" t="str">
        <f>INDEX(工厂基础数据!$A$2:$A$1024,MATCH(X346,工厂基础数据!$D$2:$D$1024,0))</f>
        <v>02025767</v>
      </c>
      <c r="E346" s="6" t="str">
        <f>INDEX(工厂基础数据!$B$2:$B$1024,MATCH(X346,工厂基础数据!$D$2:$D$1024,0))</f>
        <v>滨州市仁信医药有限公司</v>
      </c>
      <c r="F346" s="6">
        <f>INDEX(商业2转码!$B$2:$B$10000,MATCH(E346,商业2转码!$A$2:$A$10000,0))</f>
        <v>0</v>
      </c>
      <c r="G346" s="6" t="str">
        <f>INDEX(品种2编码!$A$2:$A$1048576,MATCH(W346,品种2编码!$D$2:$D$1048576,0))</f>
        <v>0020030001SJZY0009</v>
      </c>
      <c r="H346" s="6" t="s">
        <v>555</v>
      </c>
      <c r="I346" s="6" t="s">
        <v>1889</v>
      </c>
      <c r="J346" s="6" t="s">
        <v>3039</v>
      </c>
      <c r="L346" s="6" t="s">
        <v>2258</v>
      </c>
      <c r="M346" s="6">
        <f>INDEX(医院2县区2人!$B$2:$B$1048576,MATCH(L346,医院2县区2人!$A$2:$A$1048576,0))</f>
        <v>2</v>
      </c>
      <c r="N346" s="6" t="str">
        <f>INDEX(医院2县区2人!$C$2:$C$1048576,MATCH(L346,医院2县区2人!$A$2:$A$1048576,0))</f>
        <v>1857</v>
      </c>
      <c r="P346" s="7">
        <v>43260.582094907404</v>
      </c>
      <c r="Q346" s="6">
        <v>-80</v>
      </c>
      <c r="R346" s="6">
        <v>23</v>
      </c>
      <c r="S346" s="6">
        <v>18032427</v>
      </c>
      <c r="T346" s="6" t="str">
        <f>INDEX(医院2县区2人!$D$2:$D$1048576,MATCH(L346,医院2县区2人!$A$2:$A$1048576,0))</f>
        <v>201602151421097</v>
      </c>
      <c r="W346" s="6" t="str">
        <f t="shared" si="13"/>
        <v>葡萄糖酸锌口服液10ML*12支</v>
      </c>
      <c r="X346" s="6" t="s">
        <v>2890</v>
      </c>
    </row>
    <row r="347" spans="1:24" x14ac:dyDescent="0.15">
      <c r="A347" s="7" t="str">
        <f t="shared" si="14"/>
        <v>201806</v>
      </c>
      <c r="C347" s="6" t="str">
        <f>INDEX(工厂基础数据!$A$2:$A$1024,MATCH(X347,工厂基础数据!$D$2:$D$1024,0))</f>
        <v>02025767</v>
      </c>
      <c r="E347" s="6" t="str">
        <f>INDEX(工厂基础数据!$B$2:$B$1024,MATCH(X347,工厂基础数据!$D$2:$D$1024,0))</f>
        <v>滨州市仁信医药有限公司</v>
      </c>
      <c r="F347" s="6">
        <f>INDEX(商业2转码!$B$2:$B$10000,MATCH(E347,商业2转码!$A$2:$A$10000,0))</f>
        <v>0</v>
      </c>
      <c r="G347" s="6" t="str">
        <f>INDEX(品种2编码!$A$2:$A$1048576,MATCH(W347,品种2编码!$D$2:$D$1048576,0))</f>
        <v>0020050090SJZY0001</v>
      </c>
      <c r="H347" s="6" t="s">
        <v>630</v>
      </c>
      <c r="I347" s="6" t="s">
        <v>1850</v>
      </c>
      <c r="J347" s="6" t="s">
        <v>3040</v>
      </c>
      <c r="L347" s="6" t="s">
        <v>2258</v>
      </c>
      <c r="M347" s="6">
        <f>INDEX(医院2县区2人!$B$2:$B$1048576,MATCH(L347,医院2县区2人!$A$2:$A$1048576,0))</f>
        <v>2</v>
      </c>
      <c r="N347" s="6" t="str">
        <f>INDEX(医院2县区2人!$C$2:$C$1048576,MATCH(L347,医院2县区2人!$A$2:$A$1048576,0))</f>
        <v>1857</v>
      </c>
      <c r="P347" s="7">
        <v>43260.582106481481</v>
      </c>
      <c r="Q347" s="6">
        <v>-89</v>
      </c>
      <c r="R347" s="6">
        <v>16.5</v>
      </c>
      <c r="S347" s="6">
        <v>18031742</v>
      </c>
      <c r="T347" s="6" t="str">
        <f>INDEX(医院2县区2人!$D$2:$D$1048576,MATCH(L347,医院2县区2人!$A$2:$A$1048576,0))</f>
        <v>201602151421097</v>
      </c>
      <c r="W347" s="6" t="str">
        <f t="shared" si="13"/>
        <v>双黄连口服液10ml*10支</v>
      </c>
      <c r="X347" s="6" t="s">
        <v>2890</v>
      </c>
    </row>
    <row r="348" spans="1:24" x14ac:dyDescent="0.15">
      <c r="A348" s="7" t="str">
        <f t="shared" si="14"/>
        <v>201806</v>
      </c>
      <c r="C348" s="6" t="str">
        <f>INDEX(工厂基础数据!$A$2:$A$1024,MATCH(X348,工厂基础数据!$D$2:$D$1024,0))</f>
        <v>02025767</v>
      </c>
      <c r="E348" s="6" t="str">
        <f>INDEX(工厂基础数据!$B$2:$B$1024,MATCH(X348,工厂基础数据!$D$2:$D$1024,0))</f>
        <v>滨州市仁信医药有限公司</v>
      </c>
      <c r="F348" s="6">
        <f>INDEX(商业2转码!$B$2:$B$10000,MATCH(E348,商业2转码!$A$2:$A$10000,0))</f>
        <v>0</v>
      </c>
      <c r="G348" s="6" t="str">
        <f>INDEX(品种2编码!$A$2:$A$1048576,MATCH(W348,品种2编码!$D$2:$D$1048576,0))</f>
        <v>0020100000ZYLC0012</v>
      </c>
      <c r="H348" s="6" t="s">
        <v>672</v>
      </c>
      <c r="I348" s="6" t="s">
        <v>1884</v>
      </c>
      <c r="J348" s="6" t="s">
        <v>3036</v>
      </c>
      <c r="L348" s="6" t="s">
        <v>2258</v>
      </c>
      <c r="M348" s="6">
        <f>INDEX(医院2县区2人!$B$2:$B$1048576,MATCH(L348,医院2县区2人!$A$2:$A$1048576,0))</f>
        <v>2</v>
      </c>
      <c r="N348" s="6" t="str">
        <f>INDEX(医院2县区2人!$C$2:$C$1048576,MATCH(L348,医院2县区2人!$A$2:$A$1048576,0))</f>
        <v>1857</v>
      </c>
      <c r="P348" s="7">
        <v>43260.582094907404</v>
      </c>
      <c r="Q348" s="6">
        <v>-200</v>
      </c>
      <c r="R348" s="6">
        <v>0</v>
      </c>
      <c r="S348" s="6">
        <v>20180104</v>
      </c>
      <c r="T348" s="6" t="str">
        <f>INDEX(医院2县区2人!$D$2:$D$1048576,MATCH(L348,医院2县区2人!$A$2:$A$1048576,0))</f>
        <v>201602151421097</v>
      </c>
      <c r="W348" s="6" t="str">
        <f t="shared" si="13"/>
        <v>退热贴40mm*110mm*2贴</v>
      </c>
      <c r="X348" s="6" t="s">
        <v>2890</v>
      </c>
    </row>
    <row r="349" spans="1:24" x14ac:dyDescent="0.15">
      <c r="A349" s="7" t="str">
        <f t="shared" si="14"/>
        <v>201806</v>
      </c>
      <c r="C349" s="6" t="str">
        <f>INDEX(工厂基础数据!$A$2:$A$1024,MATCH(X349,工厂基础数据!$D$2:$D$1024,0))</f>
        <v>02025767</v>
      </c>
      <c r="E349" s="6" t="str">
        <f>INDEX(工厂基础数据!$B$2:$B$1024,MATCH(X349,工厂基础数据!$D$2:$D$1024,0))</f>
        <v>滨州市仁信医药有限公司</v>
      </c>
      <c r="F349" s="6">
        <f>INDEX(商业2转码!$B$2:$B$10000,MATCH(E349,商业2转码!$A$2:$A$10000,0))</f>
        <v>0</v>
      </c>
      <c r="G349" s="6" t="str">
        <f>INDEX(品种2编码!$A$2:$A$1048576,MATCH(W349,品种2编码!$D$2:$D$1048576,0))</f>
        <v>0020070000ZYLC0003</v>
      </c>
      <c r="H349" s="6" t="s">
        <v>722</v>
      </c>
      <c r="I349" s="6" t="s">
        <v>1909</v>
      </c>
      <c r="J349" s="6" t="s">
        <v>3036</v>
      </c>
      <c r="L349" s="6" t="s">
        <v>2371</v>
      </c>
      <c r="M349" s="6">
        <f>INDEX(医院2县区2人!$B$2:$B$1048576,MATCH(L349,医院2县区2人!$A$2:$A$1048576,0))</f>
        <v>4</v>
      </c>
      <c r="N349" s="6" t="str">
        <f>INDEX(医院2县区2人!$C$2:$C$1048576,MATCH(L349,医院2县区2人!$A$2:$A$1048576,0))</f>
        <v>1855</v>
      </c>
      <c r="P349" s="7">
        <v>43260.582106481481</v>
      </c>
      <c r="Q349" s="6">
        <v>-28</v>
      </c>
      <c r="R349" s="6">
        <v>22</v>
      </c>
      <c r="S349" s="6">
        <v>161111</v>
      </c>
      <c r="T349" s="6" t="str">
        <f>INDEX(医院2县区2人!$D$2:$D$1048576,MATCH(L349,医院2县区2人!$A$2:$A$1048576,0))</f>
        <v>201602151421097</v>
      </c>
      <c r="W349" s="6" t="str">
        <f t="shared" si="13"/>
        <v>新盖中盖牌儿童钙片1.75g*36p</v>
      </c>
      <c r="X349" s="6" t="s">
        <v>2890</v>
      </c>
    </row>
    <row r="350" spans="1:24" x14ac:dyDescent="0.15">
      <c r="A350" s="7" t="str">
        <f t="shared" si="14"/>
        <v>201806</v>
      </c>
      <c r="C350" s="6" t="str">
        <f>INDEX(工厂基础数据!$A$2:$A$1024,MATCH(X350,工厂基础数据!$D$2:$D$1024,0))</f>
        <v>02025767</v>
      </c>
      <c r="E350" s="6" t="str">
        <f>INDEX(工厂基础数据!$B$2:$B$1024,MATCH(X350,工厂基础数据!$D$2:$D$1024,0))</f>
        <v>滨州市仁信医药有限公司</v>
      </c>
      <c r="F350" s="6">
        <f>INDEX(商业2转码!$B$2:$B$10000,MATCH(E350,商业2转码!$A$2:$A$10000,0))</f>
        <v>0</v>
      </c>
      <c r="G350" s="6" t="str">
        <f>INDEX(品种2编码!$A$2:$A$1048576,MATCH(W350,品种2编码!$D$2:$D$1048576,0))</f>
        <v>0020040001SHYT0018</v>
      </c>
      <c r="H350" s="6" t="s">
        <v>1932</v>
      </c>
      <c r="I350" s="6" t="s">
        <v>444</v>
      </c>
      <c r="J350" s="6" t="s">
        <v>3037</v>
      </c>
      <c r="L350" s="6" t="s">
        <v>3009</v>
      </c>
      <c r="M350" s="6" t="e">
        <f>INDEX(医院2县区2人!$B$2:$B$1048576,MATCH(L350,医院2县区2人!$A$2:$A$1048576,0))</f>
        <v>#N/A</v>
      </c>
      <c r="N350" s="6" t="e">
        <f>INDEX(医院2县区2人!$C$2:$C$1048576,MATCH(L350,医院2县区2人!$A$2:$A$1048576,0))</f>
        <v>#N/A</v>
      </c>
      <c r="P350" s="7">
        <v>43260.717291666668</v>
      </c>
      <c r="Q350" s="6">
        <v>3</v>
      </c>
      <c r="R350" s="6">
        <v>10</v>
      </c>
      <c r="S350" s="6">
        <v>1612106</v>
      </c>
      <c r="T350" s="6" t="e">
        <f>INDEX(医院2县区2人!$D$2:$D$1048576,MATCH(L350,医院2县区2人!$A$2:$A$1048576,0))</f>
        <v>#N/A</v>
      </c>
      <c r="W350" s="6" t="str">
        <f t="shared" si="13"/>
        <v>血府逐淤丸9g*10丸</v>
      </c>
      <c r="X350" s="6" t="s">
        <v>2890</v>
      </c>
    </row>
    <row r="351" spans="1:24" x14ac:dyDescent="0.15">
      <c r="A351" s="7" t="str">
        <f t="shared" si="14"/>
        <v>201806</v>
      </c>
      <c r="C351" s="6" t="str">
        <f>INDEX(工厂基础数据!$A$2:$A$1024,MATCH(X351,工厂基础数据!$D$2:$D$1024,0))</f>
        <v>02025767</v>
      </c>
      <c r="E351" s="6" t="str">
        <f>INDEX(工厂基础数据!$B$2:$B$1024,MATCH(X351,工厂基础数据!$D$2:$D$1024,0))</f>
        <v>滨州市仁信医药有限公司</v>
      </c>
      <c r="F351" s="6">
        <f>INDEX(商业2转码!$B$2:$B$10000,MATCH(E351,商业2转码!$A$2:$A$10000,0))</f>
        <v>0</v>
      </c>
      <c r="G351" s="6" t="str">
        <f>INDEX(品种2编码!$A$2:$A$1048576,MATCH(W351,品种2编码!$D$2:$D$1048576,0))</f>
        <v>0020020020ZYLC0010</v>
      </c>
      <c r="H351" s="6" t="s">
        <v>1877</v>
      </c>
      <c r="I351" s="6" t="s">
        <v>1878</v>
      </c>
      <c r="J351" s="6" t="s">
        <v>3036</v>
      </c>
      <c r="L351" s="6" t="s">
        <v>2280</v>
      </c>
      <c r="M351" s="6">
        <f>INDEX(医院2县区2人!$B$2:$B$1048576,MATCH(L351,医院2县区2人!$A$2:$A$1048576,0))</f>
        <v>2</v>
      </c>
      <c r="N351" s="6" t="str">
        <f>INDEX(医院2县区2人!$C$2:$C$1048576,MATCH(L351,医院2县区2人!$A$2:$A$1048576,0))</f>
        <v>1854</v>
      </c>
      <c r="P351" s="7">
        <v>43260.717499999999</v>
      </c>
      <c r="Q351" s="6">
        <v>10</v>
      </c>
      <c r="R351" s="6">
        <v>3.5</v>
      </c>
      <c r="S351" s="6">
        <v>180401</v>
      </c>
      <c r="T351" s="6" t="str">
        <f>INDEX(医院2县区2人!$D$2:$D$1048576,MATCH(L351,医院2县区2人!$A$2:$A$1048576,0))</f>
        <v>201602151421097</v>
      </c>
      <c r="W351" s="6" t="str">
        <f t="shared" si="13"/>
        <v xml:space="preserve">泻利停/颠茄磺苄啶片0.48g*10片 </v>
      </c>
      <c r="X351" s="6" t="s">
        <v>2890</v>
      </c>
    </row>
    <row r="352" spans="1:24" x14ac:dyDescent="0.15">
      <c r="A352" s="7" t="str">
        <f t="shared" si="14"/>
        <v>201806</v>
      </c>
      <c r="C352" s="6" t="str">
        <f>INDEX(工厂基础数据!$A$2:$A$1024,MATCH(X352,工厂基础数据!$D$2:$D$1024,0))</f>
        <v>02025767</v>
      </c>
      <c r="E352" s="6" t="str">
        <f>INDEX(工厂基础数据!$B$2:$B$1024,MATCH(X352,工厂基础数据!$D$2:$D$1024,0))</f>
        <v>滨州市仁信医药有限公司</v>
      </c>
      <c r="F352" s="6">
        <f>INDEX(商业2转码!$B$2:$B$10000,MATCH(E352,商业2转码!$A$2:$A$10000,0))</f>
        <v>0</v>
      </c>
      <c r="G352" s="6" t="str">
        <f>INDEX(品种2编码!$A$2:$A$1048576,MATCH(W352,品种2编码!$D$2:$D$1048576,0))</f>
        <v>0020040001SHYT0027</v>
      </c>
      <c r="H352" s="6" t="s">
        <v>313</v>
      </c>
      <c r="I352" s="6" t="s">
        <v>444</v>
      </c>
      <c r="J352" s="6" t="s">
        <v>3037</v>
      </c>
      <c r="L352" s="6" t="s">
        <v>2653</v>
      </c>
      <c r="M352" s="6">
        <f>INDEX(医院2县区2人!$B$2:$B$1048576,MATCH(L352,医院2县区2人!$A$2:$A$1048576,0))</f>
        <v>2</v>
      </c>
      <c r="N352" s="6" t="str">
        <f>INDEX(医院2县区2人!$C$2:$C$1048576,MATCH(L352,医院2县区2人!$A$2:$A$1048576,0))</f>
        <v>1855</v>
      </c>
      <c r="P352" s="7">
        <v>43260.716828703706</v>
      </c>
      <c r="Q352" s="6">
        <v>10</v>
      </c>
      <c r="R352" s="6">
        <v>10</v>
      </c>
      <c r="S352" s="6">
        <v>1606101</v>
      </c>
      <c r="T352" s="6" t="str">
        <f>INDEX(医院2县区2人!$D$2:$D$1048576,MATCH(L352,医院2县区2人!$A$2:$A$1048576,0))</f>
        <v>201602151421097</v>
      </c>
      <c r="W352" s="6" t="str">
        <f t="shared" si="13"/>
        <v>柏子养心丸9g*10丸</v>
      </c>
      <c r="X352" s="6" t="s">
        <v>2890</v>
      </c>
    </row>
    <row r="353" spans="1:24" x14ac:dyDescent="0.15">
      <c r="A353" s="7" t="str">
        <f t="shared" si="14"/>
        <v>201806</v>
      </c>
      <c r="C353" s="6" t="str">
        <f>INDEX(工厂基础数据!$A$2:$A$1024,MATCH(X353,工厂基础数据!$D$2:$D$1024,0))</f>
        <v>02025767</v>
      </c>
      <c r="E353" s="6" t="str">
        <f>INDEX(工厂基础数据!$B$2:$B$1024,MATCH(X353,工厂基础数据!$D$2:$D$1024,0))</f>
        <v>滨州市仁信医药有限公司</v>
      </c>
      <c r="F353" s="6">
        <f>INDEX(商业2转码!$B$2:$B$10000,MATCH(E353,商业2转码!$A$2:$A$10000,0))</f>
        <v>0</v>
      </c>
      <c r="G353" s="6" t="str">
        <f>INDEX(品种2编码!$A$2:$A$1048576,MATCH(W353,品种2编码!$D$2:$D$1048576,0))</f>
        <v>0020020020ZYLC0010</v>
      </c>
      <c r="H353" s="6" t="s">
        <v>1877</v>
      </c>
      <c r="I353" s="6" t="s">
        <v>1878</v>
      </c>
      <c r="J353" s="6" t="s">
        <v>3036</v>
      </c>
      <c r="L353" s="6" t="s">
        <v>3010</v>
      </c>
      <c r="M353" s="6" t="e">
        <f>INDEX(医院2县区2人!$B$2:$B$1048576,MATCH(L353,医院2县区2人!$A$2:$A$1048576,0))</f>
        <v>#N/A</v>
      </c>
      <c r="N353" s="6" t="e">
        <f>INDEX(医院2县区2人!$C$2:$C$1048576,MATCH(L353,医院2县区2人!$A$2:$A$1048576,0))</f>
        <v>#N/A</v>
      </c>
      <c r="P353" s="7">
        <v>43260.717268518521</v>
      </c>
      <c r="Q353" s="6">
        <v>5</v>
      </c>
      <c r="R353" s="6">
        <v>3.5</v>
      </c>
      <c r="S353" s="6">
        <v>180401</v>
      </c>
      <c r="T353" s="6" t="e">
        <f>INDEX(医院2县区2人!$D$2:$D$1048576,MATCH(L353,医院2县区2人!$A$2:$A$1048576,0))</f>
        <v>#N/A</v>
      </c>
      <c r="W353" s="6" t="str">
        <f t="shared" si="13"/>
        <v xml:space="preserve">泻利停/颠茄磺苄啶片0.48g*10片 </v>
      </c>
      <c r="X353" s="6" t="s">
        <v>2890</v>
      </c>
    </row>
    <row r="354" spans="1:24" x14ac:dyDescent="0.15">
      <c r="A354" s="7" t="str">
        <f t="shared" si="14"/>
        <v>201806</v>
      </c>
      <c r="C354" s="6" t="str">
        <f>INDEX(工厂基础数据!$A$2:$A$1024,MATCH(X354,工厂基础数据!$D$2:$D$1024,0))</f>
        <v>02025767</v>
      </c>
      <c r="E354" s="6" t="str">
        <f>INDEX(工厂基础数据!$B$2:$B$1024,MATCH(X354,工厂基础数据!$D$2:$D$1024,0))</f>
        <v>滨州市仁信医药有限公司</v>
      </c>
      <c r="F354" s="6">
        <f>INDEX(商业2转码!$B$2:$B$10000,MATCH(E354,商业2转码!$A$2:$A$10000,0))</f>
        <v>0</v>
      </c>
      <c r="G354" s="6" t="str">
        <f>INDEX(品种2编码!$A$2:$A$1048576,MATCH(W354,品种2编码!$D$2:$D$1048576,0))</f>
        <v>0020020020ZYLC0010</v>
      </c>
      <c r="H354" s="6" t="s">
        <v>1877</v>
      </c>
      <c r="I354" s="6" t="s">
        <v>1878</v>
      </c>
      <c r="J354" s="6" t="s">
        <v>3036</v>
      </c>
      <c r="L354" s="6" t="s">
        <v>2360</v>
      </c>
      <c r="M354" s="6">
        <f>INDEX(医院2县区2人!$B$2:$B$1048576,MATCH(L354,医院2县区2人!$A$2:$A$1048576,0))</f>
        <v>2</v>
      </c>
      <c r="N354" s="6" t="str">
        <f>INDEX(医院2县区2人!$C$2:$C$1048576,MATCH(L354,医院2县区2人!$A$2:$A$1048576,0))</f>
        <v>1855</v>
      </c>
      <c r="P354" s="7">
        <v>43260.717418981483</v>
      </c>
      <c r="Q354" s="6">
        <v>20</v>
      </c>
      <c r="R354" s="6">
        <v>3.5</v>
      </c>
      <c r="S354" s="6">
        <v>180401</v>
      </c>
      <c r="T354" s="6" t="str">
        <f>INDEX(医院2县区2人!$D$2:$D$1048576,MATCH(L354,医院2县区2人!$A$2:$A$1048576,0))</f>
        <v>201602151421097</v>
      </c>
      <c r="W354" s="6" t="str">
        <f t="shared" si="13"/>
        <v xml:space="preserve">泻利停/颠茄磺苄啶片0.48g*10片 </v>
      </c>
      <c r="X354" s="6" t="s">
        <v>2890</v>
      </c>
    </row>
    <row r="355" spans="1:24" x14ac:dyDescent="0.15">
      <c r="A355" s="7" t="str">
        <f t="shared" si="14"/>
        <v>201806</v>
      </c>
      <c r="C355" s="6" t="str">
        <f>INDEX(工厂基础数据!$A$2:$A$1024,MATCH(X355,工厂基础数据!$D$2:$D$1024,0))</f>
        <v>02025767</v>
      </c>
      <c r="E355" s="6" t="str">
        <f>INDEX(工厂基础数据!$B$2:$B$1024,MATCH(X355,工厂基础数据!$D$2:$D$1024,0))</f>
        <v>滨州市仁信医药有限公司</v>
      </c>
      <c r="F355" s="6">
        <f>INDEX(商业2转码!$B$2:$B$10000,MATCH(E355,商业2转码!$A$2:$A$10000,0))</f>
        <v>0</v>
      </c>
      <c r="G355" s="6" t="str">
        <f>INDEX(品种2编码!$A$2:$A$1048576,MATCH(W355,品种2编码!$D$2:$D$1048576,0))</f>
        <v>0020030020SJSC0014</v>
      </c>
      <c r="H355" s="6" t="s">
        <v>677</v>
      </c>
      <c r="I355" s="6" t="s">
        <v>1882</v>
      </c>
      <c r="J355" s="6" t="s">
        <v>3045</v>
      </c>
      <c r="L355" s="6" t="s">
        <v>3011</v>
      </c>
      <c r="M355" s="6" t="e">
        <f>INDEX(医院2县区2人!$B$2:$B$1048576,MATCH(L355,医院2县区2人!$A$2:$A$1048576,0))</f>
        <v>#N/A</v>
      </c>
      <c r="N355" s="6" t="e">
        <f>INDEX(医院2县区2人!$C$2:$C$1048576,MATCH(L355,医院2县区2人!$A$2:$A$1048576,0))</f>
        <v>#N/A</v>
      </c>
      <c r="P355" s="7">
        <v>43260.717418981483</v>
      </c>
      <c r="Q355" s="6">
        <v>2</v>
      </c>
      <c r="R355" s="6">
        <v>9.8000000000000007</v>
      </c>
      <c r="S355" s="6">
        <v>1707002</v>
      </c>
      <c r="T355" s="6" t="e">
        <f>INDEX(医院2县区2人!$D$2:$D$1048576,MATCH(L355,医院2县区2人!$A$2:$A$1048576,0))</f>
        <v>#N/A</v>
      </c>
      <c r="W355" s="6" t="str">
        <f t="shared" si="13"/>
        <v>维D2磷酸氢钙片60片</v>
      </c>
      <c r="X355" s="6" t="s">
        <v>2890</v>
      </c>
    </row>
    <row r="356" spans="1:24" x14ac:dyDescent="0.15">
      <c r="A356" s="7" t="str">
        <f t="shared" si="14"/>
        <v>201806</v>
      </c>
      <c r="C356" s="6" t="str">
        <f>INDEX(工厂基础数据!$A$2:$A$1024,MATCH(X356,工厂基础数据!$D$2:$D$1024,0))</f>
        <v>02025767</v>
      </c>
      <c r="E356" s="6" t="str">
        <f>INDEX(工厂基础数据!$B$2:$B$1024,MATCH(X356,工厂基础数据!$D$2:$D$1024,0))</f>
        <v>滨州市仁信医药有限公司</v>
      </c>
      <c r="F356" s="6">
        <f>INDEX(商业2转码!$B$2:$B$10000,MATCH(E356,商业2转码!$A$2:$A$10000,0))</f>
        <v>0</v>
      </c>
      <c r="G356" s="6" t="str">
        <f>INDEX(品种2编码!$A$2:$A$1048576,MATCH(W356,品种2编码!$D$2:$D$1048576,0))</f>
        <v>0020050090SJZY0001</v>
      </c>
      <c r="H356" s="6" t="s">
        <v>630</v>
      </c>
      <c r="I356" s="6" t="s">
        <v>1850</v>
      </c>
      <c r="J356" s="6" t="s">
        <v>3040</v>
      </c>
      <c r="L356" s="6" t="s">
        <v>3012</v>
      </c>
      <c r="M356" s="6" t="e">
        <f>INDEX(医院2县区2人!$B$2:$B$1048576,MATCH(L356,医院2县区2人!$A$2:$A$1048576,0))</f>
        <v>#N/A</v>
      </c>
      <c r="N356" s="6" t="e">
        <f>INDEX(医院2县区2人!$C$2:$C$1048576,MATCH(L356,医院2县区2人!$A$2:$A$1048576,0))</f>
        <v>#N/A</v>
      </c>
      <c r="P356" s="7">
        <v>43262.741226851853</v>
      </c>
      <c r="Q356" s="6">
        <v>5</v>
      </c>
      <c r="R356" s="6">
        <v>16.5</v>
      </c>
      <c r="S356" s="6">
        <v>17062821</v>
      </c>
      <c r="T356" s="6" t="e">
        <f>INDEX(医院2县区2人!$D$2:$D$1048576,MATCH(L356,医院2县区2人!$A$2:$A$1048576,0))</f>
        <v>#N/A</v>
      </c>
      <c r="W356" s="6" t="str">
        <f t="shared" si="13"/>
        <v>双黄连口服液10ml*10支</v>
      </c>
      <c r="X356" s="6" t="s">
        <v>2890</v>
      </c>
    </row>
    <row r="357" spans="1:24" x14ac:dyDescent="0.15">
      <c r="A357" s="7" t="str">
        <f t="shared" si="14"/>
        <v>201806</v>
      </c>
      <c r="C357" s="6" t="str">
        <f>INDEX(工厂基础数据!$A$2:$A$1024,MATCH(X357,工厂基础数据!$D$2:$D$1024,0))</f>
        <v>02025767</v>
      </c>
      <c r="E357" s="6" t="str">
        <f>INDEX(工厂基础数据!$B$2:$B$1024,MATCH(X357,工厂基础数据!$D$2:$D$1024,0))</f>
        <v>滨州市仁信医药有限公司</v>
      </c>
      <c r="F357" s="6">
        <f>INDEX(商业2转码!$B$2:$B$10000,MATCH(E357,商业2转码!$A$2:$A$10000,0))</f>
        <v>0</v>
      </c>
      <c r="G357" s="6" t="str">
        <f>INDEX(品种2编码!$A$2:$A$1048576,MATCH(W357,品种2编码!$D$2:$D$1048576,0))</f>
        <v>0020020020ZYLC0010</v>
      </c>
      <c r="H357" s="6" t="s">
        <v>1877</v>
      </c>
      <c r="I357" s="6" t="s">
        <v>1878</v>
      </c>
      <c r="J357" s="6" t="s">
        <v>3036</v>
      </c>
      <c r="L357" s="6" t="s">
        <v>3013</v>
      </c>
      <c r="M357" s="6" t="e">
        <f>INDEX(医院2县区2人!$B$2:$B$1048576,MATCH(L357,医院2县区2人!$A$2:$A$1048576,0))</f>
        <v>#N/A</v>
      </c>
      <c r="N357" s="6" t="e">
        <f>INDEX(医院2县区2人!$C$2:$C$1048576,MATCH(L357,医院2县区2人!$A$2:$A$1048576,0))</f>
        <v>#N/A</v>
      </c>
      <c r="P357" s="7">
        <v>43260.717407407406</v>
      </c>
      <c r="Q357" s="6">
        <v>10</v>
      </c>
      <c r="R357" s="6">
        <v>3.5</v>
      </c>
      <c r="S357" s="6">
        <v>180401</v>
      </c>
      <c r="T357" s="6" t="e">
        <f>INDEX(医院2县区2人!$D$2:$D$1048576,MATCH(L357,医院2县区2人!$A$2:$A$1048576,0))</f>
        <v>#N/A</v>
      </c>
      <c r="W357" s="6" t="str">
        <f t="shared" si="13"/>
        <v xml:space="preserve">泻利停/颠茄磺苄啶片0.48g*10片 </v>
      </c>
      <c r="X357" s="6" t="s">
        <v>2890</v>
      </c>
    </row>
    <row r="358" spans="1:24" x14ac:dyDescent="0.15">
      <c r="A358" s="7" t="str">
        <f t="shared" si="14"/>
        <v>201806</v>
      </c>
      <c r="C358" s="6" t="str">
        <f>INDEX(工厂基础数据!$A$2:$A$1024,MATCH(X358,工厂基础数据!$D$2:$D$1024,0))</f>
        <v>02025767</v>
      </c>
      <c r="E358" s="6" t="str">
        <f>INDEX(工厂基础数据!$B$2:$B$1024,MATCH(X358,工厂基础数据!$D$2:$D$1024,0))</f>
        <v>滨州市仁信医药有限公司</v>
      </c>
      <c r="F358" s="6">
        <f>INDEX(商业2转码!$B$2:$B$10000,MATCH(E358,商业2转码!$A$2:$A$10000,0))</f>
        <v>0</v>
      </c>
      <c r="G358" s="6" t="str">
        <f>INDEX(品种2编码!$A$2:$A$1048576,MATCH(W358,品种2编码!$D$2:$D$1048576,0))</f>
        <v>0020070001ZYZC0369</v>
      </c>
      <c r="H358" s="6" t="s">
        <v>1849</v>
      </c>
      <c r="I358" s="6" t="s">
        <v>411</v>
      </c>
      <c r="J358" s="6" t="s">
        <v>3038</v>
      </c>
      <c r="L358" s="6" t="s">
        <v>2183</v>
      </c>
      <c r="M358" s="6">
        <f>INDEX(医院2县区2人!$B$2:$B$1048576,MATCH(L358,医院2县区2人!$A$2:$A$1048576,0))</f>
        <v>4</v>
      </c>
      <c r="N358" s="6" t="str">
        <f>INDEX(医院2县区2人!$C$2:$C$1048576,MATCH(L358,医院2县区2人!$A$2:$A$1048576,0))</f>
        <v>1859</v>
      </c>
      <c r="P358" s="7">
        <v>43261.634872685187</v>
      </c>
      <c r="Q358" s="6">
        <v>60</v>
      </c>
      <c r="R358" s="6">
        <v>18</v>
      </c>
      <c r="S358" s="6">
        <v>1803014</v>
      </c>
      <c r="T358" s="6" t="str">
        <f>INDEX(医院2县区2人!$D$2:$D$1048576,MATCH(L358,医院2县区2人!$A$2:$A$1048576,0))</f>
        <v>201602151421097</v>
      </c>
      <c r="W358" s="6" t="str">
        <f t="shared" si="13"/>
        <v>哈药牌钙铁锌口服液10ml*12支</v>
      </c>
      <c r="X358" s="6" t="s">
        <v>2890</v>
      </c>
    </row>
    <row r="359" spans="1:24" x14ac:dyDescent="0.15">
      <c r="A359" s="7" t="str">
        <f t="shared" si="14"/>
        <v>201806</v>
      </c>
      <c r="C359" s="6" t="str">
        <f>INDEX(工厂基础数据!$A$2:$A$1024,MATCH(X359,工厂基础数据!$D$2:$D$1024,0))</f>
        <v>02025767</v>
      </c>
      <c r="E359" s="6" t="str">
        <f>INDEX(工厂基础数据!$B$2:$B$1024,MATCH(X359,工厂基础数据!$D$2:$D$1024,0))</f>
        <v>滨州市仁信医药有限公司</v>
      </c>
      <c r="F359" s="6">
        <f>INDEX(商业2转码!$B$2:$B$10000,MATCH(E359,商业2转码!$A$2:$A$10000,0))</f>
        <v>0</v>
      </c>
      <c r="G359" s="6" t="str">
        <f>INDEX(品种2编码!$A$2:$A$1048576,MATCH(W359,品种2编码!$D$2:$D$1048576,0))</f>
        <v>0020030020ZYLC0005</v>
      </c>
      <c r="H359" s="6" t="s">
        <v>705</v>
      </c>
      <c r="I359" s="6" t="s">
        <v>1908</v>
      </c>
      <c r="J359" s="6" t="s">
        <v>3036</v>
      </c>
      <c r="L359" s="6" t="s">
        <v>2238</v>
      </c>
      <c r="M359" s="6">
        <f>INDEX(医院2县区2人!$B$2:$B$1048576,MATCH(L359,医院2县区2人!$A$2:$A$1048576,0))</f>
        <v>2</v>
      </c>
      <c r="N359" s="6" t="str">
        <f>INDEX(医院2县区2人!$C$2:$C$1048576,MATCH(L359,医院2县区2人!$A$2:$A$1048576,0))</f>
        <v>1854</v>
      </c>
      <c r="P359" s="7">
        <v>43260.717465277776</v>
      </c>
      <c r="Q359" s="6">
        <v>10</v>
      </c>
      <c r="R359" s="6">
        <v>6</v>
      </c>
      <c r="S359" s="6">
        <v>170601</v>
      </c>
      <c r="T359" s="6" t="str">
        <f>INDEX(医院2县区2人!$D$2:$D$1048576,MATCH(L359,医院2县区2人!$A$2:$A$1048576,0))</f>
        <v>201602151421097</v>
      </c>
      <c r="W359" s="6" t="str">
        <f t="shared" si="13"/>
        <v>小儿氨酚黄那敏片0.125g*20片</v>
      </c>
      <c r="X359" s="6" t="s">
        <v>2890</v>
      </c>
    </row>
    <row r="360" spans="1:24" x14ac:dyDescent="0.15">
      <c r="A360" s="7" t="str">
        <f t="shared" si="14"/>
        <v>201806</v>
      </c>
      <c r="C360" s="6" t="str">
        <f>INDEX(工厂基础数据!$A$2:$A$1024,MATCH(X360,工厂基础数据!$D$2:$D$1024,0))</f>
        <v>02025767</v>
      </c>
      <c r="E360" s="6" t="str">
        <f>INDEX(工厂基础数据!$B$2:$B$1024,MATCH(X360,工厂基础数据!$D$2:$D$1024,0))</f>
        <v>滨州市仁信医药有限公司</v>
      </c>
      <c r="F360" s="6">
        <f>INDEX(商业2转码!$B$2:$B$10000,MATCH(E360,商业2转码!$A$2:$A$10000,0))</f>
        <v>0</v>
      </c>
      <c r="G360" s="6" t="str">
        <f>INDEX(品种2编码!$A$2:$A$1048576,MATCH(W360,品种2编码!$D$2:$D$1048576,0))</f>
        <v>0020020020ZYLC0010</v>
      </c>
      <c r="H360" s="6" t="s">
        <v>1877</v>
      </c>
      <c r="I360" s="6" t="s">
        <v>1878</v>
      </c>
      <c r="J360" s="6" t="s">
        <v>3036</v>
      </c>
      <c r="L360" s="6" t="s">
        <v>2189</v>
      </c>
      <c r="M360" s="6">
        <f>INDEX(医院2县区2人!$B$2:$B$1048576,MATCH(L360,医院2县区2人!$A$2:$A$1048576,0))</f>
        <v>1</v>
      </c>
      <c r="N360" s="6" t="str">
        <f>INDEX(医院2县区2人!$C$2:$C$1048576,MATCH(L360,医院2县区2人!$A$2:$A$1048576,0))</f>
        <v>1854</v>
      </c>
      <c r="P360" s="7">
        <v>43260.717488425929</v>
      </c>
      <c r="Q360" s="6">
        <v>5</v>
      </c>
      <c r="R360" s="6">
        <v>3.5</v>
      </c>
      <c r="S360" s="6">
        <v>180401</v>
      </c>
      <c r="T360" s="6" t="str">
        <f>INDEX(医院2县区2人!$D$2:$D$1048576,MATCH(L360,医院2县区2人!$A$2:$A$1048576,0))</f>
        <v>201602151421097</v>
      </c>
      <c r="W360" s="6" t="str">
        <f t="shared" si="13"/>
        <v xml:space="preserve">泻利停/颠茄磺苄啶片0.48g*10片 </v>
      </c>
      <c r="X360" s="6" t="s">
        <v>2890</v>
      </c>
    </row>
    <row r="361" spans="1:24" x14ac:dyDescent="0.15">
      <c r="A361" s="7" t="str">
        <f t="shared" si="14"/>
        <v>201806</v>
      </c>
      <c r="C361" s="6" t="str">
        <f>INDEX(工厂基础数据!$A$2:$A$1024,MATCH(X361,工厂基础数据!$D$2:$D$1024,0))</f>
        <v>02025767</v>
      </c>
      <c r="E361" s="6" t="str">
        <f>INDEX(工厂基础数据!$B$2:$B$1024,MATCH(X361,工厂基础数据!$D$2:$D$1024,0))</f>
        <v>滨州市仁信医药有限公司</v>
      </c>
      <c r="F361" s="6">
        <f>INDEX(商业2转码!$B$2:$B$10000,MATCH(E361,商业2转码!$A$2:$A$10000,0))</f>
        <v>0</v>
      </c>
      <c r="G361" s="6" t="str">
        <f>INDEX(品种2编码!$A$2:$A$1048576,MATCH(W361,品种2编码!$D$2:$D$1048576,0))</f>
        <v>0020020020ZYLC0010</v>
      </c>
      <c r="H361" s="6" t="s">
        <v>1877</v>
      </c>
      <c r="I361" s="6" t="s">
        <v>1878</v>
      </c>
      <c r="J361" s="6" t="s">
        <v>3036</v>
      </c>
      <c r="L361" s="6" t="s">
        <v>2742</v>
      </c>
      <c r="M361" s="6">
        <f>INDEX(医院2县区2人!$B$2:$B$1048576,MATCH(L361,医院2县区2人!$A$2:$A$1048576,0))</f>
        <v>2</v>
      </c>
      <c r="N361" s="6" t="str">
        <f>INDEX(医院2县区2人!$C$2:$C$1048576,MATCH(L361,医院2县区2人!$A$2:$A$1048576,0))</f>
        <v>1855</v>
      </c>
      <c r="P361" s="7">
        <v>43260.717175925929</v>
      </c>
      <c r="Q361" s="6">
        <v>20</v>
      </c>
      <c r="R361" s="6">
        <v>3.5</v>
      </c>
      <c r="S361" s="6">
        <v>180401</v>
      </c>
      <c r="T361" s="6" t="str">
        <f>INDEX(医院2县区2人!$D$2:$D$1048576,MATCH(L361,医院2县区2人!$A$2:$A$1048576,0))</f>
        <v>201602151421097</v>
      </c>
      <c r="W361" s="6" t="str">
        <f t="shared" si="13"/>
        <v xml:space="preserve">泻利停/颠茄磺苄啶片0.48g*10片 </v>
      </c>
      <c r="X361" s="6" t="s">
        <v>2890</v>
      </c>
    </row>
    <row r="362" spans="1:24" x14ac:dyDescent="0.15">
      <c r="A362" s="7" t="str">
        <f t="shared" si="14"/>
        <v>201806</v>
      </c>
      <c r="C362" s="6" t="str">
        <f>INDEX(工厂基础数据!$A$2:$A$1024,MATCH(X362,工厂基础数据!$D$2:$D$1024,0))</f>
        <v>02025767</v>
      </c>
      <c r="E362" s="6" t="str">
        <f>INDEX(工厂基础数据!$B$2:$B$1024,MATCH(X362,工厂基础数据!$D$2:$D$1024,0))</f>
        <v>滨州市仁信医药有限公司</v>
      </c>
      <c r="F362" s="6">
        <f>INDEX(商业2转码!$B$2:$B$10000,MATCH(E362,商业2转码!$A$2:$A$10000,0))</f>
        <v>0</v>
      </c>
      <c r="G362" s="6" t="str">
        <f>INDEX(品种2编码!$A$2:$A$1048576,MATCH(W362,品种2编码!$D$2:$D$1048576,0))</f>
        <v>0020070000ZYLC0055</v>
      </c>
      <c r="H362" s="6" t="s">
        <v>1906</v>
      </c>
      <c r="I362" s="6" t="s">
        <v>411</v>
      </c>
      <c r="J362" s="6" t="s">
        <v>3036</v>
      </c>
      <c r="L362" s="6" t="s">
        <v>2296</v>
      </c>
      <c r="M362" s="6">
        <f>INDEX(医院2县区2人!$B$2:$B$1048576,MATCH(L362,医院2县区2人!$A$2:$A$1048576,0))</f>
        <v>1</v>
      </c>
      <c r="N362" s="6" t="str">
        <f>INDEX(医院2县区2人!$C$2:$C$1048576,MATCH(L362,医院2县区2人!$A$2:$A$1048576,0))</f>
        <v>1853</v>
      </c>
      <c r="P362" s="7">
        <v>43262.741319444445</v>
      </c>
      <c r="Q362" s="6">
        <v>10</v>
      </c>
      <c r="R362" s="6">
        <v>20</v>
      </c>
      <c r="S362" s="6">
        <v>170615</v>
      </c>
      <c r="T362" s="6" t="str">
        <f>INDEX(医院2县区2人!$D$2:$D$1048576,MATCH(L362,医院2县区2人!$A$2:$A$1048576,0))</f>
        <v>201602151421097</v>
      </c>
      <c r="W362" s="6" t="str">
        <f t="shared" si="13"/>
        <v>朴血/乳酸亚铁口服液10ml*12支</v>
      </c>
      <c r="X362" s="6" t="s">
        <v>2890</v>
      </c>
    </row>
    <row r="363" spans="1:24" x14ac:dyDescent="0.15">
      <c r="A363" s="7" t="str">
        <f t="shared" si="14"/>
        <v>201806</v>
      </c>
      <c r="C363" s="6" t="str">
        <f>INDEX(工厂基础数据!$A$2:$A$1024,MATCH(X363,工厂基础数据!$D$2:$D$1024,0))</f>
        <v>02025767</v>
      </c>
      <c r="E363" s="6" t="str">
        <f>INDEX(工厂基础数据!$B$2:$B$1024,MATCH(X363,工厂基础数据!$D$2:$D$1024,0))</f>
        <v>滨州市仁信医药有限公司</v>
      </c>
      <c r="F363" s="6">
        <f>INDEX(商业2转码!$B$2:$B$10000,MATCH(E363,商业2转码!$A$2:$A$10000,0))</f>
        <v>0</v>
      </c>
      <c r="G363" s="6" t="str">
        <f>INDEX(品种2编码!$A$2:$A$1048576,MATCH(W363,品种2编码!$D$2:$D$1048576,0))</f>
        <v>0020070001ZYLC0001</v>
      </c>
      <c r="H363" s="6" t="s">
        <v>1905</v>
      </c>
      <c r="I363" s="6" t="s">
        <v>411</v>
      </c>
      <c r="J363" s="6" t="s">
        <v>3036</v>
      </c>
      <c r="L363" s="6" t="s">
        <v>3014</v>
      </c>
      <c r="M363" s="6" t="e">
        <f>INDEX(医院2县区2人!$B$2:$B$1048576,MATCH(L363,医院2县区2人!$A$2:$A$1048576,0))</f>
        <v>#N/A</v>
      </c>
      <c r="N363" s="6" t="e">
        <f>INDEX(医院2县区2人!$C$2:$C$1048576,MATCH(L363,医院2县区2人!$A$2:$A$1048576,0))</f>
        <v>#N/A</v>
      </c>
      <c r="P363" s="7">
        <v>43260.716770833336</v>
      </c>
      <c r="Q363" s="6">
        <v>5</v>
      </c>
      <c r="R363" s="6">
        <v>20</v>
      </c>
      <c r="S363" s="6">
        <v>180121</v>
      </c>
      <c r="T363" s="6" t="e">
        <f>INDEX(医院2县区2人!$D$2:$D$1048576,MATCH(L363,医院2县区2人!$A$2:$A$1048576,0))</f>
        <v>#N/A</v>
      </c>
      <c r="W363" s="6" t="str">
        <f t="shared" si="13"/>
        <v>哈药六钙锌口服液10ml*12支</v>
      </c>
      <c r="X363" s="6" t="s">
        <v>2890</v>
      </c>
    </row>
    <row r="364" spans="1:24" x14ac:dyDescent="0.15">
      <c r="A364" s="7" t="str">
        <f t="shared" si="14"/>
        <v>201806</v>
      </c>
      <c r="C364" s="6" t="str">
        <f>INDEX(工厂基础数据!$A$2:$A$1024,MATCH(X364,工厂基础数据!$D$2:$D$1024,0))</f>
        <v>02025767</v>
      </c>
      <c r="E364" s="6" t="str">
        <f>INDEX(工厂基础数据!$B$2:$B$1024,MATCH(X364,工厂基础数据!$D$2:$D$1024,0))</f>
        <v>滨州市仁信医药有限公司</v>
      </c>
      <c r="F364" s="6">
        <f>INDEX(商业2转码!$B$2:$B$10000,MATCH(E364,商业2转码!$A$2:$A$10000,0))</f>
        <v>0</v>
      </c>
      <c r="G364" s="6" t="str">
        <f>INDEX(品种2编码!$A$2:$A$1048576,MATCH(W364,品种2编码!$D$2:$D$1048576,0))</f>
        <v>0020070000ZYLC0055</v>
      </c>
      <c r="H364" s="6" t="s">
        <v>1906</v>
      </c>
      <c r="I364" s="6" t="s">
        <v>411</v>
      </c>
      <c r="J364" s="6" t="s">
        <v>3036</v>
      </c>
      <c r="L364" s="6" t="s">
        <v>2677</v>
      </c>
      <c r="M364" s="6">
        <f>INDEX(医院2县区2人!$B$2:$B$1048576,MATCH(L364,医院2县区2人!$A$2:$A$1048576,0))</f>
        <v>2</v>
      </c>
      <c r="N364" s="6" t="str">
        <f>INDEX(医院2县区2人!$C$2:$C$1048576,MATCH(L364,医院2县区2人!$A$2:$A$1048576,0))</f>
        <v>1855</v>
      </c>
      <c r="P364" s="7">
        <v>43260.71671296296</v>
      </c>
      <c r="Q364" s="6">
        <v>10</v>
      </c>
      <c r="R364" s="6">
        <v>20</v>
      </c>
      <c r="S364" s="6">
        <v>171064</v>
      </c>
      <c r="T364" s="6" t="str">
        <f>INDEX(医院2县区2人!$D$2:$D$1048576,MATCH(L364,医院2县区2人!$A$2:$A$1048576,0))</f>
        <v>201602151421097</v>
      </c>
      <c r="W364" s="6" t="str">
        <f t="shared" si="13"/>
        <v>朴血/乳酸亚铁口服液10ml*12支</v>
      </c>
      <c r="X364" s="6" t="s">
        <v>2890</v>
      </c>
    </row>
    <row r="365" spans="1:24" x14ac:dyDescent="0.15">
      <c r="A365" s="7" t="str">
        <f t="shared" si="14"/>
        <v>201806</v>
      </c>
      <c r="C365" s="6" t="str">
        <f>INDEX(工厂基础数据!$A$2:$A$1024,MATCH(X365,工厂基础数据!$D$2:$D$1024,0))</f>
        <v>02025767</v>
      </c>
      <c r="E365" s="6" t="str">
        <f>INDEX(工厂基础数据!$B$2:$B$1024,MATCH(X365,工厂基础数据!$D$2:$D$1024,0))</f>
        <v>滨州市仁信医药有限公司</v>
      </c>
      <c r="F365" s="6">
        <f>INDEX(商业2转码!$B$2:$B$10000,MATCH(E365,商业2转码!$A$2:$A$10000,0))</f>
        <v>0</v>
      </c>
      <c r="G365" s="6" t="str">
        <f>INDEX(品种2编码!$A$2:$A$1048576,MATCH(W365,品种2编码!$D$2:$D$1048576,0))</f>
        <v>0020020021ZYLC0011</v>
      </c>
      <c r="H365" s="6" t="s">
        <v>1890</v>
      </c>
      <c r="I365" s="6" t="s">
        <v>1891</v>
      </c>
      <c r="J365" s="6" t="s">
        <v>3036</v>
      </c>
      <c r="L365" s="6" t="s">
        <v>2668</v>
      </c>
      <c r="M365" s="6">
        <f>INDEX(医院2县区2人!$B$2:$B$1048576,MATCH(L365,医院2县区2人!$A$2:$A$1048576,0))</f>
        <v>2</v>
      </c>
      <c r="N365" s="6" t="str">
        <f>INDEX(医院2县区2人!$C$2:$C$1048576,MATCH(L365,医院2县区2人!$A$2:$A$1048576,0))</f>
        <v>1855</v>
      </c>
      <c r="P365" s="7">
        <v>43260.716967592591</v>
      </c>
      <c r="Q365" s="6">
        <v>10</v>
      </c>
      <c r="R365" s="6">
        <v>6</v>
      </c>
      <c r="S365" s="6">
        <v>161001</v>
      </c>
      <c r="T365" s="6" t="str">
        <f>INDEX(医院2县区2人!$D$2:$D$1048576,MATCH(L365,医院2县区2人!$A$2:$A$1048576,0))</f>
        <v>201602151421097</v>
      </c>
      <c r="W365" s="6" t="str">
        <f t="shared" si="13"/>
        <v>严迪/罗红霉素分散片150mg*12片</v>
      </c>
      <c r="X365" s="6" t="s">
        <v>2890</v>
      </c>
    </row>
    <row r="366" spans="1:24" x14ac:dyDescent="0.15">
      <c r="A366" s="7" t="str">
        <f t="shared" si="14"/>
        <v>201806</v>
      </c>
      <c r="C366" s="6" t="str">
        <f>INDEX(工厂基础数据!$A$2:$A$1024,MATCH(X366,工厂基础数据!$D$2:$D$1024,0))</f>
        <v>02025767</v>
      </c>
      <c r="E366" s="6" t="str">
        <f>INDEX(工厂基础数据!$B$2:$B$1024,MATCH(X366,工厂基础数据!$D$2:$D$1024,0))</f>
        <v>滨州市仁信医药有限公司</v>
      </c>
      <c r="F366" s="6">
        <f>INDEX(商业2转码!$B$2:$B$10000,MATCH(E366,商业2转码!$A$2:$A$10000,0))</f>
        <v>0</v>
      </c>
      <c r="G366" s="6" t="str">
        <f>INDEX(品种2编码!$A$2:$A$1048576,MATCH(W366,品种2编码!$D$2:$D$1048576,0))</f>
        <v>0020030001SJZY0006</v>
      </c>
      <c r="H366" s="6" t="s">
        <v>1888</v>
      </c>
      <c r="I366" s="6" t="s">
        <v>411</v>
      </c>
      <c r="J366" s="6" t="s">
        <v>3040</v>
      </c>
      <c r="L366" s="6" t="s">
        <v>2668</v>
      </c>
      <c r="M366" s="6">
        <f>INDEX(医院2县区2人!$B$2:$B$1048576,MATCH(L366,医院2县区2人!$A$2:$A$1048576,0))</f>
        <v>2</v>
      </c>
      <c r="N366" s="6" t="str">
        <f>INDEX(医院2县区2人!$C$2:$C$1048576,MATCH(L366,医院2县区2人!$A$2:$A$1048576,0))</f>
        <v>1855</v>
      </c>
      <c r="P366" s="7">
        <v>43260.717002314814</v>
      </c>
      <c r="Q366" s="6">
        <v>1</v>
      </c>
      <c r="R366" s="6">
        <v>25</v>
      </c>
      <c r="S366" s="6">
        <v>17071042</v>
      </c>
      <c r="T366" s="6" t="str">
        <f>INDEX(医院2县区2人!$D$2:$D$1048576,MATCH(L366,医院2县区2人!$A$2:$A$1048576,0))</f>
        <v>201602151421097</v>
      </c>
      <c r="W366" s="6" t="str">
        <f t="shared" si="13"/>
        <v>葡萄糖酸钙口服溶液（含糖）10ml*12支</v>
      </c>
      <c r="X366" s="6" t="s">
        <v>2890</v>
      </c>
    </row>
    <row r="367" spans="1:24" x14ac:dyDescent="0.15">
      <c r="A367" s="7" t="str">
        <f t="shared" si="14"/>
        <v>201806</v>
      </c>
      <c r="C367" s="6" t="str">
        <f>INDEX(工厂基础数据!$A$2:$A$1024,MATCH(X367,工厂基础数据!$D$2:$D$1024,0))</f>
        <v>02025767</v>
      </c>
      <c r="E367" s="6" t="str">
        <f>INDEX(工厂基础数据!$B$2:$B$1024,MATCH(X367,工厂基础数据!$D$2:$D$1024,0))</f>
        <v>滨州市仁信医药有限公司</v>
      </c>
      <c r="F367" s="6">
        <f>INDEX(商业2转码!$B$2:$B$10000,MATCH(E367,商业2转码!$A$2:$A$10000,0))</f>
        <v>0</v>
      </c>
      <c r="G367" s="6" t="str">
        <f>INDEX(品种2编码!$A$2:$A$1048576,MATCH(W367,品种2编码!$D$2:$D$1048576,0))</f>
        <v>0020020030ZYZC0508</v>
      </c>
      <c r="H367" s="6" t="s">
        <v>245</v>
      </c>
      <c r="I367" s="6" t="s">
        <v>1934</v>
      </c>
      <c r="J367" s="6" t="s">
        <v>3038</v>
      </c>
      <c r="L367" s="6" t="s">
        <v>2239</v>
      </c>
      <c r="M367" s="6">
        <f>INDEX(医院2县区2人!$B$2:$B$1048576,MATCH(L367,医院2县区2人!$A$2:$A$1048576,0))</f>
        <v>1</v>
      </c>
      <c r="N367" s="6" t="str">
        <f>INDEX(医院2县区2人!$C$2:$C$1048576,MATCH(L367,医院2县区2人!$A$2:$A$1048576,0))</f>
        <v>1855</v>
      </c>
      <c r="P367" s="7">
        <v>43264.74591435185</v>
      </c>
      <c r="Q367" s="6">
        <v>15</v>
      </c>
      <c r="R367" s="6">
        <v>0</v>
      </c>
      <c r="S367" s="6" t="s">
        <v>3053</v>
      </c>
      <c r="T367" s="6" t="str">
        <f>INDEX(医院2县区2人!$D$2:$D$1048576,MATCH(L367,医院2县区2人!$A$2:$A$1048576,0))</f>
        <v>201602151421097</v>
      </c>
      <c r="W367" s="6" t="str">
        <f t="shared" si="13"/>
        <v>阿莫西林胶囊0.25g*20s</v>
      </c>
      <c r="X367" s="6" t="s">
        <v>2890</v>
      </c>
    </row>
    <row r="368" spans="1:24" x14ac:dyDescent="0.15">
      <c r="A368" s="7" t="str">
        <f t="shared" si="14"/>
        <v>201806</v>
      </c>
      <c r="C368" s="6" t="str">
        <f>INDEX(工厂基础数据!$A$2:$A$1024,MATCH(X368,工厂基础数据!$D$2:$D$1024,0))</f>
        <v>02025767</v>
      </c>
      <c r="E368" s="6" t="str">
        <f>INDEX(工厂基础数据!$B$2:$B$1024,MATCH(X368,工厂基础数据!$D$2:$D$1024,0))</f>
        <v>滨州市仁信医药有限公司</v>
      </c>
      <c r="F368" s="6">
        <f>INDEX(商业2转码!$B$2:$B$10000,MATCH(E368,商业2转码!$A$2:$A$10000,0))</f>
        <v>0</v>
      </c>
      <c r="G368" s="6" t="str">
        <f>INDEX(品种2编码!$A$2:$A$1048576,MATCH(W368,品种2编码!$D$2:$D$1048576,0))</f>
        <v>0020030040ZYLC0001</v>
      </c>
      <c r="H368" s="6" t="s">
        <v>1933</v>
      </c>
      <c r="I368" s="6" t="s">
        <v>1853</v>
      </c>
      <c r="J368" s="6" t="s">
        <v>3036</v>
      </c>
      <c r="L368" s="6" t="s">
        <v>2367</v>
      </c>
      <c r="M368" s="6">
        <f>INDEX(医院2县区2人!$B$2:$B$1048576,MATCH(L368,医院2县区2人!$A$2:$A$1048576,0))</f>
        <v>4</v>
      </c>
      <c r="N368" s="6" t="str">
        <f>INDEX(医院2县区2人!$C$2:$C$1048576,MATCH(L368,医院2县区2人!$A$2:$A$1048576,0))</f>
        <v>1853</v>
      </c>
      <c r="P368" s="7">
        <v>43261.634895833333</v>
      </c>
      <c r="Q368" s="6">
        <v>30</v>
      </c>
      <c r="R368" s="6">
        <v>10</v>
      </c>
      <c r="S368" s="6">
        <v>180141</v>
      </c>
      <c r="T368" s="6" t="str">
        <f>INDEX(医院2县区2人!$D$2:$D$1048576,MATCH(L368,医院2县区2人!$A$2:$A$1048576,0))</f>
        <v>201602151421097</v>
      </c>
      <c r="W368" s="6" t="str">
        <f t="shared" si="13"/>
        <v>护彤冲剂/小儿氨酚黄那敏颗粒2g*12袋</v>
      </c>
      <c r="X368" s="6" t="s">
        <v>2890</v>
      </c>
    </row>
    <row r="369" spans="1:24" x14ac:dyDescent="0.15">
      <c r="A369" s="7" t="str">
        <f t="shared" si="14"/>
        <v>201806</v>
      </c>
      <c r="C369" s="6" t="str">
        <f>INDEX(工厂基础数据!$A$2:$A$1024,MATCH(X369,工厂基础数据!$D$2:$D$1024,0))</f>
        <v>02025767</v>
      </c>
      <c r="E369" s="6" t="str">
        <f>INDEX(工厂基础数据!$B$2:$B$1024,MATCH(X369,工厂基础数据!$D$2:$D$1024,0))</f>
        <v>滨州市仁信医药有限公司</v>
      </c>
      <c r="F369" s="6">
        <f>INDEX(商业2转码!$B$2:$B$10000,MATCH(E369,商业2转码!$A$2:$A$10000,0))</f>
        <v>0</v>
      </c>
      <c r="G369" s="6" t="str">
        <f>INDEX(品种2编码!$A$2:$A$1048576,MATCH(W369,品种2编码!$D$2:$D$1048576,0))</f>
        <v>0020020021ZYZC0341</v>
      </c>
      <c r="H369" s="6" t="s">
        <v>1936</v>
      </c>
      <c r="I369" s="6" t="s">
        <v>279</v>
      </c>
      <c r="J369" s="6" t="s">
        <v>3042</v>
      </c>
      <c r="L369" s="6" t="s">
        <v>2367</v>
      </c>
      <c r="M369" s="6">
        <f>INDEX(医院2县区2人!$B$2:$B$1048576,MATCH(L369,医院2县区2人!$A$2:$A$1048576,0))</f>
        <v>4</v>
      </c>
      <c r="N369" s="6" t="str">
        <f>INDEX(医院2县区2人!$C$2:$C$1048576,MATCH(L369,医院2县区2人!$A$2:$A$1048576,0))</f>
        <v>1853</v>
      </c>
      <c r="P369" s="7">
        <v>43261.634895833333</v>
      </c>
      <c r="Q369" s="6">
        <v>50</v>
      </c>
      <c r="R369" s="6">
        <v>13</v>
      </c>
      <c r="S369" s="6" t="s">
        <v>3049</v>
      </c>
      <c r="T369" s="6" t="str">
        <f>INDEX(医院2县区2人!$D$2:$D$1048576,MATCH(L369,医院2县区2人!$A$2:$A$1048576,0))</f>
        <v>201602151421097</v>
      </c>
      <c r="W369" s="6" t="str">
        <f t="shared" si="13"/>
        <v>阿莫西林克拉维酸钾分散片0.2285g*12片</v>
      </c>
      <c r="X369" s="6" t="s">
        <v>2890</v>
      </c>
    </row>
    <row r="370" spans="1:24" x14ac:dyDescent="0.15">
      <c r="A370" s="7" t="str">
        <f t="shared" si="14"/>
        <v>201806</v>
      </c>
      <c r="C370" s="6" t="str">
        <f>INDEX(工厂基础数据!$A$2:$A$1024,MATCH(X370,工厂基础数据!$D$2:$D$1024,0))</f>
        <v>02025767</v>
      </c>
      <c r="E370" s="6" t="str">
        <f>INDEX(工厂基础数据!$B$2:$B$1024,MATCH(X370,工厂基础数据!$D$2:$D$1024,0))</f>
        <v>滨州市仁信医药有限公司</v>
      </c>
      <c r="F370" s="6">
        <f>INDEX(商业2转码!$B$2:$B$10000,MATCH(E370,商业2转码!$A$2:$A$10000,0))</f>
        <v>0</v>
      </c>
      <c r="G370" s="6" t="str">
        <f>INDEX(品种2编码!$A$2:$A$1048576,MATCH(W370,品种2编码!$D$2:$D$1048576,0))</f>
        <v>0020020020ZYLC0010</v>
      </c>
      <c r="H370" s="6" t="s">
        <v>1877</v>
      </c>
      <c r="I370" s="6" t="s">
        <v>1878</v>
      </c>
      <c r="J370" s="6" t="s">
        <v>3036</v>
      </c>
      <c r="L370" s="6" t="s">
        <v>3015</v>
      </c>
      <c r="M370" s="6" t="e">
        <f>INDEX(医院2县区2人!$B$2:$B$1048576,MATCH(L370,医院2县区2人!$A$2:$A$1048576,0))</f>
        <v>#N/A</v>
      </c>
      <c r="N370" s="6" t="e">
        <f>INDEX(医院2县区2人!$C$2:$C$1048576,MATCH(L370,医院2县区2人!$A$2:$A$1048576,0))</f>
        <v>#N/A</v>
      </c>
      <c r="P370" s="7">
        <v>43261.634918981479</v>
      </c>
      <c r="Q370" s="6">
        <v>3</v>
      </c>
      <c r="R370" s="6">
        <v>3.5</v>
      </c>
      <c r="S370" s="6">
        <v>180401</v>
      </c>
      <c r="T370" s="6" t="e">
        <f>INDEX(医院2县区2人!$D$2:$D$1048576,MATCH(L370,医院2县区2人!$A$2:$A$1048576,0))</f>
        <v>#N/A</v>
      </c>
      <c r="W370" s="6" t="str">
        <f t="shared" si="13"/>
        <v xml:space="preserve">泻利停/颠茄磺苄啶片0.48g*10片 </v>
      </c>
      <c r="X370" s="6" t="s">
        <v>2890</v>
      </c>
    </row>
    <row r="371" spans="1:24" x14ac:dyDescent="0.15">
      <c r="A371" s="7" t="str">
        <f t="shared" si="14"/>
        <v>201806</v>
      </c>
      <c r="C371" s="6" t="str">
        <f>INDEX(工厂基础数据!$A$2:$A$1024,MATCH(X371,工厂基础数据!$D$2:$D$1024,0))</f>
        <v>02025767</v>
      </c>
      <c r="E371" s="6" t="str">
        <f>INDEX(工厂基础数据!$B$2:$B$1024,MATCH(X371,工厂基础数据!$D$2:$D$1024,0))</f>
        <v>滨州市仁信医药有限公司</v>
      </c>
      <c r="F371" s="6">
        <f>INDEX(商业2转码!$B$2:$B$10000,MATCH(E371,商业2转码!$A$2:$A$10000,0))</f>
        <v>0</v>
      </c>
      <c r="G371" s="6" t="str">
        <f>INDEX(品种2编码!$A$2:$A$1048576,MATCH(W371,品种2编码!$D$2:$D$1048576,0))</f>
        <v>0020030001SJZY0009</v>
      </c>
      <c r="H371" s="6" t="s">
        <v>555</v>
      </c>
      <c r="I371" s="6" t="s">
        <v>1889</v>
      </c>
      <c r="J371" s="6" t="s">
        <v>3039</v>
      </c>
      <c r="L371" s="6" t="s">
        <v>3015</v>
      </c>
      <c r="M371" s="6" t="e">
        <f>INDEX(医院2县区2人!$B$2:$B$1048576,MATCH(L371,医院2县区2人!$A$2:$A$1048576,0))</f>
        <v>#N/A</v>
      </c>
      <c r="N371" s="6" t="e">
        <f>INDEX(医院2县区2人!$C$2:$C$1048576,MATCH(L371,医院2县区2人!$A$2:$A$1048576,0))</f>
        <v>#N/A</v>
      </c>
      <c r="P371" s="7">
        <v>43261.634942129633</v>
      </c>
      <c r="Q371" s="6">
        <v>2</v>
      </c>
      <c r="R371" s="6">
        <v>25</v>
      </c>
      <c r="S371" s="6">
        <v>18031227</v>
      </c>
      <c r="T371" s="6" t="e">
        <f>INDEX(医院2县区2人!$D$2:$D$1048576,MATCH(L371,医院2县区2人!$A$2:$A$1048576,0))</f>
        <v>#N/A</v>
      </c>
      <c r="W371" s="6" t="str">
        <f t="shared" si="13"/>
        <v>葡萄糖酸锌口服液10ML*12支</v>
      </c>
      <c r="X371" s="6" t="s">
        <v>2890</v>
      </c>
    </row>
    <row r="372" spans="1:24" x14ac:dyDescent="0.15">
      <c r="A372" s="7" t="str">
        <f t="shared" si="14"/>
        <v>201806</v>
      </c>
      <c r="C372" s="6" t="str">
        <f>INDEX(工厂基础数据!$A$2:$A$1024,MATCH(X372,工厂基础数据!$D$2:$D$1024,0))</f>
        <v>02025767</v>
      </c>
      <c r="E372" s="6" t="str">
        <f>INDEX(工厂基础数据!$B$2:$B$1024,MATCH(X372,工厂基础数据!$D$2:$D$1024,0))</f>
        <v>滨州市仁信医药有限公司</v>
      </c>
      <c r="F372" s="6">
        <f>INDEX(商业2转码!$B$2:$B$10000,MATCH(E372,商业2转码!$A$2:$A$10000,0))</f>
        <v>0</v>
      </c>
      <c r="G372" s="6" t="str">
        <f>INDEX(品种2编码!$A$2:$A$1048576,MATCH(W372,品种2编码!$D$2:$D$1048576,0))</f>
        <v>0020030001SJZY0006</v>
      </c>
      <c r="H372" s="6" t="s">
        <v>1888</v>
      </c>
      <c r="I372" s="6" t="s">
        <v>411</v>
      </c>
      <c r="J372" s="6" t="s">
        <v>3040</v>
      </c>
      <c r="L372" s="6" t="s">
        <v>3015</v>
      </c>
      <c r="M372" s="6" t="e">
        <f>INDEX(医院2县区2人!$B$2:$B$1048576,MATCH(L372,医院2县区2人!$A$2:$A$1048576,0))</f>
        <v>#N/A</v>
      </c>
      <c r="N372" s="6" t="e">
        <f>INDEX(医院2县区2人!$C$2:$C$1048576,MATCH(L372,医院2县区2人!$A$2:$A$1048576,0))</f>
        <v>#N/A</v>
      </c>
      <c r="P372" s="7">
        <v>43261.634942129633</v>
      </c>
      <c r="Q372" s="6">
        <v>2</v>
      </c>
      <c r="R372" s="6">
        <v>25</v>
      </c>
      <c r="S372" s="6">
        <v>17071042</v>
      </c>
      <c r="T372" s="6" t="e">
        <f>INDEX(医院2县区2人!$D$2:$D$1048576,MATCH(L372,医院2县区2人!$A$2:$A$1048576,0))</f>
        <v>#N/A</v>
      </c>
      <c r="W372" s="6" t="str">
        <f t="shared" si="13"/>
        <v>葡萄糖酸钙口服溶液（含糖）10ml*12支</v>
      </c>
      <c r="X372" s="6" t="s">
        <v>2890</v>
      </c>
    </row>
    <row r="373" spans="1:24" x14ac:dyDescent="0.15">
      <c r="A373" s="7" t="str">
        <f t="shared" si="14"/>
        <v>201806</v>
      </c>
      <c r="C373" s="6" t="str">
        <f>INDEX(工厂基础数据!$A$2:$A$1024,MATCH(X373,工厂基础数据!$D$2:$D$1024,0))</f>
        <v>02025767</v>
      </c>
      <c r="E373" s="6" t="str">
        <f>INDEX(工厂基础数据!$B$2:$B$1024,MATCH(X373,工厂基础数据!$D$2:$D$1024,0))</f>
        <v>滨州市仁信医药有限公司</v>
      </c>
      <c r="F373" s="6">
        <f>INDEX(商业2转码!$B$2:$B$10000,MATCH(E373,商业2转码!$A$2:$A$10000,0))</f>
        <v>0</v>
      </c>
      <c r="G373" s="6" t="str">
        <f>INDEX(品种2编码!$A$2:$A$1048576,MATCH(W373,品种2编码!$D$2:$D$1048576,0))</f>
        <v>0020050090SJZY0001</v>
      </c>
      <c r="H373" s="6" t="s">
        <v>630</v>
      </c>
      <c r="I373" s="6" t="s">
        <v>1850</v>
      </c>
      <c r="J373" s="6" t="s">
        <v>3040</v>
      </c>
      <c r="L373" s="6" t="s">
        <v>2188</v>
      </c>
      <c r="M373" s="6">
        <f>INDEX(医院2县区2人!$B$2:$B$1048576,MATCH(L373,医院2县区2人!$A$2:$A$1048576,0))</f>
        <v>2</v>
      </c>
      <c r="N373" s="6" t="str">
        <f>INDEX(医院2县区2人!$C$2:$C$1048576,MATCH(L373,医院2县区2人!$A$2:$A$1048576,0))</f>
        <v>1855</v>
      </c>
      <c r="P373" s="7">
        <v>43261.634976851848</v>
      </c>
      <c r="Q373" s="6">
        <v>4</v>
      </c>
      <c r="R373" s="6">
        <v>17</v>
      </c>
      <c r="S373" s="6">
        <v>17062821</v>
      </c>
      <c r="T373" s="6" t="str">
        <f>INDEX(医院2县区2人!$D$2:$D$1048576,MATCH(L373,医院2县区2人!$A$2:$A$1048576,0))</f>
        <v>201602151421097</v>
      </c>
      <c r="W373" s="6" t="str">
        <f t="shared" si="13"/>
        <v>双黄连口服液10ml*10支</v>
      </c>
      <c r="X373" s="6" t="s">
        <v>2890</v>
      </c>
    </row>
    <row r="374" spans="1:24" x14ac:dyDescent="0.15">
      <c r="A374" s="7" t="str">
        <f t="shared" si="14"/>
        <v>201806</v>
      </c>
      <c r="C374" s="6" t="str">
        <f>INDEX(工厂基础数据!$A$2:$A$1024,MATCH(X374,工厂基础数据!$D$2:$D$1024,0))</f>
        <v>02025767</v>
      </c>
      <c r="E374" s="6" t="str">
        <f>INDEX(工厂基础数据!$B$2:$B$1024,MATCH(X374,工厂基础数据!$D$2:$D$1024,0))</f>
        <v>滨州市仁信医药有限公司</v>
      </c>
      <c r="F374" s="6">
        <f>INDEX(商业2转码!$B$2:$B$10000,MATCH(E374,商业2转码!$A$2:$A$10000,0))</f>
        <v>0</v>
      </c>
      <c r="G374" s="6" t="str">
        <f>INDEX(品种2编码!$A$2:$A$1048576,MATCH(W374,品种2编码!$D$2:$D$1048576,0))</f>
        <v>0020050030SJSC0007</v>
      </c>
      <c r="H374" s="6" t="s">
        <v>461</v>
      </c>
      <c r="I374" s="6" t="s">
        <v>1917</v>
      </c>
      <c r="J374" s="6" t="s">
        <v>3045</v>
      </c>
      <c r="L374" s="6" t="s">
        <v>2230</v>
      </c>
      <c r="M374" s="6">
        <f>INDEX(医院2县区2人!$B$2:$B$1048576,MATCH(L374,医院2县区2人!$A$2:$A$1048576,0))</f>
        <v>1</v>
      </c>
      <c r="N374" s="6" t="str">
        <f>INDEX(医院2县区2人!$C$2:$C$1048576,MATCH(L374,医院2县区2人!$A$2:$A$1048576,0))</f>
        <v>1855</v>
      </c>
      <c r="P374" s="7">
        <v>43262.741412037038</v>
      </c>
      <c r="Q374" s="6">
        <v>30</v>
      </c>
      <c r="R374" s="6">
        <v>2</v>
      </c>
      <c r="S374" s="6">
        <v>1608001</v>
      </c>
      <c r="T374" s="6" t="str">
        <f>INDEX(医院2县区2人!$D$2:$D$1048576,MATCH(L374,医院2县区2人!$A$2:$A$1048576,0))</f>
        <v>201602151421097</v>
      </c>
      <c r="W374" s="6" t="str">
        <f t="shared" si="13"/>
        <v>菊梅利咽含片1.2g*18片</v>
      </c>
      <c r="X374" s="6" t="s">
        <v>2890</v>
      </c>
    </row>
    <row r="375" spans="1:24" x14ac:dyDescent="0.15">
      <c r="A375" s="7" t="str">
        <f t="shared" si="14"/>
        <v>201806</v>
      </c>
      <c r="C375" s="6" t="str">
        <f>INDEX(工厂基础数据!$A$2:$A$1024,MATCH(X375,工厂基础数据!$D$2:$D$1024,0))</f>
        <v>02025767</v>
      </c>
      <c r="E375" s="6" t="str">
        <f>INDEX(工厂基础数据!$B$2:$B$1024,MATCH(X375,工厂基础数据!$D$2:$D$1024,0))</f>
        <v>滨州市仁信医药有限公司</v>
      </c>
      <c r="F375" s="6">
        <f>INDEX(商业2转码!$B$2:$B$10000,MATCH(E375,商业2转码!$A$2:$A$10000,0))</f>
        <v>0</v>
      </c>
      <c r="G375" s="6" t="str">
        <f>INDEX(品种2编码!$A$2:$A$1048576,MATCH(W375,品种2编码!$D$2:$D$1048576,0))</f>
        <v>0020020020ZYLC0011</v>
      </c>
      <c r="H375" s="6" t="s">
        <v>1877</v>
      </c>
      <c r="I375" s="6" t="s">
        <v>1919</v>
      </c>
      <c r="J375" s="6" t="s">
        <v>3036</v>
      </c>
      <c r="L375" s="6" t="s">
        <v>3016</v>
      </c>
      <c r="M375" s="6" t="e">
        <f>INDEX(医院2县区2人!$B$2:$B$1048576,MATCH(L375,医院2县区2人!$A$2:$A$1048576,0))</f>
        <v>#N/A</v>
      </c>
      <c r="N375" s="6" t="e">
        <f>INDEX(医院2县区2人!$C$2:$C$1048576,MATCH(L375,医院2县区2人!$A$2:$A$1048576,0))</f>
        <v>#N/A</v>
      </c>
      <c r="P375" s="7">
        <v>43264.345775462964</v>
      </c>
      <c r="Q375" s="6">
        <v>100</v>
      </c>
      <c r="R375" s="6">
        <v>2.6</v>
      </c>
      <c r="S375" s="6">
        <v>160803</v>
      </c>
      <c r="T375" s="6" t="e">
        <f>INDEX(医院2县区2人!$D$2:$D$1048576,MATCH(L375,医院2县区2人!$A$2:$A$1048576,0))</f>
        <v>#N/A</v>
      </c>
      <c r="W375" s="6" t="str">
        <f t="shared" si="13"/>
        <v xml:space="preserve">泻利停/颠茄磺苄啶片0.12g*20片 </v>
      </c>
      <c r="X375" s="6" t="s">
        <v>2890</v>
      </c>
    </row>
    <row r="376" spans="1:24" x14ac:dyDescent="0.15">
      <c r="A376" s="7" t="str">
        <f t="shared" si="14"/>
        <v>201806</v>
      </c>
      <c r="C376" s="6" t="str">
        <f>INDEX(工厂基础数据!$A$2:$A$1024,MATCH(X376,工厂基础数据!$D$2:$D$1024,0))</f>
        <v>02025767</v>
      </c>
      <c r="E376" s="6" t="str">
        <f>INDEX(工厂基础数据!$B$2:$B$1024,MATCH(X376,工厂基础数据!$D$2:$D$1024,0))</f>
        <v>滨州市仁信医药有限公司</v>
      </c>
      <c r="F376" s="6">
        <f>INDEX(商业2转码!$B$2:$B$10000,MATCH(E376,商业2转码!$A$2:$A$10000,0))</f>
        <v>0</v>
      </c>
      <c r="G376" s="6" t="str">
        <f>INDEX(品种2编码!$A$2:$A$1048576,MATCH(W376,品种2编码!$D$2:$D$1048576,0))</f>
        <v>0020030001SJZY0009</v>
      </c>
      <c r="H376" s="6" t="s">
        <v>555</v>
      </c>
      <c r="I376" s="6" t="s">
        <v>1889</v>
      </c>
      <c r="J376" s="6" t="s">
        <v>3039</v>
      </c>
      <c r="L376" s="6" t="s">
        <v>2183</v>
      </c>
      <c r="M376" s="6">
        <f>INDEX(医院2县区2人!$B$2:$B$1048576,MATCH(L376,医院2县区2人!$A$2:$A$1048576,0))</f>
        <v>4</v>
      </c>
      <c r="N376" s="6" t="str">
        <f>INDEX(医院2县区2人!$C$2:$C$1048576,MATCH(L376,医院2县区2人!$A$2:$A$1048576,0))</f>
        <v>1859</v>
      </c>
      <c r="P376" s="7">
        <v>43264.345810185187</v>
      </c>
      <c r="Q376" s="6">
        <v>2</v>
      </c>
      <c r="R376" s="6">
        <v>25</v>
      </c>
      <c r="S376" s="6">
        <v>18031227</v>
      </c>
      <c r="T376" s="6" t="str">
        <f>INDEX(医院2县区2人!$D$2:$D$1048576,MATCH(L376,医院2县区2人!$A$2:$A$1048576,0))</f>
        <v>201602151421097</v>
      </c>
      <c r="W376" s="6" t="str">
        <f t="shared" si="13"/>
        <v>葡萄糖酸锌口服液10ML*12支</v>
      </c>
      <c r="X376" s="6" t="s">
        <v>2890</v>
      </c>
    </row>
    <row r="377" spans="1:24" x14ac:dyDescent="0.15">
      <c r="A377" s="7" t="str">
        <f t="shared" si="14"/>
        <v>201806</v>
      </c>
      <c r="C377" s="6" t="str">
        <f>INDEX(工厂基础数据!$A$2:$A$1024,MATCH(X377,工厂基础数据!$D$2:$D$1024,0))</f>
        <v>02025767</v>
      </c>
      <c r="E377" s="6" t="str">
        <f>INDEX(工厂基础数据!$B$2:$B$1024,MATCH(X377,工厂基础数据!$D$2:$D$1024,0))</f>
        <v>滨州市仁信医药有限公司</v>
      </c>
      <c r="F377" s="6">
        <f>INDEX(商业2转码!$B$2:$B$10000,MATCH(E377,商业2转码!$A$2:$A$10000,0))</f>
        <v>0</v>
      </c>
      <c r="G377" s="6">
        <f>INDEX(品种2编码!$A$2:$A$1048576,MATCH(W377,品种2编码!$D$2:$D$1048576,0))</f>
        <v>0</v>
      </c>
      <c r="H377" s="6" t="s">
        <v>857</v>
      </c>
      <c r="I377" s="6" t="s">
        <v>861</v>
      </c>
      <c r="J377" s="6" t="s">
        <v>3047</v>
      </c>
      <c r="L377" s="6" t="s">
        <v>2652</v>
      </c>
      <c r="M377" s="6">
        <f>INDEX(医院2县区2人!$B$2:$B$1048576,MATCH(L377,医院2县区2人!$A$2:$A$1048576,0))</f>
        <v>2</v>
      </c>
      <c r="N377" s="6" t="str">
        <f>INDEX(医院2县区2人!$C$2:$C$1048576,MATCH(L377,医院2县区2人!$A$2:$A$1048576,0))</f>
        <v>1857</v>
      </c>
      <c r="P377" s="7">
        <v>43261.635069444441</v>
      </c>
      <c r="Q377" s="6">
        <v>20</v>
      </c>
      <c r="R377" s="6">
        <v>5</v>
      </c>
      <c r="S377" s="6">
        <v>201705012</v>
      </c>
      <c r="T377" s="6" t="str">
        <f>INDEX(医院2县区2人!$D$2:$D$1048576,MATCH(L377,医院2县区2人!$A$2:$A$1048576,0))</f>
        <v>201602151421097</v>
      </c>
      <c r="W377" s="6" t="str">
        <f t="shared" si="13"/>
        <v>注射用奥扎格雷钠80mg</v>
      </c>
      <c r="X377" s="6" t="s">
        <v>2890</v>
      </c>
    </row>
    <row r="378" spans="1:24" x14ac:dyDescent="0.15">
      <c r="A378" s="7" t="str">
        <f t="shared" si="14"/>
        <v>201806</v>
      </c>
      <c r="C378" s="6" t="str">
        <f>INDEX(工厂基础数据!$A$2:$A$1024,MATCH(X378,工厂基础数据!$D$2:$D$1024,0))</f>
        <v>02025767</v>
      </c>
      <c r="E378" s="6" t="str">
        <f>INDEX(工厂基础数据!$B$2:$B$1024,MATCH(X378,工厂基础数据!$D$2:$D$1024,0))</f>
        <v>滨州市仁信医药有限公司</v>
      </c>
      <c r="F378" s="6">
        <f>INDEX(商业2转码!$B$2:$B$10000,MATCH(E378,商业2转码!$A$2:$A$10000,0))</f>
        <v>0</v>
      </c>
      <c r="G378" s="6" t="str">
        <f>INDEX(品种2编码!$A$2:$A$1048576,MATCH(W378,品种2编码!$D$2:$D$1048576,0))</f>
        <v>0020020021ZYLC0004</v>
      </c>
      <c r="H378" s="6" t="s">
        <v>1899</v>
      </c>
      <c r="I378" s="6" t="s">
        <v>1869</v>
      </c>
      <c r="J378" s="6" t="s">
        <v>3036</v>
      </c>
      <c r="L378" s="6" t="s">
        <v>2284</v>
      </c>
      <c r="M378" s="6">
        <f>INDEX(医院2县区2人!$B$2:$B$1048576,MATCH(L378,医院2县区2人!$A$2:$A$1048576,0))</f>
        <v>2</v>
      </c>
      <c r="N378" s="6" t="str">
        <f>INDEX(医院2县区2人!$C$2:$C$1048576,MATCH(L378,医院2县区2人!$A$2:$A$1048576,0))</f>
        <v>1856</v>
      </c>
      <c r="P378" s="7">
        <v>43261.635104166664</v>
      </c>
      <c r="Q378" s="6">
        <v>10</v>
      </c>
      <c r="R378" s="6">
        <v>8</v>
      </c>
      <c r="S378" s="6">
        <v>180201</v>
      </c>
      <c r="T378" s="6" t="str">
        <f>INDEX(医院2县区2人!$D$2:$D$1048576,MATCH(L378,医院2县区2人!$A$2:$A$1048576,0))</f>
        <v>201602151421097</v>
      </c>
      <c r="W378" s="6" t="str">
        <f t="shared" si="13"/>
        <v>大严迪片/罗红霉素分散片75mg*12片</v>
      </c>
      <c r="X378" s="6" t="s">
        <v>2890</v>
      </c>
    </row>
    <row r="379" spans="1:24" x14ac:dyDescent="0.15">
      <c r="A379" s="7" t="str">
        <f t="shared" si="14"/>
        <v>201806</v>
      </c>
      <c r="C379" s="6" t="str">
        <f>INDEX(工厂基础数据!$A$2:$A$1024,MATCH(X379,工厂基础数据!$D$2:$D$1024,0))</f>
        <v>02025767</v>
      </c>
      <c r="E379" s="6" t="str">
        <f>INDEX(工厂基础数据!$B$2:$B$1024,MATCH(X379,工厂基础数据!$D$2:$D$1024,0))</f>
        <v>滨州市仁信医药有限公司</v>
      </c>
      <c r="F379" s="6">
        <f>INDEX(商业2转码!$B$2:$B$10000,MATCH(E379,商业2转码!$A$2:$A$10000,0))</f>
        <v>0</v>
      </c>
      <c r="G379" s="6" t="str">
        <f>INDEX(品种2编码!$A$2:$A$1048576,MATCH(W379,品种2编码!$D$2:$D$1048576,0))</f>
        <v>0020020020ZYLC0010</v>
      </c>
      <c r="H379" s="6" t="s">
        <v>1877</v>
      </c>
      <c r="I379" s="6" t="s">
        <v>1878</v>
      </c>
      <c r="J379" s="6" t="s">
        <v>3036</v>
      </c>
      <c r="L379" s="6" t="s">
        <v>3017</v>
      </c>
      <c r="M379" s="6" t="e">
        <f>INDEX(医院2县区2人!$B$2:$B$1048576,MATCH(L379,医院2县区2人!$A$2:$A$1048576,0))</f>
        <v>#N/A</v>
      </c>
      <c r="N379" s="6" t="e">
        <f>INDEX(医院2县区2人!$C$2:$C$1048576,MATCH(L379,医院2县区2人!$A$2:$A$1048576,0))</f>
        <v>#N/A</v>
      </c>
      <c r="P379" s="7">
        <v>43262.741053240738</v>
      </c>
      <c r="Q379" s="6">
        <v>10</v>
      </c>
      <c r="R379" s="6">
        <v>3.5</v>
      </c>
      <c r="S379" s="6">
        <v>180401</v>
      </c>
      <c r="T379" s="6" t="e">
        <f>INDEX(医院2县区2人!$D$2:$D$1048576,MATCH(L379,医院2县区2人!$A$2:$A$1048576,0))</f>
        <v>#N/A</v>
      </c>
      <c r="W379" s="6" t="str">
        <f t="shared" si="13"/>
        <v xml:space="preserve">泻利停/颠茄磺苄啶片0.48g*10片 </v>
      </c>
      <c r="X379" s="6" t="s">
        <v>2890</v>
      </c>
    </row>
    <row r="380" spans="1:24" x14ac:dyDescent="0.15">
      <c r="A380" s="7" t="str">
        <f t="shared" si="14"/>
        <v>201806</v>
      </c>
      <c r="C380" s="6" t="str">
        <f>INDEX(工厂基础数据!$A$2:$A$1024,MATCH(X380,工厂基础数据!$D$2:$D$1024,0))</f>
        <v>02025767</v>
      </c>
      <c r="E380" s="6" t="str">
        <f>INDEX(工厂基础数据!$B$2:$B$1024,MATCH(X380,工厂基础数据!$D$2:$D$1024,0))</f>
        <v>滨州市仁信医药有限公司</v>
      </c>
      <c r="F380" s="6">
        <f>INDEX(商业2转码!$B$2:$B$10000,MATCH(E380,商业2转码!$A$2:$A$10000,0))</f>
        <v>0</v>
      </c>
      <c r="G380" s="6" t="str">
        <f>INDEX(品种2编码!$A$2:$A$1048576,MATCH(W380,品种2编码!$D$2:$D$1048576,0))</f>
        <v>0020030001SJZY0009</v>
      </c>
      <c r="H380" s="6" t="s">
        <v>555</v>
      </c>
      <c r="I380" s="6" t="s">
        <v>1889</v>
      </c>
      <c r="J380" s="6" t="s">
        <v>3039</v>
      </c>
      <c r="L380" s="6" t="s">
        <v>2300</v>
      </c>
      <c r="M380" s="6">
        <f>INDEX(医院2县区2人!$B$2:$B$1048576,MATCH(L380,医院2县区2人!$A$2:$A$1048576,0))</f>
        <v>4</v>
      </c>
      <c r="N380" s="6" t="str">
        <f>INDEX(医院2县区2人!$C$2:$C$1048576,MATCH(L380,医院2县区2人!$A$2:$A$1048576,0))</f>
        <v>1857</v>
      </c>
      <c r="P380" s="7">
        <v>43262.740995370368</v>
      </c>
      <c r="Q380" s="6">
        <v>5</v>
      </c>
      <c r="R380" s="6">
        <v>25</v>
      </c>
      <c r="S380" s="6">
        <v>18031227</v>
      </c>
      <c r="T380" s="6" t="str">
        <f>INDEX(医院2县区2人!$D$2:$D$1048576,MATCH(L380,医院2县区2人!$A$2:$A$1048576,0))</f>
        <v>201602151421097</v>
      </c>
      <c r="W380" s="6" t="str">
        <f t="shared" si="13"/>
        <v>葡萄糖酸锌口服液10ML*12支</v>
      </c>
      <c r="X380" s="6" t="s">
        <v>2890</v>
      </c>
    </row>
    <row r="381" spans="1:24" x14ac:dyDescent="0.15">
      <c r="A381" s="7" t="str">
        <f t="shared" si="14"/>
        <v>201806</v>
      </c>
      <c r="C381" s="6" t="str">
        <f>INDEX(工厂基础数据!$A$2:$A$1024,MATCH(X381,工厂基础数据!$D$2:$D$1024,0))</f>
        <v>02025767</v>
      </c>
      <c r="E381" s="6" t="str">
        <f>INDEX(工厂基础数据!$B$2:$B$1024,MATCH(X381,工厂基础数据!$D$2:$D$1024,0))</f>
        <v>滨州市仁信医药有限公司</v>
      </c>
      <c r="F381" s="6">
        <f>INDEX(商业2转码!$B$2:$B$10000,MATCH(E381,商业2转码!$A$2:$A$10000,0))</f>
        <v>0</v>
      </c>
      <c r="G381" s="6" t="str">
        <f>INDEX(品种2编码!$A$2:$A$1048576,MATCH(W381,品种2编码!$D$2:$D$1048576,0))</f>
        <v>0020030001SJZY0006</v>
      </c>
      <c r="H381" s="6" t="s">
        <v>1888</v>
      </c>
      <c r="I381" s="6" t="s">
        <v>411</v>
      </c>
      <c r="J381" s="6" t="s">
        <v>3040</v>
      </c>
      <c r="L381" s="6" t="s">
        <v>2300</v>
      </c>
      <c r="M381" s="6">
        <f>INDEX(医院2县区2人!$B$2:$B$1048576,MATCH(L381,医院2县区2人!$A$2:$A$1048576,0))</f>
        <v>4</v>
      </c>
      <c r="N381" s="6" t="str">
        <f>INDEX(医院2县区2人!$C$2:$C$1048576,MATCH(L381,医院2县区2人!$A$2:$A$1048576,0))</f>
        <v>1857</v>
      </c>
      <c r="P381" s="7">
        <v>43262.741006944445</v>
      </c>
      <c r="Q381" s="6">
        <v>5</v>
      </c>
      <c r="R381" s="6">
        <v>25</v>
      </c>
      <c r="S381" s="6">
        <v>17071042</v>
      </c>
      <c r="T381" s="6" t="str">
        <f>INDEX(医院2县区2人!$D$2:$D$1048576,MATCH(L381,医院2县区2人!$A$2:$A$1048576,0))</f>
        <v>201602151421097</v>
      </c>
      <c r="W381" s="6" t="str">
        <f t="shared" si="13"/>
        <v>葡萄糖酸钙口服溶液（含糖）10ml*12支</v>
      </c>
      <c r="X381" s="6" t="s">
        <v>2890</v>
      </c>
    </row>
    <row r="382" spans="1:24" x14ac:dyDescent="0.15">
      <c r="A382" s="7" t="str">
        <f t="shared" si="14"/>
        <v>201806</v>
      </c>
      <c r="C382" s="6" t="str">
        <f>INDEX(工厂基础数据!$A$2:$A$1024,MATCH(X382,工厂基础数据!$D$2:$D$1024,0))</f>
        <v>02025767</v>
      </c>
      <c r="E382" s="6" t="str">
        <f>INDEX(工厂基础数据!$B$2:$B$1024,MATCH(X382,工厂基础数据!$D$2:$D$1024,0))</f>
        <v>滨州市仁信医药有限公司</v>
      </c>
      <c r="F382" s="6">
        <f>INDEX(商业2转码!$B$2:$B$10000,MATCH(E382,商业2转码!$A$2:$A$10000,0))</f>
        <v>0</v>
      </c>
      <c r="G382" s="6" t="str">
        <f>INDEX(品种2编码!$A$2:$A$1048576,MATCH(W382,品种2编码!$D$2:$D$1048576,0))</f>
        <v>0020030001SJZY0006</v>
      </c>
      <c r="H382" s="6" t="s">
        <v>1888</v>
      </c>
      <c r="I382" s="6" t="s">
        <v>411</v>
      </c>
      <c r="J382" s="6" t="s">
        <v>3040</v>
      </c>
      <c r="L382" s="6" t="s">
        <v>2260</v>
      </c>
      <c r="M382" s="6">
        <f>INDEX(医院2县区2人!$B$2:$B$1048576,MATCH(L382,医院2县区2人!$A$2:$A$1048576,0))</f>
        <v>2</v>
      </c>
      <c r="N382" s="6" t="str">
        <f>INDEX(医院2县区2人!$C$2:$C$1048576,MATCH(L382,医院2县区2人!$A$2:$A$1048576,0))</f>
        <v>1853</v>
      </c>
      <c r="P382" s="7">
        <v>43262.741273148145</v>
      </c>
      <c r="Q382" s="6">
        <v>10</v>
      </c>
      <c r="R382" s="6">
        <v>25</v>
      </c>
      <c r="S382" s="6">
        <v>17071042</v>
      </c>
      <c r="T382" s="6" t="str">
        <f>INDEX(医院2县区2人!$D$2:$D$1048576,MATCH(L382,医院2县区2人!$A$2:$A$1048576,0))</f>
        <v>201602151421097</v>
      </c>
      <c r="W382" s="6" t="str">
        <f t="shared" si="13"/>
        <v>葡萄糖酸钙口服溶液（含糖）10ml*12支</v>
      </c>
      <c r="X382" s="6" t="s">
        <v>2890</v>
      </c>
    </row>
    <row r="383" spans="1:24" x14ac:dyDescent="0.15">
      <c r="A383" s="7" t="str">
        <f t="shared" si="14"/>
        <v>201806</v>
      </c>
      <c r="C383" s="6" t="str">
        <f>INDEX(工厂基础数据!$A$2:$A$1024,MATCH(X383,工厂基础数据!$D$2:$D$1024,0))</f>
        <v>02025767</v>
      </c>
      <c r="E383" s="6" t="str">
        <f>INDEX(工厂基础数据!$B$2:$B$1024,MATCH(X383,工厂基础数据!$D$2:$D$1024,0))</f>
        <v>滨州市仁信医药有限公司</v>
      </c>
      <c r="F383" s="6">
        <f>INDEX(商业2转码!$B$2:$B$10000,MATCH(E383,商业2转码!$A$2:$A$10000,0))</f>
        <v>0</v>
      </c>
      <c r="G383" s="6">
        <f>INDEX(品种2编码!$A$2:$A$1048576,MATCH(W383,品种2编码!$D$2:$D$1048576,0))</f>
        <v>0</v>
      </c>
      <c r="H383" s="6" t="s">
        <v>857</v>
      </c>
      <c r="I383" s="6" t="s">
        <v>861</v>
      </c>
      <c r="J383" s="6" t="s">
        <v>3047</v>
      </c>
      <c r="L383" s="6" t="s">
        <v>2739</v>
      </c>
      <c r="M383" s="6">
        <f>INDEX(医院2县区2人!$B$2:$B$1048576,MATCH(L383,医院2县区2人!$A$2:$A$1048576,0))</f>
        <v>2</v>
      </c>
      <c r="N383" s="6" t="str">
        <f>INDEX(医院2县区2人!$C$2:$C$1048576,MATCH(L383,医院2县区2人!$A$2:$A$1048576,0))</f>
        <v>1855</v>
      </c>
      <c r="P383" s="7">
        <v>43264.345567129632</v>
      </c>
      <c r="Q383" s="6">
        <v>200</v>
      </c>
      <c r="R383" s="6">
        <v>9.15</v>
      </c>
      <c r="S383" s="6">
        <v>201705012</v>
      </c>
      <c r="T383" s="6" t="str">
        <f>INDEX(医院2县区2人!$D$2:$D$1048576,MATCH(L383,医院2县区2人!$A$2:$A$1048576,0))</f>
        <v>201602151421097</v>
      </c>
      <c r="W383" s="6" t="str">
        <f t="shared" si="13"/>
        <v>注射用奥扎格雷钠80mg</v>
      </c>
      <c r="X383" s="6" t="s">
        <v>2890</v>
      </c>
    </row>
    <row r="384" spans="1:24" x14ac:dyDescent="0.15">
      <c r="A384" s="7" t="str">
        <f t="shared" si="14"/>
        <v>201806</v>
      </c>
      <c r="C384" s="6" t="str">
        <f>INDEX(工厂基础数据!$A$2:$A$1024,MATCH(X384,工厂基础数据!$D$2:$D$1024,0))</f>
        <v>02025767</v>
      </c>
      <c r="E384" s="6" t="str">
        <f>INDEX(工厂基础数据!$B$2:$B$1024,MATCH(X384,工厂基础数据!$D$2:$D$1024,0))</f>
        <v>滨州市仁信医药有限公司</v>
      </c>
      <c r="F384" s="6">
        <f>INDEX(商业2转码!$B$2:$B$10000,MATCH(E384,商业2转码!$A$2:$A$10000,0))</f>
        <v>0</v>
      </c>
      <c r="G384" s="6">
        <f>INDEX(品种2编码!$A$2:$A$1048576,MATCH(W384,品种2编码!$D$2:$D$1048576,0))</f>
        <v>0</v>
      </c>
      <c r="H384" s="6" t="s">
        <v>857</v>
      </c>
      <c r="I384" s="6" t="s">
        <v>861</v>
      </c>
      <c r="J384" s="6" t="s">
        <v>3047</v>
      </c>
      <c r="L384" s="6" t="s">
        <v>2739</v>
      </c>
      <c r="M384" s="6">
        <f>INDEX(医院2县区2人!$B$2:$B$1048576,MATCH(L384,医院2县区2人!$A$2:$A$1048576,0))</f>
        <v>2</v>
      </c>
      <c r="N384" s="6" t="str">
        <f>INDEX(医院2县区2人!$C$2:$C$1048576,MATCH(L384,医院2县区2人!$A$2:$A$1048576,0))</f>
        <v>1855</v>
      </c>
      <c r="P384" s="7">
        <v>43262.740902777776</v>
      </c>
      <c r="Q384" s="6">
        <v>560</v>
      </c>
      <c r="R384" s="6">
        <v>9.15</v>
      </c>
      <c r="S384" s="6">
        <v>201705012</v>
      </c>
      <c r="T384" s="6" t="str">
        <f>INDEX(医院2县区2人!$D$2:$D$1048576,MATCH(L384,医院2县区2人!$A$2:$A$1048576,0))</f>
        <v>201602151421097</v>
      </c>
      <c r="W384" s="6" t="str">
        <f t="shared" si="13"/>
        <v>注射用奥扎格雷钠80mg</v>
      </c>
      <c r="X384" s="6" t="s">
        <v>2890</v>
      </c>
    </row>
    <row r="385" spans="1:24" x14ac:dyDescent="0.15">
      <c r="A385" s="7" t="str">
        <f t="shared" si="14"/>
        <v>201806</v>
      </c>
      <c r="C385" s="6" t="str">
        <f>INDEX(工厂基础数据!$A$2:$A$1024,MATCH(X385,工厂基础数据!$D$2:$D$1024,0))</f>
        <v>02025767</v>
      </c>
      <c r="E385" s="6" t="str">
        <f>INDEX(工厂基础数据!$B$2:$B$1024,MATCH(X385,工厂基础数据!$D$2:$D$1024,0))</f>
        <v>滨州市仁信医药有限公司</v>
      </c>
      <c r="F385" s="6">
        <f>INDEX(商业2转码!$B$2:$B$10000,MATCH(E385,商业2转码!$A$2:$A$10000,0))</f>
        <v>0</v>
      </c>
      <c r="G385" s="6" t="str">
        <f>INDEX(品种2编码!$A$2:$A$1048576,MATCH(W385,品种2编码!$D$2:$D$1048576,0))</f>
        <v>0020030001SJZY0009</v>
      </c>
      <c r="H385" s="6" t="s">
        <v>555</v>
      </c>
      <c r="I385" s="6" t="s">
        <v>1889</v>
      </c>
      <c r="J385" s="6" t="s">
        <v>3039</v>
      </c>
      <c r="L385" s="6" t="s">
        <v>2264</v>
      </c>
      <c r="M385" s="6">
        <f>INDEX(医院2县区2人!$B$2:$B$1048576,MATCH(L385,医院2县区2人!$A$2:$A$1048576,0))</f>
        <v>2</v>
      </c>
      <c r="N385" s="6" t="str">
        <f>INDEX(医院2县区2人!$C$2:$C$1048576,MATCH(L385,医院2县区2人!$A$2:$A$1048576,0))</f>
        <v>1854</v>
      </c>
      <c r="P385" s="7">
        <v>43262.741342592592</v>
      </c>
      <c r="Q385" s="6">
        <v>5</v>
      </c>
      <c r="R385" s="6">
        <v>25</v>
      </c>
      <c r="S385" s="6">
        <v>18031227</v>
      </c>
      <c r="T385" s="6" t="str">
        <f>INDEX(医院2县区2人!$D$2:$D$1048576,MATCH(L385,医院2县区2人!$A$2:$A$1048576,0))</f>
        <v>201602151421097</v>
      </c>
      <c r="W385" s="6" t="str">
        <f t="shared" si="13"/>
        <v>葡萄糖酸锌口服液10ML*12支</v>
      </c>
      <c r="X385" s="6" t="s">
        <v>2890</v>
      </c>
    </row>
    <row r="386" spans="1:24" x14ac:dyDescent="0.15">
      <c r="A386" s="7" t="str">
        <f t="shared" si="14"/>
        <v>201806</v>
      </c>
      <c r="C386" s="6" t="str">
        <f>INDEX(工厂基础数据!$A$2:$A$1024,MATCH(X386,工厂基础数据!$D$2:$D$1024,0))</f>
        <v>02025767</v>
      </c>
      <c r="E386" s="6" t="str">
        <f>INDEX(工厂基础数据!$B$2:$B$1024,MATCH(X386,工厂基础数据!$D$2:$D$1024,0))</f>
        <v>滨州市仁信医药有限公司</v>
      </c>
      <c r="F386" s="6">
        <f>INDEX(商业2转码!$B$2:$B$10000,MATCH(E386,商业2转码!$A$2:$A$10000,0))</f>
        <v>0</v>
      </c>
      <c r="G386" s="6" t="str">
        <f>INDEX(品种2编码!$A$2:$A$1048576,MATCH(W386,品种2编码!$D$2:$D$1048576,0))</f>
        <v>0020020020ZYLC0010</v>
      </c>
      <c r="H386" s="6" t="s">
        <v>1877</v>
      </c>
      <c r="I386" s="6" t="s">
        <v>1878</v>
      </c>
      <c r="J386" s="6" t="s">
        <v>3036</v>
      </c>
      <c r="L386" s="6" t="s">
        <v>2278</v>
      </c>
      <c r="M386" s="6">
        <f>INDEX(医院2县区2人!$B$2:$B$1048576,MATCH(L386,医院2县区2人!$A$2:$A$1048576,0))</f>
        <v>2</v>
      </c>
      <c r="N386" s="6" t="str">
        <f>INDEX(医院2县区2人!$C$2:$C$1048576,MATCH(L386,医院2县区2人!$A$2:$A$1048576,0))</f>
        <v>1855</v>
      </c>
      <c r="P386" s="7">
        <v>43264.345856481479</v>
      </c>
      <c r="Q386" s="6">
        <v>40</v>
      </c>
      <c r="R386" s="6">
        <v>3.5</v>
      </c>
      <c r="S386" s="6">
        <v>180401</v>
      </c>
      <c r="T386" s="6" t="str">
        <f>INDEX(医院2县区2人!$D$2:$D$1048576,MATCH(L386,医院2县区2人!$A$2:$A$1048576,0))</f>
        <v>201602151421097</v>
      </c>
      <c r="W386" s="6" t="str">
        <f t="shared" si="13"/>
        <v xml:space="preserve">泻利停/颠茄磺苄啶片0.48g*10片 </v>
      </c>
      <c r="X386" s="6" t="s">
        <v>2890</v>
      </c>
    </row>
    <row r="387" spans="1:24" x14ac:dyDescent="0.15">
      <c r="A387" s="7" t="str">
        <f t="shared" si="14"/>
        <v>201806</v>
      </c>
      <c r="C387" s="6" t="str">
        <f>INDEX(工厂基础数据!$A$2:$A$1024,MATCH(X387,工厂基础数据!$D$2:$D$1024,0))</f>
        <v>02025767</v>
      </c>
      <c r="E387" s="6" t="str">
        <f>INDEX(工厂基础数据!$B$2:$B$1024,MATCH(X387,工厂基础数据!$D$2:$D$1024,0))</f>
        <v>滨州市仁信医药有限公司</v>
      </c>
      <c r="F387" s="6">
        <f>INDEX(商业2转码!$B$2:$B$10000,MATCH(E387,商业2转码!$A$2:$A$10000,0))</f>
        <v>0</v>
      </c>
      <c r="G387" s="6" t="str">
        <f>INDEX(品种2编码!$A$2:$A$1048576,MATCH(W387,品种2编码!$D$2:$D$1048576,0))</f>
        <v>0020070000ZYLC0001</v>
      </c>
      <c r="H387" s="6" t="s">
        <v>1885</v>
      </c>
      <c r="I387" s="6" t="s">
        <v>1886</v>
      </c>
      <c r="J387" s="6" t="s">
        <v>3036</v>
      </c>
      <c r="L387" s="6" t="s">
        <v>2218</v>
      </c>
      <c r="M387" s="6">
        <f>INDEX(医院2县区2人!$B$2:$B$1048576,MATCH(L387,医院2县区2人!$A$2:$A$1048576,0))</f>
        <v>2</v>
      </c>
      <c r="N387" s="6" t="str">
        <f>INDEX(医院2县区2人!$C$2:$C$1048576,MATCH(L387,医院2县区2人!$A$2:$A$1048576,0))</f>
        <v>1855</v>
      </c>
      <c r="P387" s="7">
        <v>43262.740925925929</v>
      </c>
      <c r="Q387" s="6">
        <v>10</v>
      </c>
      <c r="R387" s="6">
        <v>29</v>
      </c>
      <c r="S387" s="6">
        <v>180104</v>
      </c>
      <c r="T387" s="6" t="str">
        <f>INDEX(医院2县区2人!$D$2:$D$1048576,MATCH(L387,医院2县区2人!$A$2:$A$1048576,0))</f>
        <v>201602151421097</v>
      </c>
      <c r="W387" s="6" t="str">
        <f t="shared" si="13"/>
        <v>新盖中盖高钙片2.5g*36P</v>
      </c>
      <c r="X387" s="6" t="s">
        <v>2890</v>
      </c>
    </row>
    <row r="388" spans="1:24" x14ac:dyDescent="0.15">
      <c r="A388" s="7" t="str">
        <f t="shared" si="14"/>
        <v>201806</v>
      </c>
      <c r="C388" s="6" t="str">
        <f>INDEX(工厂基础数据!$A$2:$A$1024,MATCH(X388,工厂基础数据!$D$2:$D$1024,0))</f>
        <v>02025767</v>
      </c>
      <c r="E388" s="6" t="str">
        <f>INDEX(工厂基础数据!$B$2:$B$1024,MATCH(X388,工厂基础数据!$D$2:$D$1024,0))</f>
        <v>滨州市仁信医药有限公司</v>
      </c>
      <c r="F388" s="6">
        <f>INDEX(商业2转码!$B$2:$B$10000,MATCH(E388,商业2转码!$A$2:$A$10000,0))</f>
        <v>0</v>
      </c>
      <c r="G388" s="6" t="str">
        <f>INDEX(品种2编码!$A$2:$A$1048576,MATCH(W388,品种2编码!$D$2:$D$1048576,0))</f>
        <v>0020030001SJZY0006</v>
      </c>
      <c r="H388" s="6" t="s">
        <v>1888</v>
      </c>
      <c r="I388" s="6" t="s">
        <v>411</v>
      </c>
      <c r="J388" s="6" t="s">
        <v>3040</v>
      </c>
      <c r="L388" s="6" t="s">
        <v>2279</v>
      </c>
      <c r="M388" s="6">
        <f>INDEX(医院2县区2人!$B$2:$B$1048576,MATCH(L388,医院2县区2人!$A$2:$A$1048576,0))</f>
        <v>4</v>
      </c>
      <c r="N388" s="6" t="str">
        <f>INDEX(医院2县区2人!$C$2:$C$1048576,MATCH(L388,医院2县区2人!$A$2:$A$1048576,0))</f>
        <v>1855</v>
      </c>
      <c r="P388" s="7">
        <v>43262.741331018522</v>
      </c>
      <c r="Q388" s="6">
        <v>30</v>
      </c>
      <c r="R388" s="6">
        <v>25</v>
      </c>
      <c r="S388" s="6">
        <v>17071042</v>
      </c>
      <c r="T388" s="6" t="str">
        <f>INDEX(医院2县区2人!$D$2:$D$1048576,MATCH(L388,医院2县区2人!$A$2:$A$1048576,0))</f>
        <v>201602151421097</v>
      </c>
      <c r="W388" s="6" t="str">
        <f t="shared" si="13"/>
        <v>葡萄糖酸钙口服溶液（含糖）10ml*12支</v>
      </c>
      <c r="X388" s="6" t="s">
        <v>2890</v>
      </c>
    </row>
    <row r="389" spans="1:24" x14ac:dyDescent="0.15">
      <c r="A389" s="7" t="str">
        <f t="shared" si="14"/>
        <v>201806</v>
      </c>
      <c r="C389" s="6" t="str">
        <f>INDEX(工厂基础数据!$A$2:$A$1024,MATCH(X389,工厂基础数据!$D$2:$D$1024,0))</f>
        <v>02025767</v>
      </c>
      <c r="E389" s="6" t="str">
        <f>INDEX(工厂基础数据!$B$2:$B$1024,MATCH(X389,工厂基础数据!$D$2:$D$1024,0))</f>
        <v>滨州市仁信医药有限公司</v>
      </c>
      <c r="F389" s="6">
        <f>INDEX(商业2转码!$B$2:$B$10000,MATCH(E389,商业2转码!$A$2:$A$10000,0))</f>
        <v>0</v>
      </c>
      <c r="G389" s="6" t="str">
        <f>INDEX(品种2编码!$A$2:$A$1048576,MATCH(W389,品种2编码!$D$2:$D$1048576,0))</f>
        <v>0020020020ZYLC0010</v>
      </c>
      <c r="H389" s="6" t="s">
        <v>1877</v>
      </c>
      <c r="I389" s="6" t="s">
        <v>1878</v>
      </c>
      <c r="J389" s="6" t="s">
        <v>3036</v>
      </c>
      <c r="L389" s="6" t="s">
        <v>2279</v>
      </c>
      <c r="M389" s="6">
        <f>INDEX(医院2县区2人!$B$2:$B$1048576,MATCH(L389,医院2县区2人!$A$2:$A$1048576,0))</f>
        <v>4</v>
      </c>
      <c r="N389" s="6" t="str">
        <f>INDEX(医院2县区2人!$C$2:$C$1048576,MATCH(L389,医院2县区2人!$A$2:$A$1048576,0))</f>
        <v>1855</v>
      </c>
      <c r="P389" s="7">
        <v>43262.741331018522</v>
      </c>
      <c r="Q389" s="6">
        <v>40</v>
      </c>
      <c r="R389" s="6">
        <v>3.5</v>
      </c>
      <c r="S389" s="6">
        <v>180401</v>
      </c>
      <c r="T389" s="6" t="str">
        <f>INDEX(医院2县区2人!$D$2:$D$1048576,MATCH(L389,医院2县区2人!$A$2:$A$1048576,0))</f>
        <v>201602151421097</v>
      </c>
      <c r="W389" s="6" t="str">
        <f t="shared" ref="W389:W452" si="15">H389&amp;I389</f>
        <v xml:space="preserve">泻利停/颠茄磺苄啶片0.48g*10片 </v>
      </c>
      <c r="X389" s="6" t="s">
        <v>2890</v>
      </c>
    </row>
    <row r="390" spans="1:24" x14ac:dyDescent="0.15">
      <c r="A390" s="7" t="str">
        <f t="shared" ref="A390:A453" si="16">IF(MONTH(P390)&lt;10,YEAR(P390)&amp;"0"&amp;MONTH(P390),YEAR(P390)&amp;MONTH(P390))</f>
        <v>201806</v>
      </c>
      <c r="C390" s="6" t="str">
        <f>INDEX(工厂基础数据!$A$2:$A$1024,MATCH(X390,工厂基础数据!$D$2:$D$1024,0))</f>
        <v>02025767</v>
      </c>
      <c r="E390" s="6" t="str">
        <f>INDEX(工厂基础数据!$B$2:$B$1024,MATCH(X390,工厂基础数据!$D$2:$D$1024,0))</f>
        <v>滨州市仁信医药有限公司</v>
      </c>
      <c r="F390" s="6">
        <f>INDEX(商业2转码!$B$2:$B$10000,MATCH(E390,商业2转码!$A$2:$A$10000,0))</f>
        <v>0</v>
      </c>
      <c r="G390" s="6" t="str">
        <f>INDEX(品种2编码!$A$2:$A$1048576,MATCH(W390,品种2编码!$D$2:$D$1048576,0))</f>
        <v>0020030001SJZY0009</v>
      </c>
      <c r="H390" s="6" t="s">
        <v>555</v>
      </c>
      <c r="I390" s="6" t="s">
        <v>1889</v>
      </c>
      <c r="J390" s="6" t="s">
        <v>3039</v>
      </c>
      <c r="L390" s="6" t="s">
        <v>2205</v>
      </c>
      <c r="M390" s="6">
        <f>INDEX(医院2县区2人!$B$2:$B$1048576,MATCH(L390,医院2县区2人!$A$2:$A$1048576,0))</f>
        <v>2</v>
      </c>
      <c r="N390" s="6" t="str">
        <f>INDEX(医院2县区2人!$C$2:$C$1048576,MATCH(L390,医院2县区2人!$A$2:$A$1048576,0))</f>
        <v>1855</v>
      </c>
      <c r="P390" s="7">
        <v>43262.740960648145</v>
      </c>
      <c r="Q390" s="6">
        <v>5</v>
      </c>
      <c r="R390" s="6">
        <v>25</v>
      </c>
      <c r="S390" s="6">
        <v>18031227</v>
      </c>
      <c r="T390" s="6" t="str">
        <f>INDEX(医院2县区2人!$D$2:$D$1048576,MATCH(L390,医院2县区2人!$A$2:$A$1048576,0))</f>
        <v>201602151421097</v>
      </c>
      <c r="W390" s="6" t="str">
        <f t="shared" si="15"/>
        <v>葡萄糖酸锌口服液10ML*12支</v>
      </c>
      <c r="X390" s="6" t="s">
        <v>2890</v>
      </c>
    </row>
    <row r="391" spans="1:24" x14ac:dyDescent="0.15">
      <c r="A391" s="7" t="str">
        <f t="shared" si="16"/>
        <v>201806</v>
      </c>
      <c r="C391" s="6" t="str">
        <f>INDEX(工厂基础数据!$A$2:$A$1024,MATCH(X391,工厂基础数据!$D$2:$D$1024,0))</f>
        <v>02025767</v>
      </c>
      <c r="E391" s="6" t="str">
        <f>INDEX(工厂基础数据!$B$2:$B$1024,MATCH(X391,工厂基础数据!$D$2:$D$1024,0))</f>
        <v>滨州市仁信医药有限公司</v>
      </c>
      <c r="F391" s="6">
        <f>INDEX(商业2转码!$B$2:$B$10000,MATCH(E391,商业2转码!$A$2:$A$10000,0))</f>
        <v>0</v>
      </c>
      <c r="G391" s="6" t="str">
        <f>INDEX(品种2编码!$A$2:$A$1048576,MATCH(W391,品种2编码!$D$2:$D$1048576,0))</f>
        <v>0020030001SJZY0009</v>
      </c>
      <c r="H391" s="6" t="s">
        <v>555</v>
      </c>
      <c r="I391" s="6" t="s">
        <v>1889</v>
      </c>
      <c r="J391" s="6" t="s">
        <v>3039</v>
      </c>
      <c r="L391" s="6" t="s">
        <v>3007</v>
      </c>
      <c r="M391" s="6" t="e">
        <f>INDEX(医院2县区2人!$B$2:$B$1048576,MATCH(L391,医院2县区2人!$A$2:$A$1048576,0))</f>
        <v>#N/A</v>
      </c>
      <c r="N391" s="6" t="e">
        <f>INDEX(医院2县区2人!$C$2:$C$1048576,MATCH(L391,医院2县区2人!$A$2:$A$1048576,0))</f>
        <v>#N/A</v>
      </c>
      <c r="P391" s="7">
        <v>43262.741284722222</v>
      </c>
      <c r="Q391" s="6">
        <v>5</v>
      </c>
      <c r="R391" s="6">
        <v>25</v>
      </c>
      <c r="S391" s="6">
        <v>18031227</v>
      </c>
      <c r="T391" s="6" t="e">
        <f>INDEX(医院2县区2人!$D$2:$D$1048576,MATCH(L391,医院2县区2人!$A$2:$A$1048576,0))</f>
        <v>#N/A</v>
      </c>
      <c r="W391" s="6" t="str">
        <f t="shared" si="15"/>
        <v>葡萄糖酸锌口服液10ML*12支</v>
      </c>
      <c r="X391" s="6" t="s">
        <v>2890</v>
      </c>
    </row>
    <row r="392" spans="1:24" x14ac:dyDescent="0.15">
      <c r="A392" s="7" t="str">
        <f t="shared" si="16"/>
        <v>201806</v>
      </c>
      <c r="C392" s="6" t="str">
        <f>INDEX(工厂基础数据!$A$2:$A$1024,MATCH(X392,工厂基础数据!$D$2:$D$1024,0))</f>
        <v>02025767</v>
      </c>
      <c r="E392" s="6" t="str">
        <f>INDEX(工厂基础数据!$B$2:$B$1024,MATCH(X392,工厂基础数据!$D$2:$D$1024,0))</f>
        <v>滨州市仁信医药有限公司</v>
      </c>
      <c r="F392" s="6">
        <f>INDEX(商业2转码!$B$2:$B$10000,MATCH(E392,商业2转码!$A$2:$A$10000,0))</f>
        <v>0</v>
      </c>
      <c r="G392" s="6" t="str">
        <f>INDEX(品种2编码!$A$2:$A$1048576,MATCH(W392,品种2编码!$D$2:$D$1048576,0))</f>
        <v>0020030001SJZY0006</v>
      </c>
      <c r="H392" s="6" t="s">
        <v>1888</v>
      </c>
      <c r="I392" s="6" t="s">
        <v>411</v>
      </c>
      <c r="J392" s="6" t="s">
        <v>3040</v>
      </c>
      <c r="L392" s="6" t="s">
        <v>3007</v>
      </c>
      <c r="M392" s="6" t="e">
        <f>INDEX(医院2县区2人!$B$2:$B$1048576,MATCH(L392,医院2县区2人!$A$2:$A$1048576,0))</f>
        <v>#N/A</v>
      </c>
      <c r="N392" s="6" t="e">
        <f>INDEX(医院2县区2人!$C$2:$C$1048576,MATCH(L392,医院2县区2人!$A$2:$A$1048576,0))</f>
        <v>#N/A</v>
      </c>
      <c r="P392" s="7">
        <v>43262.741284722222</v>
      </c>
      <c r="Q392" s="6">
        <v>5</v>
      </c>
      <c r="R392" s="6">
        <v>25</v>
      </c>
      <c r="S392" s="6">
        <v>17071042</v>
      </c>
      <c r="T392" s="6" t="e">
        <f>INDEX(医院2县区2人!$D$2:$D$1048576,MATCH(L392,医院2县区2人!$A$2:$A$1048576,0))</f>
        <v>#N/A</v>
      </c>
      <c r="W392" s="6" t="str">
        <f t="shared" si="15"/>
        <v>葡萄糖酸钙口服溶液（含糖）10ml*12支</v>
      </c>
      <c r="X392" s="6" t="s">
        <v>2890</v>
      </c>
    </row>
    <row r="393" spans="1:24" x14ac:dyDescent="0.15">
      <c r="A393" s="7" t="str">
        <f t="shared" si="16"/>
        <v>201806</v>
      </c>
      <c r="C393" s="6" t="str">
        <f>INDEX(工厂基础数据!$A$2:$A$1024,MATCH(X393,工厂基础数据!$D$2:$D$1024,0))</f>
        <v>02025767</v>
      </c>
      <c r="E393" s="6" t="str">
        <f>INDEX(工厂基础数据!$B$2:$B$1024,MATCH(X393,工厂基础数据!$D$2:$D$1024,0))</f>
        <v>滨州市仁信医药有限公司</v>
      </c>
      <c r="F393" s="6">
        <f>INDEX(商业2转码!$B$2:$B$10000,MATCH(E393,商业2转码!$A$2:$A$10000,0))</f>
        <v>0</v>
      </c>
      <c r="G393" s="6" t="str">
        <f>INDEX(品种2编码!$A$2:$A$1048576,MATCH(W393,品种2编码!$D$2:$D$1048576,0))</f>
        <v>0020030001SJZY0009</v>
      </c>
      <c r="H393" s="6" t="s">
        <v>555</v>
      </c>
      <c r="I393" s="6" t="s">
        <v>1889</v>
      </c>
      <c r="J393" s="6" t="s">
        <v>3039</v>
      </c>
      <c r="L393" s="6" t="s">
        <v>2225</v>
      </c>
      <c r="M393" s="6">
        <f>INDEX(医院2县区2人!$B$2:$B$1048576,MATCH(L393,医院2县区2人!$A$2:$A$1048576,0))</f>
        <v>1</v>
      </c>
      <c r="N393" s="6" t="str">
        <f>INDEX(医院2县区2人!$C$2:$C$1048576,MATCH(L393,医院2县区2人!$A$2:$A$1048576,0))</f>
        <v>1853</v>
      </c>
      <c r="P393" s="7">
        <v>43262.741273148145</v>
      </c>
      <c r="Q393" s="6">
        <v>30</v>
      </c>
      <c r="R393" s="6">
        <v>25</v>
      </c>
      <c r="S393" s="6">
        <v>18031227</v>
      </c>
      <c r="T393" s="6" t="str">
        <f>INDEX(医院2县区2人!$D$2:$D$1048576,MATCH(L393,医院2县区2人!$A$2:$A$1048576,0))</f>
        <v>201602151421097</v>
      </c>
      <c r="W393" s="6" t="str">
        <f t="shared" si="15"/>
        <v>葡萄糖酸锌口服液10ML*12支</v>
      </c>
      <c r="X393" s="6" t="s">
        <v>2890</v>
      </c>
    </row>
    <row r="394" spans="1:24" x14ac:dyDescent="0.15">
      <c r="A394" s="7" t="str">
        <f t="shared" si="16"/>
        <v>201806</v>
      </c>
      <c r="C394" s="6" t="str">
        <f>INDEX(工厂基础数据!$A$2:$A$1024,MATCH(X394,工厂基础数据!$D$2:$D$1024,0))</f>
        <v>02025767</v>
      </c>
      <c r="E394" s="6" t="str">
        <f>INDEX(工厂基础数据!$B$2:$B$1024,MATCH(X394,工厂基础数据!$D$2:$D$1024,0))</f>
        <v>滨州市仁信医药有限公司</v>
      </c>
      <c r="F394" s="6">
        <f>INDEX(商业2转码!$B$2:$B$10000,MATCH(E394,商业2转码!$A$2:$A$10000,0))</f>
        <v>0</v>
      </c>
      <c r="G394" s="6" t="str">
        <f>INDEX(品种2编码!$A$2:$A$1048576,MATCH(W394,品种2编码!$D$2:$D$1048576,0))</f>
        <v>0020070000ZYLC0001</v>
      </c>
      <c r="H394" s="6" t="s">
        <v>1885</v>
      </c>
      <c r="I394" s="6" t="s">
        <v>1886</v>
      </c>
      <c r="J394" s="6" t="s">
        <v>3036</v>
      </c>
      <c r="L394" s="6" t="s">
        <v>2184</v>
      </c>
      <c r="M394" s="6">
        <f>INDEX(医院2县区2人!$B$2:$B$1048576,MATCH(L394,医院2县区2人!$A$2:$A$1048576,0))</f>
        <v>2</v>
      </c>
      <c r="N394" s="6" t="str">
        <f>INDEX(医院2县区2人!$C$2:$C$1048576,MATCH(L394,医院2县区2人!$A$2:$A$1048576,0))</f>
        <v>1853</v>
      </c>
      <c r="P394" s="7">
        <v>43262.740937499999</v>
      </c>
      <c r="Q394" s="6">
        <v>5</v>
      </c>
      <c r="R394" s="6">
        <v>29</v>
      </c>
      <c r="S394" s="6">
        <v>180104</v>
      </c>
      <c r="T394" s="6" t="str">
        <f>INDEX(医院2县区2人!$D$2:$D$1048576,MATCH(L394,医院2县区2人!$A$2:$A$1048576,0))</f>
        <v>201602151421097</v>
      </c>
      <c r="W394" s="6" t="str">
        <f t="shared" si="15"/>
        <v>新盖中盖高钙片2.5g*36P</v>
      </c>
      <c r="X394" s="6" t="s">
        <v>2890</v>
      </c>
    </row>
    <row r="395" spans="1:24" x14ac:dyDescent="0.15">
      <c r="A395" s="7" t="str">
        <f t="shared" si="16"/>
        <v>201806</v>
      </c>
      <c r="C395" s="6" t="str">
        <f>INDEX(工厂基础数据!$A$2:$A$1024,MATCH(X395,工厂基础数据!$D$2:$D$1024,0))</f>
        <v>02025767</v>
      </c>
      <c r="E395" s="6" t="str">
        <f>INDEX(工厂基础数据!$B$2:$B$1024,MATCH(X395,工厂基础数据!$D$2:$D$1024,0))</f>
        <v>滨州市仁信医药有限公司</v>
      </c>
      <c r="F395" s="6">
        <f>INDEX(商业2转码!$B$2:$B$10000,MATCH(E395,商业2转码!$A$2:$A$10000,0))</f>
        <v>0</v>
      </c>
      <c r="G395" s="6" t="str">
        <f>INDEX(品种2编码!$A$2:$A$1048576,MATCH(W395,品种2编码!$D$2:$D$1048576,0))</f>
        <v>0020020021ZYLC0011</v>
      </c>
      <c r="H395" s="6" t="s">
        <v>1890</v>
      </c>
      <c r="I395" s="6" t="s">
        <v>1891</v>
      </c>
      <c r="J395" s="6" t="s">
        <v>3036</v>
      </c>
      <c r="L395" s="6" t="s">
        <v>2265</v>
      </c>
      <c r="M395" s="6">
        <f>INDEX(医院2县区2人!$B$2:$B$1048576,MATCH(L395,医院2县区2人!$A$2:$A$1048576,0))</f>
        <v>2</v>
      </c>
      <c r="N395" s="6" t="str">
        <f>INDEX(医院2县区2人!$C$2:$C$1048576,MATCH(L395,医院2县区2人!$A$2:$A$1048576,0))</f>
        <v>1855</v>
      </c>
      <c r="P395" s="7">
        <v>43262.74113425926</v>
      </c>
      <c r="Q395" s="6">
        <v>5</v>
      </c>
      <c r="R395" s="6">
        <v>6</v>
      </c>
      <c r="S395" s="6">
        <v>161001</v>
      </c>
      <c r="T395" s="6" t="str">
        <f>INDEX(医院2县区2人!$D$2:$D$1048576,MATCH(L395,医院2县区2人!$A$2:$A$1048576,0))</f>
        <v>201602151421097</v>
      </c>
      <c r="W395" s="6" t="str">
        <f t="shared" si="15"/>
        <v>严迪/罗红霉素分散片150mg*12片</v>
      </c>
      <c r="X395" s="6" t="s">
        <v>2890</v>
      </c>
    </row>
    <row r="396" spans="1:24" x14ac:dyDescent="0.15">
      <c r="A396" s="7" t="str">
        <f t="shared" si="16"/>
        <v>201806</v>
      </c>
      <c r="C396" s="6" t="str">
        <f>INDEX(工厂基础数据!$A$2:$A$1024,MATCH(X396,工厂基础数据!$D$2:$D$1024,0))</f>
        <v>02025767</v>
      </c>
      <c r="E396" s="6" t="str">
        <f>INDEX(工厂基础数据!$B$2:$B$1024,MATCH(X396,工厂基础数据!$D$2:$D$1024,0))</f>
        <v>滨州市仁信医药有限公司</v>
      </c>
      <c r="F396" s="6">
        <f>INDEX(商业2转码!$B$2:$B$10000,MATCH(E396,商业2转码!$A$2:$A$10000,0))</f>
        <v>0</v>
      </c>
      <c r="G396" s="6" t="str">
        <f>INDEX(品种2编码!$A$2:$A$1048576,MATCH(W396,品种2编码!$D$2:$D$1048576,0))</f>
        <v>0020030020ZYZC0360</v>
      </c>
      <c r="H396" s="6" t="s">
        <v>1880</v>
      </c>
      <c r="I396" s="6" t="s">
        <v>1881</v>
      </c>
      <c r="J396" s="6" t="s">
        <v>3038</v>
      </c>
      <c r="L396" s="6" t="s">
        <v>2632</v>
      </c>
      <c r="M396" s="6">
        <f>INDEX(医院2县区2人!$B$2:$B$1048576,MATCH(L396,医院2县区2人!$A$2:$A$1048576,0))</f>
        <v>2</v>
      </c>
      <c r="N396" s="6" t="str">
        <f>INDEX(医院2县区2人!$C$2:$C$1048576,MATCH(L396,医院2县区2人!$A$2:$A$1048576,0))</f>
        <v>1853</v>
      </c>
      <c r="P396" s="7">
        <v>43264.345659722225</v>
      </c>
      <c r="Q396" s="6">
        <v>10</v>
      </c>
      <c r="R396" s="6">
        <v>11</v>
      </c>
      <c r="S396" s="6" t="s">
        <v>3054</v>
      </c>
      <c r="T396" s="6" t="str">
        <f>INDEX(医院2县区2人!$D$2:$D$1048576,MATCH(L396,医院2县区2人!$A$2:$A$1048576,0))</f>
        <v>201602151421097</v>
      </c>
      <c r="W396" s="6" t="str">
        <f t="shared" si="15"/>
        <v>*维生素C咀嚼片/VC片0.1g*30片</v>
      </c>
      <c r="X396" s="6" t="s">
        <v>2890</v>
      </c>
    </row>
    <row r="397" spans="1:24" x14ac:dyDescent="0.15">
      <c r="A397" s="7" t="str">
        <f t="shared" si="16"/>
        <v>201806</v>
      </c>
      <c r="C397" s="6" t="str">
        <f>INDEX(工厂基础数据!$A$2:$A$1024,MATCH(X397,工厂基础数据!$D$2:$D$1024,0))</f>
        <v>02025767</v>
      </c>
      <c r="E397" s="6" t="str">
        <f>INDEX(工厂基础数据!$B$2:$B$1024,MATCH(X397,工厂基础数据!$D$2:$D$1024,0))</f>
        <v>滨州市仁信医药有限公司</v>
      </c>
      <c r="F397" s="6">
        <f>INDEX(商业2转码!$B$2:$B$10000,MATCH(E397,商业2转码!$A$2:$A$10000,0))</f>
        <v>0</v>
      </c>
      <c r="G397" s="6" t="str">
        <f>INDEX(品种2编码!$A$2:$A$1048576,MATCH(W397,品种2编码!$D$2:$D$1048576,0))</f>
        <v>0020030020SJSC0014</v>
      </c>
      <c r="H397" s="6" t="s">
        <v>677</v>
      </c>
      <c r="I397" s="6" t="s">
        <v>1882</v>
      </c>
      <c r="J397" s="6" t="s">
        <v>3045</v>
      </c>
      <c r="L397" s="6" t="s">
        <v>2632</v>
      </c>
      <c r="M397" s="6">
        <f>INDEX(医院2县区2人!$B$2:$B$1048576,MATCH(L397,医院2县区2人!$A$2:$A$1048576,0))</f>
        <v>2</v>
      </c>
      <c r="N397" s="6" t="str">
        <f>INDEX(医院2县区2人!$C$2:$C$1048576,MATCH(L397,医院2县区2人!$A$2:$A$1048576,0))</f>
        <v>1853</v>
      </c>
      <c r="P397" s="7">
        <v>43264.345717592594</v>
      </c>
      <c r="Q397" s="6">
        <v>10</v>
      </c>
      <c r="R397" s="6">
        <v>9.8000000000000007</v>
      </c>
      <c r="S397" s="6">
        <v>1707002</v>
      </c>
      <c r="T397" s="6" t="str">
        <f>INDEX(医院2县区2人!$D$2:$D$1048576,MATCH(L397,医院2县区2人!$A$2:$A$1048576,0))</f>
        <v>201602151421097</v>
      </c>
      <c r="W397" s="6" t="str">
        <f t="shared" si="15"/>
        <v>维D2磷酸氢钙片60片</v>
      </c>
      <c r="X397" s="6" t="s">
        <v>2890</v>
      </c>
    </row>
    <row r="398" spans="1:24" x14ac:dyDescent="0.15">
      <c r="A398" s="7" t="str">
        <f t="shared" si="16"/>
        <v>201806</v>
      </c>
      <c r="C398" s="6" t="str">
        <f>INDEX(工厂基础数据!$A$2:$A$1024,MATCH(X398,工厂基础数据!$D$2:$D$1024,0))</f>
        <v>02025767</v>
      </c>
      <c r="E398" s="6" t="str">
        <f>INDEX(工厂基础数据!$B$2:$B$1024,MATCH(X398,工厂基础数据!$D$2:$D$1024,0))</f>
        <v>滨州市仁信医药有限公司</v>
      </c>
      <c r="F398" s="6">
        <f>INDEX(商业2转码!$B$2:$B$10000,MATCH(E398,商业2转码!$A$2:$A$10000,0))</f>
        <v>0</v>
      </c>
      <c r="G398" s="6" t="str">
        <f>INDEX(品种2编码!$A$2:$A$1048576,MATCH(W398,品种2编码!$D$2:$D$1048576,0))</f>
        <v>0020030040SHYT0010</v>
      </c>
      <c r="H398" s="6" t="s">
        <v>317</v>
      </c>
      <c r="I398" s="6" t="s">
        <v>1848</v>
      </c>
      <c r="J398" s="6" t="s">
        <v>3037</v>
      </c>
      <c r="L398" s="6" t="s">
        <v>2188</v>
      </c>
      <c r="M398" s="6">
        <f>INDEX(医院2县区2人!$B$2:$B$1048576,MATCH(L398,医院2县区2人!$A$2:$A$1048576,0))</f>
        <v>2</v>
      </c>
      <c r="N398" s="6" t="str">
        <f>INDEX(医院2县区2人!$C$2:$C$1048576,MATCH(L398,医院2县区2人!$A$2:$A$1048576,0))</f>
        <v>1855</v>
      </c>
      <c r="P398" s="7">
        <v>43264.345613425925</v>
      </c>
      <c r="Q398" s="6">
        <v>1</v>
      </c>
      <c r="R398" s="6">
        <v>12.5</v>
      </c>
      <c r="S398" s="6">
        <v>1801608</v>
      </c>
      <c r="T398" s="6" t="str">
        <f>INDEX(医院2县区2人!$D$2:$D$1048576,MATCH(L398,医院2县区2人!$A$2:$A$1048576,0))</f>
        <v>201602151421097</v>
      </c>
      <c r="W398" s="6" t="str">
        <f t="shared" si="15"/>
        <v>布洛芬颗粒0.2g*12袋</v>
      </c>
      <c r="X398" s="6" t="s">
        <v>2890</v>
      </c>
    </row>
    <row r="399" spans="1:24" x14ac:dyDescent="0.15">
      <c r="A399" s="7" t="str">
        <f t="shared" si="16"/>
        <v>201806</v>
      </c>
      <c r="C399" s="6" t="str">
        <f>INDEX(工厂基础数据!$A$2:$A$1024,MATCH(X399,工厂基础数据!$D$2:$D$1024,0))</f>
        <v>02025767</v>
      </c>
      <c r="E399" s="6" t="str">
        <f>INDEX(工厂基础数据!$B$2:$B$1024,MATCH(X399,工厂基础数据!$D$2:$D$1024,0))</f>
        <v>滨州市仁信医药有限公司</v>
      </c>
      <c r="F399" s="6">
        <f>INDEX(商业2转码!$B$2:$B$10000,MATCH(E399,商业2转码!$A$2:$A$10000,0))</f>
        <v>0</v>
      </c>
      <c r="G399" s="6" t="str">
        <f>INDEX(品种2编码!$A$2:$A$1048576,MATCH(W399,品种2编码!$D$2:$D$1048576,0))</f>
        <v>0020020020ZYLC0010</v>
      </c>
      <c r="H399" s="6" t="s">
        <v>1877</v>
      </c>
      <c r="I399" s="6" t="s">
        <v>1878</v>
      </c>
      <c r="J399" s="6" t="s">
        <v>3036</v>
      </c>
      <c r="L399" s="6" t="s">
        <v>2272</v>
      </c>
      <c r="M399" s="6">
        <f>INDEX(医院2县区2人!$B$2:$B$1048576,MATCH(L399,医院2县区2人!$A$2:$A$1048576,0))</f>
        <v>1</v>
      </c>
      <c r="N399" s="6" t="str">
        <f>INDEX(医院2县区2人!$C$2:$C$1048576,MATCH(L399,医院2县区2人!$A$2:$A$1048576,0))</f>
        <v>1854</v>
      </c>
      <c r="P399" s="7">
        <v>43264.345914351848</v>
      </c>
      <c r="Q399" s="6">
        <v>10</v>
      </c>
      <c r="R399" s="6">
        <v>3.5</v>
      </c>
      <c r="S399" s="6">
        <v>180401</v>
      </c>
      <c r="T399" s="6" t="str">
        <f>INDEX(医院2县区2人!$D$2:$D$1048576,MATCH(L399,医院2县区2人!$A$2:$A$1048576,0))</f>
        <v>201602151421097</v>
      </c>
      <c r="W399" s="6" t="str">
        <f t="shared" si="15"/>
        <v xml:space="preserve">泻利停/颠茄磺苄啶片0.48g*10片 </v>
      </c>
      <c r="X399" s="6" t="s">
        <v>2890</v>
      </c>
    </row>
    <row r="400" spans="1:24" x14ac:dyDescent="0.15">
      <c r="A400" s="7" t="str">
        <f t="shared" si="16"/>
        <v>201806</v>
      </c>
      <c r="C400" s="6" t="str">
        <f>INDEX(工厂基础数据!$A$2:$A$1024,MATCH(X400,工厂基础数据!$D$2:$D$1024,0))</f>
        <v>02025767</v>
      </c>
      <c r="E400" s="6" t="str">
        <f>INDEX(工厂基础数据!$B$2:$B$1024,MATCH(X400,工厂基础数据!$D$2:$D$1024,0))</f>
        <v>滨州市仁信医药有限公司</v>
      </c>
      <c r="F400" s="6">
        <f>INDEX(商业2转码!$B$2:$B$10000,MATCH(E400,商业2转码!$A$2:$A$10000,0))</f>
        <v>0</v>
      </c>
      <c r="G400" s="6" t="str">
        <f>INDEX(品种2编码!$A$2:$A$1048576,MATCH(W400,品种2编码!$D$2:$D$1048576,0))</f>
        <v>0020030001SJZY0009</v>
      </c>
      <c r="H400" s="6" t="s">
        <v>555</v>
      </c>
      <c r="I400" s="6" t="s">
        <v>1889</v>
      </c>
      <c r="J400" s="6" t="s">
        <v>3039</v>
      </c>
      <c r="L400" s="6" t="s">
        <v>2272</v>
      </c>
      <c r="M400" s="6">
        <f>INDEX(医院2县区2人!$B$2:$B$1048576,MATCH(L400,医院2县区2人!$A$2:$A$1048576,0))</f>
        <v>1</v>
      </c>
      <c r="N400" s="6" t="str">
        <f>INDEX(医院2县区2人!$C$2:$C$1048576,MATCH(L400,医院2县区2人!$A$2:$A$1048576,0))</f>
        <v>1854</v>
      </c>
      <c r="P400" s="7">
        <v>43264.345937500002</v>
      </c>
      <c r="Q400" s="6">
        <v>5</v>
      </c>
      <c r="R400" s="6">
        <v>25</v>
      </c>
      <c r="S400" s="6">
        <v>18031227</v>
      </c>
      <c r="T400" s="6" t="str">
        <f>INDEX(医院2县区2人!$D$2:$D$1048576,MATCH(L400,医院2县区2人!$A$2:$A$1048576,0))</f>
        <v>201602151421097</v>
      </c>
      <c r="W400" s="6" t="str">
        <f t="shared" si="15"/>
        <v>葡萄糖酸锌口服液10ML*12支</v>
      </c>
      <c r="X400" s="6" t="s">
        <v>2890</v>
      </c>
    </row>
    <row r="401" spans="1:24" x14ac:dyDescent="0.15">
      <c r="A401" s="7" t="str">
        <f t="shared" si="16"/>
        <v>201806</v>
      </c>
      <c r="C401" s="6" t="str">
        <f>INDEX(工厂基础数据!$A$2:$A$1024,MATCH(X401,工厂基础数据!$D$2:$D$1024,0))</f>
        <v>02025767</v>
      </c>
      <c r="E401" s="6" t="str">
        <f>INDEX(工厂基础数据!$B$2:$B$1024,MATCH(X401,工厂基础数据!$D$2:$D$1024,0))</f>
        <v>滨州市仁信医药有限公司</v>
      </c>
      <c r="F401" s="6">
        <f>INDEX(商业2转码!$B$2:$B$10000,MATCH(E401,商业2转码!$A$2:$A$10000,0))</f>
        <v>0</v>
      </c>
      <c r="G401" s="6" t="str">
        <f>INDEX(品种2编码!$A$2:$A$1048576,MATCH(W401,品种2编码!$D$2:$D$1048576,0))</f>
        <v>0020020020ZYLC0010</v>
      </c>
      <c r="H401" s="6" t="s">
        <v>1877</v>
      </c>
      <c r="I401" s="6" t="s">
        <v>1878</v>
      </c>
      <c r="J401" s="6" t="s">
        <v>3036</v>
      </c>
      <c r="L401" s="6" t="s">
        <v>3011</v>
      </c>
      <c r="M401" s="6" t="e">
        <f>INDEX(医院2县区2人!$B$2:$B$1048576,MATCH(L401,医院2县区2人!$A$2:$A$1048576,0))</f>
        <v>#N/A</v>
      </c>
      <c r="N401" s="6" t="e">
        <f>INDEX(医院2县区2人!$C$2:$C$1048576,MATCH(L401,医院2县区2人!$A$2:$A$1048576,0))</f>
        <v>#N/A</v>
      </c>
      <c r="P401" s="7">
        <v>43264.345891203702</v>
      </c>
      <c r="Q401" s="6">
        <v>20</v>
      </c>
      <c r="R401" s="6">
        <v>3.5</v>
      </c>
      <c r="S401" s="6">
        <v>180401</v>
      </c>
      <c r="T401" s="6" t="e">
        <f>INDEX(医院2县区2人!$D$2:$D$1048576,MATCH(L401,医院2县区2人!$A$2:$A$1048576,0))</f>
        <v>#N/A</v>
      </c>
      <c r="W401" s="6" t="str">
        <f t="shared" si="15"/>
        <v xml:space="preserve">泻利停/颠茄磺苄啶片0.48g*10片 </v>
      </c>
      <c r="X401" s="6" t="s">
        <v>2890</v>
      </c>
    </row>
    <row r="402" spans="1:24" x14ac:dyDescent="0.15">
      <c r="A402" s="7" t="str">
        <f t="shared" si="16"/>
        <v>201806</v>
      </c>
      <c r="C402" s="6" t="str">
        <f>INDEX(工厂基础数据!$A$2:$A$1024,MATCH(X402,工厂基础数据!$D$2:$D$1024,0))</f>
        <v>02025767</v>
      </c>
      <c r="E402" s="6" t="str">
        <f>INDEX(工厂基础数据!$B$2:$B$1024,MATCH(X402,工厂基础数据!$D$2:$D$1024,0))</f>
        <v>滨州市仁信医药有限公司</v>
      </c>
      <c r="F402" s="6">
        <f>INDEX(商业2转码!$B$2:$B$10000,MATCH(E402,商业2转码!$A$2:$A$10000,0))</f>
        <v>0</v>
      </c>
      <c r="G402" s="6" t="str">
        <f>INDEX(品种2编码!$A$2:$A$1048576,MATCH(W402,品种2编码!$D$2:$D$1048576,0))</f>
        <v>0020030020ZYLC0010</v>
      </c>
      <c r="H402" s="6" t="s">
        <v>1883</v>
      </c>
      <c r="I402" s="6" t="s">
        <v>1839</v>
      </c>
      <c r="J402" s="6" t="s">
        <v>3036</v>
      </c>
      <c r="L402" s="6" t="s">
        <v>2189</v>
      </c>
      <c r="M402" s="6">
        <f>INDEX(医院2县区2人!$B$2:$B$1048576,MATCH(L402,医院2县区2人!$A$2:$A$1048576,0))</f>
        <v>1</v>
      </c>
      <c r="N402" s="6" t="str">
        <f>INDEX(医院2县区2人!$C$2:$C$1048576,MATCH(L402,医院2县区2人!$A$2:$A$1048576,0))</f>
        <v>1854</v>
      </c>
      <c r="P402" s="7">
        <v>43264.34584490741</v>
      </c>
      <c r="Q402" s="6">
        <v>5</v>
      </c>
      <c r="R402" s="6">
        <v>3.7</v>
      </c>
      <c r="S402" s="6">
        <v>180136</v>
      </c>
      <c r="T402" s="6" t="str">
        <f>INDEX(医院2县区2人!$D$2:$D$1048576,MATCH(L402,医院2县区2人!$A$2:$A$1048576,0))</f>
        <v>201602151421097</v>
      </c>
      <c r="W402" s="6" t="str">
        <f t="shared" si="15"/>
        <v>“为消”牌乳酸菌素片0.4g*36片</v>
      </c>
      <c r="X402" s="6" t="s">
        <v>2890</v>
      </c>
    </row>
    <row r="403" spans="1:24" x14ac:dyDescent="0.15">
      <c r="A403" s="7" t="str">
        <f t="shared" si="16"/>
        <v>201806</v>
      </c>
      <c r="C403" s="6" t="str">
        <f>INDEX(工厂基础数据!$A$2:$A$1024,MATCH(X403,工厂基础数据!$D$2:$D$1024,0))</f>
        <v>02025767</v>
      </c>
      <c r="E403" s="6" t="str">
        <f>INDEX(工厂基础数据!$B$2:$B$1024,MATCH(X403,工厂基础数据!$D$2:$D$1024,0))</f>
        <v>滨州市仁信医药有限公司</v>
      </c>
      <c r="F403" s="6">
        <f>INDEX(商业2转码!$B$2:$B$10000,MATCH(E403,商业2转码!$A$2:$A$10000,0))</f>
        <v>0</v>
      </c>
      <c r="G403" s="6">
        <f>INDEX(品种2编码!$A$2:$A$1048576,MATCH(W403,品种2编码!$D$2:$D$1048576,0))</f>
        <v>0</v>
      </c>
      <c r="H403" s="6" t="s">
        <v>857</v>
      </c>
      <c r="I403" s="6" t="s">
        <v>861</v>
      </c>
      <c r="J403" s="6" t="s">
        <v>3047</v>
      </c>
      <c r="L403" s="6" t="s">
        <v>2720</v>
      </c>
      <c r="M403" s="6">
        <f>INDEX(医院2县区2人!$B$2:$B$1048576,MATCH(L403,医院2县区2人!$A$2:$A$1048576,0))</f>
        <v>2</v>
      </c>
      <c r="N403" s="6" t="str">
        <f>INDEX(医院2县区2人!$C$2:$C$1048576,MATCH(L403,医院2县区2人!$A$2:$A$1048576,0))</f>
        <v>1855</v>
      </c>
      <c r="P403" s="7">
        <v>43264.345763888887</v>
      </c>
      <c r="Q403" s="6">
        <v>50</v>
      </c>
      <c r="R403" s="6">
        <v>5</v>
      </c>
      <c r="S403" s="6">
        <v>201705012</v>
      </c>
      <c r="T403" s="6" t="str">
        <f>INDEX(医院2县区2人!$D$2:$D$1048576,MATCH(L403,医院2县区2人!$A$2:$A$1048576,0))</f>
        <v>201602151421097</v>
      </c>
      <c r="W403" s="6" t="str">
        <f t="shared" si="15"/>
        <v>注射用奥扎格雷钠80mg</v>
      </c>
      <c r="X403" s="6" t="s">
        <v>2890</v>
      </c>
    </row>
    <row r="404" spans="1:24" x14ac:dyDescent="0.15">
      <c r="A404" s="7" t="str">
        <f t="shared" si="16"/>
        <v>201806</v>
      </c>
      <c r="C404" s="6" t="str">
        <f>INDEX(工厂基础数据!$A$2:$A$1024,MATCH(X404,工厂基础数据!$D$2:$D$1024,0))</f>
        <v>02025767</v>
      </c>
      <c r="E404" s="6" t="str">
        <f>INDEX(工厂基础数据!$B$2:$B$1024,MATCH(X404,工厂基础数据!$D$2:$D$1024,0))</f>
        <v>滨州市仁信医药有限公司</v>
      </c>
      <c r="F404" s="6">
        <f>INDEX(商业2转码!$B$2:$B$10000,MATCH(E404,商业2转码!$A$2:$A$10000,0))</f>
        <v>0</v>
      </c>
      <c r="G404" s="6" t="str">
        <f>INDEX(品种2编码!$A$2:$A$1048576,MATCH(W404,品种2编码!$D$2:$D$1048576,0))</f>
        <v>0020030040ZYLC0001</v>
      </c>
      <c r="H404" s="6" t="s">
        <v>1933</v>
      </c>
      <c r="I404" s="6" t="s">
        <v>1853</v>
      </c>
      <c r="J404" s="6" t="s">
        <v>3036</v>
      </c>
      <c r="L404" s="6" t="s">
        <v>2266</v>
      </c>
      <c r="M404" s="6">
        <f>INDEX(医院2县区2人!$B$2:$B$1048576,MATCH(L404,医院2县区2人!$A$2:$A$1048576,0))</f>
        <v>4</v>
      </c>
      <c r="N404" s="6" t="str">
        <f>INDEX(医院2县区2人!$C$2:$C$1048576,MATCH(L404,医院2县区2人!$A$2:$A$1048576,0))</f>
        <v>1856</v>
      </c>
      <c r="P404" s="7">
        <v>43264.345914351848</v>
      </c>
      <c r="Q404" s="6">
        <v>10</v>
      </c>
      <c r="R404" s="6">
        <v>10</v>
      </c>
      <c r="S404" s="6">
        <v>180141</v>
      </c>
      <c r="T404" s="6" t="str">
        <f>INDEX(医院2县区2人!$D$2:$D$1048576,MATCH(L404,医院2县区2人!$A$2:$A$1048576,0))</f>
        <v>201602151421097</v>
      </c>
      <c r="W404" s="6" t="str">
        <f t="shared" si="15"/>
        <v>护彤冲剂/小儿氨酚黄那敏颗粒2g*12袋</v>
      </c>
      <c r="X404" s="6" t="s">
        <v>2890</v>
      </c>
    </row>
    <row r="405" spans="1:24" x14ac:dyDescent="0.15">
      <c r="A405" s="7" t="str">
        <f t="shared" si="16"/>
        <v>201806</v>
      </c>
      <c r="C405" s="6" t="str">
        <f>INDEX(工厂基础数据!$A$2:$A$1024,MATCH(X405,工厂基础数据!$D$2:$D$1024,0))</f>
        <v>02025767</v>
      </c>
      <c r="E405" s="6" t="str">
        <f>INDEX(工厂基础数据!$B$2:$B$1024,MATCH(X405,工厂基础数据!$D$2:$D$1024,0))</f>
        <v>滨州市仁信医药有限公司</v>
      </c>
      <c r="F405" s="6">
        <f>INDEX(商业2转码!$B$2:$B$10000,MATCH(E405,商业2转码!$A$2:$A$10000,0))</f>
        <v>0</v>
      </c>
      <c r="G405" s="6" t="str">
        <f>INDEX(品种2编码!$A$2:$A$1048576,MATCH(W405,品种2编码!$D$2:$D$1048576,0))</f>
        <v>0020020021ZYLC0004</v>
      </c>
      <c r="H405" s="6" t="s">
        <v>1899</v>
      </c>
      <c r="I405" s="6" t="s">
        <v>1869</v>
      </c>
      <c r="J405" s="6" t="s">
        <v>3036</v>
      </c>
      <c r="L405" s="6" t="s">
        <v>2266</v>
      </c>
      <c r="M405" s="6">
        <f>INDEX(医院2县区2人!$B$2:$B$1048576,MATCH(L405,医院2县区2人!$A$2:$A$1048576,0))</f>
        <v>4</v>
      </c>
      <c r="N405" s="6" t="str">
        <f>INDEX(医院2县区2人!$C$2:$C$1048576,MATCH(L405,医院2县区2人!$A$2:$A$1048576,0))</f>
        <v>1856</v>
      </c>
      <c r="P405" s="7">
        <v>43264.345914351848</v>
      </c>
      <c r="Q405" s="6">
        <v>20</v>
      </c>
      <c r="R405" s="6">
        <v>8</v>
      </c>
      <c r="S405" s="6">
        <v>180201</v>
      </c>
      <c r="T405" s="6" t="str">
        <f>INDEX(医院2县区2人!$D$2:$D$1048576,MATCH(L405,医院2县区2人!$A$2:$A$1048576,0))</f>
        <v>201602151421097</v>
      </c>
      <c r="W405" s="6" t="str">
        <f t="shared" si="15"/>
        <v>大严迪片/罗红霉素分散片75mg*12片</v>
      </c>
      <c r="X405" s="6" t="s">
        <v>2890</v>
      </c>
    </row>
    <row r="406" spans="1:24" x14ac:dyDescent="0.15">
      <c r="A406" s="7" t="str">
        <f t="shared" si="16"/>
        <v>201806</v>
      </c>
      <c r="C406" s="6" t="str">
        <f>INDEX(工厂基础数据!$A$2:$A$1024,MATCH(X406,工厂基础数据!$D$2:$D$1024,0))</f>
        <v>02025767</v>
      </c>
      <c r="E406" s="6" t="str">
        <f>INDEX(工厂基础数据!$B$2:$B$1024,MATCH(X406,工厂基础数据!$D$2:$D$1024,0))</f>
        <v>滨州市仁信医药有限公司</v>
      </c>
      <c r="F406" s="6">
        <f>INDEX(商业2转码!$B$2:$B$10000,MATCH(E406,商业2转码!$A$2:$A$10000,0))</f>
        <v>0</v>
      </c>
      <c r="G406" s="6" t="str">
        <f>INDEX(品种2编码!$A$2:$A$1048576,MATCH(W406,品种2编码!$D$2:$D$1048576,0))</f>
        <v>0020020020ZYLC0010</v>
      </c>
      <c r="H406" s="6" t="s">
        <v>1877</v>
      </c>
      <c r="I406" s="6" t="s">
        <v>1878</v>
      </c>
      <c r="J406" s="6" t="s">
        <v>3036</v>
      </c>
      <c r="L406" s="6" t="s">
        <v>2366</v>
      </c>
      <c r="M406" s="6">
        <f>INDEX(医院2县区2人!$B$2:$B$1048576,MATCH(L406,医院2县区2人!$A$2:$A$1048576,0))</f>
        <v>2</v>
      </c>
      <c r="N406" s="6" t="str">
        <f>INDEX(医院2县区2人!$C$2:$C$1048576,MATCH(L406,医院2县区2人!$A$2:$A$1048576,0))</f>
        <v>1859</v>
      </c>
      <c r="P406" s="7">
        <v>43264.345902777779</v>
      </c>
      <c r="Q406" s="6">
        <v>10</v>
      </c>
      <c r="R406" s="6">
        <v>3.5</v>
      </c>
      <c r="S406" s="6">
        <v>180401</v>
      </c>
      <c r="T406" s="6" t="str">
        <f>INDEX(医院2县区2人!$D$2:$D$1048576,MATCH(L406,医院2县区2人!$A$2:$A$1048576,0))</f>
        <v>201602151421097</v>
      </c>
      <c r="W406" s="6" t="str">
        <f t="shared" si="15"/>
        <v xml:space="preserve">泻利停/颠茄磺苄啶片0.48g*10片 </v>
      </c>
      <c r="X406" s="6" t="s">
        <v>2890</v>
      </c>
    </row>
    <row r="407" spans="1:24" x14ac:dyDescent="0.15">
      <c r="A407" s="7" t="str">
        <f t="shared" si="16"/>
        <v>201806</v>
      </c>
      <c r="C407" s="6" t="str">
        <f>INDEX(工厂基础数据!$A$2:$A$1024,MATCH(X407,工厂基础数据!$D$2:$D$1024,0))</f>
        <v>02025767</v>
      </c>
      <c r="E407" s="6" t="str">
        <f>INDEX(工厂基础数据!$B$2:$B$1024,MATCH(X407,工厂基础数据!$D$2:$D$1024,0))</f>
        <v>滨州市仁信医药有限公司</v>
      </c>
      <c r="F407" s="6">
        <f>INDEX(商业2转码!$B$2:$B$10000,MATCH(E407,商业2转码!$A$2:$A$10000,0))</f>
        <v>0</v>
      </c>
      <c r="G407" s="6" t="str">
        <f>INDEX(品种2编码!$A$2:$A$1048576,MATCH(W407,品种2编码!$D$2:$D$1048576,0))</f>
        <v>0020050090SJZY0020</v>
      </c>
      <c r="H407" s="6" t="s">
        <v>630</v>
      </c>
      <c r="I407" s="6" t="s">
        <v>634</v>
      </c>
      <c r="J407" s="6" t="s">
        <v>3039</v>
      </c>
      <c r="L407" s="6" t="s">
        <v>2191</v>
      </c>
      <c r="M407" s="6">
        <f>INDEX(医院2县区2人!$B$2:$B$1048576,MATCH(L407,医院2县区2人!$A$2:$A$1048576,0))</f>
        <v>2</v>
      </c>
      <c r="N407" s="6" t="str">
        <f>INDEX(医院2县区2人!$C$2:$C$1048576,MATCH(L407,医院2县区2人!$A$2:$A$1048576,0))</f>
        <v>1855</v>
      </c>
      <c r="P407" s="7">
        <v>43264.345763888887</v>
      </c>
      <c r="Q407" s="6">
        <v>3</v>
      </c>
      <c r="R407" s="6">
        <v>26</v>
      </c>
      <c r="S407" s="6">
        <v>18020715</v>
      </c>
      <c r="T407" s="6" t="str">
        <f>INDEX(医院2县区2人!$D$2:$D$1048576,MATCH(L407,医院2县区2人!$A$2:$A$1048576,0))</f>
        <v>201602151421097</v>
      </c>
      <c r="W407" s="6" t="str">
        <f t="shared" si="15"/>
        <v>双黄连口服液20ml*9支</v>
      </c>
      <c r="X407" s="6" t="s">
        <v>2890</v>
      </c>
    </row>
    <row r="408" spans="1:24" x14ac:dyDescent="0.15">
      <c r="A408" s="7" t="str">
        <f t="shared" si="16"/>
        <v>201806</v>
      </c>
      <c r="C408" s="6" t="str">
        <f>INDEX(工厂基础数据!$A$2:$A$1024,MATCH(X408,工厂基础数据!$D$2:$D$1024,0))</f>
        <v>02025767</v>
      </c>
      <c r="E408" s="6" t="str">
        <f>INDEX(工厂基础数据!$B$2:$B$1024,MATCH(X408,工厂基础数据!$D$2:$D$1024,0))</f>
        <v>滨州市仁信医药有限公司</v>
      </c>
      <c r="F408" s="6">
        <f>INDEX(商业2转码!$B$2:$B$10000,MATCH(E408,商业2转码!$A$2:$A$10000,0))</f>
        <v>0</v>
      </c>
      <c r="G408" s="6" t="str">
        <f>INDEX(品种2编码!$A$2:$A$1048576,MATCH(W408,品种2编码!$D$2:$D$1048576,0))</f>
        <v>0020030001SJZY0009</v>
      </c>
      <c r="H408" s="6" t="s">
        <v>555</v>
      </c>
      <c r="I408" s="6" t="s">
        <v>1889</v>
      </c>
      <c r="J408" s="6" t="s">
        <v>3039</v>
      </c>
      <c r="L408" s="6" t="s">
        <v>2259</v>
      </c>
      <c r="M408" s="6">
        <f>INDEX(医院2县区2人!$B$2:$B$1048576,MATCH(L408,医院2县区2人!$A$2:$A$1048576,0))</f>
        <v>2</v>
      </c>
      <c r="N408" s="6" t="str">
        <f>INDEX(医院2县区2人!$C$2:$C$1048576,MATCH(L408,医院2县区2人!$A$2:$A$1048576,0))</f>
        <v>1855</v>
      </c>
      <c r="P408" s="7">
        <v>43264.34574074074</v>
      </c>
      <c r="Q408" s="6">
        <v>5</v>
      </c>
      <c r="R408" s="6">
        <v>25</v>
      </c>
      <c r="S408" s="6">
        <v>18031227</v>
      </c>
      <c r="T408" s="6" t="str">
        <f>INDEX(医院2县区2人!$D$2:$D$1048576,MATCH(L408,医院2县区2人!$A$2:$A$1048576,0))</f>
        <v>201602151421097</v>
      </c>
      <c r="W408" s="6" t="str">
        <f t="shared" si="15"/>
        <v>葡萄糖酸锌口服液10ML*12支</v>
      </c>
      <c r="X408" s="6" t="s">
        <v>2890</v>
      </c>
    </row>
    <row r="409" spans="1:24" x14ac:dyDescent="0.15">
      <c r="A409" s="7" t="str">
        <f t="shared" si="16"/>
        <v>201806</v>
      </c>
      <c r="C409" s="6" t="str">
        <f>INDEX(工厂基础数据!$A$2:$A$1024,MATCH(X409,工厂基础数据!$D$2:$D$1024,0))</f>
        <v>02025767</v>
      </c>
      <c r="E409" s="6" t="str">
        <f>INDEX(工厂基础数据!$B$2:$B$1024,MATCH(X409,工厂基础数据!$D$2:$D$1024,0))</f>
        <v>滨州市仁信医药有限公司</v>
      </c>
      <c r="F409" s="6">
        <f>INDEX(商业2转码!$B$2:$B$10000,MATCH(E409,商业2转码!$A$2:$A$10000,0))</f>
        <v>0</v>
      </c>
      <c r="G409" s="6" t="str">
        <f>INDEX(品种2编码!$A$2:$A$1048576,MATCH(W409,品种2编码!$D$2:$D$1048576,0))</f>
        <v>0020040070ZYEC0005</v>
      </c>
      <c r="H409" s="6" t="s">
        <v>708</v>
      </c>
      <c r="I409" s="6" t="s">
        <v>1851</v>
      </c>
      <c r="J409" s="6" t="s">
        <v>3041</v>
      </c>
      <c r="L409" s="6" t="s">
        <v>2183</v>
      </c>
      <c r="M409" s="6">
        <f>INDEX(医院2县区2人!$B$2:$B$1048576,MATCH(L409,医院2县区2人!$A$2:$A$1048576,0))</f>
        <v>4</v>
      </c>
      <c r="N409" s="6" t="str">
        <f>INDEX(医院2县区2人!$C$2:$C$1048576,MATCH(L409,医院2县区2人!$A$2:$A$1048576,0))</f>
        <v>1859</v>
      </c>
      <c r="P409" s="7">
        <v>43264.746967592589</v>
      </c>
      <c r="Q409" s="6">
        <v>-90</v>
      </c>
      <c r="R409" s="6">
        <v>12</v>
      </c>
      <c r="S409" s="6">
        <v>161106</v>
      </c>
      <c r="T409" s="6" t="str">
        <f>INDEX(医院2县区2人!$D$2:$D$1048576,MATCH(L409,医院2县区2人!$A$2:$A$1048576,0))</f>
        <v>201602151421097</v>
      </c>
      <c r="W409" s="6" t="str">
        <f t="shared" si="15"/>
        <v>小儿百部止咳糖浆100ml</v>
      </c>
      <c r="X409" s="6" t="s">
        <v>2890</v>
      </c>
    </row>
    <row r="410" spans="1:24" x14ac:dyDescent="0.15">
      <c r="A410" s="7" t="str">
        <f t="shared" si="16"/>
        <v>201806</v>
      </c>
      <c r="C410" s="6" t="str">
        <f>INDEX(工厂基础数据!$A$2:$A$1024,MATCH(X410,工厂基础数据!$D$2:$D$1024,0))</f>
        <v>02025767</v>
      </c>
      <c r="E410" s="6" t="str">
        <f>INDEX(工厂基础数据!$B$2:$B$1024,MATCH(X410,工厂基础数据!$D$2:$D$1024,0))</f>
        <v>滨州市仁信医药有限公司</v>
      </c>
      <c r="F410" s="6">
        <f>INDEX(商业2转码!$B$2:$B$10000,MATCH(E410,商业2转码!$A$2:$A$10000,0))</f>
        <v>0</v>
      </c>
      <c r="G410" s="6" t="str">
        <f>INDEX(品种2编码!$A$2:$A$1048576,MATCH(W410,品种2编码!$D$2:$D$1048576,0))</f>
        <v>0020070000ZYLC0001</v>
      </c>
      <c r="H410" s="6" t="s">
        <v>1885</v>
      </c>
      <c r="I410" s="6" t="s">
        <v>1886</v>
      </c>
      <c r="J410" s="6" t="s">
        <v>3036</v>
      </c>
      <c r="L410" s="6" t="s">
        <v>2668</v>
      </c>
      <c r="M410" s="6">
        <f>INDEX(医院2县区2人!$B$2:$B$1048576,MATCH(L410,医院2县区2人!$A$2:$A$1048576,0))</f>
        <v>2</v>
      </c>
      <c r="N410" s="6" t="str">
        <f>INDEX(医院2县区2人!$C$2:$C$1048576,MATCH(L410,医院2县区2人!$A$2:$A$1048576,0))</f>
        <v>1855</v>
      </c>
      <c r="P410" s="7">
        <v>43264.34574074074</v>
      </c>
      <c r="Q410" s="6">
        <v>3</v>
      </c>
      <c r="R410" s="6">
        <v>29</v>
      </c>
      <c r="S410" s="6">
        <v>180104</v>
      </c>
      <c r="T410" s="6" t="str">
        <f>INDEX(医院2县区2人!$D$2:$D$1048576,MATCH(L410,医院2县区2人!$A$2:$A$1048576,0))</f>
        <v>201602151421097</v>
      </c>
      <c r="W410" s="6" t="str">
        <f t="shared" si="15"/>
        <v>新盖中盖高钙片2.5g*36P</v>
      </c>
      <c r="X410" s="6" t="s">
        <v>2890</v>
      </c>
    </row>
    <row r="411" spans="1:24" x14ac:dyDescent="0.15">
      <c r="A411" s="7" t="str">
        <f t="shared" si="16"/>
        <v>201806</v>
      </c>
      <c r="C411" s="6" t="str">
        <f>INDEX(工厂基础数据!$A$2:$A$1024,MATCH(X411,工厂基础数据!$D$2:$D$1024,0))</f>
        <v>02025767</v>
      </c>
      <c r="E411" s="6" t="str">
        <f>INDEX(工厂基础数据!$B$2:$B$1024,MATCH(X411,工厂基础数据!$D$2:$D$1024,0))</f>
        <v>滨州市仁信医药有限公司</v>
      </c>
      <c r="F411" s="6">
        <f>INDEX(商业2转码!$B$2:$B$10000,MATCH(E411,商业2转码!$A$2:$A$10000,0))</f>
        <v>0</v>
      </c>
      <c r="G411" s="6" t="str">
        <f>INDEX(品种2编码!$A$2:$A$1048576,MATCH(W411,品种2编码!$D$2:$D$1048576,0))</f>
        <v>0020020013ZYZC0491</v>
      </c>
      <c r="H411" s="6" t="s">
        <v>1921</v>
      </c>
      <c r="I411" s="6" t="s">
        <v>914</v>
      </c>
      <c r="J411" s="6" t="s">
        <v>3038</v>
      </c>
      <c r="L411" s="6" t="s">
        <v>2995</v>
      </c>
      <c r="M411" s="6" t="e">
        <f>INDEX(医院2县区2人!$B$2:$B$1048576,MATCH(L411,医院2县区2人!$A$2:$A$1048576,0))</f>
        <v>#N/A</v>
      </c>
      <c r="N411" s="6" t="e">
        <f>INDEX(医院2县区2人!$C$2:$C$1048576,MATCH(L411,医院2县区2人!$A$2:$A$1048576,0))</f>
        <v>#N/A</v>
      </c>
      <c r="P411" s="7">
        <v>43264.746967592589</v>
      </c>
      <c r="Q411" s="6">
        <v>-20</v>
      </c>
      <c r="R411" s="6">
        <v>3.5</v>
      </c>
      <c r="S411" s="6" t="s">
        <v>3051</v>
      </c>
      <c r="T411" s="6" t="e">
        <f>INDEX(医院2县区2人!$D$2:$D$1048576,MATCH(L411,医院2县区2人!$A$2:$A$1048576,0))</f>
        <v>#N/A</v>
      </c>
      <c r="W411" s="6" t="str">
        <f t="shared" si="15"/>
        <v>阿奇针/注射用乳糖酸阿奇霉素针0.25g</v>
      </c>
      <c r="X411" s="6" t="s">
        <v>2890</v>
      </c>
    </row>
    <row r="412" spans="1:24" x14ac:dyDescent="0.15">
      <c r="A412" s="7" t="str">
        <f t="shared" si="16"/>
        <v>201806</v>
      </c>
      <c r="C412" s="6" t="str">
        <f>INDEX(工厂基础数据!$A$2:$A$1024,MATCH(X412,工厂基础数据!$D$2:$D$1024,0))</f>
        <v>02025767</v>
      </c>
      <c r="E412" s="6" t="str">
        <f>INDEX(工厂基础数据!$B$2:$B$1024,MATCH(X412,工厂基础数据!$D$2:$D$1024,0))</f>
        <v>滨州市仁信医药有限公司</v>
      </c>
      <c r="F412" s="6">
        <f>INDEX(商业2转码!$B$2:$B$10000,MATCH(E412,商业2转码!$A$2:$A$10000,0))</f>
        <v>0</v>
      </c>
      <c r="G412" s="6">
        <f>INDEX(品种2编码!$A$2:$A$1048576,MATCH(W412,品种2编码!$D$2:$D$1048576,0))</f>
        <v>0</v>
      </c>
      <c r="H412" s="6" t="s">
        <v>857</v>
      </c>
      <c r="I412" s="6" t="s">
        <v>861</v>
      </c>
      <c r="J412" s="6" t="s">
        <v>3047</v>
      </c>
      <c r="L412" s="6" t="s">
        <v>2998</v>
      </c>
      <c r="M412" s="6" t="e">
        <f>INDEX(医院2县区2人!$B$2:$B$1048576,MATCH(L412,医院2县区2人!$A$2:$A$1048576,0))</f>
        <v>#N/A</v>
      </c>
      <c r="N412" s="6" t="e">
        <f>INDEX(医院2县区2人!$C$2:$C$1048576,MATCH(L412,医院2县区2人!$A$2:$A$1048576,0))</f>
        <v>#N/A</v>
      </c>
      <c r="P412" s="7">
        <v>43264.745856481481</v>
      </c>
      <c r="Q412" s="6">
        <v>100</v>
      </c>
      <c r="R412" s="6">
        <v>9.15</v>
      </c>
      <c r="S412" s="6">
        <v>201705012</v>
      </c>
      <c r="T412" s="6" t="e">
        <f>INDEX(医院2县区2人!$D$2:$D$1048576,MATCH(L412,医院2县区2人!$A$2:$A$1048576,0))</f>
        <v>#N/A</v>
      </c>
      <c r="W412" s="6" t="str">
        <f t="shared" si="15"/>
        <v>注射用奥扎格雷钠80mg</v>
      </c>
      <c r="X412" s="6" t="s">
        <v>2890</v>
      </c>
    </row>
    <row r="413" spans="1:24" x14ac:dyDescent="0.15">
      <c r="A413" s="7" t="str">
        <f t="shared" si="16"/>
        <v>201806</v>
      </c>
      <c r="C413" s="6" t="str">
        <f>INDEX(工厂基础数据!$A$2:$A$1024,MATCH(X413,工厂基础数据!$D$2:$D$1024,0))</f>
        <v>02025767</v>
      </c>
      <c r="E413" s="6" t="str">
        <f>INDEX(工厂基础数据!$B$2:$B$1024,MATCH(X413,工厂基础数据!$D$2:$D$1024,0))</f>
        <v>滨州市仁信医药有限公司</v>
      </c>
      <c r="F413" s="6">
        <f>INDEX(商业2转码!$B$2:$B$10000,MATCH(E413,商业2转码!$A$2:$A$10000,0))</f>
        <v>0</v>
      </c>
      <c r="G413" s="6" t="str">
        <f>INDEX(品种2编码!$A$2:$A$1048576,MATCH(W413,品种2编码!$D$2:$D$1048576,0))</f>
        <v>0020020020ZYLC0011</v>
      </c>
      <c r="H413" s="6" t="s">
        <v>1877</v>
      </c>
      <c r="I413" s="6" t="s">
        <v>1919</v>
      </c>
      <c r="J413" s="6" t="s">
        <v>3036</v>
      </c>
      <c r="L413" s="6" t="s">
        <v>2357</v>
      </c>
      <c r="M413" s="6">
        <f>INDEX(医院2县区2人!$B$2:$B$1048576,MATCH(L413,医院2县区2人!$A$2:$A$1048576,0))</f>
        <v>2</v>
      </c>
      <c r="N413" s="6" t="str">
        <f>INDEX(医院2县区2人!$C$2:$C$1048576,MATCH(L413,医院2县区2人!$A$2:$A$1048576,0))</f>
        <v>1853</v>
      </c>
      <c r="P413" s="7">
        <v>43264.746967592589</v>
      </c>
      <c r="Q413" s="6">
        <v>-10</v>
      </c>
      <c r="R413" s="6">
        <v>2.5</v>
      </c>
      <c r="S413" s="6">
        <v>160803</v>
      </c>
      <c r="T413" s="6" t="str">
        <f>INDEX(医院2县区2人!$D$2:$D$1048576,MATCH(L413,医院2县区2人!$A$2:$A$1048576,0))</f>
        <v>201602151421097</v>
      </c>
      <c r="W413" s="6" t="str">
        <f t="shared" si="15"/>
        <v xml:space="preserve">泻利停/颠茄磺苄啶片0.12g*20片 </v>
      </c>
      <c r="X413" s="6" t="s">
        <v>2890</v>
      </c>
    </row>
    <row r="414" spans="1:24" x14ac:dyDescent="0.15">
      <c r="A414" s="7" t="str">
        <f t="shared" si="16"/>
        <v>201806</v>
      </c>
      <c r="C414" s="6" t="str">
        <f>INDEX(工厂基础数据!$A$2:$A$1024,MATCH(X414,工厂基础数据!$D$2:$D$1024,0))</f>
        <v>02025767</v>
      </c>
      <c r="E414" s="6" t="str">
        <f>INDEX(工厂基础数据!$B$2:$B$1024,MATCH(X414,工厂基础数据!$D$2:$D$1024,0))</f>
        <v>滨州市仁信医药有限公司</v>
      </c>
      <c r="F414" s="6">
        <f>INDEX(商业2转码!$B$2:$B$10000,MATCH(E414,商业2转码!$A$2:$A$10000,0))</f>
        <v>0</v>
      </c>
      <c r="G414" s="6" t="str">
        <f>INDEX(品种2编码!$A$2:$A$1048576,MATCH(W414,品种2编码!$D$2:$D$1048576,0))</f>
        <v>0020070001ZYLC0001</v>
      </c>
      <c r="H414" s="6" t="s">
        <v>1905</v>
      </c>
      <c r="I414" s="6" t="s">
        <v>411</v>
      </c>
      <c r="J414" s="6" t="s">
        <v>3036</v>
      </c>
      <c r="L414" s="6" t="s">
        <v>2255</v>
      </c>
      <c r="M414" s="6">
        <f>INDEX(医院2县区2人!$B$2:$B$1048576,MATCH(L414,医院2县区2人!$A$2:$A$1048576,0))</f>
        <v>2</v>
      </c>
      <c r="N414" s="6" t="str">
        <f>INDEX(医院2县区2人!$C$2:$C$1048576,MATCH(L414,医院2县区2人!$A$2:$A$1048576,0))</f>
        <v>1855</v>
      </c>
      <c r="P414" s="7">
        <v>43264.345763888887</v>
      </c>
      <c r="Q414" s="6">
        <v>5</v>
      </c>
      <c r="R414" s="6">
        <v>20</v>
      </c>
      <c r="S414" s="6">
        <v>180121</v>
      </c>
      <c r="T414" s="6" t="str">
        <f>INDEX(医院2县区2人!$D$2:$D$1048576,MATCH(L414,医院2县区2人!$A$2:$A$1048576,0))</f>
        <v>201602151421097</v>
      </c>
      <c r="W414" s="6" t="str">
        <f t="shared" si="15"/>
        <v>哈药六钙锌口服液10ml*12支</v>
      </c>
      <c r="X414" s="6" t="s">
        <v>2890</v>
      </c>
    </row>
    <row r="415" spans="1:24" x14ac:dyDescent="0.15">
      <c r="A415" s="7" t="str">
        <f t="shared" si="16"/>
        <v>201806</v>
      </c>
      <c r="C415" s="6" t="str">
        <f>INDEX(工厂基础数据!$A$2:$A$1024,MATCH(X415,工厂基础数据!$D$2:$D$1024,0))</f>
        <v>02025767</v>
      </c>
      <c r="E415" s="6" t="str">
        <f>INDEX(工厂基础数据!$B$2:$B$1024,MATCH(X415,工厂基础数据!$D$2:$D$1024,0))</f>
        <v>滨州市仁信医药有限公司</v>
      </c>
      <c r="F415" s="6">
        <f>INDEX(商业2转码!$B$2:$B$10000,MATCH(E415,商业2转码!$A$2:$A$10000,0))</f>
        <v>0</v>
      </c>
      <c r="G415" s="6" t="str">
        <f>INDEX(品种2编码!$A$2:$A$1048576,MATCH(W415,品种2编码!$D$2:$D$1048576,0))</f>
        <v>0020070001ZYLC0001</v>
      </c>
      <c r="H415" s="6" t="s">
        <v>1905</v>
      </c>
      <c r="I415" s="6" t="s">
        <v>411</v>
      </c>
      <c r="J415" s="6" t="s">
        <v>3036</v>
      </c>
      <c r="L415" s="6" t="s">
        <v>2255</v>
      </c>
      <c r="M415" s="6">
        <f>INDEX(医院2县区2人!$B$2:$B$1048576,MATCH(L415,医院2县区2人!$A$2:$A$1048576,0))</f>
        <v>2</v>
      </c>
      <c r="N415" s="6" t="str">
        <f>INDEX(医院2县区2人!$C$2:$C$1048576,MATCH(L415,医院2县区2人!$A$2:$A$1048576,0))</f>
        <v>1855</v>
      </c>
      <c r="P415" s="7">
        <v>43264.345590277779</v>
      </c>
      <c r="Q415" s="6">
        <v>5</v>
      </c>
      <c r="R415" s="6">
        <v>20</v>
      </c>
      <c r="S415" s="6">
        <v>180121</v>
      </c>
      <c r="T415" s="6" t="str">
        <f>INDEX(医院2县区2人!$D$2:$D$1048576,MATCH(L415,医院2县区2人!$A$2:$A$1048576,0))</f>
        <v>201602151421097</v>
      </c>
      <c r="W415" s="6" t="str">
        <f t="shared" si="15"/>
        <v>哈药六钙锌口服液10ml*12支</v>
      </c>
      <c r="X415" s="6" t="s">
        <v>2890</v>
      </c>
    </row>
    <row r="416" spans="1:24" x14ac:dyDescent="0.15">
      <c r="A416" s="7" t="str">
        <f t="shared" si="16"/>
        <v>201806</v>
      </c>
      <c r="C416" s="6" t="str">
        <f>INDEX(工厂基础数据!$A$2:$A$1024,MATCH(X416,工厂基础数据!$D$2:$D$1024,0))</f>
        <v>02025767</v>
      </c>
      <c r="E416" s="6" t="str">
        <f>INDEX(工厂基础数据!$B$2:$B$1024,MATCH(X416,工厂基础数据!$D$2:$D$1024,0))</f>
        <v>滨州市仁信医药有限公司</v>
      </c>
      <c r="F416" s="6">
        <f>INDEX(商业2转码!$B$2:$B$10000,MATCH(E416,商业2转码!$A$2:$A$10000,0))</f>
        <v>0</v>
      </c>
      <c r="G416" s="6" t="str">
        <f>INDEX(品种2编码!$A$2:$A$1048576,MATCH(W416,品种2编码!$D$2:$D$1048576,0))</f>
        <v>0020030001SJZY0006</v>
      </c>
      <c r="H416" s="6" t="s">
        <v>1888</v>
      </c>
      <c r="I416" s="6" t="s">
        <v>411</v>
      </c>
      <c r="J416" s="6" t="s">
        <v>3040</v>
      </c>
      <c r="L416" s="6" t="s">
        <v>2255</v>
      </c>
      <c r="M416" s="6">
        <f>INDEX(医院2县区2人!$B$2:$B$1048576,MATCH(L416,医院2县区2人!$A$2:$A$1048576,0))</f>
        <v>2</v>
      </c>
      <c r="N416" s="6" t="str">
        <f>INDEX(医院2县区2人!$C$2:$C$1048576,MATCH(L416,医院2县区2人!$A$2:$A$1048576,0))</f>
        <v>1855</v>
      </c>
      <c r="P416" s="7">
        <v>43264.34574074074</v>
      </c>
      <c r="Q416" s="6">
        <v>10</v>
      </c>
      <c r="R416" s="6">
        <v>25</v>
      </c>
      <c r="S416" s="6">
        <v>17071042</v>
      </c>
      <c r="T416" s="6" t="str">
        <f>INDEX(医院2县区2人!$D$2:$D$1048576,MATCH(L416,医院2县区2人!$A$2:$A$1048576,0))</f>
        <v>201602151421097</v>
      </c>
      <c r="W416" s="6" t="str">
        <f t="shared" si="15"/>
        <v>葡萄糖酸钙口服溶液（含糖）10ml*12支</v>
      </c>
      <c r="X416" s="6" t="s">
        <v>2890</v>
      </c>
    </row>
    <row r="417" spans="1:24" x14ac:dyDescent="0.15">
      <c r="A417" s="7" t="str">
        <f t="shared" si="16"/>
        <v>201806</v>
      </c>
      <c r="C417" s="6" t="str">
        <f>INDEX(工厂基础数据!$A$2:$A$1024,MATCH(X417,工厂基础数据!$D$2:$D$1024,0))</f>
        <v>02025767</v>
      </c>
      <c r="E417" s="6" t="str">
        <f>INDEX(工厂基础数据!$B$2:$B$1024,MATCH(X417,工厂基础数据!$D$2:$D$1024,0))</f>
        <v>滨州市仁信医药有限公司</v>
      </c>
      <c r="F417" s="6">
        <f>INDEX(商业2转码!$B$2:$B$10000,MATCH(E417,商业2转码!$A$2:$A$10000,0))</f>
        <v>0</v>
      </c>
      <c r="G417" s="6" t="str">
        <f>INDEX(品种2编码!$A$2:$A$1048576,MATCH(W417,品种2编码!$D$2:$D$1048576,0))</f>
        <v>0020030001SJZY0009</v>
      </c>
      <c r="H417" s="6" t="s">
        <v>555</v>
      </c>
      <c r="I417" s="6" t="s">
        <v>1889</v>
      </c>
      <c r="J417" s="6" t="s">
        <v>3039</v>
      </c>
      <c r="L417" s="6" t="s">
        <v>2255</v>
      </c>
      <c r="M417" s="6">
        <f>INDEX(医院2县区2人!$B$2:$B$1048576,MATCH(L417,医院2县区2人!$A$2:$A$1048576,0))</f>
        <v>2</v>
      </c>
      <c r="N417" s="6" t="str">
        <f>INDEX(医院2县区2人!$C$2:$C$1048576,MATCH(L417,医院2县区2人!$A$2:$A$1048576,0))</f>
        <v>1855</v>
      </c>
      <c r="P417" s="7">
        <v>43264.345625000002</v>
      </c>
      <c r="Q417" s="6">
        <v>10</v>
      </c>
      <c r="R417" s="6">
        <v>25</v>
      </c>
      <c r="S417" s="6">
        <v>18031227</v>
      </c>
      <c r="T417" s="6" t="str">
        <f>INDEX(医院2县区2人!$D$2:$D$1048576,MATCH(L417,医院2县区2人!$A$2:$A$1048576,0))</f>
        <v>201602151421097</v>
      </c>
      <c r="W417" s="6" t="str">
        <f t="shared" si="15"/>
        <v>葡萄糖酸锌口服液10ML*12支</v>
      </c>
      <c r="X417" s="6" t="s">
        <v>2890</v>
      </c>
    </row>
    <row r="418" spans="1:24" x14ac:dyDescent="0.15">
      <c r="A418" s="7" t="str">
        <f t="shared" si="16"/>
        <v>201806</v>
      </c>
      <c r="C418" s="6" t="str">
        <f>INDEX(工厂基础数据!$A$2:$A$1024,MATCH(X418,工厂基础数据!$D$2:$D$1024,0))</f>
        <v>02025767</v>
      </c>
      <c r="E418" s="6" t="str">
        <f>INDEX(工厂基础数据!$B$2:$B$1024,MATCH(X418,工厂基础数据!$D$2:$D$1024,0))</f>
        <v>滨州市仁信医药有限公司</v>
      </c>
      <c r="F418" s="6">
        <f>INDEX(商业2转码!$B$2:$B$10000,MATCH(E418,商业2转码!$A$2:$A$10000,0))</f>
        <v>0</v>
      </c>
      <c r="G418" s="6" t="str">
        <f>INDEX(品种2编码!$A$2:$A$1048576,MATCH(W418,品种2编码!$D$2:$D$1048576,0))</f>
        <v>0020030020ZYLC0010</v>
      </c>
      <c r="H418" s="6" t="s">
        <v>1883</v>
      </c>
      <c r="I418" s="6" t="s">
        <v>1839</v>
      </c>
      <c r="J418" s="6" t="s">
        <v>3036</v>
      </c>
      <c r="L418" s="6" t="s">
        <v>2312</v>
      </c>
      <c r="M418" s="6">
        <f>INDEX(医院2县区2人!$B$2:$B$1048576,MATCH(L418,医院2县区2人!$A$2:$A$1048576,0))</f>
        <v>1</v>
      </c>
      <c r="N418" s="6" t="str">
        <f>INDEX(医院2县区2人!$C$2:$C$1048576,MATCH(L418,医院2县区2人!$A$2:$A$1048576,0))</f>
        <v>1854</v>
      </c>
      <c r="P418" s="7">
        <v>43264.746168981481</v>
      </c>
      <c r="Q418" s="6">
        <v>20</v>
      </c>
      <c r="R418" s="6">
        <v>3.7</v>
      </c>
      <c r="S418" s="6">
        <v>180136</v>
      </c>
      <c r="T418" s="6" t="str">
        <f>INDEX(医院2县区2人!$D$2:$D$1048576,MATCH(L418,医院2县区2人!$A$2:$A$1048576,0))</f>
        <v>201602151421097</v>
      </c>
      <c r="W418" s="6" t="str">
        <f t="shared" si="15"/>
        <v>“为消”牌乳酸菌素片0.4g*36片</v>
      </c>
      <c r="X418" s="6" t="s">
        <v>2890</v>
      </c>
    </row>
    <row r="419" spans="1:24" x14ac:dyDescent="0.15">
      <c r="A419" s="7" t="str">
        <f t="shared" si="16"/>
        <v>201806</v>
      </c>
      <c r="C419" s="6" t="str">
        <f>INDEX(工厂基础数据!$A$2:$A$1024,MATCH(X419,工厂基础数据!$D$2:$D$1024,0))</f>
        <v>02025767</v>
      </c>
      <c r="E419" s="6" t="str">
        <f>INDEX(工厂基础数据!$B$2:$B$1024,MATCH(X419,工厂基础数据!$D$2:$D$1024,0))</f>
        <v>滨州市仁信医药有限公司</v>
      </c>
      <c r="F419" s="6">
        <f>INDEX(商业2转码!$B$2:$B$10000,MATCH(E419,商业2转码!$A$2:$A$10000,0))</f>
        <v>0</v>
      </c>
      <c r="G419" s="6" t="str">
        <f>INDEX(品种2编码!$A$2:$A$1048576,MATCH(W419,品种2编码!$D$2:$D$1048576,0))</f>
        <v>0020030020SJSC0014</v>
      </c>
      <c r="H419" s="6" t="s">
        <v>677</v>
      </c>
      <c r="I419" s="6" t="s">
        <v>1882</v>
      </c>
      <c r="J419" s="6" t="s">
        <v>3045</v>
      </c>
      <c r="L419" s="6" t="s">
        <v>2331</v>
      </c>
      <c r="M419" s="6">
        <f>INDEX(医院2县区2人!$B$2:$B$1048576,MATCH(L419,医院2县区2人!$A$2:$A$1048576,0))</f>
        <v>1</v>
      </c>
      <c r="N419" s="6" t="str">
        <f>INDEX(医院2县区2人!$C$2:$C$1048576,MATCH(L419,医院2县区2人!$A$2:$A$1048576,0))</f>
        <v>1853</v>
      </c>
      <c r="P419" s="7">
        <v>43264.746053240742</v>
      </c>
      <c r="Q419" s="6">
        <v>20</v>
      </c>
      <c r="R419" s="6">
        <v>9.8000000000000007</v>
      </c>
      <c r="S419" s="6">
        <v>1707002</v>
      </c>
      <c r="T419" s="6" t="str">
        <f>INDEX(医院2县区2人!$D$2:$D$1048576,MATCH(L419,医院2县区2人!$A$2:$A$1048576,0))</f>
        <v>201602151421097</v>
      </c>
      <c r="W419" s="6" t="str">
        <f t="shared" si="15"/>
        <v>维D2磷酸氢钙片60片</v>
      </c>
      <c r="X419" s="6" t="s">
        <v>2890</v>
      </c>
    </row>
    <row r="420" spans="1:24" x14ac:dyDescent="0.15">
      <c r="A420" s="7" t="str">
        <f t="shared" si="16"/>
        <v>201806</v>
      </c>
      <c r="C420" s="6" t="str">
        <f>INDEX(工厂基础数据!$A$2:$A$1024,MATCH(X420,工厂基础数据!$D$2:$D$1024,0))</f>
        <v>02025767</v>
      </c>
      <c r="E420" s="6" t="str">
        <f>INDEX(工厂基础数据!$B$2:$B$1024,MATCH(X420,工厂基础数据!$D$2:$D$1024,0))</f>
        <v>滨州市仁信医药有限公司</v>
      </c>
      <c r="F420" s="6">
        <f>INDEX(商业2转码!$B$2:$B$10000,MATCH(E420,商业2转码!$A$2:$A$10000,0))</f>
        <v>0</v>
      </c>
      <c r="G420" s="6" t="str">
        <f>INDEX(品种2编码!$A$2:$A$1048576,MATCH(W420,品种2编码!$D$2:$D$1048576,0))</f>
        <v>0020030040SHYT0010</v>
      </c>
      <c r="H420" s="6" t="s">
        <v>317</v>
      </c>
      <c r="I420" s="6" t="s">
        <v>1848</v>
      </c>
      <c r="J420" s="6" t="s">
        <v>3037</v>
      </c>
      <c r="L420" s="6" t="s">
        <v>2605</v>
      </c>
      <c r="M420" s="6">
        <f>INDEX(医院2县区2人!$B$2:$B$1048576,MATCH(L420,医院2县区2人!$A$2:$A$1048576,0))</f>
        <v>2</v>
      </c>
      <c r="N420" s="6" t="str">
        <f>INDEX(医院2县区2人!$C$2:$C$1048576,MATCH(L420,医院2县区2人!$A$2:$A$1048576,0))</f>
        <v>1853</v>
      </c>
      <c r="P420" s="7">
        <v>43264.746145833335</v>
      </c>
      <c r="Q420" s="6">
        <v>2</v>
      </c>
      <c r="R420" s="6">
        <v>12.5</v>
      </c>
      <c r="S420" s="6">
        <v>1801608</v>
      </c>
      <c r="T420" s="6" t="str">
        <f>INDEX(医院2县区2人!$D$2:$D$1048576,MATCH(L420,医院2县区2人!$A$2:$A$1048576,0))</f>
        <v>201602151421097</v>
      </c>
      <c r="W420" s="6" t="str">
        <f t="shared" si="15"/>
        <v>布洛芬颗粒0.2g*12袋</v>
      </c>
      <c r="X420" s="6" t="s">
        <v>2890</v>
      </c>
    </row>
    <row r="421" spans="1:24" x14ac:dyDescent="0.15">
      <c r="A421" s="7" t="str">
        <f t="shared" si="16"/>
        <v>201806</v>
      </c>
      <c r="C421" s="6" t="str">
        <f>INDEX(工厂基础数据!$A$2:$A$1024,MATCH(X421,工厂基础数据!$D$2:$D$1024,0))</f>
        <v>02025767</v>
      </c>
      <c r="E421" s="6" t="str">
        <f>INDEX(工厂基础数据!$B$2:$B$1024,MATCH(X421,工厂基础数据!$D$2:$D$1024,0))</f>
        <v>滨州市仁信医药有限公司</v>
      </c>
      <c r="F421" s="6">
        <f>INDEX(商业2转码!$B$2:$B$10000,MATCH(E421,商业2转码!$A$2:$A$10000,0))</f>
        <v>0</v>
      </c>
      <c r="G421" s="6" t="str">
        <f>INDEX(品种2编码!$A$2:$A$1048576,MATCH(W421,品种2编码!$D$2:$D$1048576,0))</f>
        <v>0020030001SJZY0009</v>
      </c>
      <c r="H421" s="6" t="s">
        <v>555</v>
      </c>
      <c r="I421" s="6" t="s">
        <v>1889</v>
      </c>
      <c r="J421" s="6" t="s">
        <v>3039</v>
      </c>
      <c r="L421" s="6" t="s">
        <v>2331</v>
      </c>
      <c r="M421" s="6">
        <f>INDEX(医院2县区2人!$B$2:$B$1048576,MATCH(L421,医院2县区2人!$A$2:$A$1048576,0))</f>
        <v>1</v>
      </c>
      <c r="N421" s="6" t="str">
        <f>INDEX(医院2县区2人!$C$2:$C$1048576,MATCH(L421,医院2县区2人!$A$2:$A$1048576,0))</f>
        <v>1853</v>
      </c>
      <c r="P421" s="7">
        <v>43264.745891203704</v>
      </c>
      <c r="Q421" s="6">
        <v>20</v>
      </c>
      <c r="R421" s="6">
        <v>25</v>
      </c>
      <c r="S421" s="6">
        <v>18031227</v>
      </c>
      <c r="T421" s="6" t="str">
        <f>INDEX(医院2县区2人!$D$2:$D$1048576,MATCH(L421,医院2县区2人!$A$2:$A$1048576,0))</f>
        <v>201602151421097</v>
      </c>
      <c r="W421" s="6" t="str">
        <f t="shared" si="15"/>
        <v>葡萄糖酸锌口服液10ML*12支</v>
      </c>
      <c r="X421" s="6" t="s">
        <v>2890</v>
      </c>
    </row>
    <row r="422" spans="1:24" x14ac:dyDescent="0.15">
      <c r="A422" s="7" t="str">
        <f t="shared" si="16"/>
        <v>201806</v>
      </c>
      <c r="C422" s="6" t="str">
        <f>INDEX(工厂基础数据!$A$2:$A$1024,MATCH(X422,工厂基础数据!$D$2:$D$1024,0))</f>
        <v>02025767</v>
      </c>
      <c r="E422" s="6" t="str">
        <f>INDEX(工厂基础数据!$B$2:$B$1024,MATCH(X422,工厂基础数据!$D$2:$D$1024,0))</f>
        <v>滨州市仁信医药有限公司</v>
      </c>
      <c r="F422" s="6">
        <f>INDEX(商业2转码!$B$2:$B$10000,MATCH(E422,商业2转码!$A$2:$A$10000,0))</f>
        <v>0</v>
      </c>
      <c r="G422" s="6" t="str">
        <f>INDEX(品种2编码!$A$2:$A$1048576,MATCH(W422,品种2编码!$D$2:$D$1048576,0))</f>
        <v>0020020030SJMS0025</v>
      </c>
      <c r="H422" s="6" t="s">
        <v>1900</v>
      </c>
      <c r="I422" s="6" t="s">
        <v>1901</v>
      </c>
      <c r="J422" s="6" t="s">
        <v>3046</v>
      </c>
      <c r="L422" s="6" t="s">
        <v>2331</v>
      </c>
      <c r="M422" s="6">
        <f>INDEX(医院2县区2人!$B$2:$B$1048576,MATCH(L422,医院2县区2人!$A$2:$A$1048576,0))</f>
        <v>1</v>
      </c>
      <c r="N422" s="6" t="str">
        <f>INDEX(医院2县区2人!$C$2:$C$1048576,MATCH(L422,医院2县区2人!$A$2:$A$1048576,0))</f>
        <v>1853</v>
      </c>
      <c r="P422" s="7">
        <v>43264.74596064815</v>
      </c>
      <c r="Q422" s="6">
        <v>20</v>
      </c>
      <c r="R422" s="6">
        <v>7.7</v>
      </c>
      <c r="S422" s="6">
        <v>1801007</v>
      </c>
      <c r="T422" s="6" t="str">
        <f>INDEX(医院2县区2人!$D$2:$D$1048576,MATCH(L422,医院2县区2人!$A$2:$A$1048576,0))</f>
        <v>201602151421097</v>
      </c>
      <c r="W422" s="6" t="str">
        <f t="shared" si="15"/>
        <v>人工牛黄甲硝唑胶囊/牙疼安10粒*3板</v>
      </c>
      <c r="X422" s="6" t="s">
        <v>2890</v>
      </c>
    </row>
    <row r="423" spans="1:24" x14ac:dyDescent="0.15">
      <c r="A423" s="7" t="str">
        <f t="shared" si="16"/>
        <v>201806</v>
      </c>
      <c r="C423" s="6" t="str">
        <f>INDEX(工厂基础数据!$A$2:$A$1024,MATCH(X423,工厂基础数据!$D$2:$D$1024,0))</f>
        <v>02025767</v>
      </c>
      <c r="E423" s="6" t="str">
        <f>INDEX(工厂基础数据!$B$2:$B$1024,MATCH(X423,工厂基础数据!$D$2:$D$1024,0))</f>
        <v>滨州市仁信医药有限公司</v>
      </c>
      <c r="F423" s="6">
        <f>INDEX(商业2转码!$B$2:$B$10000,MATCH(E423,商业2转码!$A$2:$A$10000,0))</f>
        <v>0</v>
      </c>
      <c r="G423" s="6" t="str">
        <f>INDEX(品种2编码!$A$2:$A$1048576,MATCH(W423,品种2编码!$D$2:$D$1048576,0))</f>
        <v>0020030001SJZY0006</v>
      </c>
      <c r="H423" s="6" t="s">
        <v>1888</v>
      </c>
      <c r="I423" s="6" t="s">
        <v>411</v>
      </c>
      <c r="J423" s="6" t="s">
        <v>3040</v>
      </c>
      <c r="L423" s="6" t="s">
        <v>2436</v>
      </c>
      <c r="M423" s="6">
        <f>INDEX(医院2县区2人!$B$2:$B$1048576,MATCH(L423,医院2县区2人!$A$2:$A$1048576,0))</f>
        <v>1</v>
      </c>
      <c r="N423" s="6" t="str">
        <f>INDEX(医院2县区2人!$C$2:$C$1048576,MATCH(L423,医院2县区2人!$A$2:$A$1048576,0))</f>
        <v>1856</v>
      </c>
      <c r="P423" s="7">
        <v>43264.745995370373</v>
      </c>
      <c r="Q423" s="6">
        <v>10</v>
      </c>
      <c r="R423" s="6">
        <v>25</v>
      </c>
      <c r="S423" s="6">
        <v>17071042</v>
      </c>
      <c r="T423" s="6" t="str">
        <f>INDEX(医院2县区2人!$D$2:$D$1048576,MATCH(L423,医院2县区2人!$A$2:$A$1048576,0))</f>
        <v>201602151421097</v>
      </c>
      <c r="W423" s="6" t="str">
        <f t="shared" si="15"/>
        <v>葡萄糖酸钙口服溶液（含糖）10ml*12支</v>
      </c>
      <c r="X423" s="6" t="s">
        <v>2890</v>
      </c>
    </row>
    <row r="424" spans="1:24" x14ac:dyDescent="0.15">
      <c r="A424" s="7" t="str">
        <f t="shared" si="16"/>
        <v>201806</v>
      </c>
      <c r="C424" s="6" t="str">
        <f>INDEX(工厂基础数据!$A$2:$A$1024,MATCH(X424,工厂基础数据!$D$2:$D$1024,0))</f>
        <v>02025767</v>
      </c>
      <c r="E424" s="6" t="str">
        <f>INDEX(工厂基础数据!$B$2:$B$1024,MATCH(X424,工厂基础数据!$D$2:$D$1024,0))</f>
        <v>滨州市仁信医药有限公司</v>
      </c>
      <c r="F424" s="6">
        <f>INDEX(商业2转码!$B$2:$B$10000,MATCH(E424,商业2转码!$A$2:$A$10000,0))</f>
        <v>0</v>
      </c>
      <c r="G424" s="6" t="str">
        <f>INDEX(品种2编码!$A$2:$A$1048576,MATCH(W424,品种2编码!$D$2:$D$1048576,0))</f>
        <v>0020030001SJZY0009</v>
      </c>
      <c r="H424" s="6" t="s">
        <v>555</v>
      </c>
      <c r="I424" s="6" t="s">
        <v>1889</v>
      </c>
      <c r="J424" s="6" t="s">
        <v>3039</v>
      </c>
      <c r="L424" s="6" t="s">
        <v>2436</v>
      </c>
      <c r="M424" s="6">
        <f>INDEX(医院2县区2人!$B$2:$B$1048576,MATCH(L424,医院2县区2人!$A$2:$A$1048576,0))</f>
        <v>1</v>
      </c>
      <c r="N424" s="6" t="str">
        <f>INDEX(医院2县区2人!$C$2:$C$1048576,MATCH(L424,医院2县区2人!$A$2:$A$1048576,0))</f>
        <v>1856</v>
      </c>
      <c r="P424" s="7">
        <v>43264.745995370373</v>
      </c>
      <c r="Q424" s="6">
        <v>10</v>
      </c>
      <c r="R424" s="6">
        <v>25</v>
      </c>
      <c r="S424" s="6">
        <v>18031227</v>
      </c>
      <c r="T424" s="6" t="str">
        <f>INDEX(医院2县区2人!$D$2:$D$1048576,MATCH(L424,医院2县区2人!$A$2:$A$1048576,0))</f>
        <v>201602151421097</v>
      </c>
      <c r="W424" s="6" t="str">
        <f t="shared" si="15"/>
        <v>葡萄糖酸锌口服液10ML*12支</v>
      </c>
      <c r="X424" s="6" t="s">
        <v>2890</v>
      </c>
    </row>
    <row r="425" spans="1:24" x14ac:dyDescent="0.15">
      <c r="A425" s="7" t="str">
        <f t="shared" si="16"/>
        <v>201806</v>
      </c>
      <c r="C425" s="6" t="str">
        <f>INDEX(工厂基础数据!$A$2:$A$1024,MATCH(X425,工厂基础数据!$D$2:$D$1024,0))</f>
        <v>02025767</v>
      </c>
      <c r="E425" s="6" t="str">
        <f>INDEX(工厂基础数据!$B$2:$B$1024,MATCH(X425,工厂基础数据!$D$2:$D$1024,0))</f>
        <v>滨州市仁信医药有限公司</v>
      </c>
      <c r="F425" s="6">
        <f>INDEX(商业2转码!$B$2:$B$10000,MATCH(E425,商业2转码!$A$2:$A$10000,0))</f>
        <v>0</v>
      </c>
      <c r="G425" s="6" t="str">
        <f>INDEX(品种2编码!$A$2:$A$1048576,MATCH(W425,品种2编码!$D$2:$D$1048576,0))</f>
        <v>0020020020ZYLC0010</v>
      </c>
      <c r="H425" s="6" t="s">
        <v>1877</v>
      </c>
      <c r="I425" s="6" t="s">
        <v>1878</v>
      </c>
      <c r="J425" s="6" t="s">
        <v>3036</v>
      </c>
      <c r="L425" s="6" t="s">
        <v>2385</v>
      </c>
      <c r="M425" s="6">
        <f>INDEX(医院2县区2人!$B$2:$B$1048576,MATCH(L425,医院2县区2人!$A$2:$A$1048576,0))</f>
        <v>2</v>
      </c>
      <c r="N425" s="6" t="str">
        <f>INDEX(医院2县区2人!$C$2:$C$1048576,MATCH(L425,医院2县区2人!$A$2:$A$1048576,0))</f>
        <v>1855</v>
      </c>
      <c r="P425" s="7">
        <v>43264.746238425927</v>
      </c>
      <c r="Q425" s="6">
        <v>10</v>
      </c>
      <c r="R425" s="6">
        <v>3.5</v>
      </c>
      <c r="S425" s="6">
        <v>180401</v>
      </c>
      <c r="T425" s="6" t="str">
        <f>INDEX(医院2县区2人!$D$2:$D$1048576,MATCH(L425,医院2县区2人!$A$2:$A$1048576,0))</f>
        <v>201602151421097</v>
      </c>
      <c r="W425" s="6" t="str">
        <f t="shared" si="15"/>
        <v xml:space="preserve">泻利停/颠茄磺苄啶片0.48g*10片 </v>
      </c>
      <c r="X425" s="6" t="s">
        <v>2890</v>
      </c>
    </row>
    <row r="426" spans="1:24" x14ac:dyDescent="0.15">
      <c r="A426" s="7" t="str">
        <f t="shared" si="16"/>
        <v>201806</v>
      </c>
      <c r="C426" s="6" t="str">
        <f>INDEX(工厂基础数据!$A$2:$A$1024,MATCH(X426,工厂基础数据!$D$2:$D$1024,0))</f>
        <v>02025767</v>
      </c>
      <c r="E426" s="6" t="str">
        <f>INDEX(工厂基础数据!$B$2:$B$1024,MATCH(X426,工厂基础数据!$D$2:$D$1024,0))</f>
        <v>滨州市仁信医药有限公司</v>
      </c>
      <c r="F426" s="6">
        <f>INDEX(商业2转码!$B$2:$B$10000,MATCH(E426,商业2转码!$A$2:$A$10000,0))</f>
        <v>0</v>
      </c>
      <c r="G426" s="6" t="str">
        <f>INDEX(品种2编码!$A$2:$A$1048576,MATCH(W426,品种2编码!$D$2:$D$1048576,0))</f>
        <v>0020020021ZYLC0004</v>
      </c>
      <c r="H426" s="6" t="s">
        <v>1899</v>
      </c>
      <c r="I426" s="6" t="s">
        <v>1869</v>
      </c>
      <c r="J426" s="6" t="s">
        <v>3036</v>
      </c>
      <c r="L426" s="6" t="s">
        <v>2196</v>
      </c>
      <c r="M426" s="6">
        <f>INDEX(医院2县区2人!$B$2:$B$1048576,MATCH(L426,医院2县区2人!$A$2:$A$1048576,0))</f>
        <v>2</v>
      </c>
      <c r="N426" s="6" t="str">
        <f>INDEX(医院2县区2人!$C$2:$C$1048576,MATCH(L426,医院2县区2人!$A$2:$A$1048576,0))</f>
        <v>1855</v>
      </c>
      <c r="P426" s="7">
        <v>43264.746365740742</v>
      </c>
      <c r="Q426" s="6">
        <v>8</v>
      </c>
      <c r="R426" s="6">
        <v>8</v>
      </c>
      <c r="S426" s="6">
        <v>180201</v>
      </c>
      <c r="T426" s="6" t="str">
        <f>INDEX(医院2县区2人!$D$2:$D$1048576,MATCH(L426,医院2县区2人!$A$2:$A$1048576,0))</f>
        <v>201602151421097</v>
      </c>
      <c r="W426" s="6" t="str">
        <f t="shared" si="15"/>
        <v>大严迪片/罗红霉素分散片75mg*12片</v>
      </c>
      <c r="X426" s="6" t="s">
        <v>2890</v>
      </c>
    </row>
    <row r="427" spans="1:24" x14ac:dyDescent="0.15">
      <c r="A427" s="7" t="str">
        <f t="shared" si="16"/>
        <v>201806</v>
      </c>
      <c r="C427" s="6" t="str">
        <f>INDEX(工厂基础数据!$A$2:$A$1024,MATCH(X427,工厂基础数据!$D$2:$D$1024,0))</f>
        <v>02025767</v>
      </c>
      <c r="E427" s="6" t="str">
        <f>INDEX(工厂基础数据!$B$2:$B$1024,MATCH(X427,工厂基础数据!$D$2:$D$1024,0))</f>
        <v>滨州市仁信医药有限公司</v>
      </c>
      <c r="F427" s="6">
        <f>INDEX(商业2转码!$B$2:$B$10000,MATCH(E427,商业2转码!$A$2:$A$10000,0))</f>
        <v>0</v>
      </c>
      <c r="G427" s="6" t="str">
        <f>INDEX(品种2编码!$A$2:$A$1048576,MATCH(W427,品种2编码!$D$2:$D$1048576,0))</f>
        <v>0020020020ZYLC0010</v>
      </c>
      <c r="H427" s="6" t="s">
        <v>1877</v>
      </c>
      <c r="I427" s="6" t="s">
        <v>1878</v>
      </c>
      <c r="J427" s="6" t="s">
        <v>3036</v>
      </c>
      <c r="L427" s="6" t="s">
        <v>2196</v>
      </c>
      <c r="M427" s="6">
        <f>INDEX(医院2县区2人!$B$2:$B$1048576,MATCH(L427,医院2县区2人!$A$2:$A$1048576,0))</f>
        <v>2</v>
      </c>
      <c r="N427" s="6" t="str">
        <f>INDEX(医院2县区2人!$C$2:$C$1048576,MATCH(L427,医院2县区2人!$A$2:$A$1048576,0))</f>
        <v>1855</v>
      </c>
      <c r="P427" s="7">
        <v>43264.746365740742</v>
      </c>
      <c r="Q427" s="6">
        <v>20</v>
      </c>
      <c r="R427" s="6">
        <v>3.5</v>
      </c>
      <c r="S427" s="6">
        <v>180401</v>
      </c>
      <c r="T427" s="6" t="str">
        <f>INDEX(医院2县区2人!$D$2:$D$1048576,MATCH(L427,医院2县区2人!$A$2:$A$1048576,0))</f>
        <v>201602151421097</v>
      </c>
      <c r="W427" s="6" t="str">
        <f t="shared" si="15"/>
        <v xml:space="preserve">泻利停/颠茄磺苄啶片0.48g*10片 </v>
      </c>
      <c r="X427" s="6" t="s">
        <v>2890</v>
      </c>
    </row>
    <row r="428" spans="1:24" x14ac:dyDescent="0.15">
      <c r="A428" s="7" t="str">
        <f t="shared" si="16"/>
        <v>201806</v>
      </c>
      <c r="C428" s="6" t="str">
        <f>INDEX(工厂基础数据!$A$2:$A$1024,MATCH(X428,工厂基础数据!$D$2:$D$1024,0))</f>
        <v>02025767</v>
      </c>
      <c r="E428" s="6" t="str">
        <f>INDEX(工厂基础数据!$B$2:$B$1024,MATCH(X428,工厂基础数据!$D$2:$D$1024,0))</f>
        <v>滨州市仁信医药有限公司</v>
      </c>
      <c r="F428" s="6">
        <f>INDEX(商业2转码!$B$2:$B$10000,MATCH(E428,商业2转码!$A$2:$A$10000,0))</f>
        <v>0</v>
      </c>
      <c r="G428" s="6" t="str">
        <f>INDEX(品种2编码!$A$2:$A$1048576,MATCH(W428,品种2编码!$D$2:$D$1048576,0))</f>
        <v>0020020020ZYLC0010</v>
      </c>
      <c r="H428" s="6" t="s">
        <v>1877</v>
      </c>
      <c r="I428" s="6" t="s">
        <v>1878</v>
      </c>
      <c r="J428" s="6" t="s">
        <v>3036</v>
      </c>
      <c r="L428" s="6" t="s">
        <v>2299</v>
      </c>
      <c r="M428" s="6">
        <f>INDEX(医院2县区2人!$B$2:$B$1048576,MATCH(L428,医院2县区2人!$A$2:$A$1048576,0))</f>
        <v>2</v>
      </c>
      <c r="N428" s="6" t="str">
        <f>INDEX(医院2县区2人!$C$2:$C$1048576,MATCH(L428,医院2县区2人!$A$2:$A$1048576,0))</f>
        <v>1855</v>
      </c>
      <c r="P428" s="7">
        <v>43264.746006944442</v>
      </c>
      <c r="Q428" s="6">
        <v>20</v>
      </c>
      <c r="R428" s="6">
        <v>3.5</v>
      </c>
      <c r="S428" s="6">
        <v>180401</v>
      </c>
      <c r="T428" s="6" t="str">
        <f>INDEX(医院2县区2人!$D$2:$D$1048576,MATCH(L428,医院2县区2人!$A$2:$A$1048576,0))</f>
        <v>201602151421097</v>
      </c>
      <c r="W428" s="6" t="str">
        <f t="shared" si="15"/>
        <v xml:space="preserve">泻利停/颠茄磺苄啶片0.48g*10片 </v>
      </c>
      <c r="X428" s="6" t="s">
        <v>2890</v>
      </c>
    </row>
    <row r="429" spans="1:24" x14ac:dyDescent="0.15">
      <c r="A429" s="7" t="str">
        <f t="shared" si="16"/>
        <v>201806</v>
      </c>
      <c r="C429" s="6" t="str">
        <f>INDEX(工厂基础数据!$A$2:$A$1024,MATCH(X429,工厂基础数据!$D$2:$D$1024,0))</f>
        <v>02025767</v>
      </c>
      <c r="E429" s="6" t="str">
        <f>INDEX(工厂基础数据!$B$2:$B$1024,MATCH(X429,工厂基础数据!$D$2:$D$1024,0))</f>
        <v>滨州市仁信医药有限公司</v>
      </c>
      <c r="F429" s="6">
        <f>INDEX(商业2转码!$B$2:$B$10000,MATCH(E429,商业2转码!$A$2:$A$10000,0))</f>
        <v>0</v>
      </c>
      <c r="G429" s="6" t="str">
        <f>INDEX(品种2编码!$A$2:$A$1048576,MATCH(W429,品种2编码!$D$2:$D$1048576,0))</f>
        <v>0020020020ZYLC0010</v>
      </c>
      <c r="H429" s="6" t="s">
        <v>1877</v>
      </c>
      <c r="I429" s="6" t="s">
        <v>1878</v>
      </c>
      <c r="J429" s="6" t="s">
        <v>3036</v>
      </c>
      <c r="L429" s="6" t="s">
        <v>2283</v>
      </c>
      <c r="M429" s="6">
        <f>INDEX(医院2县区2人!$B$2:$B$1048576,MATCH(L429,医院2县区2人!$A$2:$A$1048576,0))</f>
        <v>4</v>
      </c>
      <c r="N429" s="6" t="str">
        <f>INDEX(医院2县区2人!$C$2:$C$1048576,MATCH(L429,医院2县区2人!$A$2:$A$1048576,0))</f>
        <v>1856</v>
      </c>
      <c r="P429" s="7">
        <v>43264.746030092596</v>
      </c>
      <c r="Q429" s="6">
        <v>30</v>
      </c>
      <c r="R429" s="6">
        <v>3.5</v>
      </c>
      <c r="S429" s="6">
        <v>180401</v>
      </c>
      <c r="T429" s="6" t="str">
        <f>INDEX(医院2县区2人!$D$2:$D$1048576,MATCH(L429,医院2县区2人!$A$2:$A$1048576,0))</f>
        <v>201602151421097</v>
      </c>
      <c r="W429" s="6" t="str">
        <f t="shared" si="15"/>
        <v xml:space="preserve">泻利停/颠茄磺苄啶片0.48g*10片 </v>
      </c>
      <c r="X429" s="6" t="s">
        <v>2890</v>
      </c>
    </row>
    <row r="430" spans="1:24" x14ac:dyDescent="0.15">
      <c r="A430" s="7" t="str">
        <f t="shared" si="16"/>
        <v>201806</v>
      </c>
      <c r="C430" s="6" t="str">
        <f>INDEX(工厂基础数据!$A$2:$A$1024,MATCH(X430,工厂基础数据!$D$2:$D$1024,0))</f>
        <v>02025767</v>
      </c>
      <c r="E430" s="6" t="str">
        <f>INDEX(工厂基础数据!$B$2:$B$1024,MATCH(X430,工厂基础数据!$D$2:$D$1024,0))</f>
        <v>滨州市仁信医药有限公司</v>
      </c>
      <c r="F430" s="6">
        <f>INDEX(商业2转码!$B$2:$B$10000,MATCH(E430,商业2转码!$A$2:$A$10000,0))</f>
        <v>0</v>
      </c>
      <c r="G430" s="6" t="str">
        <f>INDEX(品种2编码!$A$2:$A$1048576,MATCH(W430,品种2编码!$D$2:$D$1048576,0))</f>
        <v>0020030001SJZY0009</v>
      </c>
      <c r="H430" s="6" t="s">
        <v>555</v>
      </c>
      <c r="I430" s="6" t="s">
        <v>1889</v>
      </c>
      <c r="J430" s="6" t="s">
        <v>3039</v>
      </c>
      <c r="L430" s="6" t="s">
        <v>2314</v>
      </c>
      <c r="M430" s="6">
        <f>INDEX(医院2县区2人!$B$2:$B$1048576,MATCH(L430,医院2县区2人!$A$2:$A$1048576,0))</f>
        <v>2</v>
      </c>
      <c r="N430" s="6" t="str">
        <f>INDEX(医院2县区2人!$C$2:$C$1048576,MATCH(L430,医院2县区2人!$A$2:$A$1048576,0))</f>
        <v>1855</v>
      </c>
      <c r="P430" s="7">
        <v>43265.734201388892</v>
      </c>
      <c r="Q430" s="6">
        <v>5</v>
      </c>
      <c r="R430" s="6">
        <v>25</v>
      </c>
      <c r="S430" s="6">
        <v>18031227</v>
      </c>
      <c r="T430" s="6" t="str">
        <f>INDEX(医院2县区2人!$D$2:$D$1048576,MATCH(L430,医院2县区2人!$A$2:$A$1048576,0))</f>
        <v>201602151421097</v>
      </c>
      <c r="W430" s="6" t="str">
        <f t="shared" si="15"/>
        <v>葡萄糖酸锌口服液10ML*12支</v>
      </c>
      <c r="X430" s="6" t="s">
        <v>2890</v>
      </c>
    </row>
    <row r="431" spans="1:24" x14ac:dyDescent="0.15">
      <c r="A431" s="7" t="str">
        <f t="shared" si="16"/>
        <v>201806</v>
      </c>
      <c r="C431" s="6" t="str">
        <f>INDEX(工厂基础数据!$A$2:$A$1024,MATCH(X431,工厂基础数据!$D$2:$D$1024,0))</f>
        <v>02025767</v>
      </c>
      <c r="E431" s="6" t="str">
        <f>INDEX(工厂基础数据!$B$2:$B$1024,MATCH(X431,工厂基础数据!$D$2:$D$1024,0))</f>
        <v>滨州市仁信医药有限公司</v>
      </c>
      <c r="F431" s="6">
        <f>INDEX(商业2转码!$B$2:$B$10000,MATCH(E431,商业2转码!$A$2:$A$10000,0))</f>
        <v>0</v>
      </c>
      <c r="G431" s="6" t="str">
        <f>INDEX(品种2编码!$A$2:$A$1048576,MATCH(W431,品种2编码!$D$2:$D$1048576,0))</f>
        <v>0020020020ZYLC0010</v>
      </c>
      <c r="H431" s="6" t="s">
        <v>1877</v>
      </c>
      <c r="I431" s="6" t="s">
        <v>1878</v>
      </c>
      <c r="J431" s="6" t="s">
        <v>3036</v>
      </c>
      <c r="L431" s="6" t="s">
        <v>3016</v>
      </c>
      <c r="M431" s="6" t="e">
        <f>INDEX(医院2县区2人!$B$2:$B$1048576,MATCH(L431,医院2县区2人!$A$2:$A$1048576,0))</f>
        <v>#N/A</v>
      </c>
      <c r="N431" s="6" t="e">
        <f>INDEX(医院2县区2人!$C$2:$C$1048576,MATCH(L431,医院2县区2人!$A$2:$A$1048576,0))</f>
        <v>#N/A</v>
      </c>
      <c r="P431" s="7">
        <v>43265.734351851854</v>
      </c>
      <c r="Q431" s="6">
        <v>65</v>
      </c>
      <c r="R431" s="6">
        <v>4</v>
      </c>
      <c r="S431" s="6">
        <v>180401</v>
      </c>
      <c r="T431" s="6" t="e">
        <f>INDEX(医院2县区2人!$D$2:$D$1048576,MATCH(L431,医院2县区2人!$A$2:$A$1048576,0))</f>
        <v>#N/A</v>
      </c>
      <c r="W431" s="6" t="str">
        <f t="shared" si="15"/>
        <v xml:space="preserve">泻利停/颠茄磺苄啶片0.48g*10片 </v>
      </c>
      <c r="X431" s="6" t="s">
        <v>2890</v>
      </c>
    </row>
    <row r="432" spans="1:24" x14ac:dyDescent="0.15">
      <c r="A432" s="7" t="str">
        <f t="shared" si="16"/>
        <v>201806</v>
      </c>
      <c r="C432" s="6" t="str">
        <f>INDEX(工厂基础数据!$A$2:$A$1024,MATCH(X432,工厂基础数据!$D$2:$D$1024,0))</f>
        <v>02025767</v>
      </c>
      <c r="E432" s="6" t="str">
        <f>INDEX(工厂基础数据!$B$2:$B$1024,MATCH(X432,工厂基础数据!$D$2:$D$1024,0))</f>
        <v>滨州市仁信医药有限公司</v>
      </c>
      <c r="F432" s="6">
        <f>INDEX(商业2转码!$B$2:$B$10000,MATCH(E432,商业2转码!$A$2:$A$10000,0))</f>
        <v>0</v>
      </c>
      <c r="G432" s="6" t="str">
        <f>INDEX(品种2编码!$A$2:$A$1048576,MATCH(W432,品种2编码!$D$2:$D$1048576,0))</f>
        <v>0020020020ZYLC0011</v>
      </c>
      <c r="H432" s="6" t="s">
        <v>1877</v>
      </c>
      <c r="I432" s="6" t="s">
        <v>1919</v>
      </c>
      <c r="J432" s="6" t="s">
        <v>3036</v>
      </c>
      <c r="L432" s="6" t="s">
        <v>3016</v>
      </c>
      <c r="M432" s="6" t="e">
        <f>INDEX(医院2县区2人!$B$2:$B$1048576,MATCH(L432,医院2县区2人!$A$2:$A$1048576,0))</f>
        <v>#N/A</v>
      </c>
      <c r="N432" s="6" t="e">
        <f>INDEX(医院2县区2人!$C$2:$C$1048576,MATCH(L432,医院2县区2人!$A$2:$A$1048576,0))</f>
        <v>#N/A</v>
      </c>
      <c r="P432" s="7">
        <v>43266.739699074074</v>
      </c>
      <c r="Q432" s="6">
        <v>-100</v>
      </c>
      <c r="R432" s="6">
        <v>2.6</v>
      </c>
      <c r="S432" s="6">
        <v>160803</v>
      </c>
      <c r="T432" s="6" t="e">
        <f>INDEX(医院2县区2人!$D$2:$D$1048576,MATCH(L432,医院2县区2人!$A$2:$A$1048576,0))</f>
        <v>#N/A</v>
      </c>
      <c r="W432" s="6" t="str">
        <f t="shared" si="15"/>
        <v xml:space="preserve">泻利停/颠茄磺苄啶片0.12g*20片 </v>
      </c>
      <c r="X432" s="6" t="s">
        <v>2890</v>
      </c>
    </row>
    <row r="433" spans="1:24" x14ac:dyDescent="0.15">
      <c r="A433" s="7" t="str">
        <f t="shared" si="16"/>
        <v>201806</v>
      </c>
      <c r="C433" s="6" t="str">
        <f>INDEX(工厂基础数据!$A$2:$A$1024,MATCH(X433,工厂基础数据!$D$2:$D$1024,0))</f>
        <v>02025767</v>
      </c>
      <c r="E433" s="6" t="str">
        <f>INDEX(工厂基础数据!$B$2:$B$1024,MATCH(X433,工厂基础数据!$D$2:$D$1024,0))</f>
        <v>滨州市仁信医药有限公司</v>
      </c>
      <c r="F433" s="6">
        <f>INDEX(商业2转码!$B$2:$B$10000,MATCH(E433,商业2转码!$A$2:$A$10000,0))</f>
        <v>0</v>
      </c>
      <c r="G433" s="6" t="str">
        <f>INDEX(品种2编码!$A$2:$A$1048576,MATCH(W433,品种2编码!$D$2:$D$1048576,0))</f>
        <v>0020030020ZYZC0360</v>
      </c>
      <c r="H433" s="6" t="s">
        <v>1880</v>
      </c>
      <c r="I433" s="6" t="s">
        <v>1881</v>
      </c>
      <c r="J433" s="6" t="s">
        <v>3038</v>
      </c>
      <c r="L433" s="6" t="s">
        <v>2214</v>
      </c>
      <c r="M433" s="6">
        <f>INDEX(医院2县区2人!$B$2:$B$1048576,MATCH(L433,医院2县区2人!$A$2:$A$1048576,0))</f>
        <v>4</v>
      </c>
      <c r="N433" s="6" t="str">
        <f>INDEX(医院2县区2人!$C$2:$C$1048576,MATCH(L433,医院2县区2人!$A$2:$A$1048576,0))</f>
        <v>1858</v>
      </c>
      <c r="P433" s="7">
        <v>43266.738113425927</v>
      </c>
      <c r="Q433" s="6">
        <v>15</v>
      </c>
      <c r="R433" s="6">
        <v>13.4</v>
      </c>
      <c r="S433" s="6" t="s">
        <v>3054</v>
      </c>
      <c r="T433" s="6" t="str">
        <f>INDEX(医院2县区2人!$D$2:$D$1048576,MATCH(L433,医院2县区2人!$A$2:$A$1048576,0))</f>
        <v>201602151421097</v>
      </c>
      <c r="W433" s="6" t="str">
        <f t="shared" si="15"/>
        <v>*维生素C咀嚼片/VC片0.1g*30片</v>
      </c>
      <c r="X433" s="6" t="s">
        <v>2890</v>
      </c>
    </row>
    <row r="434" spans="1:24" x14ac:dyDescent="0.15">
      <c r="A434" s="7" t="str">
        <f t="shared" si="16"/>
        <v>201806</v>
      </c>
      <c r="C434" s="6" t="str">
        <f>INDEX(工厂基础数据!$A$2:$A$1024,MATCH(X434,工厂基础数据!$D$2:$D$1024,0))</f>
        <v>02025767</v>
      </c>
      <c r="E434" s="6" t="str">
        <f>INDEX(工厂基础数据!$B$2:$B$1024,MATCH(X434,工厂基础数据!$D$2:$D$1024,0))</f>
        <v>滨州市仁信医药有限公司</v>
      </c>
      <c r="F434" s="6">
        <f>INDEX(商业2转码!$B$2:$B$10000,MATCH(E434,商业2转码!$A$2:$A$10000,0))</f>
        <v>0</v>
      </c>
      <c r="G434" s="6" t="str">
        <f>INDEX(品种2编码!$A$2:$A$1048576,MATCH(W434,品种2编码!$D$2:$D$1048576,0))</f>
        <v>0020020020ZYLC0010</v>
      </c>
      <c r="H434" s="6" t="s">
        <v>1877</v>
      </c>
      <c r="I434" s="6" t="s">
        <v>1878</v>
      </c>
      <c r="J434" s="6" t="s">
        <v>3036</v>
      </c>
      <c r="L434" s="6" t="s">
        <v>2214</v>
      </c>
      <c r="M434" s="6">
        <f>INDEX(医院2县区2人!$B$2:$B$1048576,MATCH(L434,医院2县区2人!$A$2:$A$1048576,0))</f>
        <v>4</v>
      </c>
      <c r="N434" s="6" t="str">
        <f>INDEX(医院2县区2人!$C$2:$C$1048576,MATCH(L434,医院2县区2人!$A$2:$A$1048576,0))</f>
        <v>1858</v>
      </c>
      <c r="P434" s="7">
        <v>43266.73814814815</v>
      </c>
      <c r="Q434" s="6">
        <v>10</v>
      </c>
      <c r="R434" s="6">
        <v>3.5</v>
      </c>
      <c r="S434" s="6">
        <v>180401</v>
      </c>
      <c r="T434" s="6" t="str">
        <f>INDEX(医院2县区2人!$D$2:$D$1048576,MATCH(L434,医院2县区2人!$A$2:$A$1048576,0))</f>
        <v>201602151421097</v>
      </c>
      <c r="W434" s="6" t="str">
        <f t="shared" si="15"/>
        <v xml:space="preserve">泻利停/颠茄磺苄啶片0.48g*10片 </v>
      </c>
      <c r="X434" s="6" t="s">
        <v>2890</v>
      </c>
    </row>
    <row r="435" spans="1:24" x14ac:dyDescent="0.15">
      <c r="A435" s="7" t="str">
        <f t="shared" si="16"/>
        <v>201806</v>
      </c>
      <c r="C435" s="6" t="str">
        <f>INDEX(工厂基础数据!$A$2:$A$1024,MATCH(X435,工厂基础数据!$D$2:$D$1024,0))</f>
        <v>02025767</v>
      </c>
      <c r="E435" s="6" t="str">
        <f>INDEX(工厂基础数据!$B$2:$B$1024,MATCH(X435,工厂基础数据!$D$2:$D$1024,0))</f>
        <v>滨州市仁信医药有限公司</v>
      </c>
      <c r="F435" s="6">
        <f>INDEX(商业2转码!$B$2:$B$10000,MATCH(E435,商业2转码!$A$2:$A$10000,0))</f>
        <v>0</v>
      </c>
      <c r="G435" s="6" t="str">
        <f>INDEX(品种2编码!$A$2:$A$1048576,MATCH(W435,品种2编码!$D$2:$D$1048576,0))</f>
        <v>0020020021ZYLC0011</v>
      </c>
      <c r="H435" s="6" t="s">
        <v>1890</v>
      </c>
      <c r="I435" s="6" t="s">
        <v>1891</v>
      </c>
      <c r="J435" s="6" t="s">
        <v>3036</v>
      </c>
      <c r="L435" s="6" t="s">
        <v>2252</v>
      </c>
      <c r="M435" s="6">
        <f>INDEX(医院2县区2人!$B$2:$B$1048576,MATCH(L435,医院2县区2人!$A$2:$A$1048576,0))</f>
        <v>2</v>
      </c>
      <c r="N435" s="6" t="str">
        <f>INDEX(医院2县区2人!$C$2:$C$1048576,MATCH(L435,医院2县区2人!$A$2:$A$1048576,0))</f>
        <v>1855</v>
      </c>
      <c r="P435" s="7">
        <v>43265.734224537038</v>
      </c>
      <c r="Q435" s="6">
        <v>10</v>
      </c>
      <c r="R435" s="6">
        <v>6</v>
      </c>
      <c r="S435" s="6">
        <v>161001</v>
      </c>
      <c r="T435" s="6" t="str">
        <f>INDEX(医院2县区2人!$D$2:$D$1048576,MATCH(L435,医院2县区2人!$A$2:$A$1048576,0))</f>
        <v>201602151421097</v>
      </c>
      <c r="W435" s="6" t="str">
        <f t="shared" si="15"/>
        <v>严迪/罗红霉素分散片150mg*12片</v>
      </c>
      <c r="X435" s="6" t="s">
        <v>2890</v>
      </c>
    </row>
    <row r="436" spans="1:24" x14ac:dyDescent="0.15">
      <c r="A436" s="7" t="str">
        <f t="shared" si="16"/>
        <v>201806</v>
      </c>
      <c r="C436" s="6" t="str">
        <f>INDEX(工厂基础数据!$A$2:$A$1024,MATCH(X436,工厂基础数据!$D$2:$D$1024,0))</f>
        <v>02025767</v>
      </c>
      <c r="E436" s="6" t="str">
        <f>INDEX(工厂基础数据!$B$2:$B$1024,MATCH(X436,工厂基础数据!$D$2:$D$1024,0))</f>
        <v>滨州市仁信医药有限公司</v>
      </c>
      <c r="F436" s="6">
        <f>INDEX(商业2转码!$B$2:$B$10000,MATCH(E436,商业2转码!$A$2:$A$10000,0))</f>
        <v>0</v>
      </c>
      <c r="G436" s="6" t="str">
        <f>INDEX(品种2编码!$A$2:$A$1048576,MATCH(W436,品种2编码!$D$2:$D$1048576,0))</f>
        <v>0020030001SJZY0009</v>
      </c>
      <c r="H436" s="6" t="s">
        <v>555</v>
      </c>
      <c r="I436" s="6" t="s">
        <v>1889</v>
      </c>
      <c r="J436" s="6" t="s">
        <v>3039</v>
      </c>
      <c r="L436" s="6" t="s">
        <v>2221</v>
      </c>
      <c r="M436" s="6">
        <f>INDEX(医院2县区2人!$B$2:$B$1048576,MATCH(L436,医院2县区2人!$A$2:$A$1048576,0))</f>
        <v>2</v>
      </c>
      <c r="N436" s="6" t="str">
        <f>INDEX(医院2县区2人!$C$2:$C$1048576,MATCH(L436,医院2县区2人!$A$2:$A$1048576,0))</f>
        <v>1855</v>
      </c>
      <c r="P436" s="7">
        <v>43265.734247685185</v>
      </c>
      <c r="Q436" s="6">
        <v>10</v>
      </c>
      <c r="R436" s="6">
        <v>25</v>
      </c>
      <c r="S436" s="6">
        <v>18031227</v>
      </c>
      <c r="T436" s="6" t="str">
        <f>INDEX(医院2县区2人!$D$2:$D$1048576,MATCH(L436,医院2县区2人!$A$2:$A$1048576,0))</f>
        <v>201602151421097</v>
      </c>
      <c r="W436" s="6" t="str">
        <f t="shared" si="15"/>
        <v>葡萄糖酸锌口服液10ML*12支</v>
      </c>
      <c r="X436" s="6" t="s">
        <v>2890</v>
      </c>
    </row>
    <row r="437" spans="1:24" x14ac:dyDescent="0.15">
      <c r="A437" s="7" t="str">
        <f t="shared" si="16"/>
        <v>201806</v>
      </c>
      <c r="C437" s="6" t="str">
        <f>INDEX(工厂基础数据!$A$2:$A$1024,MATCH(X437,工厂基础数据!$D$2:$D$1024,0))</f>
        <v>02025767</v>
      </c>
      <c r="E437" s="6" t="str">
        <f>INDEX(工厂基础数据!$B$2:$B$1024,MATCH(X437,工厂基础数据!$D$2:$D$1024,0))</f>
        <v>滨州市仁信医药有限公司</v>
      </c>
      <c r="F437" s="6">
        <f>INDEX(商业2转码!$B$2:$B$10000,MATCH(E437,商业2转码!$A$2:$A$10000,0))</f>
        <v>0</v>
      </c>
      <c r="G437" s="6" t="str">
        <f>INDEX(品种2编码!$A$2:$A$1048576,MATCH(W437,品种2编码!$D$2:$D$1048576,0))</f>
        <v>0020050090SJZY0001</v>
      </c>
      <c r="H437" s="6" t="s">
        <v>630</v>
      </c>
      <c r="I437" s="6" t="s">
        <v>1850</v>
      </c>
      <c r="J437" s="6" t="s">
        <v>3040</v>
      </c>
      <c r="L437" s="6" t="s">
        <v>2205</v>
      </c>
      <c r="M437" s="6">
        <f>INDEX(医院2县区2人!$B$2:$B$1048576,MATCH(L437,医院2县区2人!$A$2:$A$1048576,0))</f>
        <v>2</v>
      </c>
      <c r="N437" s="6" t="str">
        <f>INDEX(医院2县区2人!$C$2:$C$1048576,MATCH(L437,医院2县区2人!$A$2:$A$1048576,0))</f>
        <v>1855</v>
      </c>
      <c r="P437" s="7">
        <v>43265.734305555554</v>
      </c>
      <c r="Q437" s="6">
        <v>10</v>
      </c>
      <c r="R437" s="6">
        <v>16.5</v>
      </c>
      <c r="S437" s="6">
        <v>17062821</v>
      </c>
      <c r="T437" s="6" t="str">
        <f>INDEX(医院2县区2人!$D$2:$D$1048576,MATCH(L437,医院2县区2人!$A$2:$A$1048576,0))</f>
        <v>201602151421097</v>
      </c>
      <c r="W437" s="6" t="str">
        <f t="shared" si="15"/>
        <v>双黄连口服液10ml*10支</v>
      </c>
      <c r="X437" s="6" t="s">
        <v>2890</v>
      </c>
    </row>
    <row r="438" spans="1:24" x14ac:dyDescent="0.15">
      <c r="A438" s="7" t="str">
        <f t="shared" si="16"/>
        <v>201806</v>
      </c>
      <c r="C438" s="6" t="str">
        <f>INDEX(工厂基础数据!$A$2:$A$1024,MATCH(X438,工厂基础数据!$D$2:$D$1024,0))</f>
        <v>02025767</v>
      </c>
      <c r="E438" s="6" t="str">
        <f>INDEX(工厂基础数据!$B$2:$B$1024,MATCH(X438,工厂基础数据!$D$2:$D$1024,0))</f>
        <v>滨州市仁信医药有限公司</v>
      </c>
      <c r="F438" s="6">
        <f>INDEX(商业2转码!$B$2:$B$10000,MATCH(E438,商业2转码!$A$2:$A$10000,0))</f>
        <v>0</v>
      </c>
      <c r="G438" s="6" t="str">
        <f>INDEX(品种2编码!$A$2:$A$1048576,MATCH(W438,品种2编码!$D$2:$D$1048576,0))</f>
        <v>0020040070ZYEC0005</v>
      </c>
      <c r="H438" s="6" t="s">
        <v>708</v>
      </c>
      <c r="I438" s="6" t="s">
        <v>1851</v>
      </c>
      <c r="J438" s="6" t="s">
        <v>3041</v>
      </c>
      <c r="L438" s="6" t="s">
        <v>2254</v>
      </c>
      <c r="M438" s="6">
        <f>INDEX(医院2县区2人!$B$2:$B$1048576,MATCH(L438,医院2县区2人!$A$2:$A$1048576,0))</f>
        <v>2</v>
      </c>
      <c r="N438" s="6" t="str">
        <f>INDEX(医院2县区2人!$C$2:$C$1048576,MATCH(L438,医院2县区2人!$A$2:$A$1048576,0))</f>
        <v>1857</v>
      </c>
      <c r="P438" s="7">
        <v>43265.734317129631</v>
      </c>
      <c r="Q438" s="6">
        <v>10</v>
      </c>
      <c r="R438" s="6">
        <v>14.5</v>
      </c>
      <c r="S438" s="6">
        <v>180301</v>
      </c>
      <c r="T438" s="6" t="str">
        <f>INDEX(医院2县区2人!$D$2:$D$1048576,MATCH(L438,医院2县区2人!$A$2:$A$1048576,0))</f>
        <v>201602151421097</v>
      </c>
      <c r="W438" s="6" t="str">
        <f t="shared" si="15"/>
        <v>小儿百部止咳糖浆100ml</v>
      </c>
      <c r="X438" s="6" t="s">
        <v>2890</v>
      </c>
    </row>
    <row r="439" spans="1:24" x14ac:dyDescent="0.15">
      <c r="A439" s="7" t="str">
        <f t="shared" si="16"/>
        <v>201806</v>
      </c>
      <c r="C439" s="6" t="str">
        <f>INDEX(工厂基础数据!$A$2:$A$1024,MATCH(X439,工厂基础数据!$D$2:$D$1024,0))</f>
        <v>02025767</v>
      </c>
      <c r="E439" s="6" t="str">
        <f>INDEX(工厂基础数据!$B$2:$B$1024,MATCH(X439,工厂基础数据!$D$2:$D$1024,0))</f>
        <v>滨州市仁信医药有限公司</v>
      </c>
      <c r="F439" s="6">
        <f>INDEX(商业2转码!$B$2:$B$10000,MATCH(E439,商业2转码!$A$2:$A$10000,0))</f>
        <v>0</v>
      </c>
      <c r="G439" s="6" t="str">
        <f>INDEX(品种2编码!$A$2:$A$1048576,MATCH(W439,品种2编码!$D$2:$D$1048576,0))</f>
        <v>0020050090SJZY0001</v>
      </c>
      <c r="H439" s="6" t="s">
        <v>630</v>
      </c>
      <c r="I439" s="6" t="s">
        <v>1850</v>
      </c>
      <c r="J439" s="6" t="s">
        <v>3040</v>
      </c>
      <c r="L439" s="6" t="s">
        <v>2738</v>
      </c>
      <c r="M439" s="6">
        <f>INDEX(医院2县区2人!$B$2:$B$1048576,MATCH(L439,医院2县区2人!$A$2:$A$1048576,0))</f>
        <v>1</v>
      </c>
      <c r="N439" s="6" t="str">
        <f>INDEX(医院2县区2人!$C$2:$C$1048576,MATCH(L439,医院2县区2人!$A$2:$A$1048576,0))</f>
        <v>1853</v>
      </c>
      <c r="P439" s="7">
        <v>43266.737997685188</v>
      </c>
      <c r="Q439" s="6">
        <v>5</v>
      </c>
      <c r="R439" s="6">
        <v>16.5</v>
      </c>
      <c r="S439" s="6">
        <v>17062821</v>
      </c>
      <c r="T439" s="6" t="str">
        <f>INDEX(医院2县区2人!$D$2:$D$1048576,MATCH(L439,医院2县区2人!$A$2:$A$1048576,0))</f>
        <v>201602151421097</v>
      </c>
      <c r="W439" s="6" t="str">
        <f t="shared" si="15"/>
        <v>双黄连口服液10ml*10支</v>
      </c>
      <c r="X439" s="6" t="s">
        <v>2890</v>
      </c>
    </row>
    <row r="440" spans="1:24" x14ac:dyDescent="0.15">
      <c r="A440" s="7" t="str">
        <f t="shared" si="16"/>
        <v>201806</v>
      </c>
      <c r="C440" s="6" t="str">
        <f>INDEX(工厂基础数据!$A$2:$A$1024,MATCH(X440,工厂基础数据!$D$2:$D$1024,0))</f>
        <v>02025767</v>
      </c>
      <c r="E440" s="6" t="str">
        <f>INDEX(工厂基础数据!$B$2:$B$1024,MATCH(X440,工厂基础数据!$D$2:$D$1024,0))</f>
        <v>滨州市仁信医药有限公司</v>
      </c>
      <c r="F440" s="6">
        <f>INDEX(商业2转码!$B$2:$B$10000,MATCH(E440,商业2转码!$A$2:$A$10000,0))</f>
        <v>0</v>
      </c>
      <c r="G440" s="6" t="str">
        <f>INDEX(品种2编码!$A$2:$A$1048576,MATCH(W440,品种2编码!$D$2:$D$1048576,0))</f>
        <v>0020030020SJSC0014</v>
      </c>
      <c r="H440" s="6" t="s">
        <v>677</v>
      </c>
      <c r="I440" s="6" t="s">
        <v>1882</v>
      </c>
      <c r="J440" s="6" t="s">
        <v>3045</v>
      </c>
      <c r="L440" s="6" t="s">
        <v>2725</v>
      </c>
      <c r="M440" s="6">
        <f>INDEX(医院2县区2人!$B$2:$B$1048576,MATCH(L440,医院2县区2人!$A$2:$A$1048576,0))</f>
        <v>2</v>
      </c>
      <c r="N440" s="6" t="str">
        <f>INDEX(医院2县区2人!$C$2:$C$1048576,MATCH(L440,医院2县区2人!$A$2:$A$1048576,0))</f>
        <v>1854</v>
      </c>
      <c r="P440" s="7">
        <v>43266.738206018519</v>
      </c>
      <c r="Q440" s="6">
        <v>7</v>
      </c>
      <c r="R440" s="6">
        <v>9.8000000000000007</v>
      </c>
      <c r="S440" s="6">
        <v>1708001</v>
      </c>
      <c r="T440" s="6" t="str">
        <f>INDEX(医院2县区2人!$D$2:$D$1048576,MATCH(L440,医院2县区2人!$A$2:$A$1048576,0))</f>
        <v>201602151421097</v>
      </c>
      <c r="W440" s="6" t="str">
        <f t="shared" si="15"/>
        <v>维D2磷酸氢钙片60片</v>
      </c>
      <c r="X440" s="6" t="s">
        <v>2890</v>
      </c>
    </row>
    <row r="441" spans="1:24" x14ac:dyDescent="0.15">
      <c r="A441" s="7" t="str">
        <f t="shared" si="16"/>
        <v>201806</v>
      </c>
      <c r="C441" s="6" t="str">
        <f>INDEX(工厂基础数据!$A$2:$A$1024,MATCH(X441,工厂基础数据!$D$2:$D$1024,0))</f>
        <v>02025767</v>
      </c>
      <c r="E441" s="6" t="str">
        <f>INDEX(工厂基础数据!$B$2:$B$1024,MATCH(X441,工厂基础数据!$D$2:$D$1024,0))</f>
        <v>滨州市仁信医药有限公司</v>
      </c>
      <c r="F441" s="6">
        <f>INDEX(商业2转码!$B$2:$B$10000,MATCH(E441,商业2转码!$A$2:$A$10000,0))</f>
        <v>0</v>
      </c>
      <c r="G441" s="6" t="str">
        <f>INDEX(品种2编码!$A$2:$A$1048576,MATCH(W441,品种2编码!$D$2:$D$1048576,0))</f>
        <v>0020030020SJSC0014</v>
      </c>
      <c r="H441" s="6" t="s">
        <v>677</v>
      </c>
      <c r="I441" s="6" t="s">
        <v>1882</v>
      </c>
      <c r="J441" s="6" t="s">
        <v>3045</v>
      </c>
      <c r="L441" s="6" t="s">
        <v>2725</v>
      </c>
      <c r="M441" s="6">
        <f>INDEX(医院2县区2人!$B$2:$B$1048576,MATCH(L441,医院2县区2人!$A$2:$A$1048576,0))</f>
        <v>2</v>
      </c>
      <c r="N441" s="6" t="str">
        <f>INDEX(医院2县区2人!$C$2:$C$1048576,MATCH(L441,医院2县区2人!$A$2:$A$1048576,0))</f>
        <v>1854</v>
      </c>
      <c r="P441" s="7">
        <v>43266.738217592596</v>
      </c>
      <c r="Q441" s="6">
        <v>3</v>
      </c>
      <c r="R441" s="6">
        <v>9.8000000000000007</v>
      </c>
      <c r="S441" s="6">
        <v>1707002</v>
      </c>
      <c r="T441" s="6" t="str">
        <f>INDEX(医院2县区2人!$D$2:$D$1048576,MATCH(L441,医院2县区2人!$A$2:$A$1048576,0))</f>
        <v>201602151421097</v>
      </c>
      <c r="W441" s="6" t="str">
        <f t="shared" si="15"/>
        <v>维D2磷酸氢钙片60片</v>
      </c>
      <c r="X441" s="6" t="s">
        <v>2890</v>
      </c>
    </row>
    <row r="442" spans="1:24" x14ac:dyDescent="0.15">
      <c r="A442" s="7" t="str">
        <f t="shared" si="16"/>
        <v>201806</v>
      </c>
      <c r="C442" s="6" t="str">
        <f>INDEX(工厂基础数据!$A$2:$A$1024,MATCH(X442,工厂基础数据!$D$2:$D$1024,0))</f>
        <v>02025767</v>
      </c>
      <c r="E442" s="6" t="str">
        <f>INDEX(工厂基础数据!$B$2:$B$1024,MATCH(X442,工厂基础数据!$D$2:$D$1024,0))</f>
        <v>滨州市仁信医药有限公司</v>
      </c>
      <c r="F442" s="6">
        <f>INDEX(商业2转码!$B$2:$B$10000,MATCH(E442,商业2转码!$A$2:$A$10000,0))</f>
        <v>0</v>
      </c>
      <c r="G442" s="6" t="str">
        <f>INDEX(品种2编码!$A$2:$A$1048576,MATCH(W442,品种2编码!$D$2:$D$1048576,0))</f>
        <v>0020070000ZYLC0001</v>
      </c>
      <c r="H442" s="6" t="s">
        <v>1885</v>
      </c>
      <c r="I442" s="6" t="s">
        <v>1886</v>
      </c>
      <c r="J442" s="6" t="s">
        <v>3036</v>
      </c>
      <c r="L442" s="6" t="s">
        <v>2316</v>
      </c>
      <c r="M442" s="6">
        <f>INDEX(医院2县区2人!$B$2:$B$1048576,MATCH(L442,医院2县区2人!$A$2:$A$1048576,0))</f>
        <v>2</v>
      </c>
      <c r="N442" s="6" t="str">
        <f>INDEX(医院2县区2人!$C$2:$C$1048576,MATCH(L442,医院2县区2人!$A$2:$A$1048576,0))</f>
        <v>1855</v>
      </c>
      <c r="P442" s="7">
        <v>43266.738113425927</v>
      </c>
      <c r="Q442" s="6">
        <v>5</v>
      </c>
      <c r="R442" s="6">
        <v>29</v>
      </c>
      <c r="S442" s="6">
        <v>180104</v>
      </c>
      <c r="T442" s="6" t="str">
        <f>INDEX(医院2县区2人!$D$2:$D$1048576,MATCH(L442,医院2县区2人!$A$2:$A$1048576,0))</f>
        <v>201602151421097</v>
      </c>
      <c r="W442" s="6" t="str">
        <f t="shared" si="15"/>
        <v>新盖中盖高钙片2.5g*36P</v>
      </c>
      <c r="X442" s="6" t="s">
        <v>2890</v>
      </c>
    </row>
    <row r="443" spans="1:24" x14ac:dyDescent="0.15">
      <c r="A443" s="7" t="str">
        <f t="shared" si="16"/>
        <v>201806</v>
      </c>
      <c r="C443" s="6" t="str">
        <f>INDEX(工厂基础数据!$A$2:$A$1024,MATCH(X443,工厂基础数据!$D$2:$D$1024,0))</f>
        <v>02025767</v>
      </c>
      <c r="E443" s="6" t="str">
        <f>INDEX(工厂基础数据!$B$2:$B$1024,MATCH(X443,工厂基础数据!$D$2:$D$1024,0))</f>
        <v>滨州市仁信医药有限公司</v>
      </c>
      <c r="F443" s="6">
        <f>INDEX(商业2转码!$B$2:$B$10000,MATCH(E443,商业2转码!$A$2:$A$10000,0))</f>
        <v>0</v>
      </c>
      <c r="G443" s="6" t="str">
        <f>INDEX(品种2编码!$A$2:$A$1048576,MATCH(W443,品种2编码!$D$2:$D$1048576,0))</f>
        <v>0020020021ZYLC0005</v>
      </c>
      <c r="H443" s="6" t="s">
        <v>1920</v>
      </c>
      <c r="I443" s="6" t="s">
        <v>1841</v>
      </c>
      <c r="J443" s="6" t="s">
        <v>3036</v>
      </c>
      <c r="L443" s="6" t="s">
        <v>2316</v>
      </c>
      <c r="M443" s="6">
        <f>INDEX(医院2县区2人!$B$2:$B$1048576,MATCH(L443,医院2县区2人!$A$2:$A$1048576,0))</f>
        <v>2</v>
      </c>
      <c r="N443" s="6" t="str">
        <f>INDEX(医院2县区2人!$C$2:$C$1048576,MATCH(L443,医院2县区2人!$A$2:$A$1048576,0))</f>
        <v>1855</v>
      </c>
      <c r="P443" s="7">
        <v>43266.73810185185</v>
      </c>
      <c r="Q443" s="6">
        <v>6</v>
      </c>
      <c r="R443" s="6">
        <v>4</v>
      </c>
      <c r="S443" s="6">
        <v>180201</v>
      </c>
      <c r="T443" s="6" t="str">
        <f>INDEX(医院2县区2人!$D$2:$D$1048576,MATCH(L443,医院2县区2人!$A$2:$A$1048576,0))</f>
        <v>201602151421097</v>
      </c>
      <c r="W443" s="6" t="str">
        <f t="shared" si="15"/>
        <v>小儿严迪片/罗红霉素分散片50mg*12片</v>
      </c>
      <c r="X443" s="6" t="s">
        <v>2890</v>
      </c>
    </row>
    <row r="444" spans="1:24" x14ac:dyDescent="0.15">
      <c r="A444" s="7" t="str">
        <f t="shared" si="16"/>
        <v>201806</v>
      </c>
      <c r="C444" s="6" t="str">
        <f>INDEX(工厂基础数据!$A$2:$A$1024,MATCH(X444,工厂基础数据!$D$2:$D$1024,0))</f>
        <v>02025767</v>
      </c>
      <c r="E444" s="6" t="str">
        <f>INDEX(工厂基础数据!$B$2:$B$1024,MATCH(X444,工厂基础数据!$D$2:$D$1024,0))</f>
        <v>滨州市仁信医药有限公司</v>
      </c>
      <c r="F444" s="6">
        <f>INDEX(商业2转码!$B$2:$B$10000,MATCH(E444,商业2转码!$A$2:$A$10000,0))</f>
        <v>0</v>
      </c>
      <c r="G444" s="6" t="str">
        <f>INDEX(品种2编码!$A$2:$A$1048576,MATCH(W444,品种2编码!$D$2:$D$1048576,0))</f>
        <v>0020020021ZYLC0005</v>
      </c>
      <c r="H444" s="6" t="s">
        <v>1920</v>
      </c>
      <c r="I444" s="6" t="s">
        <v>1841</v>
      </c>
      <c r="J444" s="6" t="s">
        <v>3036</v>
      </c>
      <c r="L444" s="6" t="s">
        <v>2316</v>
      </c>
      <c r="M444" s="6">
        <f>INDEX(医院2县区2人!$B$2:$B$1048576,MATCH(L444,医院2县区2人!$A$2:$A$1048576,0))</f>
        <v>2</v>
      </c>
      <c r="N444" s="6" t="str">
        <f>INDEX(医院2县区2人!$C$2:$C$1048576,MATCH(L444,医院2县区2人!$A$2:$A$1048576,0))</f>
        <v>1855</v>
      </c>
      <c r="P444" s="7">
        <v>43266.73810185185</v>
      </c>
      <c r="Q444" s="6">
        <v>4</v>
      </c>
      <c r="R444" s="6">
        <v>4</v>
      </c>
      <c r="S444" s="6">
        <v>180102</v>
      </c>
      <c r="T444" s="6" t="str">
        <f>INDEX(医院2县区2人!$D$2:$D$1048576,MATCH(L444,医院2县区2人!$A$2:$A$1048576,0))</f>
        <v>201602151421097</v>
      </c>
      <c r="W444" s="6" t="str">
        <f t="shared" si="15"/>
        <v>小儿严迪片/罗红霉素分散片50mg*12片</v>
      </c>
      <c r="X444" s="6" t="s">
        <v>2890</v>
      </c>
    </row>
    <row r="445" spans="1:24" x14ac:dyDescent="0.15">
      <c r="A445" s="7" t="str">
        <f t="shared" si="16"/>
        <v>201806</v>
      </c>
      <c r="C445" s="6" t="str">
        <f>INDEX(工厂基础数据!$A$2:$A$1024,MATCH(X445,工厂基础数据!$D$2:$D$1024,0))</f>
        <v>02025767</v>
      </c>
      <c r="E445" s="6" t="str">
        <f>INDEX(工厂基础数据!$B$2:$B$1024,MATCH(X445,工厂基础数据!$D$2:$D$1024,0))</f>
        <v>滨州市仁信医药有限公司</v>
      </c>
      <c r="F445" s="6">
        <f>INDEX(商业2转码!$B$2:$B$10000,MATCH(E445,商业2转码!$A$2:$A$10000,0))</f>
        <v>0</v>
      </c>
      <c r="G445" s="6" t="str">
        <f>INDEX(品种2编码!$A$2:$A$1048576,MATCH(W445,品种2编码!$D$2:$D$1048576,0))</f>
        <v>0020020021ZYLC0011</v>
      </c>
      <c r="H445" s="6" t="s">
        <v>1890</v>
      </c>
      <c r="I445" s="6" t="s">
        <v>1891</v>
      </c>
      <c r="J445" s="6" t="s">
        <v>3036</v>
      </c>
      <c r="L445" s="6" t="s">
        <v>2316</v>
      </c>
      <c r="M445" s="6">
        <f>INDEX(医院2县区2人!$B$2:$B$1048576,MATCH(L445,医院2县区2人!$A$2:$A$1048576,0))</f>
        <v>2</v>
      </c>
      <c r="N445" s="6" t="str">
        <f>INDEX(医院2县区2人!$C$2:$C$1048576,MATCH(L445,医院2县区2人!$A$2:$A$1048576,0))</f>
        <v>1855</v>
      </c>
      <c r="P445" s="7">
        <v>43266.73810185185</v>
      </c>
      <c r="Q445" s="6">
        <v>10</v>
      </c>
      <c r="R445" s="6">
        <v>6</v>
      </c>
      <c r="S445" s="6">
        <v>161001</v>
      </c>
      <c r="T445" s="6" t="str">
        <f>INDEX(医院2县区2人!$D$2:$D$1048576,MATCH(L445,医院2县区2人!$A$2:$A$1048576,0))</f>
        <v>201602151421097</v>
      </c>
      <c r="W445" s="6" t="str">
        <f t="shared" si="15"/>
        <v>严迪/罗红霉素分散片150mg*12片</v>
      </c>
      <c r="X445" s="6" t="s">
        <v>2890</v>
      </c>
    </row>
    <row r="446" spans="1:24" x14ac:dyDescent="0.15">
      <c r="A446" s="7" t="str">
        <f t="shared" si="16"/>
        <v>201806</v>
      </c>
      <c r="C446" s="6" t="str">
        <f>INDEX(工厂基础数据!$A$2:$A$1024,MATCH(X446,工厂基础数据!$D$2:$D$1024,0))</f>
        <v>02025767</v>
      </c>
      <c r="E446" s="6" t="str">
        <f>INDEX(工厂基础数据!$B$2:$B$1024,MATCH(X446,工厂基础数据!$D$2:$D$1024,0))</f>
        <v>滨州市仁信医药有限公司</v>
      </c>
      <c r="F446" s="6">
        <f>INDEX(商业2转码!$B$2:$B$10000,MATCH(E446,商业2转码!$A$2:$A$10000,0))</f>
        <v>0</v>
      </c>
      <c r="G446" s="6" t="str">
        <f>INDEX(品种2编码!$A$2:$A$1048576,MATCH(W446,品种2编码!$D$2:$D$1048576,0))</f>
        <v>0020030020ZYLC0010</v>
      </c>
      <c r="H446" s="6" t="s">
        <v>1883</v>
      </c>
      <c r="I446" s="6" t="s">
        <v>1839</v>
      </c>
      <c r="J446" s="6" t="s">
        <v>3036</v>
      </c>
      <c r="L446" s="6" t="s">
        <v>2268</v>
      </c>
      <c r="M446" s="6">
        <f>INDEX(医院2县区2人!$B$2:$B$1048576,MATCH(L446,医院2县区2人!$A$2:$A$1048576,0))</f>
        <v>2</v>
      </c>
      <c r="N446" s="6" t="str">
        <f>INDEX(医院2县区2人!$C$2:$C$1048576,MATCH(L446,医院2县区2人!$A$2:$A$1048576,0))</f>
        <v>1853</v>
      </c>
      <c r="P446" s="7">
        <v>43266.737997685188</v>
      </c>
      <c r="Q446" s="6">
        <v>50</v>
      </c>
      <c r="R446" s="6">
        <v>3.7</v>
      </c>
      <c r="S446" s="6">
        <v>180136</v>
      </c>
      <c r="T446" s="6" t="str">
        <f>INDEX(医院2县区2人!$D$2:$D$1048576,MATCH(L446,医院2县区2人!$A$2:$A$1048576,0))</f>
        <v>201602151421097</v>
      </c>
      <c r="W446" s="6" t="str">
        <f t="shared" si="15"/>
        <v>“为消”牌乳酸菌素片0.4g*36片</v>
      </c>
      <c r="X446" s="6" t="s">
        <v>2890</v>
      </c>
    </row>
    <row r="447" spans="1:24" x14ac:dyDescent="0.15">
      <c r="A447" s="7" t="str">
        <f t="shared" si="16"/>
        <v>201806</v>
      </c>
      <c r="C447" s="6" t="str">
        <f>INDEX(工厂基础数据!$A$2:$A$1024,MATCH(X447,工厂基础数据!$D$2:$D$1024,0))</f>
        <v>02025767</v>
      </c>
      <c r="E447" s="6" t="str">
        <f>INDEX(工厂基础数据!$B$2:$B$1024,MATCH(X447,工厂基础数据!$D$2:$D$1024,0))</f>
        <v>滨州市仁信医药有限公司</v>
      </c>
      <c r="F447" s="6">
        <f>INDEX(商业2转码!$B$2:$B$10000,MATCH(E447,商业2转码!$A$2:$A$10000,0))</f>
        <v>0</v>
      </c>
      <c r="G447" s="6" t="str">
        <f>INDEX(品种2编码!$A$2:$A$1048576,MATCH(W447,品种2编码!$D$2:$D$1048576,0))</f>
        <v>0020020020ZYLC0010</v>
      </c>
      <c r="H447" s="6" t="s">
        <v>1877</v>
      </c>
      <c r="I447" s="6" t="s">
        <v>1878</v>
      </c>
      <c r="J447" s="6" t="s">
        <v>3036</v>
      </c>
      <c r="L447" s="6" t="s">
        <v>3018</v>
      </c>
      <c r="M447" s="6" t="e">
        <f>INDEX(医院2县区2人!$B$2:$B$1048576,MATCH(L447,医院2县区2人!$A$2:$A$1048576,0))</f>
        <v>#N/A</v>
      </c>
      <c r="N447" s="6" t="e">
        <f>INDEX(医院2县区2人!$C$2:$C$1048576,MATCH(L447,医院2县区2人!$A$2:$A$1048576,0))</f>
        <v>#N/A</v>
      </c>
      <c r="P447" s="7">
        <v>43267.734131944446</v>
      </c>
      <c r="Q447" s="6">
        <v>10</v>
      </c>
      <c r="R447" s="6">
        <v>3.5</v>
      </c>
      <c r="S447" s="6">
        <v>180401</v>
      </c>
      <c r="T447" s="6" t="e">
        <f>INDEX(医院2县区2人!$D$2:$D$1048576,MATCH(L447,医院2县区2人!$A$2:$A$1048576,0))</f>
        <v>#N/A</v>
      </c>
      <c r="W447" s="6" t="str">
        <f t="shared" si="15"/>
        <v xml:space="preserve">泻利停/颠茄磺苄啶片0.48g*10片 </v>
      </c>
      <c r="X447" s="6" t="s">
        <v>2890</v>
      </c>
    </row>
    <row r="448" spans="1:24" x14ac:dyDescent="0.15">
      <c r="A448" s="7" t="str">
        <f t="shared" si="16"/>
        <v>201806</v>
      </c>
      <c r="C448" s="6" t="str">
        <f>INDEX(工厂基础数据!$A$2:$A$1024,MATCH(X448,工厂基础数据!$D$2:$D$1024,0))</f>
        <v>02025767</v>
      </c>
      <c r="E448" s="6" t="str">
        <f>INDEX(工厂基础数据!$B$2:$B$1024,MATCH(X448,工厂基础数据!$D$2:$D$1024,0))</f>
        <v>滨州市仁信医药有限公司</v>
      </c>
      <c r="F448" s="6">
        <f>INDEX(商业2转码!$B$2:$B$10000,MATCH(E448,商业2转码!$A$2:$A$10000,0))</f>
        <v>0</v>
      </c>
      <c r="G448" s="6" t="str">
        <f>INDEX(品种2编码!$A$2:$A$1048576,MATCH(W448,品种2编码!$D$2:$D$1048576,0))</f>
        <v>0020040070ZYEC0005</v>
      </c>
      <c r="H448" s="6" t="s">
        <v>708</v>
      </c>
      <c r="I448" s="6" t="s">
        <v>1851</v>
      </c>
      <c r="J448" s="6" t="s">
        <v>3041</v>
      </c>
      <c r="L448" s="6" t="s">
        <v>2183</v>
      </c>
      <c r="M448" s="6">
        <f>INDEX(医院2县区2人!$B$2:$B$1048576,MATCH(L448,医院2县区2人!$A$2:$A$1048576,0))</f>
        <v>4</v>
      </c>
      <c r="N448" s="6" t="str">
        <f>INDEX(医院2县区2人!$C$2:$C$1048576,MATCH(L448,医院2县区2人!$A$2:$A$1048576,0))</f>
        <v>1859</v>
      </c>
      <c r="P448" s="7">
        <v>43267.734444444446</v>
      </c>
      <c r="Q448" s="6">
        <v>50</v>
      </c>
      <c r="R448" s="6">
        <v>14.5</v>
      </c>
      <c r="S448" s="6">
        <v>180301</v>
      </c>
      <c r="T448" s="6" t="str">
        <f>INDEX(医院2县区2人!$D$2:$D$1048576,MATCH(L448,医院2县区2人!$A$2:$A$1048576,0))</f>
        <v>201602151421097</v>
      </c>
      <c r="W448" s="6" t="str">
        <f t="shared" si="15"/>
        <v>小儿百部止咳糖浆100ml</v>
      </c>
      <c r="X448" s="6" t="s">
        <v>2890</v>
      </c>
    </row>
    <row r="449" spans="1:24" x14ac:dyDescent="0.15">
      <c r="A449" s="7" t="str">
        <f t="shared" si="16"/>
        <v>201806</v>
      </c>
      <c r="C449" s="6" t="str">
        <f>INDEX(工厂基础数据!$A$2:$A$1024,MATCH(X449,工厂基础数据!$D$2:$D$1024,0))</f>
        <v>02025767</v>
      </c>
      <c r="E449" s="6" t="str">
        <f>INDEX(工厂基础数据!$B$2:$B$1024,MATCH(X449,工厂基础数据!$D$2:$D$1024,0))</f>
        <v>滨州市仁信医药有限公司</v>
      </c>
      <c r="F449" s="6">
        <f>INDEX(商业2转码!$B$2:$B$10000,MATCH(E449,商业2转码!$A$2:$A$10000,0))</f>
        <v>0</v>
      </c>
      <c r="G449" s="6" t="str">
        <f>INDEX(品种2编码!$A$2:$A$1048576,MATCH(W449,品种2编码!$D$2:$D$1048576,0))</f>
        <v>0020020021ZYLC0004</v>
      </c>
      <c r="H449" s="6" t="s">
        <v>1899</v>
      </c>
      <c r="I449" s="6" t="s">
        <v>1869</v>
      </c>
      <c r="J449" s="6" t="s">
        <v>3036</v>
      </c>
      <c r="L449" s="6" t="s">
        <v>3001</v>
      </c>
      <c r="M449" s="6" t="e">
        <f>INDEX(医院2县区2人!$B$2:$B$1048576,MATCH(L449,医院2县区2人!$A$2:$A$1048576,0))</f>
        <v>#N/A</v>
      </c>
      <c r="N449" s="6" t="e">
        <f>INDEX(医院2县区2人!$C$2:$C$1048576,MATCH(L449,医院2县区2人!$A$2:$A$1048576,0))</f>
        <v>#N/A</v>
      </c>
      <c r="P449" s="7">
        <v>43271.726412037038</v>
      </c>
      <c r="Q449" s="6">
        <v>10</v>
      </c>
      <c r="R449" s="6">
        <v>8</v>
      </c>
      <c r="S449" s="6">
        <v>180201</v>
      </c>
      <c r="T449" s="6" t="e">
        <f>INDEX(医院2县区2人!$D$2:$D$1048576,MATCH(L449,医院2县区2人!$A$2:$A$1048576,0))</f>
        <v>#N/A</v>
      </c>
      <c r="W449" s="6" t="str">
        <f t="shared" si="15"/>
        <v>大严迪片/罗红霉素分散片75mg*12片</v>
      </c>
      <c r="X449" s="6" t="s">
        <v>2890</v>
      </c>
    </row>
    <row r="450" spans="1:24" x14ac:dyDescent="0.15">
      <c r="A450" s="7" t="str">
        <f t="shared" si="16"/>
        <v>201806</v>
      </c>
      <c r="C450" s="6" t="str">
        <f>INDEX(工厂基础数据!$A$2:$A$1024,MATCH(X450,工厂基础数据!$D$2:$D$1024,0))</f>
        <v>02025767</v>
      </c>
      <c r="E450" s="6" t="str">
        <f>INDEX(工厂基础数据!$B$2:$B$1024,MATCH(X450,工厂基础数据!$D$2:$D$1024,0))</f>
        <v>滨州市仁信医药有限公司</v>
      </c>
      <c r="F450" s="6">
        <f>INDEX(商业2转码!$B$2:$B$10000,MATCH(E450,商业2转码!$A$2:$A$10000,0))</f>
        <v>0</v>
      </c>
      <c r="G450" s="6" t="str">
        <f>INDEX(品种2编码!$A$2:$A$1048576,MATCH(W450,品种2编码!$D$2:$D$1048576,0))</f>
        <v>0020020020ZYLC0010</v>
      </c>
      <c r="H450" s="6" t="s">
        <v>1877</v>
      </c>
      <c r="I450" s="6" t="s">
        <v>1878</v>
      </c>
      <c r="J450" s="6" t="s">
        <v>3036</v>
      </c>
      <c r="L450" s="6" t="s">
        <v>2332</v>
      </c>
      <c r="M450" s="6">
        <f>INDEX(医院2县区2人!$B$2:$B$1048576,MATCH(L450,医院2县区2人!$A$2:$A$1048576,0))</f>
        <v>1</v>
      </c>
      <c r="N450" s="6" t="str">
        <f>INDEX(医院2县区2人!$C$2:$C$1048576,MATCH(L450,医院2县区2人!$A$2:$A$1048576,0))</f>
        <v>1854</v>
      </c>
      <c r="P450" s="7">
        <v>43266.738206018519</v>
      </c>
      <c r="Q450" s="6">
        <v>10</v>
      </c>
      <c r="R450" s="6">
        <v>3.5</v>
      </c>
      <c r="S450" s="6">
        <v>180401</v>
      </c>
      <c r="T450" s="6" t="str">
        <f>INDEX(医院2县区2人!$D$2:$D$1048576,MATCH(L450,医院2县区2人!$A$2:$A$1048576,0))</f>
        <v>201602151421097</v>
      </c>
      <c r="W450" s="6" t="str">
        <f t="shared" si="15"/>
        <v xml:space="preserve">泻利停/颠茄磺苄啶片0.48g*10片 </v>
      </c>
      <c r="X450" s="6" t="s">
        <v>2890</v>
      </c>
    </row>
    <row r="451" spans="1:24" x14ac:dyDescent="0.15">
      <c r="A451" s="7" t="str">
        <f t="shared" si="16"/>
        <v>201806</v>
      </c>
      <c r="C451" s="6" t="str">
        <f>INDEX(工厂基础数据!$A$2:$A$1024,MATCH(X451,工厂基础数据!$D$2:$D$1024,0))</f>
        <v>02025767</v>
      </c>
      <c r="E451" s="6" t="str">
        <f>INDEX(工厂基础数据!$B$2:$B$1024,MATCH(X451,工厂基础数据!$D$2:$D$1024,0))</f>
        <v>滨州市仁信医药有限公司</v>
      </c>
      <c r="F451" s="6">
        <f>INDEX(商业2转码!$B$2:$B$10000,MATCH(E451,商业2转码!$A$2:$A$10000,0))</f>
        <v>0</v>
      </c>
      <c r="G451" s="6" t="str">
        <f>INDEX(品种2编码!$A$2:$A$1048576,MATCH(W451,品种2编码!$D$2:$D$1048576,0))</f>
        <v>0020030001SJZY0006</v>
      </c>
      <c r="H451" s="6" t="s">
        <v>1888</v>
      </c>
      <c r="I451" s="6" t="s">
        <v>411</v>
      </c>
      <c r="J451" s="6" t="s">
        <v>3040</v>
      </c>
      <c r="L451" s="6" t="s">
        <v>2734</v>
      </c>
      <c r="M451" s="6">
        <f>INDEX(医院2县区2人!$B$2:$B$1048576,MATCH(L451,医院2县区2人!$A$2:$A$1048576,0))</f>
        <v>2</v>
      </c>
      <c r="N451" s="6" t="str">
        <f>INDEX(医院2县区2人!$C$2:$C$1048576,MATCH(L451,医院2县区2人!$A$2:$A$1048576,0))</f>
        <v>1853</v>
      </c>
      <c r="P451" s="7">
        <v>43266.738043981481</v>
      </c>
      <c r="Q451" s="6">
        <v>5</v>
      </c>
      <c r="R451" s="6">
        <v>25</v>
      </c>
      <c r="S451" s="6">
        <v>17071042</v>
      </c>
      <c r="T451" s="6" t="str">
        <f>INDEX(医院2县区2人!$D$2:$D$1048576,MATCH(L451,医院2县区2人!$A$2:$A$1048576,0))</f>
        <v>201602151421097</v>
      </c>
      <c r="W451" s="6" t="str">
        <f t="shared" si="15"/>
        <v>葡萄糖酸钙口服溶液（含糖）10ml*12支</v>
      </c>
      <c r="X451" s="6" t="s">
        <v>2890</v>
      </c>
    </row>
    <row r="452" spans="1:24" x14ac:dyDescent="0.15">
      <c r="A452" s="7" t="str">
        <f t="shared" si="16"/>
        <v>201806</v>
      </c>
      <c r="C452" s="6" t="str">
        <f>INDEX(工厂基础数据!$A$2:$A$1024,MATCH(X452,工厂基础数据!$D$2:$D$1024,0))</f>
        <v>02025767</v>
      </c>
      <c r="E452" s="6" t="str">
        <f>INDEX(工厂基础数据!$B$2:$B$1024,MATCH(X452,工厂基础数据!$D$2:$D$1024,0))</f>
        <v>滨州市仁信医药有限公司</v>
      </c>
      <c r="F452" s="6">
        <f>INDEX(商业2转码!$B$2:$B$10000,MATCH(E452,商业2转码!$A$2:$A$10000,0))</f>
        <v>0</v>
      </c>
      <c r="G452" s="6" t="str">
        <f>INDEX(品种2编码!$A$2:$A$1048576,MATCH(W452,品种2编码!$D$2:$D$1048576,0))</f>
        <v>0020030001SJZY0009</v>
      </c>
      <c r="H452" s="6" t="s">
        <v>555</v>
      </c>
      <c r="I452" s="6" t="s">
        <v>1889</v>
      </c>
      <c r="J452" s="6" t="s">
        <v>3039</v>
      </c>
      <c r="L452" s="6" t="s">
        <v>2300</v>
      </c>
      <c r="M452" s="6">
        <f>INDEX(医院2县区2人!$B$2:$B$1048576,MATCH(L452,医院2县区2人!$A$2:$A$1048576,0))</f>
        <v>4</v>
      </c>
      <c r="N452" s="6" t="str">
        <f>INDEX(医院2县区2人!$C$2:$C$1048576,MATCH(L452,医院2县区2人!$A$2:$A$1048576,0))</f>
        <v>1857</v>
      </c>
      <c r="P452" s="7">
        <v>43269.773402777777</v>
      </c>
      <c r="Q452" s="6">
        <v>3</v>
      </c>
      <c r="R452" s="6">
        <v>25</v>
      </c>
      <c r="S452" s="6">
        <v>18031227</v>
      </c>
      <c r="T452" s="6" t="str">
        <f>INDEX(医院2县区2人!$D$2:$D$1048576,MATCH(L452,医院2县区2人!$A$2:$A$1048576,0))</f>
        <v>201602151421097</v>
      </c>
      <c r="W452" s="6" t="str">
        <f t="shared" si="15"/>
        <v>葡萄糖酸锌口服液10ML*12支</v>
      </c>
      <c r="X452" s="6" t="s">
        <v>2890</v>
      </c>
    </row>
    <row r="453" spans="1:24" x14ac:dyDescent="0.15">
      <c r="A453" s="7" t="str">
        <f t="shared" si="16"/>
        <v>201806</v>
      </c>
      <c r="C453" s="6" t="str">
        <f>INDEX(工厂基础数据!$A$2:$A$1024,MATCH(X453,工厂基础数据!$D$2:$D$1024,0))</f>
        <v>02025767</v>
      </c>
      <c r="E453" s="6" t="str">
        <f>INDEX(工厂基础数据!$B$2:$B$1024,MATCH(X453,工厂基础数据!$D$2:$D$1024,0))</f>
        <v>滨州市仁信医药有限公司</v>
      </c>
      <c r="F453" s="6">
        <f>INDEX(商业2转码!$B$2:$B$10000,MATCH(E453,商业2转码!$A$2:$A$10000,0))</f>
        <v>0</v>
      </c>
      <c r="G453" s="6" t="str">
        <f>INDEX(品种2编码!$A$2:$A$1048576,MATCH(W453,品种2编码!$D$2:$D$1048576,0))</f>
        <v>0020030001SJZY0006</v>
      </c>
      <c r="H453" s="6" t="s">
        <v>1888</v>
      </c>
      <c r="I453" s="6" t="s">
        <v>411</v>
      </c>
      <c r="J453" s="6" t="s">
        <v>3040</v>
      </c>
      <c r="L453" s="6" t="s">
        <v>2300</v>
      </c>
      <c r="M453" s="6">
        <f>INDEX(医院2县区2人!$B$2:$B$1048576,MATCH(L453,医院2县区2人!$A$2:$A$1048576,0))</f>
        <v>4</v>
      </c>
      <c r="N453" s="6" t="str">
        <f>INDEX(医院2县区2人!$C$2:$C$1048576,MATCH(L453,医院2县区2人!$A$2:$A$1048576,0))</f>
        <v>1857</v>
      </c>
      <c r="P453" s="7">
        <v>43269.773449074077</v>
      </c>
      <c r="Q453" s="6">
        <v>3</v>
      </c>
      <c r="R453" s="6">
        <v>25</v>
      </c>
      <c r="S453" s="6">
        <v>17071042</v>
      </c>
      <c r="T453" s="6" t="str">
        <f>INDEX(医院2县区2人!$D$2:$D$1048576,MATCH(L453,医院2县区2人!$A$2:$A$1048576,0))</f>
        <v>201602151421097</v>
      </c>
      <c r="W453" s="6" t="str">
        <f t="shared" ref="W453:W516" si="17">H453&amp;I453</f>
        <v>葡萄糖酸钙口服溶液（含糖）10ml*12支</v>
      </c>
      <c r="X453" s="6" t="s">
        <v>2890</v>
      </c>
    </row>
    <row r="454" spans="1:24" x14ac:dyDescent="0.15">
      <c r="A454" s="7" t="str">
        <f t="shared" ref="A454:A517" si="18">IF(MONTH(P454)&lt;10,YEAR(P454)&amp;"0"&amp;MONTH(P454),YEAR(P454)&amp;MONTH(P454))</f>
        <v>201806</v>
      </c>
      <c r="C454" s="6" t="str">
        <f>INDEX(工厂基础数据!$A$2:$A$1024,MATCH(X454,工厂基础数据!$D$2:$D$1024,0))</f>
        <v>02025767</v>
      </c>
      <c r="E454" s="6" t="str">
        <f>INDEX(工厂基础数据!$B$2:$B$1024,MATCH(X454,工厂基础数据!$D$2:$D$1024,0))</f>
        <v>滨州市仁信医药有限公司</v>
      </c>
      <c r="F454" s="6">
        <f>INDEX(商业2转码!$B$2:$B$10000,MATCH(E454,商业2转码!$A$2:$A$10000,0))</f>
        <v>0</v>
      </c>
      <c r="G454" s="6" t="str">
        <f>INDEX(品种2编码!$A$2:$A$1048576,MATCH(W454,品种2编码!$D$2:$D$1048576,0))</f>
        <v>0020020021ZYLC0005</v>
      </c>
      <c r="H454" s="6" t="s">
        <v>1920</v>
      </c>
      <c r="I454" s="6" t="s">
        <v>1841</v>
      </c>
      <c r="J454" s="6" t="s">
        <v>3036</v>
      </c>
      <c r="L454" s="6" t="s">
        <v>2350</v>
      </c>
      <c r="M454" s="6">
        <f>INDEX(医院2县区2人!$B$2:$B$1048576,MATCH(L454,医院2县区2人!$A$2:$A$1048576,0))</f>
        <v>2</v>
      </c>
      <c r="N454" s="6" t="str">
        <f>INDEX(医院2县区2人!$C$2:$C$1048576,MATCH(L454,医院2县区2人!$A$2:$A$1048576,0))</f>
        <v>1853</v>
      </c>
      <c r="P454" s="7">
        <v>43266.737743055557</v>
      </c>
      <c r="Q454" s="6">
        <v>10</v>
      </c>
      <c r="R454" s="6">
        <v>4</v>
      </c>
      <c r="S454" s="6">
        <v>180201</v>
      </c>
      <c r="T454" s="6" t="str">
        <f>INDEX(医院2县区2人!$D$2:$D$1048576,MATCH(L454,医院2县区2人!$A$2:$A$1048576,0))</f>
        <v>201602151421097</v>
      </c>
      <c r="W454" s="6" t="str">
        <f t="shared" si="17"/>
        <v>小儿严迪片/罗红霉素分散片50mg*12片</v>
      </c>
      <c r="X454" s="6" t="s">
        <v>2890</v>
      </c>
    </row>
    <row r="455" spans="1:24" x14ac:dyDescent="0.15">
      <c r="A455" s="7" t="str">
        <f t="shared" si="18"/>
        <v>201806</v>
      </c>
      <c r="C455" s="6" t="str">
        <f>INDEX(工厂基础数据!$A$2:$A$1024,MATCH(X455,工厂基础数据!$D$2:$D$1024,0))</f>
        <v>02025767</v>
      </c>
      <c r="E455" s="6" t="str">
        <f>INDEX(工厂基础数据!$B$2:$B$1024,MATCH(X455,工厂基础数据!$D$2:$D$1024,0))</f>
        <v>滨州市仁信医药有限公司</v>
      </c>
      <c r="F455" s="6">
        <f>INDEX(商业2转码!$B$2:$B$10000,MATCH(E455,商业2转码!$A$2:$A$10000,0))</f>
        <v>0</v>
      </c>
      <c r="G455" s="6">
        <f>INDEX(品种2编码!$A$2:$A$1048576,MATCH(W455,品种2编码!$D$2:$D$1048576,0))</f>
        <v>0</v>
      </c>
      <c r="H455" s="6" t="s">
        <v>3031</v>
      </c>
      <c r="I455" s="6" t="s">
        <v>3033</v>
      </c>
      <c r="J455" s="6" t="s">
        <v>3037</v>
      </c>
      <c r="L455" s="6" t="s">
        <v>2307</v>
      </c>
      <c r="M455" s="6">
        <f>INDEX(医院2县区2人!$B$2:$B$1048576,MATCH(L455,医院2县区2人!$A$2:$A$1048576,0))</f>
        <v>2</v>
      </c>
      <c r="N455" s="6" t="str">
        <f>INDEX(医院2县区2人!$C$2:$C$1048576,MATCH(L455,医院2县区2人!$A$2:$A$1048576,0))</f>
        <v>1855</v>
      </c>
      <c r="P455" s="7">
        <v>43266.737743055557</v>
      </c>
      <c r="Q455" s="6">
        <v>5</v>
      </c>
      <c r="R455" s="6">
        <v>17</v>
      </c>
      <c r="S455" s="6">
        <v>1707504</v>
      </c>
      <c r="T455" s="6" t="str">
        <f>INDEX(医院2县区2人!$D$2:$D$1048576,MATCH(L455,医院2县区2人!$A$2:$A$1048576,0))</f>
        <v>201602151421097</v>
      </c>
      <c r="W455" s="6" t="str">
        <f t="shared" si="17"/>
        <v>宫血停颗粒（无糖）10g*6d*60h</v>
      </c>
      <c r="X455" s="6" t="s">
        <v>2890</v>
      </c>
    </row>
    <row r="456" spans="1:24" x14ac:dyDescent="0.15">
      <c r="A456" s="7" t="str">
        <f t="shared" si="18"/>
        <v>201806</v>
      </c>
      <c r="C456" s="6" t="str">
        <f>INDEX(工厂基础数据!$A$2:$A$1024,MATCH(X456,工厂基础数据!$D$2:$D$1024,0))</f>
        <v>02025767</v>
      </c>
      <c r="E456" s="6" t="str">
        <f>INDEX(工厂基础数据!$B$2:$B$1024,MATCH(X456,工厂基础数据!$D$2:$D$1024,0))</f>
        <v>滨州市仁信医药有限公司</v>
      </c>
      <c r="F456" s="6">
        <f>INDEX(商业2转码!$B$2:$B$10000,MATCH(E456,商业2转码!$A$2:$A$10000,0))</f>
        <v>0</v>
      </c>
      <c r="G456" s="6" t="str">
        <f>INDEX(品种2编码!$A$2:$A$1048576,MATCH(W456,品种2编码!$D$2:$D$1048576,0))</f>
        <v>0020030001SJZY0009</v>
      </c>
      <c r="H456" s="6" t="s">
        <v>555</v>
      </c>
      <c r="I456" s="6" t="s">
        <v>1889</v>
      </c>
      <c r="J456" s="6" t="s">
        <v>3039</v>
      </c>
      <c r="L456" s="6" t="s">
        <v>2188</v>
      </c>
      <c r="M456" s="6">
        <f>INDEX(医院2县区2人!$B$2:$B$1048576,MATCH(L456,医院2县区2人!$A$2:$A$1048576,0))</f>
        <v>2</v>
      </c>
      <c r="N456" s="6" t="str">
        <f>INDEX(医院2县区2人!$C$2:$C$1048576,MATCH(L456,医院2县区2人!$A$2:$A$1048576,0))</f>
        <v>1855</v>
      </c>
      <c r="P456" s="7">
        <v>43266.737754629627</v>
      </c>
      <c r="Q456" s="6">
        <v>2</v>
      </c>
      <c r="R456" s="6">
        <v>25</v>
      </c>
      <c r="S456" s="6">
        <v>18031227</v>
      </c>
      <c r="T456" s="6" t="str">
        <f>INDEX(医院2县区2人!$D$2:$D$1048576,MATCH(L456,医院2县区2人!$A$2:$A$1048576,0))</f>
        <v>201602151421097</v>
      </c>
      <c r="W456" s="6" t="str">
        <f t="shared" si="17"/>
        <v>葡萄糖酸锌口服液10ML*12支</v>
      </c>
      <c r="X456" s="6" t="s">
        <v>2890</v>
      </c>
    </row>
    <row r="457" spans="1:24" x14ac:dyDescent="0.15">
      <c r="A457" s="7" t="str">
        <f t="shared" si="18"/>
        <v>201806</v>
      </c>
      <c r="C457" s="6" t="str">
        <f>INDEX(工厂基础数据!$A$2:$A$1024,MATCH(X457,工厂基础数据!$D$2:$D$1024,0))</f>
        <v>02025767</v>
      </c>
      <c r="E457" s="6" t="str">
        <f>INDEX(工厂基础数据!$B$2:$B$1024,MATCH(X457,工厂基础数据!$D$2:$D$1024,0))</f>
        <v>滨州市仁信医药有限公司</v>
      </c>
      <c r="F457" s="6">
        <f>INDEX(商业2转码!$B$2:$B$10000,MATCH(E457,商业2转码!$A$2:$A$10000,0))</f>
        <v>0</v>
      </c>
      <c r="G457" s="6" t="str">
        <f>INDEX(品种2编码!$A$2:$A$1048576,MATCH(W457,品种2编码!$D$2:$D$1048576,0))</f>
        <v>0020030020ZYLC0010</v>
      </c>
      <c r="H457" s="6" t="s">
        <v>1903</v>
      </c>
      <c r="I457" s="6" t="s">
        <v>1839</v>
      </c>
      <c r="J457" s="6" t="s">
        <v>3036</v>
      </c>
      <c r="L457" s="6" t="s">
        <v>2336</v>
      </c>
      <c r="M457" s="6">
        <f>INDEX(医院2县区2人!$B$2:$B$1048576,MATCH(L457,医院2县区2人!$A$2:$A$1048576,0))</f>
        <v>4</v>
      </c>
      <c r="N457" s="6" t="str">
        <f>INDEX(医院2县区2人!$C$2:$C$1048576,MATCH(L457,医院2县区2人!$A$2:$A$1048576,0))</f>
        <v>1856</v>
      </c>
      <c r="P457" s="7">
        <v>43267.737222222226</v>
      </c>
      <c r="Q457" s="6">
        <v>-100</v>
      </c>
      <c r="R457" s="6">
        <v>8</v>
      </c>
      <c r="S457" s="6">
        <v>161007</v>
      </c>
      <c r="T457" s="6" t="str">
        <f>INDEX(医院2县区2人!$D$2:$D$1048576,MATCH(L457,医院2县区2人!$A$2:$A$1048576,0))</f>
        <v>201602151421097</v>
      </c>
      <c r="W457" s="6" t="str">
        <f t="shared" si="17"/>
        <v>乳酸菌素片/为消0.4g*36片</v>
      </c>
      <c r="X457" s="6" t="s">
        <v>2890</v>
      </c>
    </row>
    <row r="458" spans="1:24" x14ac:dyDescent="0.15">
      <c r="A458" s="7" t="str">
        <f t="shared" si="18"/>
        <v>201806</v>
      </c>
      <c r="C458" s="6" t="str">
        <f>INDEX(工厂基础数据!$A$2:$A$1024,MATCH(X458,工厂基础数据!$D$2:$D$1024,0))</f>
        <v>02025767</v>
      </c>
      <c r="E458" s="6" t="str">
        <f>INDEX(工厂基础数据!$B$2:$B$1024,MATCH(X458,工厂基础数据!$D$2:$D$1024,0))</f>
        <v>滨州市仁信医药有限公司</v>
      </c>
      <c r="F458" s="6">
        <f>INDEX(商业2转码!$B$2:$B$10000,MATCH(E458,商业2转码!$A$2:$A$10000,0))</f>
        <v>0</v>
      </c>
      <c r="G458" s="6" t="str">
        <f>INDEX(品种2编码!$A$2:$A$1048576,MATCH(W458,品种2编码!$D$2:$D$1048576,0))</f>
        <v>0020020020ZYLC0010</v>
      </c>
      <c r="H458" s="6" t="s">
        <v>1877</v>
      </c>
      <c r="I458" s="6" t="s">
        <v>1878</v>
      </c>
      <c r="J458" s="6" t="s">
        <v>3036</v>
      </c>
      <c r="L458" s="6" t="s">
        <v>2654</v>
      </c>
      <c r="M458" s="6">
        <f>INDEX(医院2县区2人!$B$2:$B$1048576,MATCH(L458,医院2县区2人!$A$2:$A$1048576,0))</f>
        <v>2</v>
      </c>
      <c r="N458" s="6" t="str">
        <f>INDEX(医院2县区2人!$C$2:$C$1048576,MATCH(L458,医院2县区2人!$A$2:$A$1048576,0))</f>
        <v>1855</v>
      </c>
      <c r="P458" s="7">
        <v>43267.734224537038</v>
      </c>
      <c r="Q458" s="6">
        <v>10</v>
      </c>
      <c r="R458" s="6">
        <v>3.5</v>
      </c>
      <c r="S458" s="6">
        <v>180401</v>
      </c>
      <c r="T458" s="6" t="str">
        <f>INDEX(医院2县区2人!$D$2:$D$1048576,MATCH(L458,医院2县区2人!$A$2:$A$1048576,0))</f>
        <v>201602151421097</v>
      </c>
      <c r="W458" s="6" t="str">
        <f t="shared" si="17"/>
        <v xml:space="preserve">泻利停/颠茄磺苄啶片0.48g*10片 </v>
      </c>
      <c r="X458" s="6" t="s">
        <v>2890</v>
      </c>
    </row>
    <row r="459" spans="1:24" x14ac:dyDescent="0.15">
      <c r="A459" s="7" t="str">
        <f t="shared" si="18"/>
        <v>201806</v>
      </c>
      <c r="C459" s="6" t="str">
        <f>INDEX(工厂基础数据!$A$2:$A$1024,MATCH(X459,工厂基础数据!$D$2:$D$1024,0))</f>
        <v>02025767</v>
      </c>
      <c r="E459" s="6" t="str">
        <f>INDEX(工厂基础数据!$B$2:$B$1024,MATCH(X459,工厂基础数据!$D$2:$D$1024,0))</f>
        <v>滨州市仁信医药有限公司</v>
      </c>
      <c r="F459" s="6">
        <f>INDEX(商业2转码!$B$2:$B$10000,MATCH(E459,商业2转码!$A$2:$A$10000,0))</f>
        <v>0</v>
      </c>
      <c r="G459" s="6" t="str">
        <f>INDEX(品种2编码!$A$2:$A$1048576,MATCH(W459,品种2编码!$D$2:$D$1048576,0))</f>
        <v>0020030020SJSC0004</v>
      </c>
      <c r="H459" s="6" t="s">
        <v>1907</v>
      </c>
      <c r="I459" s="6" t="s">
        <v>1871</v>
      </c>
      <c r="J459" s="6" t="s">
        <v>3045</v>
      </c>
      <c r="L459" s="6" t="s">
        <v>2218</v>
      </c>
      <c r="M459" s="6">
        <f>INDEX(医院2县区2人!$B$2:$B$1048576,MATCH(L459,医院2县区2人!$A$2:$A$1048576,0))</f>
        <v>2</v>
      </c>
      <c r="N459" s="6" t="str">
        <f>INDEX(医院2县区2人!$C$2:$C$1048576,MATCH(L459,医院2县区2人!$A$2:$A$1048576,0))</f>
        <v>1855</v>
      </c>
      <c r="P459" s="7">
        <v>43266.737847222219</v>
      </c>
      <c r="Q459" s="6">
        <v>3</v>
      </c>
      <c r="R459" s="6">
        <v>12.5</v>
      </c>
      <c r="S459" s="6">
        <v>1803006</v>
      </c>
      <c r="T459" s="6" t="str">
        <f>INDEX(医院2县区2人!$D$2:$D$1048576,MATCH(L459,医院2县区2人!$A$2:$A$1048576,0))</f>
        <v>201602151421097</v>
      </c>
      <c r="W459" s="6" t="str">
        <f t="shared" si="17"/>
        <v>胃必治/复方铝酸铋片50片</v>
      </c>
      <c r="X459" s="6" t="s">
        <v>2890</v>
      </c>
    </row>
    <row r="460" spans="1:24" x14ac:dyDescent="0.15">
      <c r="A460" s="7" t="str">
        <f t="shared" si="18"/>
        <v>201806</v>
      </c>
      <c r="C460" s="6" t="str">
        <f>INDEX(工厂基础数据!$A$2:$A$1024,MATCH(X460,工厂基础数据!$D$2:$D$1024,0))</f>
        <v>02025767</v>
      </c>
      <c r="E460" s="6" t="str">
        <f>INDEX(工厂基础数据!$B$2:$B$1024,MATCH(X460,工厂基础数据!$D$2:$D$1024,0))</f>
        <v>滨州市仁信医药有限公司</v>
      </c>
      <c r="F460" s="6">
        <f>INDEX(商业2转码!$B$2:$B$10000,MATCH(E460,商业2转码!$A$2:$A$10000,0))</f>
        <v>0</v>
      </c>
      <c r="G460" s="6" t="str">
        <f>INDEX(品种2编码!$A$2:$A$1048576,MATCH(W460,品种2编码!$D$2:$D$1048576,0))</f>
        <v>0020030001SJZY0006</v>
      </c>
      <c r="H460" s="6" t="s">
        <v>1888</v>
      </c>
      <c r="I460" s="6" t="s">
        <v>411</v>
      </c>
      <c r="J460" s="6" t="s">
        <v>3040</v>
      </c>
      <c r="L460" s="6" t="s">
        <v>2397</v>
      </c>
      <c r="M460" s="6">
        <f>INDEX(医院2县区2人!$B$2:$B$1048576,MATCH(L460,医院2县区2人!$A$2:$A$1048576,0))</f>
        <v>1</v>
      </c>
      <c r="N460" s="6" t="str">
        <f>INDEX(医院2县区2人!$C$2:$C$1048576,MATCH(L460,医院2县区2人!$A$2:$A$1048576,0))</f>
        <v>1853</v>
      </c>
      <c r="P460" s="7">
        <v>43266.737719907411</v>
      </c>
      <c r="Q460" s="6">
        <v>20</v>
      </c>
      <c r="R460" s="6">
        <v>25</v>
      </c>
      <c r="S460" s="6">
        <v>17071042</v>
      </c>
      <c r="T460" s="6" t="str">
        <f>INDEX(医院2县区2人!$D$2:$D$1048576,MATCH(L460,医院2县区2人!$A$2:$A$1048576,0))</f>
        <v>201602151421097</v>
      </c>
      <c r="W460" s="6" t="str">
        <f t="shared" si="17"/>
        <v>葡萄糖酸钙口服溶液（含糖）10ml*12支</v>
      </c>
      <c r="X460" s="6" t="s">
        <v>2890</v>
      </c>
    </row>
    <row r="461" spans="1:24" x14ac:dyDescent="0.15">
      <c r="A461" s="7" t="str">
        <f t="shared" si="18"/>
        <v>201806</v>
      </c>
      <c r="C461" s="6" t="str">
        <f>INDEX(工厂基础数据!$A$2:$A$1024,MATCH(X461,工厂基础数据!$D$2:$D$1024,0))</f>
        <v>02025767</v>
      </c>
      <c r="E461" s="6" t="str">
        <f>INDEX(工厂基础数据!$B$2:$B$1024,MATCH(X461,工厂基础数据!$D$2:$D$1024,0))</f>
        <v>滨州市仁信医药有限公司</v>
      </c>
      <c r="F461" s="6">
        <f>INDEX(商业2转码!$B$2:$B$10000,MATCH(E461,商业2转码!$A$2:$A$10000,0))</f>
        <v>0</v>
      </c>
      <c r="G461" s="6" t="str">
        <f>INDEX(品种2编码!$A$2:$A$1048576,MATCH(W461,品种2编码!$D$2:$D$1048576,0))</f>
        <v>0020030001SJZY0009</v>
      </c>
      <c r="H461" s="6" t="s">
        <v>555</v>
      </c>
      <c r="I461" s="6" t="s">
        <v>1889</v>
      </c>
      <c r="J461" s="6" t="s">
        <v>3039</v>
      </c>
      <c r="L461" s="6" t="s">
        <v>2397</v>
      </c>
      <c r="M461" s="6">
        <f>INDEX(医院2县区2人!$B$2:$B$1048576,MATCH(L461,医院2县区2人!$A$2:$A$1048576,0))</f>
        <v>1</v>
      </c>
      <c r="N461" s="6" t="str">
        <f>INDEX(医院2县区2人!$C$2:$C$1048576,MATCH(L461,医院2县区2人!$A$2:$A$1048576,0))</f>
        <v>1853</v>
      </c>
      <c r="P461" s="7">
        <v>43266.73777777778</v>
      </c>
      <c r="Q461" s="6">
        <v>20</v>
      </c>
      <c r="R461" s="6">
        <v>25</v>
      </c>
      <c r="S461" s="6">
        <v>18031227</v>
      </c>
      <c r="T461" s="6" t="str">
        <f>INDEX(医院2县区2人!$D$2:$D$1048576,MATCH(L461,医院2县区2人!$A$2:$A$1048576,0))</f>
        <v>201602151421097</v>
      </c>
      <c r="W461" s="6" t="str">
        <f t="shared" si="17"/>
        <v>葡萄糖酸锌口服液10ML*12支</v>
      </c>
      <c r="X461" s="6" t="s">
        <v>2890</v>
      </c>
    </row>
    <row r="462" spans="1:24" x14ac:dyDescent="0.15">
      <c r="A462" s="7" t="str">
        <f t="shared" si="18"/>
        <v>201806</v>
      </c>
      <c r="C462" s="6" t="str">
        <f>INDEX(工厂基础数据!$A$2:$A$1024,MATCH(X462,工厂基础数据!$D$2:$D$1024,0))</f>
        <v>02025767</v>
      </c>
      <c r="E462" s="6" t="str">
        <f>INDEX(工厂基础数据!$B$2:$B$1024,MATCH(X462,工厂基础数据!$D$2:$D$1024,0))</f>
        <v>滨州市仁信医药有限公司</v>
      </c>
      <c r="F462" s="6">
        <f>INDEX(商业2转码!$B$2:$B$10000,MATCH(E462,商业2转码!$A$2:$A$10000,0))</f>
        <v>0</v>
      </c>
      <c r="G462" s="6" t="str">
        <f>INDEX(品种2编码!$A$2:$A$1048576,MATCH(W462,品种2编码!$D$2:$D$1048576,0))</f>
        <v>0020050090SJZY0001</v>
      </c>
      <c r="H462" s="6" t="s">
        <v>630</v>
      </c>
      <c r="I462" s="6" t="s">
        <v>1850</v>
      </c>
      <c r="J462" s="6" t="s">
        <v>3040</v>
      </c>
      <c r="L462" s="6" t="s">
        <v>2184</v>
      </c>
      <c r="M462" s="6">
        <f>INDEX(医院2县区2人!$B$2:$B$1048576,MATCH(L462,医院2县区2人!$A$2:$A$1048576,0))</f>
        <v>2</v>
      </c>
      <c r="N462" s="6" t="str">
        <f>INDEX(医院2县区2人!$C$2:$C$1048576,MATCH(L462,医院2县区2人!$A$2:$A$1048576,0))</f>
        <v>1853</v>
      </c>
      <c r="P462" s="7">
        <v>43266.73773148148</v>
      </c>
      <c r="Q462" s="6">
        <v>5</v>
      </c>
      <c r="R462" s="6">
        <v>16.5</v>
      </c>
      <c r="S462" s="6">
        <v>17062821</v>
      </c>
      <c r="T462" s="6" t="str">
        <f>INDEX(医院2县区2人!$D$2:$D$1048576,MATCH(L462,医院2县区2人!$A$2:$A$1048576,0))</f>
        <v>201602151421097</v>
      </c>
      <c r="W462" s="6" t="str">
        <f t="shared" si="17"/>
        <v>双黄连口服液10ml*10支</v>
      </c>
      <c r="X462" s="6" t="s">
        <v>2890</v>
      </c>
    </row>
    <row r="463" spans="1:24" x14ac:dyDescent="0.15">
      <c r="A463" s="7" t="str">
        <f t="shared" si="18"/>
        <v>201806</v>
      </c>
      <c r="C463" s="6" t="str">
        <f>INDEX(工厂基础数据!$A$2:$A$1024,MATCH(X463,工厂基础数据!$D$2:$D$1024,0))</f>
        <v>02025767</v>
      </c>
      <c r="E463" s="6" t="str">
        <f>INDEX(工厂基础数据!$B$2:$B$1024,MATCH(X463,工厂基础数据!$D$2:$D$1024,0))</f>
        <v>滨州市仁信医药有限公司</v>
      </c>
      <c r="F463" s="6">
        <f>INDEX(商业2转码!$B$2:$B$10000,MATCH(E463,商业2转码!$A$2:$A$10000,0))</f>
        <v>0</v>
      </c>
      <c r="G463" s="6">
        <f>INDEX(品种2编码!$A$2:$A$1048576,MATCH(W463,品种2编码!$D$2:$D$1048576,0))</f>
        <v>0</v>
      </c>
      <c r="H463" s="6" t="s">
        <v>3032</v>
      </c>
      <c r="I463" s="6" t="s">
        <v>3034</v>
      </c>
      <c r="J463" s="6" t="s">
        <v>3041</v>
      </c>
      <c r="L463" s="6" t="s">
        <v>2755</v>
      </c>
      <c r="M463" s="6">
        <f>INDEX(医院2县区2人!$B$2:$B$1048576,MATCH(L463,医院2县区2人!$A$2:$A$1048576,0))</f>
        <v>2</v>
      </c>
      <c r="N463" s="6" t="str">
        <f>INDEX(医院2县区2人!$C$2:$C$1048576,MATCH(L463,医院2县区2人!$A$2:$A$1048576,0))</f>
        <v>1855</v>
      </c>
      <c r="P463" s="7">
        <v>43266.737916666665</v>
      </c>
      <c r="Q463" s="6">
        <v>60</v>
      </c>
      <c r="R463" s="6">
        <v>10</v>
      </c>
      <c r="S463" s="6">
        <v>1705009</v>
      </c>
      <c r="T463" s="6" t="str">
        <f>INDEX(医院2县区2人!$D$2:$D$1048576,MATCH(L463,医院2县区2人!$A$2:$A$1048576,0))</f>
        <v>201602151421097</v>
      </c>
      <c r="W463" s="6" t="str">
        <f t="shared" si="17"/>
        <v>注射用双黄连粉针(冻干)600mg*12z/盒</v>
      </c>
      <c r="X463" s="6" t="s">
        <v>2890</v>
      </c>
    </row>
    <row r="464" spans="1:24" x14ac:dyDescent="0.15">
      <c r="A464" s="7" t="str">
        <f t="shared" si="18"/>
        <v>201806</v>
      </c>
      <c r="C464" s="6" t="str">
        <f>INDEX(工厂基础数据!$A$2:$A$1024,MATCH(X464,工厂基础数据!$D$2:$D$1024,0))</f>
        <v>02025767</v>
      </c>
      <c r="E464" s="6" t="str">
        <f>INDEX(工厂基础数据!$B$2:$B$1024,MATCH(X464,工厂基础数据!$D$2:$D$1024,0))</f>
        <v>滨州市仁信医药有限公司</v>
      </c>
      <c r="F464" s="6">
        <f>INDEX(商业2转码!$B$2:$B$10000,MATCH(E464,商业2转码!$A$2:$A$10000,0))</f>
        <v>0</v>
      </c>
      <c r="G464" s="6" t="str">
        <f>INDEX(品种2编码!$A$2:$A$1048576,MATCH(W464,品种2编码!$D$2:$D$1048576,0))</f>
        <v>0020020020ZYLC0010</v>
      </c>
      <c r="H464" s="6" t="s">
        <v>1877</v>
      </c>
      <c r="I464" s="6" t="s">
        <v>1878</v>
      </c>
      <c r="J464" s="6" t="s">
        <v>3036</v>
      </c>
      <c r="L464" s="6" t="s">
        <v>2265</v>
      </c>
      <c r="M464" s="6">
        <f>INDEX(医院2县区2人!$B$2:$B$1048576,MATCH(L464,医院2县区2人!$A$2:$A$1048576,0))</f>
        <v>2</v>
      </c>
      <c r="N464" s="6" t="str">
        <f>INDEX(医院2县区2人!$C$2:$C$1048576,MATCH(L464,医院2县区2人!$A$2:$A$1048576,0))</f>
        <v>1855</v>
      </c>
      <c r="P464" s="7">
        <v>43267.734270833331</v>
      </c>
      <c r="Q464" s="6">
        <v>10</v>
      </c>
      <c r="R464" s="6">
        <v>3.5</v>
      </c>
      <c r="S464" s="6">
        <v>180401</v>
      </c>
      <c r="T464" s="6" t="str">
        <f>INDEX(医院2县区2人!$D$2:$D$1048576,MATCH(L464,医院2县区2人!$A$2:$A$1048576,0))</f>
        <v>201602151421097</v>
      </c>
      <c r="W464" s="6" t="str">
        <f t="shared" si="17"/>
        <v xml:space="preserve">泻利停/颠茄磺苄啶片0.48g*10片 </v>
      </c>
      <c r="X464" s="6" t="s">
        <v>2890</v>
      </c>
    </row>
    <row r="465" spans="1:24" x14ac:dyDescent="0.15">
      <c r="A465" s="7" t="str">
        <f t="shared" si="18"/>
        <v>201806</v>
      </c>
      <c r="C465" s="6" t="str">
        <f>INDEX(工厂基础数据!$A$2:$A$1024,MATCH(X465,工厂基础数据!$D$2:$D$1024,0))</f>
        <v>02025767</v>
      </c>
      <c r="E465" s="6" t="str">
        <f>INDEX(工厂基础数据!$B$2:$B$1024,MATCH(X465,工厂基础数据!$D$2:$D$1024,0))</f>
        <v>滨州市仁信医药有限公司</v>
      </c>
      <c r="F465" s="6">
        <f>INDEX(商业2转码!$B$2:$B$10000,MATCH(E465,商业2转码!$A$2:$A$10000,0))</f>
        <v>0</v>
      </c>
      <c r="G465" s="6" t="str">
        <f>INDEX(品种2编码!$A$2:$A$1048576,MATCH(W465,品种2编码!$D$2:$D$1048576,0))</f>
        <v>0020020020ZYLC0010</v>
      </c>
      <c r="H465" s="6" t="s">
        <v>1877</v>
      </c>
      <c r="I465" s="6" t="s">
        <v>1878</v>
      </c>
      <c r="J465" s="6" t="s">
        <v>3036</v>
      </c>
      <c r="L465" s="6" t="s">
        <v>2153</v>
      </c>
      <c r="M465" s="6">
        <f>INDEX(医院2县区2人!$B$2:$B$1048576,MATCH(L465,医院2县区2人!$A$2:$A$1048576,0))</f>
        <v>2</v>
      </c>
      <c r="N465" s="6" t="str">
        <f>INDEX(医院2县区2人!$C$2:$C$1048576,MATCH(L465,医院2县区2人!$A$2:$A$1048576,0))</f>
        <v>1859</v>
      </c>
      <c r="P465" s="7">
        <v>43267.734548611108</v>
      </c>
      <c r="Q465" s="6">
        <v>20</v>
      </c>
      <c r="R465" s="6">
        <v>3.5</v>
      </c>
      <c r="S465" s="6">
        <v>180401</v>
      </c>
      <c r="T465" s="6" t="str">
        <f>INDEX(医院2县区2人!$D$2:$D$1048576,MATCH(L465,医院2县区2人!$A$2:$A$1048576,0))</f>
        <v>201602151421097</v>
      </c>
      <c r="W465" s="6" t="str">
        <f t="shared" si="17"/>
        <v xml:space="preserve">泻利停/颠茄磺苄啶片0.48g*10片 </v>
      </c>
      <c r="X465" s="6" t="s">
        <v>2890</v>
      </c>
    </row>
    <row r="466" spans="1:24" x14ac:dyDescent="0.15">
      <c r="A466" s="7" t="str">
        <f t="shared" si="18"/>
        <v>201806</v>
      </c>
      <c r="C466" s="6" t="str">
        <f>INDEX(工厂基础数据!$A$2:$A$1024,MATCH(X466,工厂基础数据!$D$2:$D$1024,0))</f>
        <v>02025767</v>
      </c>
      <c r="E466" s="6" t="str">
        <f>INDEX(工厂基础数据!$B$2:$B$1024,MATCH(X466,工厂基础数据!$D$2:$D$1024,0))</f>
        <v>滨州市仁信医药有限公司</v>
      </c>
      <c r="F466" s="6">
        <f>INDEX(商业2转码!$B$2:$B$10000,MATCH(E466,商业2转码!$A$2:$A$10000,0))</f>
        <v>0</v>
      </c>
      <c r="G466" s="6" t="str">
        <f>INDEX(品种2编码!$A$2:$A$1048576,MATCH(W466,品种2编码!$D$2:$D$1048576,0))</f>
        <v>0020070000ZYLC0055</v>
      </c>
      <c r="H466" s="6" t="s">
        <v>1906</v>
      </c>
      <c r="I466" s="6" t="s">
        <v>411</v>
      </c>
      <c r="J466" s="6" t="s">
        <v>3036</v>
      </c>
      <c r="L466" s="6" t="s">
        <v>2274</v>
      </c>
      <c r="M466" s="6">
        <f>INDEX(医院2县区2人!$B$2:$B$1048576,MATCH(L466,医院2县区2人!$A$2:$A$1048576,0))</f>
        <v>1</v>
      </c>
      <c r="N466" s="6" t="str">
        <f>INDEX(医院2县区2人!$C$2:$C$1048576,MATCH(L466,医院2县区2人!$A$2:$A$1048576,0))</f>
        <v>1859</v>
      </c>
      <c r="P466" s="7">
        <v>43267.734409722223</v>
      </c>
      <c r="Q466" s="6">
        <v>8</v>
      </c>
      <c r="R466" s="6">
        <v>20</v>
      </c>
      <c r="S466" s="6">
        <v>171064</v>
      </c>
      <c r="T466" s="6" t="str">
        <f>INDEX(医院2县区2人!$D$2:$D$1048576,MATCH(L466,医院2县区2人!$A$2:$A$1048576,0))</f>
        <v>201602151421097</v>
      </c>
      <c r="W466" s="6" t="str">
        <f t="shared" si="17"/>
        <v>朴血/乳酸亚铁口服液10ml*12支</v>
      </c>
      <c r="X466" s="6" t="s">
        <v>2890</v>
      </c>
    </row>
    <row r="467" spans="1:24" x14ac:dyDescent="0.15">
      <c r="A467" s="7" t="str">
        <f t="shared" si="18"/>
        <v>201806</v>
      </c>
      <c r="C467" s="6" t="str">
        <f>INDEX(工厂基础数据!$A$2:$A$1024,MATCH(X467,工厂基础数据!$D$2:$D$1024,0))</f>
        <v>02025767</v>
      </c>
      <c r="E467" s="6" t="str">
        <f>INDEX(工厂基础数据!$B$2:$B$1024,MATCH(X467,工厂基础数据!$D$2:$D$1024,0))</f>
        <v>滨州市仁信医药有限公司</v>
      </c>
      <c r="F467" s="6">
        <f>INDEX(商业2转码!$B$2:$B$10000,MATCH(E467,商业2转码!$A$2:$A$10000,0))</f>
        <v>0</v>
      </c>
      <c r="G467" s="6" t="str">
        <f>INDEX(品种2编码!$A$2:$A$1048576,MATCH(W467,品种2编码!$D$2:$D$1048576,0))</f>
        <v>0020070000ZYLC0055</v>
      </c>
      <c r="H467" s="6" t="s">
        <v>1906</v>
      </c>
      <c r="I467" s="6" t="s">
        <v>411</v>
      </c>
      <c r="J467" s="6" t="s">
        <v>3036</v>
      </c>
      <c r="L467" s="6" t="s">
        <v>2274</v>
      </c>
      <c r="M467" s="6">
        <f>INDEX(医院2县区2人!$B$2:$B$1048576,MATCH(L467,医院2县区2人!$A$2:$A$1048576,0))</f>
        <v>1</v>
      </c>
      <c r="N467" s="6" t="str">
        <f>INDEX(医院2县区2人!$C$2:$C$1048576,MATCH(L467,医院2县区2人!$A$2:$A$1048576,0))</f>
        <v>1859</v>
      </c>
      <c r="P467" s="7">
        <v>43267.734409722223</v>
      </c>
      <c r="Q467" s="6">
        <v>2</v>
      </c>
      <c r="R467" s="6">
        <v>20</v>
      </c>
      <c r="S467" s="6">
        <v>170615</v>
      </c>
      <c r="T467" s="6" t="str">
        <f>INDEX(医院2县区2人!$D$2:$D$1048576,MATCH(L467,医院2县区2人!$A$2:$A$1048576,0))</f>
        <v>201602151421097</v>
      </c>
      <c r="W467" s="6" t="str">
        <f t="shared" si="17"/>
        <v>朴血/乳酸亚铁口服液10ml*12支</v>
      </c>
      <c r="X467" s="6" t="s">
        <v>2890</v>
      </c>
    </row>
    <row r="468" spans="1:24" x14ac:dyDescent="0.15">
      <c r="A468" s="7" t="str">
        <f t="shared" si="18"/>
        <v>201806</v>
      </c>
      <c r="C468" s="6" t="str">
        <f>INDEX(工厂基础数据!$A$2:$A$1024,MATCH(X468,工厂基础数据!$D$2:$D$1024,0))</f>
        <v>02025767</v>
      </c>
      <c r="E468" s="6" t="str">
        <f>INDEX(工厂基础数据!$B$2:$B$1024,MATCH(X468,工厂基础数据!$D$2:$D$1024,0))</f>
        <v>滨州市仁信医药有限公司</v>
      </c>
      <c r="F468" s="6">
        <f>INDEX(商业2转码!$B$2:$B$10000,MATCH(E468,商业2转码!$A$2:$A$10000,0))</f>
        <v>0</v>
      </c>
      <c r="G468" s="6" t="str">
        <f>INDEX(品种2编码!$A$2:$A$1048576,MATCH(W468,品种2编码!$D$2:$D$1048576,0))</f>
        <v>0020030001SJZY0006</v>
      </c>
      <c r="H468" s="6" t="s">
        <v>1888</v>
      </c>
      <c r="I468" s="6" t="s">
        <v>411</v>
      </c>
      <c r="J468" s="6" t="s">
        <v>3040</v>
      </c>
      <c r="L468" s="6" t="s">
        <v>2189</v>
      </c>
      <c r="M468" s="6">
        <f>INDEX(医院2县区2人!$B$2:$B$1048576,MATCH(L468,医院2县区2人!$A$2:$A$1048576,0))</f>
        <v>1</v>
      </c>
      <c r="N468" s="6" t="str">
        <f>INDEX(医院2县区2人!$C$2:$C$1048576,MATCH(L468,医院2县区2人!$A$2:$A$1048576,0))</f>
        <v>1854</v>
      </c>
      <c r="P468" s="7">
        <v>43267.734513888892</v>
      </c>
      <c r="Q468" s="6">
        <v>2</v>
      </c>
      <c r="R468" s="6">
        <v>25</v>
      </c>
      <c r="S468" s="6">
        <v>17071042</v>
      </c>
      <c r="T468" s="6" t="str">
        <f>INDEX(医院2县区2人!$D$2:$D$1048576,MATCH(L468,医院2县区2人!$A$2:$A$1048576,0))</f>
        <v>201602151421097</v>
      </c>
      <c r="W468" s="6" t="str">
        <f t="shared" si="17"/>
        <v>葡萄糖酸钙口服溶液（含糖）10ml*12支</v>
      </c>
      <c r="X468" s="6" t="s">
        <v>2890</v>
      </c>
    </row>
    <row r="469" spans="1:24" x14ac:dyDescent="0.15">
      <c r="A469" s="7" t="str">
        <f t="shared" si="18"/>
        <v>201806</v>
      </c>
      <c r="C469" s="6" t="str">
        <f>INDEX(工厂基础数据!$A$2:$A$1024,MATCH(X469,工厂基础数据!$D$2:$D$1024,0))</f>
        <v>02025767</v>
      </c>
      <c r="E469" s="6" t="str">
        <f>INDEX(工厂基础数据!$B$2:$B$1024,MATCH(X469,工厂基础数据!$D$2:$D$1024,0))</f>
        <v>滨州市仁信医药有限公司</v>
      </c>
      <c r="F469" s="6">
        <f>INDEX(商业2转码!$B$2:$B$10000,MATCH(E469,商业2转码!$A$2:$A$10000,0))</f>
        <v>0</v>
      </c>
      <c r="G469" s="6" t="str">
        <f>INDEX(品种2编码!$A$2:$A$1048576,MATCH(W469,品种2编码!$D$2:$D$1048576,0))</f>
        <v>0020030001SJZY0009</v>
      </c>
      <c r="H469" s="6" t="s">
        <v>555</v>
      </c>
      <c r="I469" s="6" t="s">
        <v>1889</v>
      </c>
      <c r="J469" s="6" t="s">
        <v>3039</v>
      </c>
      <c r="L469" s="6" t="s">
        <v>2189</v>
      </c>
      <c r="M469" s="6">
        <f>INDEX(医院2县区2人!$B$2:$B$1048576,MATCH(L469,医院2县区2人!$A$2:$A$1048576,0))</f>
        <v>1</v>
      </c>
      <c r="N469" s="6" t="str">
        <f>INDEX(医院2县区2人!$C$2:$C$1048576,MATCH(L469,医院2县区2人!$A$2:$A$1048576,0))</f>
        <v>1854</v>
      </c>
      <c r="P469" s="7">
        <v>43267.734513888892</v>
      </c>
      <c r="Q469" s="6">
        <v>2</v>
      </c>
      <c r="R469" s="6">
        <v>25</v>
      </c>
      <c r="S469" s="6">
        <v>18031227</v>
      </c>
      <c r="T469" s="6" t="str">
        <f>INDEX(医院2县区2人!$D$2:$D$1048576,MATCH(L469,医院2县区2人!$A$2:$A$1048576,0))</f>
        <v>201602151421097</v>
      </c>
      <c r="W469" s="6" t="str">
        <f t="shared" si="17"/>
        <v>葡萄糖酸锌口服液10ML*12支</v>
      </c>
      <c r="X469" s="6" t="s">
        <v>2890</v>
      </c>
    </row>
    <row r="470" spans="1:24" x14ac:dyDescent="0.15">
      <c r="A470" s="7" t="str">
        <f t="shared" si="18"/>
        <v>201806</v>
      </c>
      <c r="C470" s="6" t="str">
        <f>INDEX(工厂基础数据!$A$2:$A$1024,MATCH(X470,工厂基础数据!$D$2:$D$1024,0))</f>
        <v>02025767</v>
      </c>
      <c r="E470" s="6" t="str">
        <f>INDEX(工厂基础数据!$B$2:$B$1024,MATCH(X470,工厂基础数据!$D$2:$D$1024,0))</f>
        <v>滨州市仁信医药有限公司</v>
      </c>
      <c r="F470" s="6">
        <f>INDEX(商业2转码!$B$2:$B$10000,MATCH(E470,商业2转码!$A$2:$A$10000,0))</f>
        <v>0</v>
      </c>
      <c r="G470" s="6" t="str">
        <f>INDEX(品种2编码!$A$2:$A$1048576,MATCH(W470,品种2编码!$D$2:$D$1048576,0))</f>
        <v>0020030001SJZY0009</v>
      </c>
      <c r="H470" s="6" t="s">
        <v>555</v>
      </c>
      <c r="I470" s="6" t="s">
        <v>1889</v>
      </c>
      <c r="J470" s="6" t="s">
        <v>3039</v>
      </c>
      <c r="L470" s="6" t="s">
        <v>3011</v>
      </c>
      <c r="M470" s="6" t="e">
        <f>INDEX(医院2县区2人!$B$2:$B$1048576,MATCH(L470,医院2县区2人!$A$2:$A$1048576,0))</f>
        <v>#N/A</v>
      </c>
      <c r="N470" s="6" t="e">
        <f>INDEX(医院2县区2人!$C$2:$C$1048576,MATCH(L470,医院2县区2人!$A$2:$A$1048576,0))</f>
        <v>#N/A</v>
      </c>
      <c r="P470" s="7">
        <v>43267.734513888892</v>
      </c>
      <c r="Q470" s="6">
        <v>5</v>
      </c>
      <c r="R470" s="6">
        <v>25</v>
      </c>
      <c r="S470" s="6">
        <v>18031227</v>
      </c>
      <c r="T470" s="6" t="e">
        <f>INDEX(医院2县区2人!$D$2:$D$1048576,MATCH(L470,医院2县区2人!$A$2:$A$1048576,0))</f>
        <v>#N/A</v>
      </c>
      <c r="W470" s="6" t="str">
        <f t="shared" si="17"/>
        <v>葡萄糖酸锌口服液10ML*12支</v>
      </c>
      <c r="X470" s="6" t="s">
        <v>2890</v>
      </c>
    </row>
    <row r="471" spans="1:24" x14ac:dyDescent="0.15">
      <c r="A471" s="7" t="str">
        <f t="shared" si="18"/>
        <v>201806</v>
      </c>
      <c r="C471" s="6" t="str">
        <f>INDEX(工厂基础数据!$A$2:$A$1024,MATCH(X471,工厂基础数据!$D$2:$D$1024,0))</f>
        <v>02025767</v>
      </c>
      <c r="E471" s="6" t="str">
        <f>INDEX(工厂基础数据!$B$2:$B$1024,MATCH(X471,工厂基础数据!$D$2:$D$1024,0))</f>
        <v>滨州市仁信医药有限公司</v>
      </c>
      <c r="F471" s="6">
        <f>INDEX(商业2转码!$B$2:$B$10000,MATCH(E471,商业2转码!$A$2:$A$10000,0))</f>
        <v>0</v>
      </c>
      <c r="G471" s="6" t="str">
        <f>INDEX(品种2编码!$A$2:$A$1048576,MATCH(W471,品种2编码!$D$2:$D$1048576,0))</f>
        <v>0020030001SJZY0006</v>
      </c>
      <c r="H471" s="6" t="s">
        <v>1888</v>
      </c>
      <c r="I471" s="6" t="s">
        <v>411</v>
      </c>
      <c r="J471" s="6" t="s">
        <v>3040</v>
      </c>
      <c r="L471" s="6" t="s">
        <v>3011</v>
      </c>
      <c r="M471" s="6" t="e">
        <f>INDEX(医院2县区2人!$B$2:$B$1048576,MATCH(L471,医院2县区2人!$A$2:$A$1048576,0))</f>
        <v>#N/A</v>
      </c>
      <c r="N471" s="6" t="e">
        <f>INDEX(医院2县区2人!$C$2:$C$1048576,MATCH(L471,医院2县区2人!$A$2:$A$1048576,0))</f>
        <v>#N/A</v>
      </c>
      <c r="P471" s="7">
        <v>43267.734513888892</v>
      </c>
      <c r="Q471" s="6">
        <v>5</v>
      </c>
      <c r="R471" s="6">
        <v>25</v>
      </c>
      <c r="S471" s="6">
        <v>17071042</v>
      </c>
      <c r="T471" s="6" t="e">
        <f>INDEX(医院2县区2人!$D$2:$D$1048576,MATCH(L471,医院2县区2人!$A$2:$A$1048576,0))</f>
        <v>#N/A</v>
      </c>
      <c r="W471" s="6" t="str">
        <f t="shared" si="17"/>
        <v>葡萄糖酸钙口服溶液（含糖）10ml*12支</v>
      </c>
      <c r="X471" s="6" t="s">
        <v>2890</v>
      </c>
    </row>
    <row r="472" spans="1:24" x14ac:dyDescent="0.15">
      <c r="A472" s="7" t="str">
        <f t="shared" si="18"/>
        <v>201806</v>
      </c>
      <c r="C472" s="6" t="str">
        <f>INDEX(工厂基础数据!$A$2:$A$1024,MATCH(X472,工厂基础数据!$D$2:$D$1024,0))</f>
        <v>02025767</v>
      </c>
      <c r="E472" s="6" t="str">
        <f>INDEX(工厂基础数据!$B$2:$B$1024,MATCH(X472,工厂基础数据!$D$2:$D$1024,0))</f>
        <v>滨州市仁信医药有限公司</v>
      </c>
      <c r="F472" s="6">
        <f>INDEX(商业2转码!$B$2:$B$10000,MATCH(E472,商业2转码!$A$2:$A$10000,0))</f>
        <v>0</v>
      </c>
      <c r="G472" s="6" t="str">
        <f>INDEX(品种2编码!$A$2:$A$1048576,MATCH(W472,品种2编码!$D$2:$D$1048576,0))</f>
        <v>0020020021ZYLC0004</v>
      </c>
      <c r="H472" s="6" t="s">
        <v>1899</v>
      </c>
      <c r="I472" s="6" t="s">
        <v>1869</v>
      </c>
      <c r="J472" s="6" t="s">
        <v>3036</v>
      </c>
      <c r="L472" s="6" t="s">
        <v>2283</v>
      </c>
      <c r="M472" s="6">
        <f>INDEX(医院2县区2人!$B$2:$B$1048576,MATCH(L472,医院2县区2人!$A$2:$A$1048576,0))</f>
        <v>4</v>
      </c>
      <c r="N472" s="6" t="str">
        <f>INDEX(医院2县区2人!$C$2:$C$1048576,MATCH(L472,医院2县区2人!$A$2:$A$1048576,0))</f>
        <v>1856</v>
      </c>
      <c r="P472" s="7">
        <v>43267.734490740739</v>
      </c>
      <c r="Q472" s="6">
        <v>10</v>
      </c>
      <c r="R472" s="6">
        <v>8</v>
      </c>
      <c r="S472" s="6">
        <v>180201</v>
      </c>
      <c r="T472" s="6" t="str">
        <f>INDEX(医院2县区2人!$D$2:$D$1048576,MATCH(L472,医院2县区2人!$A$2:$A$1048576,0))</f>
        <v>201602151421097</v>
      </c>
      <c r="W472" s="6" t="str">
        <f t="shared" si="17"/>
        <v>大严迪片/罗红霉素分散片75mg*12片</v>
      </c>
      <c r="X472" s="6" t="s">
        <v>2890</v>
      </c>
    </row>
    <row r="473" spans="1:24" x14ac:dyDescent="0.15">
      <c r="A473" s="7" t="str">
        <f t="shared" si="18"/>
        <v>201806</v>
      </c>
      <c r="C473" s="6" t="str">
        <f>INDEX(工厂基础数据!$A$2:$A$1024,MATCH(X473,工厂基础数据!$D$2:$D$1024,0))</f>
        <v>02025767</v>
      </c>
      <c r="E473" s="6" t="str">
        <f>INDEX(工厂基础数据!$B$2:$B$1024,MATCH(X473,工厂基础数据!$D$2:$D$1024,0))</f>
        <v>滨州市仁信医药有限公司</v>
      </c>
      <c r="F473" s="6">
        <f>INDEX(商业2转码!$B$2:$B$10000,MATCH(E473,商业2转码!$A$2:$A$10000,0))</f>
        <v>0</v>
      </c>
      <c r="G473" s="6" t="str">
        <f>INDEX(品种2编码!$A$2:$A$1048576,MATCH(W473,品种2编码!$D$2:$D$1048576,0))</f>
        <v>0020030001SJZY0009</v>
      </c>
      <c r="H473" s="6" t="s">
        <v>555</v>
      </c>
      <c r="I473" s="6" t="s">
        <v>1889</v>
      </c>
      <c r="J473" s="6" t="s">
        <v>3039</v>
      </c>
      <c r="L473" s="6" t="s">
        <v>2643</v>
      </c>
      <c r="M473" s="6">
        <f>INDEX(医院2县区2人!$B$2:$B$1048576,MATCH(L473,医院2县区2人!$A$2:$A$1048576,0))</f>
        <v>1</v>
      </c>
      <c r="N473" s="6" t="str">
        <f>INDEX(医院2县区2人!$C$2:$C$1048576,MATCH(L473,医院2县区2人!$A$2:$A$1048576,0))</f>
        <v>1854</v>
      </c>
      <c r="P473" s="7">
        <v>43267.734479166669</v>
      </c>
      <c r="Q473" s="6">
        <v>5</v>
      </c>
      <c r="R473" s="6">
        <v>25</v>
      </c>
      <c r="S473" s="6">
        <v>18031227</v>
      </c>
      <c r="T473" s="6" t="str">
        <f>INDEX(医院2县区2人!$D$2:$D$1048576,MATCH(L473,医院2县区2人!$A$2:$A$1048576,0))</f>
        <v>201602151421097</v>
      </c>
      <c r="W473" s="6" t="str">
        <f t="shared" si="17"/>
        <v>葡萄糖酸锌口服液10ML*12支</v>
      </c>
      <c r="X473" s="6" t="s">
        <v>2890</v>
      </c>
    </row>
    <row r="474" spans="1:24" x14ac:dyDescent="0.15">
      <c r="A474" s="7" t="str">
        <f t="shared" si="18"/>
        <v>201806</v>
      </c>
      <c r="C474" s="6" t="str">
        <f>INDEX(工厂基础数据!$A$2:$A$1024,MATCH(X474,工厂基础数据!$D$2:$D$1024,0))</f>
        <v>02025767</v>
      </c>
      <c r="E474" s="6" t="str">
        <f>INDEX(工厂基础数据!$B$2:$B$1024,MATCH(X474,工厂基础数据!$D$2:$D$1024,0))</f>
        <v>滨州市仁信医药有限公司</v>
      </c>
      <c r="F474" s="6">
        <f>INDEX(商业2转码!$B$2:$B$10000,MATCH(E474,商业2转码!$A$2:$A$10000,0))</f>
        <v>0</v>
      </c>
      <c r="G474" s="6" t="str">
        <f>INDEX(品种2编码!$A$2:$A$1048576,MATCH(W474,品种2编码!$D$2:$D$1048576,0))</f>
        <v>0020030001SJZY0006</v>
      </c>
      <c r="H474" s="6" t="s">
        <v>1888</v>
      </c>
      <c r="I474" s="6" t="s">
        <v>411</v>
      </c>
      <c r="J474" s="6" t="s">
        <v>3040</v>
      </c>
      <c r="L474" s="6" t="s">
        <v>2643</v>
      </c>
      <c r="M474" s="6">
        <f>INDEX(医院2县区2人!$B$2:$B$1048576,MATCH(L474,医院2县区2人!$A$2:$A$1048576,0))</f>
        <v>1</v>
      </c>
      <c r="N474" s="6" t="str">
        <f>INDEX(医院2县区2人!$C$2:$C$1048576,MATCH(L474,医院2县区2人!$A$2:$A$1048576,0))</f>
        <v>1854</v>
      </c>
      <c r="P474" s="7">
        <v>43267.734479166669</v>
      </c>
      <c r="Q474" s="6">
        <v>5</v>
      </c>
      <c r="R474" s="6">
        <v>25</v>
      </c>
      <c r="S474" s="6">
        <v>17071042</v>
      </c>
      <c r="T474" s="6" t="str">
        <f>INDEX(医院2县区2人!$D$2:$D$1048576,MATCH(L474,医院2县区2人!$A$2:$A$1048576,0))</f>
        <v>201602151421097</v>
      </c>
      <c r="W474" s="6" t="str">
        <f t="shared" si="17"/>
        <v>葡萄糖酸钙口服溶液（含糖）10ml*12支</v>
      </c>
      <c r="X474" s="6" t="s">
        <v>2890</v>
      </c>
    </row>
    <row r="475" spans="1:24" x14ac:dyDescent="0.15">
      <c r="A475" s="7" t="str">
        <f t="shared" si="18"/>
        <v>201806</v>
      </c>
      <c r="C475" s="6" t="str">
        <f>INDEX(工厂基础数据!$A$2:$A$1024,MATCH(X475,工厂基础数据!$D$2:$D$1024,0))</f>
        <v>02025767</v>
      </c>
      <c r="E475" s="6" t="str">
        <f>INDEX(工厂基础数据!$B$2:$B$1024,MATCH(X475,工厂基础数据!$D$2:$D$1024,0))</f>
        <v>滨州市仁信医药有限公司</v>
      </c>
      <c r="F475" s="6">
        <f>INDEX(商业2转码!$B$2:$B$10000,MATCH(E475,商业2转码!$A$2:$A$10000,0))</f>
        <v>0</v>
      </c>
      <c r="G475" s="6" t="str">
        <f>INDEX(品种2编码!$A$2:$A$1048576,MATCH(W475,品种2编码!$D$2:$D$1048576,0))</f>
        <v>0020100000ZYLC0012</v>
      </c>
      <c r="H475" s="6" t="s">
        <v>672</v>
      </c>
      <c r="I475" s="6" t="s">
        <v>1884</v>
      </c>
      <c r="J475" s="6" t="s">
        <v>3036</v>
      </c>
      <c r="L475" s="6" t="s">
        <v>2665</v>
      </c>
      <c r="M475" s="6">
        <f>INDEX(医院2县区2人!$B$2:$B$1048576,MATCH(L475,医院2县区2人!$A$2:$A$1048576,0))</f>
        <v>2</v>
      </c>
      <c r="N475" s="6" t="str">
        <f>INDEX(医院2县区2人!$C$2:$C$1048576,MATCH(L475,医院2县区2人!$A$2:$A$1048576,0))</f>
        <v>1854</v>
      </c>
      <c r="P475" s="7">
        <v>43269.773460648146</v>
      </c>
      <c r="Q475" s="6">
        <v>10</v>
      </c>
      <c r="R475" s="6">
        <v>9.1999999999999993</v>
      </c>
      <c r="S475" s="6">
        <v>20180104</v>
      </c>
      <c r="T475" s="6" t="str">
        <f>INDEX(医院2县区2人!$D$2:$D$1048576,MATCH(L475,医院2县区2人!$A$2:$A$1048576,0))</f>
        <v>201602151421097</v>
      </c>
      <c r="W475" s="6" t="str">
        <f t="shared" si="17"/>
        <v>退热贴40mm*110mm*2贴</v>
      </c>
      <c r="X475" s="6" t="s">
        <v>2890</v>
      </c>
    </row>
    <row r="476" spans="1:24" x14ac:dyDescent="0.15">
      <c r="A476" s="7" t="str">
        <f t="shared" si="18"/>
        <v>201806</v>
      </c>
      <c r="C476" s="6" t="str">
        <f>INDEX(工厂基础数据!$A$2:$A$1024,MATCH(X476,工厂基础数据!$D$2:$D$1024,0))</f>
        <v>02025767</v>
      </c>
      <c r="E476" s="6" t="str">
        <f>INDEX(工厂基础数据!$B$2:$B$1024,MATCH(X476,工厂基础数据!$D$2:$D$1024,0))</f>
        <v>滨州市仁信医药有限公司</v>
      </c>
      <c r="F476" s="6">
        <f>INDEX(商业2转码!$B$2:$B$10000,MATCH(E476,商业2转码!$A$2:$A$10000,0))</f>
        <v>0</v>
      </c>
      <c r="G476" s="6" t="str">
        <f>INDEX(品种2编码!$A$2:$A$1048576,MATCH(W476,品种2编码!$D$2:$D$1048576,0))</f>
        <v>0020020021ZYLC0005</v>
      </c>
      <c r="H476" s="6" t="s">
        <v>1920</v>
      </c>
      <c r="I476" s="6" t="s">
        <v>1841</v>
      </c>
      <c r="J476" s="6" t="s">
        <v>3036</v>
      </c>
      <c r="L476" s="6" t="s">
        <v>2266</v>
      </c>
      <c r="M476" s="6">
        <f>INDEX(医院2县区2人!$B$2:$B$1048576,MATCH(L476,医院2县区2人!$A$2:$A$1048576,0))</f>
        <v>4</v>
      </c>
      <c r="N476" s="6" t="str">
        <f>INDEX(医院2县区2人!$C$2:$C$1048576,MATCH(L476,医院2县区2人!$A$2:$A$1048576,0))</f>
        <v>1856</v>
      </c>
      <c r="P476" s="7">
        <v>43267.763657407406</v>
      </c>
      <c r="Q476" s="6">
        <v>20</v>
      </c>
      <c r="R476" s="6">
        <v>4</v>
      </c>
      <c r="S476" s="6">
        <v>180201</v>
      </c>
      <c r="T476" s="6" t="str">
        <f>INDEX(医院2县区2人!$D$2:$D$1048576,MATCH(L476,医院2县区2人!$A$2:$A$1048576,0))</f>
        <v>201602151421097</v>
      </c>
      <c r="W476" s="6" t="str">
        <f t="shared" si="17"/>
        <v>小儿严迪片/罗红霉素分散片50mg*12片</v>
      </c>
      <c r="X476" s="6" t="s">
        <v>2890</v>
      </c>
    </row>
    <row r="477" spans="1:24" x14ac:dyDescent="0.15">
      <c r="A477" s="7" t="str">
        <f t="shared" si="18"/>
        <v>201806</v>
      </c>
      <c r="C477" s="6" t="str">
        <f>INDEX(工厂基础数据!$A$2:$A$1024,MATCH(X477,工厂基础数据!$D$2:$D$1024,0))</f>
        <v>02025767</v>
      </c>
      <c r="E477" s="6" t="str">
        <f>INDEX(工厂基础数据!$B$2:$B$1024,MATCH(X477,工厂基础数据!$D$2:$D$1024,0))</f>
        <v>滨州市仁信医药有限公司</v>
      </c>
      <c r="F477" s="6">
        <f>INDEX(商业2转码!$B$2:$B$10000,MATCH(E477,商业2转码!$A$2:$A$10000,0))</f>
        <v>0</v>
      </c>
      <c r="G477" s="6" t="str">
        <f>INDEX(品种2编码!$A$2:$A$1048576,MATCH(W477,品种2编码!$D$2:$D$1048576,0))</f>
        <v>0020030001SJZY0009</v>
      </c>
      <c r="H477" s="6" t="s">
        <v>555</v>
      </c>
      <c r="I477" s="6" t="s">
        <v>1889</v>
      </c>
      <c r="J477" s="6" t="s">
        <v>3039</v>
      </c>
      <c r="L477" s="6" t="s">
        <v>2266</v>
      </c>
      <c r="M477" s="6">
        <f>INDEX(医院2县区2人!$B$2:$B$1048576,MATCH(L477,医院2县区2人!$A$2:$A$1048576,0))</f>
        <v>4</v>
      </c>
      <c r="N477" s="6" t="str">
        <f>INDEX(医院2县区2人!$C$2:$C$1048576,MATCH(L477,医院2县区2人!$A$2:$A$1048576,0))</f>
        <v>1856</v>
      </c>
      <c r="P477" s="7">
        <v>43267.763645833336</v>
      </c>
      <c r="Q477" s="6">
        <v>20</v>
      </c>
      <c r="R477" s="6">
        <v>25</v>
      </c>
      <c r="S477" s="6">
        <v>18031227</v>
      </c>
      <c r="T477" s="6" t="str">
        <f>INDEX(医院2县区2人!$D$2:$D$1048576,MATCH(L477,医院2县区2人!$A$2:$A$1048576,0))</f>
        <v>201602151421097</v>
      </c>
      <c r="W477" s="6" t="str">
        <f t="shared" si="17"/>
        <v>葡萄糖酸锌口服液10ML*12支</v>
      </c>
      <c r="X477" s="6" t="s">
        <v>2890</v>
      </c>
    </row>
    <row r="478" spans="1:24" x14ac:dyDescent="0.15">
      <c r="A478" s="7" t="str">
        <f t="shared" si="18"/>
        <v>201806</v>
      </c>
      <c r="C478" s="6" t="str">
        <f>INDEX(工厂基础数据!$A$2:$A$1024,MATCH(X478,工厂基础数据!$D$2:$D$1024,0))</f>
        <v>02025767</v>
      </c>
      <c r="E478" s="6" t="str">
        <f>INDEX(工厂基础数据!$B$2:$B$1024,MATCH(X478,工厂基础数据!$D$2:$D$1024,0))</f>
        <v>滨州市仁信医药有限公司</v>
      </c>
      <c r="F478" s="6">
        <f>INDEX(商业2转码!$B$2:$B$10000,MATCH(E478,商业2转码!$A$2:$A$10000,0))</f>
        <v>0</v>
      </c>
      <c r="G478" s="6" t="str">
        <f>INDEX(品种2编码!$A$2:$A$1048576,MATCH(W478,品种2编码!$D$2:$D$1048576,0))</f>
        <v>0020030020ZYLC0010</v>
      </c>
      <c r="H478" s="6" t="s">
        <v>1883</v>
      </c>
      <c r="I478" s="6" t="s">
        <v>1839</v>
      </c>
      <c r="J478" s="6" t="s">
        <v>3036</v>
      </c>
      <c r="L478" s="6" t="s">
        <v>2266</v>
      </c>
      <c r="M478" s="6">
        <f>INDEX(医院2县区2人!$B$2:$B$1048576,MATCH(L478,医院2县区2人!$A$2:$A$1048576,0))</f>
        <v>4</v>
      </c>
      <c r="N478" s="6" t="str">
        <f>INDEX(医院2县区2人!$C$2:$C$1048576,MATCH(L478,医院2县区2人!$A$2:$A$1048576,0))</f>
        <v>1856</v>
      </c>
      <c r="P478" s="7">
        <v>43267.763645833336</v>
      </c>
      <c r="Q478" s="6">
        <v>20</v>
      </c>
      <c r="R478" s="6">
        <v>3.7</v>
      </c>
      <c r="S478" s="6">
        <v>180136</v>
      </c>
      <c r="T478" s="6" t="str">
        <f>INDEX(医院2县区2人!$D$2:$D$1048576,MATCH(L478,医院2县区2人!$A$2:$A$1048576,0))</f>
        <v>201602151421097</v>
      </c>
      <c r="W478" s="6" t="str">
        <f t="shared" si="17"/>
        <v>“为消”牌乳酸菌素片0.4g*36片</v>
      </c>
      <c r="X478" s="6" t="s">
        <v>2890</v>
      </c>
    </row>
    <row r="479" spans="1:24" x14ac:dyDescent="0.15">
      <c r="A479" s="7" t="str">
        <f t="shared" si="18"/>
        <v>201806</v>
      </c>
      <c r="C479" s="6" t="str">
        <f>INDEX(工厂基础数据!$A$2:$A$1024,MATCH(X479,工厂基础数据!$D$2:$D$1024,0))</f>
        <v>02025767</v>
      </c>
      <c r="E479" s="6" t="str">
        <f>INDEX(工厂基础数据!$B$2:$B$1024,MATCH(X479,工厂基础数据!$D$2:$D$1024,0))</f>
        <v>滨州市仁信医药有限公司</v>
      </c>
      <c r="F479" s="6">
        <f>INDEX(商业2转码!$B$2:$B$10000,MATCH(E479,商业2转码!$A$2:$A$10000,0))</f>
        <v>0</v>
      </c>
      <c r="G479" s="6" t="str">
        <f>INDEX(品种2编码!$A$2:$A$1048576,MATCH(W479,品种2编码!$D$2:$D$1048576,0))</f>
        <v>0020070000ZYLC0001</v>
      </c>
      <c r="H479" s="6" t="s">
        <v>1885</v>
      </c>
      <c r="I479" s="6" t="s">
        <v>1886</v>
      </c>
      <c r="J479" s="6" t="s">
        <v>3036</v>
      </c>
      <c r="L479" s="6" t="s">
        <v>2266</v>
      </c>
      <c r="M479" s="6">
        <f>INDEX(医院2县区2人!$B$2:$B$1048576,MATCH(L479,医院2县区2人!$A$2:$A$1048576,0))</f>
        <v>4</v>
      </c>
      <c r="N479" s="6" t="str">
        <f>INDEX(医院2县区2人!$C$2:$C$1048576,MATCH(L479,医院2县区2人!$A$2:$A$1048576,0))</f>
        <v>1856</v>
      </c>
      <c r="P479" s="7">
        <v>43267.763645833336</v>
      </c>
      <c r="Q479" s="6">
        <v>5</v>
      </c>
      <c r="R479" s="6">
        <v>29</v>
      </c>
      <c r="S479" s="6">
        <v>180104</v>
      </c>
      <c r="T479" s="6" t="str">
        <f>INDEX(医院2县区2人!$D$2:$D$1048576,MATCH(L479,医院2县区2人!$A$2:$A$1048576,0))</f>
        <v>201602151421097</v>
      </c>
      <c r="W479" s="6" t="str">
        <f t="shared" si="17"/>
        <v>新盖中盖高钙片2.5g*36P</v>
      </c>
      <c r="X479" s="6" t="s">
        <v>2890</v>
      </c>
    </row>
    <row r="480" spans="1:24" x14ac:dyDescent="0.15">
      <c r="A480" s="7" t="str">
        <f t="shared" si="18"/>
        <v>201806</v>
      </c>
      <c r="C480" s="6" t="str">
        <f>INDEX(工厂基础数据!$A$2:$A$1024,MATCH(X480,工厂基础数据!$D$2:$D$1024,0))</f>
        <v>02025767</v>
      </c>
      <c r="E480" s="6" t="str">
        <f>INDEX(工厂基础数据!$B$2:$B$1024,MATCH(X480,工厂基础数据!$D$2:$D$1024,0))</f>
        <v>滨州市仁信医药有限公司</v>
      </c>
      <c r="F480" s="6">
        <f>INDEX(商业2转码!$B$2:$B$10000,MATCH(E480,商业2转码!$A$2:$A$10000,0))</f>
        <v>0</v>
      </c>
      <c r="G480" s="6" t="str">
        <f>INDEX(品种2编码!$A$2:$A$1048576,MATCH(W480,品种2编码!$D$2:$D$1048576,0))</f>
        <v>0020070000ZYLC0001</v>
      </c>
      <c r="H480" s="6" t="s">
        <v>1885</v>
      </c>
      <c r="I480" s="6" t="s">
        <v>1886</v>
      </c>
      <c r="J480" s="6" t="s">
        <v>3036</v>
      </c>
      <c r="L480" s="6" t="s">
        <v>2207</v>
      </c>
      <c r="M480" s="6">
        <f>INDEX(医院2县区2人!$B$2:$B$1048576,MATCH(L480,医院2县区2人!$A$2:$A$1048576,0))</f>
        <v>2</v>
      </c>
      <c r="N480" s="6" t="str">
        <f>INDEX(医院2县区2人!$C$2:$C$1048576,MATCH(L480,医院2县区2人!$A$2:$A$1048576,0))</f>
        <v>1855</v>
      </c>
      <c r="P480" s="7">
        <v>43267.763657407406</v>
      </c>
      <c r="Q480" s="6">
        <v>5</v>
      </c>
      <c r="R480" s="6">
        <v>29</v>
      </c>
      <c r="S480" s="6">
        <v>180104</v>
      </c>
      <c r="T480" s="6" t="str">
        <f>INDEX(医院2县区2人!$D$2:$D$1048576,MATCH(L480,医院2县区2人!$A$2:$A$1048576,0))</f>
        <v>201602151421097</v>
      </c>
      <c r="W480" s="6" t="str">
        <f t="shared" si="17"/>
        <v>新盖中盖高钙片2.5g*36P</v>
      </c>
      <c r="X480" s="6" t="s">
        <v>2890</v>
      </c>
    </row>
    <row r="481" spans="1:24" x14ac:dyDescent="0.15">
      <c r="A481" s="7" t="str">
        <f t="shared" si="18"/>
        <v>201806</v>
      </c>
      <c r="C481" s="6" t="str">
        <f>INDEX(工厂基础数据!$A$2:$A$1024,MATCH(X481,工厂基础数据!$D$2:$D$1024,0))</f>
        <v>02025767</v>
      </c>
      <c r="E481" s="6" t="str">
        <f>INDEX(工厂基础数据!$B$2:$B$1024,MATCH(X481,工厂基础数据!$D$2:$D$1024,0))</f>
        <v>滨州市仁信医药有限公司</v>
      </c>
      <c r="F481" s="6">
        <f>INDEX(商业2转码!$B$2:$B$10000,MATCH(E481,商业2转码!$A$2:$A$10000,0))</f>
        <v>0</v>
      </c>
      <c r="G481" s="6" t="str">
        <f>INDEX(品种2编码!$A$2:$A$1048576,MATCH(W481,品种2编码!$D$2:$D$1048576,0))</f>
        <v>0020030001SJZY0009</v>
      </c>
      <c r="H481" s="6" t="s">
        <v>555</v>
      </c>
      <c r="I481" s="6" t="s">
        <v>1889</v>
      </c>
      <c r="J481" s="6" t="s">
        <v>3039</v>
      </c>
      <c r="L481" s="6" t="s">
        <v>2207</v>
      </c>
      <c r="M481" s="6">
        <f>INDEX(医院2县区2人!$B$2:$B$1048576,MATCH(L481,医院2县区2人!$A$2:$A$1048576,0))</f>
        <v>2</v>
      </c>
      <c r="N481" s="6" t="str">
        <f>INDEX(医院2县区2人!$C$2:$C$1048576,MATCH(L481,医院2县区2人!$A$2:$A$1048576,0))</f>
        <v>1855</v>
      </c>
      <c r="P481" s="7">
        <v>43267.763657407406</v>
      </c>
      <c r="Q481" s="6">
        <v>5</v>
      </c>
      <c r="R481" s="6">
        <v>25</v>
      </c>
      <c r="S481" s="6">
        <v>18031227</v>
      </c>
      <c r="T481" s="6" t="str">
        <f>INDEX(医院2县区2人!$D$2:$D$1048576,MATCH(L481,医院2县区2人!$A$2:$A$1048576,0))</f>
        <v>201602151421097</v>
      </c>
      <c r="W481" s="6" t="str">
        <f t="shared" si="17"/>
        <v>葡萄糖酸锌口服液10ML*12支</v>
      </c>
      <c r="X481" s="6" t="s">
        <v>2890</v>
      </c>
    </row>
    <row r="482" spans="1:24" x14ac:dyDescent="0.15">
      <c r="A482" s="7" t="str">
        <f t="shared" si="18"/>
        <v>201806</v>
      </c>
      <c r="C482" s="6" t="str">
        <f>INDEX(工厂基础数据!$A$2:$A$1024,MATCH(X482,工厂基础数据!$D$2:$D$1024,0))</f>
        <v>02025767</v>
      </c>
      <c r="E482" s="6" t="str">
        <f>INDEX(工厂基础数据!$B$2:$B$1024,MATCH(X482,工厂基础数据!$D$2:$D$1024,0))</f>
        <v>滨州市仁信医药有限公司</v>
      </c>
      <c r="F482" s="6">
        <f>INDEX(商业2转码!$B$2:$B$10000,MATCH(E482,商业2转码!$A$2:$A$10000,0))</f>
        <v>0</v>
      </c>
      <c r="G482" s="6" t="str">
        <f>INDEX(品种2编码!$A$2:$A$1048576,MATCH(W482,品种2编码!$D$2:$D$1048576,0))</f>
        <v>0020020020ZYLC0010</v>
      </c>
      <c r="H482" s="6" t="s">
        <v>1877</v>
      </c>
      <c r="I482" s="6" t="s">
        <v>1878</v>
      </c>
      <c r="J482" s="6" t="s">
        <v>3036</v>
      </c>
      <c r="L482" s="6" t="s">
        <v>2191</v>
      </c>
      <c r="M482" s="6">
        <f>INDEX(医院2县区2人!$B$2:$B$1048576,MATCH(L482,医院2县区2人!$A$2:$A$1048576,0))</f>
        <v>2</v>
      </c>
      <c r="N482" s="6" t="str">
        <f>INDEX(医院2县区2人!$C$2:$C$1048576,MATCH(L482,医院2县区2人!$A$2:$A$1048576,0))</f>
        <v>1855</v>
      </c>
      <c r="P482" s="7">
        <v>43267.734131944446</v>
      </c>
      <c r="Q482" s="6">
        <v>20</v>
      </c>
      <c r="R482" s="6">
        <v>3.5</v>
      </c>
      <c r="S482" s="6">
        <v>180401</v>
      </c>
      <c r="T482" s="6" t="str">
        <f>INDEX(医院2县区2人!$D$2:$D$1048576,MATCH(L482,医院2县区2人!$A$2:$A$1048576,0))</f>
        <v>201602151421097</v>
      </c>
      <c r="W482" s="6" t="str">
        <f t="shared" si="17"/>
        <v xml:space="preserve">泻利停/颠茄磺苄啶片0.48g*10片 </v>
      </c>
      <c r="X482" s="6" t="s">
        <v>2890</v>
      </c>
    </row>
    <row r="483" spans="1:24" x14ac:dyDescent="0.15">
      <c r="A483" s="7" t="str">
        <f t="shared" si="18"/>
        <v>201806</v>
      </c>
      <c r="C483" s="6" t="str">
        <f>INDEX(工厂基础数据!$A$2:$A$1024,MATCH(X483,工厂基础数据!$D$2:$D$1024,0))</f>
        <v>02025767</v>
      </c>
      <c r="E483" s="6" t="str">
        <f>INDEX(工厂基础数据!$B$2:$B$1024,MATCH(X483,工厂基础数据!$D$2:$D$1024,0))</f>
        <v>滨州市仁信医药有限公司</v>
      </c>
      <c r="F483" s="6">
        <f>INDEX(商业2转码!$B$2:$B$10000,MATCH(E483,商业2转码!$A$2:$A$10000,0))</f>
        <v>0</v>
      </c>
      <c r="G483" s="6" t="str">
        <f>INDEX(品种2编码!$A$2:$A$1048576,MATCH(W483,品种2编码!$D$2:$D$1048576,0))</f>
        <v>0020020020ZYLC0010</v>
      </c>
      <c r="H483" s="6" t="s">
        <v>1877</v>
      </c>
      <c r="I483" s="6" t="s">
        <v>1878</v>
      </c>
      <c r="J483" s="6" t="s">
        <v>3036</v>
      </c>
      <c r="L483" s="6" t="s">
        <v>3019</v>
      </c>
      <c r="M483" s="6" t="e">
        <f>INDEX(医院2县区2人!$B$2:$B$1048576,MATCH(L483,医院2县区2人!$A$2:$A$1048576,0))</f>
        <v>#N/A</v>
      </c>
      <c r="N483" s="6" t="e">
        <f>INDEX(医院2县区2人!$C$2:$C$1048576,MATCH(L483,医院2县区2人!$A$2:$A$1048576,0))</f>
        <v>#N/A</v>
      </c>
      <c r="P483" s="7">
        <v>43267.734120370369</v>
      </c>
      <c r="Q483" s="6">
        <v>20</v>
      </c>
      <c r="R483" s="6">
        <v>3.5</v>
      </c>
      <c r="S483" s="6">
        <v>180401</v>
      </c>
      <c r="T483" s="6" t="e">
        <f>INDEX(医院2县区2人!$D$2:$D$1048576,MATCH(L483,医院2县区2人!$A$2:$A$1048576,0))</f>
        <v>#N/A</v>
      </c>
      <c r="W483" s="6" t="str">
        <f t="shared" si="17"/>
        <v xml:space="preserve">泻利停/颠茄磺苄啶片0.48g*10片 </v>
      </c>
      <c r="X483" s="6" t="s">
        <v>2890</v>
      </c>
    </row>
    <row r="484" spans="1:24" x14ac:dyDescent="0.15">
      <c r="A484" s="7" t="str">
        <f t="shared" si="18"/>
        <v>201806</v>
      </c>
      <c r="C484" s="6" t="str">
        <f>INDEX(工厂基础数据!$A$2:$A$1024,MATCH(X484,工厂基础数据!$D$2:$D$1024,0))</f>
        <v>02025767</v>
      </c>
      <c r="E484" s="6" t="str">
        <f>INDEX(工厂基础数据!$B$2:$B$1024,MATCH(X484,工厂基础数据!$D$2:$D$1024,0))</f>
        <v>滨州市仁信医药有限公司</v>
      </c>
      <c r="F484" s="6">
        <f>INDEX(商业2转码!$B$2:$B$10000,MATCH(E484,商业2转码!$A$2:$A$10000,0))</f>
        <v>0</v>
      </c>
      <c r="G484" s="6" t="str">
        <f>INDEX(品种2编码!$A$2:$A$1048576,MATCH(W484,品种2编码!$D$2:$D$1048576,0))</f>
        <v>0020030020SJSC0004</v>
      </c>
      <c r="H484" s="6" t="s">
        <v>1907</v>
      </c>
      <c r="I484" s="6" t="s">
        <v>1871</v>
      </c>
      <c r="J484" s="6" t="s">
        <v>3045</v>
      </c>
      <c r="L484" s="6" t="s">
        <v>2205</v>
      </c>
      <c r="M484" s="6">
        <f>INDEX(医院2县区2人!$B$2:$B$1048576,MATCH(L484,医院2县区2人!$A$2:$A$1048576,0))</f>
        <v>2</v>
      </c>
      <c r="N484" s="6" t="str">
        <f>INDEX(医院2县区2人!$C$2:$C$1048576,MATCH(L484,医院2县区2人!$A$2:$A$1048576,0))</f>
        <v>1855</v>
      </c>
      <c r="P484" s="7">
        <v>43267.734143518515</v>
      </c>
      <c r="Q484" s="6">
        <v>10</v>
      </c>
      <c r="R484" s="6">
        <v>12.5</v>
      </c>
      <c r="S484" s="6">
        <v>1803006</v>
      </c>
      <c r="T484" s="6" t="str">
        <f>INDEX(医院2县区2人!$D$2:$D$1048576,MATCH(L484,医院2县区2人!$A$2:$A$1048576,0))</f>
        <v>201602151421097</v>
      </c>
      <c r="W484" s="6" t="str">
        <f t="shared" si="17"/>
        <v>胃必治/复方铝酸铋片50片</v>
      </c>
      <c r="X484" s="6" t="s">
        <v>2890</v>
      </c>
    </row>
    <row r="485" spans="1:24" x14ac:dyDescent="0.15">
      <c r="A485" s="7" t="str">
        <f t="shared" si="18"/>
        <v>201806</v>
      </c>
      <c r="C485" s="6" t="str">
        <f>INDEX(工厂基础数据!$A$2:$A$1024,MATCH(X485,工厂基础数据!$D$2:$D$1024,0))</f>
        <v>02025767</v>
      </c>
      <c r="E485" s="6" t="str">
        <f>INDEX(工厂基础数据!$B$2:$B$1024,MATCH(X485,工厂基础数据!$D$2:$D$1024,0))</f>
        <v>滨州市仁信医药有限公司</v>
      </c>
      <c r="F485" s="6">
        <f>INDEX(商业2转码!$B$2:$B$10000,MATCH(E485,商业2转码!$A$2:$A$10000,0))</f>
        <v>0</v>
      </c>
      <c r="G485" s="6" t="str">
        <f>INDEX(品种2编码!$A$2:$A$1048576,MATCH(W485,品种2编码!$D$2:$D$1048576,0))</f>
        <v>0020020021ZYLC0005</v>
      </c>
      <c r="H485" s="6" t="s">
        <v>1920</v>
      </c>
      <c r="I485" s="6" t="s">
        <v>1841</v>
      </c>
      <c r="J485" s="6" t="s">
        <v>3036</v>
      </c>
      <c r="L485" s="6" t="s">
        <v>2257</v>
      </c>
      <c r="M485" s="6">
        <f>INDEX(医院2县区2人!$B$2:$B$1048576,MATCH(L485,医院2县区2人!$A$2:$A$1048576,0))</f>
        <v>2</v>
      </c>
      <c r="N485" s="6" t="str">
        <f>INDEX(医院2县区2人!$C$2:$C$1048576,MATCH(L485,医院2县区2人!$A$2:$A$1048576,0))</f>
        <v>1855</v>
      </c>
      <c r="P485" s="7">
        <v>43267.734317129631</v>
      </c>
      <c r="Q485" s="6">
        <v>20</v>
      </c>
      <c r="R485" s="6">
        <v>4</v>
      </c>
      <c r="S485" s="6">
        <v>180201</v>
      </c>
      <c r="T485" s="6" t="str">
        <f>INDEX(医院2县区2人!$D$2:$D$1048576,MATCH(L485,医院2县区2人!$A$2:$A$1048576,0))</f>
        <v>201602151421097</v>
      </c>
      <c r="W485" s="6" t="str">
        <f t="shared" si="17"/>
        <v>小儿严迪片/罗红霉素分散片50mg*12片</v>
      </c>
      <c r="X485" s="6" t="s">
        <v>2890</v>
      </c>
    </row>
    <row r="486" spans="1:24" x14ac:dyDescent="0.15">
      <c r="A486" s="7" t="str">
        <f t="shared" si="18"/>
        <v>201806</v>
      </c>
      <c r="C486" s="6" t="str">
        <f>INDEX(工厂基础数据!$A$2:$A$1024,MATCH(X486,工厂基础数据!$D$2:$D$1024,0))</f>
        <v>02025767</v>
      </c>
      <c r="E486" s="6" t="str">
        <f>INDEX(工厂基础数据!$B$2:$B$1024,MATCH(X486,工厂基础数据!$D$2:$D$1024,0))</f>
        <v>滨州市仁信医药有限公司</v>
      </c>
      <c r="F486" s="6">
        <f>INDEX(商业2转码!$B$2:$B$10000,MATCH(E486,商业2转码!$A$2:$A$10000,0))</f>
        <v>0</v>
      </c>
      <c r="G486" s="6" t="str">
        <f>INDEX(品种2编码!$A$2:$A$1048576,MATCH(W486,品种2编码!$D$2:$D$1048576,0))</f>
        <v>0020040001SHYT0026</v>
      </c>
      <c r="H486" s="6" t="s">
        <v>715</v>
      </c>
      <c r="I486" s="6" t="s">
        <v>1867</v>
      </c>
      <c r="J486" s="6" t="s">
        <v>3037</v>
      </c>
      <c r="L486" s="6" t="s">
        <v>2257</v>
      </c>
      <c r="M486" s="6">
        <f>INDEX(医院2县区2人!$B$2:$B$1048576,MATCH(L486,医院2县区2人!$A$2:$A$1048576,0))</f>
        <v>2</v>
      </c>
      <c r="N486" s="6" t="str">
        <f>INDEX(医院2县区2人!$C$2:$C$1048576,MATCH(L486,医院2县区2人!$A$2:$A$1048576,0))</f>
        <v>1855</v>
      </c>
      <c r="P486" s="7">
        <v>43267.734317129631</v>
      </c>
      <c r="Q486" s="6">
        <v>10</v>
      </c>
      <c r="R486" s="6">
        <v>5.8</v>
      </c>
      <c r="S486" s="6">
        <v>1712115</v>
      </c>
      <c r="T486" s="6" t="str">
        <f>INDEX(医院2县区2人!$D$2:$D$1048576,MATCH(L486,医院2县区2人!$A$2:$A$1048576,0))</f>
        <v>201602151421097</v>
      </c>
      <c r="W486" s="6" t="str">
        <f t="shared" si="17"/>
        <v>小活络丸3g*10丸</v>
      </c>
      <c r="X486" s="6" t="s">
        <v>2890</v>
      </c>
    </row>
    <row r="487" spans="1:24" x14ac:dyDescent="0.15">
      <c r="A487" s="7" t="str">
        <f t="shared" si="18"/>
        <v>201806</v>
      </c>
      <c r="C487" s="6" t="str">
        <f>INDEX(工厂基础数据!$A$2:$A$1024,MATCH(X487,工厂基础数据!$D$2:$D$1024,0))</f>
        <v>02025767</v>
      </c>
      <c r="E487" s="6" t="str">
        <f>INDEX(工厂基础数据!$B$2:$B$1024,MATCH(X487,工厂基础数据!$D$2:$D$1024,0))</f>
        <v>滨州市仁信医药有限公司</v>
      </c>
      <c r="F487" s="6">
        <f>INDEX(商业2转码!$B$2:$B$10000,MATCH(E487,商业2转码!$A$2:$A$10000,0))</f>
        <v>0</v>
      </c>
      <c r="G487" s="6" t="str">
        <f>INDEX(品种2编码!$A$2:$A$1048576,MATCH(W487,品种2编码!$D$2:$D$1048576,0))</f>
        <v>0020030001SJZY0006</v>
      </c>
      <c r="H487" s="6" t="s">
        <v>1888</v>
      </c>
      <c r="I487" s="6" t="s">
        <v>411</v>
      </c>
      <c r="J487" s="6" t="s">
        <v>3040</v>
      </c>
      <c r="L487" s="6" t="s">
        <v>2260</v>
      </c>
      <c r="M487" s="6">
        <f>INDEX(医院2县区2人!$B$2:$B$1048576,MATCH(L487,医院2县区2人!$A$2:$A$1048576,0))</f>
        <v>2</v>
      </c>
      <c r="N487" s="6" t="str">
        <f>INDEX(医院2县区2人!$C$2:$C$1048576,MATCH(L487,医院2县区2人!$A$2:$A$1048576,0))</f>
        <v>1853</v>
      </c>
      <c r="P487" s="7">
        <v>43269.773333333331</v>
      </c>
      <c r="Q487" s="6">
        <v>10</v>
      </c>
      <c r="R487" s="6">
        <v>25</v>
      </c>
      <c r="S487" s="6">
        <v>17071042</v>
      </c>
      <c r="T487" s="6" t="str">
        <f>INDEX(医院2县区2人!$D$2:$D$1048576,MATCH(L487,医院2县区2人!$A$2:$A$1048576,0))</f>
        <v>201602151421097</v>
      </c>
      <c r="W487" s="6" t="str">
        <f t="shared" si="17"/>
        <v>葡萄糖酸钙口服溶液（含糖）10ml*12支</v>
      </c>
      <c r="X487" s="6" t="s">
        <v>2890</v>
      </c>
    </row>
    <row r="488" spans="1:24" x14ac:dyDescent="0.15">
      <c r="A488" s="7" t="str">
        <f t="shared" si="18"/>
        <v>201806</v>
      </c>
      <c r="C488" s="6" t="str">
        <f>INDEX(工厂基础数据!$A$2:$A$1024,MATCH(X488,工厂基础数据!$D$2:$D$1024,0))</f>
        <v>02025767</v>
      </c>
      <c r="E488" s="6" t="str">
        <f>INDEX(工厂基础数据!$B$2:$B$1024,MATCH(X488,工厂基础数据!$D$2:$D$1024,0))</f>
        <v>滨州市仁信医药有限公司</v>
      </c>
      <c r="F488" s="6">
        <f>INDEX(商业2转码!$B$2:$B$10000,MATCH(E488,商业2转码!$A$2:$A$10000,0))</f>
        <v>0</v>
      </c>
      <c r="G488" s="6" t="str">
        <f>INDEX(品种2编码!$A$2:$A$1048576,MATCH(W488,品种2编码!$D$2:$D$1048576,0))</f>
        <v>0020050001SHYT0037</v>
      </c>
      <c r="H488" s="6" t="s">
        <v>1929</v>
      </c>
      <c r="I488" s="6" t="s">
        <v>444</v>
      </c>
      <c r="J488" s="6" t="s">
        <v>3037</v>
      </c>
      <c r="L488" s="6" t="s">
        <v>2664</v>
      </c>
      <c r="M488" s="6">
        <f>INDEX(医院2县区2人!$B$2:$B$1048576,MATCH(L488,医院2县区2人!$A$2:$A$1048576,0))</f>
        <v>1</v>
      </c>
      <c r="N488" s="6" t="str">
        <f>INDEX(医院2县区2人!$C$2:$C$1048576,MATCH(L488,医院2县区2人!$A$2:$A$1048576,0))</f>
        <v>1854</v>
      </c>
      <c r="P488" s="7">
        <v>43270.743738425925</v>
      </c>
      <c r="Q488" s="6">
        <v>5</v>
      </c>
      <c r="R488" s="6">
        <v>9</v>
      </c>
      <c r="S488" s="6">
        <v>1610107</v>
      </c>
      <c r="T488" s="6" t="str">
        <f>INDEX(医院2县区2人!$D$2:$D$1048576,MATCH(L488,医院2县区2人!$A$2:$A$1048576,0))</f>
        <v>201602151421097</v>
      </c>
      <c r="W488" s="6" t="str">
        <f t="shared" si="17"/>
        <v>艾附暖宫丸9g*10丸</v>
      </c>
      <c r="X488" s="6" t="s">
        <v>2890</v>
      </c>
    </row>
    <row r="489" spans="1:24" x14ac:dyDescent="0.15">
      <c r="A489" s="7" t="str">
        <f t="shared" si="18"/>
        <v>201806</v>
      </c>
      <c r="C489" s="6" t="str">
        <f>INDEX(工厂基础数据!$A$2:$A$1024,MATCH(X489,工厂基础数据!$D$2:$D$1024,0))</f>
        <v>02025767</v>
      </c>
      <c r="E489" s="6" t="str">
        <f>INDEX(工厂基础数据!$B$2:$B$1024,MATCH(X489,工厂基础数据!$D$2:$D$1024,0))</f>
        <v>滨州市仁信医药有限公司</v>
      </c>
      <c r="F489" s="6">
        <f>INDEX(商业2转码!$B$2:$B$10000,MATCH(E489,商业2转码!$A$2:$A$10000,0))</f>
        <v>0</v>
      </c>
      <c r="G489" s="6" t="str">
        <f>INDEX(品种2编码!$A$2:$A$1048576,MATCH(W489,品种2编码!$D$2:$D$1048576,0))</f>
        <v>0020020020ZYLC0010</v>
      </c>
      <c r="H489" s="6" t="s">
        <v>1877</v>
      </c>
      <c r="I489" s="6" t="s">
        <v>1878</v>
      </c>
      <c r="J489" s="6" t="s">
        <v>3036</v>
      </c>
      <c r="L489" s="6" t="s">
        <v>2348</v>
      </c>
      <c r="M489" s="6">
        <f>INDEX(医院2县区2人!$B$2:$B$1048576,MATCH(L489,医院2县区2人!$A$2:$A$1048576,0))</f>
        <v>2</v>
      </c>
      <c r="N489" s="6" t="str">
        <f>INDEX(医院2县区2人!$C$2:$C$1048576,MATCH(L489,医院2县区2人!$A$2:$A$1048576,0))</f>
        <v>1853</v>
      </c>
      <c r="P489" s="7">
        <v>43269.773356481484</v>
      </c>
      <c r="Q489" s="6">
        <v>5</v>
      </c>
      <c r="R489" s="6">
        <v>3.5</v>
      </c>
      <c r="S489" s="6">
        <v>180401</v>
      </c>
      <c r="T489" s="6" t="str">
        <f>INDEX(医院2县区2人!$D$2:$D$1048576,MATCH(L489,医院2县区2人!$A$2:$A$1048576,0))</f>
        <v>201602151421097</v>
      </c>
      <c r="W489" s="6" t="str">
        <f t="shared" si="17"/>
        <v xml:space="preserve">泻利停/颠茄磺苄啶片0.48g*10片 </v>
      </c>
      <c r="X489" s="6" t="s">
        <v>2890</v>
      </c>
    </row>
    <row r="490" spans="1:24" x14ac:dyDescent="0.15">
      <c r="A490" s="7" t="str">
        <f t="shared" si="18"/>
        <v>201806</v>
      </c>
      <c r="C490" s="6" t="str">
        <f>INDEX(工厂基础数据!$A$2:$A$1024,MATCH(X490,工厂基础数据!$D$2:$D$1024,0))</f>
        <v>02025767</v>
      </c>
      <c r="E490" s="6" t="str">
        <f>INDEX(工厂基础数据!$B$2:$B$1024,MATCH(X490,工厂基础数据!$D$2:$D$1024,0))</f>
        <v>滨州市仁信医药有限公司</v>
      </c>
      <c r="F490" s="6">
        <f>INDEX(商业2转码!$B$2:$B$10000,MATCH(E490,商业2转码!$A$2:$A$10000,0))</f>
        <v>0</v>
      </c>
      <c r="G490" s="6" t="str">
        <f>INDEX(品种2编码!$A$2:$A$1048576,MATCH(W490,品种2编码!$D$2:$D$1048576,0))</f>
        <v>0020020020ZYLC0010</v>
      </c>
      <c r="H490" s="6" t="s">
        <v>1877</v>
      </c>
      <c r="I490" s="6" t="s">
        <v>1878</v>
      </c>
      <c r="J490" s="6" t="s">
        <v>3036</v>
      </c>
      <c r="L490" s="6" t="s">
        <v>2211</v>
      </c>
      <c r="M490" s="6">
        <f>INDEX(医院2县区2人!$B$2:$B$1048576,MATCH(L490,医院2县区2人!$A$2:$A$1048576,0))</f>
        <v>2</v>
      </c>
      <c r="N490" s="6" t="str">
        <f>INDEX(医院2县区2人!$C$2:$C$1048576,MATCH(L490,医院2县区2人!$A$2:$A$1048576,0))</f>
        <v>1855</v>
      </c>
      <c r="P490" s="7">
        <v>43269.773229166669</v>
      </c>
      <c r="Q490" s="6">
        <v>10</v>
      </c>
      <c r="R490" s="6">
        <v>3.5</v>
      </c>
      <c r="S490" s="6">
        <v>180401</v>
      </c>
      <c r="T490" s="6" t="str">
        <f>INDEX(医院2县区2人!$D$2:$D$1048576,MATCH(L490,医院2县区2人!$A$2:$A$1048576,0))</f>
        <v>201602151421097</v>
      </c>
      <c r="W490" s="6" t="str">
        <f t="shared" si="17"/>
        <v xml:space="preserve">泻利停/颠茄磺苄啶片0.48g*10片 </v>
      </c>
      <c r="X490" s="6" t="s">
        <v>2890</v>
      </c>
    </row>
    <row r="491" spans="1:24" x14ac:dyDescent="0.15">
      <c r="A491" s="7" t="str">
        <f t="shared" si="18"/>
        <v>201806</v>
      </c>
      <c r="C491" s="6" t="str">
        <f>INDEX(工厂基础数据!$A$2:$A$1024,MATCH(X491,工厂基础数据!$D$2:$D$1024,0))</f>
        <v>02025767</v>
      </c>
      <c r="E491" s="6" t="str">
        <f>INDEX(工厂基础数据!$B$2:$B$1024,MATCH(X491,工厂基础数据!$D$2:$D$1024,0))</f>
        <v>滨州市仁信医药有限公司</v>
      </c>
      <c r="F491" s="6">
        <f>INDEX(商业2转码!$B$2:$B$10000,MATCH(E491,商业2转码!$A$2:$A$10000,0))</f>
        <v>0</v>
      </c>
      <c r="G491" s="6" t="str">
        <f>INDEX(品种2编码!$A$2:$A$1048576,MATCH(W491,品种2编码!$D$2:$D$1048576,0))</f>
        <v>0020050090SJZY0001</v>
      </c>
      <c r="H491" s="6" t="s">
        <v>630</v>
      </c>
      <c r="I491" s="6" t="s">
        <v>1850</v>
      </c>
      <c r="J491" s="6" t="s">
        <v>3040</v>
      </c>
      <c r="L491" s="6" t="s">
        <v>2311</v>
      </c>
      <c r="M491" s="6">
        <f>INDEX(医院2县区2人!$B$2:$B$1048576,MATCH(L491,医院2县区2人!$A$2:$A$1048576,0))</f>
        <v>2</v>
      </c>
      <c r="N491" s="6" t="str">
        <f>INDEX(医院2县区2人!$C$2:$C$1048576,MATCH(L491,医院2县区2人!$A$2:$A$1048576,0))</f>
        <v>1853</v>
      </c>
      <c r="P491" s="7">
        <v>43269.773240740738</v>
      </c>
      <c r="Q491" s="6">
        <v>20</v>
      </c>
      <c r="R491" s="6">
        <v>16.5</v>
      </c>
      <c r="S491" s="6">
        <v>17062821</v>
      </c>
      <c r="T491" s="6" t="str">
        <f>INDEX(医院2县区2人!$D$2:$D$1048576,MATCH(L491,医院2县区2人!$A$2:$A$1048576,0))</f>
        <v>201602151421097</v>
      </c>
      <c r="W491" s="6" t="str">
        <f t="shared" si="17"/>
        <v>双黄连口服液10ml*10支</v>
      </c>
      <c r="X491" s="6" t="s">
        <v>2890</v>
      </c>
    </row>
    <row r="492" spans="1:24" x14ac:dyDescent="0.15">
      <c r="A492" s="7" t="str">
        <f t="shared" si="18"/>
        <v>201806</v>
      </c>
      <c r="C492" s="6" t="str">
        <f>INDEX(工厂基础数据!$A$2:$A$1024,MATCH(X492,工厂基础数据!$D$2:$D$1024,0))</f>
        <v>02025767</v>
      </c>
      <c r="E492" s="6" t="str">
        <f>INDEX(工厂基础数据!$B$2:$B$1024,MATCH(X492,工厂基础数据!$D$2:$D$1024,0))</f>
        <v>滨州市仁信医药有限公司</v>
      </c>
      <c r="F492" s="6">
        <f>INDEX(商业2转码!$B$2:$B$10000,MATCH(E492,商业2转码!$A$2:$A$10000,0))</f>
        <v>0</v>
      </c>
      <c r="G492" s="6" t="str">
        <f>INDEX(品种2编码!$A$2:$A$1048576,MATCH(W492,品种2编码!$D$2:$D$1048576,0))</f>
        <v>0020030001SJZY0009</v>
      </c>
      <c r="H492" s="6" t="s">
        <v>555</v>
      </c>
      <c r="I492" s="6" t="s">
        <v>1889</v>
      </c>
      <c r="J492" s="6" t="s">
        <v>3039</v>
      </c>
      <c r="L492" s="6" t="s">
        <v>2250</v>
      </c>
      <c r="M492" s="6">
        <f>INDEX(医院2县区2人!$B$2:$B$1048576,MATCH(L492,医院2县区2人!$A$2:$A$1048576,0))</f>
        <v>2</v>
      </c>
      <c r="N492" s="6" t="str">
        <f>INDEX(医院2县区2人!$C$2:$C$1048576,MATCH(L492,医院2县区2人!$A$2:$A$1048576,0))</f>
        <v>1854</v>
      </c>
      <c r="P492" s="7">
        <v>43269.773472222223</v>
      </c>
      <c r="Q492" s="6">
        <v>10</v>
      </c>
      <c r="R492" s="6">
        <v>25</v>
      </c>
      <c r="S492" s="6">
        <v>18031227</v>
      </c>
      <c r="T492" s="6" t="str">
        <f>INDEX(医院2县区2人!$D$2:$D$1048576,MATCH(L492,医院2县区2人!$A$2:$A$1048576,0))</f>
        <v>201602151421097</v>
      </c>
      <c r="W492" s="6" t="str">
        <f t="shared" si="17"/>
        <v>葡萄糖酸锌口服液10ML*12支</v>
      </c>
      <c r="X492" s="6" t="s">
        <v>2890</v>
      </c>
    </row>
    <row r="493" spans="1:24" x14ac:dyDescent="0.15">
      <c r="A493" s="7" t="str">
        <f t="shared" si="18"/>
        <v>201806</v>
      </c>
      <c r="C493" s="6" t="str">
        <f>INDEX(工厂基础数据!$A$2:$A$1024,MATCH(X493,工厂基础数据!$D$2:$D$1024,0))</f>
        <v>02025767</v>
      </c>
      <c r="E493" s="6" t="str">
        <f>INDEX(工厂基础数据!$B$2:$B$1024,MATCH(X493,工厂基础数据!$D$2:$D$1024,0))</f>
        <v>滨州市仁信医药有限公司</v>
      </c>
      <c r="F493" s="6">
        <f>INDEX(商业2转码!$B$2:$B$10000,MATCH(E493,商业2转码!$A$2:$A$10000,0))</f>
        <v>0</v>
      </c>
      <c r="G493" s="6" t="str">
        <f>INDEX(品种2编码!$A$2:$A$1048576,MATCH(W493,品种2编码!$D$2:$D$1048576,0))</f>
        <v>0020070001ZYLC0001</v>
      </c>
      <c r="H493" s="6" t="s">
        <v>1905</v>
      </c>
      <c r="I493" s="6" t="s">
        <v>411</v>
      </c>
      <c r="J493" s="6" t="s">
        <v>3036</v>
      </c>
      <c r="L493" s="6" t="s">
        <v>2250</v>
      </c>
      <c r="M493" s="6">
        <f>INDEX(医院2县区2人!$B$2:$B$1048576,MATCH(L493,医院2县区2人!$A$2:$A$1048576,0))</f>
        <v>2</v>
      </c>
      <c r="N493" s="6" t="str">
        <f>INDEX(医院2县区2人!$C$2:$C$1048576,MATCH(L493,医院2县区2人!$A$2:$A$1048576,0))</f>
        <v>1854</v>
      </c>
      <c r="P493" s="7">
        <v>43269.773472222223</v>
      </c>
      <c r="Q493" s="6">
        <v>10</v>
      </c>
      <c r="R493" s="6">
        <v>20</v>
      </c>
      <c r="S493" s="6">
        <v>180121</v>
      </c>
      <c r="T493" s="6" t="str">
        <f>INDEX(医院2县区2人!$D$2:$D$1048576,MATCH(L493,医院2县区2人!$A$2:$A$1048576,0))</f>
        <v>201602151421097</v>
      </c>
      <c r="W493" s="6" t="str">
        <f t="shared" si="17"/>
        <v>哈药六钙锌口服液10ml*12支</v>
      </c>
      <c r="X493" s="6" t="s">
        <v>2890</v>
      </c>
    </row>
    <row r="494" spans="1:24" x14ac:dyDescent="0.15">
      <c r="A494" s="7" t="str">
        <f t="shared" si="18"/>
        <v>201806</v>
      </c>
      <c r="C494" s="6" t="str">
        <f>INDEX(工厂基础数据!$A$2:$A$1024,MATCH(X494,工厂基础数据!$D$2:$D$1024,0))</f>
        <v>02025767</v>
      </c>
      <c r="E494" s="6" t="str">
        <f>INDEX(工厂基础数据!$B$2:$B$1024,MATCH(X494,工厂基础数据!$D$2:$D$1024,0))</f>
        <v>滨州市仁信医药有限公司</v>
      </c>
      <c r="F494" s="6">
        <f>INDEX(商业2转码!$B$2:$B$10000,MATCH(E494,商业2转码!$A$2:$A$10000,0))</f>
        <v>0</v>
      </c>
      <c r="G494" s="6" t="str">
        <f>INDEX(品种2编码!$A$2:$A$1048576,MATCH(W494,品种2编码!$D$2:$D$1048576,0))</f>
        <v>0020020013ZYZC0490</v>
      </c>
      <c r="H494" s="6" t="s">
        <v>1921</v>
      </c>
      <c r="I494" s="6" t="s">
        <v>912</v>
      </c>
      <c r="J494" s="6" t="s">
        <v>3038</v>
      </c>
      <c r="L494" s="6" t="s">
        <v>2238</v>
      </c>
      <c r="M494" s="6">
        <f>INDEX(医院2县区2人!$B$2:$B$1048576,MATCH(L494,医院2县区2人!$A$2:$A$1048576,0))</f>
        <v>2</v>
      </c>
      <c r="N494" s="6" t="str">
        <f>INDEX(医院2县区2人!$C$2:$C$1048576,MATCH(L494,医院2县区2人!$A$2:$A$1048576,0))</f>
        <v>1854</v>
      </c>
      <c r="P494" s="7">
        <v>43269.773495370369</v>
      </c>
      <c r="Q494" s="6">
        <v>20</v>
      </c>
      <c r="R494" s="6">
        <v>2.4</v>
      </c>
      <c r="S494" s="6" t="s">
        <v>3057</v>
      </c>
      <c r="T494" s="6" t="str">
        <f>INDEX(医院2县区2人!$D$2:$D$1048576,MATCH(L494,医院2县区2人!$A$2:$A$1048576,0))</f>
        <v>201602151421097</v>
      </c>
      <c r="W494" s="6" t="str">
        <f t="shared" si="17"/>
        <v>阿奇针/注射用乳糖酸阿奇霉素针0.125g</v>
      </c>
      <c r="X494" s="6" t="s">
        <v>2890</v>
      </c>
    </row>
    <row r="495" spans="1:24" x14ac:dyDescent="0.15">
      <c r="A495" s="7" t="str">
        <f t="shared" si="18"/>
        <v>201806</v>
      </c>
      <c r="C495" s="6" t="str">
        <f>INDEX(工厂基础数据!$A$2:$A$1024,MATCH(X495,工厂基础数据!$D$2:$D$1024,0))</f>
        <v>02025767</v>
      </c>
      <c r="E495" s="6" t="str">
        <f>INDEX(工厂基础数据!$B$2:$B$1024,MATCH(X495,工厂基础数据!$D$2:$D$1024,0))</f>
        <v>滨州市仁信医药有限公司</v>
      </c>
      <c r="F495" s="6">
        <f>INDEX(商业2转码!$B$2:$B$10000,MATCH(E495,商业2转码!$A$2:$A$10000,0))</f>
        <v>0</v>
      </c>
      <c r="G495" s="6" t="str">
        <f>INDEX(品种2编码!$A$2:$A$1048576,MATCH(W495,品种2编码!$D$2:$D$1048576,0))</f>
        <v>0020020021ZYLC0005</v>
      </c>
      <c r="H495" s="6" t="s">
        <v>1920</v>
      </c>
      <c r="I495" s="6" t="s">
        <v>1841</v>
      </c>
      <c r="J495" s="6" t="s">
        <v>3036</v>
      </c>
      <c r="L495" s="6" t="s">
        <v>2331</v>
      </c>
      <c r="M495" s="6">
        <f>INDEX(医院2县区2人!$B$2:$B$1048576,MATCH(L495,医院2县区2人!$A$2:$A$1048576,0))</f>
        <v>1</v>
      </c>
      <c r="N495" s="6" t="str">
        <f>INDEX(医院2县区2人!$C$2:$C$1048576,MATCH(L495,医院2县区2人!$A$2:$A$1048576,0))</f>
        <v>1853</v>
      </c>
      <c r="P495" s="7">
        <v>43269.773310185185</v>
      </c>
      <c r="Q495" s="6">
        <v>10</v>
      </c>
      <c r="R495" s="6">
        <v>4</v>
      </c>
      <c r="S495" s="6">
        <v>180201</v>
      </c>
      <c r="T495" s="6" t="str">
        <f>INDEX(医院2县区2人!$D$2:$D$1048576,MATCH(L495,医院2县区2人!$A$2:$A$1048576,0))</f>
        <v>201602151421097</v>
      </c>
      <c r="W495" s="6" t="str">
        <f t="shared" si="17"/>
        <v>小儿严迪片/罗红霉素分散片50mg*12片</v>
      </c>
      <c r="X495" s="6" t="s">
        <v>2890</v>
      </c>
    </row>
    <row r="496" spans="1:24" x14ac:dyDescent="0.15">
      <c r="A496" s="7" t="str">
        <f t="shared" si="18"/>
        <v>201806</v>
      </c>
      <c r="C496" s="6" t="str">
        <f>INDEX(工厂基础数据!$A$2:$A$1024,MATCH(X496,工厂基础数据!$D$2:$D$1024,0))</f>
        <v>02025767</v>
      </c>
      <c r="E496" s="6" t="str">
        <f>INDEX(工厂基础数据!$B$2:$B$1024,MATCH(X496,工厂基础数据!$D$2:$D$1024,0))</f>
        <v>滨州市仁信医药有限公司</v>
      </c>
      <c r="F496" s="6">
        <f>INDEX(商业2转码!$B$2:$B$10000,MATCH(E496,商业2转码!$A$2:$A$10000,0))</f>
        <v>0</v>
      </c>
      <c r="G496" s="6" t="str">
        <f>INDEX(品种2编码!$A$2:$A$1048576,MATCH(W496,品种2编码!$D$2:$D$1048576,0))</f>
        <v>0020050090ZYEC0004</v>
      </c>
      <c r="H496" s="6" t="s">
        <v>324</v>
      </c>
      <c r="I496" s="6" t="s">
        <v>1851</v>
      </c>
      <c r="J496" s="6" t="s">
        <v>3041</v>
      </c>
      <c r="L496" s="6" t="s">
        <v>2331</v>
      </c>
      <c r="M496" s="6">
        <f>INDEX(医院2县区2人!$B$2:$B$1048576,MATCH(L496,医院2县区2人!$A$2:$A$1048576,0))</f>
        <v>1</v>
      </c>
      <c r="N496" s="6" t="str">
        <f>INDEX(医院2县区2人!$C$2:$C$1048576,MATCH(L496,医院2县区2人!$A$2:$A$1048576,0))</f>
        <v>1853</v>
      </c>
      <c r="P496" s="7">
        <v>43269.773310185185</v>
      </c>
      <c r="Q496" s="6">
        <v>10</v>
      </c>
      <c r="R496" s="6">
        <v>17</v>
      </c>
      <c r="S496" s="6">
        <v>160801</v>
      </c>
      <c r="T496" s="6" t="str">
        <f>INDEX(医院2县区2人!$D$2:$D$1048576,MATCH(L496,医院2县区2人!$A$2:$A$1048576,0))</f>
        <v>201602151421097</v>
      </c>
      <c r="W496" s="6" t="str">
        <f t="shared" si="17"/>
        <v>刺五加脑灵液100ml</v>
      </c>
      <c r="X496" s="6" t="s">
        <v>2890</v>
      </c>
    </row>
    <row r="497" spans="1:24" x14ac:dyDescent="0.15">
      <c r="A497" s="7" t="str">
        <f t="shared" si="18"/>
        <v>201806</v>
      </c>
      <c r="C497" s="6" t="str">
        <f>INDEX(工厂基础数据!$A$2:$A$1024,MATCH(X497,工厂基础数据!$D$2:$D$1024,0))</f>
        <v>02025767</v>
      </c>
      <c r="E497" s="6" t="str">
        <f>INDEX(工厂基础数据!$B$2:$B$1024,MATCH(X497,工厂基础数据!$D$2:$D$1024,0))</f>
        <v>滨州市仁信医药有限公司</v>
      </c>
      <c r="F497" s="6">
        <f>INDEX(商业2转码!$B$2:$B$10000,MATCH(E497,商业2转码!$A$2:$A$10000,0))</f>
        <v>0</v>
      </c>
      <c r="G497" s="6" t="str">
        <f>INDEX(品种2编码!$A$2:$A$1048576,MATCH(W497,品种2编码!$D$2:$D$1048576,0))</f>
        <v>0020030170ZYEC0003</v>
      </c>
      <c r="H497" s="6" t="s">
        <v>1835</v>
      </c>
      <c r="I497" s="6" t="s">
        <v>1836</v>
      </c>
      <c r="J497" s="6" t="s">
        <v>3041</v>
      </c>
      <c r="L497" s="6" t="s">
        <v>2331</v>
      </c>
      <c r="M497" s="6">
        <f>INDEX(医院2县区2人!$B$2:$B$1048576,MATCH(L497,医院2县区2人!$A$2:$A$1048576,0))</f>
        <v>1</v>
      </c>
      <c r="N497" s="6" t="str">
        <f>INDEX(医院2县区2人!$C$2:$C$1048576,MATCH(L497,医院2县区2人!$A$2:$A$1048576,0))</f>
        <v>1853</v>
      </c>
      <c r="P497" s="7">
        <v>43269.773310185185</v>
      </c>
      <c r="Q497" s="6">
        <v>10</v>
      </c>
      <c r="R497" s="6">
        <v>14</v>
      </c>
      <c r="S497" s="6">
        <v>161119</v>
      </c>
      <c r="T497" s="6" t="str">
        <f>INDEX(医院2县区2人!$D$2:$D$1048576,MATCH(L497,医院2县区2人!$A$2:$A$1048576,0))</f>
        <v>201602151421097</v>
      </c>
      <c r="W497" s="6" t="str">
        <f t="shared" si="17"/>
        <v>蒙脱石散3g*12袋</v>
      </c>
      <c r="X497" s="6" t="s">
        <v>2890</v>
      </c>
    </row>
    <row r="498" spans="1:24" x14ac:dyDescent="0.15">
      <c r="A498" s="7" t="str">
        <f t="shared" si="18"/>
        <v>201806</v>
      </c>
      <c r="C498" s="6" t="str">
        <f>INDEX(工厂基础数据!$A$2:$A$1024,MATCH(X498,工厂基础数据!$D$2:$D$1024,0))</f>
        <v>02025767</v>
      </c>
      <c r="E498" s="6" t="str">
        <f>INDEX(工厂基础数据!$B$2:$B$1024,MATCH(X498,工厂基础数据!$D$2:$D$1024,0))</f>
        <v>滨州市仁信医药有限公司</v>
      </c>
      <c r="F498" s="6">
        <f>INDEX(商业2转码!$B$2:$B$10000,MATCH(E498,商业2转码!$A$2:$A$10000,0))</f>
        <v>0</v>
      </c>
      <c r="G498" s="6" t="str">
        <f>INDEX(品种2编码!$A$2:$A$1048576,MATCH(W498,品种2编码!$D$2:$D$1048576,0))</f>
        <v>0020030020SJSC0025</v>
      </c>
      <c r="H498" s="6" t="s">
        <v>380</v>
      </c>
      <c r="I498" s="6" t="s">
        <v>381</v>
      </c>
      <c r="J498" s="6" t="s">
        <v>3045</v>
      </c>
      <c r="L498" s="6" t="s">
        <v>2226</v>
      </c>
      <c r="M498" s="6">
        <f>INDEX(医院2县区2人!$B$2:$B$1048576,MATCH(L498,医院2县区2人!$A$2:$A$1048576,0))</f>
        <v>1</v>
      </c>
      <c r="N498" s="6" t="str">
        <f>INDEX(医院2县区2人!$C$2:$C$1048576,MATCH(L498,医院2县区2人!$A$2:$A$1048576,0))</f>
        <v>1854</v>
      </c>
      <c r="P498" s="7">
        <v>43269.773460648146</v>
      </c>
      <c r="Q498" s="6">
        <v>85</v>
      </c>
      <c r="R498" s="6">
        <v>0</v>
      </c>
      <c r="S498" s="6">
        <v>1609005</v>
      </c>
      <c r="T498" s="6" t="str">
        <f>INDEX(医院2县区2人!$D$2:$D$1048576,MATCH(L498,医院2县区2人!$A$2:$A$1048576,0))</f>
        <v>201602151421097</v>
      </c>
      <c r="W498" s="6" t="str">
        <f t="shared" si="17"/>
        <v>复方氨酚烷胺片12片</v>
      </c>
      <c r="X498" s="6" t="s">
        <v>2890</v>
      </c>
    </row>
    <row r="499" spans="1:24" x14ac:dyDescent="0.15">
      <c r="A499" s="7" t="str">
        <f t="shared" si="18"/>
        <v>201806</v>
      </c>
      <c r="C499" s="6" t="str">
        <f>INDEX(工厂基础数据!$A$2:$A$1024,MATCH(X499,工厂基础数据!$D$2:$D$1024,0))</f>
        <v>02025767</v>
      </c>
      <c r="E499" s="6" t="str">
        <f>INDEX(工厂基础数据!$B$2:$B$1024,MATCH(X499,工厂基础数据!$D$2:$D$1024,0))</f>
        <v>滨州市仁信医药有限公司</v>
      </c>
      <c r="F499" s="6">
        <f>INDEX(商业2转码!$B$2:$B$10000,MATCH(E499,商业2转码!$A$2:$A$10000,0))</f>
        <v>0</v>
      </c>
      <c r="G499" s="6" t="str">
        <f>INDEX(品种2编码!$A$2:$A$1048576,MATCH(W499,品种2编码!$D$2:$D$1048576,0))</f>
        <v>0020030020SJSC0025</v>
      </c>
      <c r="H499" s="6" t="s">
        <v>380</v>
      </c>
      <c r="I499" s="6" t="s">
        <v>381</v>
      </c>
      <c r="J499" s="6" t="s">
        <v>3045</v>
      </c>
      <c r="L499" s="6" t="s">
        <v>2226</v>
      </c>
      <c r="M499" s="6">
        <f>INDEX(医院2县区2人!$B$2:$B$1048576,MATCH(L499,医院2县区2人!$A$2:$A$1048576,0))</f>
        <v>1</v>
      </c>
      <c r="N499" s="6" t="str">
        <f>INDEX(医院2县区2人!$C$2:$C$1048576,MATCH(L499,医院2县区2人!$A$2:$A$1048576,0))</f>
        <v>1854</v>
      </c>
      <c r="P499" s="7">
        <v>43269.773460648146</v>
      </c>
      <c r="Q499" s="6">
        <v>91</v>
      </c>
      <c r="R499" s="6">
        <v>0</v>
      </c>
      <c r="S499" s="6">
        <v>1611004</v>
      </c>
      <c r="T499" s="6" t="str">
        <f>INDEX(医院2县区2人!$D$2:$D$1048576,MATCH(L499,医院2县区2人!$A$2:$A$1048576,0))</f>
        <v>201602151421097</v>
      </c>
      <c r="W499" s="6" t="str">
        <f t="shared" si="17"/>
        <v>复方氨酚烷胺片12片</v>
      </c>
      <c r="X499" s="6" t="s">
        <v>2890</v>
      </c>
    </row>
    <row r="500" spans="1:24" x14ac:dyDescent="0.15">
      <c r="A500" s="7" t="str">
        <f t="shared" si="18"/>
        <v>201806</v>
      </c>
      <c r="C500" s="6" t="str">
        <f>INDEX(工厂基础数据!$A$2:$A$1024,MATCH(X500,工厂基础数据!$D$2:$D$1024,0))</f>
        <v>02025767</v>
      </c>
      <c r="E500" s="6" t="str">
        <f>INDEX(工厂基础数据!$B$2:$B$1024,MATCH(X500,工厂基础数据!$D$2:$D$1024,0))</f>
        <v>滨州市仁信医药有限公司</v>
      </c>
      <c r="F500" s="6">
        <f>INDEX(商业2转码!$B$2:$B$10000,MATCH(E500,商业2转码!$A$2:$A$10000,0))</f>
        <v>0</v>
      </c>
      <c r="G500" s="6" t="str">
        <f>INDEX(品种2编码!$A$2:$A$1048576,MATCH(W500,品种2编码!$D$2:$D$1048576,0))</f>
        <v>0020020021ZYLC0011</v>
      </c>
      <c r="H500" s="6" t="s">
        <v>1890</v>
      </c>
      <c r="I500" s="6" t="s">
        <v>1891</v>
      </c>
      <c r="J500" s="6" t="s">
        <v>3036</v>
      </c>
      <c r="L500" s="6" t="s">
        <v>2247</v>
      </c>
      <c r="M500" s="6">
        <f>INDEX(医院2县区2人!$B$2:$B$1048576,MATCH(L500,医院2县区2人!$A$2:$A$1048576,0))</f>
        <v>4</v>
      </c>
      <c r="N500" s="6" t="str">
        <f>INDEX(医院2县区2人!$C$2:$C$1048576,MATCH(L500,医院2县区2人!$A$2:$A$1048576,0))</f>
        <v>1855</v>
      </c>
      <c r="P500" s="7">
        <v>43269.773449074077</v>
      </c>
      <c r="Q500" s="6">
        <v>130</v>
      </c>
      <c r="R500" s="6">
        <v>4</v>
      </c>
      <c r="S500" s="6">
        <v>161001</v>
      </c>
      <c r="T500" s="6" t="str">
        <f>INDEX(医院2县区2人!$D$2:$D$1048576,MATCH(L500,医院2县区2人!$A$2:$A$1048576,0))</f>
        <v>201602151421097</v>
      </c>
      <c r="W500" s="6" t="str">
        <f t="shared" si="17"/>
        <v>严迪/罗红霉素分散片150mg*12片</v>
      </c>
      <c r="X500" s="6" t="s">
        <v>2890</v>
      </c>
    </row>
    <row r="501" spans="1:24" x14ac:dyDescent="0.15">
      <c r="A501" s="7" t="str">
        <f t="shared" si="18"/>
        <v>201806</v>
      </c>
      <c r="C501" s="6" t="str">
        <f>INDEX(工厂基础数据!$A$2:$A$1024,MATCH(X501,工厂基础数据!$D$2:$D$1024,0))</f>
        <v>02025767</v>
      </c>
      <c r="E501" s="6" t="str">
        <f>INDEX(工厂基础数据!$B$2:$B$1024,MATCH(X501,工厂基础数据!$D$2:$D$1024,0))</f>
        <v>滨州市仁信医药有限公司</v>
      </c>
      <c r="F501" s="6">
        <f>INDEX(商业2转码!$B$2:$B$10000,MATCH(E501,商业2转码!$A$2:$A$10000,0))</f>
        <v>0</v>
      </c>
      <c r="G501" s="6" t="str">
        <f>INDEX(品种2编码!$A$2:$A$1048576,MATCH(W501,品种2编码!$D$2:$D$1048576,0))</f>
        <v>0020020020ZYLC0007</v>
      </c>
      <c r="H501" s="6" t="s">
        <v>1894</v>
      </c>
      <c r="I501" s="6" t="s">
        <v>1895</v>
      </c>
      <c r="J501" s="6" t="s">
        <v>3036</v>
      </c>
      <c r="L501" s="6" t="s">
        <v>2247</v>
      </c>
      <c r="M501" s="6">
        <f>INDEX(医院2县区2人!$B$2:$B$1048576,MATCH(L501,医院2县区2人!$A$2:$A$1048576,0))</f>
        <v>4</v>
      </c>
      <c r="N501" s="6" t="str">
        <f>INDEX(医院2县区2人!$C$2:$C$1048576,MATCH(L501,医院2县区2人!$A$2:$A$1048576,0))</f>
        <v>1855</v>
      </c>
      <c r="P501" s="7">
        <v>43269.773611111108</v>
      </c>
      <c r="Q501" s="6">
        <v>100</v>
      </c>
      <c r="R501" s="6">
        <v>0</v>
      </c>
      <c r="S501" s="6">
        <v>161101</v>
      </c>
      <c r="T501" s="6" t="str">
        <f>INDEX(医院2县区2人!$D$2:$D$1048576,MATCH(L501,医院2县区2人!$A$2:$A$1048576,0))</f>
        <v>201602151421097</v>
      </c>
      <c r="W501" s="6" t="str">
        <f t="shared" si="17"/>
        <v>盐酸氟桂利嗪片/孚瑞尔40片</v>
      </c>
      <c r="X501" s="6" t="s">
        <v>2890</v>
      </c>
    </row>
    <row r="502" spans="1:24" x14ac:dyDescent="0.15">
      <c r="A502" s="7" t="str">
        <f t="shared" si="18"/>
        <v>201806</v>
      </c>
      <c r="C502" s="6" t="str">
        <f>INDEX(工厂基础数据!$A$2:$A$1024,MATCH(X502,工厂基础数据!$D$2:$D$1024,0))</f>
        <v>02025767</v>
      </c>
      <c r="E502" s="6" t="str">
        <f>INDEX(工厂基础数据!$B$2:$B$1024,MATCH(X502,工厂基础数据!$D$2:$D$1024,0))</f>
        <v>滨州市仁信医药有限公司</v>
      </c>
      <c r="F502" s="6">
        <f>INDEX(商业2转码!$B$2:$B$10000,MATCH(E502,商业2转码!$A$2:$A$10000,0))</f>
        <v>0</v>
      </c>
      <c r="G502" s="6" t="str">
        <f>INDEX(品种2编码!$A$2:$A$1048576,MATCH(W502,品种2编码!$D$2:$D$1048576,0))</f>
        <v>0020070000ZYLC0001</v>
      </c>
      <c r="H502" s="6" t="s">
        <v>1885</v>
      </c>
      <c r="I502" s="6" t="s">
        <v>1886</v>
      </c>
      <c r="J502" s="6" t="s">
        <v>3036</v>
      </c>
      <c r="L502" s="6" t="s">
        <v>2457</v>
      </c>
      <c r="M502" s="6">
        <f>INDEX(医院2县区2人!$B$2:$B$1048576,MATCH(L502,医院2县区2人!$A$2:$A$1048576,0))</f>
        <v>4</v>
      </c>
      <c r="N502" s="6" t="str">
        <f>INDEX(医院2县区2人!$C$2:$C$1048576,MATCH(L502,医院2县区2人!$A$2:$A$1048576,0))</f>
        <v>1854</v>
      </c>
      <c r="P502" s="7">
        <v>43269.773611111108</v>
      </c>
      <c r="Q502" s="6">
        <v>13</v>
      </c>
      <c r="R502" s="6">
        <v>29</v>
      </c>
      <c r="S502" s="6">
        <v>180104</v>
      </c>
      <c r="T502" s="6" t="str">
        <f>INDEX(医院2县区2人!$D$2:$D$1048576,MATCH(L502,医院2县区2人!$A$2:$A$1048576,0))</f>
        <v>201602151421097</v>
      </c>
      <c r="W502" s="6" t="str">
        <f t="shared" si="17"/>
        <v>新盖中盖高钙片2.5g*36P</v>
      </c>
      <c r="X502" s="6" t="s">
        <v>2890</v>
      </c>
    </row>
    <row r="503" spans="1:24" x14ac:dyDescent="0.15">
      <c r="A503" s="7" t="str">
        <f t="shared" si="18"/>
        <v>201806</v>
      </c>
      <c r="C503" s="6" t="str">
        <f>INDEX(工厂基础数据!$A$2:$A$1024,MATCH(X503,工厂基础数据!$D$2:$D$1024,0))</f>
        <v>02025767</v>
      </c>
      <c r="E503" s="6" t="str">
        <f>INDEX(工厂基础数据!$B$2:$B$1024,MATCH(X503,工厂基础数据!$D$2:$D$1024,0))</f>
        <v>滨州市仁信医药有限公司</v>
      </c>
      <c r="F503" s="6">
        <f>INDEX(商业2转码!$B$2:$B$10000,MATCH(E503,商业2转码!$A$2:$A$10000,0))</f>
        <v>0</v>
      </c>
      <c r="G503" s="6" t="str">
        <f>INDEX(品种2编码!$A$2:$A$1048576,MATCH(W503,品种2编码!$D$2:$D$1048576,0))</f>
        <v>0020070000ZYLC0001</v>
      </c>
      <c r="H503" s="6" t="s">
        <v>1885</v>
      </c>
      <c r="I503" s="6" t="s">
        <v>1886</v>
      </c>
      <c r="J503" s="6" t="s">
        <v>3036</v>
      </c>
      <c r="L503" s="6" t="s">
        <v>2457</v>
      </c>
      <c r="M503" s="6">
        <f>INDEX(医院2县区2人!$B$2:$B$1048576,MATCH(L503,医院2县区2人!$A$2:$A$1048576,0))</f>
        <v>4</v>
      </c>
      <c r="N503" s="6" t="str">
        <f>INDEX(医院2县区2人!$C$2:$C$1048576,MATCH(L503,医院2县区2人!$A$2:$A$1048576,0))</f>
        <v>1854</v>
      </c>
      <c r="P503" s="7">
        <v>43269.773611111108</v>
      </c>
      <c r="Q503" s="6">
        <v>17</v>
      </c>
      <c r="R503" s="6">
        <v>29</v>
      </c>
      <c r="S503" s="6">
        <v>180104</v>
      </c>
      <c r="T503" s="6" t="str">
        <f>INDEX(医院2县区2人!$D$2:$D$1048576,MATCH(L503,医院2县区2人!$A$2:$A$1048576,0))</f>
        <v>201602151421097</v>
      </c>
      <c r="W503" s="6" t="str">
        <f t="shared" si="17"/>
        <v>新盖中盖高钙片2.5g*36P</v>
      </c>
      <c r="X503" s="6" t="s">
        <v>2890</v>
      </c>
    </row>
    <row r="504" spans="1:24" x14ac:dyDescent="0.15">
      <c r="A504" s="7" t="str">
        <f t="shared" si="18"/>
        <v>201806</v>
      </c>
      <c r="C504" s="6" t="str">
        <f>INDEX(工厂基础数据!$A$2:$A$1024,MATCH(X504,工厂基础数据!$D$2:$D$1024,0))</f>
        <v>02025767</v>
      </c>
      <c r="E504" s="6" t="str">
        <f>INDEX(工厂基础数据!$B$2:$B$1024,MATCH(X504,工厂基础数据!$D$2:$D$1024,0))</f>
        <v>滨州市仁信医药有限公司</v>
      </c>
      <c r="F504" s="6">
        <f>INDEX(商业2转码!$B$2:$B$10000,MATCH(E504,商业2转码!$A$2:$A$10000,0))</f>
        <v>0</v>
      </c>
      <c r="G504" s="6" t="str">
        <f>INDEX(品种2编码!$A$2:$A$1048576,MATCH(W504,品种2编码!$D$2:$D$1048576,0))</f>
        <v>0020050090SJZY0001</v>
      </c>
      <c r="H504" s="6" t="s">
        <v>630</v>
      </c>
      <c r="I504" s="6" t="s">
        <v>1850</v>
      </c>
      <c r="J504" s="6" t="s">
        <v>3040</v>
      </c>
      <c r="L504" s="6" t="s">
        <v>2188</v>
      </c>
      <c r="M504" s="6">
        <f>INDEX(医院2县区2人!$B$2:$B$1048576,MATCH(L504,医院2县区2人!$A$2:$A$1048576,0))</f>
        <v>2</v>
      </c>
      <c r="N504" s="6" t="str">
        <f>INDEX(医院2县区2人!$C$2:$C$1048576,MATCH(L504,医院2县区2人!$A$2:$A$1048576,0))</f>
        <v>1855</v>
      </c>
      <c r="P504" s="7">
        <v>43270.743333333332</v>
      </c>
      <c r="Q504" s="6">
        <v>2</v>
      </c>
      <c r="R504" s="6">
        <v>17</v>
      </c>
      <c r="S504" s="6">
        <v>17062821</v>
      </c>
      <c r="T504" s="6" t="str">
        <f>INDEX(医院2县区2人!$D$2:$D$1048576,MATCH(L504,医院2县区2人!$A$2:$A$1048576,0))</f>
        <v>201602151421097</v>
      </c>
      <c r="W504" s="6" t="str">
        <f t="shared" si="17"/>
        <v>双黄连口服液10ml*10支</v>
      </c>
      <c r="X504" s="6" t="s">
        <v>2890</v>
      </c>
    </row>
    <row r="505" spans="1:24" x14ac:dyDescent="0.15">
      <c r="A505" s="7" t="str">
        <f t="shared" si="18"/>
        <v>201806</v>
      </c>
      <c r="C505" s="6" t="str">
        <f>INDEX(工厂基础数据!$A$2:$A$1024,MATCH(X505,工厂基础数据!$D$2:$D$1024,0))</f>
        <v>02025767</v>
      </c>
      <c r="E505" s="6" t="str">
        <f>INDEX(工厂基础数据!$B$2:$B$1024,MATCH(X505,工厂基础数据!$D$2:$D$1024,0))</f>
        <v>滨州市仁信医药有限公司</v>
      </c>
      <c r="F505" s="6">
        <f>INDEX(商业2转码!$B$2:$B$10000,MATCH(E505,商业2转码!$A$2:$A$10000,0))</f>
        <v>0</v>
      </c>
      <c r="G505" s="6" t="str">
        <f>INDEX(品种2编码!$A$2:$A$1048576,MATCH(W505,品种2编码!$D$2:$D$1048576,0))</f>
        <v>0020070001ZYZC0383</v>
      </c>
      <c r="H505" s="6" t="s">
        <v>1849</v>
      </c>
      <c r="I505" s="6" t="s">
        <v>1850</v>
      </c>
      <c r="J505" s="6" t="s">
        <v>3038</v>
      </c>
      <c r="L505" s="6" t="s">
        <v>2585</v>
      </c>
      <c r="M505" s="6">
        <f>INDEX(医院2县区2人!$B$2:$B$1048576,MATCH(L505,医院2县区2人!$A$2:$A$1048576,0))</f>
        <v>2</v>
      </c>
      <c r="N505" s="6" t="str">
        <f>INDEX(医院2县区2人!$C$2:$C$1048576,MATCH(L505,医院2县区2人!$A$2:$A$1048576,0))</f>
        <v>1854</v>
      </c>
      <c r="P505" s="7">
        <v>43270.743634259263</v>
      </c>
      <c r="Q505" s="6">
        <v>20</v>
      </c>
      <c r="R505" s="6">
        <v>15</v>
      </c>
      <c r="S505" s="6">
        <v>1801107</v>
      </c>
      <c r="T505" s="6" t="str">
        <f>INDEX(医院2县区2人!$D$2:$D$1048576,MATCH(L505,医院2县区2人!$A$2:$A$1048576,0))</f>
        <v>201602151421097</v>
      </c>
      <c r="W505" s="6" t="str">
        <f t="shared" si="17"/>
        <v>哈药牌钙铁锌口服液10ml*10支</v>
      </c>
      <c r="X505" s="6" t="s">
        <v>2890</v>
      </c>
    </row>
    <row r="506" spans="1:24" x14ac:dyDescent="0.15">
      <c r="A506" s="7" t="str">
        <f t="shared" si="18"/>
        <v>201806</v>
      </c>
      <c r="C506" s="6" t="str">
        <f>INDEX(工厂基础数据!$A$2:$A$1024,MATCH(X506,工厂基础数据!$D$2:$D$1024,0))</f>
        <v>02025767</v>
      </c>
      <c r="E506" s="6" t="str">
        <f>INDEX(工厂基础数据!$B$2:$B$1024,MATCH(X506,工厂基础数据!$D$2:$D$1024,0))</f>
        <v>滨州市仁信医药有限公司</v>
      </c>
      <c r="F506" s="6">
        <f>INDEX(商业2转码!$B$2:$B$10000,MATCH(E506,商业2转码!$A$2:$A$10000,0))</f>
        <v>0</v>
      </c>
      <c r="G506" s="6" t="str">
        <f>INDEX(品种2编码!$A$2:$A$1048576,MATCH(W506,品种2编码!$D$2:$D$1048576,0))</f>
        <v>0020040070ZYEC0005</v>
      </c>
      <c r="H506" s="6" t="s">
        <v>708</v>
      </c>
      <c r="I506" s="6" t="s">
        <v>1851</v>
      </c>
      <c r="J506" s="6" t="s">
        <v>3041</v>
      </c>
      <c r="L506" s="6" t="s">
        <v>2276</v>
      </c>
      <c r="M506" s="6">
        <f>INDEX(医院2县区2人!$B$2:$B$1048576,MATCH(L506,医院2县区2人!$A$2:$A$1048576,0))</f>
        <v>4</v>
      </c>
      <c r="N506" s="6" t="str">
        <f>INDEX(医院2县区2人!$C$2:$C$1048576,MATCH(L506,医院2县区2人!$A$2:$A$1048576,0))</f>
        <v>1859</v>
      </c>
      <c r="P506" s="7">
        <v>43270.743611111109</v>
      </c>
      <c r="Q506" s="6">
        <v>30</v>
      </c>
      <c r="R506" s="6">
        <v>14.5</v>
      </c>
      <c r="S506" s="6">
        <v>180301</v>
      </c>
      <c r="T506" s="6" t="str">
        <f>INDEX(医院2县区2人!$D$2:$D$1048576,MATCH(L506,医院2县区2人!$A$2:$A$1048576,0))</f>
        <v>201602151421097</v>
      </c>
      <c r="W506" s="6" t="str">
        <f t="shared" si="17"/>
        <v>小儿百部止咳糖浆100ml</v>
      </c>
      <c r="X506" s="6" t="s">
        <v>2890</v>
      </c>
    </row>
    <row r="507" spans="1:24" x14ac:dyDescent="0.15">
      <c r="A507" s="7" t="str">
        <f t="shared" si="18"/>
        <v>201806</v>
      </c>
      <c r="C507" s="6" t="str">
        <f>INDEX(工厂基础数据!$A$2:$A$1024,MATCH(X507,工厂基础数据!$D$2:$D$1024,0))</f>
        <v>02025767</v>
      </c>
      <c r="E507" s="6" t="str">
        <f>INDEX(工厂基础数据!$B$2:$B$1024,MATCH(X507,工厂基础数据!$D$2:$D$1024,0))</f>
        <v>滨州市仁信医药有限公司</v>
      </c>
      <c r="F507" s="6">
        <f>INDEX(商业2转码!$B$2:$B$10000,MATCH(E507,商业2转码!$A$2:$A$10000,0))</f>
        <v>0</v>
      </c>
      <c r="G507" s="6" t="str">
        <f>INDEX(品种2编码!$A$2:$A$1048576,MATCH(W507,品种2编码!$D$2:$D$1048576,0))</f>
        <v>0020020020ZYZC0359</v>
      </c>
      <c r="H507" s="6" t="s">
        <v>578</v>
      </c>
      <c r="I507" s="6" t="s">
        <v>1860</v>
      </c>
      <c r="J507" s="6" t="s">
        <v>3038</v>
      </c>
      <c r="L507" s="6" t="s">
        <v>2276</v>
      </c>
      <c r="M507" s="6">
        <f>INDEX(医院2县区2人!$B$2:$B$1048576,MATCH(L507,医院2县区2人!$A$2:$A$1048576,0))</f>
        <v>4</v>
      </c>
      <c r="N507" s="6" t="str">
        <f>INDEX(医院2县区2人!$C$2:$C$1048576,MATCH(L507,医院2县区2人!$A$2:$A$1048576,0))</f>
        <v>1859</v>
      </c>
      <c r="P507" s="7">
        <v>43270.743622685186</v>
      </c>
      <c r="Q507" s="6">
        <v>50</v>
      </c>
      <c r="R507" s="6">
        <v>9.1999999999999993</v>
      </c>
      <c r="S507" s="6">
        <v>1801001</v>
      </c>
      <c r="T507" s="6" t="str">
        <f>INDEX(医院2县区2人!$D$2:$D$1048576,MATCH(L507,医院2县区2人!$A$2:$A$1048576,0))</f>
        <v>201602151421097</v>
      </c>
      <c r="W507" s="6" t="str">
        <f t="shared" si="17"/>
        <v>青霉素V钾片（仙芬）0.236g*24片</v>
      </c>
      <c r="X507" s="6" t="s">
        <v>2890</v>
      </c>
    </row>
    <row r="508" spans="1:24" x14ac:dyDescent="0.15">
      <c r="A508" s="7" t="str">
        <f t="shared" si="18"/>
        <v>201806</v>
      </c>
      <c r="C508" s="6" t="str">
        <f>INDEX(工厂基础数据!$A$2:$A$1024,MATCH(X508,工厂基础数据!$D$2:$D$1024,0))</f>
        <v>02025767</v>
      </c>
      <c r="E508" s="6" t="str">
        <f>INDEX(工厂基础数据!$B$2:$B$1024,MATCH(X508,工厂基础数据!$D$2:$D$1024,0))</f>
        <v>滨州市仁信医药有限公司</v>
      </c>
      <c r="F508" s="6">
        <f>INDEX(商业2转码!$B$2:$B$10000,MATCH(E508,商业2转码!$A$2:$A$10000,0))</f>
        <v>0</v>
      </c>
      <c r="G508" s="6" t="str">
        <f>INDEX(品种2编码!$A$2:$A$1048576,MATCH(W508,品种2编码!$D$2:$D$1048576,0))</f>
        <v>0020020021ZYLC0010</v>
      </c>
      <c r="H508" s="6" t="s">
        <v>469</v>
      </c>
      <c r="I508" s="6" t="s">
        <v>1916</v>
      </c>
      <c r="J508" s="6" t="s">
        <v>3036</v>
      </c>
      <c r="L508" s="6" t="s">
        <v>2276</v>
      </c>
      <c r="M508" s="6">
        <f>INDEX(医院2县区2人!$B$2:$B$1048576,MATCH(L508,医院2县区2人!$A$2:$A$1048576,0))</f>
        <v>4</v>
      </c>
      <c r="N508" s="6" t="str">
        <f>INDEX(医院2县区2人!$C$2:$C$1048576,MATCH(L508,医院2县区2人!$A$2:$A$1048576,0))</f>
        <v>1859</v>
      </c>
      <c r="P508" s="7">
        <v>43270.743622685186</v>
      </c>
      <c r="Q508" s="6">
        <v>12</v>
      </c>
      <c r="R508" s="6">
        <v>10.9</v>
      </c>
      <c r="S508" s="6">
        <v>171201</v>
      </c>
      <c r="T508" s="6" t="str">
        <f>INDEX(医院2县区2人!$D$2:$D$1048576,MATCH(L508,医院2县区2人!$A$2:$A$1048576,0))</f>
        <v>201602151421097</v>
      </c>
      <c r="W508" s="6" t="str">
        <f t="shared" si="17"/>
        <v>克拉霉素分散片0.125g*12片</v>
      </c>
      <c r="X508" s="6" t="s">
        <v>2890</v>
      </c>
    </row>
    <row r="509" spans="1:24" x14ac:dyDescent="0.15">
      <c r="A509" s="7" t="str">
        <f t="shared" si="18"/>
        <v>201806</v>
      </c>
      <c r="C509" s="6" t="str">
        <f>INDEX(工厂基础数据!$A$2:$A$1024,MATCH(X509,工厂基础数据!$D$2:$D$1024,0))</f>
        <v>02025767</v>
      </c>
      <c r="E509" s="6" t="str">
        <f>INDEX(工厂基础数据!$B$2:$B$1024,MATCH(X509,工厂基础数据!$D$2:$D$1024,0))</f>
        <v>滨州市仁信医药有限公司</v>
      </c>
      <c r="F509" s="6">
        <f>INDEX(商业2转码!$B$2:$B$10000,MATCH(E509,商业2转码!$A$2:$A$10000,0))</f>
        <v>0</v>
      </c>
      <c r="G509" s="6" t="str">
        <f>INDEX(品种2编码!$A$2:$A$1048576,MATCH(W509,品种2编码!$D$2:$D$1048576,0))</f>
        <v>0020020021ZYLC0010</v>
      </c>
      <c r="H509" s="6" t="s">
        <v>469</v>
      </c>
      <c r="I509" s="6" t="s">
        <v>1916</v>
      </c>
      <c r="J509" s="6" t="s">
        <v>3036</v>
      </c>
      <c r="L509" s="6" t="s">
        <v>2276</v>
      </c>
      <c r="M509" s="6">
        <f>INDEX(医院2县区2人!$B$2:$B$1048576,MATCH(L509,医院2县区2人!$A$2:$A$1048576,0))</f>
        <v>4</v>
      </c>
      <c r="N509" s="6" t="str">
        <f>INDEX(医院2县区2人!$C$2:$C$1048576,MATCH(L509,医院2县区2人!$A$2:$A$1048576,0))</f>
        <v>1859</v>
      </c>
      <c r="P509" s="7">
        <v>43270.743622685186</v>
      </c>
      <c r="Q509" s="6">
        <v>88</v>
      </c>
      <c r="R509" s="6">
        <v>10.9</v>
      </c>
      <c r="S509" s="6">
        <v>171201</v>
      </c>
      <c r="T509" s="6" t="str">
        <f>INDEX(医院2县区2人!$D$2:$D$1048576,MATCH(L509,医院2县区2人!$A$2:$A$1048576,0))</f>
        <v>201602151421097</v>
      </c>
      <c r="W509" s="6" t="str">
        <f t="shared" si="17"/>
        <v>克拉霉素分散片0.125g*12片</v>
      </c>
      <c r="X509" s="6" t="s">
        <v>2890</v>
      </c>
    </row>
    <row r="510" spans="1:24" x14ac:dyDescent="0.15">
      <c r="A510" s="7" t="str">
        <f t="shared" si="18"/>
        <v>201806</v>
      </c>
      <c r="C510" s="6" t="str">
        <f>INDEX(工厂基础数据!$A$2:$A$1024,MATCH(X510,工厂基础数据!$D$2:$D$1024,0))</f>
        <v>02025767</v>
      </c>
      <c r="E510" s="6" t="str">
        <f>INDEX(工厂基础数据!$B$2:$B$1024,MATCH(X510,工厂基础数据!$D$2:$D$1024,0))</f>
        <v>滨州市仁信医药有限公司</v>
      </c>
      <c r="F510" s="6">
        <f>INDEX(商业2转码!$B$2:$B$10000,MATCH(E510,商业2转码!$A$2:$A$10000,0))</f>
        <v>0</v>
      </c>
      <c r="G510" s="6" t="str">
        <f>INDEX(品种2编码!$A$2:$A$1048576,MATCH(W510,品种2编码!$D$2:$D$1048576,0))</f>
        <v>0020030020ZYZC0360</v>
      </c>
      <c r="H510" s="6" t="s">
        <v>1902</v>
      </c>
      <c r="I510" s="6" t="s">
        <v>1881</v>
      </c>
      <c r="J510" s="6" t="s">
        <v>3038</v>
      </c>
      <c r="L510" s="6" t="s">
        <v>2276</v>
      </c>
      <c r="M510" s="6">
        <f>INDEX(医院2县区2人!$B$2:$B$1048576,MATCH(L510,医院2县区2人!$A$2:$A$1048576,0))</f>
        <v>4</v>
      </c>
      <c r="N510" s="6" t="str">
        <f>INDEX(医院2县区2人!$C$2:$C$1048576,MATCH(L510,医院2县区2人!$A$2:$A$1048576,0))</f>
        <v>1859</v>
      </c>
      <c r="P510" s="7">
        <v>43270.743622685186</v>
      </c>
      <c r="Q510" s="6">
        <v>30</v>
      </c>
      <c r="R510" s="6">
        <v>13.4</v>
      </c>
      <c r="S510" s="6" t="s">
        <v>3055</v>
      </c>
      <c r="T510" s="6" t="str">
        <f>INDEX(医院2县区2人!$D$2:$D$1048576,MATCH(L510,医院2县区2人!$A$2:$A$1048576,0))</f>
        <v>201602151421097</v>
      </c>
      <c r="W510" s="6" t="str">
        <f t="shared" si="17"/>
        <v>维生素C咀嚼片/VC片0.1g*30片</v>
      </c>
      <c r="X510" s="6" t="s">
        <v>2890</v>
      </c>
    </row>
    <row r="511" spans="1:24" x14ac:dyDescent="0.15">
      <c r="A511" s="7" t="str">
        <f t="shared" si="18"/>
        <v>201806</v>
      </c>
      <c r="C511" s="6" t="str">
        <f>INDEX(工厂基础数据!$A$2:$A$1024,MATCH(X511,工厂基础数据!$D$2:$D$1024,0))</f>
        <v>02025767</v>
      </c>
      <c r="E511" s="6" t="str">
        <f>INDEX(工厂基础数据!$B$2:$B$1024,MATCH(X511,工厂基础数据!$D$2:$D$1024,0))</f>
        <v>滨州市仁信医药有限公司</v>
      </c>
      <c r="F511" s="6">
        <f>INDEX(商业2转码!$B$2:$B$10000,MATCH(E511,商业2转码!$A$2:$A$10000,0))</f>
        <v>0</v>
      </c>
      <c r="G511" s="6" t="str">
        <f>INDEX(品种2编码!$A$2:$A$1048576,MATCH(W511,品种2编码!$D$2:$D$1048576,0))</f>
        <v>0020030170ZYEC0003</v>
      </c>
      <c r="H511" s="6" t="s">
        <v>1835</v>
      </c>
      <c r="I511" s="6" t="s">
        <v>1836</v>
      </c>
      <c r="J511" s="6" t="s">
        <v>3041</v>
      </c>
      <c r="L511" s="6" t="s">
        <v>2276</v>
      </c>
      <c r="M511" s="6">
        <f>INDEX(医院2县区2人!$B$2:$B$1048576,MATCH(L511,医院2县区2人!$A$2:$A$1048576,0))</f>
        <v>4</v>
      </c>
      <c r="N511" s="6" t="str">
        <f>INDEX(医院2县区2人!$C$2:$C$1048576,MATCH(L511,医院2县区2人!$A$2:$A$1048576,0))</f>
        <v>1859</v>
      </c>
      <c r="P511" s="7">
        <v>43270.743622685186</v>
      </c>
      <c r="Q511" s="6">
        <v>50</v>
      </c>
      <c r="R511" s="6">
        <v>14</v>
      </c>
      <c r="S511" s="6">
        <v>161119</v>
      </c>
      <c r="T511" s="6" t="str">
        <f>INDEX(医院2县区2人!$D$2:$D$1048576,MATCH(L511,医院2县区2人!$A$2:$A$1048576,0))</f>
        <v>201602151421097</v>
      </c>
      <c r="W511" s="6" t="str">
        <f t="shared" si="17"/>
        <v>蒙脱石散3g*12袋</v>
      </c>
      <c r="X511" s="6" t="s">
        <v>2890</v>
      </c>
    </row>
    <row r="512" spans="1:24" x14ac:dyDescent="0.15">
      <c r="A512" s="7" t="str">
        <f t="shared" si="18"/>
        <v>201806</v>
      </c>
      <c r="C512" s="6" t="str">
        <f>INDEX(工厂基础数据!$A$2:$A$1024,MATCH(X512,工厂基础数据!$D$2:$D$1024,0))</f>
        <v>02025767</v>
      </c>
      <c r="E512" s="6" t="str">
        <f>INDEX(工厂基础数据!$B$2:$B$1024,MATCH(X512,工厂基础数据!$D$2:$D$1024,0))</f>
        <v>滨州市仁信医药有限公司</v>
      </c>
      <c r="F512" s="6">
        <f>INDEX(商业2转码!$B$2:$B$10000,MATCH(E512,商业2转码!$A$2:$A$10000,0))</f>
        <v>0</v>
      </c>
      <c r="G512" s="6" t="str">
        <f>INDEX(品种2编码!$A$2:$A$1048576,MATCH(W512,品种2编码!$D$2:$D$1048576,0))</f>
        <v>0020070000ZYLC0001</v>
      </c>
      <c r="H512" s="6" t="s">
        <v>1885</v>
      </c>
      <c r="I512" s="6" t="s">
        <v>1886</v>
      </c>
      <c r="J512" s="6" t="s">
        <v>3036</v>
      </c>
      <c r="L512" s="6" t="s">
        <v>2276</v>
      </c>
      <c r="M512" s="6">
        <f>INDEX(医院2县区2人!$B$2:$B$1048576,MATCH(L512,医院2县区2人!$A$2:$A$1048576,0))</f>
        <v>4</v>
      </c>
      <c r="N512" s="6" t="str">
        <f>INDEX(医院2县区2人!$C$2:$C$1048576,MATCH(L512,医院2县区2人!$A$2:$A$1048576,0))</f>
        <v>1859</v>
      </c>
      <c r="P512" s="7">
        <v>43270.743622685186</v>
      </c>
      <c r="Q512" s="6">
        <v>50</v>
      </c>
      <c r="R512" s="6">
        <v>29</v>
      </c>
      <c r="S512" s="6">
        <v>180104</v>
      </c>
      <c r="T512" s="6" t="str">
        <f>INDEX(医院2县区2人!$D$2:$D$1048576,MATCH(L512,医院2县区2人!$A$2:$A$1048576,0))</f>
        <v>201602151421097</v>
      </c>
      <c r="W512" s="6" t="str">
        <f t="shared" si="17"/>
        <v>新盖中盖高钙片2.5g*36P</v>
      </c>
      <c r="X512" s="6" t="s">
        <v>2890</v>
      </c>
    </row>
    <row r="513" spans="1:24" x14ac:dyDescent="0.15">
      <c r="A513" s="7" t="str">
        <f t="shared" si="18"/>
        <v>201806</v>
      </c>
      <c r="C513" s="6" t="str">
        <f>INDEX(工厂基础数据!$A$2:$A$1024,MATCH(X513,工厂基础数据!$D$2:$D$1024,0))</f>
        <v>02025767</v>
      </c>
      <c r="E513" s="6" t="str">
        <f>INDEX(工厂基础数据!$B$2:$B$1024,MATCH(X513,工厂基础数据!$D$2:$D$1024,0))</f>
        <v>滨州市仁信医药有限公司</v>
      </c>
      <c r="F513" s="6">
        <f>INDEX(商业2转码!$B$2:$B$10000,MATCH(E513,商业2转码!$A$2:$A$10000,0))</f>
        <v>0</v>
      </c>
      <c r="G513" s="6" t="str">
        <f>INDEX(品种2编码!$A$2:$A$1048576,MATCH(W513,品种2编码!$D$2:$D$1048576,0))</f>
        <v>0020050090SJZY0001</v>
      </c>
      <c r="H513" s="6" t="s">
        <v>630</v>
      </c>
      <c r="I513" s="6" t="s">
        <v>1850</v>
      </c>
      <c r="J513" s="6" t="s">
        <v>3040</v>
      </c>
      <c r="L513" s="6" t="s">
        <v>2276</v>
      </c>
      <c r="M513" s="6">
        <f>INDEX(医院2县区2人!$B$2:$B$1048576,MATCH(L513,医院2县区2人!$A$2:$A$1048576,0))</f>
        <v>4</v>
      </c>
      <c r="N513" s="6" t="str">
        <f>INDEX(医院2县区2人!$C$2:$C$1048576,MATCH(L513,医院2县区2人!$A$2:$A$1048576,0))</f>
        <v>1859</v>
      </c>
      <c r="P513" s="7">
        <v>43270.743622685186</v>
      </c>
      <c r="Q513" s="6">
        <v>40</v>
      </c>
      <c r="R513" s="6">
        <v>16.5</v>
      </c>
      <c r="S513" s="6">
        <v>17062821</v>
      </c>
      <c r="T513" s="6" t="str">
        <f>INDEX(医院2县区2人!$D$2:$D$1048576,MATCH(L513,医院2县区2人!$A$2:$A$1048576,0))</f>
        <v>201602151421097</v>
      </c>
      <c r="W513" s="6" t="str">
        <f t="shared" si="17"/>
        <v>双黄连口服液10ml*10支</v>
      </c>
      <c r="X513" s="6" t="s">
        <v>2890</v>
      </c>
    </row>
    <row r="514" spans="1:24" x14ac:dyDescent="0.15">
      <c r="A514" s="7" t="str">
        <f t="shared" si="18"/>
        <v>201806</v>
      </c>
      <c r="C514" s="6" t="str">
        <f>INDEX(工厂基础数据!$A$2:$A$1024,MATCH(X514,工厂基础数据!$D$2:$D$1024,0))</f>
        <v>02025767</v>
      </c>
      <c r="E514" s="6" t="str">
        <f>INDEX(工厂基础数据!$B$2:$B$1024,MATCH(X514,工厂基础数据!$D$2:$D$1024,0))</f>
        <v>滨州市仁信医药有限公司</v>
      </c>
      <c r="F514" s="6">
        <f>INDEX(商业2转码!$B$2:$B$10000,MATCH(E514,商业2转码!$A$2:$A$10000,0))</f>
        <v>0</v>
      </c>
      <c r="G514" s="6" t="str">
        <f>INDEX(品种2编码!$A$2:$A$1048576,MATCH(W514,品种2编码!$D$2:$D$1048576,0))</f>
        <v>0020030001SJZY0006</v>
      </c>
      <c r="H514" s="6" t="s">
        <v>1888</v>
      </c>
      <c r="I514" s="6" t="s">
        <v>411</v>
      </c>
      <c r="J514" s="6" t="s">
        <v>3040</v>
      </c>
      <c r="L514" s="6" t="s">
        <v>2276</v>
      </c>
      <c r="M514" s="6">
        <f>INDEX(医院2县区2人!$B$2:$B$1048576,MATCH(L514,医院2县区2人!$A$2:$A$1048576,0))</f>
        <v>4</v>
      </c>
      <c r="N514" s="6" t="str">
        <f>INDEX(医院2县区2人!$C$2:$C$1048576,MATCH(L514,医院2县区2人!$A$2:$A$1048576,0))</f>
        <v>1859</v>
      </c>
      <c r="P514" s="7">
        <v>43270.743622685186</v>
      </c>
      <c r="Q514" s="6">
        <v>40</v>
      </c>
      <c r="R514" s="6">
        <v>25</v>
      </c>
      <c r="S514" s="6">
        <v>17071042</v>
      </c>
      <c r="T514" s="6" t="str">
        <f>INDEX(医院2县区2人!$D$2:$D$1048576,MATCH(L514,医院2县区2人!$A$2:$A$1048576,0))</f>
        <v>201602151421097</v>
      </c>
      <c r="W514" s="6" t="str">
        <f t="shared" si="17"/>
        <v>葡萄糖酸钙口服溶液（含糖）10ml*12支</v>
      </c>
      <c r="X514" s="6" t="s">
        <v>2890</v>
      </c>
    </row>
    <row r="515" spans="1:24" x14ac:dyDescent="0.15">
      <c r="A515" s="7" t="str">
        <f t="shared" si="18"/>
        <v>201806</v>
      </c>
      <c r="C515" s="6" t="str">
        <f>INDEX(工厂基础数据!$A$2:$A$1024,MATCH(X515,工厂基础数据!$D$2:$D$1024,0))</f>
        <v>02025767</v>
      </c>
      <c r="E515" s="6" t="str">
        <f>INDEX(工厂基础数据!$B$2:$B$1024,MATCH(X515,工厂基础数据!$D$2:$D$1024,0))</f>
        <v>滨州市仁信医药有限公司</v>
      </c>
      <c r="F515" s="6">
        <f>INDEX(商业2转码!$B$2:$B$10000,MATCH(E515,商业2转码!$A$2:$A$10000,0))</f>
        <v>0</v>
      </c>
      <c r="G515" s="6" t="str">
        <f>INDEX(品种2编码!$A$2:$A$1048576,MATCH(W515,品种2编码!$D$2:$D$1048576,0))</f>
        <v>0020020021ZYLC0005</v>
      </c>
      <c r="H515" s="6" t="s">
        <v>1920</v>
      </c>
      <c r="I515" s="6" t="s">
        <v>1841</v>
      </c>
      <c r="J515" s="6" t="s">
        <v>3036</v>
      </c>
      <c r="L515" s="6" t="s">
        <v>2276</v>
      </c>
      <c r="M515" s="6">
        <f>INDEX(医院2县区2人!$B$2:$B$1048576,MATCH(L515,医院2县区2人!$A$2:$A$1048576,0))</f>
        <v>4</v>
      </c>
      <c r="N515" s="6" t="str">
        <f>INDEX(医院2县区2人!$C$2:$C$1048576,MATCH(L515,医院2县区2人!$A$2:$A$1048576,0))</f>
        <v>1859</v>
      </c>
      <c r="P515" s="7">
        <v>43270.743622685186</v>
      </c>
      <c r="Q515" s="6">
        <v>50</v>
      </c>
      <c r="R515" s="6">
        <v>4</v>
      </c>
      <c r="S515" s="6">
        <v>180201</v>
      </c>
      <c r="T515" s="6" t="str">
        <f>INDEX(医院2县区2人!$D$2:$D$1048576,MATCH(L515,医院2县区2人!$A$2:$A$1048576,0))</f>
        <v>201602151421097</v>
      </c>
      <c r="W515" s="6" t="str">
        <f t="shared" si="17"/>
        <v>小儿严迪片/罗红霉素分散片50mg*12片</v>
      </c>
      <c r="X515" s="6" t="s">
        <v>2890</v>
      </c>
    </row>
    <row r="516" spans="1:24" x14ac:dyDescent="0.15">
      <c r="A516" s="7" t="str">
        <f t="shared" si="18"/>
        <v>201806</v>
      </c>
      <c r="C516" s="6" t="str">
        <f>INDEX(工厂基础数据!$A$2:$A$1024,MATCH(X516,工厂基础数据!$D$2:$D$1024,0))</f>
        <v>02025767</v>
      </c>
      <c r="E516" s="6" t="str">
        <f>INDEX(工厂基础数据!$B$2:$B$1024,MATCH(X516,工厂基础数据!$D$2:$D$1024,0))</f>
        <v>滨州市仁信医药有限公司</v>
      </c>
      <c r="F516" s="6">
        <f>INDEX(商业2转码!$B$2:$B$10000,MATCH(E516,商业2转码!$A$2:$A$10000,0))</f>
        <v>0</v>
      </c>
      <c r="G516" s="6" t="str">
        <f>INDEX(品种2编码!$A$2:$A$1048576,MATCH(W516,品种2编码!$D$2:$D$1048576,0))</f>
        <v>0020020021ZYLC0004</v>
      </c>
      <c r="H516" s="6" t="s">
        <v>1899</v>
      </c>
      <c r="I516" s="6" t="s">
        <v>1869</v>
      </c>
      <c r="J516" s="6" t="s">
        <v>3036</v>
      </c>
      <c r="L516" s="6" t="s">
        <v>2276</v>
      </c>
      <c r="M516" s="6">
        <f>INDEX(医院2县区2人!$B$2:$B$1048576,MATCH(L516,医院2县区2人!$A$2:$A$1048576,0))</f>
        <v>4</v>
      </c>
      <c r="N516" s="6" t="str">
        <f>INDEX(医院2县区2人!$C$2:$C$1048576,MATCH(L516,医院2县区2人!$A$2:$A$1048576,0))</f>
        <v>1859</v>
      </c>
      <c r="P516" s="7">
        <v>43270.743622685186</v>
      </c>
      <c r="Q516" s="6">
        <v>50</v>
      </c>
      <c r="R516" s="6">
        <v>8</v>
      </c>
      <c r="S516" s="6">
        <v>180201</v>
      </c>
      <c r="T516" s="6" t="str">
        <f>INDEX(医院2县区2人!$D$2:$D$1048576,MATCH(L516,医院2县区2人!$A$2:$A$1048576,0))</f>
        <v>201602151421097</v>
      </c>
      <c r="W516" s="6" t="str">
        <f t="shared" si="17"/>
        <v>大严迪片/罗红霉素分散片75mg*12片</v>
      </c>
      <c r="X516" s="6" t="s">
        <v>2890</v>
      </c>
    </row>
    <row r="517" spans="1:24" x14ac:dyDescent="0.15">
      <c r="A517" s="7" t="str">
        <f t="shared" si="18"/>
        <v>201806</v>
      </c>
      <c r="C517" s="6" t="str">
        <f>INDEX(工厂基础数据!$A$2:$A$1024,MATCH(X517,工厂基础数据!$D$2:$D$1024,0))</f>
        <v>02025767</v>
      </c>
      <c r="E517" s="6" t="str">
        <f>INDEX(工厂基础数据!$B$2:$B$1024,MATCH(X517,工厂基础数据!$D$2:$D$1024,0))</f>
        <v>滨州市仁信医药有限公司</v>
      </c>
      <c r="F517" s="6">
        <f>INDEX(商业2转码!$B$2:$B$10000,MATCH(E517,商业2转码!$A$2:$A$10000,0))</f>
        <v>0</v>
      </c>
      <c r="G517" s="6" t="str">
        <f>INDEX(品种2编码!$A$2:$A$1048576,MATCH(W517,品种2编码!$D$2:$D$1048576,0))</f>
        <v>0020030040SJET0003</v>
      </c>
      <c r="H517" s="6" t="s">
        <v>306</v>
      </c>
      <c r="I517" s="6" t="s">
        <v>1874</v>
      </c>
      <c r="J517" s="6" t="s">
        <v>3043</v>
      </c>
      <c r="L517" s="6" t="s">
        <v>2276</v>
      </c>
      <c r="M517" s="6">
        <f>INDEX(医院2县区2人!$B$2:$B$1048576,MATCH(L517,医院2县区2人!$A$2:$A$1048576,0))</f>
        <v>4</v>
      </c>
      <c r="N517" s="6" t="str">
        <f>INDEX(医院2县区2人!$C$2:$C$1048576,MATCH(L517,医院2县区2人!$A$2:$A$1048576,0))</f>
        <v>1859</v>
      </c>
      <c r="P517" s="7">
        <v>43270.743622685186</v>
      </c>
      <c r="Q517" s="6">
        <v>50</v>
      </c>
      <c r="R517" s="6">
        <v>9</v>
      </c>
      <c r="S517" s="6">
        <v>180203</v>
      </c>
      <c r="T517" s="6" t="str">
        <f>INDEX(医院2县区2人!$D$2:$D$1048576,MATCH(L517,医院2县区2人!$A$2:$A$1048576,0))</f>
        <v>201602151421097</v>
      </c>
      <c r="W517" s="6" t="str">
        <f t="shared" ref="W517:W580" si="19">H517&amp;I517</f>
        <v>氨金黄敏颗粒6g*10袋</v>
      </c>
      <c r="X517" s="6" t="s">
        <v>2890</v>
      </c>
    </row>
    <row r="518" spans="1:24" x14ac:dyDescent="0.15">
      <c r="A518" s="7" t="str">
        <f t="shared" ref="A518:A581" si="20">IF(MONTH(P518)&lt;10,YEAR(P518)&amp;"0"&amp;MONTH(P518),YEAR(P518)&amp;MONTH(P518))</f>
        <v>201806</v>
      </c>
      <c r="C518" s="6" t="str">
        <f>INDEX(工厂基础数据!$A$2:$A$1024,MATCH(X518,工厂基础数据!$D$2:$D$1024,0))</f>
        <v>02025767</v>
      </c>
      <c r="E518" s="6" t="str">
        <f>INDEX(工厂基础数据!$B$2:$B$1024,MATCH(X518,工厂基础数据!$D$2:$D$1024,0))</f>
        <v>滨州市仁信医药有限公司</v>
      </c>
      <c r="F518" s="6">
        <f>INDEX(商业2转码!$B$2:$B$10000,MATCH(E518,商业2转码!$A$2:$A$10000,0))</f>
        <v>0</v>
      </c>
      <c r="G518" s="6" t="str">
        <f>INDEX(品种2编码!$A$2:$A$1048576,MATCH(W518,品种2编码!$D$2:$D$1048576,0))</f>
        <v>0020070001ZYZC0369</v>
      </c>
      <c r="H518" s="6" t="s">
        <v>1849</v>
      </c>
      <c r="I518" s="6" t="s">
        <v>411</v>
      </c>
      <c r="J518" s="6" t="s">
        <v>3038</v>
      </c>
      <c r="L518" s="6" t="s">
        <v>2276</v>
      </c>
      <c r="M518" s="6">
        <f>INDEX(医院2县区2人!$B$2:$B$1048576,MATCH(L518,医院2县区2人!$A$2:$A$1048576,0))</f>
        <v>4</v>
      </c>
      <c r="N518" s="6" t="str">
        <f>INDEX(医院2县区2人!$C$2:$C$1048576,MATCH(L518,医院2县区2人!$A$2:$A$1048576,0))</f>
        <v>1859</v>
      </c>
      <c r="P518" s="7">
        <v>43270.743622685186</v>
      </c>
      <c r="Q518" s="6">
        <v>30</v>
      </c>
      <c r="R518" s="6">
        <v>18</v>
      </c>
      <c r="S518" s="6">
        <v>1803014</v>
      </c>
      <c r="T518" s="6" t="str">
        <f>INDEX(医院2县区2人!$D$2:$D$1048576,MATCH(L518,医院2县区2人!$A$2:$A$1048576,0))</f>
        <v>201602151421097</v>
      </c>
      <c r="W518" s="6" t="str">
        <f t="shared" si="19"/>
        <v>哈药牌钙铁锌口服液10ml*12支</v>
      </c>
      <c r="X518" s="6" t="s">
        <v>2890</v>
      </c>
    </row>
    <row r="519" spans="1:24" x14ac:dyDescent="0.15">
      <c r="A519" s="7" t="str">
        <f t="shared" si="20"/>
        <v>201806</v>
      </c>
      <c r="C519" s="6" t="str">
        <f>INDEX(工厂基础数据!$A$2:$A$1024,MATCH(X519,工厂基础数据!$D$2:$D$1024,0))</f>
        <v>02025767</v>
      </c>
      <c r="E519" s="6" t="str">
        <f>INDEX(工厂基础数据!$B$2:$B$1024,MATCH(X519,工厂基础数据!$D$2:$D$1024,0))</f>
        <v>滨州市仁信医药有限公司</v>
      </c>
      <c r="F519" s="6">
        <f>INDEX(商业2转码!$B$2:$B$10000,MATCH(E519,商业2转码!$A$2:$A$10000,0))</f>
        <v>0</v>
      </c>
      <c r="G519" s="6" t="str">
        <f>INDEX(品种2编码!$A$2:$A$1048576,MATCH(W519,品种2编码!$D$2:$D$1048576,0))</f>
        <v>0020040220SHYT0004</v>
      </c>
      <c r="H519" s="6" t="s">
        <v>1857</v>
      </c>
      <c r="I519" s="6" t="s">
        <v>1893</v>
      </c>
      <c r="J519" s="6" t="s">
        <v>3037</v>
      </c>
      <c r="L519" s="6" t="s">
        <v>2276</v>
      </c>
      <c r="M519" s="6">
        <f>INDEX(医院2县区2人!$B$2:$B$1048576,MATCH(L519,医院2县区2人!$A$2:$A$1048576,0))</f>
        <v>4</v>
      </c>
      <c r="N519" s="6" t="str">
        <f>INDEX(医院2县区2人!$C$2:$C$1048576,MATCH(L519,医院2县区2人!$A$2:$A$1048576,0))</f>
        <v>1859</v>
      </c>
      <c r="P519" s="7">
        <v>43270.743622685186</v>
      </c>
      <c r="Q519" s="6">
        <v>26</v>
      </c>
      <c r="R519" s="6">
        <v>17</v>
      </c>
      <c r="S519" s="6">
        <v>1612412</v>
      </c>
      <c r="T519" s="6" t="str">
        <f>INDEX(医院2县区2人!$D$2:$D$1048576,MATCH(L519,医院2县区2人!$A$2:$A$1048576,0))</f>
        <v>201602151421097</v>
      </c>
      <c r="W519" s="6" t="str">
        <f t="shared" si="19"/>
        <v>妇宁栓1.6g*8枚</v>
      </c>
      <c r="X519" s="6" t="s">
        <v>2890</v>
      </c>
    </row>
    <row r="520" spans="1:24" x14ac:dyDescent="0.15">
      <c r="A520" s="7" t="str">
        <f t="shared" si="20"/>
        <v>201806</v>
      </c>
      <c r="C520" s="6" t="str">
        <f>INDEX(工厂基础数据!$A$2:$A$1024,MATCH(X520,工厂基础数据!$D$2:$D$1024,0))</f>
        <v>02025767</v>
      </c>
      <c r="E520" s="6" t="str">
        <f>INDEX(工厂基础数据!$B$2:$B$1024,MATCH(X520,工厂基础数据!$D$2:$D$1024,0))</f>
        <v>滨州市仁信医药有限公司</v>
      </c>
      <c r="F520" s="6">
        <f>INDEX(商业2转码!$B$2:$B$10000,MATCH(E520,商业2转码!$A$2:$A$10000,0))</f>
        <v>0</v>
      </c>
      <c r="G520" s="6" t="str">
        <f>INDEX(品种2编码!$A$2:$A$1048576,MATCH(W520,品种2编码!$D$2:$D$1048576,0))</f>
        <v>0020020030ZYZC0508</v>
      </c>
      <c r="H520" s="6" t="s">
        <v>245</v>
      </c>
      <c r="I520" s="6" t="s">
        <v>1934</v>
      </c>
      <c r="J520" s="6" t="s">
        <v>3038</v>
      </c>
      <c r="L520" s="6" t="s">
        <v>2276</v>
      </c>
      <c r="M520" s="6">
        <f>INDEX(医院2县区2人!$B$2:$B$1048576,MATCH(L520,医院2县区2人!$A$2:$A$1048576,0))</f>
        <v>4</v>
      </c>
      <c r="N520" s="6" t="str">
        <f>INDEX(医院2县区2人!$C$2:$C$1048576,MATCH(L520,医院2县区2人!$A$2:$A$1048576,0))</f>
        <v>1859</v>
      </c>
      <c r="P520" s="7">
        <v>43270.743622685186</v>
      </c>
      <c r="Q520" s="6">
        <v>100</v>
      </c>
      <c r="R520" s="6">
        <v>7.3</v>
      </c>
      <c r="S520" s="6" t="s">
        <v>3053</v>
      </c>
      <c r="T520" s="6" t="str">
        <f>INDEX(医院2县区2人!$D$2:$D$1048576,MATCH(L520,医院2县区2人!$A$2:$A$1048576,0))</f>
        <v>201602151421097</v>
      </c>
      <c r="W520" s="6" t="str">
        <f t="shared" si="19"/>
        <v>阿莫西林胶囊0.25g*20s</v>
      </c>
      <c r="X520" s="6" t="s">
        <v>2890</v>
      </c>
    </row>
    <row r="521" spans="1:24" x14ac:dyDescent="0.15">
      <c r="A521" s="7" t="str">
        <f t="shared" si="20"/>
        <v>201806</v>
      </c>
      <c r="C521" s="6" t="str">
        <f>INDEX(工厂基础数据!$A$2:$A$1024,MATCH(X521,工厂基础数据!$D$2:$D$1024,0))</f>
        <v>02025767</v>
      </c>
      <c r="E521" s="6" t="str">
        <f>INDEX(工厂基础数据!$B$2:$B$1024,MATCH(X521,工厂基础数据!$D$2:$D$1024,0))</f>
        <v>滨州市仁信医药有限公司</v>
      </c>
      <c r="F521" s="6">
        <f>INDEX(商业2转码!$B$2:$B$10000,MATCH(E521,商业2转码!$A$2:$A$10000,0))</f>
        <v>0</v>
      </c>
      <c r="G521" s="6" t="str">
        <f>INDEX(品种2编码!$A$2:$A$1048576,MATCH(W521,品种2编码!$D$2:$D$1048576,0))</f>
        <v>0020040220SHYT0004</v>
      </c>
      <c r="H521" s="6" t="s">
        <v>1857</v>
      </c>
      <c r="I521" s="6" t="s">
        <v>1893</v>
      </c>
      <c r="J521" s="6" t="s">
        <v>3037</v>
      </c>
      <c r="L521" s="6" t="s">
        <v>2276</v>
      </c>
      <c r="M521" s="6">
        <f>INDEX(医院2县区2人!$B$2:$B$1048576,MATCH(L521,医院2县区2人!$A$2:$A$1048576,0))</f>
        <v>4</v>
      </c>
      <c r="N521" s="6" t="str">
        <f>INDEX(医院2县区2人!$C$2:$C$1048576,MATCH(L521,医院2县区2人!$A$2:$A$1048576,0))</f>
        <v>1859</v>
      </c>
      <c r="P521" s="7">
        <v>43270.743622685186</v>
      </c>
      <c r="Q521" s="6">
        <v>24</v>
      </c>
      <c r="R521" s="6">
        <v>17</v>
      </c>
      <c r="S521" s="6">
        <v>1603402</v>
      </c>
      <c r="T521" s="6" t="str">
        <f>INDEX(医院2县区2人!$D$2:$D$1048576,MATCH(L521,医院2县区2人!$A$2:$A$1048576,0))</f>
        <v>201602151421097</v>
      </c>
      <c r="W521" s="6" t="str">
        <f t="shared" si="19"/>
        <v>妇宁栓1.6g*8枚</v>
      </c>
      <c r="X521" s="6" t="s">
        <v>2890</v>
      </c>
    </row>
    <row r="522" spans="1:24" x14ac:dyDescent="0.15">
      <c r="A522" s="7" t="str">
        <f t="shared" si="20"/>
        <v>201806</v>
      </c>
      <c r="C522" s="6" t="str">
        <f>INDEX(工厂基础数据!$A$2:$A$1024,MATCH(X522,工厂基础数据!$D$2:$D$1024,0))</f>
        <v>02025767</v>
      </c>
      <c r="E522" s="6" t="str">
        <f>INDEX(工厂基础数据!$B$2:$B$1024,MATCH(X522,工厂基础数据!$D$2:$D$1024,0))</f>
        <v>滨州市仁信医药有限公司</v>
      </c>
      <c r="F522" s="6">
        <f>INDEX(商业2转码!$B$2:$B$10000,MATCH(E522,商业2转码!$A$2:$A$10000,0))</f>
        <v>0</v>
      </c>
      <c r="G522" s="6" t="str">
        <f>INDEX(品种2编码!$A$2:$A$1048576,MATCH(W522,品种2编码!$D$2:$D$1048576,0))</f>
        <v>0020030020ZYLC0010</v>
      </c>
      <c r="H522" s="6" t="s">
        <v>1883</v>
      </c>
      <c r="I522" s="6" t="s">
        <v>1839</v>
      </c>
      <c r="J522" s="6" t="s">
        <v>3036</v>
      </c>
      <c r="L522" s="6" t="s">
        <v>2276</v>
      </c>
      <c r="M522" s="6">
        <f>INDEX(医院2县区2人!$B$2:$B$1048576,MATCH(L522,医院2县区2人!$A$2:$A$1048576,0))</f>
        <v>4</v>
      </c>
      <c r="N522" s="6" t="str">
        <f>INDEX(医院2县区2人!$C$2:$C$1048576,MATCH(L522,医院2县区2人!$A$2:$A$1048576,0))</f>
        <v>1859</v>
      </c>
      <c r="P522" s="7">
        <v>43270.743622685186</v>
      </c>
      <c r="Q522" s="6">
        <v>100</v>
      </c>
      <c r="R522" s="6">
        <v>3.7</v>
      </c>
      <c r="S522" s="6">
        <v>180136</v>
      </c>
      <c r="T522" s="6" t="str">
        <f>INDEX(医院2县区2人!$D$2:$D$1048576,MATCH(L522,医院2县区2人!$A$2:$A$1048576,0))</f>
        <v>201602151421097</v>
      </c>
      <c r="W522" s="6" t="str">
        <f t="shared" si="19"/>
        <v>“为消”牌乳酸菌素片0.4g*36片</v>
      </c>
      <c r="X522" s="6" t="s">
        <v>2890</v>
      </c>
    </row>
    <row r="523" spans="1:24" x14ac:dyDescent="0.15">
      <c r="A523" s="7" t="str">
        <f t="shared" si="20"/>
        <v>201806</v>
      </c>
      <c r="C523" s="6" t="str">
        <f>INDEX(工厂基础数据!$A$2:$A$1024,MATCH(X523,工厂基础数据!$D$2:$D$1024,0))</f>
        <v>02025767</v>
      </c>
      <c r="E523" s="6" t="str">
        <f>INDEX(工厂基础数据!$B$2:$B$1024,MATCH(X523,工厂基础数据!$D$2:$D$1024,0))</f>
        <v>滨州市仁信医药有限公司</v>
      </c>
      <c r="F523" s="6">
        <f>INDEX(商业2转码!$B$2:$B$10000,MATCH(E523,商业2转码!$A$2:$A$10000,0))</f>
        <v>0</v>
      </c>
      <c r="G523" s="6" t="str">
        <f>INDEX(品种2编码!$A$2:$A$1048576,MATCH(W523,品种2编码!$D$2:$D$1048576,0))</f>
        <v>0020040030SJSC0009</v>
      </c>
      <c r="H523" s="6" t="s">
        <v>436</v>
      </c>
      <c r="I523" s="6" t="s">
        <v>1925</v>
      </c>
      <c r="J523" s="6" t="s">
        <v>3045</v>
      </c>
      <c r="L523" s="6" t="s">
        <v>2276</v>
      </c>
      <c r="M523" s="6">
        <f>INDEX(医院2县区2人!$B$2:$B$1048576,MATCH(L523,医院2县区2人!$A$2:$A$1048576,0))</f>
        <v>4</v>
      </c>
      <c r="N523" s="6" t="str">
        <f>INDEX(医院2县区2人!$C$2:$C$1048576,MATCH(L523,医院2县区2人!$A$2:$A$1048576,0))</f>
        <v>1859</v>
      </c>
      <c r="P523" s="7">
        <v>43270.743622685186</v>
      </c>
      <c r="Q523" s="6">
        <v>50</v>
      </c>
      <c r="R523" s="6">
        <v>21</v>
      </c>
      <c r="S523" s="6">
        <v>1802001</v>
      </c>
      <c r="T523" s="6" t="str">
        <f>INDEX(医院2县区2人!$D$2:$D$1048576,MATCH(L523,医院2县区2人!$A$2:$A$1048576,0))</f>
        <v>201602151421097</v>
      </c>
      <c r="W523" s="6" t="str">
        <f t="shared" si="19"/>
        <v>护肝片0.36g*100片</v>
      </c>
      <c r="X523" s="6" t="s">
        <v>2890</v>
      </c>
    </row>
    <row r="524" spans="1:24" x14ac:dyDescent="0.15">
      <c r="A524" s="7" t="str">
        <f t="shared" si="20"/>
        <v>201806</v>
      </c>
      <c r="C524" s="6" t="str">
        <f>INDEX(工厂基础数据!$A$2:$A$1024,MATCH(X524,工厂基础数据!$D$2:$D$1024,0))</f>
        <v>02025767</v>
      </c>
      <c r="E524" s="6" t="str">
        <f>INDEX(工厂基础数据!$B$2:$B$1024,MATCH(X524,工厂基础数据!$D$2:$D$1024,0))</f>
        <v>滨州市仁信医药有限公司</v>
      </c>
      <c r="F524" s="6">
        <f>INDEX(商业2转码!$B$2:$B$10000,MATCH(E524,商业2转码!$A$2:$A$10000,0))</f>
        <v>0</v>
      </c>
      <c r="G524" s="6" t="str">
        <f>INDEX(品种2编码!$A$2:$A$1048576,MATCH(W524,品种2编码!$D$2:$D$1048576,0))</f>
        <v>0020070000ZYLC0003</v>
      </c>
      <c r="H524" s="6" t="s">
        <v>722</v>
      </c>
      <c r="I524" s="6" t="s">
        <v>1909</v>
      </c>
      <c r="J524" s="6" t="s">
        <v>3036</v>
      </c>
      <c r="L524" s="6" t="s">
        <v>2279</v>
      </c>
      <c r="M524" s="6">
        <f>INDEX(医院2县区2人!$B$2:$B$1048576,MATCH(L524,医院2县区2人!$A$2:$A$1048576,0))</f>
        <v>4</v>
      </c>
      <c r="N524" s="6" t="str">
        <f>INDEX(医院2县区2人!$C$2:$C$1048576,MATCH(L524,医院2县区2人!$A$2:$A$1048576,0))</f>
        <v>1855</v>
      </c>
      <c r="P524" s="7">
        <v>43270.743726851855</v>
      </c>
      <c r="Q524" s="6">
        <v>20</v>
      </c>
      <c r="R524" s="6">
        <v>24</v>
      </c>
      <c r="S524" s="6">
        <v>180107</v>
      </c>
      <c r="T524" s="6" t="str">
        <f>INDEX(医院2县区2人!$D$2:$D$1048576,MATCH(L524,医院2县区2人!$A$2:$A$1048576,0))</f>
        <v>201602151421097</v>
      </c>
      <c r="W524" s="6" t="str">
        <f t="shared" si="19"/>
        <v>新盖中盖牌儿童钙片1.75g*36p</v>
      </c>
      <c r="X524" s="6" t="s">
        <v>2890</v>
      </c>
    </row>
    <row r="525" spans="1:24" x14ac:dyDescent="0.15">
      <c r="A525" s="7" t="str">
        <f t="shared" si="20"/>
        <v>201806</v>
      </c>
      <c r="C525" s="6" t="str">
        <f>INDEX(工厂基础数据!$A$2:$A$1024,MATCH(X525,工厂基础数据!$D$2:$D$1024,0))</f>
        <v>02025767</v>
      </c>
      <c r="E525" s="6" t="str">
        <f>INDEX(工厂基础数据!$B$2:$B$1024,MATCH(X525,工厂基础数据!$D$2:$D$1024,0))</f>
        <v>滨州市仁信医药有限公司</v>
      </c>
      <c r="F525" s="6">
        <f>INDEX(商业2转码!$B$2:$B$10000,MATCH(E525,商业2转码!$A$2:$A$10000,0))</f>
        <v>0</v>
      </c>
      <c r="G525" s="6" t="str">
        <f>INDEX(品种2编码!$A$2:$A$1048576,MATCH(W525,品种2编码!$D$2:$D$1048576,0))</f>
        <v>0020030001SJZY0009</v>
      </c>
      <c r="H525" s="6" t="s">
        <v>555</v>
      </c>
      <c r="I525" s="6" t="s">
        <v>1889</v>
      </c>
      <c r="J525" s="6" t="s">
        <v>3039</v>
      </c>
      <c r="L525" s="6" t="s">
        <v>2279</v>
      </c>
      <c r="M525" s="6">
        <f>INDEX(医院2县区2人!$B$2:$B$1048576,MATCH(L525,医院2县区2人!$A$2:$A$1048576,0))</f>
        <v>4</v>
      </c>
      <c r="N525" s="6" t="str">
        <f>INDEX(医院2县区2人!$C$2:$C$1048576,MATCH(L525,医院2县区2人!$A$2:$A$1048576,0))</f>
        <v>1855</v>
      </c>
      <c r="P525" s="7">
        <v>43270.743726851855</v>
      </c>
      <c r="Q525" s="6">
        <v>50</v>
      </c>
      <c r="R525" s="6">
        <v>25</v>
      </c>
      <c r="S525" s="6">
        <v>18031227</v>
      </c>
      <c r="T525" s="6" t="str">
        <f>INDEX(医院2县区2人!$D$2:$D$1048576,MATCH(L525,医院2县区2人!$A$2:$A$1048576,0))</f>
        <v>201602151421097</v>
      </c>
      <c r="W525" s="6" t="str">
        <f t="shared" si="19"/>
        <v>葡萄糖酸锌口服液10ML*12支</v>
      </c>
      <c r="X525" s="6" t="s">
        <v>2890</v>
      </c>
    </row>
    <row r="526" spans="1:24" x14ac:dyDescent="0.15">
      <c r="A526" s="7" t="str">
        <f t="shared" si="20"/>
        <v>201806</v>
      </c>
      <c r="C526" s="6" t="str">
        <f>INDEX(工厂基础数据!$A$2:$A$1024,MATCH(X526,工厂基础数据!$D$2:$D$1024,0))</f>
        <v>02025767</v>
      </c>
      <c r="E526" s="6" t="str">
        <f>INDEX(工厂基础数据!$B$2:$B$1024,MATCH(X526,工厂基础数据!$D$2:$D$1024,0))</f>
        <v>滨州市仁信医药有限公司</v>
      </c>
      <c r="F526" s="6">
        <f>INDEX(商业2转码!$B$2:$B$10000,MATCH(E526,商业2转码!$A$2:$A$10000,0))</f>
        <v>0</v>
      </c>
      <c r="G526" s="6" t="str">
        <f>INDEX(品种2编码!$A$2:$A$1048576,MATCH(W526,品种2编码!$D$2:$D$1048576,0))</f>
        <v>0020020020ZYLC0010</v>
      </c>
      <c r="H526" s="6" t="s">
        <v>1877</v>
      </c>
      <c r="I526" s="6" t="s">
        <v>1878</v>
      </c>
      <c r="J526" s="6" t="s">
        <v>3036</v>
      </c>
      <c r="L526" s="6" t="s">
        <v>2279</v>
      </c>
      <c r="M526" s="6">
        <f>INDEX(医院2县区2人!$B$2:$B$1048576,MATCH(L526,医院2县区2人!$A$2:$A$1048576,0))</f>
        <v>4</v>
      </c>
      <c r="N526" s="6" t="str">
        <f>INDEX(医院2县区2人!$C$2:$C$1048576,MATCH(L526,医院2县区2人!$A$2:$A$1048576,0))</f>
        <v>1855</v>
      </c>
      <c r="P526" s="7">
        <v>43270.743738425925</v>
      </c>
      <c r="Q526" s="6">
        <v>40</v>
      </c>
      <c r="R526" s="6">
        <v>3.5</v>
      </c>
      <c r="S526" s="6">
        <v>180401</v>
      </c>
      <c r="T526" s="6" t="str">
        <f>INDEX(医院2县区2人!$D$2:$D$1048576,MATCH(L526,医院2县区2人!$A$2:$A$1048576,0))</f>
        <v>201602151421097</v>
      </c>
      <c r="W526" s="6" t="str">
        <f t="shared" si="19"/>
        <v xml:space="preserve">泻利停/颠茄磺苄啶片0.48g*10片 </v>
      </c>
      <c r="X526" s="6" t="s">
        <v>2890</v>
      </c>
    </row>
    <row r="527" spans="1:24" x14ac:dyDescent="0.15">
      <c r="A527" s="7" t="str">
        <f t="shared" si="20"/>
        <v>201806</v>
      </c>
      <c r="C527" s="6" t="str">
        <f>INDEX(工厂基础数据!$A$2:$A$1024,MATCH(X527,工厂基础数据!$D$2:$D$1024,0))</f>
        <v>02025767</v>
      </c>
      <c r="E527" s="6" t="str">
        <f>INDEX(工厂基础数据!$B$2:$B$1024,MATCH(X527,工厂基础数据!$D$2:$D$1024,0))</f>
        <v>滨州市仁信医药有限公司</v>
      </c>
      <c r="F527" s="6">
        <f>INDEX(商业2转码!$B$2:$B$10000,MATCH(E527,商业2转码!$A$2:$A$10000,0))</f>
        <v>0</v>
      </c>
      <c r="G527" s="6" t="str">
        <f>INDEX(品种2编码!$A$2:$A$1048576,MATCH(W527,品种2编码!$D$2:$D$1048576,0))</f>
        <v>0020020021ZYLC0004</v>
      </c>
      <c r="H527" s="6" t="s">
        <v>1899</v>
      </c>
      <c r="I527" s="6" t="s">
        <v>1869</v>
      </c>
      <c r="J527" s="6" t="s">
        <v>3036</v>
      </c>
      <c r="L527" s="6" t="s">
        <v>2249</v>
      </c>
      <c r="M527" s="6">
        <f>INDEX(医院2县区2人!$B$2:$B$1048576,MATCH(L527,医院2县区2人!$A$2:$A$1048576,0))</f>
        <v>2</v>
      </c>
      <c r="N527" s="6" t="str">
        <f>INDEX(医院2县区2人!$C$2:$C$1048576,MATCH(L527,医院2县区2人!$A$2:$A$1048576,0))</f>
        <v>1855</v>
      </c>
      <c r="P527" s="7">
        <v>43270.743541666663</v>
      </c>
      <c r="Q527" s="6">
        <v>10</v>
      </c>
      <c r="R527" s="6">
        <v>8</v>
      </c>
      <c r="S527" s="6">
        <v>180201</v>
      </c>
      <c r="T527" s="6" t="str">
        <f>INDEX(医院2县区2人!$D$2:$D$1048576,MATCH(L527,医院2县区2人!$A$2:$A$1048576,0))</f>
        <v>201602151421097</v>
      </c>
      <c r="W527" s="6" t="str">
        <f t="shared" si="19"/>
        <v>大严迪片/罗红霉素分散片75mg*12片</v>
      </c>
      <c r="X527" s="6" t="s">
        <v>2890</v>
      </c>
    </row>
    <row r="528" spans="1:24" x14ac:dyDescent="0.15">
      <c r="A528" s="7" t="str">
        <f t="shared" si="20"/>
        <v>201806</v>
      </c>
      <c r="C528" s="6" t="str">
        <f>INDEX(工厂基础数据!$A$2:$A$1024,MATCH(X528,工厂基础数据!$D$2:$D$1024,0))</f>
        <v>02025767</v>
      </c>
      <c r="E528" s="6" t="str">
        <f>INDEX(工厂基础数据!$B$2:$B$1024,MATCH(X528,工厂基础数据!$D$2:$D$1024,0))</f>
        <v>滨州市仁信医药有限公司</v>
      </c>
      <c r="F528" s="6">
        <f>INDEX(商业2转码!$B$2:$B$10000,MATCH(E528,商业2转码!$A$2:$A$10000,0))</f>
        <v>0</v>
      </c>
      <c r="G528" s="6" t="str">
        <f>INDEX(品种2编码!$A$2:$A$1048576,MATCH(W528,品种2编码!$D$2:$D$1048576,0))</f>
        <v>0020020020ZYLC0010</v>
      </c>
      <c r="H528" s="6" t="s">
        <v>1877</v>
      </c>
      <c r="I528" s="6" t="s">
        <v>1878</v>
      </c>
      <c r="J528" s="6" t="s">
        <v>3036</v>
      </c>
      <c r="L528" s="6" t="s">
        <v>2189</v>
      </c>
      <c r="M528" s="6">
        <f>INDEX(医院2县区2人!$B$2:$B$1048576,MATCH(L528,医院2县区2人!$A$2:$A$1048576,0))</f>
        <v>1</v>
      </c>
      <c r="N528" s="6" t="str">
        <f>INDEX(医院2县区2人!$C$2:$C$1048576,MATCH(L528,医院2县区2人!$A$2:$A$1048576,0))</f>
        <v>1854</v>
      </c>
      <c r="P528" s="7">
        <v>43270.743703703702</v>
      </c>
      <c r="Q528" s="6">
        <v>5</v>
      </c>
      <c r="R528" s="6">
        <v>3.5</v>
      </c>
      <c r="S528" s="6">
        <v>180401</v>
      </c>
      <c r="T528" s="6" t="str">
        <f>INDEX(医院2县区2人!$D$2:$D$1048576,MATCH(L528,医院2县区2人!$A$2:$A$1048576,0))</f>
        <v>201602151421097</v>
      </c>
      <c r="W528" s="6" t="str">
        <f t="shared" si="19"/>
        <v xml:space="preserve">泻利停/颠茄磺苄啶片0.48g*10片 </v>
      </c>
      <c r="X528" s="6" t="s">
        <v>2890</v>
      </c>
    </row>
    <row r="529" spans="1:24" x14ac:dyDescent="0.15">
      <c r="A529" s="7" t="str">
        <f t="shared" si="20"/>
        <v>201806</v>
      </c>
      <c r="C529" s="6" t="str">
        <f>INDEX(工厂基础数据!$A$2:$A$1024,MATCH(X529,工厂基础数据!$D$2:$D$1024,0))</f>
        <v>02025767</v>
      </c>
      <c r="E529" s="6" t="str">
        <f>INDEX(工厂基础数据!$B$2:$B$1024,MATCH(X529,工厂基础数据!$D$2:$D$1024,0))</f>
        <v>滨州市仁信医药有限公司</v>
      </c>
      <c r="F529" s="6">
        <f>INDEX(商业2转码!$B$2:$B$10000,MATCH(E529,商业2转码!$A$2:$A$10000,0))</f>
        <v>0</v>
      </c>
      <c r="G529" s="6" t="str">
        <f>INDEX(品种2编码!$A$2:$A$1048576,MATCH(W529,品种2编码!$D$2:$D$1048576,0))</f>
        <v>0020020021ZYLC0004</v>
      </c>
      <c r="H529" s="6" t="s">
        <v>1899</v>
      </c>
      <c r="I529" s="6" t="s">
        <v>1869</v>
      </c>
      <c r="J529" s="6" t="s">
        <v>3036</v>
      </c>
      <c r="L529" s="6" t="s">
        <v>2205</v>
      </c>
      <c r="M529" s="6">
        <f>INDEX(医院2县区2人!$B$2:$B$1048576,MATCH(L529,医院2县区2人!$A$2:$A$1048576,0))</f>
        <v>2</v>
      </c>
      <c r="N529" s="6" t="str">
        <f>INDEX(医院2县区2人!$C$2:$C$1048576,MATCH(L529,医院2县区2人!$A$2:$A$1048576,0))</f>
        <v>1855</v>
      </c>
      <c r="P529" s="7">
        <v>43270.743587962963</v>
      </c>
      <c r="Q529" s="6">
        <v>20</v>
      </c>
      <c r="R529" s="6">
        <v>8</v>
      </c>
      <c r="S529" s="6">
        <v>180201</v>
      </c>
      <c r="T529" s="6" t="str">
        <f>INDEX(医院2县区2人!$D$2:$D$1048576,MATCH(L529,医院2县区2人!$A$2:$A$1048576,0))</f>
        <v>201602151421097</v>
      </c>
      <c r="W529" s="6" t="str">
        <f t="shared" si="19"/>
        <v>大严迪片/罗红霉素分散片75mg*12片</v>
      </c>
      <c r="X529" s="6" t="s">
        <v>2890</v>
      </c>
    </row>
    <row r="530" spans="1:24" x14ac:dyDescent="0.15">
      <c r="A530" s="7" t="str">
        <f t="shared" si="20"/>
        <v>201806</v>
      </c>
      <c r="C530" s="6" t="str">
        <f>INDEX(工厂基础数据!$A$2:$A$1024,MATCH(X530,工厂基础数据!$D$2:$D$1024,0))</f>
        <v>02025767</v>
      </c>
      <c r="E530" s="6" t="str">
        <f>INDEX(工厂基础数据!$B$2:$B$1024,MATCH(X530,工厂基础数据!$D$2:$D$1024,0))</f>
        <v>滨州市仁信医药有限公司</v>
      </c>
      <c r="F530" s="6">
        <f>INDEX(商业2转码!$B$2:$B$10000,MATCH(E530,商业2转码!$A$2:$A$10000,0))</f>
        <v>0</v>
      </c>
      <c r="G530" s="6" t="str">
        <f>INDEX(品种2编码!$A$2:$A$1048576,MATCH(W530,品种2编码!$D$2:$D$1048576,0))</f>
        <v>0020020021ZYLC0005</v>
      </c>
      <c r="H530" s="6" t="s">
        <v>1920</v>
      </c>
      <c r="I530" s="6" t="s">
        <v>1841</v>
      </c>
      <c r="J530" s="6" t="s">
        <v>3036</v>
      </c>
      <c r="L530" s="6" t="s">
        <v>2205</v>
      </c>
      <c r="M530" s="6">
        <f>INDEX(医院2县区2人!$B$2:$B$1048576,MATCH(L530,医院2县区2人!$A$2:$A$1048576,0))</f>
        <v>2</v>
      </c>
      <c r="N530" s="6" t="str">
        <f>INDEX(医院2县区2人!$C$2:$C$1048576,MATCH(L530,医院2县区2人!$A$2:$A$1048576,0))</f>
        <v>1855</v>
      </c>
      <c r="P530" s="7">
        <v>43270.743587962963</v>
      </c>
      <c r="Q530" s="6">
        <v>10</v>
      </c>
      <c r="R530" s="6">
        <v>4</v>
      </c>
      <c r="S530" s="6">
        <v>180201</v>
      </c>
      <c r="T530" s="6" t="str">
        <f>INDEX(医院2县区2人!$D$2:$D$1048576,MATCH(L530,医院2县区2人!$A$2:$A$1048576,0))</f>
        <v>201602151421097</v>
      </c>
      <c r="W530" s="6" t="str">
        <f t="shared" si="19"/>
        <v>小儿严迪片/罗红霉素分散片50mg*12片</v>
      </c>
      <c r="X530" s="6" t="s">
        <v>2890</v>
      </c>
    </row>
    <row r="531" spans="1:24" x14ac:dyDescent="0.15">
      <c r="A531" s="7" t="str">
        <f t="shared" si="20"/>
        <v>201806</v>
      </c>
      <c r="C531" s="6" t="str">
        <f>INDEX(工厂基础数据!$A$2:$A$1024,MATCH(X531,工厂基础数据!$D$2:$D$1024,0))</f>
        <v>02025767</v>
      </c>
      <c r="E531" s="6" t="str">
        <f>INDEX(工厂基础数据!$B$2:$B$1024,MATCH(X531,工厂基础数据!$D$2:$D$1024,0))</f>
        <v>滨州市仁信医药有限公司</v>
      </c>
      <c r="F531" s="6">
        <f>INDEX(商业2转码!$B$2:$B$10000,MATCH(E531,商业2转码!$A$2:$A$10000,0))</f>
        <v>0</v>
      </c>
      <c r="G531" s="6" t="str">
        <f>INDEX(品种2编码!$A$2:$A$1048576,MATCH(W531,品种2编码!$D$2:$D$1048576,0))</f>
        <v>0020020021ZYLC0011</v>
      </c>
      <c r="H531" s="6" t="s">
        <v>1890</v>
      </c>
      <c r="I531" s="6" t="s">
        <v>1891</v>
      </c>
      <c r="J531" s="6" t="s">
        <v>3036</v>
      </c>
      <c r="L531" s="6" t="s">
        <v>2228</v>
      </c>
      <c r="M531" s="6">
        <f>INDEX(医院2县区2人!$B$2:$B$1048576,MATCH(L531,医院2县区2人!$A$2:$A$1048576,0))</f>
        <v>2</v>
      </c>
      <c r="N531" s="6" t="str">
        <f>INDEX(医院2县区2人!$C$2:$C$1048576,MATCH(L531,医院2县区2人!$A$2:$A$1048576,0))</f>
        <v>1854</v>
      </c>
      <c r="P531" s="7">
        <v>43271.726273148146</v>
      </c>
      <c r="Q531" s="6">
        <v>50</v>
      </c>
      <c r="R531" s="6">
        <v>6</v>
      </c>
      <c r="S531" s="6">
        <v>161001</v>
      </c>
      <c r="T531" s="6" t="str">
        <f>INDEX(医院2县区2人!$D$2:$D$1048576,MATCH(L531,医院2县区2人!$A$2:$A$1048576,0))</f>
        <v>201602151421097</v>
      </c>
      <c r="W531" s="6" t="str">
        <f t="shared" si="19"/>
        <v>严迪/罗红霉素分散片150mg*12片</v>
      </c>
      <c r="X531" s="6" t="s">
        <v>2890</v>
      </c>
    </row>
    <row r="532" spans="1:24" x14ac:dyDescent="0.15">
      <c r="A532" s="7" t="str">
        <f t="shared" si="20"/>
        <v>201806</v>
      </c>
      <c r="C532" s="6" t="str">
        <f>INDEX(工厂基础数据!$A$2:$A$1024,MATCH(X532,工厂基础数据!$D$2:$D$1024,0))</f>
        <v>02025767</v>
      </c>
      <c r="E532" s="6" t="str">
        <f>INDEX(工厂基础数据!$B$2:$B$1024,MATCH(X532,工厂基础数据!$D$2:$D$1024,0))</f>
        <v>滨州市仁信医药有限公司</v>
      </c>
      <c r="F532" s="6">
        <f>INDEX(商业2转码!$B$2:$B$10000,MATCH(E532,商业2转码!$A$2:$A$10000,0))</f>
        <v>0</v>
      </c>
      <c r="G532" s="6" t="str">
        <f>INDEX(品种2编码!$A$2:$A$1048576,MATCH(W532,品种2编码!$D$2:$D$1048576,0))</f>
        <v>0020030040SHYT0010</v>
      </c>
      <c r="H532" s="6" t="s">
        <v>317</v>
      </c>
      <c r="I532" s="6" t="s">
        <v>1848</v>
      </c>
      <c r="J532" s="6" t="s">
        <v>3037</v>
      </c>
      <c r="L532" s="6" t="s">
        <v>2228</v>
      </c>
      <c r="M532" s="6">
        <f>INDEX(医院2县区2人!$B$2:$B$1048576,MATCH(L532,医院2县区2人!$A$2:$A$1048576,0))</f>
        <v>2</v>
      </c>
      <c r="N532" s="6" t="str">
        <f>INDEX(医院2县区2人!$C$2:$C$1048576,MATCH(L532,医院2县区2人!$A$2:$A$1048576,0))</f>
        <v>1854</v>
      </c>
      <c r="P532" s="7">
        <v>43271.726273148146</v>
      </c>
      <c r="Q532" s="6">
        <v>100</v>
      </c>
      <c r="R532" s="6">
        <v>12.5</v>
      </c>
      <c r="S532" s="6">
        <v>1801608</v>
      </c>
      <c r="T532" s="6" t="str">
        <f>INDEX(医院2县区2人!$D$2:$D$1048576,MATCH(L532,医院2县区2人!$A$2:$A$1048576,0))</f>
        <v>201602151421097</v>
      </c>
      <c r="W532" s="6" t="str">
        <f t="shared" si="19"/>
        <v>布洛芬颗粒0.2g*12袋</v>
      </c>
      <c r="X532" s="6" t="s">
        <v>2890</v>
      </c>
    </row>
    <row r="533" spans="1:24" x14ac:dyDescent="0.15">
      <c r="A533" s="7" t="str">
        <f t="shared" si="20"/>
        <v>201806</v>
      </c>
      <c r="C533" s="6" t="str">
        <f>INDEX(工厂基础数据!$A$2:$A$1024,MATCH(X533,工厂基础数据!$D$2:$D$1024,0))</f>
        <v>02025767</v>
      </c>
      <c r="E533" s="6" t="str">
        <f>INDEX(工厂基础数据!$B$2:$B$1024,MATCH(X533,工厂基础数据!$D$2:$D$1024,0))</f>
        <v>滨州市仁信医药有限公司</v>
      </c>
      <c r="F533" s="6">
        <f>INDEX(商业2转码!$B$2:$B$10000,MATCH(E533,商业2转码!$A$2:$A$10000,0))</f>
        <v>0</v>
      </c>
      <c r="G533" s="6" t="str">
        <f>INDEX(品种2编码!$A$2:$A$1048576,MATCH(W533,品种2编码!$D$2:$D$1048576,0))</f>
        <v>0020020021ZYLC0011</v>
      </c>
      <c r="H533" s="6" t="s">
        <v>1890</v>
      </c>
      <c r="I533" s="6" t="s">
        <v>1891</v>
      </c>
      <c r="J533" s="6" t="s">
        <v>3036</v>
      </c>
      <c r="L533" s="6" t="s">
        <v>2226</v>
      </c>
      <c r="M533" s="6">
        <f>INDEX(医院2县区2人!$B$2:$B$1048576,MATCH(L533,医院2县区2人!$A$2:$A$1048576,0))</f>
        <v>1</v>
      </c>
      <c r="N533" s="6" t="str">
        <f>INDEX(医院2县区2人!$C$2:$C$1048576,MATCH(L533,医院2县区2人!$A$2:$A$1048576,0))</f>
        <v>1854</v>
      </c>
      <c r="P533" s="7">
        <v>43271.726423611108</v>
      </c>
      <c r="Q533" s="6">
        <v>50</v>
      </c>
      <c r="R533" s="6">
        <v>6</v>
      </c>
      <c r="S533" s="6">
        <v>161001</v>
      </c>
      <c r="T533" s="6" t="str">
        <f>INDEX(医院2县区2人!$D$2:$D$1048576,MATCH(L533,医院2县区2人!$A$2:$A$1048576,0))</f>
        <v>201602151421097</v>
      </c>
      <c r="W533" s="6" t="str">
        <f t="shared" si="19"/>
        <v>严迪/罗红霉素分散片150mg*12片</v>
      </c>
      <c r="X533" s="6" t="s">
        <v>2890</v>
      </c>
    </row>
    <row r="534" spans="1:24" x14ac:dyDescent="0.15">
      <c r="A534" s="7" t="str">
        <f t="shared" si="20"/>
        <v>201806</v>
      </c>
      <c r="C534" s="6" t="str">
        <f>INDEX(工厂基础数据!$A$2:$A$1024,MATCH(X534,工厂基础数据!$D$2:$D$1024,0))</f>
        <v>02025767</v>
      </c>
      <c r="E534" s="6" t="str">
        <f>INDEX(工厂基础数据!$B$2:$B$1024,MATCH(X534,工厂基础数据!$D$2:$D$1024,0))</f>
        <v>滨州市仁信医药有限公司</v>
      </c>
      <c r="F534" s="6">
        <f>INDEX(商业2转码!$B$2:$B$10000,MATCH(E534,商业2转码!$A$2:$A$10000,0))</f>
        <v>0</v>
      </c>
      <c r="G534" s="6" t="str">
        <f>INDEX(品种2编码!$A$2:$A$1048576,MATCH(W534,品种2编码!$D$2:$D$1048576,0))</f>
        <v>0020020020ZYLC0010</v>
      </c>
      <c r="H534" s="6" t="s">
        <v>1877</v>
      </c>
      <c r="I534" s="6" t="s">
        <v>1878</v>
      </c>
      <c r="J534" s="6" t="s">
        <v>3036</v>
      </c>
      <c r="L534" s="6" t="s">
        <v>3020</v>
      </c>
      <c r="M534" s="6" t="e">
        <f>INDEX(医院2县区2人!$B$2:$B$1048576,MATCH(L534,医院2县区2人!$A$2:$A$1048576,0))</f>
        <v>#N/A</v>
      </c>
      <c r="N534" s="6" t="e">
        <f>INDEX(医院2县区2人!$C$2:$C$1048576,MATCH(L534,医院2县区2人!$A$2:$A$1048576,0))</f>
        <v>#N/A</v>
      </c>
      <c r="P534" s="7">
        <v>43270.743460648147</v>
      </c>
      <c r="Q534" s="6">
        <v>10</v>
      </c>
      <c r="R534" s="6">
        <v>3.5</v>
      </c>
      <c r="S534" s="6">
        <v>180401</v>
      </c>
      <c r="T534" s="6" t="e">
        <f>INDEX(医院2县区2人!$D$2:$D$1048576,MATCH(L534,医院2县区2人!$A$2:$A$1048576,0))</f>
        <v>#N/A</v>
      </c>
      <c r="W534" s="6" t="str">
        <f t="shared" si="19"/>
        <v xml:space="preserve">泻利停/颠茄磺苄啶片0.48g*10片 </v>
      </c>
      <c r="X534" s="6" t="s">
        <v>2890</v>
      </c>
    </row>
    <row r="535" spans="1:24" x14ac:dyDescent="0.15">
      <c r="A535" s="7" t="str">
        <f t="shared" si="20"/>
        <v>201806</v>
      </c>
      <c r="C535" s="6" t="str">
        <f>INDEX(工厂基础数据!$A$2:$A$1024,MATCH(X535,工厂基础数据!$D$2:$D$1024,0))</f>
        <v>02025767</v>
      </c>
      <c r="E535" s="6" t="str">
        <f>INDEX(工厂基础数据!$B$2:$B$1024,MATCH(X535,工厂基础数据!$D$2:$D$1024,0))</f>
        <v>滨州市仁信医药有限公司</v>
      </c>
      <c r="F535" s="6">
        <f>INDEX(商业2转码!$B$2:$B$10000,MATCH(E535,商业2转码!$A$2:$A$10000,0))</f>
        <v>0</v>
      </c>
      <c r="G535" s="6" t="str">
        <f>INDEX(品种2编码!$A$2:$A$1048576,MATCH(W535,品种2编码!$D$2:$D$1048576,0))</f>
        <v>0020020030SJMS0025</v>
      </c>
      <c r="H535" s="6" t="s">
        <v>1900</v>
      </c>
      <c r="I535" s="6" t="s">
        <v>1901</v>
      </c>
      <c r="J535" s="6" t="s">
        <v>3046</v>
      </c>
      <c r="L535" s="6" t="s">
        <v>2222</v>
      </c>
      <c r="M535" s="6">
        <f>INDEX(医院2县区2人!$B$2:$B$1048576,MATCH(L535,医院2县区2人!$A$2:$A$1048576,0))</f>
        <v>2</v>
      </c>
      <c r="N535" s="6" t="str">
        <f>INDEX(医院2县区2人!$C$2:$C$1048576,MATCH(L535,医院2县区2人!$A$2:$A$1048576,0))</f>
        <v>1855</v>
      </c>
      <c r="P535" s="7">
        <v>43270.743518518517</v>
      </c>
      <c r="Q535" s="6">
        <v>20</v>
      </c>
      <c r="R535" s="6">
        <v>7.7</v>
      </c>
      <c r="S535" s="6">
        <v>1801007</v>
      </c>
      <c r="T535" s="6" t="str">
        <f>INDEX(医院2县区2人!$D$2:$D$1048576,MATCH(L535,医院2县区2人!$A$2:$A$1048576,0))</f>
        <v>201602151421097</v>
      </c>
      <c r="W535" s="6" t="str">
        <f t="shared" si="19"/>
        <v>人工牛黄甲硝唑胶囊/牙疼安10粒*3板</v>
      </c>
      <c r="X535" s="6" t="s">
        <v>2890</v>
      </c>
    </row>
    <row r="536" spans="1:24" x14ac:dyDescent="0.15">
      <c r="A536" s="7" t="str">
        <f t="shared" si="20"/>
        <v>201806</v>
      </c>
      <c r="C536" s="6" t="str">
        <f>INDEX(工厂基础数据!$A$2:$A$1024,MATCH(X536,工厂基础数据!$D$2:$D$1024,0))</f>
        <v>02025767</v>
      </c>
      <c r="E536" s="6" t="str">
        <f>INDEX(工厂基础数据!$B$2:$B$1024,MATCH(X536,工厂基础数据!$D$2:$D$1024,0))</f>
        <v>滨州市仁信医药有限公司</v>
      </c>
      <c r="F536" s="6">
        <f>INDEX(商业2转码!$B$2:$B$10000,MATCH(E536,商业2转码!$A$2:$A$10000,0))</f>
        <v>0</v>
      </c>
      <c r="G536" s="6">
        <f>INDEX(品种2编码!$A$2:$A$1048576,MATCH(W536,品种2编码!$D$2:$D$1048576,0))</f>
        <v>0</v>
      </c>
      <c r="H536" s="6" t="s">
        <v>310</v>
      </c>
      <c r="I536" s="6" t="s">
        <v>311</v>
      </c>
      <c r="J536" s="6" t="s">
        <v>3036</v>
      </c>
      <c r="L536" s="6" t="s">
        <v>2673</v>
      </c>
      <c r="M536" s="6">
        <f>INDEX(医院2县区2人!$B$2:$B$1048576,MATCH(L536,医院2县区2人!$A$2:$A$1048576,0))</f>
        <v>2</v>
      </c>
      <c r="N536" s="6" t="str">
        <f>INDEX(医院2县区2人!$C$2:$C$1048576,MATCH(L536,医院2县区2人!$A$2:$A$1048576,0))</f>
        <v>1853</v>
      </c>
      <c r="P536" s="7">
        <v>43271.726157407407</v>
      </c>
      <c r="Q536" s="6">
        <v>10</v>
      </c>
      <c r="R536" s="6">
        <v>1.1000000000000001</v>
      </c>
      <c r="S536" s="6">
        <v>161202</v>
      </c>
      <c r="T536" s="6" t="str">
        <f>INDEX(医院2县区2人!$D$2:$D$1048576,MATCH(L536,医院2县区2人!$A$2:$A$1048576,0))</f>
        <v>201602151421097</v>
      </c>
      <c r="W536" s="6" t="str">
        <f t="shared" si="19"/>
        <v>氨咖黄敏胶囊20粒</v>
      </c>
      <c r="X536" s="6" t="s">
        <v>2890</v>
      </c>
    </row>
    <row r="537" spans="1:24" x14ac:dyDescent="0.15">
      <c r="A537" s="7" t="str">
        <f t="shared" si="20"/>
        <v>201806</v>
      </c>
      <c r="C537" s="6" t="str">
        <f>INDEX(工厂基础数据!$A$2:$A$1024,MATCH(X537,工厂基础数据!$D$2:$D$1024,0))</f>
        <v>02025767</v>
      </c>
      <c r="E537" s="6" t="str">
        <f>INDEX(工厂基础数据!$B$2:$B$1024,MATCH(X537,工厂基础数据!$D$2:$D$1024,0))</f>
        <v>滨州市仁信医药有限公司</v>
      </c>
      <c r="F537" s="6">
        <f>INDEX(商业2转码!$B$2:$B$10000,MATCH(E537,商业2转码!$A$2:$A$10000,0))</f>
        <v>0</v>
      </c>
      <c r="G537" s="6" t="str">
        <f>INDEX(品种2编码!$A$2:$A$1048576,MATCH(W537,品种2编码!$D$2:$D$1048576,0))</f>
        <v>0020030020SJSC0014</v>
      </c>
      <c r="H537" s="6" t="s">
        <v>677</v>
      </c>
      <c r="I537" s="6" t="s">
        <v>1882</v>
      </c>
      <c r="J537" s="6" t="s">
        <v>3045</v>
      </c>
      <c r="L537" s="6" t="s">
        <v>2259</v>
      </c>
      <c r="M537" s="6">
        <f>INDEX(医院2县区2人!$B$2:$B$1048576,MATCH(L537,医院2县区2人!$A$2:$A$1048576,0))</f>
        <v>2</v>
      </c>
      <c r="N537" s="6" t="str">
        <f>INDEX(医院2县区2人!$C$2:$C$1048576,MATCH(L537,医院2县区2人!$A$2:$A$1048576,0))</f>
        <v>1855</v>
      </c>
      <c r="P537" s="7">
        <v>43270.743449074071</v>
      </c>
      <c r="Q537" s="6">
        <v>5</v>
      </c>
      <c r="R537" s="6">
        <v>9.8000000000000007</v>
      </c>
      <c r="S537" s="6">
        <v>1708001</v>
      </c>
      <c r="T537" s="6" t="str">
        <f>INDEX(医院2县区2人!$D$2:$D$1048576,MATCH(L537,医院2县区2人!$A$2:$A$1048576,0))</f>
        <v>201602151421097</v>
      </c>
      <c r="W537" s="6" t="str">
        <f t="shared" si="19"/>
        <v>维D2磷酸氢钙片60片</v>
      </c>
      <c r="X537" s="6" t="s">
        <v>2890</v>
      </c>
    </row>
    <row r="538" spans="1:24" x14ac:dyDescent="0.15">
      <c r="A538" s="7" t="str">
        <f t="shared" si="20"/>
        <v>201806</v>
      </c>
      <c r="C538" s="6" t="str">
        <f>INDEX(工厂基础数据!$A$2:$A$1024,MATCH(X538,工厂基础数据!$D$2:$D$1024,0))</f>
        <v>02025767</v>
      </c>
      <c r="E538" s="6" t="str">
        <f>INDEX(工厂基础数据!$B$2:$B$1024,MATCH(X538,工厂基础数据!$D$2:$D$1024,0))</f>
        <v>滨州市仁信医药有限公司</v>
      </c>
      <c r="F538" s="6">
        <f>INDEX(商业2转码!$B$2:$B$10000,MATCH(E538,商业2转码!$A$2:$A$10000,0))</f>
        <v>0</v>
      </c>
      <c r="G538" s="6" t="str">
        <f>INDEX(品种2编码!$A$2:$A$1048576,MATCH(W538,品种2编码!$D$2:$D$1048576,0))</f>
        <v>0020070000ZYLC0055</v>
      </c>
      <c r="H538" s="6" t="s">
        <v>1906</v>
      </c>
      <c r="I538" s="6" t="s">
        <v>411</v>
      </c>
      <c r="J538" s="6" t="s">
        <v>3036</v>
      </c>
      <c r="L538" s="6" t="s">
        <v>2230</v>
      </c>
      <c r="M538" s="6">
        <f>INDEX(医院2县区2人!$B$2:$B$1048576,MATCH(L538,医院2县区2人!$A$2:$A$1048576,0))</f>
        <v>1</v>
      </c>
      <c r="N538" s="6" t="str">
        <f>INDEX(医院2县区2人!$C$2:$C$1048576,MATCH(L538,医院2县区2人!$A$2:$A$1048576,0))</f>
        <v>1855</v>
      </c>
      <c r="P538" s="7">
        <v>43271.726342592592</v>
      </c>
      <c r="Q538" s="6">
        <v>20</v>
      </c>
      <c r="R538" s="6">
        <v>20</v>
      </c>
      <c r="S538" s="6">
        <v>171064</v>
      </c>
      <c r="T538" s="6" t="str">
        <f>INDEX(医院2县区2人!$D$2:$D$1048576,MATCH(L538,医院2县区2人!$A$2:$A$1048576,0))</f>
        <v>201602151421097</v>
      </c>
      <c r="W538" s="6" t="str">
        <f t="shared" si="19"/>
        <v>朴血/乳酸亚铁口服液10ml*12支</v>
      </c>
      <c r="X538" s="6" t="s">
        <v>2890</v>
      </c>
    </row>
    <row r="539" spans="1:24" x14ac:dyDescent="0.15">
      <c r="A539" s="7" t="str">
        <f t="shared" si="20"/>
        <v>201806</v>
      </c>
      <c r="C539" s="6" t="str">
        <f>INDEX(工厂基础数据!$A$2:$A$1024,MATCH(X539,工厂基础数据!$D$2:$D$1024,0))</f>
        <v>02025767</v>
      </c>
      <c r="E539" s="6" t="str">
        <f>INDEX(工厂基础数据!$B$2:$B$1024,MATCH(X539,工厂基础数据!$D$2:$D$1024,0))</f>
        <v>滨州市仁信医药有限公司</v>
      </c>
      <c r="F539" s="6">
        <f>INDEX(商业2转码!$B$2:$B$10000,MATCH(E539,商业2转码!$A$2:$A$10000,0))</f>
        <v>0</v>
      </c>
      <c r="G539" s="6" t="str">
        <f>INDEX(品种2编码!$A$2:$A$1048576,MATCH(W539,品种2编码!$D$2:$D$1048576,0))</f>
        <v>0020030001SJZY0006</v>
      </c>
      <c r="H539" s="6" t="s">
        <v>1888</v>
      </c>
      <c r="I539" s="6" t="s">
        <v>411</v>
      </c>
      <c r="J539" s="6" t="s">
        <v>3040</v>
      </c>
      <c r="L539" s="6" t="s">
        <v>2654</v>
      </c>
      <c r="M539" s="6">
        <f>INDEX(医院2县区2人!$B$2:$B$1048576,MATCH(L539,医院2县区2人!$A$2:$A$1048576,0))</f>
        <v>2</v>
      </c>
      <c r="N539" s="6" t="str">
        <f>INDEX(医院2县区2人!$C$2:$C$1048576,MATCH(L539,医院2县区2人!$A$2:$A$1048576,0))</f>
        <v>1855</v>
      </c>
      <c r="P539" s="7">
        <v>43271.726006944446</v>
      </c>
      <c r="Q539" s="6">
        <v>3</v>
      </c>
      <c r="R539" s="6">
        <v>25</v>
      </c>
      <c r="S539" s="6">
        <v>17071042</v>
      </c>
      <c r="T539" s="6" t="str">
        <f>INDEX(医院2县区2人!$D$2:$D$1048576,MATCH(L539,医院2县区2人!$A$2:$A$1048576,0))</f>
        <v>201602151421097</v>
      </c>
      <c r="W539" s="6" t="str">
        <f t="shared" si="19"/>
        <v>葡萄糖酸钙口服溶液（含糖）10ml*12支</v>
      </c>
      <c r="X539" s="6" t="s">
        <v>2890</v>
      </c>
    </row>
    <row r="540" spans="1:24" x14ac:dyDescent="0.15">
      <c r="A540" s="7" t="str">
        <f t="shared" si="20"/>
        <v>201806</v>
      </c>
      <c r="C540" s="6" t="str">
        <f>INDEX(工厂基础数据!$A$2:$A$1024,MATCH(X540,工厂基础数据!$D$2:$D$1024,0))</f>
        <v>02025767</v>
      </c>
      <c r="E540" s="6" t="str">
        <f>INDEX(工厂基础数据!$B$2:$B$1024,MATCH(X540,工厂基础数据!$D$2:$D$1024,0))</f>
        <v>滨州市仁信医药有限公司</v>
      </c>
      <c r="F540" s="6">
        <f>INDEX(商业2转码!$B$2:$B$10000,MATCH(E540,商业2转码!$A$2:$A$10000,0))</f>
        <v>0</v>
      </c>
      <c r="G540" s="6" t="str">
        <f>INDEX(品种2编码!$A$2:$A$1048576,MATCH(W540,品种2编码!$D$2:$D$1048576,0))</f>
        <v>0020030020ZYZC0360</v>
      </c>
      <c r="H540" s="6" t="s">
        <v>1880</v>
      </c>
      <c r="I540" s="6" t="s">
        <v>1881</v>
      </c>
      <c r="J540" s="6" t="s">
        <v>3038</v>
      </c>
      <c r="L540" s="6" t="s">
        <v>2285</v>
      </c>
      <c r="M540" s="6">
        <f>INDEX(医院2县区2人!$B$2:$B$1048576,MATCH(L540,医院2县区2人!$A$2:$A$1048576,0))</f>
        <v>2</v>
      </c>
      <c r="N540" s="6" t="str">
        <f>INDEX(医院2县区2人!$C$2:$C$1048576,MATCH(L540,医院2县区2人!$A$2:$A$1048576,0))</f>
        <v>1853</v>
      </c>
      <c r="P540" s="7">
        <v>43271.72625</v>
      </c>
      <c r="Q540" s="6">
        <v>10</v>
      </c>
      <c r="R540" s="6">
        <v>11</v>
      </c>
      <c r="S540" s="6" t="s">
        <v>3054</v>
      </c>
      <c r="T540" s="6" t="str">
        <f>INDEX(医院2县区2人!$D$2:$D$1048576,MATCH(L540,医院2县区2人!$A$2:$A$1048576,0))</f>
        <v>201602151421097</v>
      </c>
      <c r="W540" s="6" t="str">
        <f t="shared" si="19"/>
        <v>*维生素C咀嚼片/VC片0.1g*30片</v>
      </c>
      <c r="X540" s="6" t="s">
        <v>2890</v>
      </c>
    </row>
    <row r="541" spans="1:24" x14ac:dyDescent="0.15">
      <c r="A541" s="7" t="str">
        <f t="shared" si="20"/>
        <v>201806</v>
      </c>
      <c r="C541" s="6" t="str">
        <f>INDEX(工厂基础数据!$A$2:$A$1024,MATCH(X541,工厂基础数据!$D$2:$D$1024,0))</f>
        <v>02025767</v>
      </c>
      <c r="E541" s="6" t="str">
        <f>INDEX(工厂基础数据!$B$2:$B$1024,MATCH(X541,工厂基础数据!$D$2:$D$1024,0))</f>
        <v>滨州市仁信医药有限公司</v>
      </c>
      <c r="F541" s="6">
        <f>INDEX(商业2转码!$B$2:$B$10000,MATCH(E541,商业2转码!$A$2:$A$10000,0))</f>
        <v>0</v>
      </c>
      <c r="G541" s="6" t="str">
        <f>INDEX(品种2编码!$A$2:$A$1048576,MATCH(W541,品种2编码!$D$2:$D$1048576,0))</f>
        <v>0020030040SHYT0010</v>
      </c>
      <c r="H541" s="6" t="s">
        <v>317</v>
      </c>
      <c r="I541" s="6" t="s">
        <v>1848</v>
      </c>
      <c r="J541" s="6" t="s">
        <v>3037</v>
      </c>
      <c r="L541" s="6" t="s">
        <v>2702</v>
      </c>
      <c r="M541" s="6">
        <f>INDEX(医院2县区2人!$B$2:$B$1048576,MATCH(L541,医院2县区2人!$A$2:$A$1048576,0))</f>
        <v>2</v>
      </c>
      <c r="N541" s="6" t="str">
        <f>INDEX(医院2县区2人!$C$2:$C$1048576,MATCH(L541,医院2县区2人!$A$2:$A$1048576,0))</f>
        <v>1853</v>
      </c>
      <c r="P541" s="7">
        <v>43271.726238425923</v>
      </c>
      <c r="Q541" s="6">
        <v>10</v>
      </c>
      <c r="R541" s="6">
        <v>12.5</v>
      </c>
      <c r="S541" s="6">
        <v>1801608</v>
      </c>
      <c r="T541" s="6" t="str">
        <f>INDEX(医院2县区2人!$D$2:$D$1048576,MATCH(L541,医院2县区2人!$A$2:$A$1048576,0))</f>
        <v>201602151421097</v>
      </c>
      <c r="W541" s="6" t="str">
        <f t="shared" si="19"/>
        <v>布洛芬颗粒0.2g*12袋</v>
      </c>
      <c r="X541" s="6" t="s">
        <v>2890</v>
      </c>
    </row>
    <row r="542" spans="1:24" x14ac:dyDescent="0.15">
      <c r="A542" s="7" t="str">
        <f t="shared" si="20"/>
        <v>201806</v>
      </c>
      <c r="C542" s="6" t="str">
        <f>INDEX(工厂基础数据!$A$2:$A$1024,MATCH(X542,工厂基础数据!$D$2:$D$1024,0))</f>
        <v>02025767</v>
      </c>
      <c r="E542" s="6" t="str">
        <f>INDEX(工厂基础数据!$B$2:$B$1024,MATCH(X542,工厂基础数据!$D$2:$D$1024,0))</f>
        <v>滨州市仁信医药有限公司</v>
      </c>
      <c r="F542" s="6">
        <f>INDEX(商业2转码!$B$2:$B$10000,MATCH(E542,商业2转码!$A$2:$A$10000,0))</f>
        <v>0</v>
      </c>
      <c r="G542" s="6" t="str">
        <f>INDEX(品种2编码!$A$2:$A$1048576,MATCH(W542,品种2编码!$D$2:$D$1048576,0))</f>
        <v>0020020021ZYLC0004</v>
      </c>
      <c r="H542" s="6" t="s">
        <v>1899</v>
      </c>
      <c r="I542" s="6" t="s">
        <v>1869</v>
      </c>
      <c r="J542" s="6" t="s">
        <v>3036</v>
      </c>
      <c r="L542" s="6" t="s">
        <v>2743</v>
      </c>
      <c r="M542" s="6">
        <f>INDEX(医院2县区2人!$B$2:$B$1048576,MATCH(L542,医院2县区2人!$A$2:$A$1048576,0))</f>
        <v>2</v>
      </c>
      <c r="N542" s="6" t="str">
        <f>INDEX(医院2县区2人!$C$2:$C$1048576,MATCH(L542,医院2县区2人!$A$2:$A$1048576,0))</f>
        <v>1855</v>
      </c>
      <c r="P542" s="7">
        <v>43271.7262962963</v>
      </c>
      <c r="Q542" s="6">
        <v>10</v>
      </c>
      <c r="R542" s="6">
        <v>8</v>
      </c>
      <c r="S542" s="6">
        <v>180201</v>
      </c>
      <c r="T542" s="6" t="str">
        <f>INDEX(医院2县区2人!$D$2:$D$1048576,MATCH(L542,医院2县区2人!$A$2:$A$1048576,0))</f>
        <v>201602151421097</v>
      </c>
      <c r="W542" s="6" t="str">
        <f t="shared" si="19"/>
        <v>大严迪片/罗红霉素分散片75mg*12片</v>
      </c>
      <c r="X542" s="6" t="s">
        <v>2890</v>
      </c>
    </row>
    <row r="543" spans="1:24" x14ac:dyDescent="0.15">
      <c r="A543" s="7" t="str">
        <f t="shared" si="20"/>
        <v>201806</v>
      </c>
      <c r="C543" s="6" t="str">
        <f>INDEX(工厂基础数据!$A$2:$A$1024,MATCH(X543,工厂基础数据!$D$2:$D$1024,0))</f>
        <v>02025767</v>
      </c>
      <c r="E543" s="6" t="str">
        <f>INDEX(工厂基础数据!$B$2:$B$1024,MATCH(X543,工厂基础数据!$D$2:$D$1024,0))</f>
        <v>滨州市仁信医药有限公司</v>
      </c>
      <c r="F543" s="6">
        <f>INDEX(商业2转码!$B$2:$B$10000,MATCH(E543,商业2转码!$A$2:$A$10000,0))</f>
        <v>0</v>
      </c>
      <c r="G543" s="6" t="str">
        <f>INDEX(品种2编码!$A$2:$A$1048576,MATCH(W543,品种2编码!$D$2:$D$1048576,0))</f>
        <v>0020020020ZYLC0011</v>
      </c>
      <c r="H543" s="6" t="s">
        <v>1877</v>
      </c>
      <c r="I543" s="6" t="s">
        <v>1919</v>
      </c>
      <c r="J543" s="6" t="s">
        <v>3036</v>
      </c>
      <c r="L543" s="6" t="s">
        <v>2656</v>
      </c>
      <c r="M543" s="6">
        <f>INDEX(医院2县区2人!$B$2:$B$1048576,MATCH(L543,医院2县区2人!$A$2:$A$1048576,0))</f>
        <v>2</v>
      </c>
      <c r="N543" s="6" t="str">
        <f>INDEX(医院2县区2人!$C$2:$C$1048576,MATCH(L543,医院2县区2人!$A$2:$A$1048576,0))</f>
        <v>1855</v>
      </c>
      <c r="P543" s="7">
        <v>43271.726064814815</v>
      </c>
      <c r="Q543" s="6">
        <v>3</v>
      </c>
      <c r="R543" s="6">
        <v>2.5</v>
      </c>
      <c r="S543" s="6">
        <v>160803</v>
      </c>
      <c r="T543" s="6" t="str">
        <f>INDEX(医院2县区2人!$D$2:$D$1048576,MATCH(L543,医院2县区2人!$A$2:$A$1048576,0))</f>
        <v>201602151421097</v>
      </c>
      <c r="W543" s="6" t="str">
        <f t="shared" si="19"/>
        <v xml:space="preserve">泻利停/颠茄磺苄啶片0.12g*20片 </v>
      </c>
      <c r="X543" s="6" t="s">
        <v>2890</v>
      </c>
    </row>
    <row r="544" spans="1:24" x14ac:dyDescent="0.15">
      <c r="A544" s="7" t="str">
        <f t="shared" si="20"/>
        <v>201806</v>
      </c>
      <c r="C544" s="6" t="str">
        <f>INDEX(工厂基础数据!$A$2:$A$1024,MATCH(X544,工厂基础数据!$D$2:$D$1024,0))</f>
        <v>02025767</v>
      </c>
      <c r="E544" s="6" t="str">
        <f>INDEX(工厂基础数据!$B$2:$B$1024,MATCH(X544,工厂基础数据!$D$2:$D$1024,0))</f>
        <v>滨州市仁信医药有限公司</v>
      </c>
      <c r="F544" s="6">
        <f>INDEX(商业2转码!$B$2:$B$10000,MATCH(E544,商业2转码!$A$2:$A$10000,0))</f>
        <v>0</v>
      </c>
      <c r="G544" s="6" t="str">
        <f>INDEX(品种2编码!$A$2:$A$1048576,MATCH(W544,品种2编码!$D$2:$D$1048576,0))</f>
        <v>0020030020SJSC0014</v>
      </c>
      <c r="H544" s="6" t="s">
        <v>677</v>
      </c>
      <c r="I544" s="6" t="s">
        <v>1882</v>
      </c>
      <c r="J544" s="6" t="s">
        <v>3045</v>
      </c>
      <c r="L544" s="6" t="s">
        <v>2381</v>
      </c>
      <c r="M544" s="6">
        <f>INDEX(医院2县区2人!$B$2:$B$1048576,MATCH(L544,医院2县区2人!$A$2:$A$1048576,0))</f>
        <v>2</v>
      </c>
      <c r="N544" s="6" t="str">
        <f>INDEX(医院2县区2人!$C$2:$C$1048576,MATCH(L544,医院2县区2人!$A$2:$A$1048576,0))</f>
        <v>1853</v>
      </c>
      <c r="P544" s="7">
        <v>43271.725995370369</v>
      </c>
      <c r="Q544" s="6">
        <v>20</v>
      </c>
      <c r="R544" s="6">
        <v>9.8000000000000007</v>
      </c>
      <c r="S544" s="6">
        <v>1708001</v>
      </c>
      <c r="T544" s="6" t="str">
        <f>INDEX(医院2县区2人!$D$2:$D$1048576,MATCH(L544,医院2县区2人!$A$2:$A$1048576,0))</f>
        <v>201602151421097</v>
      </c>
      <c r="W544" s="6" t="str">
        <f t="shared" si="19"/>
        <v>维D2磷酸氢钙片60片</v>
      </c>
      <c r="X544" s="6" t="s">
        <v>2890</v>
      </c>
    </row>
    <row r="545" spans="1:24" x14ac:dyDescent="0.15">
      <c r="A545" s="7" t="str">
        <f t="shared" si="20"/>
        <v>201806</v>
      </c>
      <c r="C545" s="6" t="str">
        <f>INDEX(工厂基础数据!$A$2:$A$1024,MATCH(X545,工厂基础数据!$D$2:$D$1024,0))</f>
        <v>02025767</v>
      </c>
      <c r="E545" s="6" t="str">
        <f>INDEX(工厂基础数据!$B$2:$B$1024,MATCH(X545,工厂基础数据!$D$2:$D$1024,0))</f>
        <v>滨州市仁信医药有限公司</v>
      </c>
      <c r="F545" s="6">
        <f>INDEX(商业2转码!$B$2:$B$10000,MATCH(E545,商业2转码!$A$2:$A$10000,0))</f>
        <v>0</v>
      </c>
      <c r="G545" s="6" t="str">
        <f>INDEX(品种2编码!$A$2:$A$1048576,MATCH(W545,品种2编码!$D$2:$D$1048576,0))</f>
        <v>0020030020ZYZC0360</v>
      </c>
      <c r="H545" s="6" t="s">
        <v>1880</v>
      </c>
      <c r="I545" s="6" t="s">
        <v>1881</v>
      </c>
      <c r="J545" s="6" t="s">
        <v>3038</v>
      </c>
      <c r="L545" s="6" t="s">
        <v>2184</v>
      </c>
      <c r="M545" s="6">
        <f>INDEX(医院2县区2人!$B$2:$B$1048576,MATCH(L545,医院2县区2人!$A$2:$A$1048576,0))</f>
        <v>2</v>
      </c>
      <c r="N545" s="6" t="str">
        <f>INDEX(医院2县区2人!$C$2:$C$1048576,MATCH(L545,医院2县区2人!$A$2:$A$1048576,0))</f>
        <v>1853</v>
      </c>
      <c r="P545" s="7">
        <v>43271.726087962961</v>
      </c>
      <c r="Q545" s="6">
        <v>20</v>
      </c>
      <c r="R545" s="6">
        <v>11</v>
      </c>
      <c r="S545" s="6" t="s">
        <v>3054</v>
      </c>
      <c r="T545" s="6" t="str">
        <f>INDEX(医院2县区2人!$D$2:$D$1048576,MATCH(L545,医院2县区2人!$A$2:$A$1048576,0))</f>
        <v>201602151421097</v>
      </c>
      <c r="W545" s="6" t="str">
        <f t="shared" si="19"/>
        <v>*维生素C咀嚼片/VC片0.1g*30片</v>
      </c>
      <c r="X545" s="6" t="s">
        <v>2890</v>
      </c>
    </row>
    <row r="546" spans="1:24" x14ac:dyDescent="0.15">
      <c r="A546" s="7" t="str">
        <f t="shared" si="20"/>
        <v>201806</v>
      </c>
      <c r="C546" s="6" t="str">
        <f>INDEX(工厂基础数据!$A$2:$A$1024,MATCH(X546,工厂基础数据!$D$2:$D$1024,0))</f>
        <v>02025767</v>
      </c>
      <c r="E546" s="6" t="str">
        <f>INDEX(工厂基础数据!$B$2:$B$1024,MATCH(X546,工厂基础数据!$D$2:$D$1024,0))</f>
        <v>滨州市仁信医药有限公司</v>
      </c>
      <c r="F546" s="6">
        <f>INDEX(商业2转码!$B$2:$B$10000,MATCH(E546,商业2转码!$A$2:$A$10000,0))</f>
        <v>0</v>
      </c>
      <c r="G546" s="6" t="str">
        <f>INDEX(品种2编码!$A$2:$A$1048576,MATCH(W546,品种2编码!$D$2:$D$1048576,0))</f>
        <v>0020030020SJSC0014</v>
      </c>
      <c r="H546" s="6" t="s">
        <v>677</v>
      </c>
      <c r="I546" s="6" t="s">
        <v>1882</v>
      </c>
      <c r="J546" s="6" t="s">
        <v>3045</v>
      </c>
      <c r="L546" s="6" t="s">
        <v>2184</v>
      </c>
      <c r="M546" s="6">
        <f>INDEX(医院2县区2人!$B$2:$B$1048576,MATCH(L546,医院2县区2人!$A$2:$A$1048576,0))</f>
        <v>2</v>
      </c>
      <c r="N546" s="6" t="str">
        <f>INDEX(医院2县区2人!$C$2:$C$1048576,MATCH(L546,医院2县区2人!$A$2:$A$1048576,0))</f>
        <v>1853</v>
      </c>
      <c r="P546" s="7">
        <v>43271.726006944446</v>
      </c>
      <c r="Q546" s="6">
        <v>20</v>
      </c>
      <c r="R546" s="6">
        <v>10</v>
      </c>
      <c r="S546" s="6">
        <v>1708001</v>
      </c>
      <c r="T546" s="6" t="str">
        <f>INDEX(医院2县区2人!$D$2:$D$1048576,MATCH(L546,医院2县区2人!$A$2:$A$1048576,0))</f>
        <v>201602151421097</v>
      </c>
      <c r="W546" s="6" t="str">
        <f t="shared" si="19"/>
        <v>维D2磷酸氢钙片60片</v>
      </c>
      <c r="X546" s="6" t="s">
        <v>2890</v>
      </c>
    </row>
    <row r="547" spans="1:24" x14ac:dyDescent="0.15">
      <c r="A547" s="7" t="str">
        <f t="shared" si="20"/>
        <v>201806</v>
      </c>
      <c r="C547" s="6" t="str">
        <f>INDEX(工厂基础数据!$A$2:$A$1024,MATCH(X547,工厂基础数据!$D$2:$D$1024,0))</f>
        <v>02025767</v>
      </c>
      <c r="E547" s="6" t="str">
        <f>INDEX(工厂基础数据!$B$2:$B$1024,MATCH(X547,工厂基础数据!$D$2:$D$1024,0))</f>
        <v>滨州市仁信医药有限公司</v>
      </c>
      <c r="F547" s="6">
        <f>INDEX(商业2转码!$B$2:$B$10000,MATCH(E547,商业2转码!$A$2:$A$10000,0))</f>
        <v>0</v>
      </c>
      <c r="G547" s="6" t="str">
        <f>INDEX(品种2编码!$A$2:$A$1048576,MATCH(W547,品种2编码!$D$2:$D$1048576,0))</f>
        <v>0020030020ZYLC0010</v>
      </c>
      <c r="H547" s="6" t="s">
        <v>1883</v>
      </c>
      <c r="I547" s="6" t="s">
        <v>1839</v>
      </c>
      <c r="J547" s="6" t="s">
        <v>3036</v>
      </c>
      <c r="L547" s="6" t="s">
        <v>2283</v>
      </c>
      <c r="M547" s="6">
        <f>INDEX(医院2县区2人!$B$2:$B$1048576,MATCH(L547,医院2县区2人!$A$2:$A$1048576,0))</f>
        <v>4</v>
      </c>
      <c r="N547" s="6" t="str">
        <f>INDEX(医院2县区2人!$C$2:$C$1048576,MATCH(L547,医院2县区2人!$A$2:$A$1048576,0))</f>
        <v>1856</v>
      </c>
      <c r="P547" s="7">
        <v>43271.726122685184</v>
      </c>
      <c r="Q547" s="6">
        <v>50</v>
      </c>
      <c r="R547" s="6">
        <v>3.7</v>
      </c>
      <c r="S547" s="6">
        <v>180128</v>
      </c>
      <c r="T547" s="6" t="str">
        <f>INDEX(医院2县区2人!$D$2:$D$1048576,MATCH(L547,医院2县区2人!$A$2:$A$1048576,0))</f>
        <v>201602151421097</v>
      </c>
      <c r="W547" s="6" t="str">
        <f t="shared" si="19"/>
        <v>“为消”牌乳酸菌素片0.4g*36片</v>
      </c>
      <c r="X547" s="6" t="s">
        <v>2890</v>
      </c>
    </row>
    <row r="548" spans="1:24" x14ac:dyDescent="0.15">
      <c r="A548" s="7" t="str">
        <f t="shared" si="20"/>
        <v>201806</v>
      </c>
      <c r="C548" s="6" t="str">
        <f>INDEX(工厂基础数据!$A$2:$A$1024,MATCH(X548,工厂基础数据!$D$2:$D$1024,0))</f>
        <v>02025767</v>
      </c>
      <c r="E548" s="6" t="str">
        <f>INDEX(工厂基础数据!$B$2:$B$1024,MATCH(X548,工厂基础数据!$D$2:$D$1024,0))</f>
        <v>滨州市仁信医药有限公司</v>
      </c>
      <c r="F548" s="6">
        <f>INDEX(商业2转码!$B$2:$B$10000,MATCH(E548,商业2转码!$A$2:$A$10000,0))</f>
        <v>0</v>
      </c>
      <c r="G548" s="6" t="str">
        <f>INDEX(品种2编码!$A$2:$A$1048576,MATCH(W548,品种2编码!$D$2:$D$1048576,0))</f>
        <v>0020030040ZYLC0001</v>
      </c>
      <c r="H548" s="6" t="s">
        <v>1933</v>
      </c>
      <c r="I548" s="6" t="s">
        <v>1853</v>
      </c>
      <c r="J548" s="6" t="s">
        <v>3036</v>
      </c>
      <c r="L548" s="6" t="s">
        <v>2331</v>
      </c>
      <c r="M548" s="6">
        <f>INDEX(医院2县区2人!$B$2:$B$1048576,MATCH(L548,医院2县区2人!$A$2:$A$1048576,0))</f>
        <v>1</v>
      </c>
      <c r="N548" s="6" t="str">
        <f>INDEX(医院2县区2人!$C$2:$C$1048576,MATCH(L548,医院2县区2人!$A$2:$A$1048576,0))</f>
        <v>1853</v>
      </c>
      <c r="P548" s="7">
        <v>43271.726168981484</v>
      </c>
      <c r="Q548" s="6">
        <v>5</v>
      </c>
      <c r="R548" s="6">
        <v>10</v>
      </c>
      <c r="S548" s="6">
        <v>180141</v>
      </c>
      <c r="T548" s="6" t="str">
        <f>INDEX(医院2县区2人!$D$2:$D$1048576,MATCH(L548,医院2县区2人!$A$2:$A$1048576,0))</f>
        <v>201602151421097</v>
      </c>
      <c r="W548" s="6" t="str">
        <f t="shared" si="19"/>
        <v>护彤冲剂/小儿氨酚黄那敏颗粒2g*12袋</v>
      </c>
      <c r="X548" s="6" t="s">
        <v>2890</v>
      </c>
    </row>
    <row r="549" spans="1:24" x14ac:dyDescent="0.15">
      <c r="A549" s="7" t="str">
        <f t="shared" si="20"/>
        <v>201806</v>
      </c>
      <c r="C549" s="6" t="str">
        <f>INDEX(工厂基础数据!$A$2:$A$1024,MATCH(X549,工厂基础数据!$D$2:$D$1024,0))</f>
        <v>02025767</v>
      </c>
      <c r="E549" s="6" t="str">
        <f>INDEX(工厂基础数据!$B$2:$B$1024,MATCH(X549,工厂基础数据!$D$2:$D$1024,0))</f>
        <v>滨州市仁信医药有限公司</v>
      </c>
      <c r="F549" s="6">
        <f>INDEX(商业2转码!$B$2:$B$10000,MATCH(E549,商业2转码!$A$2:$A$10000,0))</f>
        <v>0</v>
      </c>
      <c r="G549" s="6" t="str">
        <f>INDEX(品种2编码!$A$2:$A$1048576,MATCH(W549,品种2编码!$D$2:$D$1048576,0))</f>
        <v>0020070000ZYLC0055</v>
      </c>
      <c r="H549" s="6" t="s">
        <v>1906</v>
      </c>
      <c r="I549" s="6" t="s">
        <v>411</v>
      </c>
      <c r="J549" s="6" t="s">
        <v>3036</v>
      </c>
      <c r="L549" s="6" t="s">
        <v>2188</v>
      </c>
      <c r="M549" s="6">
        <f>INDEX(医院2县区2人!$B$2:$B$1048576,MATCH(L549,医院2县区2人!$A$2:$A$1048576,0))</f>
        <v>2</v>
      </c>
      <c r="N549" s="6" t="str">
        <f>INDEX(医院2县区2人!$C$2:$C$1048576,MATCH(L549,医院2县区2人!$A$2:$A$1048576,0))</f>
        <v>1855</v>
      </c>
      <c r="P549" s="7">
        <v>43271.726018518515</v>
      </c>
      <c r="Q549" s="6">
        <v>1</v>
      </c>
      <c r="R549" s="6">
        <v>20</v>
      </c>
      <c r="S549" s="6">
        <v>171064</v>
      </c>
      <c r="T549" s="6" t="str">
        <f>INDEX(医院2县区2人!$D$2:$D$1048576,MATCH(L549,医院2县区2人!$A$2:$A$1048576,0))</f>
        <v>201602151421097</v>
      </c>
      <c r="W549" s="6" t="str">
        <f t="shared" si="19"/>
        <v>朴血/乳酸亚铁口服液10ml*12支</v>
      </c>
      <c r="X549" s="6" t="s">
        <v>2890</v>
      </c>
    </row>
    <row r="550" spans="1:24" x14ac:dyDescent="0.15">
      <c r="A550" s="7" t="str">
        <f t="shared" si="20"/>
        <v>201806</v>
      </c>
      <c r="C550" s="6" t="str">
        <f>INDEX(工厂基础数据!$A$2:$A$1024,MATCH(X550,工厂基础数据!$D$2:$D$1024,0))</f>
        <v>02025767</v>
      </c>
      <c r="E550" s="6" t="str">
        <f>INDEX(工厂基础数据!$B$2:$B$1024,MATCH(X550,工厂基础数据!$D$2:$D$1024,0))</f>
        <v>滨州市仁信医药有限公司</v>
      </c>
      <c r="F550" s="6">
        <f>INDEX(商业2转码!$B$2:$B$10000,MATCH(E550,商业2转码!$A$2:$A$10000,0))</f>
        <v>0</v>
      </c>
      <c r="G550" s="6" t="str">
        <f>INDEX(品种2编码!$A$2:$A$1048576,MATCH(W550,品种2编码!$D$2:$D$1048576,0))</f>
        <v>0020030001SJZY0006</v>
      </c>
      <c r="H550" s="6" t="s">
        <v>1888</v>
      </c>
      <c r="I550" s="6" t="s">
        <v>411</v>
      </c>
      <c r="J550" s="6" t="s">
        <v>3040</v>
      </c>
      <c r="L550" s="6" t="s">
        <v>2188</v>
      </c>
      <c r="M550" s="6">
        <f>INDEX(医院2县区2人!$B$2:$B$1048576,MATCH(L550,医院2县区2人!$A$2:$A$1048576,0))</f>
        <v>2</v>
      </c>
      <c r="N550" s="6" t="str">
        <f>INDEX(医院2县区2人!$C$2:$C$1048576,MATCH(L550,医院2县区2人!$A$2:$A$1048576,0))</f>
        <v>1855</v>
      </c>
      <c r="P550" s="7">
        <v>43271.725960648146</v>
      </c>
      <c r="Q550" s="6">
        <v>1</v>
      </c>
      <c r="R550" s="6">
        <v>25</v>
      </c>
      <c r="S550" s="6">
        <v>17071042</v>
      </c>
      <c r="T550" s="6" t="str">
        <f>INDEX(医院2县区2人!$D$2:$D$1048576,MATCH(L550,医院2县区2人!$A$2:$A$1048576,0))</f>
        <v>201602151421097</v>
      </c>
      <c r="W550" s="6" t="str">
        <f t="shared" si="19"/>
        <v>葡萄糖酸钙口服溶液（含糖）10ml*12支</v>
      </c>
      <c r="X550" s="6" t="s">
        <v>2890</v>
      </c>
    </row>
    <row r="551" spans="1:24" x14ac:dyDescent="0.15">
      <c r="A551" s="7" t="str">
        <f t="shared" si="20"/>
        <v>201806</v>
      </c>
      <c r="C551" s="6" t="str">
        <f>INDEX(工厂基础数据!$A$2:$A$1024,MATCH(X551,工厂基础数据!$D$2:$D$1024,0))</f>
        <v>02025767</v>
      </c>
      <c r="E551" s="6" t="str">
        <f>INDEX(工厂基础数据!$B$2:$B$1024,MATCH(X551,工厂基础数据!$D$2:$D$1024,0))</f>
        <v>滨州市仁信医药有限公司</v>
      </c>
      <c r="F551" s="6">
        <f>INDEX(商业2转码!$B$2:$B$10000,MATCH(E551,商业2转码!$A$2:$A$10000,0))</f>
        <v>0</v>
      </c>
      <c r="G551" s="6" t="str">
        <f>INDEX(品种2编码!$A$2:$A$1048576,MATCH(W551,品种2编码!$D$2:$D$1048576,0))</f>
        <v>0020030001SJZY0009</v>
      </c>
      <c r="H551" s="6" t="s">
        <v>555</v>
      </c>
      <c r="I551" s="6" t="s">
        <v>1889</v>
      </c>
      <c r="J551" s="6" t="s">
        <v>3039</v>
      </c>
      <c r="L551" s="6" t="s">
        <v>2769</v>
      </c>
      <c r="M551" s="6">
        <f>INDEX(医院2县区2人!$B$2:$B$1048576,MATCH(L551,医院2县区2人!$A$2:$A$1048576,0))</f>
        <v>2</v>
      </c>
      <c r="N551" s="6" t="str">
        <f>INDEX(医院2县区2人!$C$2:$C$1048576,MATCH(L551,医院2县区2人!$A$2:$A$1048576,0))</f>
        <v>1853</v>
      </c>
      <c r="P551" s="7">
        <v>43271.72625</v>
      </c>
      <c r="Q551" s="6">
        <v>5</v>
      </c>
      <c r="R551" s="6">
        <v>25</v>
      </c>
      <c r="S551" s="6">
        <v>18031227</v>
      </c>
      <c r="T551" s="6" t="str">
        <f>INDEX(医院2县区2人!$D$2:$D$1048576,MATCH(L551,医院2县区2人!$A$2:$A$1048576,0))</f>
        <v>201602151421097</v>
      </c>
      <c r="W551" s="6" t="str">
        <f t="shared" si="19"/>
        <v>葡萄糖酸锌口服液10ML*12支</v>
      </c>
      <c r="X551" s="6" t="s">
        <v>2890</v>
      </c>
    </row>
    <row r="552" spans="1:24" x14ac:dyDescent="0.15">
      <c r="A552" s="7" t="str">
        <f t="shared" si="20"/>
        <v>201806</v>
      </c>
      <c r="C552" s="6" t="str">
        <f>INDEX(工厂基础数据!$A$2:$A$1024,MATCH(X552,工厂基础数据!$D$2:$D$1024,0))</f>
        <v>02025767</v>
      </c>
      <c r="E552" s="6" t="str">
        <f>INDEX(工厂基础数据!$B$2:$B$1024,MATCH(X552,工厂基础数据!$D$2:$D$1024,0))</f>
        <v>滨州市仁信医药有限公司</v>
      </c>
      <c r="F552" s="6">
        <f>INDEX(商业2转码!$B$2:$B$10000,MATCH(E552,商业2转码!$A$2:$A$10000,0))</f>
        <v>0</v>
      </c>
      <c r="G552" s="6" t="str">
        <f>INDEX(品种2编码!$A$2:$A$1048576,MATCH(W552,品种2编码!$D$2:$D$1048576,0))</f>
        <v>0020030001SJZY0006</v>
      </c>
      <c r="H552" s="6" t="s">
        <v>1888</v>
      </c>
      <c r="I552" s="6" t="s">
        <v>411</v>
      </c>
      <c r="J552" s="6" t="s">
        <v>3040</v>
      </c>
      <c r="L552" s="6" t="s">
        <v>2769</v>
      </c>
      <c r="M552" s="6">
        <f>INDEX(医院2县区2人!$B$2:$B$1048576,MATCH(L552,医院2县区2人!$A$2:$A$1048576,0))</f>
        <v>2</v>
      </c>
      <c r="N552" s="6" t="str">
        <f>INDEX(医院2县区2人!$C$2:$C$1048576,MATCH(L552,医院2县区2人!$A$2:$A$1048576,0))</f>
        <v>1853</v>
      </c>
      <c r="P552" s="7">
        <v>43271.72625</v>
      </c>
      <c r="Q552" s="6">
        <v>5</v>
      </c>
      <c r="R552" s="6">
        <v>25</v>
      </c>
      <c r="S552" s="6">
        <v>17071042</v>
      </c>
      <c r="T552" s="6" t="str">
        <f>INDEX(医院2县区2人!$D$2:$D$1048576,MATCH(L552,医院2县区2人!$A$2:$A$1048576,0))</f>
        <v>201602151421097</v>
      </c>
      <c r="W552" s="6" t="str">
        <f t="shared" si="19"/>
        <v>葡萄糖酸钙口服溶液（含糖）10ml*12支</v>
      </c>
      <c r="X552" s="6" t="s">
        <v>2890</v>
      </c>
    </row>
    <row r="553" spans="1:24" x14ac:dyDescent="0.15">
      <c r="A553" s="7" t="str">
        <f t="shared" si="20"/>
        <v>201806</v>
      </c>
      <c r="C553" s="6" t="str">
        <f>INDEX(工厂基础数据!$A$2:$A$1024,MATCH(X553,工厂基础数据!$D$2:$D$1024,0))</f>
        <v>02025767</v>
      </c>
      <c r="E553" s="6" t="str">
        <f>INDEX(工厂基础数据!$B$2:$B$1024,MATCH(X553,工厂基础数据!$D$2:$D$1024,0))</f>
        <v>滨州市仁信医药有限公司</v>
      </c>
      <c r="F553" s="6">
        <f>INDEX(商业2转码!$B$2:$B$10000,MATCH(E553,商业2转码!$A$2:$A$10000,0))</f>
        <v>0</v>
      </c>
      <c r="G553" s="6" t="str">
        <f>INDEX(品种2编码!$A$2:$A$1048576,MATCH(W553,品种2编码!$D$2:$D$1048576,0))</f>
        <v>0020020020ZYLC0010</v>
      </c>
      <c r="H553" s="6" t="s">
        <v>1877</v>
      </c>
      <c r="I553" s="6" t="s">
        <v>1878</v>
      </c>
      <c r="J553" s="6" t="s">
        <v>3036</v>
      </c>
      <c r="L553" s="6" t="s">
        <v>2360</v>
      </c>
      <c r="M553" s="6">
        <f>INDEX(医院2县区2人!$B$2:$B$1048576,MATCH(L553,医院2县区2人!$A$2:$A$1048576,0))</f>
        <v>2</v>
      </c>
      <c r="N553" s="6" t="str">
        <f>INDEX(医院2县区2人!$C$2:$C$1048576,MATCH(L553,医院2县区2人!$A$2:$A$1048576,0))</f>
        <v>1855</v>
      </c>
      <c r="P553" s="7">
        <v>43271.726365740738</v>
      </c>
      <c r="Q553" s="6">
        <v>20</v>
      </c>
      <c r="R553" s="6">
        <v>3.5</v>
      </c>
      <c r="S553" s="6">
        <v>180401</v>
      </c>
      <c r="T553" s="6" t="str">
        <f>INDEX(医院2县区2人!$D$2:$D$1048576,MATCH(L553,医院2县区2人!$A$2:$A$1048576,0))</f>
        <v>201602151421097</v>
      </c>
      <c r="W553" s="6" t="str">
        <f t="shared" si="19"/>
        <v xml:space="preserve">泻利停/颠茄磺苄啶片0.48g*10片 </v>
      </c>
      <c r="X553" s="6" t="s">
        <v>2890</v>
      </c>
    </row>
    <row r="554" spans="1:24" x14ac:dyDescent="0.15">
      <c r="A554" s="7" t="str">
        <f t="shared" si="20"/>
        <v>201806</v>
      </c>
      <c r="C554" s="6" t="str">
        <f>INDEX(工厂基础数据!$A$2:$A$1024,MATCH(X554,工厂基础数据!$D$2:$D$1024,0))</f>
        <v>02025767</v>
      </c>
      <c r="E554" s="6" t="str">
        <f>INDEX(工厂基础数据!$B$2:$B$1024,MATCH(X554,工厂基础数据!$D$2:$D$1024,0))</f>
        <v>滨州市仁信医药有限公司</v>
      </c>
      <c r="F554" s="6">
        <f>INDEX(商业2转码!$B$2:$B$10000,MATCH(E554,商业2转码!$A$2:$A$10000,0))</f>
        <v>0</v>
      </c>
      <c r="G554" s="6" t="str">
        <f>INDEX(品种2编码!$A$2:$A$1048576,MATCH(W554,品种2编码!$D$2:$D$1048576,0))</f>
        <v>0020030040SJET0003</v>
      </c>
      <c r="H554" s="6" t="s">
        <v>306</v>
      </c>
      <c r="I554" s="6" t="s">
        <v>1874</v>
      </c>
      <c r="J554" s="6" t="s">
        <v>3043</v>
      </c>
      <c r="L554" s="6" t="s">
        <v>2344</v>
      </c>
      <c r="M554" s="6">
        <f>INDEX(医院2县区2人!$B$2:$B$1048576,MATCH(L554,医院2县区2人!$A$2:$A$1048576,0))</f>
        <v>1</v>
      </c>
      <c r="N554" s="6" t="str">
        <f>INDEX(医院2县区2人!$C$2:$C$1048576,MATCH(L554,医院2县区2人!$A$2:$A$1048576,0))</f>
        <v>1853</v>
      </c>
      <c r="P554" s="7">
        <v>43271.726354166669</v>
      </c>
      <c r="Q554" s="6">
        <v>30</v>
      </c>
      <c r="R554" s="6">
        <v>5</v>
      </c>
      <c r="S554" s="6">
        <v>161206</v>
      </c>
      <c r="T554" s="6" t="str">
        <f>INDEX(医院2县区2人!$D$2:$D$1048576,MATCH(L554,医院2县区2人!$A$2:$A$1048576,0))</f>
        <v>201602151421097</v>
      </c>
      <c r="W554" s="6" t="str">
        <f t="shared" si="19"/>
        <v>氨金黄敏颗粒6g*10袋</v>
      </c>
      <c r="X554" s="6" t="s">
        <v>2890</v>
      </c>
    </row>
    <row r="555" spans="1:24" x14ac:dyDescent="0.15">
      <c r="A555" s="7" t="str">
        <f t="shared" si="20"/>
        <v>201806</v>
      </c>
      <c r="C555" s="6" t="str">
        <f>INDEX(工厂基础数据!$A$2:$A$1024,MATCH(X555,工厂基础数据!$D$2:$D$1024,0))</f>
        <v>02025767</v>
      </c>
      <c r="E555" s="6" t="str">
        <f>INDEX(工厂基础数据!$B$2:$B$1024,MATCH(X555,工厂基础数据!$D$2:$D$1024,0))</f>
        <v>滨州市仁信医药有限公司</v>
      </c>
      <c r="F555" s="6">
        <f>INDEX(商业2转码!$B$2:$B$10000,MATCH(E555,商业2转码!$A$2:$A$10000,0))</f>
        <v>0</v>
      </c>
      <c r="G555" s="6" t="str">
        <f>INDEX(品种2编码!$A$2:$A$1048576,MATCH(W555,品种2编码!$D$2:$D$1048576,0))</f>
        <v>0020020021ZYLC0011</v>
      </c>
      <c r="H555" s="6" t="s">
        <v>1890</v>
      </c>
      <c r="I555" s="6" t="s">
        <v>1891</v>
      </c>
      <c r="J555" s="6" t="s">
        <v>3036</v>
      </c>
      <c r="L555" s="6" t="s">
        <v>2344</v>
      </c>
      <c r="M555" s="6">
        <f>INDEX(医院2县区2人!$B$2:$B$1048576,MATCH(L555,医院2县区2人!$A$2:$A$1048576,0))</f>
        <v>1</v>
      </c>
      <c r="N555" s="6" t="str">
        <f>INDEX(医院2县区2人!$C$2:$C$1048576,MATCH(L555,医院2县区2人!$A$2:$A$1048576,0))</f>
        <v>1853</v>
      </c>
      <c r="P555" s="7">
        <v>43271.726354166669</v>
      </c>
      <c r="Q555" s="6">
        <v>30</v>
      </c>
      <c r="R555" s="6">
        <v>5</v>
      </c>
      <c r="S555" s="6">
        <v>161001</v>
      </c>
      <c r="T555" s="6" t="str">
        <f>INDEX(医院2县区2人!$D$2:$D$1048576,MATCH(L555,医院2县区2人!$A$2:$A$1048576,0))</f>
        <v>201602151421097</v>
      </c>
      <c r="W555" s="6" t="str">
        <f t="shared" si="19"/>
        <v>严迪/罗红霉素分散片150mg*12片</v>
      </c>
      <c r="X555" s="6" t="s">
        <v>2890</v>
      </c>
    </row>
    <row r="556" spans="1:24" x14ac:dyDescent="0.15">
      <c r="A556" s="7" t="str">
        <f t="shared" si="20"/>
        <v>201806</v>
      </c>
      <c r="C556" s="6" t="str">
        <f>INDEX(工厂基础数据!$A$2:$A$1024,MATCH(X556,工厂基础数据!$D$2:$D$1024,0))</f>
        <v>02025767</v>
      </c>
      <c r="E556" s="6" t="str">
        <f>INDEX(工厂基础数据!$B$2:$B$1024,MATCH(X556,工厂基础数据!$D$2:$D$1024,0))</f>
        <v>滨州市仁信医药有限公司</v>
      </c>
      <c r="F556" s="6">
        <f>INDEX(商业2转码!$B$2:$B$10000,MATCH(E556,商业2转码!$A$2:$A$10000,0))</f>
        <v>0</v>
      </c>
      <c r="G556" s="6" t="str">
        <f>INDEX(品种2编码!$A$2:$A$1048576,MATCH(W556,品种2编码!$D$2:$D$1048576,0))</f>
        <v>0020030040SHYT0010</v>
      </c>
      <c r="H556" s="6" t="s">
        <v>317</v>
      </c>
      <c r="I556" s="6" t="s">
        <v>1848</v>
      </c>
      <c r="J556" s="6" t="s">
        <v>3037</v>
      </c>
      <c r="L556" s="6" t="s">
        <v>2344</v>
      </c>
      <c r="M556" s="6">
        <f>INDEX(医院2县区2人!$B$2:$B$1048576,MATCH(L556,医院2县区2人!$A$2:$A$1048576,0))</f>
        <v>1</v>
      </c>
      <c r="N556" s="6" t="str">
        <f>INDEX(医院2县区2人!$C$2:$C$1048576,MATCH(L556,医院2县区2人!$A$2:$A$1048576,0))</f>
        <v>1853</v>
      </c>
      <c r="P556" s="7">
        <v>43271.726354166669</v>
      </c>
      <c r="Q556" s="6">
        <v>10</v>
      </c>
      <c r="R556" s="6">
        <v>12.5</v>
      </c>
      <c r="S556" s="6">
        <v>1801608</v>
      </c>
      <c r="T556" s="6" t="str">
        <f>INDEX(医院2县区2人!$D$2:$D$1048576,MATCH(L556,医院2县区2人!$A$2:$A$1048576,0))</f>
        <v>201602151421097</v>
      </c>
      <c r="W556" s="6" t="str">
        <f t="shared" si="19"/>
        <v>布洛芬颗粒0.2g*12袋</v>
      </c>
      <c r="X556" s="6" t="s">
        <v>2890</v>
      </c>
    </row>
    <row r="557" spans="1:24" x14ac:dyDescent="0.15">
      <c r="A557" s="7" t="str">
        <f t="shared" si="20"/>
        <v>201806</v>
      </c>
      <c r="C557" s="6" t="str">
        <f>INDEX(工厂基础数据!$A$2:$A$1024,MATCH(X557,工厂基础数据!$D$2:$D$1024,0))</f>
        <v>02025767</v>
      </c>
      <c r="E557" s="6" t="str">
        <f>INDEX(工厂基础数据!$B$2:$B$1024,MATCH(X557,工厂基础数据!$D$2:$D$1024,0))</f>
        <v>滨州市仁信医药有限公司</v>
      </c>
      <c r="F557" s="6">
        <f>INDEX(商业2转码!$B$2:$B$10000,MATCH(E557,商业2转码!$A$2:$A$10000,0))</f>
        <v>0</v>
      </c>
      <c r="G557" s="6" t="str">
        <f>INDEX(品种2编码!$A$2:$A$1048576,MATCH(W557,品种2编码!$D$2:$D$1048576,0))</f>
        <v>0020030020ZYZC0360</v>
      </c>
      <c r="H557" s="6" t="s">
        <v>1880</v>
      </c>
      <c r="I557" s="6" t="s">
        <v>1881</v>
      </c>
      <c r="J557" s="6" t="s">
        <v>3038</v>
      </c>
      <c r="L557" s="6" t="s">
        <v>2376</v>
      </c>
      <c r="M557" s="6">
        <f>INDEX(医院2县区2人!$B$2:$B$1048576,MATCH(L557,医院2县区2人!$A$2:$A$1048576,0))</f>
        <v>4</v>
      </c>
      <c r="N557" s="6" t="str">
        <f>INDEX(医院2县区2人!$C$2:$C$1048576,MATCH(L557,医院2县区2人!$A$2:$A$1048576,0))</f>
        <v>1853</v>
      </c>
      <c r="P557" s="7">
        <v>43271.72625</v>
      </c>
      <c r="Q557" s="6">
        <v>35</v>
      </c>
      <c r="R557" s="6">
        <v>11</v>
      </c>
      <c r="S557" s="6">
        <v>1801003</v>
      </c>
      <c r="T557" s="6" t="str">
        <f>INDEX(医院2县区2人!$D$2:$D$1048576,MATCH(L557,医院2县区2人!$A$2:$A$1048576,0))</f>
        <v>201602151421097</v>
      </c>
      <c r="W557" s="6" t="str">
        <f t="shared" si="19"/>
        <v>*维生素C咀嚼片/VC片0.1g*30片</v>
      </c>
      <c r="X557" s="6" t="s">
        <v>2890</v>
      </c>
    </row>
    <row r="558" spans="1:24" x14ac:dyDescent="0.15">
      <c r="A558" s="7" t="str">
        <f t="shared" si="20"/>
        <v>201806</v>
      </c>
      <c r="C558" s="6" t="str">
        <f>INDEX(工厂基础数据!$A$2:$A$1024,MATCH(X558,工厂基础数据!$D$2:$D$1024,0))</f>
        <v>02025767</v>
      </c>
      <c r="E558" s="6" t="str">
        <f>INDEX(工厂基础数据!$B$2:$B$1024,MATCH(X558,工厂基础数据!$D$2:$D$1024,0))</f>
        <v>滨州市仁信医药有限公司</v>
      </c>
      <c r="F558" s="6">
        <f>INDEX(商业2转码!$B$2:$B$10000,MATCH(E558,商业2转码!$A$2:$A$10000,0))</f>
        <v>0</v>
      </c>
      <c r="G558" s="6" t="str">
        <f>INDEX(品种2编码!$A$2:$A$1048576,MATCH(W558,品种2编码!$D$2:$D$1048576,0))</f>
        <v>0020030020ZYZC0360</v>
      </c>
      <c r="H558" s="6" t="s">
        <v>1880</v>
      </c>
      <c r="I558" s="6" t="s">
        <v>1881</v>
      </c>
      <c r="J558" s="6" t="s">
        <v>3038</v>
      </c>
      <c r="L558" s="6" t="s">
        <v>2376</v>
      </c>
      <c r="M558" s="6">
        <f>INDEX(医院2县区2人!$B$2:$B$1048576,MATCH(L558,医院2县区2人!$A$2:$A$1048576,0))</f>
        <v>4</v>
      </c>
      <c r="N558" s="6" t="str">
        <f>INDEX(医院2县区2人!$C$2:$C$1048576,MATCH(L558,医院2县区2人!$A$2:$A$1048576,0))</f>
        <v>1853</v>
      </c>
      <c r="P558" s="7">
        <v>43271.72625</v>
      </c>
      <c r="Q558" s="6">
        <v>15</v>
      </c>
      <c r="R558" s="6">
        <v>11</v>
      </c>
      <c r="S558" s="6" t="s">
        <v>3054</v>
      </c>
      <c r="T558" s="6" t="str">
        <f>INDEX(医院2县区2人!$D$2:$D$1048576,MATCH(L558,医院2县区2人!$A$2:$A$1048576,0))</f>
        <v>201602151421097</v>
      </c>
      <c r="W558" s="6" t="str">
        <f t="shared" si="19"/>
        <v>*维生素C咀嚼片/VC片0.1g*30片</v>
      </c>
      <c r="X558" s="6" t="s">
        <v>2890</v>
      </c>
    </row>
    <row r="559" spans="1:24" x14ac:dyDescent="0.15">
      <c r="A559" s="7" t="str">
        <f t="shared" si="20"/>
        <v>201806</v>
      </c>
      <c r="C559" s="6" t="str">
        <f>INDEX(工厂基础数据!$A$2:$A$1024,MATCH(X559,工厂基础数据!$D$2:$D$1024,0))</f>
        <v>02025767</v>
      </c>
      <c r="E559" s="6" t="str">
        <f>INDEX(工厂基础数据!$B$2:$B$1024,MATCH(X559,工厂基础数据!$D$2:$D$1024,0))</f>
        <v>滨州市仁信医药有限公司</v>
      </c>
      <c r="F559" s="6">
        <f>INDEX(商业2转码!$B$2:$B$10000,MATCH(E559,商业2转码!$A$2:$A$10000,0))</f>
        <v>0</v>
      </c>
      <c r="G559" s="6" t="str">
        <f>INDEX(品种2编码!$A$2:$A$1048576,MATCH(W559,品种2编码!$D$2:$D$1048576,0))</f>
        <v>0020030001SJZY0009</v>
      </c>
      <c r="H559" s="6" t="s">
        <v>555</v>
      </c>
      <c r="I559" s="6" t="s">
        <v>1889</v>
      </c>
      <c r="J559" s="6" t="s">
        <v>3039</v>
      </c>
      <c r="L559" s="6" t="s">
        <v>2186</v>
      </c>
      <c r="M559" s="6">
        <f>INDEX(医院2县区2人!$B$2:$B$1048576,MATCH(L559,医院2县区2人!$A$2:$A$1048576,0))</f>
        <v>1</v>
      </c>
      <c r="N559" s="6" t="str">
        <f>INDEX(医院2县区2人!$C$2:$C$1048576,MATCH(L559,医院2县区2人!$A$2:$A$1048576,0))</f>
        <v>1859</v>
      </c>
      <c r="P559" s="7">
        <v>43274.745509259257</v>
      </c>
      <c r="Q559" s="6">
        <v>23</v>
      </c>
      <c r="R559" s="6">
        <v>25</v>
      </c>
      <c r="S559" s="6">
        <v>18032427</v>
      </c>
      <c r="T559" s="6" t="str">
        <f>INDEX(医院2县区2人!$D$2:$D$1048576,MATCH(L559,医院2县区2人!$A$2:$A$1048576,0))</f>
        <v>201602151421097</v>
      </c>
      <c r="W559" s="6" t="str">
        <f t="shared" si="19"/>
        <v>葡萄糖酸锌口服液10ML*12支</v>
      </c>
      <c r="X559" s="6" t="s">
        <v>2890</v>
      </c>
    </row>
    <row r="560" spans="1:24" x14ac:dyDescent="0.15">
      <c r="A560" s="7" t="str">
        <f t="shared" si="20"/>
        <v>201806</v>
      </c>
      <c r="C560" s="6" t="str">
        <f>INDEX(工厂基础数据!$A$2:$A$1024,MATCH(X560,工厂基础数据!$D$2:$D$1024,0))</f>
        <v>02025767</v>
      </c>
      <c r="E560" s="6" t="str">
        <f>INDEX(工厂基础数据!$B$2:$B$1024,MATCH(X560,工厂基础数据!$D$2:$D$1024,0))</f>
        <v>滨州市仁信医药有限公司</v>
      </c>
      <c r="F560" s="6">
        <f>INDEX(商业2转码!$B$2:$B$10000,MATCH(E560,商业2转码!$A$2:$A$10000,0))</f>
        <v>0</v>
      </c>
      <c r="G560" s="6" t="str">
        <f>INDEX(品种2编码!$A$2:$A$1048576,MATCH(W560,品种2编码!$D$2:$D$1048576,0))</f>
        <v>0020030020ZYZC0360</v>
      </c>
      <c r="H560" s="6" t="s">
        <v>1902</v>
      </c>
      <c r="I560" s="6" t="s">
        <v>1881</v>
      </c>
      <c r="J560" s="6" t="s">
        <v>3038</v>
      </c>
      <c r="L560" s="6" t="s">
        <v>2186</v>
      </c>
      <c r="M560" s="6">
        <f>INDEX(医院2县区2人!$B$2:$B$1048576,MATCH(L560,医院2县区2人!$A$2:$A$1048576,0))</f>
        <v>1</v>
      </c>
      <c r="N560" s="6" t="str">
        <f>INDEX(医院2县区2人!$C$2:$C$1048576,MATCH(L560,医院2县区2人!$A$2:$A$1048576,0))</f>
        <v>1859</v>
      </c>
      <c r="P560" s="7">
        <v>43274.745520833334</v>
      </c>
      <c r="Q560" s="6">
        <v>30</v>
      </c>
      <c r="R560" s="6">
        <v>13.4</v>
      </c>
      <c r="S560" s="6" t="s">
        <v>3055</v>
      </c>
      <c r="T560" s="6" t="str">
        <f>INDEX(医院2县区2人!$D$2:$D$1048576,MATCH(L560,医院2县区2人!$A$2:$A$1048576,0))</f>
        <v>201602151421097</v>
      </c>
      <c r="W560" s="6" t="str">
        <f t="shared" si="19"/>
        <v>维生素C咀嚼片/VC片0.1g*30片</v>
      </c>
      <c r="X560" s="6" t="s">
        <v>2890</v>
      </c>
    </row>
    <row r="561" spans="1:24" x14ac:dyDescent="0.15">
      <c r="A561" s="7" t="str">
        <f t="shared" si="20"/>
        <v>201806</v>
      </c>
      <c r="C561" s="6" t="str">
        <f>INDEX(工厂基础数据!$A$2:$A$1024,MATCH(X561,工厂基础数据!$D$2:$D$1024,0))</f>
        <v>02025767</v>
      </c>
      <c r="E561" s="6" t="str">
        <f>INDEX(工厂基础数据!$B$2:$B$1024,MATCH(X561,工厂基础数据!$D$2:$D$1024,0))</f>
        <v>滨州市仁信医药有限公司</v>
      </c>
      <c r="F561" s="6">
        <f>INDEX(商业2转码!$B$2:$B$10000,MATCH(E561,商业2转码!$A$2:$A$10000,0))</f>
        <v>0</v>
      </c>
      <c r="G561" s="6" t="str">
        <f>INDEX(品种2编码!$A$2:$A$1048576,MATCH(W561,品种2编码!$D$2:$D$1048576,0))</f>
        <v>0020070001ZYZC0369</v>
      </c>
      <c r="H561" s="6" t="s">
        <v>1849</v>
      </c>
      <c r="I561" s="6" t="s">
        <v>411</v>
      </c>
      <c r="J561" s="6" t="s">
        <v>3038</v>
      </c>
      <c r="L561" s="6" t="s">
        <v>2186</v>
      </c>
      <c r="M561" s="6">
        <f>INDEX(医院2县区2人!$B$2:$B$1048576,MATCH(L561,医院2县区2人!$A$2:$A$1048576,0))</f>
        <v>1</v>
      </c>
      <c r="N561" s="6" t="str">
        <f>INDEX(医院2县区2人!$C$2:$C$1048576,MATCH(L561,医院2县区2人!$A$2:$A$1048576,0))</f>
        <v>1859</v>
      </c>
      <c r="P561" s="7">
        <v>43274.745532407411</v>
      </c>
      <c r="Q561" s="6">
        <v>6</v>
      </c>
      <c r="R561" s="6">
        <v>18</v>
      </c>
      <c r="S561" s="6">
        <v>1803014</v>
      </c>
      <c r="T561" s="6" t="str">
        <f>INDEX(医院2县区2人!$D$2:$D$1048576,MATCH(L561,医院2县区2人!$A$2:$A$1048576,0))</f>
        <v>201602151421097</v>
      </c>
      <c r="W561" s="6" t="str">
        <f t="shared" si="19"/>
        <v>哈药牌钙铁锌口服液10ml*12支</v>
      </c>
      <c r="X561" s="6" t="s">
        <v>2890</v>
      </c>
    </row>
    <row r="562" spans="1:24" x14ac:dyDescent="0.15">
      <c r="A562" s="7" t="str">
        <f t="shared" si="20"/>
        <v>201806</v>
      </c>
      <c r="C562" s="6" t="str">
        <f>INDEX(工厂基础数据!$A$2:$A$1024,MATCH(X562,工厂基础数据!$D$2:$D$1024,0))</f>
        <v>02025767</v>
      </c>
      <c r="E562" s="6" t="str">
        <f>INDEX(工厂基础数据!$B$2:$B$1024,MATCH(X562,工厂基础数据!$D$2:$D$1024,0))</f>
        <v>滨州市仁信医药有限公司</v>
      </c>
      <c r="F562" s="6">
        <f>INDEX(商业2转码!$B$2:$B$10000,MATCH(E562,商业2转码!$A$2:$A$10000,0))</f>
        <v>0</v>
      </c>
      <c r="G562" s="6" t="str">
        <f>INDEX(品种2编码!$A$2:$A$1048576,MATCH(W562,品种2编码!$D$2:$D$1048576,0))</f>
        <v>0020030001SJZY0009</v>
      </c>
      <c r="H562" s="6" t="s">
        <v>555</v>
      </c>
      <c r="I562" s="6" t="s">
        <v>1889</v>
      </c>
      <c r="J562" s="6" t="s">
        <v>3039</v>
      </c>
      <c r="L562" s="6" t="s">
        <v>2186</v>
      </c>
      <c r="M562" s="6">
        <f>INDEX(医院2县区2人!$B$2:$B$1048576,MATCH(L562,医院2县区2人!$A$2:$A$1048576,0))</f>
        <v>1</v>
      </c>
      <c r="N562" s="6" t="str">
        <f>INDEX(医院2县区2人!$C$2:$C$1048576,MATCH(L562,医院2县区2人!$A$2:$A$1048576,0))</f>
        <v>1859</v>
      </c>
      <c r="P562" s="7">
        <v>43274.74554398148</v>
      </c>
      <c r="Q562" s="6">
        <v>17</v>
      </c>
      <c r="R562" s="6">
        <v>25</v>
      </c>
      <c r="S562" s="6">
        <v>18031227</v>
      </c>
      <c r="T562" s="6" t="str">
        <f>INDEX(医院2县区2人!$D$2:$D$1048576,MATCH(L562,医院2县区2人!$A$2:$A$1048576,0))</f>
        <v>201602151421097</v>
      </c>
      <c r="W562" s="6" t="str">
        <f t="shared" si="19"/>
        <v>葡萄糖酸锌口服液10ML*12支</v>
      </c>
      <c r="X562" s="6" t="s">
        <v>2890</v>
      </c>
    </row>
    <row r="563" spans="1:24" x14ac:dyDescent="0.15">
      <c r="A563" s="7" t="str">
        <f t="shared" si="20"/>
        <v>201806</v>
      </c>
      <c r="C563" s="6" t="str">
        <f>INDEX(工厂基础数据!$A$2:$A$1024,MATCH(X563,工厂基础数据!$D$2:$D$1024,0))</f>
        <v>02025767</v>
      </c>
      <c r="E563" s="6" t="str">
        <f>INDEX(工厂基础数据!$B$2:$B$1024,MATCH(X563,工厂基础数据!$D$2:$D$1024,0))</f>
        <v>滨州市仁信医药有限公司</v>
      </c>
      <c r="F563" s="6">
        <f>INDEX(商业2转码!$B$2:$B$10000,MATCH(E563,商业2转码!$A$2:$A$10000,0))</f>
        <v>0</v>
      </c>
      <c r="G563" s="6" t="str">
        <f>INDEX(品种2编码!$A$2:$A$1048576,MATCH(W563,品种2编码!$D$2:$D$1048576,0))</f>
        <v>0020030020SJSC0004</v>
      </c>
      <c r="H563" s="6" t="s">
        <v>1907</v>
      </c>
      <c r="I563" s="6" t="s">
        <v>1871</v>
      </c>
      <c r="J563" s="6" t="s">
        <v>3045</v>
      </c>
      <c r="L563" s="6" t="s">
        <v>2186</v>
      </c>
      <c r="M563" s="6">
        <f>INDEX(医院2县区2人!$B$2:$B$1048576,MATCH(L563,医院2县区2人!$A$2:$A$1048576,0))</f>
        <v>1</v>
      </c>
      <c r="N563" s="6" t="str">
        <f>INDEX(医院2县区2人!$C$2:$C$1048576,MATCH(L563,医院2县区2人!$A$2:$A$1048576,0))</f>
        <v>1859</v>
      </c>
      <c r="P563" s="7">
        <v>43274.745520833334</v>
      </c>
      <c r="Q563" s="6">
        <v>10</v>
      </c>
      <c r="R563" s="6">
        <v>12.5</v>
      </c>
      <c r="S563" s="6">
        <v>1803006</v>
      </c>
      <c r="T563" s="6" t="str">
        <f>INDEX(医院2县区2人!$D$2:$D$1048576,MATCH(L563,医院2县区2人!$A$2:$A$1048576,0))</f>
        <v>201602151421097</v>
      </c>
      <c r="W563" s="6" t="str">
        <f t="shared" si="19"/>
        <v>胃必治/复方铝酸铋片50片</v>
      </c>
      <c r="X563" s="6" t="s">
        <v>2890</v>
      </c>
    </row>
    <row r="564" spans="1:24" x14ac:dyDescent="0.15">
      <c r="A564" s="7" t="str">
        <f t="shared" si="20"/>
        <v>201806</v>
      </c>
      <c r="C564" s="6" t="str">
        <f>INDEX(工厂基础数据!$A$2:$A$1024,MATCH(X564,工厂基础数据!$D$2:$D$1024,0))</f>
        <v>02025767</v>
      </c>
      <c r="E564" s="6" t="str">
        <f>INDEX(工厂基础数据!$B$2:$B$1024,MATCH(X564,工厂基础数据!$D$2:$D$1024,0))</f>
        <v>滨州市仁信医药有限公司</v>
      </c>
      <c r="F564" s="6">
        <f>INDEX(商业2转码!$B$2:$B$10000,MATCH(E564,商业2转码!$A$2:$A$10000,0))</f>
        <v>0</v>
      </c>
      <c r="G564" s="6" t="str">
        <f>INDEX(品种2编码!$A$2:$A$1048576,MATCH(W564,品种2编码!$D$2:$D$1048576,0))</f>
        <v>0020030001SJZY0006</v>
      </c>
      <c r="H564" s="6" t="s">
        <v>1888</v>
      </c>
      <c r="I564" s="6" t="s">
        <v>411</v>
      </c>
      <c r="J564" s="6" t="s">
        <v>3040</v>
      </c>
      <c r="L564" s="6" t="s">
        <v>2186</v>
      </c>
      <c r="M564" s="6">
        <f>INDEX(医院2县区2人!$B$2:$B$1048576,MATCH(L564,医院2县区2人!$A$2:$A$1048576,0))</f>
        <v>1</v>
      </c>
      <c r="N564" s="6" t="str">
        <f>INDEX(医院2县区2人!$C$2:$C$1048576,MATCH(L564,医院2县区2人!$A$2:$A$1048576,0))</f>
        <v>1859</v>
      </c>
      <c r="P564" s="7">
        <v>43274.74554398148</v>
      </c>
      <c r="Q564" s="6">
        <v>40</v>
      </c>
      <c r="R564" s="6">
        <v>25</v>
      </c>
      <c r="S564" s="6">
        <v>17071042</v>
      </c>
      <c r="T564" s="6" t="str">
        <f>INDEX(医院2县区2人!$D$2:$D$1048576,MATCH(L564,医院2县区2人!$A$2:$A$1048576,0))</f>
        <v>201602151421097</v>
      </c>
      <c r="W564" s="6" t="str">
        <f t="shared" si="19"/>
        <v>葡萄糖酸钙口服溶液（含糖）10ml*12支</v>
      </c>
      <c r="X564" s="6" t="s">
        <v>2890</v>
      </c>
    </row>
    <row r="565" spans="1:24" x14ac:dyDescent="0.15">
      <c r="A565" s="7" t="str">
        <f t="shared" si="20"/>
        <v>201806</v>
      </c>
      <c r="C565" s="6" t="str">
        <f>INDEX(工厂基础数据!$A$2:$A$1024,MATCH(X565,工厂基础数据!$D$2:$D$1024,0))</f>
        <v>02025767</v>
      </c>
      <c r="E565" s="6" t="str">
        <f>INDEX(工厂基础数据!$B$2:$B$1024,MATCH(X565,工厂基础数据!$D$2:$D$1024,0))</f>
        <v>滨州市仁信医药有限公司</v>
      </c>
      <c r="F565" s="6">
        <f>INDEX(商业2转码!$B$2:$B$10000,MATCH(E565,商业2转码!$A$2:$A$10000,0))</f>
        <v>0</v>
      </c>
      <c r="G565" s="6" t="str">
        <f>INDEX(品种2编码!$A$2:$A$1048576,MATCH(W565,品种2编码!$D$2:$D$1048576,0))</f>
        <v>0020040220SHYT0004</v>
      </c>
      <c r="H565" s="6" t="s">
        <v>1857</v>
      </c>
      <c r="I565" s="6" t="s">
        <v>1893</v>
      </c>
      <c r="J565" s="6" t="s">
        <v>3037</v>
      </c>
      <c r="L565" s="6" t="s">
        <v>2186</v>
      </c>
      <c r="M565" s="6">
        <f>INDEX(医院2县区2人!$B$2:$B$1048576,MATCH(L565,医院2县区2人!$A$2:$A$1048576,0))</f>
        <v>1</v>
      </c>
      <c r="N565" s="6" t="str">
        <f>INDEX(医院2县区2人!$C$2:$C$1048576,MATCH(L565,医院2县区2人!$A$2:$A$1048576,0))</f>
        <v>1859</v>
      </c>
      <c r="P565" s="7">
        <v>43274.74554398148</v>
      </c>
      <c r="Q565" s="6">
        <v>30</v>
      </c>
      <c r="R565" s="6">
        <v>17</v>
      </c>
      <c r="S565" s="6">
        <v>1612412</v>
      </c>
      <c r="T565" s="6" t="str">
        <f>INDEX(医院2县区2人!$D$2:$D$1048576,MATCH(L565,医院2县区2人!$A$2:$A$1048576,0))</f>
        <v>201602151421097</v>
      </c>
      <c r="W565" s="6" t="str">
        <f t="shared" si="19"/>
        <v>妇宁栓1.6g*8枚</v>
      </c>
      <c r="X565" s="6" t="s">
        <v>2890</v>
      </c>
    </row>
    <row r="566" spans="1:24" x14ac:dyDescent="0.15">
      <c r="A566" s="7" t="str">
        <f t="shared" si="20"/>
        <v>201806</v>
      </c>
      <c r="C566" s="6" t="str">
        <f>INDEX(工厂基础数据!$A$2:$A$1024,MATCH(X566,工厂基础数据!$D$2:$D$1024,0))</f>
        <v>02025767</v>
      </c>
      <c r="E566" s="6" t="str">
        <f>INDEX(工厂基础数据!$B$2:$B$1024,MATCH(X566,工厂基础数据!$D$2:$D$1024,0))</f>
        <v>滨州市仁信医药有限公司</v>
      </c>
      <c r="F566" s="6">
        <f>INDEX(商业2转码!$B$2:$B$10000,MATCH(E566,商业2转码!$A$2:$A$10000,0))</f>
        <v>0</v>
      </c>
      <c r="G566" s="6" t="str">
        <f>INDEX(品种2编码!$A$2:$A$1048576,MATCH(W566,品种2编码!$D$2:$D$1048576,0))</f>
        <v>0020030020ZYLC0010</v>
      </c>
      <c r="H566" s="6" t="s">
        <v>1883</v>
      </c>
      <c r="I566" s="6" t="s">
        <v>1839</v>
      </c>
      <c r="J566" s="6" t="s">
        <v>3036</v>
      </c>
      <c r="L566" s="6" t="s">
        <v>2379</v>
      </c>
      <c r="M566" s="6">
        <f>INDEX(医院2县区2人!$B$2:$B$1048576,MATCH(L566,医院2县区2人!$A$2:$A$1048576,0))</f>
        <v>2</v>
      </c>
      <c r="N566" s="6" t="str">
        <f>INDEX(医院2县区2人!$C$2:$C$1048576,MATCH(L566,医院2县区2人!$A$2:$A$1048576,0))</f>
        <v>1854</v>
      </c>
      <c r="P566" s="7">
        <v>43271.726319444446</v>
      </c>
      <c r="Q566" s="6">
        <v>20</v>
      </c>
      <c r="R566" s="6">
        <v>3.7</v>
      </c>
      <c r="S566" s="6">
        <v>180136</v>
      </c>
      <c r="T566" s="6" t="str">
        <f>INDEX(医院2县区2人!$D$2:$D$1048576,MATCH(L566,医院2县区2人!$A$2:$A$1048576,0))</f>
        <v>201602151421097</v>
      </c>
      <c r="W566" s="6" t="str">
        <f t="shared" si="19"/>
        <v>“为消”牌乳酸菌素片0.4g*36片</v>
      </c>
      <c r="X566" s="6" t="s">
        <v>2890</v>
      </c>
    </row>
    <row r="567" spans="1:24" x14ac:dyDescent="0.15">
      <c r="A567" s="7" t="str">
        <f t="shared" si="20"/>
        <v>201806</v>
      </c>
      <c r="C567" s="6" t="str">
        <f>INDEX(工厂基础数据!$A$2:$A$1024,MATCH(X567,工厂基础数据!$D$2:$D$1024,0))</f>
        <v>02025767</v>
      </c>
      <c r="E567" s="6" t="str">
        <f>INDEX(工厂基础数据!$B$2:$B$1024,MATCH(X567,工厂基础数据!$D$2:$D$1024,0))</f>
        <v>滨州市仁信医药有限公司</v>
      </c>
      <c r="F567" s="6">
        <f>INDEX(商业2转码!$B$2:$B$10000,MATCH(E567,商业2转码!$A$2:$A$10000,0))</f>
        <v>0</v>
      </c>
      <c r="G567" s="6" t="str">
        <f>INDEX(品种2编码!$A$2:$A$1048576,MATCH(W567,品种2编码!$D$2:$D$1048576,0))</f>
        <v>0020020020ZYLC0010</v>
      </c>
      <c r="H567" s="6" t="s">
        <v>1877</v>
      </c>
      <c r="I567" s="6" t="s">
        <v>1878</v>
      </c>
      <c r="J567" s="6" t="s">
        <v>3036</v>
      </c>
      <c r="L567" s="6" t="s">
        <v>3021</v>
      </c>
      <c r="M567" s="6" t="e">
        <f>INDEX(医院2县区2人!$B$2:$B$1048576,MATCH(L567,医院2县区2人!$A$2:$A$1048576,0))</f>
        <v>#N/A</v>
      </c>
      <c r="N567" s="6" t="e">
        <f>INDEX(医院2县区2人!$C$2:$C$1048576,MATCH(L567,医院2县区2人!$A$2:$A$1048576,0))</f>
        <v>#N/A</v>
      </c>
      <c r="P567" s="7">
        <v>43271.726168981484</v>
      </c>
      <c r="Q567" s="6">
        <v>10</v>
      </c>
      <c r="R567" s="6">
        <v>3.5</v>
      </c>
      <c r="S567" s="6">
        <v>180401</v>
      </c>
      <c r="T567" s="6" t="e">
        <f>INDEX(医院2县区2人!$D$2:$D$1048576,MATCH(L567,医院2县区2人!$A$2:$A$1048576,0))</f>
        <v>#N/A</v>
      </c>
      <c r="W567" s="6" t="str">
        <f t="shared" si="19"/>
        <v xml:space="preserve">泻利停/颠茄磺苄啶片0.48g*10片 </v>
      </c>
      <c r="X567" s="6" t="s">
        <v>2890</v>
      </c>
    </row>
    <row r="568" spans="1:24" x14ac:dyDescent="0.15">
      <c r="A568" s="7" t="str">
        <f t="shared" si="20"/>
        <v>201806</v>
      </c>
      <c r="C568" s="6" t="str">
        <f>INDEX(工厂基础数据!$A$2:$A$1024,MATCH(X568,工厂基础数据!$D$2:$D$1024,0))</f>
        <v>02025767</v>
      </c>
      <c r="E568" s="6" t="str">
        <f>INDEX(工厂基础数据!$B$2:$B$1024,MATCH(X568,工厂基础数据!$D$2:$D$1024,0))</f>
        <v>滨州市仁信医药有限公司</v>
      </c>
      <c r="F568" s="6">
        <f>INDEX(商业2转码!$B$2:$B$10000,MATCH(E568,商业2转码!$A$2:$A$10000,0))</f>
        <v>0</v>
      </c>
      <c r="G568" s="6" t="str">
        <f>INDEX(品种2编码!$A$2:$A$1048576,MATCH(W568,品种2编码!$D$2:$D$1048576,0))</f>
        <v>0020020020ZYLC0010</v>
      </c>
      <c r="H568" s="6" t="s">
        <v>1877</v>
      </c>
      <c r="I568" s="6" t="s">
        <v>1878</v>
      </c>
      <c r="J568" s="6" t="s">
        <v>3036</v>
      </c>
      <c r="L568" s="6" t="s">
        <v>2354</v>
      </c>
      <c r="M568" s="6">
        <f>INDEX(医院2县区2人!$B$2:$B$1048576,MATCH(L568,医院2县区2人!$A$2:$A$1048576,0))</f>
        <v>2</v>
      </c>
      <c r="N568" s="6" t="str">
        <f>INDEX(医院2县区2人!$C$2:$C$1048576,MATCH(L568,医院2县区2人!$A$2:$A$1048576,0))</f>
        <v>1855</v>
      </c>
      <c r="P568" s="7">
        <v>43271.726157407407</v>
      </c>
      <c r="Q568" s="6">
        <v>5</v>
      </c>
      <c r="R568" s="6">
        <v>3.5</v>
      </c>
      <c r="S568" s="6">
        <v>180401</v>
      </c>
      <c r="T568" s="6" t="str">
        <f>INDEX(医院2县区2人!$D$2:$D$1048576,MATCH(L568,医院2县区2人!$A$2:$A$1048576,0))</f>
        <v>201602151421097</v>
      </c>
      <c r="W568" s="6" t="str">
        <f t="shared" si="19"/>
        <v xml:space="preserve">泻利停/颠茄磺苄啶片0.48g*10片 </v>
      </c>
      <c r="X568" s="6" t="s">
        <v>2890</v>
      </c>
    </row>
    <row r="569" spans="1:24" x14ac:dyDescent="0.15">
      <c r="A569" s="7" t="str">
        <f t="shared" si="20"/>
        <v>201806</v>
      </c>
      <c r="C569" s="6" t="str">
        <f>INDEX(工厂基础数据!$A$2:$A$1024,MATCH(X569,工厂基础数据!$D$2:$D$1024,0))</f>
        <v>02025767</v>
      </c>
      <c r="E569" s="6" t="str">
        <f>INDEX(工厂基础数据!$B$2:$B$1024,MATCH(X569,工厂基础数据!$D$2:$D$1024,0))</f>
        <v>滨州市仁信医药有限公司</v>
      </c>
      <c r="F569" s="6">
        <f>INDEX(商业2转码!$B$2:$B$10000,MATCH(E569,商业2转码!$A$2:$A$10000,0))</f>
        <v>0</v>
      </c>
      <c r="G569" s="6" t="str">
        <f>INDEX(品种2编码!$A$2:$A$1048576,MATCH(W569,品种2编码!$D$2:$D$1048576,0))</f>
        <v>0020020021ZYLC0011</v>
      </c>
      <c r="H569" s="6" t="s">
        <v>1890</v>
      </c>
      <c r="I569" s="6" t="s">
        <v>1891</v>
      </c>
      <c r="J569" s="6" t="s">
        <v>3036</v>
      </c>
      <c r="L569" s="6" t="s">
        <v>2192</v>
      </c>
      <c r="M569" s="6">
        <f>INDEX(医院2县区2人!$B$2:$B$1048576,MATCH(L569,医院2县区2人!$A$2:$A$1048576,0))</f>
        <v>2</v>
      </c>
      <c r="N569" s="6" t="str">
        <f>INDEX(医院2县区2人!$C$2:$C$1048576,MATCH(L569,医院2县区2人!$A$2:$A$1048576,0))</f>
        <v>1856</v>
      </c>
      <c r="P569" s="7">
        <v>43273.753437500003</v>
      </c>
      <c r="Q569" s="6">
        <v>20</v>
      </c>
      <c r="R569" s="6">
        <v>6</v>
      </c>
      <c r="S569" s="6">
        <v>161001</v>
      </c>
      <c r="T569" s="6" t="str">
        <f>INDEX(医院2县区2人!$D$2:$D$1048576,MATCH(L569,医院2县区2人!$A$2:$A$1048576,0))</f>
        <v>201602151421097</v>
      </c>
      <c r="W569" s="6" t="str">
        <f t="shared" si="19"/>
        <v>严迪/罗红霉素分散片150mg*12片</v>
      </c>
      <c r="X569" s="6" t="s">
        <v>2890</v>
      </c>
    </row>
    <row r="570" spans="1:24" x14ac:dyDescent="0.15">
      <c r="A570" s="7" t="str">
        <f t="shared" si="20"/>
        <v>201806</v>
      </c>
      <c r="C570" s="6" t="str">
        <f>INDEX(工厂基础数据!$A$2:$A$1024,MATCH(X570,工厂基础数据!$D$2:$D$1024,0))</f>
        <v>02025767</v>
      </c>
      <c r="E570" s="6" t="str">
        <f>INDEX(工厂基础数据!$B$2:$B$1024,MATCH(X570,工厂基础数据!$D$2:$D$1024,0))</f>
        <v>滨州市仁信医药有限公司</v>
      </c>
      <c r="F570" s="6">
        <f>INDEX(商业2转码!$B$2:$B$10000,MATCH(E570,商业2转码!$A$2:$A$10000,0))</f>
        <v>0</v>
      </c>
      <c r="G570" s="6" t="str">
        <f>INDEX(品种2编码!$A$2:$A$1048576,MATCH(W570,品种2编码!$D$2:$D$1048576,0))</f>
        <v>0020020021ZYZC0341</v>
      </c>
      <c r="H570" s="6" t="s">
        <v>1936</v>
      </c>
      <c r="I570" s="6" t="s">
        <v>279</v>
      </c>
      <c r="J570" s="6" t="s">
        <v>3042</v>
      </c>
      <c r="L570" s="6" t="s">
        <v>2213</v>
      </c>
      <c r="M570" s="6">
        <f>INDEX(医院2县区2人!$B$2:$B$1048576,MATCH(L570,医院2县区2人!$A$2:$A$1048576,0))</f>
        <v>4</v>
      </c>
      <c r="N570" s="6" t="str">
        <f>INDEX(医院2县区2人!$C$2:$C$1048576,MATCH(L570,医院2县区2人!$A$2:$A$1048576,0))</f>
        <v>1857</v>
      </c>
      <c r="P570" s="7">
        <v>43273.753587962965</v>
      </c>
      <c r="Q570" s="6">
        <v>5</v>
      </c>
      <c r="R570" s="6">
        <v>13</v>
      </c>
      <c r="S570" s="6" t="s">
        <v>3049</v>
      </c>
      <c r="T570" s="6" t="str">
        <f>INDEX(医院2县区2人!$D$2:$D$1048576,MATCH(L570,医院2县区2人!$A$2:$A$1048576,0))</f>
        <v>201602151421097</v>
      </c>
      <c r="W570" s="6" t="str">
        <f t="shared" si="19"/>
        <v>阿莫西林克拉维酸钾分散片0.2285g*12片</v>
      </c>
      <c r="X570" s="6" t="s">
        <v>2890</v>
      </c>
    </row>
    <row r="571" spans="1:24" x14ac:dyDescent="0.15">
      <c r="A571" s="7" t="str">
        <f t="shared" si="20"/>
        <v>201806</v>
      </c>
      <c r="C571" s="6" t="str">
        <f>INDEX(工厂基础数据!$A$2:$A$1024,MATCH(X571,工厂基础数据!$D$2:$D$1024,0))</f>
        <v>02025767</v>
      </c>
      <c r="E571" s="6" t="str">
        <f>INDEX(工厂基础数据!$B$2:$B$1024,MATCH(X571,工厂基础数据!$D$2:$D$1024,0))</f>
        <v>滨州市仁信医药有限公司</v>
      </c>
      <c r="F571" s="6">
        <f>INDEX(商业2转码!$B$2:$B$10000,MATCH(E571,商业2转码!$A$2:$A$10000,0))</f>
        <v>0</v>
      </c>
      <c r="G571" s="6" t="str">
        <f>INDEX(品种2编码!$A$2:$A$1048576,MATCH(W571,品种2编码!$D$2:$D$1048576,0))</f>
        <v>0020070001ZYZC0383</v>
      </c>
      <c r="H571" s="6" t="s">
        <v>1849</v>
      </c>
      <c r="I571" s="6" t="s">
        <v>1850</v>
      </c>
      <c r="J571" s="6" t="s">
        <v>3038</v>
      </c>
      <c r="L571" s="6" t="s">
        <v>2213</v>
      </c>
      <c r="M571" s="6">
        <f>INDEX(医院2县区2人!$B$2:$B$1048576,MATCH(L571,医院2县区2人!$A$2:$A$1048576,0))</f>
        <v>4</v>
      </c>
      <c r="N571" s="6" t="str">
        <f>INDEX(医院2县区2人!$C$2:$C$1048576,MATCH(L571,医院2县区2人!$A$2:$A$1048576,0))</f>
        <v>1857</v>
      </c>
      <c r="P571" s="7">
        <v>43273.753587962965</v>
      </c>
      <c r="Q571" s="6">
        <v>5</v>
      </c>
      <c r="R571" s="6">
        <v>15</v>
      </c>
      <c r="S571" s="6">
        <v>1801107</v>
      </c>
      <c r="T571" s="6" t="str">
        <f>INDEX(医院2县区2人!$D$2:$D$1048576,MATCH(L571,医院2县区2人!$A$2:$A$1048576,0))</f>
        <v>201602151421097</v>
      </c>
      <c r="W571" s="6" t="str">
        <f t="shared" si="19"/>
        <v>哈药牌钙铁锌口服液10ml*10支</v>
      </c>
      <c r="X571" s="6" t="s">
        <v>2890</v>
      </c>
    </row>
    <row r="572" spans="1:24" x14ac:dyDescent="0.15">
      <c r="A572" s="7" t="str">
        <f t="shared" si="20"/>
        <v>201806</v>
      </c>
      <c r="C572" s="6" t="str">
        <f>INDEX(工厂基础数据!$A$2:$A$1024,MATCH(X572,工厂基础数据!$D$2:$D$1024,0))</f>
        <v>02025767</v>
      </c>
      <c r="E572" s="6" t="str">
        <f>INDEX(工厂基础数据!$B$2:$B$1024,MATCH(X572,工厂基础数据!$D$2:$D$1024,0))</f>
        <v>滨州市仁信医药有限公司</v>
      </c>
      <c r="F572" s="6">
        <f>INDEX(商业2转码!$B$2:$B$10000,MATCH(E572,商业2转码!$A$2:$A$10000,0))</f>
        <v>0</v>
      </c>
      <c r="G572" s="6" t="str">
        <f>INDEX(品种2编码!$A$2:$A$1048576,MATCH(W572,品种2编码!$D$2:$D$1048576,0))</f>
        <v>0020020020ZYLC0010</v>
      </c>
      <c r="H572" s="6" t="s">
        <v>1877</v>
      </c>
      <c r="I572" s="6" t="s">
        <v>1878</v>
      </c>
      <c r="J572" s="6" t="s">
        <v>3036</v>
      </c>
      <c r="L572" s="6" t="s">
        <v>2325</v>
      </c>
      <c r="M572" s="6">
        <f>INDEX(医院2县区2人!$B$2:$B$1048576,MATCH(L572,医院2县区2人!$A$2:$A$1048576,0))</f>
        <v>2</v>
      </c>
      <c r="N572" s="6" t="str">
        <f>INDEX(医院2县区2人!$C$2:$C$1048576,MATCH(L572,医院2县区2人!$A$2:$A$1048576,0))</f>
        <v>1855</v>
      </c>
      <c r="P572" s="7">
        <v>43273.753298611111</v>
      </c>
      <c r="Q572" s="6">
        <v>10</v>
      </c>
      <c r="R572" s="6">
        <v>3.5</v>
      </c>
      <c r="S572" s="6">
        <v>180401</v>
      </c>
      <c r="T572" s="6" t="str">
        <f>INDEX(医院2县区2人!$D$2:$D$1048576,MATCH(L572,医院2县区2人!$A$2:$A$1048576,0))</f>
        <v>201602151421097</v>
      </c>
      <c r="W572" s="6" t="str">
        <f t="shared" si="19"/>
        <v xml:space="preserve">泻利停/颠茄磺苄啶片0.48g*10片 </v>
      </c>
      <c r="X572" s="6" t="s">
        <v>2890</v>
      </c>
    </row>
    <row r="573" spans="1:24" x14ac:dyDescent="0.15">
      <c r="A573" s="7" t="str">
        <f t="shared" si="20"/>
        <v>201806</v>
      </c>
      <c r="C573" s="6" t="str">
        <f>INDEX(工厂基础数据!$A$2:$A$1024,MATCH(X573,工厂基础数据!$D$2:$D$1024,0))</f>
        <v>02025767</v>
      </c>
      <c r="E573" s="6" t="str">
        <f>INDEX(工厂基础数据!$B$2:$B$1024,MATCH(X573,工厂基础数据!$D$2:$D$1024,0))</f>
        <v>滨州市仁信医药有限公司</v>
      </c>
      <c r="F573" s="6">
        <f>INDEX(商业2转码!$B$2:$B$10000,MATCH(E573,商业2转码!$A$2:$A$10000,0))</f>
        <v>0</v>
      </c>
      <c r="G573" s="6" t="str">
        <f>INDEX(品种2编码!$A$2:$A$1048576,MATCH(W573,品种2编码!$D$2:$D$1048576,0))</f>
        <v>0020020021ZYLC0004</v>
      </c>
      <c r="H573" s="6" t="s">
        <v>1899</v>
      </c>
      <c r="I573" s="6" t="s">
        <v>1869</v>
      </c>
      <c r="J573" s="6" t="s">
        <v>3036</v>
      </c>
      <c r="L573" s="6" t="s">
        <v>3022</v>
      </c>
      <c r="M573" s="6" t="e">
        <f>INDEX(医院2县区2人!$B$2:$B$1048576,MATCH(L573,医院2县区2人!$A$2:$A$1048576,0))</f>
        <v>#N/A</v>
      </c>
      <c r="N573" s="6" t="e">
        <f>INDEX(医院2县区2人!$C$2:$C$1048576,MATCH(L573,医院2县区2人!$A$2:$A$1048576,0))</f>
        <v>#N/A</v>
      </c>
      <c r="P573" s="7">
        <v>43273.753854166665</v>
      </c>
      <c r="Q573" s="6">
        <v>20</v>
      </c>
      <c r="R573" s="6">
        <v>8</v>
      </c>
      <c r="S573" s="6">
        <v>180201</v>
      </c>
      <c r="T573" s="6" t="e">
        <f>INDEX(医院2县区2人!$D$2:$D$1048576,MATCH(L573,医院2县区2人!$A$2:$A$1048576,0))</f>
        <v>#N/A</v>
      </c>
      <c r="W573" s="6" t="str">
        <f t="shared" si="19"/>
        <v>大严迪片/罗红霉素分散片75mg*12片</v>
      </c>
      <c r="X573" s="6" t="s">
        <v>2890</v>
      </c>
    </row>
    <row r="574" spans="1:24" x14ac:dyDescent="0.15">
      <c r="A574" s="7" t="str">
        <f t="shared" si="20"/>
        <v>201806</v>
      </c>
      <c r="C574" s="6" t="str">
        <f>INDEX(工厂基础数据!$A$2:$A$1024,MATCH(X574,工厂基础数据!$D$2:$D$1024,0))</f>
        <v>02025767</v>
      </c>
      <c r="E574" s="6" t="str">
        <f>INDEX(工厂基础数据!$B$2:$B$1024,MATCH(X574,工厂基础数据!$D$2:$D$1024,0))</f>
        <v>滨州市仁信医药有限公司</v>
      </c>
      <c r="F574" s="6">
        <f>INDEX(商业2转码!$B$2:$B$10000,MATCH(E574,商业2转码!$A$2:$A$10000,0))</f>
        <v>0</v>
      </c>
      <c r="G574" s="6" t="str">
        <f>INDEX(品种2编码!$A$2:$A$1048576,MATCH(W574,品种2编码!$D$2:$D$1048576,0))</f>
        <v>0020020021ZYLC0005</v>
      </c>
      <c r="H574" s="6" t="s">
        <v>1920</v>
      </c>
      <c r="I574" s="6" t="s">
        <v>1841</v>
      </c>
      <c r="J574" s="6" t="s">
        <v>3036</v>
      </c>
      <c r="L574" s="6" t="s">
        <v>3022</v>
      </c>
      <c r="M574" s="6" t="e">
        <f>INDEX(医院2县区2人!$B$2:$B$1048576,MATCH(L574,医院2县区2人!$A$2:$A$1048576,0))</f>
        <v>#N/A</v>
      </c>
      <c r="N574" s="6" t="e">
        <f>INDEX(医院2县区2人!$C$2:$C$1048576,MATCH(L574,医院2县区2人!$A$2:$A$1048576,0))</f>
        <v>#N/A</v>
      </c>
      <c r="P574" s="7">
        <v>43273.753865740742</v>
      </c>
      <c r="Q574" s="6">
        <v>20</v>
      </c>
      <c r="R574" s="6">
        <v>4</v>
      </c>
      <c r="S574" s="6">
        <v>180201</v>
      </c>
      <c r="T574" s="6" t="e">
        <f>INDEX(医院2县区2人!$D$2:$D$1048576,MATCH(L574,医院2县区2人!$A$2:$A$1048576,0))</f>
        <v>#N/A</v>
      </c>
      <c r="W574" s="6" t="str">
        <f t="shared" si="19"/>
        <v>小儿严迪片/罗红霉素分散片50mg*12片</v>
      </c>
      <c r="X574" s="6" t="s">
        <v>2890</v>
      </c>
    </row>
    <row r="575" spans="1:24" x14ac:dyDescent="0.15">
      <c r="A575" s="7" t="str">
        <f t="shared" si="20"/>
        <v>201806</v>
      </c>
      <c r="C575" s="6" t="str">
        <f>INDEX(工厂基础数据!$A$2:$A$1024,MATCH(X575,工厂基础数据!$D$2:$D$1024,0))</f>
        <v>02025767</v>
      </c>
      <c r="E575" s="6" t="str">
        <f>INDEX(工厂基础数据!$B$2:$B$1024,MATCH(X575,工厂基础数据!$D$2:$D$1024,0))</f>
        <v>滨州市仁信医药有限公司</v>
      </c>
      <c r="F575" s="6">
        <f>INDEX(商业2转码!$B$2:$B$10000,MATCH(E575,商业2转码!$A$2:$A$10000,0))</f>
        <v>0</v>
      </c>
      <c r="G575" s="6" t="str">
        <f>INDEX(品种2编码!$A$2:$A$1048576,MATCH(W575,品种2编码!$D$2:$D$1048576,0))</f>
        <v>0020030001SJZY0006</v>
      </c>
      <c r="H575" s="6" t="s">
        <v>1888</v>
      </c>
      <c r="I575" s="6" t="s">
        <v>411</v>
      </c>
      <c r="J575" s="6" t="s">
        <v>3040</v>
      </c>
      <c r="L575" s="6" t="s">
        <v>3022</v>
      </c>
      <c r="M575" s="6" t="e">
        <f>INDEX(医院2县区2人!$B$2:$B$1048576,MATCH(L575,医院2县区2人!$A$2:$A$1048576,0))</f>
        <v>#N/A</v>
      </c>
      <c r="N575" s="6" t="e">
        <f>INDEX(医院2县区2人!$C$2:$C$1048576,MATCH(L575,医院2县区2人!$A$2:$A$1048576,0))</f>
        <v>#N/A</v>
      </c>
      <c r="P575" s="7">
        <v>43273.753865740742</v>
      </c>
      <c r="Q575" s="6">
        <v>30</v>
      </c>
      <c r="R575" s="6">
        <v>25</v>
      </c>
      <c r="S575" s="6">
        <v>17071042</v>
      </c>
      <c r="T575" s="6" t="e">
        <f>INDEX(医院2县区2人!$D$2:$D$1048576,MATCH(L575,医院2县区2人!$A$2:$A$1048576,0))</f>
        <v>#N/A</v>
      </c>
      <c r="W575" s="6" t="str">
        <f t="shared" si="19"/>
        <v>葡萄糖酸钙口服溶液（含糖）10ml*12支</v>
      </c>
      <c r="X575" s="6" t="s">
        <v>2890</v>
      </c>
    </row>
    <row r="576" spans="1:24" x14ac:dyDescent="0.15">
      <c r="A576" s="7" t="str">
        <f t="shared" si="20"/>
        <v>201806</v>
      </c>
      <c r="C576" s="6" t="str">
        <f>INDEX(工厂基础数据!$A$2:$A$1024,MATCH(X576,工厂基础数据!$D$2:$D$1024,0))</f>
        <v>02025767</v>
      </c>
      <c r="E576" s="6" t="str">
        <f>INDEX(工厂基础数据!$B$2:$B$1024,MATCH(X576,工厂基础数据!$D$2:$D$1024,0))</f>
        <v>滨州市仁信医药有限公司</v>
      </c>
      <c r="F576" s="6">
        <f>INDEX(商业2转码!$B$2:$B$10000,MATCH(E576,商业2转码!$A$2:$A$10000,0))</f>
        <v>0</v>
      </c>
      <c r="G576" s="6" t="str">
        <f>INDEX(品种2编码!$A$2:$A$1048576,MATCH(W576,品种2编码!$D$2:$D$1048576,0))</f>
        <v>0020030001SJZY0006</v>
      </c>
      <c r="H576" s="6" t="s">
        <v>1888</v>
      </c>
      <c r="I576" s="6" t="s">
        <v>411</v>
      </c>
      <c r="J576" s="6" t="s">
        <v>3040</v>
      </c>
      <c r="L576" s="6" t="s">
        <v>2300</v>
      </c>
      <c r="M576" s="6">
        <f>INDEX(医院2县区2人!$B$2:$B$1048576,MATCH(L576,医院2县区2人!$A$2:$A$1048576,0))</f>
        <v>4</v>
      </c>
      <c r="N576" s="6" t="str">
        <f>INDEX(医院2县区2人!$C$2:$C$1048576,MATCH(L576,医院2县区2人!$A$2:$A$1048576,0))</f>
        <v>1857</v>
      </c>
      <c r="P576" s="7">
        <v>43273.753645833334</v>
      </c>
      <c r="Q576" s="6">
        <v>5</v>
      </c>
      <c r="R576" s="6">
        <v>25</v>
      </c>
      <c r="S576" s="6">
        <v>17071042</v>
      </c>
      <c r="T576" s="6" t="str">
        <f>INDEX(医院2县区2人!$D$2:$D$1048576,MATCH(L576,医院2县区2人!$A$2:$A$1048576,0))</f>
        <v>201602151421097</v>
      </c>
      <c r="W576" s="6" t="str">
        <f t="shared" si="19"/>
        <v>葡萄糖酸钙口服溶液（含糖）10ml*12支</v>
      </c>
      <c r="X576" s="6" t="s">
        <v>2890</v>
      </c>
    </row>
    <row r="577" spans="1:24" x14ac:dyDescent="0.15">
      <c r="A577" s="7" t="str">
        <f t="shared" si="20"/>
        <v>201806</v>
      </c>
      <c r="C577" s="6" t="str">
        <f>INDEX(工厂基础数据!$A$2:$A$1024,MATCH(X577,工厂基础数据!$D$2:$D$1024,0))</f>
        <v>02025767</v>
      </c>
      <c r="E577" s="6" t="str">
        <f>INDEX(工厂基础数据!$B$2:$B$1024,MATCH(X577,工厂基础数据!$D$2:$D$1024,0))</f>
        <v>滨州市仁信医药有限公司</v>
      </c>
      <c r="F577" s="6">
        <f>INDEX(商业2转码!$B$2:$B$10000,MATCH(E577,商业2转码!$A$2:$A$10000,0))</f>
        <v>0</v>
      </c>
      <c r="G577" s="6" t="str">
        <f>INDEX(品种2编码!$A$2:$A$1048576,MATCH(W577,品种2编码!$D$2:$D$1048576,0))</f>
        <v>0020030001SJZY0009</v>
      </c>
      <c r="H577" s="6" t="s">
        <v>555</v>
      </c>
      <c r="I577" s="6" t="s">
        <v>1889</v>
      </c>
      <c r="J577" s="6" t="s">
        <v>3039</v>
      </c>
      <c r="L577" s="6" t="s">
        <v>2300</v>
      </c>
      <c r="M577" s="6">
        <f>INDEX(医院2县区2人!$B$2:$B$1048576,MATCH(L577,医院2县区2人!$A$2:$A$1048576,0))</f>
        <v>4</v>
      </c>
      <c r="N577" s="6" t="str">
        <f>INDEX(医院2县区2人!$C$2:$C$1048576,MATCH(L577,医院2县区2人!$A$2:$A$1048576,0))</f>
        <v>1857</v>
      </c>
      <c r="P577" s="7">
        <v>43273.753657407404</v>
      </c>
      <c r="Q577" s="6">
        <v>5</v>
      </c>
      <c r="R577" s="6">
        <v>25</v>
      </c>
      <c r="S577" s="6">
        <v>18031227</v>
      </c>
      <c r="T577" s="6" t="str">
        <f>INDEX(医院2县区2人!$D$2:$D$1048576,MATCH(L577,医院2县区2人!$A$2:$A$1048576,0))</f>
        <v>201602151421097</v>
      </c>
      <c r="W577" s="6" t="str">
        <f t="shared" si="19"/>
        <v>葡萄糖酸锌口服液10ML*12支</v>
      </c>
      <c r="X577" s="6" t="s">
        <v>2890</v>
      </c>
    </row>
    <row r="578" spans="1:24" x14ac:dyDescent="0.15">
      <c r="A578" s="7" t="str">
        <f t="shared" si="20"/>
        <v>201806</v>
      </c>
      <c r="C578" s="6" t="str">
        <f>INDEX(工厂基础数据!$A$2:$A$1024,MATCH(X578,工厂基础数据!$D$2:$D$1024,0))</f>
        <v>02025767</v>
      </c>
      <c r="E578" s="6" t="str">
        <f>INDEX(工厂基础数据!$B$2:$B$1024,MATCH(X578,工厂基础数据!$D$2:$D$1024,0))</f>
        <v>滨州市仁信医药有限公司</v>
      </c>
      <c r="F578" s="6">
        <f>INDEX(商业2转码!$B$2:$B$10000,MATCH(E578,商业2转码!$A$2:$A$10000,0))</f>
        <v>0</v>
      </c>
      <c r="G578" s="6" t="str">
        <f>INDEX(品种2编码!$A$2:$A$1048576,MATCH(W578,品种2编码!$D$2:$D$1048576,0))</f>
        <v>0020100000ZYLC0012</v>
      </c>
      <c r="H578" s="6" t="s">
        <v>672</v>
      </c>
      <c r="I578" s="6" t="s">
        <v>1884</v>
      </c>
      <c r="J578" s="6" t="s">
        <v>3036</v>
      </c>
      <c r="L578" s="6" t="s">
        <v>2333</v>
      </c>
      <c r="M578" s="6">
        <f>INDEX(医院2县区2人!$B$2:$B$1048576,MATCH(L578,医院2县区2人!$A$2:$A$1048576,0))</f>
        <v>2</v>
      </c>
      <c r="N578" s="6" t="str">
        <f>INDEX(医院2县区2人!$C$2:$C$1048576,MATCH(L578,医院2县区2人!$A$2:$A$1048576,0))</f>
        <v>1854</v>
      </c>
      <c r="P578" s="7">
        <v>43273.753819444442</v>
      </c>
      <c r="Q578" s="6">
        <v>2</v>
      </c>
      <c r="R578" s="6">
        <v>9.1999999999999993</v>
      </c>
      <c r="S578" s="6">
        <v>20180104</v>
      </c>
      <c r="T578" s="6" t="str">
        <f>INDEX(医院2县区2人!$D$2:$D$1048576,MATCH(L578,医院2县区2人!$A$2:$A$1048576,0))</f>
        <v>201602151421097</v>
      </c>
      <c r="W578" s="6" t="str">
        <f t="shared" si="19"/>
        <v>退热贴40mm*110mm*2贴</v>
      </c>
      <c r="X578" s="6" t="s">
        <v>2890</v>
      </c>
    </row>
    <row r="579" spans="1:24" x14ac:dyDescent="0.15">
      <c r="A579" s="7" t="str">
        <f t="shared" si="20"/>
        <v>201806</v>
      </c>
      <c r="C579" s="6" t="str">
        <f>INDEX(工厂基础数据!$A$2:$A$1024,MATCH(X579,工厂基础数据!$D$2:$D$1024,0))</f>
        <v>02025767</v>
      </c>
      <c r="E579" s="6" t="str">
        <f>INDEX(工厂基础数据!$B$2:$B$1024,MATCH(X579,工厂基础数据!$D$2:$D$1024,0))</f>
        <v>滨州市仁信医药有限公司</v>
      </c>
      <c r="F579" s="6">
        <f>INDEX(商业2转码!$B$2:$B$10000,MATCH(E579,商业2转码!$A$2:$A$10000,0))</f>
        <v>0</v>
      </c>
      <c r="G579" s="6" t="str">
        <f>INDEX(品种2编码!$A$2:$A$1048576,MATCH(W579,品种2编码!$D$2:$D$1048576,0))</f>
        <v>0020030001SJZY0009</v>
      </c>
      <c r="H579" s="6" t="s">
        <v>555</v>
      </c>
      <c r="I579" s="6" t="s">
        <v>1889</v>
      </c>
      <c r="J579" s="6" t="s">
        <v>3039</v>
      </c>
      <c r="L579" s="6" t="s">
        <v>2351</v>
      </c>
      <c r="M579" s="6">
        <f>INDEX(医院2县区2人!$B$2:$B$1048576,MATCH(L579,医院2县区2人!$A$2:$A$1048576,0))</f>
        <v>2</v>
      </c>
      <c r="N579" s="6" t="str">
        <f>INDEX(医院2县区2人!$C$2:$C$1048576,MATCH(L579,医院2县区2人!$A$2:$A$1048576,0))</f>
        <v>1855</v>
      </c>
      <c r="P579" s="7">
        <v>43273.753472222219</v>
      </c>
      <c r="Q579" s="6">
        <v>10</v>
      </c>
      <c r="R579" s="6">
        <v>25</v>
      </c>
      <c r="S579" s="6">
        <v>18031227</v>
      </c>
      <c r="T579" s="6" t="str">
        <f>INDEX(医院2县区2人!$D$2:$D$1048576,MATCH(L579,医院2县区2人!$A$2:$A$1048576,0))</f>
        <v>201602151421097</v>
      </c>
      <c r="W579" s="6" t="str">
        <f t="shared" si="19"/>
        <v>葡萄糖酸锌口服液10ML*12支</v>
      </c>
      <c r="X579" s="6" t="s">
        <v>2890</v>
      </c>
    </row>
    <row r="580" spans="1:24" x14ac:dyDescent="0.15">
      <c r="A580" s="7" t="str">
        <f t="shared" si="20"/>
        <v>201806</v>
      </c>
      <c r="C580" s="6" t="str">
        <f>INDEX(工厂基础数据!$A$2:$A$1024,MATCH(X580,工厂基础数据!$D$2:$D$1024,0))</f>
        <v>02025767</v>
      </c>
      <c r="E580" s="6" t="str">
        <f>INDEX(工厂基础数据!$B$2:$B$1024,MATCH(X580,工厂基础数据!$D$2:$D$1024,0))</f>
        <v>滨州市仁信医药有限公司</v>
      </c>
      <c r="F580" s="6">
        <f>INDEX(商业2转码!$B$2:$B$10000,MATCH(E580,商业2转码!$A$2:$A$10000,0))</f>
        <v>0</v>
      </c>
      <c r="G580" s="6" t="str">
        <f>INDEX(品种2编码!$A$2:$A$1048576,MATCH(W580,品种2编码!$D$2:$D$1048576,0))</f>
        <v>0020070000ZYLC0001</v>
      </c>
      <c r="H580" s="6" t="s">
        <v>1885</v>
      </c>
      <c r="I580" s="6" t="s">
        <v>1886</v>
      </c>
      <c r="J580" s="6" t="s">
        <v>3036</v>
      </c>
      <c r="L580" s="6" t="s">
        <v>2351</v>
      </c>
      <c r="M580" s="6">
        <f>INDEX(医院2县区2人!$B$2:$B$1048576,MATCH(L580,医院2县区2人!$A$2:$A$1048576,0))</f>
        <v>2</v>
      </c>
      <c r="N580" s="6" t="str">
        <f>INDEX(医院2县区2人!$C$2:$C$1048576,MATCH(L580,医院2县区2人!$A$2:$A$1048576,0))</f>
        <v>1855</v>
      </c>
      <c r="P580" s="7">
        <v>43273.753506944442</v>
      </c>
      <c r="Q580" s="6">
        <v>5</v>
      </c>
      <c r="R580" s="6">
        <v>29</v>
      </c>
      <c r="S580" s="6">
        <v>180104</v>
      </c>
      <c r="T580" s="6" t="str">
        <f>INDEX(医院2县区2人!$D$2:$D$1048576,MATCH(L580,医院2县区2人!$A$2:$A$1048576,0))</f>
        <v>201602151421097</v>
      </c>
      <c r="W580" s="6" t="str">
        <f t="shared" si="19"/>
        <v>新盖中盖高钙片2.5g*36P</v>
      </c>
      <c r="X580" s="6" t="s">
        <v>2890</v>
      </c>
    </row>
    <row r="581" spans="1:24" x14ac:dyDescent="0.15">
      <c r="A581" s="7" t="str">
        <f t="shared" si="20"/>
        <v>201806</v>
      </c>
      <c r="C581" s="6" t="str">
        <f>INDEX(工厂基础数据!$A$2:$A$1024,MATCH(X581,工厂基础数据!$D$2:$D$1024,0))</f>
        <v>02025767</v>
      </c>
      <c r="E581" s="6" t="str">
        <f>INDEX(工厂基础数据!$B$2:$B$1024,MATCH(X581,工厂基础数据!$D$2:$D$1024,0))</f>
        <v>滨州市仁信医药有限公司</v>
      </c>
      <c r="F581" s="6">
        <f>INDEX(商业2转码!$B$2:$B$10000,MATCH(E581,商业2转码!$A$2:$A$10000,0))</f>
        <v>0</v>
      </c>
      <c r="G581" s="6" t="str">
        <f>INDEX(品种2编码!$A$2:$A$1048576,MATCH(W581,品种2编码!$D$2:$D$1048576,0))</f>
        <v>0020070001ZYZC0369</v>
      </c>
      <c r="H581" s="6" t="s">
        <v>1849</v>
      </c>
      <c r="I581" s="6" t="s">
        <v>411</v>
      </c>
      <c r="J581" s="6" t="s">
        <v>3038</v>
      </c>
      <c r="L581" s="6" t="s">
        <v>2351</v>
      </c>
      <c r="M581" s="6">
        <f>INDEX(医院2县区2人!$B$2:$B$1048576,MATCH(L581,医院2县区2人!$A$2:$A$1048576,0))</f>
        <v>2</v>
      </c>
      <c r="N581" s="6" t="str">
        <f>INDEX(医院2县区2人!$C$2:$C$1048576,MATCH(L581,医院2县区2人!$A$2:$A$1048576,0))</f>
        <v>1855</v>
      </c>
      <c r="P581" s="7">
        <v>43273.753506944442</v>
      </c>
      <c r="Q581" s="6">
        <v>10</v>
      </c>
      <c r="R581" s="6">
        <v>18</v>
      </c>
      <c r="S581" s="6">
        <v>1803014</v>
      </c>
      <c r="T581" s="6" t="str">
        <f>INDEX(医院2县区2人!$D$2:$D$1048576,MATCH(L581,医院2县区2人!$A$2:$A$1048576,0))</f>
        <v>201602151421097</v>
      </c>
      <c r="W581" s="6" t="str">
        <f t="shared" ref="W581:W644" si="21">H581&amp;I581</f>
        <v>哈药牌钙铁锌口服液10ml*12支</v>
      </c>
      <c r="X581" s="6" t="s">
        <v>2890</v>
      </c>
    </row>
    <row r="582" spans="1:24" x14ac:dyDescent="0.15">
      <c r="A582" s="7" t="str">
        <f t="shared" ref="A582:A645" si="22">IF(MONTH(P582)&lt;10,YEAR(P582)&amp;"0"&amp;MONTH(P582),YEAR(P582)&amp;MONTH(P582))</f>
        <v>201806</v>
      </c>
      <c r="C582" s="6" t="str">
        <f>INDEX(工厂基础数据!$A$2:$A$1024,MATCH(X582,工厂基础数据!$D$2:$D$1024,0))</f>
        <v>02025767</v>
      </c>
      <c r="E582" s="6" t="str">
        <f>INDEX(工厂基础数据!$B$2:$B$1024,MATCH(X582,工厂基础数据!$D$2:$D$1024,0))</f>
        <v>滨州市仁信医药有限公司</v>
      </c>
      <c r="F582" s="6">
        <f>INDEX(商业2转码!$B$2:$B$10000,MATCH(E582,商业2转码!$A$2:$A$10000,0))</f>
        <v>0</v>
      </c>
      <c r="G582" s="6">
        <f>INDEX(品种2编码!$A$2:$A$1048576,MATCH(W582,品种2编码!$D$2:$D$1048576,0))</f>
        <v>0</v>
      </c>
      <c r="H582" s="6" t="s">
        <v>543</v>
      </c>
      <c r="I582" s="6" t="s">
        <v>3035</v>
      </c>
      <c r="J582" s="6" t="s">
        <v>3038</v>
      </c>
      <c r="L582" s="6" t="s">
        <v>2597</v>
      </c>
      <c r="M582" s="6">
        <f>INDEX(医院2县区2人!$B$2:$B$1048576,MATCH(L582,医院2县区2人!$A$2:$A$1048576,0))</f>
        <v>2</v>
      </c>
      <c r="N582" s="6" t="str">
        <f>INDEX(医院2县区2人!$C$2:$C$1048576,MATCH(L582,医院2县区2人!$A$2:$A$1048576,0))</f>
        <v>1853</v>
      </c>
      <c r="P582" s="7">
        <v>43273.753854166665</v>
      </c>
      <c r="Q582" s="6">
        <v>10</v>
      </c>
      <c r="R582" s="6">
        <v>2.95</v>
      </c>
      <c r="S582" s="6" t="s">
        <v>3058</v>
      </c>
      <c r="T582" s="6" t="str">
        <f>INDEX(医院2县区2人!$D$2:$D$1048576,MATCH(L582,医院2县区2人!$A$2:$A$1048576,0))</f>
        <v>201602151421097</v>
      </c>
      <c r="W582" s="6" t="str">
        <f t="shared" si="21"/>
        <v>诺氟沙星胶囊0.1g*20s</v>
      </c>
      <c r="X582" s="6" t="s">
        <v>2890</v>
      </c>
    </row>
    <row r="583" spans="1:24" x14ac:dyDescent="0.15">
      <c r="A583" s="7" t="str">
        <f t="shared" si="22"/>
        <v>201806</v>
      </c>
      <c r="C583" s="6" t="str">
        <f>INDEX(工厂基础数据!$A$2:$A$1024,MATCH(X583,工厂基础数据!$D$2:$D$1024,0))</f>
        <v>02025767</v>
      </c>
      <c r="E583" s="6" t="str">
        <f>INDEX(工厂基础数据!$B$2:$B$1024,MATCH(X583,工厂基础数据!$D$2:$D$1024,0))</f>
        <v>滨州市仁信医药有限公司</v>
      </c>
      <c r="F583" s="6">
        <f>INDEX(商业2转码!$B$2:$B$10000,MATCH(E583,商业2转码!$A$2:$A$10000,0))</f>
        <v>0</v>
      </c>
      <c r="G583" s="6" t="str">
        <f>INDEX(品种2编码!$A$2:$A$1048576,MATCH(W583,品种2编码!$D$2:$D$1048576,0))</f>
        <v>0020040030SHYT0002</v>
      </c>
      <c r="H583" s="6" t="s">
        <v>537</v>
      </c>
      <c r="I583" s="6" t="s">
        <v>1935</v>
      </c>
      <c r="J583" s="6" t="s">
        <v>3037</v>
      </c>
      <c r="L583" s="6" t="s">
        <v>2597</v>
      </c>
      <c r="M583" s="6">
        <f>INDEX(医院2县区2人!$B$2:$B$1048576,MATCH(L583,医院2县区2人!$A$2:$A$1048576,0))</f>
        <v>2</v>
      </c>
      <c r="N583" s="6" t="str">
        <f>INDEX(医院2县区2人!$C$2:$C$1048576,MATCH(L583,医院2县区2人!$A$2:$A$1048576,0))</f>
        <v>1853</v>
      </c>
      <c r="P583" s="7">
        <v>43273.753854166665</v>
      </c>
      <c r="Q583" s="6">
        <v>10</v>
      </c>
      <c r="R583" s="6">
        <v>9</v>
      </c>
      <c r="S583" s="6">
        <v>1711301</v>
      </c>
      <c r="T583" s="6" t="str">
        <f>INDEX(医院2县区2人!$D$2:$D$1048576,MATCH(L583,医院2县区2人!$A$2:$A$1048576,0))</f>
        <v>201602151421097</v>
      </c>
      <c r="W583" s="6" t="str">
        <f t="shared" si="21"/>
        <v>牛黄消炎片0.12g*24片</v>
      </c>
      <c r="X583" s="6" t="s">
        <v>2890</v>
      </c>
    </row>
    <row r="584" spans="1:24" x14ac:dyDescent="0.15">
      <c r="A584" s="7" t="str">
        <f t="shared" si="22"/>
        <v>201806</v>
      </c>
      <c r="C584" s="6" t="str">
        <f>INDEX(工厂基础数据!$A$2:$A$1024,MATCH(X584,工厂基础数据!$D$2:$D$1024,0))</f>
        <v>02025767</v>
      </c>
      <c r="E584" s="6" t="str">
        <f>INDEX(工厂基础数据!$B$2:$B$1024,MATCH(X584,工厂基础数据!$D$2:$D$1024,0))</f>
        <v>滨州市仁信医药有限公司</v>
      </c>
      <c r="F584" s="6">
        <f>INDEX(商业2转码!$B$2:$B$10000,MATCH(E584,商业2转码!$A$2:$A$10000,0))</f>
        <v>0</v>
      </c>
      <c r="G584" s="6" t="str">
        <f>INDEX(品种2编码!$A$2:$A$1048576,MATCH(W584,品种2编码!$D$2:$D$1048576,0))</f>
        <v>0020020030SJMS0025</v>
      </c>
      <c r="H584" s="6" t="s">
        <v>1900</v>
      </c>
      <c r="I584" s="6" t="s">
        <v>1901</v>
      </c>
      <c r="J584" s="6" t="s">
        <v>3046</v>
      </c>
      <c r="L584" s="6" t="s">
        <v>2213</v>
      </c>
      <c r="M584" s="6">
        <f>INDEX(医院2县区2人!$B$2:$B$1048576,MATCH(L584,医院2县区2人!$A$2:$A$1048576,0))</f>
        <v>4</v>
      </c>
      <c r="N584" s="6" t="str">
        <f>INDEX(医院2县区2人!$C$2:$C$1048576,MATCH(L584,医院2县区2人!$A$2:$A$1048576,0))</f>
        <v>1857</v>
      </c>
      <c r="P584" s="7">
        <v>43273.753553240742</v>
      </c>
      <c r="Q584" s="6">
        <v>20</v>
      </c>
      <c r="R584" s="6">
        <v>7.7</v>
      </c>
      <c r="S584" s="6">
        <v>1801007</v>
      </c>
      <c r="T584" s="6" t="str">
        <f>INDEX(医院2县区2人!$D$2:$D$1048576,MATCH(L584,医院2县区2人!$A$2:$A$1048576,0))</f>
        <v>201602151421097</v>
      </c>
      <c r="W584" s="6" t="str">
        <f t="shared" si="21"/>
        <v>人工牛黄甲硝唑胶囊/牙疼安10粒*3板</v>
      </c>
      <c r="X584" s="6" t="s">
        <v>2890</v>
      </c>
    </row>
    <row r="585" spans="1:24" x14ac:dyDescent="0.15">
      <c r="A585" s="7" t="str">
        <f t="shared" si="22"/>
        <v>201806</v>
      </c>
      <c r="C585" s="6" t="str">
        <f>INDEX(工厂基础数据!$A$2:$A$1024,MATCH(X585,工厂基础数据!$D$2:$D$1024,0))</f>
        <v>02025767</v>
      </c>
      <c r="E585" s="6" t="str">
        <f>INDEX(工厂基础数据!$B$2:$B$1024,MATCH(X585,工厂基础数据!$D$2:$D$1024,0))</f>
        <v>滨州市仁信医药有限公司</v>
      </c>
      <c r="F585" s="6">
        <f>INDEX(商业2转码!$B$2:$B$10000,MATCH(E585,商业2转码!$A$2:$A$10000,0))</f>
        <v>0</v>
      </c>
      <c r="G585" s="6" t="str">
        <f>INDEX(品种2编码!$A$2:$A$1048576,MATCH(W585,品种2编码!$D$2:$D$1048576,0))</f>
        <v>0020030040SJET0003</v>
      </c>
      <c r="H585" s="6" t="s">
        <v>306</v>
      </c>
      <c r="I585" s="6" t="s">
        <v>1874</v>
      </c>
      <c r="J585" s="6" t="s">
        <v>3043</v>
      </c>
      <c r="L585" s="6" t="s">
        <v>2183</v>
      </c>
      <c r="M585" s="6">
        <f>INDEX(医院2县区2人!$B$2:$B$1048576,MATCH(L585,医院2县区2人!$A$2:$A$1048576,0))</f>
        <v>4</v>
      </c>
      <c r="N585" s="6" t="str">
        <f>INDEX(医院2县区2人!$C$2:$C$1048576,MATCH(L585,医院2县区2人!$A$2:$A$1048576,0))</f>
        <v>1859</v>
      </c>
      <c r="P585" s="7">
        <v>43274.74554398148</v>
      </c>
      <c r="Q585" s="6">
        <v>42</v>
      </c>
      <c r="R585" s="6">
        <v>9</v>
      </c>
      <c r="S585" s="6">
        <v>180203</v>
      </c>
      <c r="T585" s="6" t="str">
        <f>INDEX(医院2县区2人!$D$2:$D$1048576,MATCH(L585,医院2县区2人!$A$2:$A$1048576,0))</f>
        <v>201602151421097</v>
      </c>
      <c r="W585" s="6" t="str">
        <f t="shared" si="21"/>
        <v>氨金黄敏颗粒6g*10袋</v>
      </c>
      <c r="X585" s="6" t="s">
        <v>2890</v>
      </c>
    </row>
    <row r="586" spans="1:24" x14ac:dyDescent="0.15">
      <c r="A586" s="7" t="str">
        <f t="shared" si="22"/>
        <v>201806</v>
      </c>
      <c r="C586" s="6" t="str">
        <f>INDEX(工厂基础数据!$A$2:$A$1024,MATCH(X586,工厂基础数据!$D$2:$D$1024,0))</f>
        <v>02025767</v>
      </c>
      <c r="E586" s="6" t="str">
        <f>INDEX(工厂基础数据!$B$2:$B$1024,MATCH(X586,工厂基础数据!$D$2:$D$1024,0))</f>
        <v>滨州市仁信医药有限公司</v>
      </c>
      <c r="F586" s="6">
        <f>INDEX(商业2转码!$B$2:$B$10000,MATCH(E586,商业2转码!$A$2:$A$10000,0))</f>
        <v>0</v>
      </c>
      <c r="G586" s="6" t="str">
        <f>INDEX(品种2编码!$A$2:$A$1048576,MATCH(W586,品种2编码!$D$2:$D$1048576,0))</f>
        <v>0020030040SHYT0010</v>
      </c>
      <c r="H586" s="6" t="s">
        <v>317</v>
      </c>
      <c r="I586" s="6" t="s">
        <v>1848</v>
      </c>
      <c r="J586" s="6" t="s">
        <v>3037</v>
      </c>
      <c r="L586" s="6" t="s">
        <v>2188</v>
      </c>
      <c r="M586" s="6">
        <f>INDEX(医院2县区2人!$B$2:$B$1048576,MATCH(L586,医院2县区2人!$A$2:$A$1048576,0))</f>
        <v>2</v>
      </c>
      <c r="N586" s="6" t="str">
        <f>INDEX(医院2县区2人!$C$2:$C$1048576,MATCH(L586,医院2县区2人!$A$2:$A$1048576,0))</f>
        <v>1855</v>
      </c>
      <c r="P586" s="7">
        <v>43273.753495370373</v>
      </c>
      <c r="Q586" s="6">
        <v>1</v>
      </c>
      <c r="R586" s="6">
        <v>12.5</v>
      </c>
      <c r="S586" s="6">
        <v>1801608</v>
      </c>
      <c r="T586" s="6" t="str">
        <f>INDEX(医院2县区2人!$D$2:$D$1048576,MATCH(L586,医院2县区2人!$A$2:$A$1048576,0))</f>
        <v>201602151421097</v>
      </c>
      <c r="W586" s="6" t="str">
        <f t="shared" si="21"/>
        <v>布洛芬颗粒0.2g*12袋</v>
      </c>
      <c r="X586" s="6" t="s">
        <v>2890</v>
      </c>
    </row>
    <row r="587" spans="1:24" x14ac:dyDescent="0.15">
      <c r="A587" s="7" t="str">
        <f t="shared" si="22"/>
        <v>201806</v>
      </c>
      <c r="C587" s="6" t="str">
        <f>INDEX(工厂基础数据!$A$2:$A$1024,MATCH(X587,工厂基础数据!$D$2:$D$1024,0))</f>
        <v>02025767</v>
      </c>
      <c r="E587" s="6" t="str">
        <f>INDEX(工厂基础数据!$B$2:$B$1024,MATCH(X587,工厂基础数据!$D$2:$D$1024,0))</f>
        <v>滨州市仁信医药有限公司</v>
      </c>
      <c r="F587" s="6">
        <f>INDEX(商业2转码!$B$2:$B$10000,MATCH(E587,商业2转码!$A$2:$A$10000,0))</f>
        <v>0</v>
      </c>
      <c r="G587" s="6" t="str">
        <f>INDEX(品种2编码!$A$2:$A$1048576,MATCH(W587,品种2编码!$D$2:$D$1048576,0))</f>
        <v>0020050090ZYEC0004</v>
      </c>
      <c r="H587" s="6" t="s">
        <v>324</v>
      </c>
      <c r="I587" s="6" t="s">
        <v>1851</v>
      </c>
      <c r="J587" s="6" t="s">
        <v>3041</v>
      </c>
      <c r="L587" s="6" t="s">
        <v>2331</v>
      </c>
      <c r="M587" s="6">
        <f>INDEX(医院2县区2人!$B$2:$B$1048576,MATCH(L587,医院2县区2人!$A$2:$A$1048576,0))</f>
        <v>1</v>
      </c>
      <c r="N587" s="6" t="str">
        <f>INDEX(医院2县区2人!$C$2:$C$1048576,MATCH(L587,医院2县区2人!$A$2:$A$1048576,0))</f>
        <v>1853</v>
      </c>
      <c r="P587" s="7">
        <v>43274.746678240743</v>
      </c>
      <c r="Q587" s="6">
        <v>-2</v>
      </c>
      <c r="R587" s="6">
        <v>17</v>
      </c>
      <c r="S587" s="6">
        <v>160801</v>
      </c>
      <c r="T587" s="6" t="str">
        <f>INDEX(医院2县区2人!$D$2:$D$1048576,MATCH(L587,医院2县区2人!$A$2:$A$1048576,0))</f>
        <v>201602151421097</v>
      </c>
      <c r="W587" s="6" t="str">
        <f t="shared" si="21"/>
        <v>刺五加脑灵液100ml</v>
      </c>
      <c r="X587" s="6" t="s">
        <v>2890</v>
      </c>
    </row>
    <row r="588" spans="1:24" x14ac:dyDescent="0.15">
      <c r="A588" s="7" t="str">
        <f t="shared" si="22"/>
        <v>201806</v>
      </c>
      <c r="C588" s="6" t="str">
        <f>INDEX(工厂基础数据!$A$2:$A$1024,MATCH(X588,工厂基础数据!$D$2:$D$1024,0))</f>
        <v>02025767</v>
      </c>
      <c r="E588" s="6" t="str">
        <f>INDEX(工厂基础数据!$B$2:$B$1024,MATCH(X588,工厂基础数据!$D$2:$D$1024,0))</f>
        <v>滨州市仁信医药有限公司</v>
      </c>
      <c r="F588" s="6">
        <f>INDEX(商业2转码!$B$2:$B$10000,MATCH(E588,商业2转码!$A$2:$A$10000,0))</f>
        <v>0</v>
      </c>
      <c r="G588" s="6" t="str">
        <f>INDEX(品种2编码!$A$2:$A$1048576,MATCH(W588,品种2编码!$D$2:$D$1048576,0))</f>
        <v>0020070001ZYLC0001</v>
      </c>
      <c r="H588" s="6" t="s">
        <v>1905</v>
      </c>
      <c r="I588" s="6" t="s">
        <v>411</v>
      </c>
      <c r="J588" s="6" t="s">
        <v>3036</v>
      </c>
      <c r="L588" s="6" t="s">
        <v>2188</v>
      </c>
      <c r="M588" s="6">
        <f>INDEX(医院2县区2人!$B$2:$B$1048576,MATCH(L588,医院2县区2人!$A$2:$A$1048576,0))</f>
        <v>2</v>
      </c>
      <c r="N588" s="6" t="str">
        <f>INDEX(医院2县区2人!$C$2:$C$1048576,MATCH(L588,医院2县区2人!$A$2:$A$1048576,0))</f>
        <v>1855</v>
      </c>
      <c r="P588" s="7">
        <v>43273.75341435185</v>
      </c>
      <c r="Q588" s="6">
        <v>2</v>
      </c>
      <c r="R588" s="6">
        <v>20</v>
      </c>
      <c r="S588" s="6">
        <v>180121</v>
      </c>
      <c r="T588" s="6" t="str">
        <f>INDEX(医院2县区2人!$D$2:$D$1048576,MATCH(L588,医院2县区2人!$A$2:$A$1048576,0))</f>
        <v>201602151421097</v>
      </c>
      <c r="W588" s="6" t="str">
        <f t="shared" si="21"/>
        <v>哈药六钙锌口服液10ml*12支</v>
      </c>
      <c r="X588" s="6" t="s">
        <v>2890</v>
      </c>
    </row>
    <row r="589" spans="1:24" x14ac:dyDescent="0.15">
      <c r="A589" s="7" t="str">
        <f t="shared" si="22"/>
        <v>201806</v>
      </c>
      <c r="C589" s="6" t="str">
        <f>INDEX(工厂基础数据!$A$2:$A$1024,MATCH(X589,工厂基础数据!$D$2:$D$1024,0))</f>
        <v>02025767</v>
      </c>
      <c r="E589" s="6" t="str">
        <f>INDEX(工厂基础数据!$B$2:$B$1024,MATCH(X589,工厂基础数据!$D$2:$D$1024,0))</f>
        <v>滨州市仁信医药有限公司</v>
      </c>
      <c r="F589" s="6">
        <f>INDEX(商业2转码!$B$2:$B$10000,MATCH(E589,商业2转码!$A$2:$A$10000,0))</f>
        <v>0</v>
      </c>
      <c r="G589" s="6" t="str">
        <f>INDEX(品种2编码!$A$2:$A$1048576,MATCH(W589,品种2编码!$D$2:$D$1048576,0))</f>
        <v>0020020021ZYLC0011</v>
      </c>
      <c r="H589" s="6" t="s">
        <v>1890</v>
      </c>
      <c r="I589" s="6" t="s">
        <v>1891</v>
      </c>
      <c r="J589" s="6" t="s">
        <v>3036</v>
      </c>
      <c r="L589" s="6" t="s">
        <v>2240</v>
      </c>
      <c r="M589" s="6">
        <f>INDEX(医院2县区2人!$B$2:$B$1048576,MATCH(L589,医院2县区2人!$A$2:$A$1048576,0))</f>
        <v>2</v>
      </c>
      <c r="N589" s="6" t="str">
        <f>INDEX(医院2县区2人!$C$2:$C$1048576,MATCH(L589,医院2县区2人!$A$2:$A$1048576,0))</f>
        <v>1855</v>
      </c>
      <c r="P589" s="7">
        <v>43273.753437500003</v>
      </c>
      <c r="Q589" s="6">
        <v>10</v>
      </c>
      <c r="R589" s="6">
        <v>6</v>
      </c>
      <c r="S589" s="6">
        <v>161001</v>
      </c>
      <c r="T589" s="6" t="str">
        <f>INDEX(医院2县区2人!$D$2:$D$1048576,MATCH(L589,医院2县区2人!$A$2:$A$1048576,0))</f>
        <v>201602151421097</v>
      </c>
      <c r="W589" s="6" t="str">
        <f t="shared" si="21"/>
        <v>严迪/罗红霉素分散片150mg*12片</v>
      </c>
      <c r="X589" s="6" t="s">
        <v>2890</v>
      </c>
    </row>
    <row r="590" spans="1:24" x14ac:dyDescent="0.15">
      <c r="A590" s="7" t="str">
        <f t="shared" si="22"/>
        <v>201806</v>
      </c>
      <c r="C590" s="6" t="str">
        <f>INDEX(工厂基础数据!$A$2:$A$1024,MATCH(X590,工厂基础数据!$D$2:$D$1024,0))</f>
        <v>02025767</v>
      </c>
      <c r="E590" s="6" t="str">
        <f>INDEX(工厂基础数据!$B$2:$B$1024,MATCH(X590,工厂基础数据!$D$2:$D$1024,0))</f>
        <v>滨州市仁信医药有限公司</v>
      </c>
      <c r="F590" s="6">
        <f>INDEX(商业2转码!$B$2:$B$10000,MATCH(E590,商业2转码!$A$2:$A$10000,0))</f>
        <v>0</v>
      </c>
      <c r="G590" s="6" t="str">
        <f>INDEX(品种2编码!$A$2:$A$1048576,MATCH(W590,品种2编码!$D$2:$D$1048576,0))</f>
        <v>0020030001SJZY0009</v>
      </c>
      <c r="H590" s="6" t="s">
        <v>555</v>
      </c>
      <c r="I590" s="6" t="s">
        <v>1889</v>
      </c>
      <c r="J590" s="6" t="s">
        <v>3039</v>
      </c>
      <c r="L590" s="6" t="s">
        <v>2313</v>
      </c>
      <c r="M590" s="6">
        <f>INDEX(医院2县区2人!$B$2:$B$1048576,MATCH(L590,医院2县区2人!$A$2:$A$1048576,0))</f>
        <v>2</v>
      </c>
      <c r="N590" s="6" t="str">
        <f>INDEX(医院2县区2人!$C$2:$C$1048576,MATCH(L590,医院2县区2人!$A$2:$A$1048576,0))</f>
        <v>1853</v>
      </c>
      <c r="P590" s="7">
        <v>43273.753703703704</v>
      </c>
      <c r="Q590" s="6">
        <v>5</v>
      </c>
      <c r="R590" s="6">
        <v>25</v>
      </c>
      <c r="S590" s="6">
        <v>18032427</v>
      </c>
      <c r="T590" s="6" t="str">
        <f>INDEX(医院2县区2人!$D$2:$D$1048576,MATCH(L590,医院2县区2人!$A$2:$A$1048576,0))</f>
        <v>201602151421097</v>
      </c>
      <c r="W590" s="6" t="str">
        <f t="shared" si="21"/>
        <v>葡萄糖酸锌口服液10ML*12支</v>
      </c>
      <c r="X590" s="6" t="s">
        <v>2890</v>
      </c>
    </row>
    <row r="591" spans="1:24" x14ac:dyDescent="0.15">
      <c r="A591" s="7" t="str">
        <f t="shared" si="22"/>
        <v>201806</v>
      </c>
      <c r="C591" s="6" t="str">
        <f>INDEX(工厂基础数据!$A$2:$A$1024,MATCH(X591,工厂基础数据!$D$2:$D$1024,0))</f>
        <v>02025767</v>
      </c>
      <c r="E591" s="6" t="str">
        <f>INDEX(工厂基础数据!$B$2:$B$1024,MATCH(X591,工厂基础数据!$D$2:$D$1024,0))</f>
        <v>滨州市仁信医药有限公司</v>
      </c>
      <c r="F591" s="6">
        <f>INDEX(商业2转码!$B$2:$B$10000,MATCH(E591,商业2转码!$A$2:$A$10000,0))</f>
        <v>0</v>
      </c>
      <c r="G591" s="6" t="str">
        <f>INDEX(品种2编码!$A$2:$A$1048576,MATCH(W591,品种2编码!$D$2:$D$1048576,0))</f>
        <v>0020040001SHYT0018</v>
      </c>
      <c r="H591" s="6" t="s">
        <v>1932</v>
      </c>
      <c r="I591" s="6" t="s">
        <v>444</v>
      </c>
      <c r="J591" s="6" t="s">
        <v>3037</v>
      </c>
      <c r="L591" s="6" t="s">
        <v>2185</v>
      </c>
      <c r="M591" s="6">
        <f>INDEX(医院2县区2人!$B$2:$B$1048576,MATCH(L591,医院2县区2人!$A$2:$A$1048576,0))</f>
        <v>2</v>
      </c>
      <c r="N591" s="6" t="str">
        <f>INDEX(医院2县区2人!$C$2:$C$1048576,MATCH(L591,医院2县区2人!$A$2:$A$1048576,0))</f>
        <v>1855</v>
      </c>
      <c r="P591" s="7">
        <v>43273.753692129627</v>
      </c>
      <c r="Q591" s="6">
        <v>20</v>
      </c>
      <c r="R591" s="6">
        <v>10</v>
      </c>
      <c r="S591" s="6">
        <v>1612106</v>
      </c>
      <c r="T591" s="6" t="str">
        <f>INDEX(医院2县区2人!$D$2:$D$1048576,MATCH(L591,医院2县区2人!$A$2:$A$1048576,0))</f>
        <v>201602151421097</v>
      </c>
      <c r="W591" s="6" t="str">
        <f t="shared" si="21"/>
        <v>血府逐淤丸9g*10丸</v>
      </c>
      <c r="X591" s="6" t="s">
        <v>2890</v>
      </c>
    </row>
    <row r="592" spans="1:24" x14ac:dyDescent="0.15">
      <c r="A592" s="7" t="str">
        <f t="shared" si="22"/>
        <v>201806</v>
      </c>
      <c r="C592" s="6" t="str">
        <f>INDEX(工厂基础数据!$A$2:$A$1024,MATCH(X592,工厂基础数据!$D$2:$D$1024,0))</f>
        <v>02025767</v>
      </c>
      <c r="E592" s="6" t="str">
        <f>INDEX(工厂基础数据!$B$2:$B$1024,MATCH(X592,工厂基础数据!$D$2:$D$1024,0))</f>
        <v>滨州市仁信医药有限公司</v>
      </c>
      <c r="F592" s="6">
        <f>INDEX(商业2转码!$B$2:$B$10000,MATCH(E592,商业2转码!$A$2:$A$10000,0))</f>
        <v>0</v>
      </c>
      <c r="G592" s="6" t="str">
        <f>INDEX(品种2编码!$A$2:$A$1048576,MATCH(W592,品种2编码!$D$2:$D$1048576,0))</f>
        <v>0020030040ZYLC0001</v>
      </c>
      <c r="H592" s="6" t="s">
        <v>1933</v>
      </c>
      <c r="I592" s="6" t="s">
        <v>1853</v>
      </c>
      <c r="J592" s="6" t="s">
        <v>3036</v>
      </c>
      <c r="L592" s="6" t="s">
        <v>2229</v>
      </c>
      <c r="M592" s="6">
        <f>INDEX(医院2县区2人!$B$2:$B$1048576,MATCH(L592,医院2县区2人!$A$2:$A$1048576,0))</f>
        <v>4</v>
      </c>
      <c r="N592" s="6" t="str">
        <f>INDEX(医院2县区2人!$C$2:$C$1048576,MATCH(L592,医院2县区2人!$A$2:$A$1048576,0))</f>
        <v>1853</v>
      </c>
      <c r="P592" s="7">
        <v>43273.753645833334</v>
      </c>
      <c r="Q592" s="6">
        <v>10</v>
      </c>
      <c r="R592" s="6">
        <v>10</v>
      </c>
      <c r="S592" s="6">
        <v>180141</v>
      </c>
      <c r="T592" s="6" t="str">
        <f>INDEX(医院2县区2人!$D$2:$D$1048576,MATCH(L592,医院2县区2人!$A$2:$A$1048576,0))</f>
        <v>201602151421097</v>
      </c>
      <c r="W592" s="6" t="str">
        <f t="shared" si="21"/>
        <v>护彤冲剂/小儿氨酚黄那敏颗粒2g*12袋</v>
      </c>
      <c r="X592" s="6" t="s">
        <v>2890</v>
      </c>
    </row>
    <row r="593" spans="1:24" x14ac:dyDescent="0.15">
      <c r="A593" s="7" t="str">
        <f t="shared" si="22"/>
        <v>201806</v>
      </c>
      <c r="C593" s="6" t="str">
        <f>INDEX(工厂基础数据!$A$2:$A$1024,MATCH(X593,工厂基础数据!$D$2:$D$1024,0))</f>
        <v>02025767</v>
      </c>
      <c r="E593" s="6" t="str">
        <f>INDEX(工厂基础数据!$B$2:$B$1024,MATCH(X593,工厂基础数据!$D$2:$D$1024,0))</f>
        <v>滨州市仁信医药有限公司</v>
      </c>
      <c r="F593" s="6">
        <f>INDEX(商业2转码!$B$2:$B$10000,MATCH(E593,商业2转码!$A$2:$A$10000,0))</f>
        <v>0</v>
      </c>
      <c r="G593" s="6" t="str">
        <f>INDEX(品种2编码!$A$2:$A$1048576,MATCH(W593,品种2编码!$D$2:$D$1048576,0))</f>
        <v>0020030001SJZY0006</v>
      </c>
      <c r="H593" s="6" t="s">
        <v>1888</v>
      </c>
      <c r="I593" s="6" t="s">
        <v>411</v>
      </c>
      <c r="J593" s="6" t="s">
        <v>3040</v>
      </c>
      <c r="L593" s="6" t="s">
        <v>2296</v>
      </c>
      <c r="M593" s="6">
        <f>INDEX(医院2县区2人!$B$2:$B$1048576,MATCH(L593,医院2县区2人!$A$2:$A$1048576,0))</f>
        <v>1</v>
      </c>
      <c r="N593" s="6" t="str">
        <f>INDEX(医院2县区2人!$C$2:$C$1048576,MATCH(L593,医院2县区2人!$A$2:$A$1048576,0))</f>
        <v>1853</v>
      </c>
      <c r="P593" s="7">
        <v>43273.753807870373</v>
      </c>
      <c r="Q593" s="6">
        <v>10</v>
      </c>
      <c r="R593" s="6">
        <v>25</v>
      </c>
      <c r="S593" s="6">
        <v>17071042</v>
      </c>
      <c r="T593" s="6" t="str">
        <f>INDEX(医院2县区2人!$D$2:$D$1048576,MATCH(L593,医院2县区2人!$A$2:$A$1048576,0))</f>
        <v>201602151421097</v>
      </c>
      <c r="W593" s="6" t="str">
        <f t="shared" si="21"/>
        <v>葡萄糖酸钙口服溶液（含糖）10ml*12支</v>
      </c>
      <c r="X593" s="6" t="s">
        <v>2890</v>
      </c>
    </row>
    <row r="594" spans="1:24" x14ac:dyDescent="0.15">
      <c r="A594" s="7" t="str">
        <f t="shared" si="22"/>
        <v>201806</v>
      </c>
      <c r="C594" s="6" t="str">
        <f>INDEX(工厂基础数据!$A$2:$A$1024,MATCH(X594,工厂基础数据!$D$2:$D$1024,0))</f>
        <v>02025767</v>
      </c>
      <c r="E594" s="6" t="str">
        <f>INDEX(工厂基础数据!$B$2:$B$1024,MATCH(X594,工厂基础数据!$D$2:$D$1024,0))</f>
        <v>滨州市仁信医药有限公司</v>
      </c>
      <c r="F594" s="6">
        <f>INDEX(商业2转码!$B$2:$B$10000,MATCH(E594,商业2转码!$A$2:$A$10000,0))</f>
        <v>0</v>
      </c>
      <c r="G594" s="6" t="str">
        <f>INDEX(品种2编码!$A$2:$A$1048576,MATCH(W594,品种2编码!$D$2:$D$1048576,0))</f>
        <v>0020030001SJZY0009</v>
      </c>
      <c r="H594" s="6" t="s">
        <v>555</v>
      </c>
      <c r="I594" s="6" t="s">
        <v>1889</v>
      </c>
      <c r="J594" s="6" t="s">
        <v>3039</v>
      </c>
      <c r="L594" s="6" t="s">
        <v>2296</v>
      </c>
      <c r="M594" s="6">
        <f>INDEX(医院2县区2人!$B$2:$B$1048576,MATCH(L594,医院2县区2人!$A$2:$A$1048576,0))</f>
        <v>1</v>
      </c>
      <c r="N594" s="6" t="str">
        <f>INDEX(医院2县区2人!$C$2:$C$1048576,MATCH(L594,医院2县区2人!$A$2:$A$1048576,0))</f>
        <v>1853</v>
      </c>
      <c r="P594" s="7">
        <v>43273.753807870373</v>
      </c>
      <c r="Q594" s="6">
        <v>10</v>
      </c>
      <c r="R594" s="6">
        <v>25</v>
      </c>
      <c r="S594" s="6">
        <v>18032427</v>
      </c>
      <c r="T594" s="6" t="str">
        <f>INDEX(医院2县区2人!$D$2:$D$1048576,MATCH(L594,医院2县区2人!$A$2:$A$1048576,0))</f>
        <v>201602151421097</v>
      </c>
      <c r="W594" s="6" t="str">
        <f t="shared" si="21"/>
        <v>葡萄糖酸锌口服液10ML*12支</v>
      </c>
      <c r="X594" s="6" t="s">
        <v>2890</v>
      </c>
    </row>
    <row r="595" spans="1:24" x14ac:dyDescent="0.15">
      <c r="A595" s="7" t="str">
        <f t="shared" si="22"/>
        <v>201806</v>
      </c>
      <c r="C595" s="6" t="str">
        <f>INDEX(工厂基础数据!$A$2:$A$1024,MATCH(X595,工厂基础数据!$D$2:$D$1024,0))</f>
        <v>02025767</v>
      </c>
      <c r="E595" s="6" t="str">
        <f>INDEX(工厂基础数据!$B$2:$B$1024,MATCH(X595,工厂基础数据!$D$2:$D$1024,0))</f>
        <v>滨州市仁信医药有限公司</v>
      </c>
      <c r="F595" s="6">
        <f>INDEX(商业2转码!$B$2:$B$10000,MATCH(E595,商业2转码!$A$2:$A$10000,0))</f>
        <v>0</v>
      </c>
      <c r="G595" s="6" t="str">
        <f>INDEX(品种2编码!$A$2:$A$1048576,MATCH(W595,品种2编码!$D$2:$D$1048576,0))</f>
        <v>0020030001SJZY0009</v>
      </c>
      <c r="H595" s="6" t="s">
        <v>555</v>
      </c>
      <c r="I595" s="6" t="s">
        <v>1889</v>
      </c>
      <c r="J595" s="6" t="s">
        <v>3039</v>
      </c>
      <c r="L595" s="6" t="s">
        <v>2641</v>
      </c>
      <c r="M595" s="6">
        <f>INDEX(医院2县区2人!$B$2:$B$1048576,MATCH(L595,医院2县区2人!$A$2:$A$1048576,0))</f>
        <v>1</v>
      </c>
      <c r="N595" s="6" t="str">
        <f>INDEX(医院2县区2人!$C$2:$C$1048576,MATCH(L595,医院2县区2人!$A$2:$A$1048576,0))</f>
        <v>1853</v>
      </c>
      <c r="P595" s="7">
        <v>43273.753761574073</v>
      </c>
      <c r="Q595" s="6">
        <v>5</v>
      </c>
      <c r="R595" s="6">
        <v>25</v>
      </c>
      <c r="S595" s="6">
        <v>18032427</v>
      </c>
      <c r="T595" s="6" t="str">
        <f>INDEX(医院2县区2人!$D$2:$D$1048576,MATCH(L595,医院2县区2人!$A$2:$A$1048576,0))</f>
        <v>201602151421097</v>
      </c>
      <c r="W595" s="6" t="str">
        <f t="shared" si="21"/>
        <v>葡萄糖酸锌口服液10ML*12支</v>
      </c>
      <c r="X595" s="6" t="s">
        <v>2890</v>
      </c>
    </row>
    <row r="596" spans="1:24" x14ac:dyDescent="0.15">
      <c r="A596" s="7" t="str">
        <f t="shared" si="22"/>
        <v>201806</v>
      </c>
      <c r="C596" s="6" t="str">
        <f>INDEX(工厂基础数据!$A$2:$A$1024,MATCH(X596,工厂基础数据!$D$2:$D$1024,0))</f>
        <v>02025767</v>
      </c>
      <c r="E596" s="6" t="str">
        <f>INDEX(工厂基础数据!$B$2:$B$1024,MATCH(X596,工厂基础数据!$D$2:$D$1024,0))</f>
        <v>滨州市仁信医药有限公司</v>
      </c>
      <c r="F596" s="6">
        <f>INDEX(商业2转码!$B$2:$B$10000,MATCH(E596,商业2转码!$A$2:$A$10000,0))</f>
        <v>0</v>
      </c>
      <c r="G596" s="6" t="str">
        <f>INDEX(品种2编码!$A$2:$A$1048576,MATCH(W596,品种2编码!$D$2:$D$1048576,0))</f>
        <v>0020030001SJZY0009</v>
      </c>
      <c r="H596" s="6" t="s">
        <v>555</v>
      </c>
      <c r="I596" s="6" t="s">
        <v>1889</v>
      </c>
      <c r="J596" s="6" t="s">
        <v>3039</v>
      </c>
      <c r="L596" s="6" t="s">
        <v>2205</v>
      </c>
      <c r="M596" s="6">
        <f>INDEX(医院2县区2人!$B$2:$B$1048576,MATCH(L596,医院2县区2人!$A$2:$A$1048576,0))</f>
        <v>2</v>
      </c>
      <c r="N596" s="6" t="str">
        <f>INDEX(医院2县区2人!$C$2:$C$1048576,MATCH(L596,医院2县区2人!$A$2:$A$1048576,0))</f>
        <v>1855</v>
      </c>
      <c r="P596" s="7">
        <v>43273.753252314818</v>
      </c>
      <c r="Q596" s="6">
        <v>10</v>
      </c>
      <c r="R596" s="6">
        <v>25</v>
      </c>
      <c r="S596" s="6">
        <v>18032427</v>
      </c>
      <c r="T596" s="6" t="str">
        <f>INDEX(医院2县区2人!$D$2:$D$1048576,MATCH(L596,医院2县区2人!$A$2:$A$1048576,0))</f>
        <v>201602151421097</v>
      </c>
      <c r="W596" s="6" t="str">
        <f t="shared" si="21"/>
        <v>葡萄糖酸锌口服液10ML*12支</v>
      </c>
      <c r="X596" s="6" t="s">
        <v>2890</v>
      </c>
    </row>
    <row r="597" spans="1:24" x14ac:dyDescent="0.15">
      <c r="A597" s="7" t="str">
        <f t="shared" si="22"/>
        <v>201806</v>
      </c>
      <c r="C597" s="6" t="str">
        <f>INDEX(工厂基础数据!$A$2:$A$1024,MATCH(X597,工厂基础数据!$D$2:$D$1024,0))</f>
        <v>02025767</v>
      </c>
      <c r="E597" s="6" t="str">
        <f>INDEX(工厂基础数据!$B$2:$B$1024,MATCH(X597,工厂基础数据!$D$2:$D$1024,0))</f>
        <v>滨州市仁信医药有限公司</v>
      </c>
      <c r="F597" s="6">
        <f>INDEX(商业2转码!$B$2:$B$10000,MATCH(E597,商业2转码!$A$2:$A$10000,0))</f>
        <v>0</v>
      </c>
      <c r="G597" s="6" t="str">
        <f>INDEX(品种2编码!$A$2:$A$1048576,MATCH(W597,品种2编码!$D$2:$D$1048576,0))</f>
        <v>0020030001SJZY0009</v>
      </c>
      <c r="H597" s="6" t="s">
        <v>555</v>
      </c>
      <c r="I597" s="6" t="s">
        <v>1889</v>
      </c>
      <c r="J597" s="6" t="s">
        <v>3039</v>
      </c>
      <c r="L597" s="6" t="s">
        <v>2267</v>
      </c>
      <c r="M597" s="6">
        <f>INDEX(医院2县区2人!$B$2:$B$1048576,MATCH(L597,医院2县区2人!$A$2:$A$1048576,0))</f>
        <v>1</v>
      </c>
      <c r="N597" s="6" t="str">
        <f>INDEX(医院2县区2人!$C$2:$C$1048576,MATCH(L597,医院2县区2人!$A$2:$A$1048576,0))</f>
        <v>1858</v>
      </c>
      <c r="P597" s="7">
        <v>43273.753761574073</v>
      </c>
      <c r="Q597" s="6">
        <v>5</v>
      </c>
      <c r="R597" s="6">
        <v>25</v>
      </c>
      <c r="S597" s="6">
        <v>18032427</v>
      </c>
      <c r="T597" s="6" t="str">
        <f>INDEX(医院2县区2人!$D$2:$D$1048576,MATCH(L597,医院2县区2人!$A$2:$A$1048576,0))</f>
        <v>201602151421097</v>
      </c>
      <c r="W597" s="6" t="str">
        <f t="shared" si="21"/>
        <v>葡萄糖酸锌口服液10ML*12支</v>
      </c>
      <c r="X597" s="6" t="s">
        <v>2890</v>
      </c>
    </row>
    <row r="598" spans="1:24" x14ac:dyDescent="0.15">
      <c r="A598" s="7" t="str">
        <f t="shared" si="22"/>
        <v>201806</v>
      </c>
      <c r="C598" s="6" t="str">
        <f>INDEX(工厂基础数据!$A$2:$A$1024,MATCH(X598,工厂基础数据!$D$2:$D$1024,0))</f>
        <v>02025767</v>
      </c>
      <c r="E598" s="6" t="str">
        <f>INDEX(工厂基础数据!$B$2:$B$1024,MATCH(X598,工厂基础数据!$D$2:$D$1024,0))</f>
        <v>滨州市仁信医药有限公司</v>
      </c>
      <c r="F598" s="6">
        <f>INDEX(商业2转码!$B$2:$B$10000,MATCH(E598,商业2转码!$A$2:$A$10000,0))</f>
        <v>0</v>
      </c>
      <c r="G598" s="6" t="str">
        <f>INDEX(品种2编码!$A$2:$A$1048576,MATCH(W598,品种2编码!$D$2:$D$1048576,0))</f>
        <v>0020030001SJZY0006</v>
      </c>
      <c r="H598" s="6" t="s">
        <v>1888</v>
      </c>
      <c r="I598" s="6" t="s">
        <v>411</v>
      </c>
      <c r="J598" s="6" t="s">
        <v>3040</v>
      </c>
      <c r="L598" s="6" t="s">
        <v>2267</v>
      </c>
      <c r="M598" s="6">
        <f>INDEX(医院2县区2人!$B$2:$B$1048576,MATCH(L598,医院2县区2人!$A$2:$A$1048576,0))</f>
        <v>1</v>
      </c>
      <c r="N598" s="6" t="str">
        <f>INDEX(医院2县区2人!$C$2:$C$1048576,MATCH(L598,医院2县区2人!$A$2:$A$1048576,0))</f>
        <v>1858</v>
      </c>
      <c r="P598" s="7">
        <v>43273.753761574073</v>
      </c>
      <c r="Q598" s="6">
        <v>5</v>
      </c>
      <c r="R598" s="6">
        <v>25</v>
      </c>
      <c r="S598" s="6">
        <v>17071042</v>
      </c>
      <c r="T598" s="6" t="str">
        <f>INDEX(医院2县区2人!$D$2:$D$1048576,MATCH(L598,医院2县区2人!$A$2:$A$1048576,0))</f>
        <v>201602151421097</v>
      </c>
      <c r="W598" s="6" t="str">
        <f t="shared" si="21"/>
        <v>葡萄糖酸钙口服溶液（含糖）10ml*12支</v>
      </c>
      <c r="X598" s="6" t="s">
        <v>2890</v>
      </c>
    </row>
    <row r="599" spans="1:24" x14ac:dyDescent="0.15">
      <c r="A599" s="7" t="str">
        <f t="shared" si="22"/>
        <v>201806</v>
      </c>
      <c r="C599" s="6" t="str">
        <f>INDEX(工厂基础数据!$A$2:$A$1024,MATCH(X599,工厂基础数据!$D$2:$D$1024,0))</f>
        <v>02025767</v>
      </c>
      <c r="E599" s="6" t="str">
        <f>INDEX(工厂基础数据!$B$2:$B$1024,MATCH(X599,工厂基础数据!$D$2:$D$1024,0))</f>
        <v>滨州市仁信医药有限公司</v>
      </c>
      <c r="F599" s="6">
        <f>INDEX(商业2转码!$B$2:$B$10000,MATCH(E599,商业2转码!$A$2:$A$10000,0))</f>
        <v>0</v>
      </c>
      <c r="G599" s="6" t="str">
        <f>INDEX(品种2编码!$A$2:$A$1048576,MATCH(W599,品种2编码!$D$2:$D$1048576,0))</f>
        <v>0020030020SJSC0014</v>
      </c>
      <c r="H599" s="6" t="s">
        <v>677</v>
      </c>
      <c r="I599" s="6" t="s">
        <v>1882</v>
      </c>
      <c r="J599" s="6" t="s">
        <v>3045</v>
      </c>
      <c r="L599" s="6" t="s">
        <v>2343</v>
      </c>
      <c r="M599" s="6">
        <f>INDEX(医院2县区2人!$B$2:$B$1048576,MATCH(L599,医院2县区2人!$A$2:$A$1048576,0))</f>
        <v>2</v>
      </c>
      <c r="N599" s="6" t="str">
        <f>INDEX(医院2县区2人!$C$2:$C$1048576,MATCH(L599,医院2县区2人!$A$2:$A$1048576,0))</f>
        <v>1855</v>
      </c>
      <c r="P599" s="7">
        <v>43273.753425925926</v>
      </c>
      <c r="Q599" s="6">
        <v>10</v>
      </c>
      <c r="R599" s="6">
        <v>9.8000000000000007</v>
      </c>
      <c r="S599" s="6">
        <v>1708001</v>
      </c>
      <c r="T599" s="6" t="str">
        <f>INDEX(医院2县区2人!$D$2:$D$1048576,MATCH(L599,医院2县区2人!$A$2:$A$1048576,0))</f>
        <v>201602151421097</v>
      </c>
      <c r="W599" s="6" t="str">
        <f t="shared" si="21"/>
        <v>维D2磷酸氢钙片60片</v>
      </c>
      <c r="X599" s="6" t="s">
        <v>2890</v>
      </c>
    </row>
    <row r="600" spans="1:24" x14ac:dyDescent="0.15">
      <c r="A600" s="7" t="str">
        <f t="shared" si="22"/>
        <v>201806</v>
      </c>
      <c r="C600" s="6" t="str">
        <f>INDEX(工厂基础数据!$A$2:$A$1024,MATCH(X600,工厂基础数据!$D$2:$D$1024,0))</f>
        <v>02025767</v>
      </c>
      <c r="E600" s="6" t="str">
        <f>INDEX(工厂基础数据!$B$2:$B$1024,MATCH(X600,工厂基础数据!$D$2:$D$1024,0))</f>
        <v>滨州市仁信医药有限公司</v>
      </c>
      <c r="F600" s="6">
        <f>INDEX(商业2转码!$B$2:$B$10000,MATCH(E600,商业2转码!$A$2:$A$10000,0))</f>
        <v>0</v>
      </c>
      <c r="G600" s="6">
        <f>INDEX(品种2编码!$A$2:$A$1048576,MATCH(W600,品种2编码!$D$2:$D$1048576,0))</f>
        <v>0</v>
      </c>
      <c r="H600" s="6" t="s">
        <v>857</v>
      </c>
      <c r="I600" s="6" t="s">
        <v>861</v>
      </c>
      <c r="J600" s="6" t="s">
        <v>3047</v>
      </c>
      <c r="L600" s="6" t="s">
        <v>2675</v>
      </c>
      <c r="M600" s="6">
        <f>INDEX(医院2县区2人!$B$2:$B$1048576,MATCH(L600,医院2县区2人!$A$2:$A$1048576,0))</f>
        <v>2</v>
      </c>
      <c r="N600" s="6" t="str">
        <f>INDEX(医院2县区2人!$C$2:$C$1048576,MATCH(L600,医院2县区2人!$A$2:$A$1048576,0))</f>
        <v>1855</v>
      </c>
      <c r="P600" s="7">
        <v>43274.745462962965</v>
      </c>
      <c r="Q600" s="6">
        <v>20</v>
      </c>
      <c r="R600" s="6">
        <v>5</v>
      </c>
      <c r="S600" s="6">
        <v>201705012</v>
      </c>
      <c r="T600" s="6" t="str">
        <f>INDEX(医院2县区2人!$D$2:$D$1048576,MATCH(L600,医院2县区2人!$A$2:$A$1048576,0))</f>
        <v>201602151421097</v>
      </c>
      <c r="W600" s="6" t="str">
        <f t="shared" si="21"/>
        <v>注射用奥扎格雷钠80mg</v>
      </c>
      <c r="X600" s="6" t="s">
        <v>2890</v>
      </c>
    </row>
    <row r="601" spans="1:24" x14ac:dyDescent="0.15">
      <c r="A601" s="7" t="str">
        <f t="shared" si="22"/>
        <v>201806</v>
      </c>
      <c r="C601" s="6" t="str">
        <f>INDEX(工厂基础数据!$A$2:$A$1024,MATCH(X601,工厂基础数据!$D$2:$D$1024,0))</f>
        <v>02025767</v>
      </c>
      <c r="E601" s="6" t="str">
        <f>INDEX(工厂基础数据!$B$2:$B$1024,MATCH(X601,工厂基础数据!$D$2:$D$1024,0))</f>
        <v>滨州市仁信医药有限公司</v>
      </c>
      <c r="F601" s="6">
        <f>INDEX(商业2转码!$B$2:$B$10000,MATCH(E601,商业2转码!$A$2:$A$10000,0))</f>
        <v>0</v>
      </c>
      <c r="G601" s="6" t="str">
        <f>INDEX(品种2编码!$A$2:$A$1048576,MATCH(W601,品种2编码!$D$2:$D$1048576,0))</f>
        <v>0020030020SJSC0014</v>
      </c>
      <c r="H601" s="6" t="s">
        <v>677</v>
      </c>
      <c r="I601" s="6" t="s">
        <v>1882</v>
      </c>
      <c r="J601" s="6" t="s">
        <v>3045</v>
      </c>
      <c r="L601" s="6" t="s">
        <v>2369</v>
      </c>
      <c r="M601" s="6">
        <f>INDEX(医院2县区2人!$B$2:$B$1048576,MATCH(L601,医院2县区2人!$A$2:$A$1048576,0))</f>
        <v>2</v>
      </c>
      <c r="N601" s="6" t="str">
        <f>INDEX(医院2县区2人!$C$2:$C$1048576,MATCH(L601,医院2县区2人!$A$2:$A$1048576,0))</f>
        <v>1855</v>
      </c>
      <c r="P601" s="7">
        <v>43273.753344907411</v>
      </c>
      <c r="Q601" s="6">
        <v>10</v>
      </c>
      <c r="R601" s="6">
        <v>9.8000000000000007</v>
      </c>
      <c r="S601" s="6">
        <v>1708001</v>
      </c>
      <c r="T601" s="6" t="str">
        <f>INDEX(医院2县区2人!$D$2:$D$1048576,MATCH(L601,医院2县区2人!$A$2:$A$1048576,0))</f>
        <v>201602151421097</v>
      </c>
      <c r="W601" s="6" t="str">
        <f t="shared" si="21"/>
        <v>维D2磷酸氢钙片60片</v>
      </c>
      <c r="X601" s="6" t="s">
        <v>2890</v>
      </c>
    </row>
    <row r="602" spans="1:24" x14ac:dyDescent="0.15">
      <c r="A602" s="7" t="str">
        <f t="shared" si="22"/>
        <v>201806</v>
      </c>
      <c r="C602" s="6" t="str">
        <f>INDEX(工厂基础数据!$A$2:$A$1024,MATCH(X602,工厂基础数据!$D$2:$D$1024,0))</f>
        <v>02025767</v>
      </c>
      <c r="E602" s="6" t="str">
        <f>INDEX(工厂基础数据!$B$2:$B$1024,MATCH(X602,工厂基础数据!$D$2:$D$1024,0))</f>
        <v>滨州市仁信医药有限公司</v>
      </c>
      <c r="F602" s="6">
        <f>INDEX(商业2转码!$B$2:$B$10000,MATCH(E602,商业2转码!$A$2:$A$10000,0))</f>
        <v>0</v>
      </c>
      <c r="G602" s="6" t="str">
        <f>INDEX(品种2编码!$A$2:$A$1048576,MATCH(W602,品种2编码!$D$2:$D$1048576,0))</f>
        <v>0020050090ZYEC0004</v>
      </c>
      <c r="H602" s="6" t="s">
        <v>324</v>
      </c>
      <c r="I602" s="6" t="s">
        <v>1851</v>
      </c>
      <c r="J602" s="6" t="s">
        <v>3041</v>
      </c>
      <c r="L602" s="6" t="s">
        <v>2646</v>
      </c>
      <c r="M602" s="6">
        <f>INDEX(医院2县区2人!$B$2:$B$1048576,MATCH(L602,医院2县区2人!$A$2:$A$1048576,0))</f>
        <v>2</v>
      </c>
      <c r="N602" s="6" t="str">
        <f>INDEX(医院2县区2人!$C$2:$C$1048576,MATCH(L602,医院2县区2人!$A$2:$A$1048576,0))</f>
        <v>1853</v>
      </c>
      <c r="P602" s="7">
        <v>43273.753553240742</v>
      </c>
      <c r="Q602" s="6">
        <v>50</v>
      </c>
      <c r="R602" s="6">
        <v>13.5</v>
      </c>
      <c r="S602" s="6">
        <v>160801</v>
      </c>
      <c r="T602" s="6" t="str">
        <f>INDEX(医院2县区2人!$D$2:$D$1048576,MATCH(L602,医院2县区2人!$A$2:$A$1048576,0))</f>
        <v>201602151421097</v>
      </c>
      <c r="W602" s="6" t="str">
        <f t="shared" si="21"/>
        <v>刺五加脑灵液100ml</v>
      </c>
      <c r="X602" s="6" t="s">
        <v>2890</v>
      </c>
    </row>
    <row r="603" spans="1:24" x14ac:dyDescent="0.15">
      <c r="A603" s="7" t="str">
        <f t="shared" si="22"/>
        <v>201806</v>
      </c>
      <c r="C603" s="6" t="str">
        <f>INDEX(工厂基础数据!$A$2:$A$1024,MATCH(X603,工厂基础数据!$D$2:$D$1024,0))</f>
        <v>02025767</v>
      </c>
      <c r="E603" s="6" t="str">
        <f>INDEX(工厂基础数据!$B$2:$B$1024,MATCH(X603,工厂基础数据!$D$2:$D$1024,0))</f>
        <v>滨州市仁信医药有限公司</v>
      </c>
      <c r="F603" s="6">
        <f>INDEX(商业2转码!$B$2:$B$10000,MATCH(E603,商业2转码!$A$2:$A$10000,0))</f>
        <v>0</v>
      </c>
      <c r="G603" s="6" t="str">
        <f>INDEX(品种2编码!$A$2:$A$1048576,MATCH(W603,品种2编码!$D$2:$D$1048576,0))</f>
        <v>0020020021ZYZC0341</v>
      </c>
      <c r="H603" s="6" t="s">
        <v>1936</v>
      </c>
      <c r="I603" s="6" t="s">
        <v>279</v>
      </c>
      <c r="J603" s="6" t="s">
        <v>3042</v>
      </c>
      <c r="L603" s="6" t="s">
        <v>2213</v>
      </c>
      <c r="M603" s="6">
        <f>INDEX(医院2县区2人!$B$2:$B$1048576,MATCH(L603,医院2县区2人!$A$2:$A$1048576,0))</f>
        <v>4</v>
      </c>
      <c r="N603" s="6" t="str">
        <f>INDEX(医院2县区2人!$C$2:$C$1048576,MATCH(L603,医院2县区2人!$A$2:$A$1048576,0))</f>
        <v>1857</v>
      </c>
      <c r="P603" s="7">
        <v>43274.746678240743</v>
      </c>
      <c r="Q603" s="6">
        <v>-20</v>
      </c>
      <c r="R603" s="6">
        <v>9.5</v>
      </c>
      <c r="S603" s="6" t="s">
        <v>3049</v>
      </c>
      <c r="T603" s="6" t="str">
        <f>INDEX(医院2县区2人!$D$2:$D$1048576,MATCH(L603,医院2县区2人!$A$2:$A$1048576,0))</f>
        <v>201602151421097</v>
      </c>
      <c r="W603" s="6" t="str">
        <f t="shared" si="21"/>
        <v>阿莫西林克拉维酸钾分散片0.2285g*12片</v>
      </c>
      <c r="X603" s="6" t="s">
        <v>2890</v>
      </c>
    </row>
    <row r="604" spans="1:24" x14ac:dyDescent="0.15">
      <c r="A604" s="7" t="str">
        <f t="shared" si="22"/>
        <v>201806</v>
      </c>
      <c r="C604" s="6" t="str">
        <f>INDEX(工厂基础数据!$A$2:$A$1024,MATCH(X604,工厂基础数据!$D$2:$D$1024,0))</f>
        <v>02025767</v>
      </c>
      <c r="E604" s="6" t="str">
        <f>INDEX(工厂基础数据!$B$2:$B$1024,MATCH(X604,工厂基础数据!$D$2:$D$1024,0))</f>
        <v>滨州市仁信医药有限公司</v>
      </c>
      <c r="F604" s="6">
        <f>INDEX(商业2转码!$B$2:$B$10000,MATCH(E604,商业2转码!$A$2:$A$10000,0))</f>
        <v>0</v>
      </c>
      <c r="G604" s="6" t="str">
        <f>INDEX(品种2编码!$A$2:$A$1048576,MATCH(W604,品种2编码!$D$2:$D$1048576,0))</f>
        <v>0020020030ZYZC0283</v>
      </c>
      <c r="H604" s="6" t="s">
        <v>655</v>
      </c>
      <c r="I604" s="6" t="s">
        <v>1938</v>
      </c>
      <c r="J604" s="6" t="s">
        <v>3038</v>
      </c>
      <c r="L604" s="6" t="s">
        <v>2213</v>
      </c>
      <c r="M604" s="6">
        <f>INDEX(医院2县区2人!$B$2:$B$1048576,MATCH(L604,医院2县区2人!$A$2:$A$1048576,0))</f>
        <v>4</v>
      </c>
      <c r="N604" s="6" t="str">
        <f>INDEX(医院2县区2人!$C$2:$C$1048576,MATCH(L604,医院2县区2人!$A$2:$A$1048576,0))</f>
        <v>1857</v>
      </c>
      <c r="P604" s="7">
        <v>43274.746678240743</v>
      </c>
      <c r="Q604" s="6">
        <v>-2</v>
      </c>
      <c r="R604" s="6">
        <v>7</v>
      </c>
      <c r="S604" s="6" t="s">
        <v>3059</v>
      </c>
      <c r="T604" s="6" t="str">
        <f>INDEX(医院2县区2人!$D$2:$D$1048576,MATCH(L604,医院2县区2人!$A$2:$A$1048576,0))</f>
        <v>201602151421097</v>
      </c>
      <c r="W604" s="6" t="str">
        <f t="shared" si="21"/>
        <v>头孢拉定胶囊0.25g*24粒</v>
      </c>
      <c r="X604" s="6" t="s">
        <v>2890</v>
      </c>
    </row>
    <row r="605" spans="1:24" x14ac:dyDescent="0.15">
      <c r="A605" s="7" t="str">
        <f t="shared" si="22"/>
        <v>201806</v>
      </c>
      <c r="C605" s="6" t="str">
        <f>INDEX(工厂基础数据!$A$2:$A$1024,MATCH(X605,工厂基础数据!$D$2:$D$1024,0))</f>
        <v>02025767</v>
      </c>
      <c r="E605" s="6" t="str">
        <f>INDEX(工厂基础数据!$B$2:$B$1024,MATCH(X605,工厂基础数据!$D$2:$D$1024,0))</f>
        <v>滨州市仁信医药有限公司</v>
      </c>
      <c r="F605" s="6">
        <f>INDEX(商业2转码!$B$2:$B$10000,MATCH(E605,商业2转码!$A$2:$A$10000,0))</f>
        <v>0</v>
      </c>
      <c r="G605" s="6" t="str">
        <f>INDEX(品种2编码!$A$2:$A$1048576,MATCH(W605,品种2编码!$D$2:$D$1048576,0))</f>
        <v>0020030001SJZY0009</v>
      </c>
      <c r="H605" s="6" t="s">
        <v>555</v>
      </c>
      <c r="I605" s="6" t="s">
        <v>1889</v>
      </c>
      <c r="J605" s="6" t="s">
        <v>3039</v>
      </c>
      <c r="L605" s="6" t="s">
        <v>2203</v>
      </c>
      <c r="M605" s="6">
        <f>INDEX(医院2县区2人!$B$2:$B$1048576,MATCH(L605,医院2县区2人!$A$2:$A$1048576,0))</f>
        <v>2</v>
      </c>
      <c r="N605" s="6" t="str">
        <f>INDEX(医院2县区2人!$C$2:$C$1048576,MATCH(L605,医院2县区2人!$A$2:$A$1048576,0))</f>
        <v>1855</v>
      </c>
      <c r="P605" s="7">
        <v>43273.753159722219</v>
      </c>
      <c r="Q605" s="6">
        <v>5</v>
      </c>
      <c r="R605" s="6">
        <v>25</v>
      </c>
      <c r="S605" s="6">
        <v>18032427</v>
      </c>
      <c r="T605" s="6" t="str">
        <f>INDEX(医院2县区2人!$D$2:$D$1048576,MATCH(L605,医院2县区2人!$A$2:$A$1048576,0))</f>
        <v>201602151421097</v>
      </c>
      <c r="W605" s="6" t="str">
        <f t="shared" si="21"/>
        <v>葡萄糖酸锌口服液10ML*12支</v>
      </c>
      <c r="X605" s="6" t="s">
        <v>2890</v>
      </c>
    </row>
    <row r="606" spans="1:24" x14ac:dyDescent="0.15">
      <c r="A606" s="7" t="str">
        <f t="shared" si="22"/>
        <v>201806</v>
      </c>
      <c r="C606" s="6" t="str">
        <f>INDEX(工厂基础数据!$A$2:$A$1024,MATCH(X606,工厂基础数据!$D$2:$D$1024,0))</f>
        <v>02025767</v>
      </c>
      <c r="E606" s="6" t="str">
        <f>INDEX(工厂基础数据!$B$2:$B$1024,MATCH(X606,工厂基础数据!$D$2:$D$1024,0))</f>
        <v>滨州市仁信医药有限公司</v>
      </c>
      <c r="F606" s="6">
        <f>INDEX(商业2转码!$B$2:$B$10000,MATCH(E606,商业2转码!$A$2:$A$10000,0))</f>
        <v>0</v>
      </c>
      <c r="G606" s="6" t="str">
        <f>INDEX(品种2编码!$A$2:$A$1048576,MATCH(W606,品种2编码!$D$2:$D$1048576,0))</f>
        <v>0020070000ZYLC0055</v>
      </c>
      <c r="H606" s="6" t="s">
        <v>1906</v>
      </c>
      <c r="I606" s="6" t="s">
        <v>411</v>
      </c>
      <c r="J606" s="6" t="s">
        <v>3036</v>
      </c>
      <c r="L606" s="6" t="s">
        <v>2188</v>
      </c>
      <c r="M606" s="6">
        <f>INDEX(医院2县区2人!$B$2:$B$1048576,MATCH(L606,医院2县区2人!$A$2:$A$1048576,0))</f>
        <v>2</v>
      </c>
      <c r="N606" s="6" t="str">
        <f>INDEX(医院2县区2人!$C$2:$C$1048576,MATCH(L606,医院2县区2人!$A$2:$A$1048576,0))</f>
        <v>1855</v>
      </c>
      <c r="P606" s="7">
        <v>43273.75371527778</v>
      </c>
      <c r="Q606" s="6">
        <v>1</v>
      </c>
      <c r="R606" s="6">
        <v>20</v>
      </c>
      <c r="S606" s="6">
        <v>171064</v>
      </c>
      <c r="T606" s="6" t="str">
        <f>INDEX(医院2县区2人!$D$2:$D$1048576,MATCH(L606,医院2县区2人!$A$2:$A$1048576,0))</f>
        <v>201602151421097</v>
      </c>
      <c r="W606" s="6" t="str">
        <f t="shared" si="21"/>
        <v>朴血/乳酸亚铁口服液10ml*12支</v>
      </c>
      <c r="X606" s="6" t="s">
        <v>2890</v>
      </c>
    </row>
    <row r="607" spans="1:24" x14ac:dyDescent="0.15">
      <c r="A607" s="7" t="str">
        <f t="shared" si="22"/>
        <v>201806</v>
      </c>
      <c r="C607" s="6" t="str">
        <f>INDEX(工厂基础数据!$A$2:$A$1024,MATCH(X607,工厂基础数据!$D$2:$D$1024,0))</f>
        <v>02025767</v>
      </c>
      <c r="E607" s="6" t="str">
        <f>INDEX(工厂基础数据!$B$2:$B$1024,MATCH(X607,工厂基础数据!$D$2:$D$1024,0))</f>
        <v>滨州市仁信医药有限公司</v>
      </c>
      <c r="F607" s="6">
        <f>INDEX(商业2转码!$B$2:$B$10000,MATCH(E607,商业2转码!$A$2:$A$10000,0))</f>
        <v>0</v>
      </c>
      <c r="G607" s="6" t="str">
        <f>INDEX(品种2编码!$A$2:$A$1048576,MATCH(W607,品种2编码!$D$2:$D$1048576,0))</f>
        <v>0020040001SHYT0026</v>
      </c>
      <c r="H607" s="6" t="s">
        <v>715</v>
      </c>
      <c r="I607" s="6" t="s">
        <v>1867</v>
      </c>
      <c r="J607" s="6" t="s">
        <v>3037</v>
      </c>
      <c r="L607" s="6" t="s">
        <v>2257</v>
      </c>
      <c r="M607" s="6">
        <f>INDEX(医院2县区2人!$B$2:$B$1048576,MATCH(L607,医院2县区2人!$A$2:$A$1048576,0))</f>
        <v>2</v>
      </c>
      <c r="N607" s="6" t="str">
        <f>INDEX(医院2县区2人!$C$2:$C$1048576,MATCH(L607,医院2县区2人!$A$2:$A$1048576,0))</f>
        <v>1855</v>
      </c>
      <c r="P607" s="7">
        <v>43273.75335648148</v>
      </c>
      <c r="Q607" s="6">
        <v>13</v>
      </c>
      <c r="R607" s="6">
        <v>5.8</v>
      </c>
      <c r="S607" s="6">
        <v>1712115</v>
      </c>
      <c r="T607" s="6" t="str">
        <f>INDEX(医院2县区2人!$D$2:$D$1048576,MATCH(L607,医院2县区2人!$A$2:$A$1048576,0))</f>
        <v>201602151421097</v>
      </c>
      <c r="W607" s="6" t="str">
        <f t="shared" si="21"/>
        <v>小活络丸3g*10丸</v>
      </c>
      <c r="X607" s="6" t="s">
        <v>2890</v>
      </c>
    </row>
    <row r="608" spans="1:24" x14ac:dyDescent="0.15">
      <c r="A608" s="7" t="str">
        <f t="shared" si="22"/>
        <v>201806</v>
      </c>
      <c r="C608" s="6" t="str">
        <f>INDEX(工厂基础数据!$A$2:$A$1024,MATCH(X608,工厂基础数据!$D$2:$D$1024,0))</f>
        <v>02025767</v>
      </c>
      <c r="E608" s="6" t="str">
        <f>INDEX(工厂基础数据!$B$2:$B$1024,MATCH(X608,工厂基础数据!$D$2:$D$1024,0))</f>
        <v>滨州市仁信医药有限公司</v>
      </c>
      <c r="F608" s="6">
        <f>INDEX(商业2转码!$B$2:$B$10000,MATCH(E608,商业2转码!$A$2:$A$10000,0))</f>
        <v>0</v>
      </c>
      <c r="G608" s="6" t="str">
        <f>INDEX(品种2编码!$A$2:$A$1048576,MATCH(W608,品种2编码!$D$2:$D$1048576,0))</f>
        <v>0020020030SJMS0025</v>
      </c>
      <c r="H608" s="6" t="s">
        <v>1900</v>
      </c>
      <c r="I608" s="6" t="s">
        <v>1901</v>
      </c>
      <c r="J608" s="6" t="s">
        <v>3046</v>
      </c>
      <c r="L608" s="6" t="s">
        <v>2272</v>
      </c>
      <c r="M608" s="6">
        <f>INDEX(医院2县区2人!$B$2:$B$1048576,MATCH(L608,医院2县区2人!$A$2:$A$1048576,0))</f>
        <v>1</v>
      </c>
      <c r="N608" s="6" t="str">
        <f>INDEX(医院2县区2人!$C$2:$C$1048576,MATCH(L608,医院2县区2人!$A$2:$A$1048576,0))</f>
        <v>1854</v>
      </c>
      <c r="P608" s="7">
        <v>43274.745636574073</v>
      </c>
      <c r="Q608" s="6">
        <v>10</v>
      </c>
      <c r="R608" s="6">
        <v>7.7</v>
      </c>
      <c r="S608" s="6">
        <v>1801007</v>
      </c>
      <c r="T608" s="6" t="str">
        <f>INDEX(医院2县区2人!$D$2:$D$1048576,MATCH(L608,医院2县区2人!$A$2:$A$1048576,0))</f>
        <v>201602151421097</v>
      </c>
      <c r="W608" s="6" t="str">
        <f t="shared" si="21"/>
        <v>人工牛黄甲硝唑胶囊/牙疼安10粒*3板</v>
      </c>
      <c r="X608" s="6" t="s">
        <v>2890</v>
      </c>
    </row>
    <row r="609" spans="1:24" x14ac:dyDescent="0.15">
      <c r="A609" s="7" t="str">
        <f t="shared" si="22"/>
        <v>201806</v>
      </c>
      <c r="C609" s="6" t="str">
        <f>INDEX(工厂基础数据!$A$2:$A$1024,MATCH(X609,工厂基础数据!$D$2:$D$1024,0))</f>
        <v>02025767</v>
      </c>
      <c r="E609" s="6" t="str">
        <f>INDEX(工厂基础数据!$B$2:$B$1024,MATCH(X609,工厂基础数据!$D$2:$D$1024,0))</f>
        <v>滨州市仁信医药有限公司</v>
      </c>
      <c r="F609" s="6">
        <f>INDEX(商业2转码!$B$2:$B$10000,MATCH(E609,商业2转码!$A$2:$A$10000,0))</f>
        <v>0</v>
      </c>
      <c r="G609" s="6" t="str">
        <f>INDEX(品种2编码!$A$2:$A$1048576,MATCH(W609,品种2编码!$D$2:$D$1048576,0))</f>
        <v>0020020020ZYLC0010</v>
      </c>
      <c r="H609" s="6" t="s">
        <v>1877</v>
      </c>
      <c r="I609" s="6" t="s">
        <v>1878</v>
      </c>
      <c r="J609" s="6" t="s">
        <v>3036</v>
      </c>
      <c r="L609" s="6" t="s">
        <v>2736</v>
      </c>
      <c r="M609" s="6">
        <f>INDEX(医院2县区2人!$B$2:$B$1048576,MATCH(L609,医院2县区2人!$A$2:$A$1048576,0))</f>
        <v>1</v>
      </c>
      <c r="N609" s="6" t="str">
        <f>INDEX(医院2县区2人!$C$2:$C$1048576,MATCH(L609,医院2县区2人!$A$2:$A$1048576,0))</f>
        <v>1854</v>
      </c>
      <c r="P609" s="7">
        <v>43274.745520833334</v>
      </c>
      <c r="Q609" s="6">
        <v>20</v>
      </c>
      <c r="R609" s="6">
        <v>3.5</v>
      </c>
      <c r="S609" s="6">
        <v>180401</v>
      </c>
      <c r="T609" s="6" t="str">
        <f>INDEX(医院2县区2人!$D$2:$D$1048576,MATCH(L609,医院2县区2人!$A$2:$A$1048576,0))</f>
        <v>201602151421097</v>
      </c>
      <c r="W609" s="6" t="str">
        <f t="shared" si="21"/>
        <v xml:space="preserve">泻利停/颠茄磺苄啶片0.48g*10片 </v>
      </c>
      <c r="X609" s="6" t="s">
        <v>2890</v>
      </c>
    </row>
    <row r="610" spans="1:24" x14ac:dyDescent="0.15">
      <c r="A610" s="7" t="str">
        <f t="shared" si="22"/>
        <v>201806</v>
      </c>
      <c r="C610" s="6" t="str">
        <f>INDEX(工厂基础数据!$A$2:$A$1024,MATCH(X610,工厂基础数据!$D$2:$D$1024,0))</f>
        <v>02025767</v>
      </c>
      <c r="E610" s="6" t="str">
        <f>INDEX(工厂基础数据!$B$2:$B$1024,MATCH(X610,工厂基础数据!$D$2:$D$1024,0))</f>
        <v>滨州市仁信医药有限公司</v>
      </c>
      <c r="F610" s="6">
        <f>INDEX(商业2转码!$B$2:$B$10000,MATCH(E610,商业2转码!$A$2:$A$10000,0))</f>
        <v>0</v>
      </c>
      <c r="G610" s="6">
        <f>INDEX(品种2编码!$A$2:$A$1048576,MATCH(W610,品种2编码!$D$2:$D$1048576,0))</f>
        <v>0</v>
      </c>
      <c r="H610" s="6" t="s">
        <v>857</v>
      </c>
      <c r="I610" s="6" t="s">
        <v>861</v>
      </c>
      <c r="J610" s="6" t="s">
        <v>3047</v>
      </c>
      <c r="L610" s="6" t="s">
        <v>3013</v>
      </c>
      <c r="M610" s="6" t="e">
        <f>INDEX(医院2县区2人!$B$2:$B$1048576,MATCH(L610,医院2县区2人!$A$2:$A$1048576,0))</f>
        <v>#N/A</v>
      </c>
      <c r="N610" s="6" t="e">
        <f>INDEX(医院2县区2人!$C$2:$C$1048576,MATCH(L610,医院2县区2人!$A$2:$A$1048576,0))</f>
        <v>#N/A</v>
      </c>
      <c r="P610" s="7">
        <v>43274.745555555557</v>
      </c>
      <c r="Q610" s="6">
        <v>50</v>
      </c>
      <c r="R610" s="6">
        <v>5</v>
      </c>
      <c r="S610" s="6">
        <v>201705012</v>
      </c>
      <c r="T610" s="6" t="e">
        <f>INDEX(医院2县区2人!$D$2:$D$1048576,MATCH(L610,医院2县区2人!$A$2:$A$1048576,0))</f>
        <v>#N/A</v>
      </c>
      <c r="W610" s="6" t="str">
        <f t="shared" si="21"/>
        <v>注射用奥扎格雷钠80mg</v>
      </c>
      <c r="X610" s="6" t="s">
        <v>2890</v>
      </c>
    </row>
    <row r="611" spans="1:24" x14ac:dyDescent="0.15">
      <c r="A611" s="7" t="str">
        <f t="shared" si="22"/>
        <v>201806</v>
      </c>
      <c r="C611" s="6" t="str">
        <f>INDEX(工厂基础数据!$A$2:$A$1024,MATCH(X611,工厂基础数据!$D$2:$D$1024,0))</f>
        <v>02025767</v>
      </c>
      <c r="E611" s="6" t="str">
        <f>INDEX(工厂基础数据!$B$2:$B$1024,MATCH(X611,工厂基础数据!$D$2:$D$1024,0))</f>
        <v>滨州市仁信医药有限公司</v>
      </c>
      <c r="F611" s="6">
        <f>INDEX(商业2转码!$B$2:$B$10000,MATCH(E611,商业2转码!$A$2:$A$10000,0))</f>
        <v>0</v>
      </c>
      <c r="G611" s="6" t="str">
        <f>INDEX(品种2编码!$A$2:$A$1048576,MATCH(W611,品种2编码!$D$2:$D$1048576,0))</f>
        <v>0020070000ZYLC0001</v>
      </c>
      <c r="H611" s="6" t="s">
        <v>1885</v>
      </c>
      <c r="I611" s="6" t="s">
        <v>1886</v>
      </c>
      <c r="J611" s="6" t="s">
        <v>3036</v>
      </c>
      <c r="L611" s="6" t="s">
        <v>2754</v>
      </c>
      <c r="M611" s="6">
        <f>INDEX(医院2县区2人!$B$2:$B$1048576,MATCH(L611,医院2县区2人!$A$2:$A$1048576,0))</f>
        <v>2</v>
      </c>
      <c r="N611" s="6" t="str">
        <f>INDEX(医院2县区2人!$C$2:$C$1048576,MATCH(L611,医院2县区2人!$A$2:$A$1048576,0))</f>
        <v>1855</v>
      </c>
      <c r="P611" s="7">
        <v>43274.745405092595</v>
      </c>
      <c r="Q611" s="6">
        <v>2</v>
      </c>
      <c r="R611" s="6">
        <v>29</v>
      </c>
      <c r="S611" s="6">
        <v>180104</v>
      </c>
      <c r="T611" s="6" t="str">
        <f>INDEX(医院2县区2人!$D$2:$D$1048576,MATCH(L611,医院2县区2人!$A$2:$A$1048576,0))</f>
        <v>201602151421097</v>
      </c>
      <c r="W611" s="6" t="str">
        <f t="shared" si="21"/>
        <v>新盖中盖高钙片2.5g*36P</v>
      </c>
      <c r="X611" s="6" t="s">
        <v>2890</v>
      </c>
    </row>
    <row r="612" spans="1:24" x14ac:dyDescent="0.15">
      <c r="A612" s="7" t="str">
        <f t="shared" si="22"/>
        <v>201806</v>
      </c>
      <c r="C612" s="6" t="str">
        <f>INDEX(工厂基础数据!$A$2:$A$1024,MATCH(X612,工厂基础数据!$D$2:$D$1024,0))</f>
        <v>02025767</v>
      </c>
      <c r="E612" s="6" t="str">
        <f>INDEX(工厂基础数据!$B$2:$B$1024,MATCH(X612,工厂基础数据!$D$2:$D$1024,0))</f>
        <v>滨州市仁信医药有限公司</v>
      </c>
      <c r="F612" s="6">
        <f>INDEX(商业2转码!$B$2:$B$10000,MATCH(E612,商业2转码!$A$2:$A$10000,0))</f>
        <v>0</v>
      </c>
      <c r="G612" s="6" t="str">
        <f>INDEX(品种2编码!$A$2:$A$1048576,MATCH(W612,品种2编码!$D$2:$D$1048576,0))</f>
        <v>0020020020ZYLC0010</v>
      </c>
      <c r="H612" s="6" t="s">
        <v>1877</v>
      </c>
      <c r="I612" s="6" t="s">
        <v>1878</v>
      </c>
      <c r="J612" s="6" t="s">
        <v>3036</v>
      </c>
      <c r="L612" s="6" t="s">
        <v>2754</v>
      </c>
      <c r="M612" s="6">
        <f>INDEX(医院2县区2人!$B$2:$B$1048576,MATCH(L612,医院2县区2人!$A$2:$A$1048576,0))</f>
        <v>2</v>
      </c>
      <c r="N612" s="6" t="str">
        <f>INDEX(医院2县区2人!$C$2:$C$1048576,MATCH(L612,医院2县区2人!$A$2:$A$1048576,0))</f>
        <v>1855</v>
      </c>
      <c r="P612" s="7">
        <v>43274.745428240742</v>
      </c>
      <c r="Q612" s="6">
        <v>10</v>
      </c>
      <c r="R612" s="6">
        <v>3.5</v>
      </c>
      <c r="S612" s="6">
        <v>180401</v>
      </c>
      <c r="T612" s="6" t="str">
        <f>INDEX(医院2县区2人!$D$2:$D$1048576,MATCH(L612,医院2县区2人!$A$2:$A$1048576,0))</f>
        <v>201602151421097</v>
      </c>
      <c r="W612" s="6" t="str">
        <f t="shared" si="21"/>
        <v xml:space="preserve">泻利停/颠茄磺苄啶片0.48g*10片 </v>
      </c>
      <c r="X612" s="6" t="s">
        <v>2890</v>
      </c>
    </row>
    <row r="613" spans="1:24" x14ac:dyDescent="0.15">
      <c r="A613" s="7" t="str">
        <f t="shared" si="22"/>
        <v>201806</v>
      </c>
      <c r="C613" s="6" t="str">
        <f>INDEX(工厂基础数据!$A$2:$A$1024,MATCH(X613,工厂基础数据!$D$2:$D$1024,0))</f>
        <v>02025767</v>
      </c>
      <c r="E613" s="6" t="str">
        <f>INDEX(工厂基础数据!$B$2:$B$1024,MATCH(X613,工厂基础数据!$D$2:$D$1024,0))</f>
        <v>滨州市仁信医药有限公司</v>
      </c>
      <c r="F613" s="6">
        <f>INDEX(商业2转码!$B$2:$B$10000,MATCH(E613,商业2转码!$A$2:$A$10000,0))</f>
        <v>0</v>
      </c>
      <c r="G613" s="6" t="str">
        <f>INDEX(品种2编码!$A$2:$A$1048576,MATCH(W613,品种2编码!$D$2:$D$1048576,0))</f>
        <v>0020020030ZYZC0289</v>
      </c>
      <c r="H613" s="6" t="s">
        <v>245</v>
      </c>
      <c r="I613" s="6" t="s">
        <v>1952</v>
      </c>
      <c r="J613" s="6" t="s">
        <v>3038</v>
      </c>
      <c r="L613" s="6" t="s">
        <v>2183</v>
      </c>
      <c r="M613" s="6">
        <f>INDEX(医院2县区2人!$B$2:$B$1048576,MATCH(L613,医院2县区2人!$A$2:$A$1048576,0))</f>
        <v>4</v>
      </c>
      <c r="N613" s="6" t="str">
        <f>INDEX(医院2县区2人!$C$2:$C$1048576,MATCH(L613,医院2县区2人!$A$2:$A$1048576,0))</f>
        <v>1859</v>
      </c>
      <c r="P613" s="7">
        <v>43274.745520833334</v>
      </c>
      <c r="Q613" s="6">
        <v>400</v>
      </c>
      <c r="R613" s="6">
        <v>13</v>
      </c>
      <c r="S613" s="6">
        <v>1805009</v>
      </c>
      <c r="T613" s="6" t="str">
        <f>INDEX(医院2县区2人!$D$2:$D$1048576,MATCH(L613,医院2县区2人!$A$2:$A$1048576,0))</f>
        <v>201602151421097</v>
      </c>
      <c r="W613" s="6" t="str">
        <f t="shared" si="21"/>
        <v>阿莫西林胶囊0.5g*36粒</v>
      </c>
      <c r="X613" s="6" t="s">
        <v>2890</v>
      </c>
    </row>
    <row r="614" spans="1:24" x14ac:dyDescent="0.15">
      <c r="A614" s="7" t="str">
        <f t="shared" si="22"/>
        <v>201806</v>
      </c>
      <c r="C614" s="6" t="str">
        <f>INDEX(工厂基础数据!$A$2:$A$1024,MATCH(X614,工厂基础数据!$D$2:$D$1024,0))</f>
        <v>02025767</v>
      </c>
      <c r="E614" s="6" t="str">
        <f>INDEX(工厂基础数据!$B$2:$B$1024,MATCH(X614,工厂基础数据!$D$2:$D$1024,0))</f>
        <v>滨州市仁信医药有限公司</v>
      </c>
      <c r="F614" s="6">
        <f>INDEX(商业2转码!$B$2:$B$10000,MATCH(E614,商业2转码!$A$2:$A$10000,0))</f>
        <v>0</v>
      </c>
      <c r="G614" s="6" t="str">
        <f>INDEX(品种2编码!$A$2:$A$1048576,MATCH(W614,品种2编码!$D$2:$D$1048576,0))</f>
        <v>0020070001ZYZC0369</v>
      </c>
      <c r="H614" s="6" t="s">
        <v>1849</v>
      </c>
      <c r="I614" s="6" t="s">
        <v>411</v>
      </c>
      <c r="J614" s="6" t="s">
        <v>3038</v>
      </c>
      <c r="L614" s="6" t="s">
        <v>2183</v>
      </c>
      <c r="M614" s="6">
        <f>INDEX(医院2县区2人!$B$2:$B$1048576,MATCH(L614,医院2县区2人!$A$2:$A$1048576,0))</f>
        <v>4</v>
      </c>
      <c r="N614" s="6" t="str">
        <f>INDEX(医院2县区2人!$C$2:$C$1048576,MATCH(L614,医院2县区2人!$A$2:$A$1048576,0))</f>
        <v>1859</v>
      </c>
      <c r="P614" s="7">
        <v>43274.745532407411</v>
      </c>
      <c r="Q614" s="6">
        <v>34</v>
      </c>
      <c r="R614" s="6">
        <v>18</v>
      </c>
      <c r="S614" s="6">
        <v>1803014</v>
      </c>
      <c r="T614" s="6" t="str">
        <f>INDEX(医院2县区2人!$D$2:$D$1048576,MATCH(L614,医院2县区2人!$A$2:$A$1048576,0))</f>
        <v>201602151421097</v>
      </c>
      <c r="W614" s="6" t="str">
        <f t="shared" si="21"/>
        <v>哈药牌钙铁锌口服液10ml*12支</v>
      </c>
      <c r="X614" s="6" t="s">
        <v>2890</v>
      </c>
    </row>
    <row r="615" spans="1:24" x14ac:dyDescent="0.15">
      <c r="A615" s="7" t="str">
        <f t="shared" si="22"/>
        <v>201806</v>
      </c>
      <c r="C615" s="6" t="str">
        <f>INDEX(工厂基础数据!$A$2:$A$1024,MATCH(X615,工厂基础数据!$D$2:$D$1024,0))</f>
        <v>02025767</v>
      </c>
      <c r="E615" s="6" t="str">
        <f>INDEX(工厂基础数据!$B$2:$B$1024,MATCH(X615,工厂基础数据!$D$2:$D$1024,0))</f>
        <v>滨州市仁信医药有限公司</v>
      </c>
      <c r="F615" s="6">
        <f>INDEX(商业2转码!$B$2:$B$10000,MATCH(E615,商业2转码!$A$2:$A$10000,0))</f>
        <v>0</v>
      </c>
      <c r="G615" s="6">
        <f>INDEX(品种2编码!$A$2:$A$1048576,MATCH(W615,品种2编码!$D$2:$D$1048576,0))</f>
        <v>0</v>
      </c>
      <c r="H615" s="6" t="s">
        <v>857</v>
      </c>
      <c r="I615" s="6" t="s">
        <v>861</v>
      </c>
      <c r="J615" s="6" t="s">
        <v>3047</v>
      </c>
      <c r="L615" s="6" t="s">
        <v>3023</v>
      </c>
      <c r="M615" s="6" t="e">
        <f>INDEX(医院2县区2人!$B$2:$B$1048576,MATCH(L615,医院2县区2人!$A$2:$A$1048576,0))</f>
        <v>#N/A</v>
      </c>
      <c r="N615" s="6" t="e">
        <f>INDEX(医院2县区2人!$C$2:$C$1048576,MATCH(L615,医院2县区2人!$A$2:$A$1048576,0))</f>
        <v>#N/A</v>
      </c>
      <c r="P615" s="7">
        <v>43274.745578703703</v>
      </c>
      <c r="Q615" s="6">
        <v>10</v>
      </c>
      <c r="R615" s="6">
        <v>5</v>
      </c>
      <c r="S615" s="6">
        <v>201705012</v>
      </c>
      <c r="T615" s="6" t="e">
        <f>INDEX(医院2县区2人!$D$2:$D$1048576,MATCH(L615,医院2县区2人!$A$2:$A$1048576,0))</f>
        <v>#N/A</v>
      </c>
      <c r="W615" s="6" t="str">
        <f t="shared" si="21"/>
        <v>注射用奥扎格雷钠80mg</v>
      </c>
      <c r="X615" s="6" t="s">
        <v>2890</v>
      </c>
    </row>
    <row r="616" spans="1:24" x14ac:dyDescent="0.15">
      <c r="A616" s="7" t="str">
        <f t="shared" si="22"/>
        <v>201806</v>
      </c>
      <c r="C616" s="6" t="str">
        <f>INDEX(工厂基础数据!$A$2:$A$1024,MATCH(X616,工厂基础数据!$D$2:$D$1024,0))</f>
        <v>02025767</v>
      </c>
      <c r="E616" s="6" t="str">
        <f>INDEX(工厂基础数据!$B$2:$B$1024,MATCH(X616,工厂基础数据!$D$2:$D$1024,0))</f>
        <v>滨州市仁信医药有限公司</v>
      </c>
      <c r="F616" s="6">
        <f>INDEX(商业2转码!$B$2:$B$10000,MATCH(E616,商业2转码!$A$2:$A$10000,0))</f>
        <v>0</v>
      </c>
      <c r="G616" s="6" t="str">
        <f>INDEX(品种2编码!$A$2:$A$1048576,MATCH(W616,品种2编码!$D$2:$D$1048576,0))</f>
        <v>0020030020SJSC0004</v>
      </c>
      <c r="H616" s="6" t="s">
        <v>1907</v>
      </c>
      <c r="I616" s="6" t="s">
        <v>1871</v>
      </c>
      <c r="J616" s="6" t="s">
        <v>3045</v>
      </c>
      <c r="L616" s="6" t="s">
        <v>2183</v>
      </c>
      <c r="M616" s="6">
        <f>INDEX(医院2县区2人!$B$2:$B$1048576,MATCH(L616,医院2县区2人!$A$2:$A$1048576,0))</f>
        <v>4</v>
      </c>
      <c r="N616" s="6" t="str">
        <f>INDEX(医院2县区2人!$C$2:$C$1048576,MATCH(L616,医院2县区2人!$A$2:$A$1048576,0))</f>
        <v>1859</v>
      </c>
      <c r="P616" s="7">
        <v>43274.745520833334</v>
      </c>
      <c r="Q616" s="6">
        <v>30</v>
      </c>
      <c r="R616" s="6">
        <v>12.5</v>
      </c>
      <c r="S616" s="6">
        <v>1803006</v>
      </c>
      <c r="T616" s="6" t="str">
        <f>INDEX(医院2县区2人!$D$2:$D$1048576,MATCH(L616,医院2县区2人!$A$2:$A$1048576,0))</f>
        <v>201602151421097</v>
      </c>
      <c r="W616" s="6" t="str">
        <f t="shared" si="21"/>
        <v>胃必治/复方铝酸铋片50片</v>
      </c>
      <c r="X616" s="6" t="s">
        <v>2890</v>
      </c>
    </row>
    <row r="617" spans="1:24" x14ac:dyDescent="0.15">
      <c r="A617" s="7" t="str">
        <f t="shared" si="22"/>
        <v>201806</v>
      </c>
      <c r="C617" s="6" t="str">
        <f>INDEX(工厂基础数据!$A$2:$A$1024,MATCH(X617,工厂基础数据!$D$2:$D$1024,0))</f>
        <v>02025767</v>
      </c>
      <c r="E617" s="6" t="str">
        <f>INDEX(工厂基础数据!$B$2:$B$1024,MATCH(X617,工厂基础数据!$D$2:$D$1024,0))</f>
        <v>滨州市仁信医药有限公司</v>
      </c>
      <c r="F617" s="6">
        <f>INDEX(商业2转码!$B$2:$B$10000,MATCH(E617,商业2转码!$A$2:$A$10000,0))</f>
        <v>0</v>
      </c>
      <c r="G617" s="6" t="str">
        <f>INDEX(品种2编码!$A$2:$A$1048576,MATCH(W617,品种2编码!$D$2:$D$1048576,0))</f>
        <v>0020030020ZYLC0010</v>
      </c>
      <c r="H617" s="6" t="s">
        <v>1883</v>
      </c>
      <c r="I617" s="6" t="s">
        <v>1839</v>
      </c>
      <c r="J617" s="6" t="s">
        <v>3036</v>
      </c>
      <c r="L617" s="6" t="s">
        <v>2228</v>
      </c>
      <c r="M617" s="6">
        <f>INDEX(医院2县区2人!$B$2:$B$1048576,MATCH(L617,医院2县区2人!$A$2:$A$1048576,0))</f>
        <v>2</v>
      </c>
      <c r="N617" s="6" t="str">
        <f>INDEX(医院2县区2人!$C$2:$C$1048576,MATCH(L617,医院2县区2人!$A$2:$A$1048576,0))</f>
        <v>1854</v>
      </c>
      <c r="P617" s="7">
        <v>43275.736504629633</v>
      </c>
      <c r="Q617" s="6">
        <v>200</v>
      </c>
      <c r="R617" s="6">
        <v>3.7</v>
      </c>
      <c r="S617" s="6">
        <v>180136</v>
      </c>
      <c r="T617" s="6" t="str">
        <f>INDEX(医院2县区2人!$D$2:$D$1048576,MATCH(L617,医院2县区2人!$A$2:$A$1048576,0))</f>
        <v>201602151421097</v>
      </c>
      <c r="W617" s="6" t="str">
        <f t="shared" si="21"/>
        <v>“为消”牌乳酸菌素片0.4g*36片</v>
      </c>
      <c r="X617" s="6" t="s">
        <v>2890</v>
      </c>
    </row>
    <row r="618" spans="1:24" x14ac:dyDescent="0.15">
      <c r="A618" s="7" t="str">
        <f t="shared" si="22"/>
        <v>201806</v>
      </c>
      <c r="C618" s="6" t="str">
        <f>INDEX(工厂基础数据!$A$2:$A$1024,MATCH(X618,工厂基础数据!$D$2:$D$1024,0))</f>
        <v>02025767</v>
      </c>
      <c r="E618" s="6" t="str">
        <f>INDEX(工厂基础数据!$B$2:$B$1024,MATCH(X618,工厂基础数据!$D$2:$D$1024,0))</f>
        <v>滨州市仁信医药有限公司</v>
      </c>
      <c r="F618" s="6">
        <f>INDEX(商业2转码!$B$2:$B$10000,MATCH(E618,商业2转码!$A$2:$A$10000,0))</f>
        <v>0</v>
      </c>
      <c r="G618" s="6" t="str">
        <f>INDEX(品种2编码!$A$2:$A$1048576,MATCH(W618,品种2编码!$D$2:$D$1048576,0))</f>
        <v>0020020021ZYLC0004</v>
      </c>
      <c r="H618" s="6" t="s">
        <v>1899</v>
      </c>
      <c r="I618" s="6" t="s">
        <v>1869</v>
      </c>
      <c r="J618" s="6" t="s">
        <v>3036</v>
      </c>
      <c r="L618" s="6" t="s">
        <v>3022</v>
      </c>
      <c r="M618" s="6" t="e">
        <f>INDEX(医院2县区2人!$B$2:$B$1048576,MATCH(L618,医院2县区2人!$A$2:$A$1048576,0))</f>
        <v>#N/A</v>
      </c>
      <c r="N618" s="6" t="e">
        <f>INDEX(医院2县区2人!$C$2:$C$1048576,MATCH(L618,医院2县区2人!$A$2:$A$1048576,0))</f>
        <v>#N/A</v>
      </c>
      <c r="P618" s="7">
        <v>43274.746666666666</v>
      </c>
      <c r="Q618" s="6">
        <v>-20</v>
      </c>
      <c r="R618" s="6">
        <v>8</v>
      </c>
      <c r="S618" s="6">
        <v>180201</v>
      </c>
      <c r="T618" s="6" t="e">
        <f>INDEX(医院2县区2人!$D$2:$D$1048576,MATCH(L618,医院2县区2人!$A$2:$A$1048576,0))</f>
        <v>#N/A</v>
      </c>
      <c r="W618" s="6" t="str">
        <f t="shared" si="21"/>
        <v>大严迪片/罗红霉素分散片75mg*12片</v>
      </c>
      <c r="X618" s="6" t="s">
        <v>2890</v>
      </c>
    </row>
    <row r="619" spans="1:24" x14ac:dyDescent="0.15">
      <c r="A619" s="7" t="str">
        <f t="shared" si="22"/>
        <v>201806</v>
      </c>
      <c r="C619" s="6" t="str">
        <f>INDEX(工厂基础数据!$A$2:$A$1024,MATCH(X619,工厂基础数据!$D$2:$D$1024,0))</f>
        <v>02025767</v>
      </c>
      <c r="E619" s="6" t="str">
        <f>INDEX(工厂基础数据!$B$2:$B$1024,MATCH(X619,工厂基础数据!$D$2:$D$1024,0))</f>
        <v>滨州市仁信医药有限公司</v>
      </c>
      <c r="F619" s="6">
        <f>INDEX(商业2转码!$B$2:$B$10000,MATCH(E619,商业2转码!$A$2:$A$10000,0))</f>
        <v>0</v>
      </c>
      <c r="G619" s="6" t="str">
        <f>INDEX(品种2编码!$A$2:$A$1048576,MATCH(W619,品种2编码!$D$2:$D$1048576,0))</f>
        <v>0020020021ZYLC0005</v>
      </c>
      <c r="H619" s="6" t="s">
        <v>1920</v>
      </c>
      <c r="I619" s="6" t="s">
        <v>1841</v>
      </c>
      <c r="J619" s="6" t="s">
        <v>3036</v>
      </c>
      <c r="L619" s="6" t="s">
        <v>3022</v>
      </c>
      <c r="M619" s="6" t="e">
        <f>INDEX(医院2县区2人!$B$2:$B$1048576,MATCH(L619,医院2县区2人!$A$2:$A$1048576,0))</f>
        <v>#N/A</v>
      </c>
      <c r="N619" s="6" t="e">
        <f>INDEX(医院2县区2人!$C$2:$C$1048576,MATCH(L619,医院2县区2人!$A$2:$A$1048576,0))</f>
        <v>#N/A</v>
      </c>
      <c r="P619" s="7">
        <v>43274.746666666666</v>
      </c>
      <c r="Q619" s="6">
        <v>-20</v>
      </c>
      <c r="R619" s="6">
        <v>4</v>
      </c>
      <c r="S619" s="6">
        <v>180201</v>
      </c>
      <c r="T619" s="6" t="e">
        <f>INDEX(医院2县区2人!$D$2:$D$1048576,MATCH(L619,医院2县区2人!$A$2:$A$1048576,0))</f>
        <v>#N/A</v>
      </c>
      <c r="W619" s="6" t="str">
        <f t="shared" si="21"/>
        <v>小儿严迪片/罗红霉素分散片50mg*12片</v>
      </c>
      <c r="X619" s="6" t="s">
        <v>2890</v>
      </c>
    </row>
    <row r="620" spans="1:24" x14ac:dyDescent="0.15">
      <c r="A620" s="7" t="str">
        <f t="shared" si="22"/>
        <v>201806</v>
      </c>
      <c r="C620" s="6" t="str">
        <f>INDEX(工厂基础数据!$A$2:$A$1024,MATCH(X620,工厂基础数据!$D$2:$D$1024,0))</f>
        <v>02025767</v>
      </c>
      <c r="E620" s="6" t="str">
        <f>INDEX(工厂基础数据!$B$2:$B$1024,MATCH(X620,工厂基础数据!$D$2:$D$1024,0))</f>
        <v>滨州市仁信医药有限公司</v>
      </c>
      <c r="F620" s="6">
        <f>INDEX(商业2转码!$B$2:$B$10000,MATCH(E620,商业2转码!$A$2:$A$10000,0))</f>
        <v>0</v>
      </c>
      <c r="G620" s="6" t="str">
        <f>INDEX(品种2编码!$A$2:$A$1048576,MATCH(W620,品种2编码!$D$2:$D$1048576,0))</f>
        <v>0020030001SJZY0006</v>
      </c>
      <c r="H620" s="6" t="s">
        <v>1888</v>
      </c>
      <c r="I620" s="6" t="s">
        <v>411</v>
      </c>
      <c r="J620" s="6" t="s">
        <v>3040</v>
      </c>
      <c r="L620" s="6" t="s">
        <v>3022</v>
      </c>
      <c r="M620" s="6" t="e">
        <f>INDEX(医院2县区2人!$B$2:$B$1048576,MATCH(L620,医院2县区2人!$A$2:$A$1048576,0))</f>
        <v>#N/A</v>
      </c>
      <c r="N620" s="6" t="e">
        <f>INDEX(医院2县区2人!$C$2:$C$1048576,MATCH(L620,医院2县区2人!$A$2:$A$1048576,0))</f>
        <v>#N/A</v>
      </c>
      <c r="P620" s="7">
        <v>43274.746678240743</v>
      </c>
      <c r="Q620" s="6">
        <v>-30</v>
      </c>
      <c r="R620" s="6">
        <v>25</v>
      </c>
      <c r="S620" s="6">
        <v>17071042</v>
      </c>
      <c r="T620" s="6" t="e">
        <f>INDEX(医院2县区2人!$D$2:$D$1048576,MATCH(L620,医院2县区2人!$A$2:$A$1048576,0))</f>
        <v>#N/A</v>
      </c>
      <c r="W620" s="6" t="str">
        <f t="shared" si="21"/>
        <v>葡萄糖酸钙口服溶液（含糖）10ml*12支</v>
      </c>
      <c r="X620" s="6" t="s">
        <v>2890</v>
      </c>
    </row>
    <row r="621" spans="1:24" x14ac:dyDescent="0.15">
      <c r="A621" s="7" t="str">
        <f t="shared" si="22"/>
        <v>201806</v>
      </c>
      <c r="C621" s="6" t="str">
        <f>INDEX(工厂基础数据!$A$2:$A$1024,MATCH(X621,工厂基础数据!$D$2:$D$1024,0))</f>
        <v>02025767</v>
      </c>
      <c r="E621" s="6" t="str">
        <f>INDEX(工厂基础数据!$B$2:$B$1024,MATCH(X621,工厂基础数据!$D$2:$D$1024,0))</f>
        <v>滨州市仁信医药有限公司</v>
      </c>
      <c r="F621" s="6">
        <f>INDEX(商业2转码!$B$2:$B$10000,MATCH(E621,商业2转码!$A$2:$A$10000,0))</f>
        <v>0</v>
      </c>
      <c r="G621" s="6" t="str">
        <f>INDEX(品种2编码!$A$2:$A$1048576,MATCH(W621,品种2编码!$D$2:$D$1048576,0))</f>
        <v>0020020021ZYLC0004</v>
      </c>
      <c r="H621" s="6" t="s">
        <v>1899</v>
      </c>
      <c r="I621" s="6" t="s">
        <v>1869</v>
      </c>
      <c r="J621" s="6" t="s">
        <v>3036</v>
      </c>
      <c r="L621" s="6" t="s">
        <v>2263</v>
      </c>
      <c r="M621" s="6">
        <f>INDEX(医院2县区2人!$B$2:$B$1048576,MATCH(L621,医院2县区2人!$A$2:$A$1048576,0))</f>
        <v>1</v>
      </c>
      <c r="N621" s="6" t="str">
        <f>INDEX(医院2县区2人!$C$2:$C$1048576,MATCH(L621,医院2县区2人!$A$2:$A$1048576,0))</f>
        <v>1858</v>
      </c>
      <c r="P621" s="7">
        <v>43274.745555555557</v>
      </c>
      <c r="Q621" s="6">
        <v>20</v>
      </c>
      <c r="R621" s="6">
        <v>8</v>
      </c>
      <c r="S621" s="6">
        <v>180201</v>
      </c>
      <c r="T621" s="6" t="str">
        <f>INDEX(医院2县区2人!$D$2:$D$1048576,MATCH(L621,医院2县区2人!$A$2:$A$1048576,0))</f>
        <v>201602151421097</v>
      </c>
      <c r="W621" s="6" t="str">
        <f t="shared" si="21"/>
        <v>大严迪片/罗红霉素分散片75mg*12片</v>
      </c>
      <c r="X621" s="6" t="s">
        <v>2890</v>
      </c>
    </row>
    <row r="622" spans="1:24" x14ac:dyDescent="0.15">
      <c r="A622" s="7" t="str">
        <f t="shared" si="22"/>
        <v>201806</v>
      </c>
      <c r="C622" s="6" t="str">
        <f>INDEX(工厂基础数据!$A$2:$A$1024,MATCH(X622,工厂基础数据!$D$2:$D$1024,0))</f>
        <v>02025767</v>
      </c>
      <c r="E622" s="6" t="str">
        <f>INDEX(工厂基础数据!$B$2:$B$1024,MATCH(X622,工厂基础数据!$D$2:$D$1024,0))</f>
        <v>滨州市仁信医药有限公司</v>
      </c>
      <c r="F622" s="6">
        <f>INDEX(商业2转码!$B$2:$B$10000,MATCH(E622,商业2转码!$A$2:$A$10000,0))</f>
        <v>0</v>
      </c>
      <c r="G622" s="6" t="str">
        <f>INDEX(品种2编码!$A$2:$A$1048576,MATCH(W622,品种2编码!$D$2:$D$1048576,0))</f>
        <v>0020020021ZYLC0005</v>
      </c>
      <c r="H622" s="6" t="s">
        <v>1920</v>
      </c>
      <c r="I622" s="6" t="s">
        <v>1841</v>
      </c>
      <c r="J622" s="6" t="s">
        <v>3036</v>
      </c>
      <c r="L622" s="6" t="s">
        <v>2263</v>
      </c>
      <c r="M622" s="6">
        <f>INDEX(医院2县区2人!$B$2:$B$1048576,MATCH(L622,医院2县区2人!$A$2:$A$1048576,0))</f>
        <v>1</v>
      </c>
      <c r="N622" s="6" t="str">
        <f>INDEX(医院2县区2人!$C$2:$C$1048576,MATCH(L622,医院2县区2人!$A$2:$A$1048576,0))</f>
        <v>1858</v>
      </c>
      <c r="P622" s="7">
        <v>43274.745567129627</v>
      </c>
      <c r="Q622" s="6">
        <v>20</v>
      </c>
      <c r="R622" s="6">
        <v>4</v>
      </c>
      <c r="S622" s="6">
        <v>180201</v>
      </c>
      <c r="T622" s="6" t="str">
        <f>INDEX(医院2县区2人!$D$2:$D$1048576,MATCH(L622,医院2县区2人!$A$2:$A$1048576,0))</f>
        <v>201602151421097</v>
      </c>
      <c r="W622" s="6" t="str">
        <f t="shared" si="21"/>
        <v>小儿严迪片/罗红霉素分散片50mg*12片</v>
      </c>
      <c r="X622" s="6" t="s">
        <v>2890</v>
      </c>
    </row>
    <row r="623" spans="1:24" x14ac:dyDescent="0.15">
      <c r="A623" s="7" t="str">
        <f t="shared" si="22"/>
        <v>201806</v>
      </c>
      <c r="C623" s="6" t="str">
        <f>INDEX(工厂基础数据!$A$2:$A$1024,MATCH(X623,工厂基础数据!$D$2:$D$1024,0))</f>
        <v>02025767</v>
      </c>
      <c r="E623" s="6" t="str">
        <f>INDEX(工厂基础数据!$B$2:$B$1024,MATCH(X623,工厂基础数据!$D$2:$D$1024,0))</f>
        <v>滨州市仁信医药有限公司</v>
      </c>
      <c r="F623" s="6">
        <f>INDEX(商业2转码!$B$2:$B$10000,MATCH(E623,商业2转码!$A$2:$A$10000,0))</f>
        <v>0</v>
      </c>
      <c r="G623" s="6" t="str">
        <f>INDEX(品种2编码!$A$2:$A$1048576,MATCH(W623,品种2编码!$D$2:$D$1048576,0))</f>
        <v>0020030001SJZY0006</v>
      </c>
      <c r="H623" s="6" t="s">
        <v>1888</v>
      </c>
      <c r="I623" s="6" t="s">
        <v>411</v>
      </c>
      <c r="J623" s="6" t="s">
        <v>3040</v>
      </c>
      <c r="L623" s="6" t="s">
        <v>2263</v>
      </c>
      <c r="M623" s="6">
        <f>INDEX(医院2县区2人!$B$2:$B$1048576,MATCH(L623,医院2县区2人!$A$2:$A$1048576,0))</f>
        <v>1</v>
      </c>
      <c r="N623" s="6" t="str">
        <f>INDEX(医院2县区2人!$C$2:$C$1048576,MATCH(L623,医院2县区2人!$A$2:$A$1048576,0))</f>
        <v>1858</v>
      </c>
      <c r="P623" s="7">
        <v>43274.745567129627</v>
      </c>
      <c r="Q623" s="6">
        <v>30</v>
      </c>
      <c r="R623" s="6">
        <v>25</v>
      </c>
      <c r="S623" s="6">
        <v>17071042</v>
      </c>
      <c r="T623" s="6" t="str">
        <f>INDEX(医院2县区2人!$D$2:$D$1048576,MATCH(L623,医院2县区2人!$A$2:$A$1048576,0))</f>
        <v>201602151421097</v>
      </c>
      <c r="W623" s="6" t="str">
        <f t="shared" si="21"/>
        <v>葡萄糖酸钙口服溶液（含糖）10ml*12支</v>
      </c>
      <c r="X623" s="6" t="s">
        <v>2890</v>
      </c>
    </row>
    <row r="624" spans="1:24" x14ac:dyDescent="0.15">
      <c r="A624" s="7" t="str">
        <f t="shared" si="22"/>
        <v>201806</v>
      </c>
      <c r="C624" s="6" t="str">
        <f>INDEX(工厂基础数据!$A$2:$A$1024,MATCH(X624,工厂基础数据!$D$2:$D$1024,0))</f>
        <v>02025767</v>
      </c>
      <c r="E624" s="6" t="str">
        <f>INDEX(工厂基础数据!$B$2:$B$1024,MATCH(X624,工厂基础数据!$D$2:$D$1024,0))</f>
        <v>滨州市仁信医药有限公司</v>
      </c>
      <c r="F624" s="6">
        <f>INDEX(商业2转码!$B$2:$B$10000,MATCH(E624,商业2转码!$A$2:$A$10000,0))</f>
        <v>0</v>
      </c>
      <c r="G624" s="6" t="str">
        <f>INDEX(品种2编码!$A$2:$A$1048576,MATCH(W624,品种2编码!$D$2:$D$1048576,0))</f>
        <v>0020020021ZYLC0011</v>
      </c>
      <c r="H624" s="6" t="s">
        <v>1890</v>
      </c>
      <c r="I624" s="6" t="s">
        <v>1891</v>
      </c>
      <c r="J624" s="6" t="s">
        <v>3036</v>
      </c>
      <c r="L624" s="6" t="s">
        <v>2192</v>
      </c>
      <c r="M624" s="6">
        <f>INDEX(医院2县区2人!$B$2:$B$1048576,MATCH(L624,医院2县区2人!$A$2:$A$1048576,0))</f>
        <v>2</v>
      </c>
      <c r="N624" s="6" t="str">
        <f>INDEX(医院2县区2人!$C$2:$C$1048576,MATCH(L624,医院2县区2人!$A$2:$A$1048576,0))</f>
        <v>1856</v>
      </c>
      <c r="P624" s="7">
        <v>43274.745300925926</v>
      </c>
      <c r="Q624" s="6">
        <v>100</v>
      </c>
      <c r="R624" s="6">
        <v>6</v>
      </c>
      <c r="S624" s="6">
        <v>161001</v>
      </c>
      <c r="T624" s="6" t="str">
        <f>INDEX(医院2县区2人!$D$2:$D$1048576,MATCH(L624,医院2县区2人!$A$2:$A$1048576,0))</f>
        <v>201602151421097</v>
      </c>
      <c r="W624" s="6" t="str">
        <f t="shared" si="21"/>
        <v>严迪/罗红霉素分散片150mg*12片</v>
      </c>
      <c r="X624" s="6" t="s">
        <v>2890</v>
      </c>
    </row>
    <row r="625" spans="1:24" x14ac:dyDescent="0.15">
      <c r="A625" s="7" t="str">
        <f t="shared" si="22"/>
        <v>201806</v>
      </c>
      <c r="C625" s="6" t="str">
        <f>INDEX(工厂基础数据!$A$2:$A$1024,MATCH(X625,工厂基础数据!$D$2:$D$1024,0))</f>
        <v>02025767</v>
      </c>
      <c r="E625" s="6" t="str">
        <f>INDEX(工厂基础数据!$B$2:$B$1024,MATCH(X625,工厂基础数据!$D$2:$D$1024,0))</f>
        <v>滨州市仁信医药有限公司</v>
      </c>
      <c r="F625" s="6">
        <f>INDEX(商业2转码!$B$2:$B$10000,MATCH(E625,商业2转码!$A$2:$A$10000,0))</f>
        <v>0</v>
      </c>
      <c r="G625" s="6" t="str">
        <f>INDEX(品种2编码!$A$2:$A$1048576,MATCH(W625,品种2编码!$D$2:$D$1048576,0))</f>
        <v>0020020021ZYLC0011</v>
      </c>
      <c r="H625" s="6" t="s">
        <v>1890</v>
      </c>
      <c r="I625" s="6" t="s">
        <v>1891</v>
      </c>
      <c r="J625" s="6" t="s">
        <v>3036</v>
      </c>
      <c r="L625" s="6" t="s">
        <v>2305</v>
      </c>
      <c r="M625" s="6">
        <f>INDEX(医院2县区2人!$B$2:$B$1048576,MATCH(L625,医院2县区2人!$A$2:$A$1048576,0))</f>
        <v>4</v>
      </c>
      <c r="N625" s="6" t="str">
        <f>INDEX(医院2县区2人!$C$2:$C$1048576,MATCH(L625,医院2县区2人!$A$2:$A$1048576,0))</f>
        <v>1854</v>
      </c>
      <c r="P625" s="7">
        <v>43275.736458333333</v>
      </c>
      <c r="Q625" s="6">
        <v>50</v>
      </c>
      <c r="R625" s="6">
        <v>6</v>
      </c>
      <c r="S625" s="6">
        <v>161001</v>
      </c>
      <c r="T625" s="6" t="str">
        <f>INDEX(医院2县区2人!$D$2:$D$1048576,MATCH(L625,医院2县区2人!$A$2:$A$1048576,0))</f>
        <v>201602151421097</v>
      </c>
      <c r="W625" s="6" t="str">
        <f t="shared" si="21"/>
        <v>严迪/罗红霉素分散片150mg*12片</v>
      </c>
      <c r="X625" s="6" t="s">
        <v>2890</v>
      </c>
    </row>
    <row r="626" spans="1:24" x14ac:dyDescent="0.15">
      <c r="A626" s="7" t="str">
        <f t="shared" si="22"/>
        <v>201806</v>
      </c>
      <c r="C626" s="6" t="str">
        <f>INDEX(工厂基础数据!$A$2:$A$1024,MATCH(X626,工厂基础数据!$D$2:$D$1024,0))</f>
        <v>02025767</v>
      </c>
      <c r="E626" s="6" t="str">
        <f>INDEX(工厂基础数据!$B$2:$B$1024,MATCH(X626,工厂基础数据!$D$2:$D$1024,0))</f>
        <v>滨州市仁信医药有限公司</v>
      </c>
      <c r="F626" s="6">
        <f>INDEX(商业2转码!$B$2:$B$10000,MATCH(E626,商业2转码!$A$2:$A$10000,0))</f>
        <v>0</v>
      </c>
      <c r="G626" s="6" t="str">
        <f>INDEX(品种2编码!$A$2:$A$1048576,MATCH(W626,品种2编码!$D$2:$D$1048576,0))</f>
        <v>0020070000ZYLC0001</v>
      </c>
      <c r="H626" s="6" t="s">
        <v>1885</v>
      </c>
      <c r="I626" s="6" t="s">
        <v>1886</v>
      </c>
      <c r="J626" s="6" t="s">
        <v>3036</v>
      </c>
      <c r="L626" s="6" t="s">
        <v>2760</v>
      </c>
      <c r="M626" s="6">
        <f>INDEX(医院2县区2人!$B$2:$B$1048576,MATCH(L626,医院2县区2人!$A$2:$A$1048576,0))</f>
        <v>1</v>
      </c>
      <c r="N626" s="6" t="str">
        <f>INDEX(医院2县区2人!$C$2:$C$1048576,MATCH(L626,医院2县区2人!$A$2:$A$1048576,0))</f>
        <v>1855</v>
      </c>
      <c r="P626" s="7">
        <v>43274.745636574073</v>
      </c>
      <c r="Q626" s="6">
        <v>2</v>
      </c>
      <c r="R626" s="6">
        <v>29</v>
      </c>
      <c r="S626" s="6">
        <v>180103</v>
      </c>
      <c r="T626" s="6" t="str">
        <f>INDEX(医院2县区2人!$D$2:$D$1048576,MATCH(L626,医院2县区2人!$A$2:$A$1048576,0))</f>
        <v>201602151421097</v>
      </c>
      <c r="W626" s="6" t="str">
        <f t="shared" si="21"/>
        <v>新盖中盖高钙片2.5g*36P</v>
      </c>
      <c r="X626" s="6" t="s">
        <v>2890</v>
      </c>
    </row>
    <row r="627" spans="1:24" x14ac:dyDescent="0.15">
      <c r="A627" s="7" t="str">
        <f t="shared" si="22"/>
        <v>201806</v>
      </c>
      <c r="C627" s="6" t="str">
        <f>INDEX(工厂基础数据!$A$2:$A$1024,MATCH(X627,工厂基础数据!$D$2:$D$1024,0))</f>
        <v>02025767</v>
      </c>
      <c r="E627" s="6" t="str">
        <f>INDEX(工厂基础数据!$B$2:$B$1024,MATCH(X627,工厂基础数据!$D$2:$D$1024,0))</f>
        <v>滨州市仁信医药有限公司</v>
      </c>
      <c r="F627" s="6">
        <f>INDEX(商业2转码!$B$2:$B$10000,MATCH(E627,商业2转码!$A$2:$A$10000,0))</f>
        <v>0</v>
      </c>
      <c r="G627" s="6" t="str">
        <f>INDEX(品种2编码!$A$2:$A$1048576,MATCH(W627,品种2编码!$D$2:$D$1048576,0))</f>
        <v>0020040001SHYT0011</v>
      </c>
      <c r="H627" s="6" t="s">
        <v>522</v>
      </c>
      <c r="I627" s="6" t="s">
        <v>1867</v>
      </c>
      <c r="J627" s="6" t="s">
        <v>3037</v>
      </c>
      <c r="L627" s="6" t="s">
        <v>2245</v>
      </c>
      <c r="M627" s="6">
        <f>INDEX(医院2县区2人!$B$2:$B$1048576,MATCH(L627,医院2县区2人!$A$2:$A$1048576,0))</f>
        <v>4</v>
      </c>
      <c r="N627" s="6" t="str">
        <f>INDEX(医院2县区2人!$C$2:$C$1048576,MATCH(L627,医院2县区2人!$A$2:$A$1048576,0))</f>
        <v>1854</v>
      </c>
      <c r="P627" s="7">
        <v>43274.745625000003</v>
      </c>
      <c r="Q627" s="6">
        <v>5</v>
      </c>
      <c r="R627" s="6">
        <v>6</v>
      </c>
      <c r="S627" s="6">
        <v>1611141</v>
      </c>
      <c r="T627" s="6" t="str">
        <f>INDEX(医院2县区2人!$D$2:$D$1048576,MATCH(L627,医院2县区2人!$A$2:$A$1048576,0))</f>
        <v>201602151421097</v>
      </c>
      <c r="W627" s="6" t="str">
        <f t="shared" si="21"/>
        <v>牛黄解毒丸3g*10丸</v>
      </c>
      <c r="X627" s="6" t="s">
        <v>2890</v>
      </c>
    </row>
    <row r="628" spans="1:24" x14ac:dyDescent="0.15">
      <c r="A628" s="7" t="str">
        <f t="shared" si="22"/>
        <v>201806</v>
      </c>
      <c r="C628" s="6" t="str">
        <f>INDEX(工厂基础数据!$A$2:$A$1024,MATCH(X628,工厂基础数据!$D$2:$D$1024,0))</f>
        <v>02025767</v>
      </c>
      <c r="E628" s="6" t="str">
        <f>INDEX(工厂基础数据!$B$2:$B$1024,MATCH(X628,工厂基础数据!$D$2:$D$1024,0))</f>
        <v>滨州市仁信医药有限公司</v>
      </c>
      <c r="F628" s="6">
        <f>INDEX(商业2转码!$B$2:$B$10000,MATCH(E628,商业2转码!$A$2:$A$10000,0))</f>
        <v>0</v>
      </c>
      <c r="G628" s="6" t="str">
        <f>INDEX(品种2编码!$A$2:$A$1048576,MATCH(W628,品种2编码!$D$2:$D$1048576,0))</f>
        <v>0020020020ZYLC0010</v>
      </c>
      <c r="H628" s="6" t="s">
        <v>1877</v>
      </c>
      <c r="I628" s="6" t="s">
        <v>1878</v>
      </c>
      <c r="J628" s="6" t="s">
        <v>3036</v>
      </c>
      <c r="L628" s="6" t="s">
        <v>2245</v>
      </c>
      <c r="M628" s="6">
        <f>INDEX(医院2县区2人!$B$2:$B$1048576,MATCH(L628,医院2县区2人!$A$2:$A$1048576,0))</f>
        <v>4</v>
      </c>
      <c r="N628" s="6" t="str">
        <f>INDEX(医院2县区2人!$C$2:$C$1048576,MATCH(L628,医院2县区2人!$A$2:$A$1048576,0))</f>
        <v>1854</v>
      </c>
      <c r="P628" s="7">
        <v>43274.745636574073</v>
      </c>
      <c r="Q628" s="6">
        <v>20</v>
      </c>
      <c r="R628" s="6">
        <v>3.5</v>
      </c>
      <c r="S628" s="6">
        <v>180401</v>
      </c>
      <c r="T628" s="6" t="str">
        <f>INDEX(医院2县区2人!$D$2:$D$1048576,MATCH(L628,医院2县区2人!$A$2:$A$1048576,0))</f>
        <v>201602151421097</v>
      </c>
      <c r="W628" s="6" t="str">
        <f t="shared" si="21"/>
        <v xml:space="preserve">泻利停/颠茄磺苄啶片0.48g*10片 </v>
      </c>
      <c r="X628" s="6" t="s">
        <v>2890</v>
      </c>
    </row>
    <row r="629" spans="1:24" x14ac:dyDescent="0.15">
      <c r="A629" s="7" t="str">
        <f t="shared" si="22"/>
        <v>201806</v>
      </c>
      <c r="C629" s="6" t="str">
        <f>INDEX(工厂基础数据!$A$2:$A$1024,MATCH(X629,工厂基础数据!$D$2:$D$1024,0))</f>
        <v>02025767</v>
      </c>
      <c r="E629" s="6" t="str">
        <f>INDEX(工厂基础数据!$B$2:$B$1024,MATCH(X629,工厂基础数据!$D$2:$D$1024,0))</f>
        <v>滨州市仁信医药有限公司</v>
      </c>
      <c r="F629" s="6">
        <f>INDEX(商业2转码!$B$2:$B$10000,MATCH(E629,商业2转码!$A$2:$A$10000,0))</f>
        <v>0</v>
      </c>
      <c r="G629" s="6" t="str">
        <f>INDEX(品种2编码!$A$2:$A$1048576,MATCH(W629,品种2编码!$D$2:$D$1048576,0))</f>
        <v>0020070000ZYLC0001</v>
      </c>
      <c r="H629" s="6" t="s">
        <v>1885</v>
      </c>
      <c r="I629" s="6" t="s">
        <v>1886</v>
      </c>
      <c r="J629" s="6" t="s">
        <v>3036</v>
      </c>
      <c r="L629" s="6" t="s">
        <v>2668</v>
      </c>
      <c r="M629" s="6">
        <f>INDEX(医院2县区2人!$B$2:$B$1048576,MATCH(L629,医院2县区2人!$A$2:$A$1048576,0))</f>
        <v>2</v>
      </c>
      <c r="N629" s="6" t="str">
        <f>INDEX(医院2县区2人!$C$2:$C$1048576,MATCH(L629,医院2县区2人!$A$2:$A$1048576,0))</f>
        <v>1855</v>
      </c>
      <c r="P629" s="7">
        <v>43274.745439814818</v>
      </c>
      <c r="Q629" s="6">
        <v>3</v>
      </c>
      <c r="R629" s="6">
        <v>29</v>
      </c>
      <c r="S629" s="6">
        <v>180104</v>
      </c>
      <c r="T629" s="6" t="str">
        <f>INDEX(医院2县区2人!$D$2:$D$1048576,MATCH(L629,医院2县区2人!$A$2:$A$1048576,0))</f>
        <v>201602151421097</v>
      </c>
      <c r="W629" s="6" t="str">
        <f t="shared" si="21"/>
        <v>新盖中盖高钙片2.5g*36P</v>
      </c>
      <c r="X629" s="6" t="s">
        <v>2890</v>
      </c>
    </row>
    <row r="630" spans="1:24" x14ac:dyDescent="0.15">
      <c r="A630" s="7" t="str">
        <f t="shared" si="22"/>
        <v>201806</v>
      </c>
      <c r="C630" s="6" t="str">
        <f>INDEX(工厂基础数据!$A$2:$A$1024,MATCH(X630,工厂基础数据!$D$2:$D$1024,0))</f>
        <v>02025767</v>
      </c>
      <c r="E630" s="6" t="str">
        <f>INDEX(工厂基础数据!$B$2:$B$1024,MATCH(X630,工厂基础数据!$D$2:$D$1024,0))</f>
        <v>滨州市仁信医药有限公司</v>
      </c>
      <c r="F630" s="6">
        <f>INDEX(商业2转码!$B$2:$B$10000,MATCH(E630,商业2转码!$A$2:$A$10000,0))</f>
        <v>0</v>
      </c>
      <c r="G630" s="6" t="str">
        <f>INDEX(品种2编码!$A$2:$A$1048576,MATCH(W630,品种2编码!$D$2:$D$1048576,0))</f>
        <v>0020030001SJZY0006</v>
      </c>
      <c r="H630" s="6" t="s">
        <v>1888</v>
      </c>
      <c r="I630" s="6" t="s">
        <v>411</v>
      </c>
      <c r="J630" s="6" t="s">
        <v>3040</v>
      </c>
      <c r="L630" s="6" t="s">
        <v>2668</v>
      </c>
      <c r="M630" s="6">
        <f>INDEX(医院2县区2人!$B$2:$B$1048576,MATCH(L630,医院2县区2人!$A$2:$A$1048576,0))</f>
        <v>2</v>
      </c>
      <c r="N630" s="6" t="str">
        <f>INDEX(医院2县区2人!$C$2:$C$1048576,MATCH(L630,医院2县区2人!$A$2:$A$1048576,0))</f>
        <v>1855</v>
      </c>
      <c r="P630" s="7">
        <v>43274.745451388888</v>
      </c>
      <c r="Q630" s="6">
        <v>1</v>
      </c>
      <c r="R630" s="6">
        <v>25</v>
      </c>
      <c r="S630" s="6">
        <v>17071042</v>
      </c>
      <c r="T630" s="6" t="str">
        <f>INDEX(医院2县区2人!$D$2:$D$1048576,MATCH(L630,医院2县区2人!$A$2:$A$1048576,0))</f>
        <v>201602151421097</v>
      </c>
      <c r="W630" s="6" t="str">
        <f t="shared" si="21"/>
        <v>葡萄糖酸钙口服溶液（含糖）10ml*12支</v>
      </c>
      <c r="X630" s="6" t="s">
        <v>2890</v>
      </c>
    </row>
    <row r="631" spans="1:24" x14ac:dyDescent="0.15">
      <c r="A631" s="7" t="str">
        <f t="shared" si="22"/>
        <v>201806</v>
      </c>
      <c r="C631" s="6" t="str">
        <f>INDEX(工厂基础数据!$A$2:$A$1024,MATCH(X631,工厂基础数据!$D$2:$D$1024,0))</f>
        <v>02025767</v>
      </c>
      <c r="E631" s="6" t="str">
        <f>INDEX(工厂基础数据!$B$2:$B$1024,MATCH(X631,工厂基础数据!$D$2:$D$1024,0))</f>
        <v>滨州市仁信医药有限公司</v>
      </c>
      <c r="F631" s="6">
        <f>INDEX(商业2转码!$B$2:$B$10000,MATCH(E631,商业2转码!$A$2:$A$10000,0))</f>
        <v>0</v>
      </c>
      <c r="G631" s="6" t="str">
        <f>INDEX(品种2编码!$A$2:$A$1048576,MATCH(W631,品种2编码!$D$2:$D$1048576,0))</f>
        <v>0020070000ZYLC0055</v>
      </c>
      <c r="H631" s="6" t="s">
        <v>1906</v>
      </c>
      <c r="I631" s="6" t="s">
        <v>411</v>
      </c>
      <c r="J631" s="6" t="s">
        <v>3036</v>
      </c>
      <c r="L631" s="6" t="s">
        <v>2296</v>
      </c>
      <c r="M631" s="6">
        <f>INDEX(医院2县区2人!$B$2:$B$1048576,MATCH(L631,医院2县区2人!$A$2:$A$1048576,0))</f>
        <v>1</v>
      </c>
      <c r="N631" s="6" t="str">
        <f>INDEX(医院2县区2人!$C$2:$C$1048576,MATCH(L631,医院2县区2人!$A$2:$A$1048576,0))</f>
        <v>1853</v>
      </c>
      <c r="P631" s="7">
        <v>43274.746678240743</v>
      </c>
      <c r="Q631" s="6">
        <v>-10</v>
      </c>
      <c r="R631" s="6">
        <v>20</v>
      </c>
      <c r="S631" s="6">
        <v>170615</v>
      </c>
      <c r="T631" s="6" t="str">
        <f>INDEX(医院2县区2人!$D$2:$D$1048576,MATCH(L631,医院2县区2人!$A$2:$A$1048576,0))</f>
        <v>201602151421097</v>
      </c>
      <c r="W631" s="6" t="str">
        <f t="shared" si="21"/>
        <v>朴血/乳酸亚铁口服液10ml*12支</v>
      </c>
      <c r="X631" s="6" t="s">
        <v>2890</v>
      </c>
    </row>
    <row r="632" spans="1:24" x14ac:dyDescent="0.15">
      <c r="A632" s="7" t="str">
        <f t="shared" si="22"/>
        <v>201806</v>
      </c>
      <c r="C632" s="6" t="str">
        <f>INDEX(工厂基础数据!$A$2:$A$1024,MATCH(X632,工厂基础数据!$D$2:$D$1024,0))</f>
        <v>02025767</v>
      </c>
      <c r="E632" s="6" t="str">
        <f>INDEX(工厂基础数据!$B$2:$B$1024,MATCH(X632,工厂基础数据!$D$2:$D$1024,0))</f>
        <v>滨州市仁信医药有限公司</v>
      </c>
      <c r="F632" s="6">
        <f>INDEX(商业2转码!$B$2:$B$10000,MATCH(E632,商业2转码!$A$2:$A$10000,0))</f>
        <v>0</v>
      </c>
      <c r="G632" s="6" t="str">
        <f>INDEX(品种2编码!$A$2:$A$1048576,MATCH(W632,品种2编码!$D$2:$D$1048576,0))</f>
        <v>0020070000ZYLC0001</v>
      </c>
      <c r="H632" s="6" t="s">
        <v>1885</v>
      </c>
      <c r="I632" s="6" t="s">
        <v>1886</v>
      </c>
      <c r="J632" s="6" t="s">
        <v>3036</v>
      </c>
      <c r="L632" s="6" t="s">
        <v>2341</v>
      </c>
      <c r="M632" s="6">
        <f>INDEX(医院2县区2人!$B$2:$B$1048576,MATCH(L632,医院2县区2人!$A$2:$A$1048576,0))</f>
        <v>2</v>
      </c>
      <c r="N632" s="6" t="str">
        <f>INDEX(医院2县区2人!$C$2:$C$1048576,MATCH(L632,医院2县区2人!$A$2:$A$1048576,0))</f>
        <v>1855</v>
      </c>
      <c r="P632" s="7">
        <v>43274.745486111111</v>
      </c>
      <c r="Q632" s="6">
        <v>5</v>
      </c>
      <c r="R632" s="6">
        <v>29</v>
      </c>
      <c r="S632" s="6">
        <v>180104</v>
      </c>
      <c r="T632" s="6" t="str">
        <f>INDEX(医院2县区2人!$D$2:$D$1048576,MATCH(L632,医院2县区2人!$A$2:$A$1048576,0))</f>
        <v>201602151421097</v>
      </c>
      <c r="W632" s="6" t="str">
        <f t="shared" si="21"/>
        <v>新盖中盖高钙片2.5g*36P</v>
      </c>
      <c r="X632" s="6" t="s">
        <v>2890</v>
      </c>
    </row>
    <row r="633" spans="1:24" x14ac:dyDescent="0.15">
      <c r="A633" s="7" t="str">
        <f t="shared" si="22"/>
        <v>201806</v>
      </c>
      <c r="C633" s="6" t="str">
        <f>INDEX(工厂基础数据!$A$2:$A$1024,MATCH(X633,工厂基础数据!$D$2:$D$1024,0))</f>
        <v>02025767</v>
      </c>
      <c r="E633" s="6" t="str">
        <f>INDEX(工厂基础数据!$B$2:$B$1024,MATCH(X633,工厂基础数据!$D$2:$D$1024,0))</f>
        <v>滨州市仁信医药有限公司</v>
      </c>
      <c r="F633" s="6">
        <f>INDEX(商业2转码!$B$2:$B$10000,MATCH(E633,商业2转码!$A$2:$A$10000,0))</f>
        <v>0</v>
      </c>
      <c r="G633" s="6" t="str">
        <f>INDEX(品种2编码!$A$2:$A$1048576,MATCH(W633,品种2编码!$D$2:$D$1048576,0))</f>
        <v>0020030001SJZY0006</v>
      </c>
      <c r="H633" s="6" t="s">
        <v>1888</v>
      </c>
      <c r="I633" s="6" t="s">
        <v>411</v>
      </c>
      <c r="J633" s="6" t="s">
        <v>3040</v>
      </c>
      <c r="L633" s="6" t="s">
        <v>3024</v>
      </c>
      <c r="M633" s="6" t="e">
        <f>INDEX(医院2县区2人!$B$2:$B$1048576,MATCH(L633,医院2县区2人!$A$2:$A$1048576,0))</f>
        <v>#N/A</v>
      </c>
      <c r="N633" s="6" t="e">
        <f>INDEX(医院2县区2人!$C$2:$C$1048576,MATCH(L633,医院2县区2人!$A$2:$A$1048576,0))</f>
        <v>#N/A</v>
      </c>
      <c r="P633" s="7">
        <v>43274.745370370372</v>
      </c>
      <c r="Q633" s="6">
        <v>3</v>
      </c>
      <c r="R633" s="6">
        <v>25</v>
      </c>
      <c r="S633" s="6">
        <v>17071042</v>
      </c>
      <c r="T633" s="6" t="e">
        <f>INDEX(医院2县区2人!$D$2:$D$1048576,MATCH(L633,医院2县区2人!$A$2:$A$1048576,0))</f>
        <v>#N/A</v>
      </c>
      <c r="W633" s="6" t="str">
        <f t="shared" si="21"/>
        <v>葡萄糖酸钙口服溶液（含糖）10ml*12支</v>
      </c>
      <c r="X633" s="6" t="s">
        <v>2890</v>
      </c>
    </row>
    <row r="634" spans="1:24" x14ac:dyDescent="0.15">
      <c r="A634" s="7" t="str">
        <f t="shared" si="22"/>
        <v>201806</v>
      </c>
      <c r="C634" s="6" t="str">
        <f>INDEX(工厂基础数据!$A$2:$A$1024,MATCH(X634,工厂基础数据!$D$2:$D$1024,0))</f>
        <v>02025767</v>
      </c>
      <c r="E634" s="6" t="str">
        <f>INDEX(工厂基础数据!$B$2:$B$1024,MATCH(X634,工厂基础数据!$D$2:$D$1024,0))</f>
        <v>滨州市仁信医药有限公司</v>
      </c>
      <c r="F634" s="6">
        <f>INDEX(商业2转码!$B$2:$B$10000,MATCH(E634,商业2转码!$A$2:$A$10000,0))</f>
        <v>0</v>
      </c>
      <c r="G634" s="6" t="str">
        <f>INDEX(品种2编码!$A$2:$A$1048576,MATCH(W634,品种2编码!$D$2:$D$1048576,0))</f>
        <v>0020030040ZYZC0307</v>
      </c>
      <c r="H634" s="6" t="s">
        <v>399</v>
      </c>
      <c r="I634" s="6" t="s">
        <v>1944</v>
      </c>
      <c r="J634" s="6" t="s">
        <v>3038</v>
      </c>
      <c r="L634" s="6" t="s">
        <v>2304</v>
      </c>
      <c r="M634" s="6">
        <f>INDEX(医院2县区2人!$B$2:$B$1048576,MATCH(L634,医院2县区2人!$A$2:$A$1048576,0))</f>
        <v>2</v>
      </c>
      <c r="N634" s="6" t="str">
        <f>INDEX(医院2县区2人!$C$2:$C$1048576,MATCH(L634,医院2县区2人!$A$2:$A$1048576,0))</f>
        <v>1855</v>
      </c>
      <c r="P634" s="7">
        <v>43275.736527777779</v>
      </c>
      <c r="Q634" s="6">
        <v>5</v>
      </c>
      <c r="R634" s="6">
        <v>12.3</v>
      </c>
      <c r="S634" s="6" t="s">
        <v>3060</v>
      </c>
      <c r="T634" s="6" t="str">
        <f>INDEX(医院2县区2人!$D$2:$D$1048576,MATCH(L634,医院2县区2人!$A$2:$A$1048576,0))</f>
        <v>201602151421097</v>
      </c>
      <c r="W634" s="6" t="str">
        <f t="shared" si="21"/>
        <v>富马酸亚铁颗粒2g*6袋</v>
      </c>
      <c r="X634" s="6" t="s">
        <v>2890</v>
      </c>
    </row>
    <row r="635" spans="1:24" x14ac:dyDescent="0.15">
      <c r="A635" s="7" t="str">
        <f t="shared" si="22"/>
        <v>201806</v>
      </c>
      <c r="C635" s="6" t="str">
        <f>INDEX(工厂基础数据!$A$2:$A$1024,MATCH(X635,工厂基础数据!$D$2:$D$1024,0))</f>
        <v>02025767</v>
      </c>
      <c r="E635" s="6" t="str">
        <f>INDEX(工厂基础数据!$B$2:$B$1024,MATCH(X635,工厂基础数据!$D$2:$D$1024,0))</f>
        <v>滨州市仁信医药有限公司</v>
      </c>
      <c r="F635" s="6">
        <f>INDEX(商业2转码!$B$2:$B$10000,MATCH(E635,商业2转码!$A$2:$A$10000,0))</f>
        <v>0</v>
      </c>
      <c r="G635" s="6" t="str">
        <f>INDEX(品种2编码!$A$2:$A$1048576,MATCH(W635,品种2编码!$D$2:$D$1048576,0))</f>
        <v>0020030020SJSC0004</v>
      </c>
      <c r="H635" s="6" t="s">
        <v>1907</v>
      </c>
      <c r="I635" s="6" t="s">
        <v>1871</v>
      </c>
      <c r="J635" s="6" t="s">
        <v>3045</v>
      </c>
      <c r="L635" s="6" t="s">
        <v>3001</v>
      </c>
      <c r="M635" s="6" t="e">
        <f>INDEX(医院2县区2人!$B$2:$B$1048576,MATCH(L635,医院2县区2人!$A$2:$A$1048576,0))</f>
        <v>#N/A</v>
      </c>
      <c r="N635" s="6" t="e">
        <f>INDEX(医院2县区2人!$C$2:$C$1048576,MATCH(L635,医院2县区2人!$A$2:$A$1048576,0))</f>
        <v>#N/A</v>
      </c>
      <c r="P635" s="7">
        <v>43279.742372685185</v>
      </c>
      <c r="Q635" s="6">
        <v>5</v>
      </c>
      <c r="R635" s="6">
        <v>12.5</v>
      </c>
      <c r="S635" s="6">
        <v>1803006</v>
      </c>
      <c r="T635" s="6" t="e">
        <f>INDEX(医院2县区2人!$D$2:$D$1048576,MATCH(L635,医院2县区2人!$A$2:$A$1048576,0))</f>
        <v>#N/A</v>
      </c>
      <c r="W635" s="6" t="str">
        <f t="shared" si="21"/>
        <v>胃必治/复方铝酸铋片50片</v>
      </c>
      <c r="X635" s="6" t="s">
        <v>2890</v>
      </c>
    </row>
    <row r="636" spans="1:24" x14ac:dyDescent="0.15">
      <c r="A636" s="7" t="str">
        <f t="shared" si="22"/>
        <v>201806</v>
      </c>
      <c r="C636" s="6" t="str">
        <f>INDEX(工厂基础数据!$A$2:$A$1024,MATCH(X636,工厂基础数据!$D$2:$D$1024,0))</f>
        <v>02025767</v>
      </c>
      <c r="E636" s="6" t="str">
        <f>INDEX(工厂基础数据!$B$2:$B$1024,MATCH(X636,工厂基础数据!$D$2:$D$1024,0))</f>
        <v>滨州市仁信医药有限公司</v>
      </c>
      <c r="F636" s="6">
        <f>INDEX(商业2转码!$B$2:$B$10000,MATCH(E636,商业2转码!$A$2:$A$10000,0))</f>
        <v>0</v>
      </c>
      <c r="G636" s="6" t="str">
        <f>INDEX(品种2编码!$A$2:$A$1048576,MATCH(W636,品种2编码!$D$2:$D$1048576,0))</f>
        <v>0020020020ZYZC0507</v>
      </c>
      <c r="H636" s="6" t="s">
        <v>648</v>
      </c>
      <c r="I636" s="6" t="s">
        <v>1931</v>
      </c>
      <c r="J636" s="6" t="s">
        <v>3038</v>
      </c>
      <c r="L636" s="6" t="s">
        <v>2368</v>
      </c>
      <c r="M636" s="6">
        <f>INDEX(医院2县区2人!$B$2:$B$1048576,MATCH(L636,医院2县区2人!$A$2:$A$1048576,0))</f>
        <v>2</v>
      </c>
      <c r="N636" s="6" t="str">
        <f>INDEX(医院2县区2人!$C$2:$C$1048576,MATCH(L636,医院2县区2人!$A$2:$A$1048576,0))</f>
        <v>1858</v>
      </c>
      <c r="P636" s="7">
        <v>43276.627766203703</v>
      </c>
      <c r="Q636" s="6">
        <v>10</v>
      </c>
      <c r="R636" s="6">
        <v>1</v>
      </c>
      <c r="S636" s="6" t="s">
        <v>3061</v>
      </c>
      <c r="T636" s="6" t="str">
        <f>INDEX(医院2县区2人!$D$2:$D$1048576,MATCH(L636,医院2县区2人!$A$2:$A$1048576,0))</f>
        <v>201602151421097</v>
      </c>
      <c r="W636" s="6" t="str">
        <f t="shared" si="21"/>
        <v>头孢氨苄片0.25g*30片</v>
      </c>
      <c r="X636" s="6" t="s">
        <v>2890</v>
      </c>
    </row>
    <row r="637" spans="1:24" x14ac:dyDescent="0.15">
      <c r="A637" s="7" t="str">
        <f t="shared" si="22"/>
        <v>201806</v>
      </c>
      <c r="C637" s="6" t="str">
        <f>INDEX(工厂基础数据!$A$2:$A$1024,MATCH(X637,工厂基础数据!$D$2:$D$1024,0))</f>
        <v>02025767</v>
      </c>
      <c r="E637" s="6" t="str">
        <f>INDEX(工厂基础数据!$B$2:$B$1024,MATCH(X637,工厂基础数据!$D$2:$D$1024,0))</f>
        <v>滨州市仁信医药有限公司</v>
      </c>
      <c r="F637" s="6">
        <f>INDEX(商业2转码!$B$2:$B$10000,MATCH(E637,商业2转码!$A$2:$A$10000,0))</f>
        <v>0</v>
      </c>
      <c r="G637" s="6" t="str">
        <f>INDEX(品种2编码!$A$2:$A$1048576,MATCH(W637,品种2编码!$D$2:$D$1048576,0))</f>
        <v>0020020020ZYZC0359</v>
      </c>
      <c r="H637" s="6" t="s">
        <v>578</v>
      </c>
      <c r="I637" s="6" t="s">
        <v>1860</v>
      </c>
      <c r="J637" s="6" t="s">
        <v>3038</v>
      </c>
      <c r="L637" s="6" t="s">
        <v>2213</v>
      </c>
      <c r="M637" s="6">
        <f>INDEX(医院2县区2人!$B$2:$B$1048576,MATCH(L637,医院2县区2人!$A$2:$A$1048576,0))</f>
        <v>4</v>
      </c>
      <c r="N637" s="6" t="str">
        <f>INDEX(医院2县区2人!$C$2:$C$1048576,MATCH(L637,医院2县区2人!$A$2:$A$1048576,0))</f>
        <v>1857</v>
      </c>
      <c r="P637" s="7">
        <v>43275.736435185187</v>
      </c>
      <c r="Q637" s="6">
        <v>10</v>
      </c>
      <c r="R637" s="6">
        <v>9.1999999999999993</v>
      </c>
      <c r="S637" s="6">
        <v>1801001</v>
      </c>
      <c r="T637" s="6" t="str">
        <f>INDEX(医院2县区2人!$D$2:$D$1048576,MATCH(L637,医院2县区2人!$A$2:$A$1048576,0))</f>
        <v>201602151421097</v>
      </c>
      <c r="W637" s="6" t="str">
        <f t="shared" si="21"/>
        <v>青霉素V钾片（仙芬）0.236g*24片</v>
      </c>
      <c r="X637" s="6" t="s">
        <v>2890</v>
      </c>
    </row>
    <row r="638" spans="1:24" x14ac:dyDescent="0.15">
      <c r="A638" s="7" t="str">
        <f t="shared" si="22"/>
        <v>201806</v>
      </c>
      <c r="C638" s="6" t="str">
        <f>INDEX(工厂基础数据!$A$2:$A$1024,MATCH(X638,工厂基础数据!$D$2:$D$1024,0))</f>
        <v>02025767</v>
      </c>
      <c r="E638" s="6" t="str">
        <f>INDEX(工厂基础数据!$B$2:$B$1024,MATCH(X638,工厂基础数据!$D$2:$D$1024,0))</f>
        <v>滨州市仁信医药有限公司</v>
      </c>
      <c r="F638" s="6">
        <f>INDEX(商业2转码!$B$2:$B$10000,MATCH(E638,商业2转码!$A$2:$A$10000,0))</f>
        <v>0</v>
      </c>
      <c r="G638" s="6" t="str">
        <f>INDEX(品种2编码!$A$2:$A$1048576,MATCH(W638,品种2编码!$D$2:$D$1048576,0))</f>
        <v>0020020021ZYLC0011</v>
      </c>
      <c r="H638" s="6" t="s">
        <v>1890</v>
      </c>
      <c r="I638" s="6" t="s">
        <v>1891</v>
      </c>
      <c r="J638" s="6" t="s">
        <v>3036</v>
      </c>
      <c r="L638" s="6" t="s">
        <v>2325</v>
      </c>
      <c r="M638" s="6">
        <f>INDEX(医院2县区2人!$B$2:$B$1048576,MATCH(L638,医院2县区2人!$A$2:$A$1048576,0))</f>
        <v>2</v>
      </c>
      <c r="N638" s="6" t="str">
        <f>INDEX(医院2县区2人!$C$2:$C$1048576,MATCH(L638,医院2县区2人!$A$2:$A$1048576,0))</f>
        <v>1855</v>
      </c>
      <c r="P638" s="7">
        <v>43275.736331018517</v>
      </c>
      <c r="Q638" s="6">
        <v>10</v>
      </c>
      <c r="R638" s="6">
        <v>6</v>
      </c>
      <c r="S638" s="6">
        <v>161001</v>
      </c>
      <c r="T638" s="6" t="str">
        <f>INDEX(医院2县区2人!$D$2:$D$1048576,MATCH(L638,医院2县区2人!$A$2:$A$1048576,0))</f>
        <v>201602151421097</v>
      </c>
      <c r="W638" s="6" t="str">
        <f t="shared" si="21"/>
        <v>严迪/罗红霉素分散片150mg*12片</v>
      </c>
      <c r="X638" s="6" t="s">
        <v>2890</v>
      </c>
    </row>
    <row r="639" spans="1:24" x14ac:dyDescent="0.15">
      <c r="A639" s="7" t="str">
        <f t="shared" si="22"/>
        <v>201806</v>
      </c>
      <c r="C639" s="6" t="str">
        <f>INDEX(工厂基础数据!$A$2:$A$1024,MATCH(X639,工厂基础数据!$D$2:$D$1024,0))</f>
        <v>02025767</v>
      </c>
      <c r="E639" s="6" t="str">
        <f>INDEX(工厂基础数据!$B$2:$B$1024,MATCH(X639,工厂基础数据!$D$2:$D$1024,0))</f>
        <v>滨州市仁信医药有限公司</v>
      </c>
      <c r="F639" s="6">
        <f>INDEX(商业2转码!$B$2:$B$10000,MATCH(E639,商业2转码!$A$2:$A$10000,0))</f>
        <v>0</v>
      </c>
      <c r="G639" s="6" t="str">
        <f>INDEX(品种2编码!$A$2:$A$1048576,MATCH(W639,品种2编码!$D$2:$D$1048576,0))</f>
        <v>0020030020SJSC0004</v>
      </c>
      <c r="H639" s="6" t="s">
        <v>1907</v>
      </c>
      <c r="I639" s="6" t="s">
        <v>1871</v>
      </c>
      <c r="J639" s="6" t="s">
        <v>3045</v>
      </c>
      <c r="L639" s="6" t="s">
        <v>2325</v>
      </c>
      <c r="M639" s="6">
        <f>INDEX(医院2县区2人!$B$2:$B$1048576,MATCH(L639,医院2县区2人!$A$2:$A$1048576,0))</f>
        <v>2</v>
      </c>
      <c r="N639" s="6" t="str">
        <f>INDEX(医院2县区2人!$C$2:$C$1048576,MATCH(L639,医院2县区2人!$A$2:$A$1048576,0))</f>
        <v>1855</v>
      </c>
      <c r="P639" s="7">
        <v>43275.736145833333</v>
      </c>
      <c r="Q639" s="6">
        <v>2</v>
      </c>
      <c r="R639" s="6">
        <v>12.5</v>
      </c>
      <c r="S639" s="6">
        <v>1803006</v>
      </c>
      <c r="T639" s="6" t="str">
        <f>INDEX(医院2县区2人!$D$2:$D$1048576,MATCH(L639,医院2县区2人!$A$2:$A$1048576,0))</f>
        <v>201602151421097</v>
      </c>
      <c r="W639" s="6" t="str">
        <f t="shared" si="21"/>
        <v>胃必治/复方铝酸铋片50片</v>
      </c>
      <c r="X639" s="6" t="s">
        <v>2890</v>
      </c>
    </row>
    <row r="640" spans="1:24" x14ac:dyDescent="0.15">
      <c r="A640" s="7" t="str">
        <f t="shared" si="22"/>
        <v>201806</v>
      </c>
      <c r="C640" s="6" t="str">
        <f>INDEX(工厂基础数据!$A$2:$A$1024,MATCH(X640,工厂基础数据!$D$2:$D$1024,0))</f>
        <v>02025767</v>
      </c>
      <c r="E640" s="6" t="str">
        <f>INDEX(工厂基础数据!$B$2:$B$1024,MATCH(X640,工厂基础数据!$D$2:$D$1024,0))</f>
        <v>滨州市仁信医药有限公司</v>
      </c>
      <c r="F640" s="6">
        <f>INDEX(商业2转码!$B$2:$B$10000,MATCH(E640,商业2转码!$A$2:$A$10000,0))</f>
        <v>0</v>
      </c>
      <c r="G640" s="6" t="str">
        <f>INDEX(品种2编码!$A$2:$A$1048576,MATCH(W640,品种2编码!$D$2:$D$1048576,0))</f>
        <v>0020030020ZYLC0010</v>
      </c>
      <c r="H640" s="6" t="s">
        <v>1883</v>
      </c>
      <c r="I640" s="6" t="s">
        <v>1839</v>
      </c>
      <c r="J640" s="6" t="s">
        <v>3036</v>
      </c>
      <c r="L640" s="6" t="s">
        <v>2290</v>
      </c>
      <c r="M640" s="6">
        <f>INDEX(医院2县区2人!$B$2:$B$1048576,MATCH(L640,医院2县区2人!$A$2:$A$1048576,0))</f>
        <v>2</v>
      </c>
      <c r="N640" s="6" t="str">
        <f>INDEX(医院2县区2人!$C$2:$C$1048576,MATCH(L640,医院2县区2人!$A$2:$A$1048576,0))</f>
        <v>1857</v>
      </c>
      <c r="P640" s="7">
        <v>43275.736435185187</v>
      </c>
      <c r="Q640" s="6">
        <v>5</v>
      </c>
      <c r="R640" s="6">
        <v>3.7</v>
      </c>
      <c r="S640" s="6">
        <v>180128</v>
      </c>
      <c r="T640" s="6" t="str">
        <f>INDEX(医院2县区2人!$D$2:$D$1048576,MATCH(L640,医院2县区2人!$A$2:$A$1048576,0))</f>
        <v>201602151421097</v>
      </c>
      <c r="W640" s="6" t="str">
        <f t="shared" si="21"/>
        <v>“为消”牌乳酸菌素片0.4g*36片</v>
      </c>
      <c r="X640" s="6" t="s">
        <v>2890</v>
      </c>
    </row>
    <row r="641" spans="1:24" x14ac:dyDescent="0.15">
      <c r="A641" s="7" t="str">
        <f t="shared" si="22"/>
        <v>201806</v>
      </c>
      <c r="C641" s="6" t="str">
        <f>INDEX(工厂基础数据!$A$2:$A$1024,MATCH(X641,工厂基础数据!$D$2:$D$1024,0))</f>
        <v>02025767</v>
      </c>
      <c r="E641" s="6" t="str">
        <f>INDEX(工厂基础数据!$B$2:$B$1024,MATCH(X641,工厂基础数据!$D$2:$D$1024,0))</f>
        <v>滨州市仁信医药有限公司</v>
      </c>
      <c r="F641" s="6">
        <f>INDEX(商业2转码!$B$2:$B$10000,MATCH(E641,商业2转码!$A$2:$A$10000,0))</f>
        <v>0</v>
      </c>
      <c r="G641" s="6" t="str">
        <f>INDEX(品种2编码!$A$2:$A$1048576,MATCH(W641,品种2编码!$D$2:$D$1048576,0))</f>
        <v>0020050090SJZY0001</v>
      </c>
      <c r="H641" s="6" t="s">
        <v>630</v>
      </c>
      <c r="I641" s="6" t="s">
        <v>1850</v>
      </c>
      <c r="J641" s="6" t="s">
        <v>3040</v>
      </c>
      <c r="L641" s="6" t="s">
        <v>2183</v>
      </c>
      <c r="M641" s="6">
        <f>INDEX(医院2县区2人!$B$2:$B$1048576,MATCH(L641,医院2县区2人!$A$2:$A$1048576,0))</f>
        <v>4</v>
      </c>
      <c r="N641" s="6" t="str">
        <f>INDEX(医院2县区2人!$C$2:$C$1048576,MATCH(L641,医院2县区2人!$A$2:$A$1048576,0))</f>
        <v>1859</v>
      </c>
      <c r="P641" s="7">
        <v>43277.717106481483</v>
      </c>
      <c r="Q641" s="6">
        <v>2</v>
      </c>
      <c r="R641" s="6">
        <v>16.5</v>
      </c>
      <c r="S641" s="6">
        <v>17062821</v>
      </c>
      <c r="T641" s="6" t="str">
        <f>INDEX(医院2县区2人!$D$2:$D$1048576,MATCH(L641,医院2县区2人!$A$2:$A$1048576,0))</f>
        <v>201602151421097</v>
      </c>
      <c r="W641" s="6" t="str">
        <f t="shared" si="21"/>
        <v>双黄连口服液10ml*10支</v>
      </c>
      <c r="X641" s="6" t="s">
        <v>2890</v>
      </c>
    </row>
    <row r="642" spans="1:24" x14ac:dyDescent="0.15">
      <c r="A642" s="7" t="str">
        <f t="shared" si="22"/>
        <v>201806</v>
      </c>
      <c r="C642" s="6" t="str">
        <f>INDEX(工厂基础数据!$A$2:$A$1024,MATCH(X642,工厂基础数据!$D$2:$D$1024,0))</f>
        <v>02025767</v>
      </c>
      <c r="E642" s="6" t="str">
        <f>INDEX(工厂基础数据!$B$2:$B$1024,MATCH(X642,工厂基础数据!$D$2:$D$1024,0))</f>
        <v>滨州市仁信医药有限公司</v>
      </c>
      <c r="F642" s="6">
        <f>INDEX(商业2转码!$B$2:$B$10000,MATCH(E642,商业2转码!$A$2:$A$10000,0))</f>
        <v>0</v>
      </c>
      <c r="G642" s="6" t="str">
        <f>INDEX(品种2编码!$A$2:$A$1048576,MATCH(W642,品种2编码!$D$2:$D$1048576,0))</f>
        <v>0020020020ZYLC0010</v>
      </c>
      <c r="H642" s="6" t="s">
        <v>1877</v>
      </c>
      <c r="I642" s="6" t="s">
        <v>1878</v>
      </c>
      <c r="J642" s="6" t="s">
        <v>3036</v>
      </c>
      <c r="L642" s="6" t="s">
        <v>2354</v>
      </c>
      <c r="M642" s="6">
        <f>INDEX(医院2县区2人!$B$2:$B$1048576,MATCH(L642,医院2县区2人!$A$2:$A$1048576,0))</f>
        <v>2</v>
      </c>
      <c r="N642" s="6" t="str">
        <f>INDEX(医院2县区2人!$C$2:$C$1048576,MATCH(L642,医院2县区2人!$A$2:$A$1048576,0))</f>
        <v>1855</v>
      </c>
      <c r="P642" s="7">
        <v>43275.736168981479</v>
      </c>
      <c r="Q642" s="6">
        <v>5</v>
      </c>
      <c r="R642" s="6">
        <v>3.5</v>
      </c>
      <c r="S642" s="6">
        <v>180401</v>
      </c>
      <c r="T642" s="6" t="str">
        <f>INDEX(医院2县区2人!$D$2:$D$1048576,MATCH(L642,医院2县区2人!$A$2:$A$1048576,0))</f>
        <v>201602151421097</v>
      </c>
      <c r="W642" s="6" t="str">
        <f t="shared" si="21"/>
        <v xml:space="preserve">泻利停/颠茄磺苄啶片0.48g*10片 </v>
      </c>
      <c r="X642" s="6" t="s">
        <v>2890</v>
      </c>
    </row>
    <row r="643" spans="1:24" x14ac:dyDescent="0.15">
      <c r="A643" s="7" t="str">
        <f t="shared" si="22"/>
        <v>201806</v>
      </c>
      <c r="C643" s="6" t="str">
        <f>INDEX(工厂基础数据!$A$2:$A$1024,MATCH(X643,工厂基础数据!$D$2:$D$1024,0))</f>
        <v>02025767</v>
      </c>
      <c r="E643" s="6" t="str">
        <f>INDEX(工厂基础数据!$B$2:$B$1024,MATCH(X643,工厂基础数据!$D$2:$D$1024,0))</f>
        <v>滨州市仁信医药有限公司</v>
      </c>
      <c r="F643" s="6">
        <f>INDEX(商业2转码!$B$2:$B$10000,MATCH(E643,商业2转码!$A$2:$A$10000,0))</f>
        <v>0</v>
      </c>
      <c r="G643" s="6" t="str">
        <f>INDEX(品种2编码!$A$2:$A$1048576,MATCH(W643,品种2编码!$D$2:$D$1048576,0))</f>
        <v>0020030020ZYLC0010</v>
      </c>
      <c r="H643" s="6" t="s">
        <v>1883</v>
      </c>
      <c r="I643" s="6" t="s">
        <v>1839</v>
      </c>
      <c r="J643" s="6" t="s">
        <v>3036</v>
      </c>
      <c r="L643" s="6" t="s">
        <v>2379</v>
      </c>
      <c r="M643" s="6">
        <f>INDEX(医院2县区2人!$B$2:$B$1048576,MATCH(L643,医院2县区2人!$A$2:$A$1048576,0))</f>
        <v>2</v>
      </c>
      <c r="N643" s="6" t="str">
        <f>INDEX(医院2县区2人!$C$2:$C$1048576,MATCH(L643,医院2县区2人!$A$2:$A$1048576,0))</f>
        <v>1854</v>
      </c>
      <c r="P643" s="7">
        <v>43275.736458333333</v>
      </c>
      <c r="Q643" s="6">
        <v>30</v>
      </c>
      <c r="R643" s="6">
        <v>3.7</v>
      </c>
      <c r="S643" s="6">
        <v>180136</v>
      </c>
      <c r="T643" s="6" t="str">
        <f>INDEX(医院2县区2人!$D$2:$D$1048576,MATCH(L643,医院2县区2人!$A$2:$A$1048576,0))</f>
        <v>201602151421097</v>
      </c>
      <c r="W643" s="6" t="str">
        <f t="shared" si="21"/>
        <v>“为消”牌乳酸菌素片0.4g*36片</v>
      </c>
      <c r="X643" s="6" t="s">
        <v>2890</v>
      </c>
    </row>
    <row r="644" spans="1:24" x14ac:dyDescent="0.15">
      <c r="A644" s="7" t="str">
        <f t="shared" si="22"/>
        <v>201806</v>
      </c>
      <c r="C644" s="6" t="str">
        <f>INDEX(工厂基础数据!$A$2:$A$1024,MATCH(X644,工厂基础数据!$D$2:$D$1024,0))</f>
        <v>02025767</v>
      </c>
      <c r="E644" s="6" t="str">
        <f>INDEX(工厂基础数据!$B$2:$B$1024,MATCH(X644,工厂基础数据!$D$2:$D$1024,0))</f>
        <v>滨州市仁信医药有限公司</v>
      </c>
      <c r="F644" s="6">
        <f>INDEX(商业2转码!$B$2:$B$10000,MATCH(E644,商业2转码!$A$2:$A$10000,0))</f>
        <v>0</v>
      </c>
      <c r="G644" s="6" t="str">
        <f>INDEX(品种2编码!$A$2:$A$1048576,MATCH(W644,品种2编码!$D$2:$D$1048576,0))</f>
        <v>0020030001SJZY0006</v>
      </c>
      <c r="H644" s="6" t="s">
        <v>1888</v>
      </c>
      <c r="I644" s="6" t="s">
        <v>411</v>
      </c>
      <c r="J644" s="6" t="s">
        <v>3040</v>
      </c>
      <c r="L644" s="6" t="s">
        <v>2191</v>
      </c>
      <c r="M644" s="6">
        <f>INDEX(医院2县区2人!$B$2:$B$1048576,MATCH(L644,医院2县区2人!$A$2:$A$1048576,0))</f>
        <v>2</v>
      </c>
      <c r="N644" s="6" t="str">
        <f>INDEX(医院2县区2人!$C$2:$C$1048576,MATCH(L644,医院2县区2人!$A$2:$A$1048576,0))</f>
        <v>1855</v>
      </c>
      <c r="P644" s="7">
        <v>43275.736226851855</v>
      </c>
      <c r="Q644" s="6">
        <v>5</v>
      </c>
      <c r="R644" s="6">
        <v>25</v>
      </c>
      <c r="S644" s="6">
        <v>17071042</v>
      </c>
      <c r="T644" s="6" t="str">
        <f>INDEX(医院2县区2人!$D$2:$D$1048576,MATCH(L644,医院2县区2人!$A$2:$A$1048576,0))</f>
        <v>201602151421097</v>
      </c>
      <c r="W644" s="6" t="str">
        <f t="shared" si="21"/>
        <v>葡萄糖酸钙口服溶液（含糖）10ml*12支</v>
      </c>
      <c r="X644" s="6" t="s">
        <v>2890</v>
      </c>
    </row>
    <row r="645" spans="1:24" x14ac:dyDescent="0.15">
      <c r="A645" s="7" t="str">
        <f t="shared" si="22"/>
        <v>201806</v>
      </c>
      <c r="C645" s="6" t="str">
        <f>INDEX(工厂基础数据!$A$2:$A$1024,MATCH(X645,工厂基础数据!$D$2:$D$1024,0))</f>
        <v>02025767</v>
      </c>
      <c r="E645" s="6" t="str">
        <f>INDEX(工厂基础数据!$B$2:$B$1024,MATCH(X645,工厂基础数据!$D$2:$D$1024,0))</f>
        <v>滨州市仁信医药有限公司</v>
      </c>
      <c r="F645" s="6">
        <f>INDEX(商业2转码!$B$2:$B$10000,MATCH(E645,商业2转码!$A$2:$A$10000,0))</f>
        <v>0</v>
      </c>
      <c r="G645" s="6" t="str">
        <f>INDEX(品种2编码!$A$2:$A$1048576,MATCH(W645,品种2编码!$D$2:$D$1048576,0))</f>
        <v>0020020020ZYLC0010</v>
      </c>
      <c r="H645" s="6" t="s">
        <v>1877</v>
      </c>
      <c r="I645" s="6" t="s">
        <v>1878</v>
      </c>
      <c r="J645" s="6" t="s">
        <v>3036</v>
      </c>
      <c r="L645" s="6" t="s">
        <v>2617</v>
      </c>
      <c r="M645" s="6">
        <f>INDEX(医院2县区2人!$B$2:$B$1048576,MATCH(L645,医院2县区2人!$A$2:$A$1048576,0))</f>
        <v>1</v>
      </c>
      <c r="N645" s="6" t="str">
        <f>INDEX(医院2县区2人!$C$2:$C$1048576,MATCH(L645,医院2县区2人!$A$2:$A$1048576,0))</f>
        <v>1855</v>
      </c>
      <c r="P645" s="7">
        <v>43275.736250000002</v>
      </c>
      <c r="Q645" s="6">
        <v>12</v>
      </c>
      <c r="R645" s="6">
        <v>3.5</v>
      </c>
      <c r="S645" s="6">
        <v>180401</v>
      </c>
      <c r="T645" s="6" t="str">
        <f>INDEX(医院2县区2人!$D$2:$D$1048576,MATCH(L645,医院2县区2人!$A$2:$A$1048576,0))</f>
        <v>201602151421097</v>
      </c>
      <c r="W645" s="6" t="str">
        <f t="shared" ref="W645:W708" si="23">H645&amp;I645</f>
        <v xml:space="preserve">泻利停/颠茄磺苄啶片0.48g*10片 </v>
      </c>
      <c r="X645" s="6" t="s">
        <v>2890</v>
      </c>
    </row>
    <row r="646" spans="1:24" x14ac:dyDescent="0.15">
      <c r="A646" s="7" t="str">
        <f t="shared" ref="A646:A709" si="24">IF(MONTH(P646)&lt;10,YEAR(P646)&amp;"0"&amp;MONTH(P646),YEAR(P646)&amp;MONTH(P646))</f>
        <v>201806</v>
      </c>
      <c r="C646" s="6" t="str">
        <f>INDEX(工厂基础数据!$A$2:$A$1024,MATCH(X646,工厂基础数据!$D$2:$D$1024,0))</f>
        <v>02025767</v>
      </c>
      <c r="E646" s="6" t="str">
        <f>INDEX(工厂基础数据!$B$2:$B$1024,MATCH(X646,工厂基础数据!$D$2:$D$1024,0))</f>
        <v>滨州市仁信医药有限公司</v>
      </c>
      <c r="F646" s="6">
        <f>INDEX(商业2转码!$B$2:$B$10000,MATCH(E646,商业2转码!$A$2:$A$10000,0))</f>
        <v>0</v>
      </c>
      <c r="G646" s="6" t="str">
        <f>INDEX(品种2编码!$A$2:$A$1048576,MATCH(W646,品种2编码!$D$2:$D$1048576,0))</f>
        <v>0020020021ZYLC0011</v>
      </c>
      <c r="H646" s="6" t="s">
        <v>1890</v>
      </c>
      <c r="I646" s="6" t="s">
        <v>1891</v>
      </c>
      <c r="J646" s="6" t="s">
        <v>3036</v>
      </c>
      <c r="L646" s="6" t="s">
        <v>2265</v>
      </c>
      <c r="M646" s="6">
        <f>INDEX(医院2县区2人!$B$2:$B$1048576,MATCH(L646,医院2县区2人!$A$2:$A$1048576,0))</f>
        <v>2</v>
      </c>
      <c r="N646" s="6" t="str">
        <f>INDEX(医院2县区2人!$C$2:$C$1048576,MATCH(L646,医院2县区2人!$A$2:$A$1048576,0))</f>
        <v>1855</v>
      </c>
      <c r="P646" s="7">
        <v>43275.73636574074</v>
      </c>
      <c r="Q646" s="6">
        <v>10</v>
      </c>
      <c r="R646" s="6">
        <v>6</v>
      </c>
      <c r="S646" s="6">
        <v>161001</v>
      </c>
      <c r="T646" s="6" t="str">
        <f>INDEX(医院2县区2人!$D$2:$D$1048576,MATCH(L646,医院2县区2人!$A$2:$A$1048576,0))</f>
        <v>201602151421097</v>
      </c>
      <c r="W646" s="6" t="str">
        <f t="shared" si="23"/>
        <v>严迪/罗红霉素分散片150mg*12片</v>
      </c>
      <c r="X646" s="6" t="s">
        <v>2890</v>
      </c>
    </row>
    <row r="647" spans="1:24" x14ac:dyDescent="0.15">
      <c r="A647" s="7" t="str">
        <f t="shared" si="24"/>
        <v>201806</v>
      </c>
      <c r="C647" s="6" t="str">
        <f>INDEX(工厂基础数据!$A$2:$A$1024,MATCH(X647,工厂基础数据!$D$2:$D$1024,0))</f>
        <v>02025767</v>
      </c>
      <c r="E647" s="6" t="str">
        <f>INDEX(工厂基础数据!$B$2:$B$1024,MATCH(X647,工厂基础数据!$D$2:$D$1024,0))</f>
        <v>滨州市仁信医药有限公司</v>
      </c>
      <c r="F647" s="6">
        <f>INDEX(商业2转码!$B$2:$B$10000,MATCH(E647,商业2转码!$A$2:$A$10000,0))</f>
        <v>0</v>
      </c>
      <c r="G647" s="6" t="str">
        <f>INDEX(品种2编码!$A$2:$A$1048576,MATCH(W647,品种2编码!$D$2:$D$1048576,0))</f>
        <v>0020030001SJZY0006</v>
      </c>
      <c r="H647" s="6" t="s">
        <v>1888</v>
      </c>
      <c r="I647" s="6" t="s">
        <v>411</v>
      </c>
      <c r="J647" s="6" t="s">
        <v>3040</v>
      </c>
      <c r="L647" s="6" t="s">
        <v>2361</v>
      </c>
      <c r="M647" s="6">
        <f>INDEX(医院2县区2人!$B$2:$B$1048576,MATCH(L647,医院2县区2人!$A$2:$A$1048576,0))</f>
        <v>2</v>
      </c>
      <c r="N647" s="6" t="str">
        <f>INDEX(医院2县区2人!$C$2:$C$1048576,MATCH(L647,医院2县区2人!$A$2:$A$1048576,0))</f>
        <v>1855</v>
      </c>
      <c r="P647" s="7">
        <v>43275.736377314817</v>
      </c>
      <c r="Q647" s="6">
        <v>20</v>
      </c>
      <c r="R647" s="6">
        <v>25</v>
      </c>
      <c r="S647" s="6">
        <v>17071042</v>
      </c>
      <c r="T647" s="6" t="str">
        <f>INDEX(医院2县区2人!$D$2:$D$1048576,MATCH(L647,医院2县区2人!$A$2:$A$1048576,0))</f>
        <v>201602151421097</v>
      </c>
      <c r="W647" s="6" t="str">
        <f t="shared" si="23"/>
        <v>葡萄糖酸钙口服溶液（含糖）10ml*12支</v>
      </c>
      <c r="X647" s="6" t="s">
        <v>2890</v>
      </c>
    </row>
    <row r="648" spans="1:24" x14ac:dyDescent="0.15">
      <c r="A648" s="7" t="str">
        <f t="shared" si="24"/>
        <v>201806</v>
      </c>
      <c r="C648" s="6" t="str">
        <f>INDEX(工厂基础数据!$A$2:$A$1024,MATCH(X648,工厂基础数据!$D$2:$D$1024,0))</f>
        <v>02025767</v>
      </c>
      <c r="E648" s="6" t="str">
        <f>INDEX(工厂基础数据!$B$2:$B$1024,MATCH(X648,工厂基础数据!$D$2:$D$1024,0))</f>
        <v>滨州市仁信医药有限公司</v>
      </c>
      <c r="F648" s="6">
        <f>INDEX(商业2转码!$B$2:$B$10000,MATCH(E648,商业2转码!$A$2:$A$10000,0))</f>
        <v>0</v>
      </c>
      <c r="G648" s="6" t="str">
        <f>INDEX(品种2编码!$A$2:$A$1048576,MATCH(W648,品种2编码!$D$2:$D$1048576,0))</f>
        <v>0020050090SJZY0001</v>
      </c>
      <c r="H648" s="6" t="s">
        <v>630</v>
      </c>
      <c r="I648" s="6" t="s">
        <v>1850</v>
      </c>
      <c r="J648" s="6" t="s">
        <v>3040</v>
      </c>
      <c r="L648" s="6" t="s">
        <v>2265</v>
      </c>
      <c r="M648" s="6">
        <f>INDEX(医院2县区2人!$B$2:$B$1048576,MATCH(L648,医院2县区2人!$A$2:$A$1048576,0))</f>
        <v>2</v>
      </c>
      <c r="N648" s="6" t="str">
        <f>INDEX(医院2县区2人!$C$2:$C$1048576,MATCH(L648,医院2县区2人!$A$2:$A$1048576,0))</f>
        <v>1855</v>
      </c>
      <c r="P648" s="7">
        <v>43275.73641203704</v>
      </c>
      <c r="Q648" s="6">
        <v>5</v>
      </c>
      <c r="R648" s="6">
        <v>16.5</v>
      </c>
      <c r="S648" s="6">
        <v>17062821</v>
      </c>
      <c r="T648" s="6" t="str">
        <f>INDEX(医院2县区2人!$D$2:$D$1048576,MATCH(L648,医院2县区2人!$A$2:$A$1048576,0))</f>
        <v>201602151421097</v>
      </c>
      <c r="W648" s="6" t="str">
        <f t="shared" si="23"/>
        <v>双黄连口服液10ml*10支</v>
      </c>
      <c r="X648" s="6" t="s">
        <v>2890</v>
      </c>
    </row>
    <row r="649" spans="1:24" x14ac:dyDescent="0.15">
      <c r="A649" s="7" t="str">
        <f t="shared" si="24"/>
        <v>201806</v>
      </c>
      <c r="C649" s="6" t="str">
        <f>INDEX(工厂基础数据!$A$2:$A$1024,MATCH(X649,工厂基础数据!$D$2:$D$1024,0))</f>
        <v>02025767</v>
      </c>
      <c r="E649" s="6" t="str">
        <f>INDEX(工厂基础数据!$B$2:$B$1024,MATCH(X649,工厂基础数据!$D$2:$D$1024,0))</f>
        <v>滨州市仁信医药有限公司</v>
      </c>
      <c r="F649" s="6">
        <f>INDEX(商业2转码!$B$2:$B$10000,MATCH(E649,商业2转码!$A$2:$A$10000,0))</f>
        <v>0</v>
      </c>
      <c r="G649" s="6" t="str">
        <f>INDEX(品种2编码!$A$2:$A$1048576,MATCH(W649,品种2编码!$D$2:$D$1048576,0))</f>
        <v>0020030001SJZY0006</v>
      </c>
      <c r="H649" s="6" t="s">
        <v>1888</v>
      </c>
      <c r="I649" s="6" t="s">
        <v>411</v>
      </c>
      <c r="J649" s="6" t="s">
        <v>3040</v>
      </c>
      <c r="L649" s="6" t="s">
        <v>2750</v>
      </c>
      <c r="M649" s="6">
        <f>INDEX(医院2县区2人!$B$2:$B$1048576,MATCH(L649,医院2县区2人!$A$2:$A$1048576,0))</f>
        <v>2</v>
      </c>
      <c r="N649" s="6" t="str">
        <f>INDEX(医院2县区2人!$C$2:$C$1048576,MATCH(L649,医院2县区2人!$A$2:$A$1048576,0))</f>
        <v>1855</v>
      </c>
      <c r="P649" s="7">
        <v>43275.736226851855</v>
      </c>
      <c r="Q649" s="6">
        <v>5</v>
      </c>
      <c r="R649" s="6">
        <v>25</v>
      </c>
      <c r="S649" s="6">
        <v>17071042</v>
      </c>
      <c r="T649" s="6" t="str">
        <f>INDEX(医院2县区2人!$D$2:$D$1048576,MATCH(L649,医院2县区2人!$A$2:$A$1048576,0))</f>
        <v>201602151421097</v>
      </c>
      <c r="W649" s="6" t="str">
        <f t="shared" si="23"/>
        <v>葡萄糖酸钙口服溶液（含糖）10ml*12支</v>
      </c>
      <c r="X649" s="6" t="s">
        <v>2890</v>
      </c>
    </row>
    <row r="650" spans="1:24" x14ac:dyDescent="0.15">
      <c r="A650" s="7" t="str">
        <f t="shared" si="24"/>
        <v>201806</v>
      </c>
      <c r="C650" s="6" t="str">
        <f>INDEX(工厂基础数据!$A$2:$A$1024,MATCH(X650,工厂基础数据!$D$2:$D$1024,0))</f>
        <v>02025767</v>
      </c>
      <c r="E650" s="6" t="str">
        <f>INDEX(工厂基础数据!$B$2:$B$1024,MATCH(X650,工厂基础数据!$D$2:$D$1024,0))</f>
        <v>滨州市仁信医药有限公司</v>
      </c>
      <c r="F650" s="6">
        <f>INDEX(商业2转码!$B$2:$B$10000,MATCH(E650,商业2转码!$A$2:$A$10000,0))</f>
        <v>0</v>
      </c>
      <c r="G650" s="6" t="str">
        <f>INDEX(品种2编码!$A$2:$A$1048576,MATCH(W650,品种2编码!$D$2:$D$1048576,0))</f>
        <v>0020030001SJZY0009</v>
      </c>
      <c r="H650" s="6" t="s">
        <v>555</v>
      </c>
      <c r="I650" s="6" t="s">
        <v>1889</v>
      </c>
      <c r="J650" s="6" t="s">
        <v>3039</v>
      </c>
      <c r="L650" s="6" t="s">
        <v>2750</v>
      </c>
      <c r="M650" s="6">
        <f>INDEX(医院2县区2人!$B$2:$B$1048576,MATCH(L650,医院2县区2人!$A$2:$A$1048576,0))</f>
        <v>2</v>
      </c>
      <c r="N650" s="6" t="str">
        <f>INDEX(医院2县区2人!$C$2:$C$1048576,MATCH(L650,医院2县区2人!$A$2:$A$1048576,0))</f>
        <v>1855</v>
      </c>
      <c r="P650" s="7">
        <v>43275.736180555556</v>
      </c>
      <c r="Q650" s="6">
        <v>10</v>
      </c>
      <c r="R650" s="6">
        <v>25</v>
      </c>
      <c r="S650" s="6">
        <v>18032427</v>
      </c>
      <c r="T650" s="6" t="str">
        <f>INDEX(医院2县区2人!$D$2:$D$1048576,MATCH(L650,医院2县区2人!$A$2:$A$1048576,0))</f>
        <v>201602151421097</v>
      </c>
      <c r="W650" s="6" t="str">
        <f t="shared" si="23"/>
        <v>葡萄糖酸锌口服液10ML*12支</v>
      </c>
      <c r="X650" s="6" t="s">
        <v>2890</v>
      </c>
    </row>
    <row r="651" spans="1:24" x14ac:dyDescent="0.15">
      <c r="A651" s="7" t="str">
        <f t="shared" si="24"/>
        <v>201806</v>
      </c>
      <c r="C651" s="6" t="str">
        <f>INDEX(工厂基础数据!$A$2:$A$1024,MATCH(X651,工厂基础数据!$D$2:$D$1024,0))</f>
        <v>02025767</v>
      </c>
      <c r="E651" s="6" t="str">
        <f>INDEX(工厂基础数据!$B$2:$B$1024,MATCH(X651,工厂基础数据!$D$2:$D$1024,0))</f>
        <v>滨州市仁信医药有限公司</v>
      </c>
      <c r="F651" s="6">
        <f>INDEX(商业2转码!$B$2:$B$10000,MATCH(E651,商业2转码!$A$2:$A$10000,0))</f>
        <v>0</v>
      </c>
      <c r="G651" s="6" t="str">
        <f>INDEX(品种2编码!$A$2:$A$1048576,MATCH(W651,品种2编码!$D$2:$D$1048576,0))</f>
        <v>0020030020SJSC0004</v>
      </c>
      <c r="H651" s="6" t="s">
        <v>1907</v>
      </c>
      <c r="I651" s="6" t="s">
        <v>1871</v>
      </c>
      <c r="J651" s="6" t="s">
        <v>3045</v>
      </c>
      <c r="L651" s="6" t="s">
        <v>2750</v>
      </c>
      <c r="M651" s="6">
        <f>INDEX(医院2县区2人!$B$2:$B$1048576,MATCH(L651,医院2县区2人!$A$2:$A$1048576,0))</f>
        <v>2</v>
      </c>
      <c r="N651" s="6" t="str">
        <f>INDEX(医院2县区2人!$C$2:$C$1048576,MATCH(L651,医院2县区2人!$A$2:$A$1048576,0))</f>
        <v>1855</v>
      </c>
      <c r="P651" s="7">
        <v>43275.736261574071</v>
      </c>
      <c r="Q651" s="6">
        <v>5</v>
      </c>
      <c r="R651" s="6">
        <v>12.5</v>
      </c>
      <c r="S651" s="6">
        <v>1803006</v>
      </c>
      <c r="T651" s="6" t="str">
        <f>INDEX(医院2县区2人!$D$2:$D$1048576,MATCH(L651,医院2县区2人!$A$2:$A$1048576,0))</f>
        <v>201602151421097</v>
      </c>
      <c r="W651" s="6" t="str">
        <f t="shared" si="23"/>
        <v>胃必治/复方铝酸铋片50片</v>
      </c>
      <c r="X651" s="6" t="s">
        <v>2890</v>
      </c>
    </row>
    <row r="652" spans="1:24" x14ac:dyDescent="0.15">
      <c r="A652" s="7" t="str">
        <f t="shared" si="24"/>
        <v>201806</v>
      </c>
      <c r="C652" s="6" t="str">
        <f>INDEX(工厂基础数据!$A$2:$A$1024,MATCH(X652,工厂基础数据!$D$2:$D$1024,0))</f>
        <v>02025767</v>
      </c>
      <c r="E652" s="6" t="str">
        <f>INDEX(工厂基础数据!$B$2:$B$1024,MATCH(X652,工厂基础数据!$D$2:$D$1024,0))</f>
        <v>滨州市仁信医药有限公司</v>
      </c>
      <c r="F652" s="6">
        <f>INDEX(商业2转码!$B$2:$B$10000,MATCH(E652,商业2转码!$A$2:$A$10000,0))</f>
        <v>0</v>
      </c>
      <c r="G652" s="6" t="str">
        <f>INDEX(品种2编码!$A$2:$A$1048576,MATCH(W652,品种2编码!$D$2:$D$1048576,0))</f>
        <v>0020030001SJZY0009</v>
      </c>
      <c r="H652" s="6" t="s">
        <v>555</v>
      </c>
      <c r="I652" s="6" t="s">
        <v>1889</v>
      </c>
      <c r="J652" s="6" t="s">
        <v>3039</v>
      </c>
      <c r="L652" s="6" t="s">
        <v>2256</v>
      </c>
      <c r="M652" s="6">
        <f>INDEX(医院2县区2人!$B$2:$B$1048576,MATCH(L652,医院2县区2人!$A$2:$A$1048576,0))</f>
        <v>2</v>
      </c>
      <c r="N652" s="6" t="str">
        <f>INDEX(医院2县区2人!$C$2:$C$1048576,MATCH(L652,医院2县区2人!$A$2:$A$1048576,0))</f>
        <v>1855</v>
      </c>
      <c r="P652" s="7">
        <v>43275.736250000002</v>
      </c>
      <c r="Q652" s="6">
        <v>13</v>
      </c>
      <c r="R652" s="6">
        <v>25</v>
      </c>
      <c r="S652" s="6">
        <v>18031227</v>
      </c>
      <c r="T652" s="6" t="str">
        <f>INDEX(医院2县区2人!$D$2:$D$1048576,MATCH(L652,医院2县区2人!$A$2:$A$1048576,0))</f>
        <v>201602151421097</v>
      </c>
      <c r="W652" s="6" t="str">
        <f t="shared" si="23"/>
        <v>葡萄糖酸锌口服液10ML*12支</v>
      </c>
      <c r="X652" s="6" t="s">
        <v>2890</v>
      </c>
    </row>
    <row r="653" spans="1:24" x14ac:dyDescent="0.15">
      <c r="A653" s="7" t="str">
        <f t="shared" si="24"/>
        <v>201806</v>
      </c>
      <c r="C653" s="6" t="str">
        <f>INDEX(工厂基础数据!$A$2:$A$1024,MATCH(X653,工厂基础数据!$D$2:$D$1024,0))</f>
        <v>02025767</v>
      </c>
      <c r="E653" s="6" t="str">
        <f>INDEX(工厂基础数据!$B$2:$B$1024,MATCH(X653,工厂基础数据!$D$2:$D$1024,0))</f>
        <v>滨州市仁信医药有限公司</v>
      </c>
      <c r="F653" s="6">
        <f>INDEX(商业2转码!$B$2:$B$10000,MATCH(E653,商业2转码!$A$2:$A$10000,0))</f>
        <v>0</v>
      </c>
      <c r="G653" s="6" t="str">
        <f>INDEX(品种2编码!$A$2:$A$1048576,MATCH(W653,品种2编码!$D$2:$D$1048576,0))</f>
        <v>0020030001SJZY0009</v>
      </c>
      <c r="H653" s="6" t="s">
        <v>555</v>
      </c>
      <c r="I653" s="6" t="s">
        <v>1889</v>
      </c>
      <c r="J653" s="6" t="s">
        <v>3039</v>
      </c>
      <c r="L653" s="6" t="s">
        <v>2256</v>
      </c>
      <c r="M653" s="6">
        <f>INDEX(医院2县区2人!$B$2:$B$1048576,MATCH(L653,医院2县区2人!$A$2:$A$1048576,0))</f>
        <v>2</v>
      </c>
      <c r="N653" s="6" t="str">
        <f>INDEX(医院2县区2人!$C$2:$C$1048576,MATCH(L653,医院2县区2人!$A$2:$A$1048576,0))</f>
        <v>1855</v>
      </c>
      <c r="P653" s="7">
        <v>43275.736388888887</v>
      </c>
      <c r="Q653" s="6">
        <v>7</v>
      </c>
      <c r="R653" s="6">
        <v>25</v>
      </c>
      <c r="S653" s="6">
        <v>18032427</v>
      </c>
      <c r="T653" s="6" t="str">
        <f>INDEX(医院2县区2人!$D$2:$D$1048576,MATCH(L653,医院2县区2人!$A$2:$A$1048576,0))</f>
        <v>201602151421097</v>
      </c>
      <c r="W653" s="6" t="str">
        <f t="shared" si="23"/>
        <v>葡萄糖酸锌口服液10ML*12支</v>
      </c>
      <c r="X653" s="6" t="s">
        <v>2890</v>
      </c>
    </row>
    <row r="654" spans="1:24" x14ac:dyDescent="0.15">
      <c r="A654" s="7" t="str">
        <f t="shared" si="24"/>
        <v>201806</v>
      </c>
      <c r="C654" s="6" t="str">
        <f>INDEX(工厂基础数据!$A$2:$A$1024,MATCH(X654,工厂基础数据!$D$2:$D$1024,0))</f>
        <v>02025767</v>
      </c>
      <c r="E654" s="6" t="str">
        <f>INDEX(工厂基础数据!$B$2:$B$1024,MATCH(X654,工厂基础数据!$D$2:$D$1024,0))</f>
        <v>滨州市仁信医药有限公司</v>
      </c>
      <c r="F654" s="6">
        <f>INDEX(商业2转码!$B$2:$B$10000,MATCH(E654,商业2转码!$A$2:$A$10000,0))</f>
        <v>0</v>
      </c>
      <c r="G654" s="6" t="str">
        <f>INDEX(品种2编码!$A$2:$A$1048576,MATCH(W654,品种2编码!$D$2:$D$1048576,0))</f>
        <v>0020020021ZYLC0011</v>
      </c>
      <c r="H654" s="6" t="s">
        <v>1890</v>
      </c>
      <c r="I654" s="6" t="s">
        <v>1891</v>
      </c>
      <c r="J654" s="6" t="s">
        <v>3036</v>
      </c>
      <c r="L654" s="6" t="s">
        <v>2256</v>
      </c>
      <c r="M654" s="6">
        <f>INDEX(医院2县区2人!$B$2:$B$1048576,MATCH(L654,医院2县区2人!$A$2:$A$1048576,0))</f>
        <v>2</v>
      </c>
      <c r="N654" s="6" t="str">
        <f>INDEX(医院2县区2人!$C$2:$C$1048576,MATCH(L654,医院2县区2人!$A$2:$A$1048576,0))</f>
        <v>1855</v>
      </c>
      <c r="P654" s="7">
        <v>43275.736388888887</v>
      </c>
      <c r="Q654" s="6">
        <v>10</v>
      </c>
      <c r="R654" s="6">
        <v>6</v>
      </c>
      <c r="S654" s="6">
        <v>161001</v>
      </c>
      <c r="T654" s="6" t="str">
        <f>INDEX(医院2县区2人!$D$2:$D$1048576,MATCH(L654,医院2县区2人!$A$2:$A$1048576,0))</f>
        <v>201602151421097</v>
      </c>
      <c r="W654" s="6" t="str">
        <f t="shared" si="23"/>
        <v>严迪/罗红霉素分散片150mg*12片</v>
      </c>
      <c r="X654" s="6" t="s">
        <v>2890</v>
      </c>
    </row>
    <row r="655" spans="1:24" x14ac:dyDescent="0.15">
      <c r="A655" s="7" t="str">
        <f t="shared" si="24"/>
        <v>201806</v>
      </c>
      <c r="C655" s="6" t="str">
        <f>INDEX(工厂基础数据!$A$2:$A$1024,MATCH(X655,工厂基础数据!$D$2:$D$1024,0))</f>
        <v>02025767</v>
      </c>
      <c r="E655" s="6" t="str">
        <f>INDEX(工厂基础数据!$B$2:$B$1024,MATCH(X655,工厂基础数据!$D$2:$D$1024,0))</f>
        <v>滨州市仁信医药有限公司</v>
      </c>
      <c r="F655" s="6">
        <f>INDEX(商业2转码!$B$2:$B$10000,MATCH(E655,商业2转码!$A$2:$A$10000,0))</f>
        <v>0</v>
      </c>
      <c r="G655" s="6" t="str">
        <f>INDEX(品种2编码!$A$2:$A$1048576,MATCH(W655,品种2编码!$D$2:$D$1048576,0))</f>
        <v>0020020020ZYLC0003</v>
      </c>
      <c r="H655" s="6" t="s">
        <v>1940</v>
      </c>
      <c r="I655" s="6" t="s">
        <v>1941</v>
      </c>
      <c r="J655" s="6" t="s">
        <v>3036</v>
      </c>
      <c r="L655" s="6" t="s">
        <v>2328</v>
      </c>
      <c r="M655" s="6">
        <f>INDEX(医院2县区2人!$B$2:$B$1048576,MATCH(L655,医院2县区2人!$A$2:$A$1048576,0))</f>
        <v>2</v>
      </c>
      <c r="N655" s="6" t="str">
        <f>INDEX(医院2县区2人!$C$2:$C$1048576,MATCH(L655,医院2县区2人!$A$2:$A$1048576,0))</f>
        <v>1855</v>
      </c>
      <c r="P655" s="7">
        <v>43275.736273148148</v>
      </c>
      <c r="Q655" s="6">
        <v>10</v>
      </c>
      <c r="R655" s="6">
        <v>9</v>
      </c>
      <c r="S655" s="6">
        <v>161103</v>
      </c>
      <c r="T655" s="6" t="str">
        <f>INDEX(医院2县区2人!$D$2:$D$1048576,MATCH(L655,医院2县区2人!$A$2:$A$1048576,0))</f>
        <v>201602151421097</v>
      </c>
      <c r="W655" s="6" t="str">
        <f t="shared" si="23"/>
        <v>泻立停片/颠茄磺苄啶片0.4g：80mg：8mg*12片</v>
      </c>
      <c r="X655" s="6" t="s">
        <v>2890</v>
      </c>
    </row>
    <row r="656" spans="1:24" x14ac:dyDescent="0.15">
      <c r="A656" s="7" t="str">
        <f t="shared" si="24"/>
        <v>201806</v>
      </c>
      <c r="C656" s="6" t="str">
        <f>INDEX(工厂基础数据!$A$2:$A$1024,MATCH(X656,工厂基础数据!$D$2:$D$1024,0))</f>
        <v>02025767</v>
      </c>
      <c r="E656" s="6" t="str">
        <f>INDEX(工厂基础数据!$B$2:$B$1024,MATCH(X656,工厂基础数据!$D$2:$D$1024,0))</f>
        <v>滨州市仁信医药有限公司</v>
      </c>
      <c r="F656" s="6">
        <f>INDEX(商业2转码!$B$2:$B$10000,MATCH(E656,商业2转码!$A$2:$A$10000,0))</f>
        <v>0</v>
      </c>
      <c r="G656" s="6" t="str">
        <f>INDEX(品种2编码!$A$2:$A$1048576,MATCH(W656,品种2编码!$D$2:$D$1048576,0))</f>
        <v>0020030020ZYLC0005</v>
      </c>
      <c r="H656" s="6" t="s">
        <v>705</v>
      </c>
      <c r="I656" s="6" t="s">
        <v>1908</v>
      </c>
      <c r="J656" s="6" t="s">
        <v>3036</v>
      </c>
      <c r="L656" s="6" t="s">
        <v>3025</v>
      </c>
      <c r="M656" s="6" t="e">
        <f>INDEX(医院2县区2人!$B$2:$B$1048576,MATCH(L656,医院2县区2人!$A$2:$A$1048576,0))</f>
        <v>#N/A</v>
      </c>
      <c r="N656" s="6" t="e">
        <f>INDEX(医院2县区2人!$C$2:$C$1048576,MATCH(L656,医院2县区2人!$A$2:$A$1048576,0))</f>
        <v>#N/A</v>
      </c>
      <c r="P656" s="7">
        <v>43275.736180555556</v>
      </c>
      <c r="Q656" s="6">
        <v>5</v>
      </c>
      <c r="R656" s="6">
        <v>6</v>
      </c>
      <c r="S656" s="6">
        <v>170601</v>
      </c>
      <c r="T656" s="6" t="e">
        <f>INDEX(医院2县区2人!$D$2:$D$1048576,MATCH(L656,医院2县区2人!$A$2:$A$1048576,0))</f>
        <v>#N/A</v>
      </c>
      <c r="W656" s="6" t="str">
        <f t="shared" si="23"/>
        <v>小儿氨酚黄那敏片0.125g*20片</v>
      </c>
      <c r="X656" s="6" t="s">
        <v>2890</v>
      </c>
    </row>
    <row r="657" spans="1:24" x14ac:dyDescent="0.15">
      <c r="A657" s="7" t="str">
        <f t="shared" si="24"/>
        <v>201806</v>
      </c>
      <c r="C657" s="6" t="str">
        <f>INDEX(工厂基础数据!$A$2:$A$1024,MATCH(X657,工厂基础数据!$D$2:$D$1024,0))</f>
        <v>02025767</v>
      </c>
      <c r="E657" s="6" t="str">
        <f>INDEX(工厂基础数据!$B$2:$B$1024,MATCH(X657,工厂基础数据!$D$2:$D$1024,0))</f>
        <v>滨州市仁信医药有限公司</v>
      </c>
      <c r="F657" s="6">
        <f>INDEX(商业2转码!$B$2:$B$10000,MATCH(E657,商业2转码!$A$2:$A$10000,0))</f>
        <v>0</v>
      </c>
      <c r="G657" s="6" t="str">
        <f>INDEX(品种2编码!$A$2:$A$1048576,MATCH(W657,品种2编码!$D$2:$D$1048576,0))</f>
        <v>0020040001SHYT0018</v>
      </c>
      <c r="H657" s="6" t="s">
        <v>1932</v>
      </c>
      <c r="I657" s="6" t="s">
        <v>444</v>
      </c>
      <c r="J657" s="6" t="s">
        <v>3037</v>
      </c>
      <c r="L657" s="6" t="s">
        <v>3012</v>
      </c>
      <c r="M657" s="6" t="e">
        <f>INDEX(医院2县区2人!$B$2:$B$1048576,MATCH(L657,医院2县区2人!$A$2:$A$1048576,0))</f>
        <v>#N/A</v>
      </c>
      <c r="N657" s="6" t="e">
        <f>INDEX(医院2县区2人!$C$2:$C$1048576,MATCH(L657,医院2县区2人!$A$2:$A$1048576,0))</f>
        <v>#N/A</v>
      </c>
      <c r="P657" s="7">
        <v>43276.627962962964</v>
      </c>
      <c r="Q657" s="6">
        <v>5</v>
      </c>
      <c r="R657" s="6">
        <v>10</v>
      </c>
      <c r="S657" s="6">
        <v>1612106</v>
      </c>
      <c r="T657" s="6" t="e">
        <f>INDEX(医院2县区2人!$D$2:$D$1048576,MATCH(L657,医院2县区2人!$A$2:$A$1048576,0))</f>
        <v>#N/A</v>
      </c>
      <c r="W657" s="6" t="str">
        <f t="shared" si="23"/>
        <v>血府逐淤丸9g*10丸</v>
      </c>
      <c r="X657" s="6" t="s">
        <v>2890</v>
      </c>
    </row>
    <row r="658" spans="1:24" x14ac:dyDescent="0.15">
      <c r="A658" s="7" t="str">
        <f t="shared" si="24"/>
        <v>201806</v>
      </c>
      <c r="C658" s="6" t="str">
        <f>INDEX(工厂基础数据!$A$2:$A$1024,MATCH(X658,工厂基础数据!$D$2:$D$1024,0))</f>
        <v>02025767</v>
      </c>
      <c r="E658" s="6" t="str">
        <f>INDEX(工厂基础数据!$B$2:$B$1024,MATCH(X658,工厂基础数据!$D$2:$D$1024,0))</f>
        <v>滨州市仁信医药有限公司</v>
      </c>
      <c r="F658" s="6">
        <f>INDEX(商业2转码!$B$2:$B$10000,MATCH(E658,商业2转码!$A$2:$A$10000,0))</f>
        <v>0</v>
      </c>
      <c r="G658" s="6" t="str">
        <f>INDEX(品种2编码!$A$2:$A$1048576,MATCH(W658,品种2编码!$D$2:$D$1048576,0))</f>
        <v>0020020021ZYLC0004</v>
      </c>
      <c r="H658" s="6" t="s">
        <v>1899</v>
      </c>
      <c r="I658" s="6" t="s">
        <v>1869</v>
      </c>
      <c r="J658" s="6" t="s">
        <v>3036</v>
      </c>
      <c r="L658" s="6" t="s">
        <v>2266</v>
      </c>
      <c r="M658" s="6">
        <f>INDEX(医院2县区2人!$B$2:$B$1048576,MATCH(L658,医院2县区2人!$A$2:$A$1048576,0))</f>
        <v>4</v>
      </c>
      <c r="N658" s="6" t="str">
        <f>INDEX(医院2县区2人!$C$2:$C$1048576,MATCH(L658,医院2县区2人!$A$2:$A$1048576,0))</f>
        <v>1856</v>
      </c>
      <c r="P658" s="7">
        <v>43279.742222222223</v>
      </c>
      <c r="Q658" s="6">
        <v>10</v>
      </c>
      <c r="R658" s="6">
        <v>8</v>
      </c>
      <c r="S658" s="6">
        <v>180201</v>
      </c>
      <c r="T658" s="6" t="str">
        <f>INDEX(医院2县区2人!$D$2:$D$1048576,MATCH(L658,医院2县区2人!$A$2:$A$1048576,0))</f>
        <v>201602151421097</v>
      </c>
      <c r="W658" s="6" t="str">
        <f t="shared" si="23"/>
        <v>大严迪片/罗红霉素分散片75mg*12片</v>
      </c>
      <c r="X658" s="6" t="s">
        <v>2890</v>
      </c>
    </row>
    <row r="659" spans="1:24" x14ac:dyDescent="0.15">
      <c r="A659" s="7" t="str">
        <f t="shared" si="24"/>
        <v>201806</v>
      </c>
      <c r="C659" s="6" t="str">
        <f>INDEX(工厂基础数据!$A$2:$A$1024,MATCH(X659,工厂基础数据!$D$2:$D$1024,0))</f>
        <v>02025767</v>
      </c>
      <c r="E659" s="6" t="str">
        <f>INDEX(工厂基础数据!$B$2:$B$1024,MATCH(X659,工厂基础数据!$D$2:$D$1024,0))</f>
        <v>滨州市仁信医药有限公司</v>
      </c>
      <c r="F659" s="6">
        <f>INDEX(商业2转码!$B$2:$B$10000,MATCH(E659,商业2转码!$A$2:$A$10000,0))</f>
        <v>0</v>
      </c>
      <c r="G659" s="6" t="str">
        <f>INDEX(品种2编码!$A$2:$A$1048576,MATCH(W659,品种2编码!$D$2:$D$1048576,0))</f>
        <v>0020030001SJZY0006</v>
      </c>
      <c r="H659" s="6" t="s">
        <v>1888</v>
      </c>
      <c r="I659" s="6" t="s">
        <v>411</v>
      </c>
      <c r="J659" s="6" t="s">
        <v>3040</v>
      </c>
      <c r="L659" s="6" t="s">
        <v>2266</v>
      </c>
      <c r="M659" s="6">
        <f>INDEX(医院2县区2人!$B$2:$B$1048576,MATCH(L659,医院2县区2人!$A$2:$A$1048576,0))</f>
        <v>4</v>
      </c>
      <c r="N659" s="6" t="str">
        <f>INDEX(医院2县区2人!$C$2:$C$1048576,MATCH(L659,医院2县区2人!$A$2:$A$1048576,0))</f>
        <v>1856</v>
      </c>
      <c r="P659" s="7">
        <v>43279.742222222223</v>
      </c>
      <c r="Q659" s="6">
        <v>80</v>
      </c>
      <c r="R659" s="6">
        <v>25</v>
      </c>
      <c r="S659" s="6">
        <v>17071042</v>
      </c>
      <c r="T659" s="6" t="str">
        <f>INDEX(医院2县区2人!$D$2:$D$1048576,MATCH(L659,医院2县区2人!$A$2:$A$1048576,0))</f>
        <v>201602151421097</v>
      </c>
      <c r="W659" s="6" t="str">
        <f t="shared" si="23"/>
        <v>葡萄糖酸钙口服溶液（含糖）10ml*12支</v>
      </c>
      <c r="X659" s="6" t="s">
        <v>2890</v>
      </c>
    </row>
    <row r="660" spans="1:24" x14ac:dyDescent="0.15">
      <c r="A660" s="7" t="str">
        <f t="shared" si="24"/>
        <v>201806</v>
      </c>
      <c r="C660" s="6" t="str">
        <f>INDEX(工厂基础数据!$A$2:$A$1024,MATCH(X660,工厂基础数据!$D$2:$D$1024,0))</f>
        <v>02025767</v>
      </c>
      <c r="E660" s="6" t="str">
        <f>INDEX(工厂基础数据!$B$2:$B$1024,MATCH(X660,工厂基础数据!$D$2:$D$1024,0))</f>
        <v>滨州市仁信医药有限公司</v>
      </c>
      <c r="F660" s="6">
        <f>INDEX(商业2转码!$B$2:$B$10000,MATCH(E660,商业2转码!$A$2:$A$10000,0))</f>
        <v>0</v>
      </c>
      <c r="G660" s="6" t="str">
        <f>INDEX(品种2编码!$A$2:$A$1048576,MATCH(W660,品种2编码!$D$2:$D$1048576,0))</f>
        <v>0020050090SJZY0001</v>
      </c>
      <c r="H660" s="6" t="s">
        <v>630</v>
      </c>
      <c r="I660" s="6" t="s">
        <v>1850</v>
      </c>
      <c r="J660" s="6" t="s">
        <v>3040</v>
      </c>
      <c r="L660" s="6" t="s">
        <v>2641</v>
      </c>
      <c r="M660" s="6">
        <f>INDEX(医院2县区2人!$B$2:$B$1048576,MATCH(L660,医院2县区2人!$A$2:$A$1048576,0))</f>
        <v>1</v>
      </c>
      <c r="N660" s="6" t="str">
        <f>INDEX(医院2县区2人!$C$2:$C$1048576,MATCH(L660,医院2县区2人!$A$2:$A$1048576,0))</f>
        <v>1853</v>
      </c>
      <c r="P660" s="7">
        <v>43277.328680555554</v>
      </c>
      <c r="Q660" s="6">
        <v>5</v>
      </c>
      <c r="R660" s="6">
        <v>16.5</v>
      </c>
      <c r="S660" s="6">
        <v>18031742</v>
      </c>
      <c r="T660" s="6" t="str">
        <f>INDEX(医院2县区2人!$D$2:$D$1048576,MATCH(L660,医院2县区2人!$A$2:$A$1048576,0))</f>
        <v>201602151421097</v>
      </c>
      <c r="W660" s="6" t="str">
        <f t="shared" si="23"/>
        <v>双黄连口服液10ml*10支</v>
      </c>
      <c r="X660" s="6" t="s">
        <v>2890</v>
      </c>
    </row>
    <row r="661" spans="1:24" x14ac:dyDescent="0.15">
      <c r="A661" s="7" t="str">
        <f t="shared" si="24"/>
        <v>201806</v>
      </c>
      <c r="C661" s="6" t="str">
        <f>INDEX(工厂基础数据!$A$2:$A$1024,MATCH(X661,工厂基础数据!$D$2:$D$1024,0))</f>
        <v>02025767</v>
      </c>
      <c r="E661" s="6" t="str">
        <f>INDEX(工厂基础数据!$B$2:$B$1024,MATCH(X661,工厂基础数据!$D$2:$D$1024,0))</f>
        <v>滨州市仁信医药有限公司</v>
      </c>
      <c r="F661" s="6">
        <f>INDEX(商业2转码!$B$2:$B$10000,MATCH(E661,商业2转码!$A$2:$A$10000,0))</f>
        <v>0</v>
      </c>
      <c r="G661" s="6" t="str">
        <f>INDEX(品种2编码!$A$2:$A$1048576,MATCH(W661,品种2编码!$D$2:$D$1048576,0))</f>
        <v>0020030001SJZY0006</v>
      </c>
      <c r="H661" s="6" t="s">
        <v>1888</v>
      </c>
      <c r="I661" s="6" t="s">
        <v>411</v>
      </c>
      <c r="J661" s="6" t="s">
        <v>3040</v>
      </c>
      <c r="L661" s="6" t="s">
        <v>2199</v>
      </c>
      <c r="M661" s="6">
        <f>INDEX(医院2县区2人!$B$2:$B$1048576,MATCH(L661,医院2县区2人!$A$2:$A$1048576,0))</f>
        <v>2</v>
      </c>
      <c r="N661" s="6" t="str">
        <f>INDEX(医院2县区2人!$C$2:$C$1048576,MATCH(L661,医院2县区2人!$A$2:$A$1048576,0))</f>
        <v>1855</v>
      </c>
      <c r="P661" s="7">
        <v>43277.328703703701</v>
      </c>
      <c r="Q661" s="6">
        <v>10</v>
      </c>
      <c r="R661" s="6">
        <v>25</v>
      </c>
      <c r="S661" s="6">
        <v>17071042</v>
      </c>
      <c r="T661" s="6" t="str">
        <f>INDEX(医院2县区2人!$D$2:$D$1048576,MATCH(L661,医院2县区2人!$A$2:$A$1048576,0))</f>
        <v>201602151421097</v>
      </c>
      <c r="W661" s="6" t="str">
        <f t="shared" si="23"/>
        <v>葡萄糖酸钙口服溶液（含糖）10ml*12支</v>
      </c>
      <c r="X661" s="6" t="s">
        <v>2890</v>
      </c>
    </row>
    <row r="662" spans="1:24" x14ac:dyDescent="0.15">
      <c r="A662" s="7" t="str">
        <f t="shared" si="24"/>
        <v>201806</v>
      </c>
      <c r="C662" s="6" t="str">
        <f>INDEX(工厂基础数据!$A$2:$A$1024,MATCH(X662,工厂基础数据!$D$2:$D$1024,0))</f>
        <v>02025767</v>
      </c>
      <c r="E662" s="6" t="str">
        <f>INDEX(工厂基础数据!$B$2:$B$1024,MATCH(X662,工厂基础数据!$D$2:$D$1024,0))</f>
        <v>滨州市仁信医药有限公司</v>
      </c>
      <c r="F662" s="6">
        <f>INDEX(商业2转码!$B$2:$B$10000,MATCH(E662,商业2转码!$A$2:$A$10000,0))</f>
        <v>0</v>
      </c>
      <c r="G662" s="6" t="str">
        <f>INDEX(品种2编码!$A$2:$A$1048576,MATCH(W662,品种2编码!$D$2:$D$1048576,0))</f>
        <v>0020030020SJSC0004</v>
      </c>
      <c r="H662" s="6" t="s">
        <v>1907</v>
      </c>
      <c r="I662" s="6" t="s">
        <v>1871</v>
      </c>
      <c r="J662" s="6" t="s">
        <v>3045</v>
      </c>
      <c r="L662" s="6" t="s">
        <v>2199</v>
      </c>
      <c r="M662" s="6">
        <f>INDEX(医院2县区2人!$B$2:$B$1048576,MATCH(L662,医院2县区2人!$A$2:$A$1048576,0))</f>
        <v>2</v>
      </c>
      <c r="N662" s="6" t="str">
        <f>INDEX(医院2县区2人!$C$2:$C$1048576,MATCH(L662,医院2县区2人!$A$2:$A$1048576,0))</f>
        <v>1855</v>
      </c>
      <c r="P662" s="7">
        <v>43277.328692129631</v>
      </c>
      <c r="Q662" s="6">
        <v>10</v>
      </c>
      <c r="R662" s="6">
        <v>12.5</v>
      </c>
      <c r="S662" s="6">
        <v>1803006</v>
      </c>
      <c r="T662" s="6" t="str">
        <f>INDEX(医院2县区2人!$D$2:$D$1048576,MATCH(L662,医院2县区2人!$A$2:$A$1048576,0))</f>
        <v>201602151421097</v>
      </c>
      <c r="W662" s="6" t="str">
        <f t="shared" si="23"/>
        <v>胃必治/复方铝酸铋片50片</v>
      </c>
      <c r="X662" s="6" t="s">
        <v>2890</v>
      </c>
    </row>
    <row r="663" spans="1:24" x14ac:dyDescent="0.15">
      <c r="A663" s="7" t="str">
        <f t="shared" si="24"/>
        <v>201806</v>
      </c>
      <c r="C663" s="6" t="str">
        <f>INDEX(工厂基础数据!$A$2:$A$1024,MATCH(X663,工厂基础数据!$D$2:$D$1024,0))</f>
        <v>02025767</v>
      </c>
      <c r="E663" s="6" t="str">
        <f>INDEX(工厂基础数据!$B$2:$B$1024,MATCH(X663,工厂基础数据!$D$2:$D$1024,0))</f>
        <v>滨州市仁信医药有限公司</v>
      </c>
      <c r="F663" s="6">
        <f>INDEX(商业2转码!$B$2:$B$10000,MATCH(E663,商业2转码!$A$2:$A$10000,0))</f>
        <v>0</v>
      </c>
      <c r="G663" s="6" t="str">
        <f>INDEX(品种2编码!$A$2:$A$1048576,MATCH(W663,品种2编码!$D$2:$D$1048576,0))</f>
        <v>0020020020ZYZC0359</v>
      </c>
      <c r="H663" s="6" t="s">
        <v>578</v>
      </c>
      <c r="I663" s="6" t="s">
        <v>1860</v>
      </c>
      <c r="J663" s="6" t="s">
        <v>3038</v>
      </c>
      <c r="L663" s="6" t="s">
        <v>2999</v>
      </c>
      <c r="M663" s="6" t="e">
        <f>INDEX(医院2县区2人!$B$2:$B$1048576,MATCH(L663,医院2县区2人!$A$2:$A$1048576,0))</f>
        <v>#N/A</v>
      </c>
      <c r="N663" s="6" t="e">
        <f>INDEX(医院2县区2人!$C$2:$C$1048576,MATCH(L663,医院2县区2人!$A$2:$A$1048576,0))</f>
        <v>#N/A</v>
      </c>
      <c r="P663" s="7">
        <v>43276.627916666665</v>
      </c>
      <c r="Q663" s="6">
        <v>10</v>
      </c>
      <c r="R663" s="6">
        <v>9.1999999999999993</v>
      </c>
      <c r="S663" s="6">
        <v>1801001</v>
      </c>
      <c r="T663" s="6" t="e">
        <f>INDEX(医院2县区2人!$D$2:$D$1048576,MATCH(L663,医院2县区2人!$A$2:$A$1048576,0))</f>
        <v>#N/A</v>
      </c>
      <c r="W663" s="6" t="str">
        <f t="shared" si="23"/>
        <v>青霉素V钾片（仙芬）0.236g*24片</v>
      </c>
      <c r="X663" s="6" t="s">
        <v>2890</v>
      </c>
    </row>
    <row r="664" spans="1:24" x14ac:dyDescent="0.15">
      <c r="A664" s="7" t="str">
        <f t="shared" si="24"/>
        <v>201806</v>
      </c>
      <c r="C664" s="6" t="str">
        <f>INDEX(工厂基础数据!$A$2:$A$1024,MATCH(X664,工厂基础数据!$D$2:$D$1024,0))</f>
        <v>02025767</v>
      </c>
      <c r="E664" s="6" t="str">
        <f>INDEX(工厂基础数据!$B$2:$B$1024,MATCH(X664,工厂基础数据!$D$2:$D$1024,0))</f>
        <v>滨州市仁信医药有限公司</v>
      </c>
      <c r="F664" s="6">
        <f>INDEX(商业2转码!$B$2:$B$10000,MATCH(E664,商业2转码!$A$2:$A$10000,0))</f>
        <v>0</v>
      </c>
      <c r="G664" s="6" t="str">
        <f>INDEX(品种2编码!$A$2:$A$1048576,MATCH(W664,品种2编码!$D$2:$D$1048576,0))</f>
        <v>0020070001ZYLC0001</v>
      </c>
      <c r="H664" s="6" t="s">
        <v>1905</v>
      </c>
      <c r="I664" s="6" t="s">
        <v>411</v>
      </c>
      <c r="J664" s="6" t="s">
        <v>3036</v>
      </c>
      <c r="L664" s="6" t="s">
        <v>2999</v>
      </c>
      <c r="M664" s="6" t="e">
        <f>INDEX(医院2县区2人!$B$2:$B$1048576,MATCH(L664,医院2县区2人!$A$2:$A$1048576,0))</f>
        <v>#N/A</v>
      </c>
      <c r="N664" s="6" t="e">
        <f>INDEX(医院2县区2人!$C$2:$C$1048576,MATCH(L664,医院2县区2人!$A$2:$A$1048576,0))</f>
        <v>#N/A</v>
      </c>
      <c r="P664" s="7">
        <v>43276.627916666665</v>
      </c>
      <c r="Q664" s="6">
        <v>3</v>
      </c>
      <c r="R664" s="6">
        <v>20</v>
      </c>
      <c r="S664" s="6">
        <v>180121</v>
      </c>
      <c r="T664" s="6" t="e">
        <f>INDEX(医院2县区2人!$D$2:$D$1048576,MATCH(L664,医院2县区2人!$A$2:$A$1048576,0))</f>
        <v>#N/A</v>
      </c>
      <c r="W664" s="6" t="str">
        <f t="shared" si="23"/>
        <v>哈药六钙锌口服液10ml*12支</v>
      </c>
      <c r="X664" s="6" t="s">
        <v>2890</v>
      </c>
    </row>
    <row r="665" spans="1:24" x14ac:dyDescent="0.15">
      <c r="A665" s="7" t="str">
        <f t="shared" si="24"/>
        <v>201806</v>
      </c>
      <c r="C665" s="6" t="str">
        <f>INDEX(工厂基础数据!$A$2:$A$1024,MATCH(X665,工厂基础数据!$D$2:$D$1024,0))</f>
        <v>02025767</v>
      </c>
      <c r="E665" s="6" t="str">
        <f>INDEX(工厂基础数据!$B$2:$B$1024,MATCH(X665,工厂基础数据!$D$2:$D$1024,0))</f>
        <v>滨州市仁信医药有限公司</v>
      </c>
      <c r="F665" s="6">
        <f>INDEX(商业2转码!$B$2:$B$10000,MATCH(E665,商业2转码!$A$2:$A$10000,0))</f>
        <v>0</v>
      </c>
      <c r="G665" s="6" t="str">
        <f>INDEX(品种2编码!$A$2:$A$1048576,MATCH(W665,品种2编码!$D$2:$D$1048576,0))</f>
        <v>0020070000ZYLC0001</v>
      </c>
      <c r="H665" s="6" t="s">
        <v>1885</v>
      </c>
      <c r="I665" s="6" t="s">
        <v>1886</v>
      </c>
      <c r="J665" s="6" t="s">
        <v>3036</v>
      </c>
      <c r="L665" s="6" t="s">
        <v>2999</v>
      </c>
      <c r="M665" s="6" t="e">
        <f>INDEX(医院2县区2人!$B$2:$B$1048576,MATCH(L665,医院2县区2人!$A$2:$A$1048576,0))</f>
        <v>#N/A</v>
      </c>
      <c r="N665" s="6" t="e">
        <f>INDEX(医院2县区2人!$C$2:$C$1048576,MATCH(L665,医院2县区2人!$A$2:$A$1048576,0))</f>
        <v>#N/A</v>
      </c>
      <c r="P665" s="7">
        <v>43276.627916666665</v>
      </c>
      <c r="Q665" s="6">
        <v>3</v>
      </c>
      <c r="R665" s="6">
        <v>29</v>
      </c>
      <c r="S665" s="6">
        <v>180104</v>
      </c>
      <c r="T665" s="6" t="e">
        <f>INDEX(医院2县区2人!$D$2:$D$1048576,MATCH(L665,医院2县区2人!$A$2:$A$1048576,0))</f>
        <v>#N/A</v>
      </c>
      <c r="W665" s="6" t="str">
        <f t="shared" si="23"/>
        <v>新盖中盖高钙片2.5g*36P</v>
      </c>
      <c r="X665" s="6" t="s">
        <v>2890</v>
      </c>
    </row>
    <row r="666" spans="1:24" x14ac:dyDescent="0.15">
      <c r="A666" s="7" t="str">
        <f t="shared" si="24"/>
        <v>201806</v>
      </c>
      <c r="C666" s="6" t="str">
        <f>INDEX(工厂基础数据!$A$2:$A$1024,MATCH(X666,工厂基础数据!$D$2:$D$1024,0))</f>
        <v>02025767</v>
      </c>
      <c r="E666" s="6" t="str">
        <f>INDEX(工厂基础数据!$B$2:$B$1024,MATCH(X666,工厂基础数据!$D$2:$D$1024,0))</f>
        <v>滨州市仁信医药有限公司</v>
      </c>
      <c r="F666" s="6">
        <f>INDEX(商业2转码!$B$2:$B$10000,MATCH(E666,商业2转码!$A$2:$A$10000,0))</f>
        <v>0</v>
      </c>
      <c r="G666" s="6" t="str">
        <f>INDEX(品种2编码!$A$2:$A$1048576,MATCH(W666,品种2编码!$D$2:$D$1048576,0))</f>
        <v>0020030170ZYEC0003</v>
      </c>
      <c r="H666" s="6" t="s">
        <v>1835</v>
      </c>
      <c r="I666" s="6" t="s">
        <v>1836</v>
      </c>
      <c r="J666" s="6" t="s">
        <v>3041</v>
      </c>
      <c r="L666" s="6" t="s">
        <v>3026</v>
      </c>
      <c r="M666" s="6" t="e">
        <f>INDEX(医院2县区2人!$B$2:$B$1048576,MATCH(L666,医院2县区2人!$A$2:$A$1048576,0))</f>
        <v>#N/A</v>
      </c>
      <c r="N666" s="6" t="e">
        <f>INDEX(医院2县区2人!$C$2:$C$1048576,MATCH(L666,医院2县区2人!$A$2:$A$1048576,0))</f>
        <v>#N/A</v>
      </c>
      <c r="P666" s="7">
        <v>43277.328703703701</v>
      </c>
      <c r="Q666" s="6">
        <v>10</v>
      </c>
      <c r="R666" s="6">
        <v>14</v>
      </c>
      <c r="S666" s="6">
        <v>161119</v>
      </c>
      <c r="T666" s="6" t="e">
        <f>INDEX(医院2县区2人!$D$2:$D$1048576,MATCH(L666,医院2县区2人!$A$2:$A$1048576,0))</f>
        <v>#N/A</v>
      </c>
      <c r="W666" s="6" t="str">
        <f t="shared" si="23"/>
        <v>蒙脱石散3g*12袋</v>
      </c>
      <c r="X666" s="6" t="s">
        <v>2890</v>
      </c>
    </row>
    <row r="667" spans="1:24" x14ac:dyDescent="0.15">
      <c r="A667" s="7" t="str">
        <f t="shared" si="24"/>
        <v>201806</v>
      </c>
      <c r="C667" s="6" t="str">
        <f>INDEX(工厂基础数据!$A$2:$A$1024,MATCH(X667,工厂基础数据!$D$2:$D$1024,0))</f>
        <v>02025767</v>
      </c>
      <c r="E667" s="6" t="str">
        <f>INDEX(工厂基础数据!$B$2:$B$1024,MATCH(X667,工厂基础数据!$D$2:$D$1024,0))</f>
        <v>滨州市仁信医药有限公司</v>
      </c>
      <c r="F667" s="6">
        <f>INDEX(商业2转码!$B$2:$B$10000,MATCH(E667,商业2转码!$A$2:$A$10000,0))</f>
        <v>0</v>
      </c>
      <c r="G667" s="6" t="str">
        <f>INDEX(品种2编码!$A$2:$A$1048576,MATCH(W667,品种2编码!$D$2:$D$1048576,0))</f>
        <v>0020020020ZYLC0003</v>
      </c>
      <c r="H667" s="6" t="s">
        <v>1940</v>
      </c>
      <c r="I667" s="6" t="s">
        <v>1941</v>
      </c>
      <c r="J667" s="6" t="s">
        <v>3036</v>
      </c>
      <c r="L667" s="6" t="s">
        <v>2376</v>
      </c>
      <c r="M667" s="6">
        <f>INDEX(医院2县区2人!$B$2:$B$1048576,MATCH(L667,医院2县区2人!$A$2:$A$1048576,0))</f>
        <v>4</v>
      </c>
      <c r="N667" s="6" t="str">
        <f>INDEX(医院2县区2人!$C$2:$C$1048576,MATCH(L667,医院2县区2人!$A$2:$A$1048576,0))</f>
        <v>1853</v>
      </c>
      <c r="P667" s="7">
        <v>43277.32880787037</v>
      </c>
      <c r="Q667" s="6">
        <v>10</v>
      </c>
      <c r="R667" s="6">
        <v>9</v>
      </c>
      <c r="S667" s="6">
        <v>161103</v>
      </c>
      <c r="T667" s="6" t="str">
        <f>INDEX(医院2县区2人!$D$2:$D$1048576,MATCH(L667,医院2县区2人!$A$2:$A$1048576,0))</f>
        <v>201602151421097</v>
      </c>
      <c r="W667" s="6" t="str">
        <f t="shared" si="23"/>
        <v>泻立停片/颠茄磺苄啶片0.4g：80mg：8mg*12片</v>
      </c>
      <c r="X667" s="6" t="s">
        <v>2890</v>
      </c>
    </row>
    <row r="668" spans="1:24" x14ac:dyDescent="0.15">
      <c r="A668" s="7" t="str">
        <f t="shared" si="24"/>
        <v>201806</v>
      </c>
      <c r="C668" s="6" t="str">
        <f>INDEX(工厂基础数据!$A$2:$A$1024,MATCH(X668,工厂基础数据!$D$2:$D$1024,0))</f>
        <v>02025767</v>
      </c>
      <c r="E668" s="6" t="str">
        <f>INDEX(工厂基础数据!$B$2:$B$1024,MATCH(X668,工厂基础数据!$D$2:$D$1024,0))</f>
        <v>滨州市仁信医药有限公司</v>
      </c>
      <c r="F668" s="6">
        <f>INDEX(商业2转码!$B$2:$B$10000,MATCH(E668,商业2转码!$A$2:$A$10000,0))</f>
        <v>0</v>
      </c>
      <c r="G668" s="6" t="str">
        <f>INDEX(品种2编码!$A$2:$A$1048576,MATCH(W668,品种2编码!$D$2:$D$1048576,0))</f>
        <v>0020030001SJZY0009</v>
      </c>
      <c r="H668" s="6" t="s">
        <v>555</v>
      </c>
      <c r="I668" s="6" t="s">
        <v>1889</v>
      </c>
      <c r="J668" s="6" t="s">
        <v>3039</v>
      </c>
      <c r="L668" s="6" t="s">
        <v>2267</v>
      </c>
      <c r="M668" s="6">
        <f>INDEX(医院2县区2人!$B$2:$B$1048576,MATCH(L668,医院2县区2人!$A$2:$A$1048576,0))</f>
        <v>1</v>
      </c>
      <c r="N668" s="6" t="str">
        <f>INDEX(医院2县区2人!$C$2:$C$1048576,MATCH(L668,医院2县区2人!$A$2:$A$1048576,0))</f>
        <v>1858</v>
      </c>
      <c r="P668" s="7">
        <v>43277.328715277778</v>
      </c>
      <c r="Q668" s="6">
        <v>10</v>
      </c>
      <c r="R668" s="6">
        <v>25</v>
      </c>
      <c r="S668" s="6">
        <v>18031227</v>
      </c>
      <c r="T668" s="6" t="str">
        <f>INDEX(医院2县区2人!$D$2:$D$1048576,MATCH(L668,医院2县区2人!$A$2:$A$1048576,0))</f>
        <v>201602151421097</v>
      </c>
      <c r="W668" s="6" t="str">
        <f t="shared" si="23"/>
        <v>葡萄糖酸锌口服液10ML*12支</v>
      </c>
      <c r="X668" s="6" t="s">
        <v>2890</v>
      </c>
    </row>
    <row r="669" spans="1:24" x14ac:dyDescent="0.15">
      <c r="A669" s="7" t="str">
        <f t="shared" si="24"/>
        <v>201806</v>
      </c>
      <c r="C669" s="6" t="str">
        <f>INDEX(工厂基础数据!$A$2:$A$1024,MATCH(X669,工厂基础数据!$D$2:$D$1024,0))</f>
        <v>02025767</v>
      </c>
      <c r="E669" s="6" t="str">
        <f>INDEX(工厂基础数据!$B$2:$B$1024,MATCH(X669,工厂基础数据!$D$2:$D$1024,0))</f>
        <v>滨州市仁信医药有限公司</v>
      </c>
      <c r="F669" s="6">
        <f>INDEX(商业2转码!$B$2:$B$10000,MATCH(E669,商业2转码!$A$2:$A$10000,0))</f>
        <v>0</v>
      </c>
      <c r="G669" s="6" t="str">
        <f>INDEX(品种2编码!$A$2:$A$1048576,MATCH(W669,品种2编码!$D$2:$D$1048576,0))</f>
        <v>0020030001SJZY0006</v>
      </c>
      <c r="H669" s="6" t="s">
        <v>1888</v>
      </c>
      <c r="I669" s="6" t="s">
        <v>411</v>
      </c>
      <c r="J669" s="6" t="s">
        <v>3040</v>
      </c>
      <c r="L669" s="6" t="s">
        <v>2267</v>
      </c>
      <c r="M669" s="6">
        <f>INDEX(医院2县区2人!$B$2:$B$1048576,MATCH(L669,医院2县区2人!$A$2:$A$1048576,0))</f>
        <v>1</v>
      </c>
      <c r="N669" s="6" t="str">
        <f>INDEX(医院2县区2人!$C$2:$C$1048576,MATCH(L669,医院2县区2人!$A$2:$A$1048576,0))</f>
        <v>1858</v>
      </c>
      <c r="P669" s="7">
        <v>43277.328715277778</v>
      </c>
      <c r="Q669" s="6">
        <v>10</v>
      </c>
      <c r="R669" s="6">
        <v>25</v>
      </c>
      <c r="S669" s="6">
        <v>17071042</v>
      </c>
      <c r="T669" s="6" t="str">
        <f>INDEX(医院2县区2人!$D$2:$D$1048576,MATCH(L669,医院2县区2人!$A$2:$A$1048576,0))</f>
        <v>201602151421097</v>
      </c>
      <c r="W669" s="6" t="str">
        <f t="shared" si="23"/>
        <v>葡萄糖酸钙口服溶液（含糖）10ml*12支</v>
      </c>
      <c r="X669" s="6" t="s">
        <v>2890</v>
      </c>
    </row>
    <row r="670" spans="1:24" x14ac:dyDescent="0.15">
      <c r="A670" s="7" t="str">
        <f t="shared" si="24"/>
        <v>201806</v>
      </c>
      <c r="C670" s="6" t="str">
        <f>INDEX(工厂基础数据!$A$2:$A$1024,MATCH(X670,工厂基础数据!$D$2:$D$1024,0))</f>
        <v>02025767</v>
      </c>
      <c r="E670" s="6" t="str">
        <f>INDEX(工厂基础数据!$B$2:$B$1024,MATCH(X670,工厂基础数据!$D$2:$D$1024,0))</f>
        <v>滨州市仁信医药有限公司</v>
      </c>
      <c r="F670" s="6">
        <f>INDEX(商业2转码!$B$2:$B$10000,MATCH(E670,商业2转码!$A$2:$A$10000,0))</f>
        <v>0</v>
      </c>
      <c r="G670" s="6" t="str">
        <f>INDEX(品种2编码!$A$2:$A$1048576,MATCH(W670,品种2编码!$D$2:$D$1048576,0))</f>
        <v>0020030001SJZY0006</v>
      </c>
      <c r="H670" s="6" t="s">
        <v>1888</v>
      </c>
      <c r="I670" s="6" t="s">
        <v>411</v>
      </c>
      <c r="J670" s="6" t="s">
        <v>3040</v>
      </c>
      <c r="L670" s="6" t="s">
        <v>2443</v>
      </c>
      <c r="M670" s="6">
        <f>INDEX(医院2县区2人!$B$2:$B$1048576,MATCH(L670,医院2县区2人!$A$2:$A$1048576,0))</f>
        <v>2</v>
      </c>
      <c r="N670" s="6" t="str">
        <f>INDEX(医院2县区2人!$C$2:$C$1048576,MATCH(L670,医院2县区2人!$A$2:$A$1048576,0))</f>
        <v>1856</v>
      </c>
      <c r="P670" s="7">
        <v>43277.328819444447</v>
      </c>
      <c r="Q670" s="6">
        <v>30</v>
      </c>
      <c r="R670" s="6">
        <v>25</v>
      </c>
      <c r="S670" s="6">
        <v>17071042</v>
      </c>
      <c r="T670" s="6" t="str">
        <f>INDEX(医院2县区2人!$D$2:$D$1048576,MATCH(L670,医院2县区2人!$A$2:$A$1048576,0))</f>
        <v>201602151421097</v>
      </c>
      <c r="W670" s="6" t="str">
        <f t="shared" si="23"/>
        <v>葡萄糖酸钙口服溶液（含糖）10ml*12支</v>
      </c>
      <c r="X670" s="6" t="s">
        <v>2890</v>
      </c>
    </row>
    <row r="671" spans="1:24" x14ac:dyDescent="0.15">
      <c r="A671" s="7" t="str">
        <f t="shared" si="24"/>
        <v>201806</v>
      </c>
      <c r="C671" s="6" t="str">
        <f>INDEX(工厂基础数据!$A$2:$A$1024,MATCH(X671,工厂基础数据!$D$2:$D$1024,0))</f>
        <v>02025767</v>
      </c>
      <c r="E671" s="6" t="str">
        <f>INDEX(工厂基础数据!$B$2:$B$1024,MATCH(X671,工厂基础数据!$D$2:$D$1024,0))</f>
        <v>滨州市仁信医药有限公司</v>
      </c>
      <c r="F671" s="6">
        <f>INDEX(商业2转码!$B$2:$B$10000,MATCH(E671,商业2转码!$A$2:$A$10000,0))</f>
        <v>0</v>
      </c>
      <c r="G671" s="6" t="str">
        <f>INDEX(品种2编码!$A$2:$A$1048576,MATCH(W671,品种2编码!$D$2:$D$1048576,0))</f>
        <v>0020020030ZYZC0508</v>
      </c>
      <c r="H671" s="6" t="s">
        <v>245</v>
      </c>
      <c r="I671" s="6" t="s">
        <v>1934</v>
      </c>
      <c r="J671" s="6" t="s">
        <v>3038</v>
      </c>
      <c r="L671" s="6" t="s">
        <v>2443</v>
      </c>
      <c r="M671" s="6">
        <f>INDEX(医院2县区2人!$B$2:$B$1048576,MATCH(L671,医院2县区2人!$A$2:$A$1048576,0))</f>
        <v>2</v>
      </c>
      <c r="N671" s="6" t="str">
        <f>INDEX(医院2县区2人!$C$2:$C$1048576,MATCH(L671,医院2县区2人!$A$2:$A$1048576,0))</f>
        <v>1856</v>
      </c>
      <c r="P671" s="7">
        <v>43277.328819444447</v>
      </c>
      <c r="Q671" s="6">
        <v>30</v>
      </c>
      <c r="R671" s="6">
        <v>7.3</v>
      </c>
      <c r="S671" s="6" t="s">
        <v>3053</v>
      </c>
      <c r="T671" s="6" t="str">
        <f>INDEX(医院2县区2人!$D$2:$D$1048576,MATCH(L671,医院2县区2人!$A$2:$A$1048576,0))</f>
        <v>201602151421097</v>
      </c>
      <c r="W671" s="6" t="str">
        <f t="shared" si="23"/>
        <v>阿莫西林胶囊0.25g*20s</v>
      </c>
      <c r="X671" s="6" t="s">
        <v>2890</v>
      </c>
    </row>
    <row r="672" spans="1:24" x14ac:dyDescent="0.15">
      <c r="A672" s="7" t="str">
        <f t="shared" si="24"/>
        <v>201806</v>
      </c>
      <c r="C672" s="6" t="str">
        <f>INDEX(工厂基础数据!$A$2:$A$1024,MATCH(X672,工厂基础数据!$D$2:$D$1024,0))</f>
        <v>02025767</v>
      </c>
      <c r="E672" s="6" t="str">
        <f>INDEX(工厂基础数据!$B$2:$B$1024,MATCH(X672,工厂基础数据!$D$2:$D$1024,0))</f>
        <v>滨州市仁信医药有限公司</v>
      </c>
      <c r="F672" s="6">
        <f>INDEX(商业2转码!$B$2:$B$10000,MATCH(E672,商业2转码!$A$2:$A$10000,0))</f>
        <v>0</v>
      </c>
      <c r="G672" s="6" t="str">
        <f>INDEX(品种2编码!$A$2:$A$1048576,MATCH(W672,品种2编码!$D$2:$D$1048576,0))</f>
        <v>0020030001SJZY0009</v>
      </c>
      <c r="H672" s="6" t="s">
        <v>555</v>
      </c>
      <c r="I672" s="6" t="s">
        <v>1889</v>
      </c>
      <c r="J672" s="6" t="s">
        <v>3039</v>
      </c>
      <c r="L672" s="6" t="s">
        <v>2377</v>
      </c>
      <c r="M672" s="6">
        <f>INDEX(医院2县区2人!$B$2:$B$1048576,MATCH(L672,医院2县区2人!$A$2:$A$1048576,0))</f>
        <v>1</v>
      </c>
      <c r="N672" s="6" t="str">
        <f>INDEX(医院2县区2人!$C$2:$C$1048576,MATCH(L672,医院2县区2人!$A$2:$A$1048576,0))</f>
        <v>1853</v>
      </c>
      <c r="P672" s="7">
        <v>43277.328726851854</v>
      </c>
      <c r="Q672" s="6">
        <v>5</v>
      </c>
      <c r="R672" s="6">
        <v>25</v>
      </c>
      <c r="S672" s="6">
        <v>18031227</v>
      </c>
      <c r="T672" s="6" t="str">
        <f>INDEX(医院2县区2人!$D$2:$D$1048576,MATCH(L672,医院2县区2人!$A$2:$A$1048576,0))</f>
        <v>201602151421097</v>
      </c>
      <c r="W672" s="6" t="str">
        <f t="shared" si="23"/>
        <v>葡萄糖酸锌口服液10ML*12支</v>
      </c>
      <c r="X672" s="6" t="s">
        <v>2890</v>
      </c>
    </row>
    <row r="673" spans="1:24" x14ac:dyDescent="0.15">
      <c r="A673" s="7" t="str">
        <f t="shared" si="24"/>
        <v>201806</v>
      </c>
      <c r="C673" s="6" t="str">
        <f>INDEX(工厂基础数据!$A$2:$A$1024,MATCH(X673,工厂基础数据!$D$2:$D$1024,0))</f>
        <v>02025767</v>
      </c>
      <c r="E673" s="6" t="str">
        <f>INDEX(工厂基础数据!$B$2:$B$1024,MATCH(X673,工厂基础数据!$D$2:$D$1024,0))</f>
        <v>滨州市仁信医药有限公司</v>
      </c>
      <c r="F673" s="6">
        <f>INDEX(商业2转码!$B$2:$B$10000,MATCH(E673,商业2转码!$A$2:$A$10000,0))</f>
        <v>0</v>
      </c>
      <c r="G673" s="6" t="str">
        <f>INDEX(品种2编码!$A$2:$A$1048576,MATCH(W673,品种2编码!$D$2:$D$1048576,0))</f>
        <v>0020020020SJMS0006</v>
      </c>
      <c r="H673" s="6" t="s">
        <v>516</v>
      </c>
      <c r="I673" s="6" t="s">
        <v>1856</v>
      </c>
      <c r="J673" s="6" t="s">
        <v>3046</v>
      </c>
      <c r="L673" s="6" t="s">
        <v>2192</v>
      </c>
      <c r="M673" s="6">
        <f>INDEX(医院2县区2人!$B$2:$B$1048576,MATCH(L673,医院2县区2人!$A$2:$A$1048576,0))</f>
        <v>2</v>
      </c>
      <c r="N673" s="6" t="str">
        <f>INDEX(医院2县区2人!$C$2:$C$1048576,MATCH(L673,医院2县区2人!$A$2:$A$1048576,0))</f>
        <v>1856</v>
      </c>
      <c r="P673" s="7">
        <v>43277.328738425924</v>
      </c>
      <c r="Q673" s="6">
        <v>3</v>
      </c>
      <c r="R673" s="6">
        <v>1.3</v>
      </c>
      <c r="S673" s="6">
        <v>1607006</v>
      </c>
      <c r="T673" s="6" t="str">
        <f>INDEX(医院2县区2人!$D$2:$D$1048576,MATCH(L673,医院2县区2人!$A$2:$A$1048576,0))</f>
        <v>201602151421097</v>
      </c>
      <c r="W673" s="6" t="str">
        <f t="shared" si="23"/>
        <v>尼莫地平片20mg*50片</v>
      </c>
      <c r="X673" s="6" t="s">
        <v>2890</v>
      </c>
    </row>
    <row r="674" spans="1:24" x14ac:dyDescent="0.15">
      <c r="A674" s="7" t="str">
        <f t="shared" si="24"/>
        <v>201806</v>
      </c>
      <c r="C674" s="6" t="str">
        <f>INDEX(工厂基础数据!$A$2:$A$1024,MATCH(X674,工厂基础数据!$D$2:$D$1024,0))</f>
        <v>02025767</v>
      </c>
      <c r="E674" s="6" t="str">
        <f>INDEX(工厂基础数据!$B$2:$B$1024,MATCH(X674,工厂基础数据!$D$2:$D$1024,0))</f>
        <v>滨州市仁信医药有限公司</v>
      </c>
      <c r="F674" s="6">
        <f>INDEX(商业2转码!$B$2:$B$10000,MATCH(E674,商业2转码!$A$2:$A$10000,0))</f>
        <v>0</v>
      </c>
      <c r="G674" s="6" t="str">
        <f>INDEX(品种2编码!$A$2:$A$1048576,MATCH(W674,品种2编码!$D$2:$D$1048576,0))</f>
        <v>0020020020ZYLC0011</v>
      </c>
      <c r="H674" s="6" t="s">
        <v>1877</v>
      </c>
      <c r="I674" s="6" t="s">
        <v>1919</v>
      </c>
      <c r="J674" s="6" t="s">
        <v>3036</v>
      </c>
      <c r="L674" s="6" t="s">
        <v>2192</v>
      </c>
      <c r="M674" s="6">
        <f>INDEX(医院2县区2人!$B$2:$B$1048576,MATCH(L674,医院2县区2人!$A$2:$A$1048576,0))</f>
        <v>2</v>
      </c>
      <c r="N674" s="6" t="str">
        <f>INDEX(医院2县区2人!$C$2:$C$1048576,MATCH(L674,医院2县区2人!$A$2:$A$1048576,0))</f>
        <v>1856</v>
      </c>
      <c r="P674" s="7">
        <v>43277.328738425924</v>
      </c>
      <c r="Q674" s="6">
        <v>5</v>
      </c>
      <c r="R674" s="6">
        <v>2.5</v>
      </c>
      <c r="S674" s="6">
        <v>180101</v>
      </c>
      <c r="T674" s="6" t="str">
        <f>INDEX(医院2县区2人!$D$2:$D$1048576,MATCH(L674,医院2县区2人!$A$2:$A$1048576,0))</f>
        <v>201602151421097</v>
      </c>
      <c r="W674" s="6" t="str">
        <f t="shared" si="23"/>
        <v xml:space="preserve">泻利停/颠茄磺苄啶片0.12g*20片 </v>
      </c>
      <c r="X674" s="6" t="s">
        <v>2890</v>
      </c>
    </row>
    <row r="675" spans="1:24" x14ac:dyDescent="0.15">
      <c r="A675" s="7" t="str">
        <f t="shared" si="24"/>
        <v>201806</v>
      </c>
      <c r="C675" s="6" t="str">
        <f>INDEX(工厂基础数据!$A$2:$A$1024,MATCH(X675,工厂基础数据!$D$2:$D$1024,0))</f>
        <v>02025767</v>
      </c>
      <c r="E675" s="6" t="str">
        <f>INDEX(工厂基础数据!$B$2:$B$1024,MATCH(X675,工厂基础数据!$D$2:$D$1024,0))</f>
        <v>滨州市仁信医药有限公司</v>
      </c>
      <c r="F675" s="6">
        <f>INDEX(商业2转码!$B$2:$B$10000,MATCH(E675,商业2转码!$A$2:$A$10000,0))</f>
        <v>0</v>
      </c>
      <c r="G675" s="6" t="str">
        <f>INDEX(品种2编码!$A$2:$A$1048576,MATCH(W675,品种2编码!$D$2:$D$1048576,0))</f>
        <v>0020030020SJSC0025</v>
      </c>
      <c r="H675" s="6" t="s">
        <v>380</v>
      </c>
      <c r="I675" s="6" t="s">
        <v>381</v>
      </c>
      <c r="J675" s="6" t="s">
        <v>3045</v>
      </c>
      <c r="L675" s="6" t="s">
        <v>2226</v>
      </c>
      <c r="M675" s="6">
        <f>INDEX(医院2县区2人!$B$2:$B$1048576,MATCH(L675,医院2县区2人!$A$2:$A$1048576,0))</f>
        <v>1</v>
      </c>
      <c r="N675" s="6" t="str">
        <f>INDEX(医院2县区2人!$C$2:$C$1048576,MATCH(L675,医院2县区2人!$A$2:$A$1048576,0))</f>
        <v>1854</v>
      </c>
      <c r="P675" s="7">
        <v>43278.716608796298</v>
      </c>
      <c r="Q675" s="6">
        <v>-85</v>
      </c>
      <c r="R675" s="6">
        <v>0</v>
      </c>
      <c r="S675" s="6">
        <v>1609005</v>
      </c>
      <c r="T675" s="6" t="str">
        <f>INDEX(医院2县区2人!$D$2:$D$1048576,MATCH(L675,医院2县区2人!$A$2:$A$1048576,0))</f>
        <v>201602151421097</v>
      </c>
      <c r="W675" s="6" t="str">
        <f t="shared" si="23"/>
        <v>复方氨酚烷胺片12片</v>
      </c>
      <c r="X675" s="6" t="s">
        <v>2890</v>
      </c>
    </row>
    <row r="676" spans="1:24" x14ac:dyDescent="0.15">
      <c r="A676" s="7" t="str">
        <f t="shared" si="24"/>
        <v>201806</v>
      </c>
      <c r="C676" s="6" t="str">
        <f>INDEX(工厂基础数据!$A$2:$A$1024,MATCH(X676,工厂基础数据!$D$2:$D$1024,0))</f>
        <v>02025767</v>
      </c>
      <c r="E676" s="6" t="str">
        <f>INDEX(工厂基础数据!$B$2:$B$1024,MATCH(X676,工厂基础数据!$D$2:$D$1024,0))</f>
        <v>滨州市仁信医药有限公司</v>
      </c>
      <c r="F676" s="6">
        <f>INDEX(商业2转码!$B$2:$B$10000,MATCH(E676,商业2转码!$A$2:$A$10000,0))</f>
        <v>0</v>
      </c>
      <c r="G676" s="6" t="str">
        <f>INDEX(品种2编码!$A$2:$A$1048576,MATCH(W676,品种2编码!$D$2:$D$1048576,0))</f>
        <v>0020030020SJSC0025</v>
      </c>
      <c r="H676" s="6" t="s">
        <v>380</v>
      </c>
      <c r="I676" s="6" t="s">
        <v>381</v>
      </c>
      <c r="J676" s="6" t="s">
        <v>3045</v>
      </c>
      <c r="L676" s="6" t="s">
        <v>2226</v>
      </c>
      <c r="M676" s="6">
        <f>INDEX(医院2县区2人!$B$2:$B$1048576,MATCH(L676,医院2县区2人!$A$2:$A$1048576,0))</f>
        <v>1</v>
      </c>
      <c r="N676" s="6" t="str">
        <f>INDEX(医院2县区2人!$C$2:$C$1048576,MATCH(L676,医院2县区2人!$A$2:$A$1048576,0))</f>
        <v>1854</v>
      </c>
      <c r="P676" s="7">
        <v>43278.716608796298</v>
      </c>
      <c r="Q676" s="6">
        <v>-91</v>
      </c>
      <c r="R676" s="6">
        <v>0</v>
      </c>
      <c r="S676" s="6">
        <v>1611004</v>
      </c>
      <c r="T676" s="6" t="str">
        <f>INDEX(医院2县区2人!$D$2:$D$1048576,MATCH(L676,医院2县区2人!$A$2:$A$1048576,0))</f>
        <v>201602151421097</v>
      </c>
      <c r="W676" s="6" t="str">
        <f t="shared" si="23"/>
        <v>复方氨酚烷胺片12片</v>
      </c>
      <c r="X676" s="6" t="s">
        <v>2890</v>
      </c>
    </row>
    <row r="677" spans="1:24" x14ac:dyDescent="0.15">
      <c r="A677" s="7" t="str">
        <f t="shared" si="24"/>
        <v>201806</v>
      </c>
      <c r="C677" s="6" t="str">
        <f>INDEX(工厂基础数据!$A$2:$A$1024,MATCH(X677,工厂基础数据!$D$2:$D$1024,0))</f>
        <v>02025767</v>
      </c>
      <c r="E677" s="6" t="str">
        <f>INDEX(工厂基础数据!$B$2:$B$1024,MATCH(X677,工厂基础数据!$D$2:$D$1024,0))</f>
        <v>滨州市仁信医药有限公司</v>
      </c>
      <c r="F677" s="6">
        <f>INDEX(商业2转码!$B$2:$B$10000,MATCH(E677,商业2转码!$A$2:$A$10000,0))</f>
        <v>0</v>
      </c>
      <c r="G677" s="6" t="str">
        <f>INDEX(品种2编码!$A$2:$A$1048576,MATCH(W677,品种2编码!$D$2:$D$1048576,0))</f>
        <v>0020020012SWGC0007</v>
      </c>
      <c r="H677" s="6" t="s">
        <v>851</v>
      </c>
      <c r="I677" s="6" t="s">
        <v>2034</v>
      </c>
      <c r="J677" s="6" t="s">
        <v>3047</v>
      </c>
      <c r="L677" s="6" t="s">
        <v>2728</v>
      </c>
      <c r="M677" s="6">
        <f>INDEX(医院2县区2人!$B$2:$B$1048576,MATCH(L677,医院2县区2人!$A$2:$A$1048576,0))</f>
        <v>2</v>
      </c>
      <c r="N677" s="6" t="str">
        <f>INDEX(医院2县区2人!$C$2:$C$1048576,MATCH(L677,医院2县区2人!$A$2:$A$1048576,0))</f>
        <v>1855</v>
      </c>
      <c r="P677" s="7">
        <v>43277.717280092591</v>
      </c>
      <c r="Q677" s="6">
        <v>720</v>
      </c>
      <c r="R677" s="6">
        <v>2.8</v>
      </c>
      <c r="S677" s="6">
        <v>201711061</v>
      </c>
      <c r="T677" s="6" t="str">
        <f>INDEX(医院2县区2人!$D$2:$D$1048576,MATCH(L677,医院2县区2人!$A$2:$A$1048576,0))</f>
        <v>201602151421097</v>
      </c>
      <c r="W677" s="6" t="str">
        <f t="shared" si="23"/>
        <v>注射用奥美拉唑钠40mg*10z</v>
      </c>
      <c r="X677" s="6" t="s">
        <v>2890</v>
      </c>
    </row>
    <row r="678" spans="1:24" x14ac:dyDescent="0.15">
      <c r="A678" s="7" t="str">
        <f t="shared" si="24"/>
        <v>201806</v>
      </c>
      <c r="C678" s="6" t="str">
        <f>INDEX(工厂基础数据!$A$2:$A$1024,MATCH(X678,工厂基础数据!$D$2:$D$1024,0))</f>
        <v>02025767</v>
      </c>
      <c r="E678" s="6" t="str">
        <f>INDEX(工厂基础数据!$B$2:$B$1024,MATCH(X678,工厂基础数据!$D$2:$D$1024,0))</f>
        <v>滨州市仁信医药有限公司</v>
      </c>
      <c r="F678" s="6">
        <f>INDEX(商业2转码!$B$2:$B$10000,MATCH(E678,商业2转码!$A$2:$A$10000,0))</f>
        <v>0</v>
      </c>
      <c r="G678" s="6" t="str">
        <f>INDEX(品种2编码!$A$2:$A$1048576,MATCH(W678,品种2编码!$D$2:$D$1048576,0))</f>
        <v>0020030040ZYLC0001</v>
      </c>
      <c r="H678" s="6" t="s">
        <v>1933</v>
      </c>
      <c r="I678" s="6" t="s">
        <v>1853</v>
      </c>
      <c r="J678" s="6" t="s">
        <v>3036</v>
      </c>
      <c r="L678" s="6" t="s">
        <v>2736</v>
      </c>
      <c r="M678" s="6">
        <f>INDEX(医院2县区2人!$B$2:$B$1048576,MATCH(L678,医院2县区2人!$A$2:$A$1048576,0))</f>
        <v>1</v>
      </c>
      <c r="N678" s="6" t="str">
        <f>INDEX(医院2县区2人!$C$2:$C$1048576,MATCH(L678,医院2县区2人!$A$2:$A$1048576,0))</f>
        <v>1854</v>
      </c>
      <c r="P678" s="7">
        <v>43277.717372685183</v>
      </c>
      <c r="Q678" s="6">
        <v>10</v>
      </c>
      <c r="R678" s="6">
        <v>10</v>
      </c>
      <c r="S678" s="6">
        <v>180141</v>
      </c>
      <c r="T678" s="6" t="str">
        <f>INDEX(医院2县区2人!$D$2:$D$1048576,MATCH(L678,医院2县区2人!$A$2:$A$1048576,0))</f>
        <v>201602151421097</v>
      </c>
      <c r="W678" s="6" t="str">
        <f t="shared" si="23"/>
        <v>护彤冲剂/小儿氨酚黄那敏颗粒2g*12袋</v>
      </c>
      <c r="X678" s="6" t="s">
        <v>2890</v>
      </c>
    </row>
    <row r="679" spans="1:24" x14ac:dyDescent="0.15">
      <c r="A679" s="7" t="str">
        <f t="shared" si="24"/>
        <v>201806</v>
      </c>
      <c r="C679" s="6" t="str">
        <f>INDEX(工厂基础数据!$A$2:$A$1024,MATCH(X679,工厂基础数据!$D$2:$D$1024,0))</f>
        <v>02025767</v>
      </c>
      <c r="E679" s="6" t="str">
        <f>INDEX(工厂基础数据!$B$2:$B$1024,MATCH(X679,工厂基础数据!$D$2:$D$1024,0))</f>
        <v>滨州市仁信医药有限公司</v>
      </c>
      <c r="F679" s="6">
        <f>INDEX(商业2转码!$B$2:$B$10000,MATCH(E679,商业2转码!$A$2:$A$10000,0))</f>
        <v>0</v>
      </c>
      <c r="G679" s="6" t="str">
        <f>INDEX(品种2编码!$A$2:$A$1048576,MATCH(W679,品种2编码!$D$2:$D$1048576,0))</f>
        <v>0020020020ZYZC0359</v>
      </c>
      <c r="H679" s="6" t="s">
        <v>578</v>
      </c>
      <c r="I679" s="6" t="s">
        <v>1860</v>
      </c>
      <c r="J679" s="6" t="s">
        <v>3038</v>
      </c>
      <c r="L679" s="6" t="s">
        <v>2316</v>
      </c>
      <c r="M679" s="6">
        <f>INDEX(医院2县区2人!$B$2:$B$1048576,MATCH(L679,医院2县区2人!$A$2:$A$1048576,0))</f>
        <v>2</v>
      </c>
      <c r="N679" s="6" t="str">
        <f>INDEX(医院2县区2人!$C$2:$C$1048576,MATCH(L679,医院2县区2人!$A$2:$A$1048576,0))</f>
        <v>1855</v>
      </c>
      <c r="P679" s="7">
        <v>43277.717175925929</v>
      </c>
      <c r="Q679" s="6">
        <v>10</v>
      </c>
      <c r="R679" s="6">
        <v>9.1999999999999993</v>
      </c>
      <c r="S679" s="6">
        <v>1801001</v>
      </c>
      <c r="T679" s="6" t="str">
        <f>INDEX(医院2县区2人!$D$2:$D$1048576,MATCH(L679,医院2县区2人!$A$2:$A$1048576,0))</f>
        <v>201602151421097</v>
      </c>
      <c r="W679" s="6" t="str">
        <f t="shared" si="23"/>
        <v>青霉素V钾片（仙芬）0.236g*24片</v>
      </c>
      <c r="X679" s="6" t="s">
        <v>2890</v>
      </c>
    </row>
    <row r="680" spans="1:24" x14ac:dyDescent="0.15">
      <c r="A680" s="7" t="str">
        <f t="shared" si="24"/>
        <v>201806</v>
      </c>
      <c r="C680" s="6" t="str">
        <f>INDEX(工厂基础数据!$A$2:$A$1024,MATCH(X680,工厂基础数据!$D$2:$D$1024,0))</f>
        <v>02025767</v>
      </c>
      <c r="E680" s="6" t="str">
        <f>INDEX(工厂基础数据!$B$2:$B$1024,MATCH(X680,工厂基础数据!$D$2:$D$1024,0))</f>
        <v>滨州市仁信医药有限公司</v>
      </c>
      <c r="F680" s="6">
        <f>INDEX(商业2转码!$B$2:$B$10000,MATCH(E680,商业2转码!$A$2:$A$10000,0))</f>
        <v>0</v>
      </c>
      <c r="G680" s="6" t="str">
        <f>INDEX(品种2编码!$A$2:$A$1048576,MATCH(W680,品种2编码!$D$2:$D$1048576,0))</f>
        <v>0020020020ZYLC0011</v>
      </c>
      <c r="H680" s="6" t="s">
        <v>1877</v>
      </c>
      <c r="I680" s="6" t="s">
        <v>1919</v>
      </c>
      <c r="J680" s="6" t="s">
        <v>3036</v>
      </c>
      <c r="L680" s="6" t="s">
        <v>2640</v>
      </c>
      <c r="M680" s="6">
        <f>INDEX(医院2县区2人!$B$2:$B$1048576,MATCH(L680,医院2县区2人!$A$2:$A$1048576,0))</f>
        <v>2</v>
      </c>
      <c r="N680" s="6" t="str">
        <f>INDEX(医院2县区2人!$C$2:$C$1048576,MATCH(L680,医院2县区2人!$A$2:$A$1048576,0))</f>
        <v>1853</v>
      </c>
      <c r="P680" s="7">
        <v>43279.742199074077</v>
      </c>
      <c r="Q680" s="6">
        <v>5</v>
      </c>
      <c r="R680" s="6">
        <v>2.5</v>
      </c>
      <c r="S680" s="6">
        <v>160803</v>
      </c>
      <c r="T680" s="6" t="str">
        <f>INDEX(医院2县区2人!$D$2:$D$1048576,MATCH(L680,医院2县区2人!$A$2:$A$1048576,0))</f>
        <v>201602151421097</v>
      </c>
      <c r="W680" s="6" t="str">
        <f t="shared" si="23"/>
        <v xml:space="preserve">泻利停/颠茄磺苄啶片0.12g*20片 </v>
      </c>
      <c r="X680" s="6" t="s">
        <v>2890</v>
      </c>
    </row>
    <row r="681" spans="1:24" x14ac:dyDescent="0.15">
      <c r="A681" s="7" t="str">
        <f t="shared" si="24"/>
        <v>201806</v>
      </c>
      <c r="C681" s="6" t="str">
        <f>INDEX(工厂基础数据!$A$2:$A$1024,MATCH(X681,工厂基础数据!$D$2:$D$1024,0))</f>
        <v>02025767</v>
      </c>
      <c r="E681" s="6" t="str">
        <f>INDEX(工厂基础数据!$B$2:$B$1024,MATCH(X681,工厂基础数据!$D$2:$D$1024,0))</f>
        <v>滨州市仁信医药有限公司</v>
      </c>
      <c r="F681" s="6">
        <f>INDEX(商业2转码!$B$2:$B$10000,MATCH(E681,商业2转码!$A$2:$A$10000,0))</f>
        <v>0</v>
      </c>
      <c r="G681" s="6" t="str">
        <f>INDEX(品种2编码!$A$2:$A$1048576,MATCH(W681,品种2编码!$D$2:$D$1048576,0))</f>
        <v>0020040020SHYT0007</v>
      </c>
      <c r="H681" s="6" t="s">
        <v>338</v>
      </c>
      <c r="I681" s="6" t="s">
        <v>1866</v>
      </c>
      <c r="J681" s="6" t="s">
        <v>3037</v>
      </c>
      <c r="L681" s="6" t="s">
        <v>2187</v>
      </c>
      <c r="M681" s="6">
        <f>INDEX(医院2县区2人!$B$2:$B$1048576,MATCH(L681,医院2县区2人!$A$2:$A$1048576,0))</f>
        <v>4</v>
      </c>
      <c r="N681" s="6" t="str">
        <f>INDEX(医院2县区2人!$C$2:$C$1048576,MATCH(L681,医院2县区2人!$A$2:$A$1048576,0))</f>
        <v>1858</v>
      </c>
      <c r="P681" s="7">
        <v>43280.751261574071</v>
      </c>
      <c r="Q681" s="6">
        <v>10</v>
      </c>
      <c r="R681" s="6">
        <v>24</v>
      </c>
      <c r="S681" s="6">
        <v>1703506</v>
      </c>
      <c r="T681" s="6" t="str">
        <f>INDEX(医院2县区2人!$D$2:$D$1048576,MATCH(L681,医院2县区2人!$A$2:$A$1048576,0))</f>
        <v>201602151421097</v>
      </c>
      <c r="W681" s="6" t="str">
        <f t="shared" si="23"/>
        <v>丹佛胃尔康颗粒10g*6袋</v>
      </c>
      <c r="X681" s="6" t="s">
        <v>2890</v>
      </c>
    </row>
    <row r="682" spans="1:24" x14ac:dyDescent="0.15">
      <c r="A682" s="7" t="str">
        <f t="shared" si="24"/>
        <v>201806</v>
      </c>
      <c r="C682" s="6" t="str">
        <f>INDEX(工厂基础数据!$A$2:$A$1024,MATCH(X682,工厂基础数据!$D$2:$D$1024,0))</f>
        <v>02025767</v>
      </c>
      <c r="E682" s="6" t="str">
        <f>INDEX(工厂基础数据!$B$2:$B$1024,MATCH(X682,工厂基础数据!$D$2:$D$1024,0))</f>
        <v>滨州市仁信医药有限公司</v>
      </c>
      <c r="F682" s="6">
        <f>INDEX(商业2转码!$B$2:$B$10000,MATCH(E682,商业2转码!$A$2:$A$10000,0))</f>
        <v>0</v>
      </c>
      <c r="G682" s="6" t="str">
        <f>INDEX(品种2编码!$A$2:$A$1048576,MATCH(W682,品种2编码!$D$2:$D$1048576,0))</f>
        <v>0020100000ZYLC0012</v>
      </c>
      <c r="H682" s="6" t="s">
        <v>672</v>
      </c>
      <c r="I682" s="6" t="s">
        <v>1884</v>
      </c>
      <c r="J682" s="6" t="s">
        <v>3036</v>
      </c>
      <c r="L682" s="6" t="s">
        <v>2187</v>
      </c>
      <c r="M682" s="6">
        <f>INDEX(医院2县区2人!$B$2:$B$1048576,MATCH(L682,医院2县区2人!$A$2:$A$1048576,0))</f>
        <v>4</v>
      </c>
      <c r="N682" s="6" t="str">
        <f>INDEX(医院2县区2人!$C$2:$C$1048576,MATCH(L682,医院2县区2人!$A$2:$A$1048576,0))</f>
        <v>1858</v>
      </c>
      <c r="P682" s="7">
        <v>43280.751157407409</v>
      </c>
      <c r="Q682" s="6">
        <v>30</v>
      </c>
      <c r="R682" s="6">
        <v>9.1999999999999993</v>
      </c>
      <c r="S682" s="6">
        <v>20180104</v>
      </c>
      <c r="T682" s="6" t="str">
        <f>INDEX(医院2县区2人!$D$2:$D$1048576,MATCH(L682,医院2县区2人!$A$2:$A$1048576,0))</f>
        <v>201602151421097</v>
      </c>
      <c r="W682" s="6" t="str">
        <f t="shared" si="23"/>
        <v>退热贴40mm*110mm*2贴</v>
      </c>
      <c r="X682" s="6" t="s">
        <v>2890</v>
      </c>
    </row>
    <row r="683" spans="1:24" x14ac:dyDescent="0.15">
      <c r="A683" s="7" t="str">
        <f t="shared" si="24"/>
        <v>201806</v>
      </c>
      <c r="C683" s="6" t="str">
        <f>INDEX(工厂基础数据!$A$2:$A$1024,MATCH(X683,工厂基础数据!$D$2:$D$1024,0))</f>
        <v>02025767</v>
      </c>
      <c r="E683" s="6" t="str">
        <f>INDEX(工厂基础数据!$B$2:$B$1024,MATCH(X683,工厂基础数据!$D$2:$D$1024,0))</f>
        <v>滨州市仁信医药有限公司</v>
      </c>
      <c r="F683" s="6">
        <f>INDEX(商业2转码!$B$2:$B$10000,MATCH(E683,商业2转码!$A$2:$A$10000,0))</f>
        <v>0</v>
      </c>
      <c r="G683" s="6" t="str">
        <f>INDEX(品种2编码!$A$2:$A$1048576,MATCH(W683,品种2编码!$D$2:$D$1048576,0))</f>
        <v>0020030020SJSC0025</v>
      </c>
      <c r="H683" s="6" t="s">
        <v>380</v>
      </c>
      <c r="I683" s="6" t="s">
        <v>381</v>
      </c>
      <c r="J683" s="6" t="s">
        <v>3045</v>
      </c>
      <c r="L683" s="6" t="s">
        <v>3027</v>
      </c>
      <c r="M683" s="6" t="e">
        <f>INDEX(医院2县区2人!$B$2:$B$1048576,MATCH(L683,医院2县区2人!$A$2:$A$1048576,0))</f>
        <v>#N/A</v>
      </c>
      <c r="N683" s="6" t="e">
        <f>INDEX(医院2县区2人!$C$2:$C$1048576,MATCH(L683,医院2县区2人!$A$2:$A$1048576,0))</f>
        <v>#N/A</v>
      </c>
      <c r="P683" s="7">
        <v>43277.717199074075</v>
      </c>
      <c r="Q683" s="6">
        <v>10</v>
      </c>
      <c r="R683" s="6">
        <v>3.6</v>
      </c>
      <c r="S683" s="6">
        <v>1712002</v>
      </c>
      <c r="T683" s="6" t="e">
        <f>INDEX(医院2县区2人!$D$2:$D$1048576,MATCH(L683,医院2县区2人!$A$2:$A$1048576,0))</f>
        <v>#N/A</v>
      </c>
      <c r="W683" s="6" t="str">
        <f t="shared" si="23"/>
        <v>复方氨酚烷胺片12片</v>
      </c>
      <c r="X683" s="6" t="s">
        <v>2890</v>
      </c>
    </row>
    <row r="684" spans="1:24" x14ac:dyDescent="0.15">
      <c r="A684" s="7" t="str">
        <f t="shared" si="24"/>
        <v>201806</v>
      </c>
      <c r="C684" s="6" t="str">
        <f>INDEX(工厂基础数据!$A$2:$A$1024,MATCH(X684,工厂基础数据!$D$2:$D$1024,0))</f>
        <v>02025767</v>
      </c>
      <c r="E684" s="6" t="str">
        <f>INDEX(工厂基础数据!$B$2:$B$1024,MATCH(X684,工厂基础数据!$D$2:$D$1024,0))</f>
        <v>滨州市仁信医药有限公司</v>
      </c>
      <c r="F684" s="6">
        <f>INDEX(商业2转码!$B$2:$B$10000,MATCH(E684,商业2转码!$A$2:$A$10000,0))</f>
        <v>0</v>
      </c>
      <c r="G684" s="6" t="str">
        <f>INDEX(品种2编码!$A$2:$A$1048576,MATCH(W684,品种2编码!$D$2:$D$1048576,0))</f>
        <v>0020020020ZYLC0003</v>
      </c>
      <c r="H684" s="6" t="s">
        <v>1940</v>
      </c>
      <c r="I684" s="6" t="s">
        <v>1941</v>
      </c>
      <c r="J684" s="6" t="s">
        <v>3036</v>
      </c>
      <c r="L684" s="6" t="s">
        <v>2372</v>
      </c>
      <c r="M684" s="6">
        <f>INDEX(医院2县区2人!$B$2:$B$1048576,MATCH(L684,医院2县区2人!$A$2:$A$1048576,0))</f>
        <v>4</v>
      </c>
      <c r="N684" s="6" t="str">
        <f>INDEX(医院2县区2人!$C$2:$C$1048576,MATCH(L684,医院2县区2人!$A$2:$A$1048576,0))</f>
        <v>1854</v>
      </c>
      <c r="P684" s="7">
        <v>43277.717210648145</v>
      </c>
      <c r="Q684" s="6">
        <v>20</v>
      </c>
      <c r="R684" s="6">
        <v>9</v>
      </c>
      <c r="S684" s="6">
        <v>161103</v>
      </c>
      <c r="T684" s="6" t="str">
        <f>INDEX(医院2县区2人!$D$2:$D$1048576,MATCH(L684,医院2县区2人!$A$2:$A$1048576,0))</f>
        <v>201602151421097</v>
      </c>
      <c r="W684" s="6" t="str">
        <f t="shared" si="23"/>
        <v>泻立停片/颠茄磺苄啶片0.4g：80mg：8mg*12片</v>
      </c>
      <c r="X684" s="6" t="s">
        <v>2890</v>
      </c>
    </row>
    <row r="685" spans="1:24" x14ac:dyDescent="0.15">
      <c r="A685" s="7" t="str">
        <f t="shared" si="24"/>
        <v>201806</v>
      </c>
      <c r="C685" s="6" t="str">
        <f>INDEX(工厂基础数据!$A$2:$A$1024,MATCH(X685,工厂基础数据!$D$2:$D$1024,0))</f>
        <v>02025767</v>
      </c>
      <c r="E685" s="6" t="str">
        <f>INDEX(工厂基础数据!$B$2:$B$1024,MATCH(X685,工厂基础数据!$D$2:$D$1024,0))</f>
        <v>滨州市仁信医药有限公司</v>
      </c>
      <c r="F685" s="6">
        <f>INDEX(商业2转码!$B$2:$B$10000,MATCH(E685,商业2转码!$A$2:$A$10000,0))</f>
        <v>0</v>
      </c>
      <c r="G685" s="6" t="str">
        <f>INDEX(品种2编码!$A$2:$A$1048576,MATCH(W685,品种2编码!$D$2:$D$1048576,0))</f>
        <v>0020030020SJSC0025</v>
      </c>
      <c r="H685" s="6" t="s">
        <v>380</v>
      </c>
      <c r="I685" s="6" t="s">
        <v>381</v>
      </c>
      <c r="J685" s="6" t="s">
        <v>3045</v>
      </c>
      <c r="L685" s="6" t="s">
        <v>2188</v>
      </c>
      <c r="M685" s="6">
        <f>INDEX(医院2县区2人!$B$2:$B$1048576,MATCH(L685,医院2县区2人!$A$2:$A$1048576,0))</f>
        <v>2</v>
      </c>
      <c r="N685" s="6" t="str">
        <f>INDEX(医院2县区2人!$C$2:$C$1048576,MATCH(L685,医院2县区2人!$A$2:$A$1048576,0))</f>
        <v>1855</v>
      </c>
      <c r="P685" s="7">
        <v>43277.717430555553</v>
      </c>
      <c r="Q685" s="6">
        <v>20</v>
      </c>
      <c r="R685" s="6">
        <v>3.6</v>
      </c>
      <c r="S685" s="6">
        <v>1712002</v>
      </c>
      <c r="T685" s="6" t="str">
        <f>INDEX(医院2县区2人!$D$2:$D$1048576,MATCH(L685,医院2县区2人!$A$2:$A$1048576,0))</f>
        <v>201602151421097</v>
      </c>
      <c r="W685" s="6" t="str">
        <f t="shared" si="23"/>
        <v>复方氨酚烷胺片12片</v>
      </c>
      <c r="X685" s="6" t="s">
        <v>2890</v>
      </c>
    </row>
    <row r="686" spans="1:24" x14ac:dyDescent="0.15">
      <c r="A686" s="7" t="str">
        <f t="shared" si="24"/>
        <v>201806</v>
      </c>
      <c r="C686" s="6" t="str">
        <f>INDEX(工厂基础数据!$A$2:$A$1024,MATCH(X686,工厂基础数据!$D$2:$D$1024,0))</f>
        <v>02025767</v>
      </c>
      <c r="E686" s="6" t="str">
        <f>INDEX(工厂基础数据!$B$2:$B$1024,MATCH(X686,工厂基础数据!$D$2:$D$1024,0))</f>
        <v>滨州市仁信医药有限公司</v>
      </c>
      <c r="F686" s="6">
        <f>INDEX(商业2转码!$B$2:$B$10000,MATCH(E686,商业2转码!$A$2:$A$10000,0))</f>
        <v>0</v>
      </c>
      <c r="G686" s="6" t="str">
        <f>INDEX(品种2编码!$A$2:$A$1048576,MATCH(W686,品种2编码!$D$2:$D$1048576,0))</f>
        <v>0020050090SJZY0001</v>
      </c>
      <c r="H686" s="6" t="s">
        <v>630</v>
      </c>
      <c r="I686" s="6" t="s">
        <v>1850</v>
      </c>
      <c r="J686" s="6" t="s">
        <v>3040</v>
      </c>
      <c r="L686" s="6" t="s">
        <v>2337</v>
      </c>
      <c r="M686" s="6">
        <f>INDEX(医院2县区2人!$B$2:$B$1048576,MATCH(L686,医院2县区2人!$A$2:$A$1048576,0))</f>
        <v>2</v>
      </c>
      <c r="N686" s="6" t="str">
        <f>INDEX(医院2县区2人!$C$2:$C$1048576,MATCH(L686,医院2县区2人!$A$2:$A$1048576,0))</f>
        <v>1855</v>
      </c>
      <c r="P686" s="7">
        <v>43277.717349537037</v>
      </c>
      <c r="Q686" s="6">
        <v>5</v>
      </c>
      <c r="R686" s="6">
        <v>16.5</v>
      </c>
      <c r="S686" s="6">
        <v>17062821</v>
      </c>
      <c r="T686" s="6" t="str">
        <f>INDEX(医院2县区2人!$D$2:$D$1048576,MATCH(L686,医院2县区2人!$A$2:$A$1048576,0))</f>
        <v>201602151421097</v>
      </c>
      <c r="W686" s="6" t="str">
        <f t="shared" si="23"/>
        <v>双黄连口服液10ml*10支</v>
      </c>
      <c r="X686" s="6" t="s">
        <v>2890</v>
      </c>
    </row>
    <row r="687" spans="1:24" x14ac:dyDescent="0.15">
      <c r="A687" s="7" t="str">
        <f t="shared" si="24"/>
        <v>201806</v>
      </c>
      <c r="C687" s="6" t="str">
        <f>INDEX(工厂基础数据!$A$2:$A$1024,MATCH(X687,工厂基础数据!$D$2:$D$1024,0))</f>
        <v>02025767</v>
      </c>
      <c r="E687" s="6" t="str">
        <f>INDEX(工厂基础数据!$B$2:$B$1024,MATCH(X687,工厂基础数据!$D$2:$D$1024,0))</f>
        <v>滨州市仁信医药有限公司</v>
      </c>
      <c r="F687" s="6">
        <f>INDEX(商业2转码!$B$2:$B$10000,MATCH(E687,商业2转码!$A$2:$A$10000,0))</f>
        <v>0</v>
      </c>
      <c r="G687" s="6" t="str">
        <f>INDEX(品种2编码!$A$2:$A$1048576,MATCH(W687,品种2编码!$D$2:$D$1048576,0))</f>
        <v>0020030001SJZY0009</v>
      </c>
      <c r="H687" s="6" t="s">
        <v>555</v>
      </c>
      <c r="I687" s="6" t="s">
        <v>1889</v>
      </c>
      <c r="J687" s="6" t="s">
        <v>3039</v>
      </c>
      <c r="L687" s="6" t="s">
        <v>2337</v>
      </c>
      <c r="M687" s="6">
        <f>INDEX(医院2县区2人!$B$2:$B$1048576,MATCH(L687,医院2县区2人!$A$2:$A$1048576,0))</f>
        <v>2</v>
      </c>
      <c r="N687" s="6" t="str">
        <f>INDEX(医院2县区2人!$C$2:$C$1048576,MATCH(L687,医院2县区2人!$A$2:$A$1048576,0))</f>
        <v>1855</v>
      </c>
      <c r="P687" s="7">
        <v>43277.717349537037</v>
      </c>
      <c r="Q687" s="6">
        <v>5</v>
      </c>
      <c r="R687" s="6">
        <v>25</v>
      </c>
      <c r="S687" s="6">
        <v>18031227</v>
      </c>
      <c r="T687" s="6" t="str">
        <f>INDEX(医院2县区2人!$D$2:$D$1048576,MATCH(L687,医院2县区2人!$A$2:$A$1048576,0))</f>
        <v>201602151421097</v>
      </c>
      <c r="W687" s="6" t="str">
        <f t="shared" si="23"/>
        <v>葡萄糖酸锌口服液10ML*12支</v>
      </c>
      <c r="X687" s="6" t="s">
        <v>2890</v>
      </c>
    </row>
    <row r="688" spans="1:24" x14ac:dyDescent="0.15">
      <c r="A688" s="7" t="str">
        <f t="shared" si="24"/>
        <v>201806</v>
      </c>
      <c r="C688" s="6" t="str">
        <f>INDEX(工厂基础数据!$A$2:$A$1024,MATCH(X688,工厂基础数据!$D$2:$D$1024,0))</f>
        <v>02025767</v>
      </c>
      <c r="E688" s="6" t="str">
        <f>INDEX(工厂基础数据!$B$2:$B$1024,MATCH(X688,工厂基础数据!$D$2:$D$1024,0))</f>
        <v>滨州市仁信医药有限公司</v>
      </c>
      <c r="F688" s="6">
        <f>INDEX(商业2转码!$B$2:$B$10000,MATCH(E688,商业2转码!$A$2:$A$10000,0))</f>
        <v>0</v>
      </c>
      <c r="G688" s="6" t="str">
        <f>INDEX(品种2编码!$A$2:$A$1048576,MATCH(W688,品种2编码!$D$2:$D$1048576,0))</f>
        <v>0020020020ZYLC0011</v>
      </c>
      <c r="H688" s="6" t="s">
        <v>1877</v>
      </c>
      <c r="I688" s="6" t="s">
        <v>1919</v>
      </c>
      <c r="J688" s="6" t="s">
        <v>3036</v>
      </c>
      <c r="L688" s="6" t="s">
        <v>2179</v>
      </c>
      <c r="M688" s="6">
        <f>INDEX(医院2县区2人!$B$2:$B$1048576,MATCH(L688,医院2县区2人!$A$2:$A$1048576,0))</f>
        <v>1</v>
      </c>
      <c r="N688" s="6" t="str">
        <f>INDEX(医院2县区2人!$C$2:$C$1048576,MATCH(L688,医院2县区2人!$A$2:$A$1048576,0))</f>
        <v>1854</v>
      </c>
      <c r="P688" s="7">
        <v>43277.75172453704</v>
      </c>
      <c r="Q688" s="6">
        <v>10</v>
      </c>
      <c r="R688" s="6">
        <v>2.5</v>
      </c>
      <c r="S688" s="6">
        <v>160803</v>
      </c>
      <c r="T688" s="6" t="str">
        <f>INDEX(医院2县区2人!$D$2:$D$1048576,MATCH(L688,医院2县区2人!$A$2:$A$1048576,0))</f>
        <v>201602151421097</v>
      </c>
      <c r="W688" s="6" t="str">
        <f t="shared" si="23"/>
        <v xml:space="preserve">泻利停/颠茄磺苄啶片0.12g*20片 </v>
      </c>
      <c r="X688" s="6" t="s">
        <v>2890</v>
      </c>
    </row>
    <row r="689" spans="1:24" x14ac:dyDescent="0.15">
      <c r="A689" s="7" t="str">
        <f t="shared" si="24"/>
        <v>201806</v>
      </c>
      <c r="C689" s="6" t="str">
        <f>INDEX(工厂基础数据!$A$2:$A$1024,MATCH(X689,工厂基础数据!$D$2:$D$1024,0))</f>
        <v>02025767</v>
      </c>
      <c r="E689" s="6" t="str">
        <f>INDEX(工厂基础数据!$B$2:$B$1024,MATCH(X689,工厂基础数据!$D$2:$D$1024,0))</f>
        <v>滨州市仁信医药有限公司</v>
      </c>
      <c r="F689" s="6">
        <f>INDEX(商业2转码!$B$2:$B$10000,MATCH(E689,商业2转码!$A$2:$A$10000,0))</f>
        <v>0</v>
      </c>
      <c r="G689" s="6" t="str">
        <f>INDEX(品种2编码!$A$2:$A$1048576,MATCH(W689,品种2编码!$D$2:$D$1048576,0))</f>
        <v>0020050001SHYT0037</v>
      </c>
      <c r="H689" s="6" t="s">
        <v>1929</v>
      </c>
      <c r="I689" s="6" t="s">
        <v>444</v>
      </c>
      <c r="J689" s="6" t="s">
        <v>3037</v>
      </c>
      <c r="L689" s="6" t="s">
        <v>2285</v>
      </c>
      <c r="M689" s="6">
        <f>INDEX(医院2县区2人!$B$2:$B$1048576,MATCH(L689,医院2县区2人!$A$2:$A$1048576,0))</f>
        <v>2</v>
      </c>
      <c r="N689" s="6" t="str">
        <f>INDEX(医院2县区2人!$C$2:$C$1048576,MATCH(L689,医院2县区2人!$A$2:$A$1048576,0))</f>
        <v>1853</v>
      </c>
      <c r="P689" s="7">
        <v>43279.742129629631</v>
      </c>
      <c r="Q689" s="6">
        <v>5</v>
      </c>
      <c r="R689" s="6">
        <v>9</v>
      </c>
      <c r="S689" s="6">
        <v>1610107</v>
      </c>
      <c r="T689" s="6" t="str">
        <f>INDEX(医院2县区2人!$D$2:$D$1048576,MATCH(L689,医院2县区2人!$A$2:$A$1048576,0))</f>
        <v>201602151421097</v>
      </c>
      <c r="W689" s="6" t="str">
        <f t="shared" si="23"/>
        <v>艾附暖宫丸9g*10丸</v>
      </c>
      <c r="X689" s="6" t="s">
        <v>2890</v>
      </c>
    </row>
    <row r="690" spans="1:24" x14ac:dyDescent="0.15">
      <c r="A690" s="7" t="str">
        <f t="shared" si="24"/>
        <v>201806</v>
      </c>
      <c r="C690" s="6" t="str">
        <f>INDEX(工厂基础数据!$A$2:$A$1024,MATCH(X690,工厂基础数据!$D$2:$D$1024,0))</f>
        <v>02025767</v>
      </c>
      <c r="E690" s="6" t="str">
        <f>INDEX(工厂基础数据!$B$2:$B$1024,MATCH(X690,工厂基础数据!$D$2:$D$1024,0))</f>
        <v>滨州市仁信医药有限公司</v>
      </c>
      <c r="F690" s="6">
        <f>INDEX(商业2转码!$B$2:$B$10000,MATCH(E690,商业2转码!$A$2:$A$10000,0))</f>
        <v>0</v>
      </c>
      <c r="G690" s="6" t="str">
        <f>INDEX(品种2编码!$A$2:$A$1048576,MATCH(W690,品种2编码!$D$2:$D$1048576,0))</f>
        <v>0020050030SHYT0002</v>
      </c>
      <c r="H690" s="6" t="s">
        <v>484</v>
      </c>
      <c r="I690" s="6" t="s">
        <v>1910</v>
      </c>
      <c r="J690" s="6" t="s">
        <v>3037</v>
      </c>
      <c r="L690" s="6" t="s">
        <v>2285</v>
      </c>
      <c r="M690" s="6">
        <f>INDEX(医院2县区2人!$B$2:$B$1048576,MATCH(L690,医院2县区2人!$A$2:$A$1048576,0))</f>
        <v>2</v>
      </c>
      <c r="N690" s="6" t="str">
        <f>INDEX(医院2县区2人!$C$2:$C$1048576,MATCH(L690,医院2县区2人!$A$2:$A$1048576,0))</f>
        <v>1853</v>
      </c>
      <c r="P690" s="7">
        <v>43279.742129629631</v>
      </c>
      <c r="Q690" s="6">
        <v>20</v>
      </c>
      <c r="R690" s="6">
        <v>4.2</v>
      </c>
      <c r="S690" s="6">
        <v>1610302</v>
      </c>
      <c r="T690" s="6" t="str">
        <f>INDEX(医院2县区2人!$D$2:$D$1048576,MATCH(L690,医院2县区2人!$A$2:$A$1048576,0))</f>
        <v>201602151421097</v>
      </c>
      <c r="W690" s="6" t="str">
        <f t="shared" si="23"/>
        <v>羚羊感冒片24片</v>
      </c>
      <c r="X690" s="6" t="s">
        <v>2890</v>
      </c>
    </row>
    <row r="691" spans="1:24" x14ac:dyDescent="0.15">
      <c r="A691" s="7" t="str">
        <f t="shared" si="24"/>
        <v>201806</v>
      </c>
      <c r="C691" s="6" t="str">
        <f>INDEX(工厂基础数据!$A$2:$A$1024,MATCH(X691,工厂基础数据!$D$2:$D$1024,0))</f>
        <v>02025767</v>
      </c>
      <c r="E691" s="6" t="str">
        <f>INDEX(工厂基础数据!$B$2:$B$1024,MATCH(X691,工厂基础数据!$D$2:$D$1024,0))</f>
        <v>滨州市仁信医药有限公司</v>
      </c>
      <c r="F691" s="6">
        <f>INDEX(商业2转码!$B$2:$B$10000,MATCH(E691,商业2转码!$A$2:$A$10000,0))</f>
        <v>0</v>
      </c>
      <c r="G691" s="6" t="str">
        <f>INDEX(品种2编码!$A$2:$A$1048576,MATCH(W691,品种2编码!$D$2:$D$1048576,0))</f>
        <v>0020030001SJZY0006</v>
      </c>
      <c r="H691" s="6" t="s">
        <v>1888</v>
      </c>
      <c r="I691" s="6" t="s">
        <v>411</v>
      </c>
      <c r="J691" s="6" t="s">
        <v>3040</v>
      </c>
      <c r="L691" s="6" t="s">
        <v>2225</v>
      </c>
      <c r="M691" s="6">
        <f>INDEX(医院2县区2人!$B$2:$B$1048576,MATCH(L691,医院2县区2人!$A$2:$A$1048576,0))</f>
        <v>1</v>
      </c>
      <c r="N691" s="6" t="str">
        <f>INDEX(医院2县区2人!$C$2:$C$1048576,MATCH(L691,医院2县区2人!$A$2:$A$1048576,0))</f>
        <v>1853</v>
      </c>
      <c r="P691" s="7">
        <v>43279.742199074077</v>
      </c>
      <c r="Q691" s="6">
        <v>20</v>
      </c>
      <c r="R691" s="6">
        <v>25</v>
      </c>
      <c r="S691" s="6">
        <v>17071042</v>
      </c>
      <c r="T691" s="6" t="str">
        <f>INDEX(医院2县区2人!$D$2:$D$1048576,MATCH(L691,医院2县区2人!$A$2:$A$1048576,0))</f>
        <v>201602151421097</v>
      </c>
      <c r="W691" s="6" t="str">
        <f t="shared" si="23"/>
        <v>葡萄糖酸钙口服溶液（含糖）10ml*12支</v>
      </c>
      <c r="X691" s="6" t="s">
        <v>2890</v>
      </c>
    </row>
    <row r="692" spans="1:24" x14ac:dyDescent="0.15">
      <c r="A692" s="7" t="str">
        <f t="shared" si="24"/>
        <v>201806</v>
      </c>
      <c r="C692" s="6" t="str">
        <f>INDEX(工厂基础数据!$A$2:$A$1024,MATCH(X692,工厂基础数据!$D$2:$D$1024,0))</f>
        <v>02025767</v>
      </c>
      <c r="E692" s="6" t="str">
        <f>INDEX(工厂基础数据!$B$2:$B$1024,MATCH(X692,工厂基础数据!$D$2:$D$1024,0))</f>
        <v>滨州市仁信医药有限公司</v>
      </c>
      <c r="F692" s="6">
        <f>INDEX(商业2转码!$B$2:$B$10000,MATCH(E692,商业2转码!$A$2:$A$10000,0))</f>
        <v>0</v>
      </c>
      <c r="G692" s="6" t="str">
        <f>INDEX(品种2编码!$A$2:$A$1048576,MATCH(W692,品种2编码!$D$2:$D$1048576,0))</f>
        <v>0020030020ZYLC0010</v>
      </c>
      <c r="H692" s="6" t="s">
        <v>1903</v>
      </c>
      <c r="I692" s="6" t="s">
        <v>1839</v>
      </c>
      <c r="J692" s="6" t="s">
        <v>3036</v>
      </c>
      <c r="L692" s="6" t="s">
        <v>2260</v>
      </c>
      <c r="M692" s="6">
        <f>INDEX(医院2县区2人!$B$2:$B$1048576,MATCH(L692,医院2县区2人!$A$2:$A$1048576,0))</f>
        <v>2</v>
      </c>
      <c r="N692" s="6" t="str">
        <f>INDEX(医院2县区2人!$C$2:$C$1048576,MATCH(L692,医院2县区2人!$A$2:$A$1048576,0))</f>
        <v>1853</v>
      </c>
      <c r="P692" s="7">
        <v>43279.742129629631</v>
      </c>
      <c r="Q692" s="6">
        <v>5</v>
      </c>
      <c r="R692" s="6">
        <v>9</v>
      </c>
      <c r="S692" s="6">
        <v>180302</v>
      </c>
      <c r="T692" s="6" t="str">
        <f>INDEX(医院2县区2人!$D$2:$D$1048576,MATCH(L692,医院2县区2人!$A$2:$A$1048576,0))</f>
        <v>201602151421097</v>
      </c>
      <c r="W692" s="6" t="str">
        <f t="shared" si="23"/>
        <v>乳酸菌素片/为消0.4g*36片</v>
      </c>
      <c r="X692" s="6" t="s">
        <v>2890</v>
      </c>
    </row>
    <row r="693" spans="1:24" x14ac:dyDescent="0.15">
      <c r="A693" s="7" t="str">
        <f t="shared" si="24"/>
        <v>201806</v>
      </c>
      <c r="C693" s="6" t="str">
        <f>INDEX(工厂基础数据!$A$2:$A$1024,MATCH(X693,工厂基础数据!$D$2:$D$1024,0))</f>
        <v>02025767</v>
      </c>
      <c r="E693" s="6" t="str">
        <f>INDEX(工厂基础数据!$B$2:$B$1024,MATCH(X693,工厂基础数据!$D$2:$D$1024,0))</f>
        <v>滨州市仁信医药有限公司</v>
      </c>
      <c r="F693" s="6">
        <f>INDEX(商业2转码!$B$2:$B$10000,MATCH(E693,商业2转码!$A$2:$A$10000,0))</f>
        <v>0</v>
      </c>
      <c r="G693" s="6" t="str">
        <f>INDEX(品种2编码!$A$2:$A$1048576,MATCH(W693,品种2编码!$D$2:$D$1048576,0))</f>
        <v>0020040001SHYT0018</v>
      </c>
      <c r="H693" s="6" t="s">
        <v>1932</v>
      </c>
      <c r="I693" s="6" t="s">
        <v>444</v>
      </c>
      <c r="J693" s="6" t="s">
        <v>3037</v>
      </c>
      <c r="L693" s="6" t="s">
        <v>2743</v>
      </c>
      <c r="M693" s="6">
        <f>INDEX(医院2县区2人!$B$2:$B$1048576,MATCH(L693,医院2县区2人!$A$2:$A$1048576,0))</f>
        <v>2</v>
      </c>
      <c r="N693" s="6" t="str">
        <f>INDEX(医院2县区2人!$C$2:$C$1048576,MATCH(L693,医院2县区2人!$A$2:$A$1048576,0))</f>
        <v>1855</v>
      </c>
      <c r="P693" s="7">
        <v>43279.742222222223</v>
      </c>
      <c r="Q693" s="6">
        <v>5</v>
      </c>
      <c r="R693" s="6">
        <v>10</v>
      </c>
      <c r="S693" s="6">
        <v>1612106</v>
      </c>
      <c r="T693" s="6" t="str">
        <f>INDEX(医院2县区2人!$D$2:$D$1048576,MATCH(L693,医院2县区2人!$A$2:$A$1048576,0))</f>
        <v>201602151421097</v>
      </c>
      <c r="W693" s="6" t="str">
        <f t="shared" si="23"/>
        <v>血府逐淤丸9g*10丸</v>
      </c>
      <c r="X693" s="6" t="s">
        <v>2890</v>
      </c>
    </row>
    <row r="694" spans="1:24" x14ac:dyDescent="0.15">
      <c r="A694" s="7" t="str">
        <f t="shared" si="24"/>
        <v>201806</v>
      </c>
      <c r="C694" s="6" t="str">
        <f>INDEX(工厂基础数据!$A$2:$A$1024,MATCH(X694,工厂基础数据!$D$2:$D$1024,0))</f>
        <v>02025767</v>
      </c>
      <c r="E694" s="6" t="str">
        <f>INDEX(工厂基础数据!$B$2:$B$1024,MATCH(X694,工厂基础数据!$D$2:$D$1024,0))</f>
        <v>滨州市仁信医药有限公司</v>
      </c>
      <c r="F694" s="6">
        <f>INDEX(商业2转码!$B$2:$B$10000,MATCH(E694,商业2转码!$A$2:$A$10000,0))</f>
        <v>0</v>
      </c>
      <c r="G694" s="6" t="str">
        <f>INDEX(品种2编码!$A$2:$A$1048576,MATCH(W694,品种2编码!$D$2:$D$1048576,0))</f>
        <v>0020070001ZYLC0001</v>
      </c>
      <c r="H694" s="6" t="s">
        <v>1905</v>
      </c>
      <c r="I694" s="6" t="s">
        <v>411</v>
      </c>
      <c r="J694" s="6" t="s">
        <v>3036</v>
      </c>
      <c r="L694" s="6" t="s">
        <v>2436</v>
      </c>
      <c r="M694" s="6">
        <f>INDEX(医院2县区2人!$B$2:$B$1048576,MATCH(L694,医院2县区2人!$A$2:$A$1048576,0))</f>
        <v>1</v>
      </c>
      <c r="N694" s="6" t="str">
        <f>INDEX(医院2县区2人!$C$2:$C$1048576,MATCH(L694,医院2县区2人!$A$2:$A$1048576,0))</f>
        <v>1856</v>
      </c>
      <c r="P694" s="7">
        <v>43279.741840277777</v>
      </c>
      <c r="Q694" s="6">
        <v>5</v>
      </c>
      <c r="R694" s="6">
        <v>20</v>
      </c>
      <c r="S694" s="6">
        <v>180121</v>
      </c>
      <c r="T694" s="6" t="str">
        <f>INDEX(医院2县区2人!$D$2:$D$1048576,MATCH(L694,医院2县区2人!$A$2:$A$1048576,0))</f>
        <v>201602151421097</v>
      </c>
      <c r="W694" s="6" t="str">
        <f t="shared" si="23"/>
        <v>哈药六钙锌口服液10ml*12支</v>
      </c>
      <c r="X694" s="6" t="s">
        <v>2890</v>
      </c>
    </row>
    <row r="695" spans="1:24" x14ac:dyDescent="0.15">
      <c r="A695" s="7" t="str">
        <f t="shared" si="24"/>
        <v>201806</v>
      </c>
      <c r="C695" s="6" t="str">
        <f>INDEX(工厂基础数据!$A$2:$A$1024,MATCH(X695,工厂基础数据!$D$2:$D$1024,0))</f>
        <v>02025767</v>
      </c>
      <c r="E695" s="6" t="str">
        <f>INDEX(工厂基础数据!$B$2:$B$1024,MATCH(X695,工厂基础数据!$D$2:$D$1024,0))</f>
        <v>滨州市仁信医药有限公司</v>
      </c>
      <c r="F695" s="6">
        <f>INDEX(商业2转码!$B$2:$B$10000,MATCH(E695,商业2转码!$A$2:$A$10000,0))</f>
        <v>0</v>
      </c>
      <c r="G695" s="6" t="str">
        <f>INDEX(品种2编码!$A$2:$A$1048576,MATCH(W695,品种2编码!$D$2:$D$1048576,0))</f>
        <v>0020070000ZYLC0055</v>
      </c>
      <c r="H695" s="6" t="s">
        <v>1906</v>
      </c>
      <c r="I695" s="6" t="s">
        <v>411</v>
      </c>
      <c r="J695" s="6" t="s">
        <v>3036</v>
      </c>
      <c r="L695" s="6" t="s">
        <v>2671</v>
      </c>
      <c r="M695" s="6">
        <f>INDEX(医院2县区2人!$B$2:$B$1048576,MATCH(L695,医院2县区2人!$A$2:$A$1048576,0))</f>
        <v>2</v>
      </c>
      <c r="N695" s="6" t="str">
        <f>INDEX(医院2县区2人!$C$2:$C$1048576,MATCH(L695,医院2县区2人!$A$2:$A$1048576,0))</f>
        <v>1853</v>
      </c>
      <c r="P695" s="7">
        <v>43279.741747685184</v>
      </c>
      <c r="Q695" s="6">
        <v>5</v>
      </c>
      <c r="R695" s="6">
        <v>20</v>
      </c>
      <c r="S695" s="6">
        <v>170615</v>
      </c>
      <c r="T695" s="6" t="str">
        <f>INDEX(医院2县区2人!$D$2:$D$1048576,MATCH(L695,医院2县区2人!$A$2:$A$1048576,0))</f>
        <v>201602151421097</v>
      </c>
      <c r="W695" s="6" t="str">
        <f t="shared" si="23"/>
        <v>朴血/乳酸亚铁口服液10ml*12支</v>
      </c>
      <c r="X695" s="6" t="s">
        <v>2890</v>
      </c>
    </row>
    <row r="696" spans="1:24" x14ac:dyDescent="0.15">
      <c r="A696" s="7" t="str">
        <f t="shared" si="24"/>
        <v>201806</v>
      </c>
      <c r="C696" s="6" t="str">
        <f>INDEX(工厂基础数据!$A$2:$A$1024,MATCH(X696,工厂基础数据!$D$2:$D$1024,0))</f>
        <v>02025767</v>
      </c>
      <c r="E696" s="6" t="str">
        <f>INDEX(工厂基础数据!$B$2:$B$1024,MATCH(X696,工厂基础数据!$D$2:$D$1024,0))</f>
        <v>滨州市仁信医药有限公司</v>
      </c>
      <c r="F696" s="6">
        <f>INDEX(商业2转码!$B$2:$B$10000,MATCH(E696,商业2转码!$A$2:$A$10000,0))</f>
        <v>0</v>
      </c>
      <c r="G696" s="6" t="str">
        <f>INDEX(品种2编码!$A$2:$A$1048576,MATCH(W696,品种2编码!$D$2:$D$1048576,0))</f>
        <v>0020070000ZYLC0055</v>
      </c>
      <c r="H696" s="6" t="s">
        <v>1906</v>
      </c>
      <c r="I696" s="6" t="s">
        <v>411</v>
      </c>
      <c r="J696" s="6" t="s">
        <v>3036</v>
      </c>
      <c r="L696" s="6" t="s">
        <v>2364</v>
      </c>
      <c r="M696" s="6">
        <f>INDEX(医院2县区2人!$B$2:$B$1048576,MATCH(L696,医院2县区2人!$A$2:$A$1048576,0))</f>
        <v>2</v>
      </c>
      <c r="N696" s="6" t="str">
        <f>INDEX(医院2县区2人!$C$2:$C$1048576,MATCH(L696,医院2县区2人!$A$2:$A$1048576,0))</f>
        <v>1853</v>
      </c>
      <c r="P696" s="7">
        <v>43279.741990740738</v>
      </c>
      <c r="Q696" s="6">
        <v>10</v>
      </c>
      <c r="R696" s="6">
        <v>20</v>
      </c>
      <c r="S696" s="6">
        <v>171064</v>
      </c>
      <c r="T696" s="6" t="str">
        <f>INDEX(医院2县区2人!$D$2:$D$1048576,MATCH(L696,医院2县区2人!$A$2:$A$1048576,0))</f>
        <v>201602151421097</v>
      </c>
      <c r="W696" s="6" t="str">
        <f t="shared" si="23"/>
        <v>朴血/乳酸亚铁口服液10ml*12支</v>
      </c>
      <c r="X696" s="6" t="s">
        <v>2890</v>
      </c>
    </row>
    <row r="697" spans="1:24" x14ac:dyDescent="0.15">
      <c r="A697" s="7" t="str">
        <f t="shared" si="24"/>
        <v>201806</v>
      </c>
      <c r="C697" s="6" t="str">
        <f>INDEX(工厂基础数据!$A$2:$A$1024,MATCH(X697,工厂基础数据!$D$2:$D$1024,0))</f>
        <v>02025767</v>
      </c>
      <c r="E697" s="6" t="str">
        <f>INDEX(工厂基础数据!$B$2:$B$1024,MATCH(X697,工厂基础数据!$D$2:$D$1024,0))</f>
        <v>滨州市仁信医药有限公司</v>
      </c>
      <c r="F697" s="6">
        <f>INDEX(商业2转码!$B$2:$B$10000,MATCH(E697,商业2转码!$A$2:$A$10000,0))</f>
        <v>0</v>
      </c>
      <c r="G697" s="6" t="str">
        <f>INDEX(品种2编码!$A$2:$A$1048576,MATCH(W697,品种2编码!$D$2:$D$1048576,0))</f>
        <v>0020030020ZYLC0010</v>
      </c>
      <c r="H697" s="6" t="s">
        <v>1903</v>
      </c>
      <c r="I697" s="6" t="s">
        <v>1839</v>
      </c>
      <c r="J697" s="6" t="s">
        <v>3036</v>
      </c>
      <c r="L697" s="6" t="s">
        <v>2234</v>
      </c>
      <c r="M697" s="6">
        <f>INDEX(医院2县区2人!$B$2:$B$1048576,MATCH(L697,医院2县区2人!$A$2:$A$1048576,0))</f>
        <v>2</v>
      </c>
      <c r="N697" s="6" t="str">
        <f>INDEX(医院2县区2人!$C$2:$C$1048576,MATCH(L697,医院2县区2人!$A$2:$A$1048576,0))</f>
        <v>1855</v>
      </c>
      <c r="P697" s="7">
        <v>43279.742025462961</v>
      </c>
      <c r="Q697" s="6">
        <v>20</v>
      </c>
      <c r="R697" s="6">
        <v>9</v>
      </c>
      <c r="S697" s="6">
        <v>180302</v>
      </c>
      <c r="T697" s="6" t="str">
        <f>INDEX(医院2县区2人!$D$2:$D$1048576,MATCH(L697,医院2县区2人!$A$2:$A$1048576,0))</f>
        <v>201602151421097</v>
      </c>
      <c r="W697" s="6" t="str">
        <f t="shared" si="23"/>
        <v>乳酸菌素片/为消0.4g*36片</v>
      </c>
      <c r="X697" s="6" t="s">
        <v>2890</v>
      </c>
    </row>
    <row r="698" spans="1:24" x14ac:dyDescent="0.15">
      <c r="A698" s="7" t="str">
        <f t="shared" si="24"/>
        <v>201806</v>
      </c>
      <c r="C698" s="6" t="str">
        <f>INDEX(工厂基础数据!$A$2:$A$1024,MATCH(X698,工厂基础数据!$D$2:$D$1024,0))</f>
        <v>02025767</v>
      </c>
      <c r="E698" s="6" t="str">
        <f>INDEX(工厂基础数据!$B$2:$B$1024,MATCH(X698,工厂基础数据!$D$2:$D$1024,0))</f>
        <v>滨州市仁信医药有限公司</v>
      </c>
      <c r="F698" s="6">
        <f>INDEX(商业2转码!$B$2:$B$10000,MATCH(E698,商业2转码!$A$2:$A$10000,0))</f>
        <v>0</v>
      </c>
      <c r="G698" s="6" t="str">
        <f>INDEX(品种2编码!$A$2:$A$1048576,MATCH(W698,品种2编码!$D$2:$D$1048576,0))</f>
        <v>0020030001SJZY0009</v>
      </c>
      <c r="H698" s="6" t="s">
        <v>555</v>
      </c>
      <c r="I698" s="6" t="s">
        <v>1889</v>
      </c>
      <c r="J698" s="6" t="s">
        <v>3039</v>
      </c>
      <c r="L698" s="6" t="s">
        <v>2317</v>
      </c>
      <c r="M698" s="6">
        <f>INDEX(医院2县区2人!$B$2:$B$1048576,MATCH(L698,医院2县区2人!$A$2:$A$1048576,0))</f>
        <v>2</v>
      </c>
      <c r="N698" s="6" t="str">
        <f>INDEX(医院2县区2人!$C$2:$C$1048576,MATCH(L698,医院2县区2人!$A$2:$A$1048576,0))</f>
        <v>1853</v>
      </c>
      <c r="P698" s="7">
        <v>43279.742060185185</v>
      </c>
      <c r="Q698" s="6">
        <v>5</v>
      </c>
      <c r="R698" s="6">
        <v>25</v>
      </c>
      <c r="S698" s="6">
        <v>18031227</v>
      </c>
      <c r="T698" s="6" t="str">
        <f>INDEX(医院2县区2人!$D$2:$D$1048576,MATCH(L698,医院2县区2人!$A$2:$A$1048576,0))</f>
        <v>201602151421097</v>
      </c>
      <c r="W698" s="6" t="str">
        <f t="shared" si="23"/>
        <v>葡萄糖酸锌口服液10ML*12支</v>
      </c>
      <c r="X698" s="6" t="s">
        <v>2890</v>
      </c>
    </row>
    <row r="699" spans="1:24" x14ac:dyDescent="0.15">
      <c r="A699" s="7" t="str">
        <f t="shared" si="24"/>
        <v>201806</v>
      </c>
      <c r="C699" s="6" t="str">
        <f>INDEX(工厂基础数据!$A$2:$A$1024,MATCH(X699,工厂基础数据!$D$2:$D$1024,0))</f>
        <v>02025767</v>
      </c>
      <c r="E699" s="6" t="str">
        <f>INDEX(工厂基础数据!$B$2:$B$1024,MATCH(X699,工厂基础数据!$D$2:$D$1024,0))</f>
        <v>滨州市仁信医药有限公司</v>
      </c>
      <c r="F699" s="6">
        <f>INDEX(商业2转码!$B$2:$B$10000,MATCH(E699,商业2转码!$A$2:$A$10000,0))</f>
        <v>0</v>
      </c>
      <c r="G699" s="6" t="str">
        <f>INDEX(品种2编码!$A$2:$A$1048576,MATCH(W699,品种2编码!$D$2:$D$1048576,0))</f>
        <v>0020030001SJZY0006</v>
      </c>
      <c r="H699" s="6" t="s">
        <v>1888</v>
      </c>
      <c r="I699" s="6" t="s">
        <v>411</v>
      </c>
      <c r="J699" s="6" t="s">
        <v>3040</v>
      </c>
      <c r="L699" s="6" t="s">
        <v>2317</v>
      </c>
      <c r="M699" s="6">
        <f>INDEX(医院2县区2人!$B$2:$B$1048576,MATCH(L699,医院2县区2人!$A$2:$A$1048576,0))</f>
        <v>2</v>
      </c>
      <c r="N699" s="6" t="str">
        <f>INDEX(医院2县区2人!$C$2:$C$1048576,MATCH(L699,医院2县区2人!$A$2:$A$1048576,0))</f>
        <v>1853</v>
      </c>
      <c r="P699" s="7">
        <v>43279.742060185185</v>
      </c>
      <c r="Q699" s="6">
        <v>5</v>
      </c>
      <c r="R699" s="6">
        <v>25</v>
      </c>
      <c r="S699" s="6">
        <v>17071042</v>
      </c>
      <c r="T699" s="6" t="str">
        <f>INDEX(医院2县区2人!$D$2:$D$1048576,MATCH(L699,医院2县区2人!$A$2:$A$1048576,0))</f>
        <v>201602151421097</v>
      </c>
      <c r="W699" s="6" t="str">
        <f t="shared" si="23"/>
        <v>葡萄糖酸钙口服溶液（含糖）10ml*12支</v>
      </c>
      <c r="X699" s="6" t="s">
        <v>2890</v>
      </c>
    </row>
    <row r="700" spans="1:24" x14ac:dyDescent="0.15">
      <c r="A700" s="7" t="str">
        <f t="shared" si="24"/>
        <v>201806</v>
      </c>
      <c r="C700" s="6" t="str">
        <f>INDEX(工厂基础数据!$A$2:$A$1024,MATCH(X700,工厂基础数据!$D$2:$D$1024,0))</f>
        <v>02025767</v>
      </c>
      <c r="E700" s="6" t="str">
        <f>INDEX(工厂基础数据!$B$2:$B$1024,MATCH(X700,工厂基础数据!$D$2:$D$1024,0))</f>
        <v>滨州市仁信医药有限公司</v>
      </c>
      <c r="F700" s="6">
        <f>INDEX(商业2转码!$B$2:$B$10000,MATCH(E700,商业2转码!$A$2:$A$10000,0))</f>
        <v>0</v>
      </c>
      <c r="G700" s="6" t="str">
        <f>INDEX(品种2编码!$A$2:$A$1048576,MATCH(W700,品种2编码!$D$2:$D$1048576,0))</f>
        <v>0020030020SJSC0014</v>
      </c>
      <c r="H700" s="6" t="s">
        <v>677</v>
      </c>
      <c r="I700" s="6" t="s">
        <v>1882</v>
      </c>
      <c r="J700" s="6" t="s">
        <v>3045</v>
      </c>
      <c r="L700" s="6" t="s">
        <v>3028</v>
      </c>
      <c r="M700" s="6" t="e">
        <f>INDEX(医院2县区2人!$B$2:$B$1048576,MATCH(L700,医院2县区2人!$A$2:$A$1048576,0))</f>
        <v>#N/A</v>
      </c>
      <c r="N700" s="6" t="e">
        <f>INDEX(医院2县区2人!$C$2:$C$1048576,MATCH(L700,医院2县区2人!$A$2:$A$1048576,0))</f>
        <v>#N/A</v>
      </c>
      <c r="P700" s="7">
        <v>43280.751076388886</v>
      </c>
      <c r="Q700" s="6">
        <v>5</v>
      </c>
      <c r="R700" s="6">
        <v>19.3</v>
      </c>
      <c r="S700" s="6">
        <v>1708001</v>
      </c>
      <c r="T700" s="6" t="e">
        <f>INDEX(医院2县区2人!$D$2:$D$1048576,MATCH(L700,医院2县区2人!$A$2:$A$1048576,0))</f>
        <v>#N/A</v>
      </c>
      <c r="W700" s="6" t="str">
        <f t="shared" si="23"/>
        <v>维D2磷酸氢钙片60片</v>
      </c>
      <c r="X700" s="6" t="s">
        <v>2890</v>
      </c>
    </row>
    <row r="701" spans="1:24" x14ac:dyDescent="0.15">
      <c r="A701" s="7" t="str">
        <f t="shared" si="24"/>
        <v>201806</v>
      </c>
      <c r="C701" s="6" t="str">
        <f>INDEX(工厂基础数据!$A$2:$A$1024,MATCH(X701,工厂基础数据!$D$2:$D$1024,0))</f>
        <v>02025767</v>
      </c>
      <c r="E701" s="6" t="str">
        <f>INDEX(工厂基础数据!$B$2:$B$1024,MATCH(X701,工厂基础数据!$D$2:$D$1024,0))</f>
        <v>滨州市仁信医药有限公司</v>
      </c>
      <c r="F701" s="6">
        <f>INDEX(商业2转码!$B$2:$B$10000,MATCH(E701,商业2转码!$A$2:$A$10000,0))</f>
        <v>0</v>
      </c>
      <c r="G701" s="6" t="str">
        <f>INDEX(品种2编码!$A$2:$A$1048576,MATCH(W701,品种2编码!$D$2:$D$1048576,0))</f>
        <v>0020020021ZYLC0005</v>
      </c>
      <c r="H701" s="6" t="s">
        <v>1920</v>
      </c>
      <c r="I701" s="6" t="s">
        <v>1841</v>
      </c>
      <c r="J701" s="6" t="s">
        <v>3036</v>
      </c>
      <c r="L701" s="6" t="s">
        <v>2223</v>
      </c>
      <c r="M701" s="6">
        <f>INDEX(医院2县区2人!$B$2:$B$1048576,MATCH(L701,医院2县区2人!$A$2:$A$1048576,0))</f>
        <v>2</v>
      </c>
      <c r="N701" s="6" t="str">
        <f>INDEX(医院2县区2人!$C$2:$C$1048576,MATCH(L701,医院2县区2人!$A$2:$A$1048576,0))</f>
        <v>1857</v>
      </c>
      <c r="P701" s="7">
        <v>43279.74181712963</v>
      </c>
      <c r="Q701" s="6">
        <v>20</v>
      </c>
      <c r="R701" s="6">
        <v>4</v>
      </c>
      <c r="S701" s="6">
        <v>180201</v>
      </c>
      <c r="T701" s="6" t="str">
        <f>INDEX(医院2县区2人!$D$2:$D$1048576,MATCH(L701,医院2县区2人!$A$2:$A$1048576,0))</f>
        <v>201602151421097</v>
      </c>
      <c r="W701" s="6" t="str">
        <f t="shared" si="23"/>
        <v>小儿严迪片/罗红霉素分散片50mg*12片</v>
      </c>
      <c r="X701" s="6" t="s">
        <v>2890</v>
      </c>
    </row>
    <row r="702" spans="1:24" x14ac:dyDescent="0.15">
      <c r="A702" s="7" t="str">
        <f t="shared" si="24"/>
        <v>201806</v>
      </c>
      <c r="C702" s="6" t="str">
        <f>INDEX(工厂基础数据!$A$2:$A$1024,MATCH(X702,工厂基础数据!$D$2:$D$1024,0))</f>
        <v>02025767</v>
      </c>
      <c r="E702" s="6" t="str">
        <f>INDEX(工厂基础数据!$B$2:$B$1024,MATCH(X702,工厂基础数据!$D$2:$D$1024,0))</f>
        <v>滨州市仁信医药有限公司</v>
      </c>
      <c r="F702" s="6">
        <f>INDEX(商业2转码!$B$2:$B$10000,MATCH(E702,商业2转码!$A$2:$A$10000,0))</f>
        <v>0</v>
      </c>
      <c r="G702" s="6" t="str">
        <f>INDEX(品种2编码!$A$2:$A$1048576,MATCH(W702,品种2编码!$D$2:$D$1048576,0))</f>
        <v>0020030020ZYZC0360</v>
      </c>
      <c r="H702" s="6" t="s">
        <v>1880</v>
      </c>
      <c r="I702" s="6" t="s">
        <v>1881</v>
      </c>
      <c r="J702" s="6" t="s">
        <v>3038</v>
      </c>
      <c r="L702" s="6" t="s">
        <v>2403</v>
      </c>
      <c r="M702" s="6">
        <f>INDEX(医院2县区2人!$B$2:$B$1048576,MATCH(L702,医院2县区2人!$A$2:$A$1048576,0))</f>
        <v>2</v>
      </c>
      <c r="N702" s="6" t="str">
        <f>INDEX(医院2县区2人!$C$2:$C$1048576,MATCH(L702,医院2县区2人!$A$2:$A$1048576,0))</f>
        <v>1853</v>
      </c>
      <c r="P702" s="7">
        <v>43280.750868055555</v>
      </c>
      <c r="Q702" s="6">
        <v>10</v>
      </c>
      <c r="R702" s="6">
        <v>11</v>
      </c>
      <c r="S702" s="6">
        <v>1801003</v>
      </c>
      <c r="T702" s="6" t="str">
        <f>INDEX(医院2县区2人!$D$2:$D$1048576,MATCH(L702,医院2县区2人!$A$2:$A$1048576,0))</f>
        <v>201602151421097</v>
      </c>
      <c r="W702" s="6" t="str">
        <f t="shared" si="23"/>
        <v>*维生素C咀嚼片/VC片0.1g*30片</v>
      </c>
      <c r="X702" s="6" t="s">
        <v>2890</v>
      </c>
    </row>
    <row r="703" spans="1:24" x14ac:dyDescent="0.15">
      <c r="A703" s="7" t="str">
        <f t="shared" si="24"/>
        <v>201806</v>
      </c>
      <c r="C703" s="6" t="str">
        <f>INDEX(工厂基础数据!$A$2:$A$1024,MATCH(X703,工厂基础数据!$D$2:$D$1024,0))</f>
        <v>02025767</v>
      </c>
      <c r="E703" s="6" t="str">
        <f>INDEX(工厂基础数据!$B$2:$B$1024,MATCH(X703,工厂基础数据!$D$2:$D$1024,0))</f>
        <v>滨州市仁信医药有限公司</v>
      </c>
      <c r="F703" s="6">
        <f>INDEX(商业2转码!$B$2:$B$10000,MATCH(E703,商业2转码!$A$2:$A$10000,0))</f>
        <v>0</v>
      </c>
      <c r="G703" s="6" t="str">
        <f>INDEX(品种2编码!$A$2:$A$1048576,MATCH(W703,品种2编码!$D$2:$D$1048576,0))</f>
        <v>0020050020SHYT0016</v>
      </c>
      <c r="H703" s="6" t="s">
        <v>1864</v>
      </c>
      <c r="I703" s="6" t="s">
        <v>339</v>
      </c>
      <c r="J703" s="6" t="s">
        <v>3037</v>
      </c>
      <c r="L703" s="6" t="s">
        <v>2276</v>
      </c>
      <c r="M703" s="6">
        <f>INDEX(医院2县区2人!$B$2:$B$1048576,MATCH(L703,医院2县区2人!$A$2:$A$1048576,0))</f>
        <v>4</v>
      </c>
      <c r="N703" s="6" t="str">
        <f>INDEX(医院2县区2人!$C$2:$C$1048576,MATCH(L703,医院2县区2人!$A$2:$A$1048576,0))</f>
        <v>1859</v>
      </c>
      <c r="P703" s="7">
        <v>43281.6253125</v>
      </c>
      <c r="Q703" s="6">
        <v>60</v>
      </c>
      <c r="R703" s="6">
        <v>16.5</v>
      </c>
      <c r="S703" s="6">
        <v>1801504</v>
      </c>
      <c r="T703" s="6" t="str">
        <f>INDEX(医院2县区2人!$D$2:$D$1048576,MATCH(L703,医院2县区2人!$A$2:$A$1048576,0))</f>
        <v>201602151421097</v>
      </c>
      <c r="W703" s="6" t="str">
        <f t="shared" si="23"/>
        <v>复方金银花颗粒10g*10袋</v>
      </c>
      <c r="X703" s="6" t="s">
        <v>2890</v>
      </c>
    </row>
    <row r="704" spans="1:24" x14ac:dyDescent="0.15">
      <c r="A704" s="7" t="str">
        <f t="shared" si="24"/>
        <v>201806</v>
      </c>
      <c r="C704" s="6" t="str">
        <f>INDEX(工厂基础数据!$A$2:$A$1024,MATCH(X704,工厂基础数据!$D$2:$D$1024,0))</f>
        <v>02025767</v>
      </c>
      <c r="E704" s="6" t="str">
        <f>INDEX(工厂基础数据!$B$2:$B$1024,MATCH(X704,工厂基础数据!$D$2:$D$1024,0))</f>
        <v>滨州市仁信医药有限公司</v>
      </c>
      <c r="F704" s="6">
        <f>INDEX(商业2转码!$B$2:$B$10000,MATCH(E704,商业2转码!$A$2:$A$10000,0))</f>
        <v>0</v>
      </c>
      <c r="G704" s="6" t="str">
        <f>INDEX(品种2编码!$A$2:$A$1048576,MATCH(W704,品种2编码!$D$2:$D$1048576,0))</f>
        <v>0020030020SJSC0014</v>
      </c>
      <c r="H704" s="6" t="s">
        <v>677</v>
      </c>
      <c r="I704" s="6" t="s">
        <v>1882</v>
      </c>
      <c r="J704" s="6" t="s">
        <v>3045</v>
      </c>
      <c r="L704" s="6" t="s">
        <v>2220</v>
      </c>
      <c r="M704" s="6">
        <f>INDEX(医院2县区2人!$B$2:$B$1048576,MATCH(L704,医院2县区2人!$A$2:$A$1048576,0))</f>
        <v>2</v>
      </c>
      <c r="N704" s="6" t="str">
        <f>INDEX(医院2县区2人!$C$2:$C$1048576,MATCH(L704,医院2县区2人!$A$2:$A$1048576,0))</f>
        <v>1857</v>
      </c>
      <c r="P704" s="7">
        <v>43279.741886574076</v>
      </c>
      <c r="Q704" s="6">
        <v>10</v>
      </c>
      <c r="R704" s="6">
        <v>9.8000000000000007</v>
      </c>
      <c r="S704" s="6">
        <v>1708001</v>
      </c>
      <c r="T704" s="6" t="str">
        <f>INDEX(医院2县区2人!$D$2:$D$1048576,MATCH(L704,医院2县区2人!$A$2:$A$1048576,0))</f>
        <v>201602151421097</v>
      </c>
      <c r="W704" s="6" t="str">
        <f t="shared" si="23"/>
        <v>维D2磷酸氢钙片60片</v>
      </c>
      <c r="X704" s="6" t="s">
        <v>2890</v>
      </c>
    </row>
    <row r="705" spans="1:24" x14ac:dyDescent="0.15">
      <c r="A705" s="7" t="str">
        <f t="shared" si="24"/>
        <v>201806</v>
      </c>
      <c r="C705" s="6" t="str">
        <f>INDEX(工厂基础数据!$A$2:$A$1024,MATCH(X705,工厂基础数据!$D$2:$D$1024,0))</f>
        <v>02025767</v>
      </c>
      <c r="E705" s="6" t="str">
        <f>INDEX(工厂基础数据!$B$2:$B$1024,MATCH(X705,工厂基础数据!$D$2:$D$1024,0))</f>
        <v>滨州市仁信医药有限公司</v>
      </c>
      <c r="F705" s="6">
        <f>INDEX(商业2转码!$B$2:$B$10000,MATCH(E705,商业2转码!$A$2:$A$10000,0))</f>
        <v>0</v>
      </c>
      <c r="G705" s="6" t="str">
        <f>INDEX(品种2编码!$A$2:$A$1048576,MATCH(W705,品种2编码!$D$2:$D$1048576,0))</f>
        <v>0020070001ZYZC0377</v>
      </c>
      <c r="H705" s="6" t="s">
        <v>1849</v>
      </c>
      <c r="I705" s="6" t="s">
        <v>1887</v>
      </c>
      <c r="J705" s="6" t="s">
        <v>3038</v>
      </c>
      <c r="L705" s="6" t="s">
        <v>2245</v>
      </c>
      <c r="M705" s="6">
        <f>INDEX(医院2县区2人!$B$2:$B$1048576,MATCH(L705,医院2县区2人!$A$2:$A$1048576,0))</f>
        <v>4</v>
      </c>
      <c r="N705" s="6" t="str">
        <f>INDEX(医院2县区2人!$C$2:$C$1048576,MATCH(L705,医院2县区2人!$A$2:$A$1048576,0))</f>
        <v>1854</v>
      </c>
      <c r="P705" s="7">
        <v>43281.625289351854</v>
      </c>
      <c r="Q705" s="6">
        <v>48</v>
      </c>
      <c r="R705" s="6">
        <v>19</v>
      </c>
      <c r="S705" s="6">
        <v>1801041</v>
      </c>
      <c r="T705" s="6" t="str">
        <f>INDEX(医院2县区2人!$D$2:$D$1048576,MATCH(L705,医院2县区2人!$A$2:$A$1048576,0))</f>
        <v>201602151421097</v>
      </c>
      <c r="W705" s="6" t="str">
        <f t="shared" si="23"/>
        <v>哈药牌钙铁锌口服液10ml*15支</v>
      </c>
      <c r="X705" s="6" t="s">
        <v>2890</v>
      </c>
    </row>
    <row r="706" spans="1:24" x14ac:dyDescent="0.15">
      <c r="A706" s="7" t="str">
        <f t="shared" si="24"/>
        <v>201806</v>
      </c>
      <c r="C706" s="6" t="str">
        <f>INDEX(工厂基础数据!$A$2:$A$1024,MATCH(X706,工厂基础数据!$D$2:$D$1024,0))</f>
        <v>02025767</v>
      </c>
      <c r="E706" s="6" t="str">
        <f>INDEX(工厂基础数据!$B$2:$B$1024,MATCH(X706,工厂基础数据!$D$2:$D$1024,0))</f>
        <v>滨州市仁信医药有限公司</v>
      </c>
      <c r="F706" s="6">
        <f>INDEX(商业2转码!$B$2:$B$10000,MATCH(E706,商业2转码!$A$2:$A$10000,0))</f>
        <v>0</v>
      </c>
      <c r="G706" s="6" t="str">
        <f>INDEX(品种2编码!$A$2:$A$1048576,MATCH(W706,品种2编码!$D$2:$D$1048576,0))</f>
        <v>0020050090SJZY0001</v>
      </c>
      <c r="H706" s="6" t="s">
        <v>630</v>
      </c>
      <c r="I706" s="6" t="s">
        <v>1850</v>
      </c>
      <c r="J706" s="6" t="s">
        <v>3040</v>
      </c>
      <c r="L706" s="6" t="s">
        <v>2380</v>
      </c>
      <c r="M706" s="6">
        <f>INDEX(医院2县区2人!$B$2:$B$1048576,MATCH(L706,医院2县区2人!$A$2:$A$1048576,0))</f>
        <v>2</v>
      </c>
      <c r="N706" s="6" t="str">
        <f>INDEX(医院2县区2人!$C$2:$C$1048576,MATCH(L706,医院2县区2人!$A$2:$A$1048576,0))</f>
        <v>1855</v>
      </c>
      <c r="P706" s="7">
        <v>43279.741736111115</v>
      </c>
      <c r="Q706" s="6">
        <v>2</v>
      </c>
      <c r="R706" s="6">
        <v>16.5</v>
      </c>
      <c r="S706" s="6">
        <v>17062821</v>
      </c>
      <c r="T706" s="6" t="str">
        <f>INDEX(医院2县区2人!$D$2:$D$1048576,MATCH(L706,医院2县区2人!$A$2:$A$1048576,0))</f>
        <v>201602151421097</v>
      </c>
      <c r="W706" s="6" t="str">
        <f t="shared" si="23"/>
        <v>双黄连口服液10ml*10支</v>
      </c>
      <c r="X706" s="6" t="s">
        <v>2890</v>
      </c>
    </row>
    <row r="707" spans="1:24" x14ac:dyDescent="0.15">
      <c r="A707" s="7" t="str">
        <f t="shared" si="24"/>
        <v>201806</v>
      </c>
      <c r="C707" s="6" t="str">
        <f>INDEX(工厂基础数据!$A$2:$A$1024,MATCH(X707,工厂基础数据!$D$2:$D$1024,0))</f>
        <v>02025767</v>
      </c>
      <c r="E707" s="6" t="str">
        <f>INDEX(工厂基础数据!$B$2:$B$1024,MATCH(X707,工厂基础数据!$D$2:$D$1024,0))</f>
        <v>滨州市仁信医药有限公司</v>
      </c>
      <c r="F707" s="6">
        <f>INDEX(商业2转码!$B$2:$B$10000,MATCH(E707,商业2转码!$A$2:$A$10000,0))</f>
        <v>0</v>
      </c>
      <c r="G707" s="6" t="str">
        <f>INDEX(品种2编码!$A$2:$A$1048576,MATCH(W707,品种2编码!$D$2:$D$1048576,0))</f>
        <v>0020070000ZYLC0001</v>
      </c>
      <c r="H707" s="6" t="s">
        <v>1885</v>
      </c>
      <c r="I707" s="6" t="s">
        <v>1886</v>
      </c>
      <c r="J707" s="6" t="s">
        <v>3036</v>
      </c>
      <c r="L707" s="6" t="s">
        <v>2380</v>
      </c>
      <c r="M707" s="6">
        <f>INDEX(医院2县区2人!$B$2:$B$1048576,MATCH(L707,医院2县区2人!$A$2:$A$1048576,0))</f>
        <v>2</v>
      </c>
      <c r="N707" s="6" t="str">
        <f>INDEX(医院2县区2人!$C$2:$C$1048576,MATCH(L707,医院2县区2人!$A$2:$A$1048576,0))</f>
        <v>1855</v>
      </c>
      <c r="P707" s="7">
        <v>43279.741898148146</v>
      </c>
      <c r="Q707" s="6">
        <v>2</v>
      </c>
      <c r="R707" s="6">
        <v>29</v>
      </c>
      <c r="S707" s="6">
        <v>180104</v>
      </c>
      <c r="T707" s="6" t="str">
        <f>INDEX(医院2县区2人!$D$2:$D$1048576,MATCH(L707,医院2县区2人!$A$2:$A$1048576,0))</f>
        <v>201602151421097</v>
      </c>
      <c r="W707" s="6" t="str">
        <f t="shared" si="23"/>
        <v>新盖中盖高钙片2.5g*36P</v>
      </c>
      <c r="X707" s="6" t="s">
        <v>2890</v>
      </c>
    </row>
    <row r="708" spans="1:24" x14ac:dyDescent="0.15">
      <c r="A708" s="7" t="str">
        <f t="shared" si="24"/>
        <v>201806</v>
      </c>
      <c r="C708" s="6" t="str">
        <f>INDEX(工厂基础数据!$A$2:$A$1024,MATCH(X708,工厂基础数据!$D$2:$D$1024,0))</f>
        <v>02025767</v>
      </c>
      <c r="E708" s="6" t="str">
        <f>INDEX(工厂基础数据!$B$2:$B$1024,MATCH(X708,工厂基础数据!$D$2:$D$1024,0))</f>
        <v>滨州市仁信医药有限公司</v>
      </c>
      <c r="F708" s="6">
        <f>INDEX(商业2转码!$B$2:$B$10000,MATCH(E708,商业2转码!$A$2:$A$10000,0))</f>
        <v>0</v>
      </c>
      <c r="G708" s="6" t="str">
        <f>INDEX(品种2编码!$A$2:$A$1048576,MATCH(W708,品种2编码!$D$2:$D$1048576,0))</f>
        <v>0020070000ZYLC0001</v>
      </c>
      <c r="H708" s="6" t="s">
        <v>1885</v>
      </c>
      <c r="I708" s="6" t="s">
        <v>1886</v>
      </c>
      <c r="J708" s="6" t="s">
        <v>3036</v>
      </c>
      <c r="L708" s="6" t="s">
        <v>2213</v>
      </c>
      <c r="M708" s="6">
        <f>INDEX(医院2县区2人!$B$2:$B$1048576,MATCH(L708,医院2县区2人!$A$2:$A$1048576,0))</f>
        <v>4</v>
      </c>
      <c r="N708" s="6" t="str">
        <f>INDEX(医院2县区2人!$C$2:$C$1048576,MATCH(L708,医院2县区2人!$A$2:$A$1048576,0))</f>
        <v>1857</v>
      </c>
      <c r="P708" s="7">
        <v>43279.742152777777</v>
      </c>
      <c r="Q708" s="6">
        <v>5</v>
      </c>
      <c r="R708" s="6">
        <v>29</v>
      </c>
      <c r="S708" s="6">
        <v>180104</v>
      </c>
      <c r="T708" s="6" t="str">
        <f>INDEX(医院2县区2人!$D$2:$D$1048576,MATCH(L708,医院2县区2人!$A$2:$A$1048576,0))</f>
        <v>201602151421097</v>
      </c>
      <c r="W708" s="6" t="str">
        <f t="shared" si="23"/>
        <v>新盖中盖高钙片2.5g*36P</v>
      </c>
      <c r="X708" s="6" t="s">
        <v>2890</v>
      </c>
    </row>
    <row r="709" spans="1:24" x14ac:dyDescent="0.15">
      <c r="A709" s="7" t="str">
        <f t="shared" si="24"/>
        <v>201806</v>
      </c>
      <c r="C709" s="6" t="str">
        <f>INDEX(工厂基础数据!$A$2:$A$1024,MATCH(X709,工厂基础数据!$D$2:$D$1024,0))</f>
        <v>02025767</v>
      </c>
      <c r="E709" s="6" t="str">
        <f>INDEX(工厂基础数据!$B$2:$B$1024,MATCH(X709,工厂基础数据!$D$2:$D$1024,0))</f>
        <v>滨州市仁信医药有限公司</v>
      </c>
      <c r="F709" s="6">
        <f>INDEX(商业2转码!$B$2:$B$10000,MATCH(E709,商业2转码!$A$2:$A$10000,0))</f>
        <v>0</v>
      </c>
      <c r="G709" s="6" t="str">
        <f>INDEX(品种2编码!$A$2:$A$1048576,MATCH(W709,品种2编码!$D$2:$D$1048576,0))</f>
        <v>0020070000ZYLC0001</v>
      </c>
      <c r="H709" s="6" t="s">
        <v>1885</v>
      </c>
      <c r="I709" s="6" t="s">
        <v>1886</v>
      </c>
      <c r="J709" s="6" t="s">
        <v>3036</v>
      </c>
      <c r="L709" s="6" t="s">
        <v>2205</v>
      </c>
      <c r="M709" s="6">
        <f>INDEX(医院2县区2人!$B$2:$B$1048576,MATCH(L709,医院2县区2人!$A$2:$A$1048576,0))</f>
        <v>2</v>
      </c>
      <c r="N709" s="6" t="str">
        <f>INDEX(医院2县区2人!$C$2:$C$1048576,MATCH(L709,医院2县区2人!$A$2:$A$1048576,0))</f>
        <v>1855</v>
      </c>
      <c r="P709" s="7">
        <v>43279.74181712963</v>
      </c>
      <c r="Q709" s="6">
        <v>3</v>
      </c>
      <c r="R709" s="6">
        <v>29</v>
      </c>
      <c r="S709" s="6">
        <v>180104</v>
      </c>
      <c r="T709" s="6" t="str">
        <f>INDEX(医院2县区2人!$D$2:$D$1048576,MATCH(L709,医院2县区2人!$A$2:$A$1048576,0))</f>
        <v>201602151421097</v>
      </c>
      <c r="W709" s="6" t="str">
        <f t="shared" ref="W709:W771" si="25">H709&amp;I709</f>
        <v>新盖中盖高钙片2.5g*36P</v>
      </c>
      <c r="X709" s="6" t="s">
        <v>2890</v>
      </c>
    </row>
    <row r="710" spans="1:24" x14ac:dyDescent="0.15">
      <c r="A710" s="7" t="str">
        <f t="shared" ref="A710:A772" si="26">IF(MONTH(P710)&lt;10,YEAR(P710)&amp;"0"&amp;MONTH(P710),YEAR(P710)&amp;MONTH(P710))</f>
        <v>201806</v>
      </c>
      <c r="C710" s="6" t="str">
        <f>INDEX(工厂基础数据!$A$2:$A$1024,MATCH(X710,工厂基础数据!$D$2:$D$1024,0))</f>
        <v>02025767</v>
      </c>
      <c r="E710" s="6" t="str">
        <f>INDEX(工厂基础数据!$B$2:$B$1024,MATCH(X710,工厂基础数据!$D$2:$D$1024,0))</f>
        <v>滨州市仁信医药有限公司</v>
      </c>
      <c r="F710" s="6">
        <f>INDEX(商业2转码!$B$2:$B$10000,MATCH(E710,商业2转码!$A$2:$A$10000,0))</f>
        <v>0</v>
      </c>
      <c r="G710" s="6" t="str">
        <f>INDEX(品种2编码!$A$2:$A$1048576,MATCH(W710,品种2编码!$D$2:$D$1048576,0))</f>
        <v>0020030020SJSC0004</v>
      </c>
      <c r="H710" s="6" t="s">
        <v>1907</v>
      </c>
      <c r="I710" s="6" t="s">
        <v>1871</v>
      </c>
      <c r="J710" s="6" t="s">
        <v>3045</v>
      </c>
      <c r="L710" s="6" t="s">
        <v>2617</v>
      </c>
      <c r="M710" s="6">
        <f>INDEX(医院2县区2人!$B$2:$B$1048576,MATCH(L710,医院2县区2人!$A$2:$A$1048576,0))</f>
        <v>1</v>
      </c>
      <c r="N710" s="6" t="str">
        <f>INDEX(医院2县区2人!$C$2:$C$1048576,MATCH(L710,医院2县区2人!$A$2:$A$1048576,0))</f>
        <v>1855</v>
      </c>
      <c r="P710" s="7">
        <v>43279.742071759261</v>
      </c>
      <c r="Q710" s="6">
        <v>5</v>
      </c>
      <c r="R710" s="6">
        <v>12.5</v>
      </c>
      <c r="S710" s="6">
        <v>1803006</v>
      </c>
      <c r="T710" s="6" t="str">
        <f>INDEX(医院2县区2人!$D$2:$D$1048576,MATCH(L710,医院2县区2人!$A$2:$A$1048576,0))</f>
        <v>201602151421097</v>
      </c>
      <c r="W710" s="6" t="str">
        <f t="shared" si="25"/>
        <v>胃必治/复方铝酸铋片50片</v>
      </c>
      <c r="X710" s="6" t="s">
        <v>2890</v>
      </c>
    </row>
    <row r="711" spans="1:24" x14ac:dyDescent="0.15">
      <c r="A711" s="7" t="str">
        <f t="shared" si="26"/>
        <v>201806</v>
      </c>
      <c r="C711" s="6" t="str">
        <f>INDEX(工厂基础数据!$A$2:$A$1024,MATCH(X711,工厂基础数据!$D$2:$D$1024,0))</f>
        <v>02025767</v>
      </c>
      <c r="E711" s="6" t="str">
        <f>INDEX(工厂基础数据!$B$2:$B$1024,MATCH(X711,工厂基础数据!$D$2:$D$1024,0))</f>
        <v>滨州市仁信医药有限公司</v>
      </c>
      <c r="F711" s="6">
        <f>INDEX(商业2转码!$B$2:$B$10000,MATCH(E711,商业2转码!$A$2:$A$10000,0))</f>
        <v>0</v>
      </c>
      <c r="G711" s="6" t="str">
        <f>INDEX(品种2编码!$A$2:$A$1048576,MATCH(W711,品种2编码!$D$2:$D$1048576,0))</f>
        <v>0020020020ZYLC0003</v>
      </c>
      <c r="H711" s="6" t="s">
        <v>1940</v>
      </c>
      <c r="I711" s="6" t="s">
        <v>1941</v>
      </c>
      <c r="J711" s="6" t="s">
        <v>3036</v>
      </c>
      <c r="L711" s="6" t="s">
        <v>2645</v>
      </c>
      <c r="M711" s="6">
        <f>INDEX(医院2县区2人!$B$2:$B$1048576,MATCH(L711,医院2县区2人!$A$2:$A$1048576,0))</f>
        <v>2</v>
      </c>
      <c r="N711" s="6" t="str">
        <f>INDEX(医院2县区2人!$C$2:$C$1048576,MATCH(L711,医院2县区2人!$A$2:$A$1048576,0))</f>
        <v>1855</v>
      </c>
      <c r="P711" s="7">
        <v>43280.750937500001</v>
      </c>
      <c r="Q711" s="6">
        <v>5</v>
      </c>
      <c r="R711" s="6">
        <v>9</v>
      </c>
      <c r="S711" s="6">
        <v>161103</v>
      </c>
      <c r="T711" s="6" t="str">
        <f>INDEX(医院2县区2人!$D$2:$D$1048576,MATCH(L711,医院2县区2人!$A$2:$A$1048576,0))</f>
        <v>201602151421097</v>
      </c>
      <c r="W711" s="6" t="str">
        <f t="shared" si="25"/>
        <v>泻立停片/颠茄磺苄啶片0.4g：80mg：8mg*12片</v>
      </c>
      <c r="X711" s="6" t="s">
        <v>2890</v>
      </c>
    </row>
    <row r="712" spans="1:24" x14ac:dyDescent="0.15">
      <c r="A712" s="7" t="str">
        <f t="shared" si="26"/>
        <v>201806</v>
      </c>
      <c r="C712" s="6" t="str">
        <f>INDEX(工厂基础数据!$A$2:$A$1024,MATCH(X712,工厂基础数据!$D$2:$D$1024,0))</f>
        <v>02025767</v>
      </c>
      <c r="E712" s="6" t="str">
        <f>INDEX(工厂基础数据!$B$2:$B$1024,MATCH(X712,工厂基础数据!$D$2:$D$1024,0))</f>
        <v>滨州市仁信医药有限公司</v>
      </c>
      <c r="F712" s="6">
        <f>INDEX(商业2转码!$B$2:$B$10000,MATCH(E712,商业2转码!$A$2:$A$10000,0))</f>
        <v>0</v>
      </c>
      <c r="G712" s="6" t="str">
        <f>INDEX(品种2编码!$A$2:$A$1048576,MATCH(W712,品种2编码!$D$2:$D$1048576,0))</f>
        <v>0020030001SJZY0009</v>
      </c>
      <c r="H712" s="6" t="s">
        <v>555</v>
      </c>
      <c r="I712" s="6" t="s">
        <v>1889</v>
      </c>
      <c r="J712" s="6" t="s">
        <v>3039</v>
      </c>
      <c r="L712" s="6" t="s">
        <v>2584</v>
      </c>
      <c r="M712" s="6">
        <f>INDEX(医院2县区2人!$B$2:$B$1048576,MATCH(L712,医院2县区2人!$A$2:$A$1048576,0))</f>
        <v>1</v>
      </c>
      <c r="N712" s="6" t="str">
        <f>INDEX(医院2县区2人!$C$2:$C$1048576,MATCH(L712,医院2县区2人!$A$2:$A$1048576,0))</f>
        <v>1858</v>
      </c>
      <c r="P712" s="7">
        <v>43280.751087962963</v>
      </c>
      <c r="Q712" s="6">
        <v>20</v>
      </c>
      <c r="R712" s="6">
        <v>25</v>
      </c>
      <c r="S712" s="6">
        <v>18031227</v>
      </c>
      <c r="T712" s="6" t="str">
        <f>INDEX(医院2县区2人!$D$2:$D$1048576,MATCH(L712,医院2县区2人!$A$2:$A$1048576,0))</f>
        <v>201602151421097</v>
      </c>
      <c r="W712" s="6" t="str">
        <f t="shared" si="25"/>
        <v>葡萄糖酸锌口服液10ML*12支</v>
      </c>
      <c r="X712" s="6" t="s">
        <v>2890</v>
      </c>
    </row>
    <row r="713" spans="1:24" x14ac:dyDescent="0.15">
      <c r="A713" s="7" t="str">
        <f t="shared" si="26"/>
        <v>201806</v>
      </c>
      <c r="C713" s="6" t="str">
        <f>INDEX(工厂基础数据!$A$2:$A$1024,MATCH(X713,工厂基础数据!$D$2:$D$1024,0))</f>
        <v>02025767</v>
      </c>
      <c r="E713" s="6" t="str">
        <f>INDEX(工厂基础数据!$B$2:$B$1024,MATCH(X713,工厂基础数据!$D$2:$D$1024,0))</f>
        <v>滨州市仁信医药有限公司</v>
      </c>
      <c r="F713" s="6">
        <f>INDEX(商业2转码!$B$2:$B$10000,MATCH(E713,商业2转码!$A$2:$A$10000,0))</f>
        <v>0</v>
      </c>
      <c r="G713" s="6" t="str">
        <f>INDEX(品种2编码!$A$2:$A$1048576,MATCH(W713,品种2编码!$D$2:$D$1048576,0))</f>
        <v>0020030001SJZY0009</v>
      </c>
      <c r="H713" s="6" t="s">
        <v>555</v>
      </c>
      <c r="I713" s="6" t="s">
        <v>1889</v>
      </c>
      <c r="J713" s="6" t="s">
        <v>3039</v>
      </c>
      <c r="L713" s="6" t="s">
        <v>2330</v>
      </c>
      <c r="M713" s="6">
        <f>INDEX(医院2县区2人!$B$2:$B$1048576,MATCH(L713,医院2县区2人!$A$2:$A$1048576,0))</f>
        <v>1</v>
      </c>
      <c r="N713" s="6" t="str">
        <f>INDEX(医院2县区2人!$C$2:$C$1048576,MATCH(L713,医院2县区2人!$A$2:$A$1048576,0))</f>
        <v>1853</v>
      </c>
      <c r="P713" s="7">
        <v>43280.750972222224</v>
      </c>
      <c r="Q713" s="6">
        <v>20</v>
      </c>
      <c r="R713" s="6">
        <v>25</v>
      </c>
      <c r="S713" s="6">
        <v>18031227</v>
      </c>
      <c r="T713" s="6" t="str">
        <f>INDEX(医院2县区2人!$D$2:$D$1048576,MATCH(L713,医院2县区2人!$A$2:$A$1048576,0))</f>
        <v>201602151421097</v>
      </c>
      <c r="W713" s="6" t="str">
        <f t="shared" si="25"/>
        <v>葡萄糖酸锌口服液10ML*12支</v>
      </c>
      <c r="X713" s="6" t="s">
        <v>2890</v>
      </c>
    </row>
    <row r="714" spans="1:24" x14ac:dyDescent="0.15">
      <c r="A714" s="7" t="str">
        <f t="shared" si="26"/>
        <v>201806</v>
      </c>
      <c r="C714" s="6" t="str">
        <f>INDEX(工厂基础数据!$A$2:$A$1024,MATCH(X714,工厂基础数据!$D$2:$D$1024,0))</f>
        <v>02025767</v>
      </c>
      <c r="E714" s="6" t="str">
        <f>INDEX(工厂基础数据!$B$2:$B$1024,MATCH(X714,工厂基础数据!$D$2:$D$1024,0))</f>
        <v>滨州市仁信医药有限公司</v>
      </c>
      <c r="F714" s="6">
        <f>INDEX(商业2转码!$B$2:$B$10000,MATCH(E714,商业2转码!$A$2:$A$10000,0))</f>
        <v>0</v>
      </c>
      <c r="G714" s="6" t="str">
        <f>INDEX(品种2编码!$A$2:$A$1048576,MATCH(W714,品种2编码!$D$2:$D$1048576,0))</f>
        <v>0020030001SJZY0006</v>
      </c>
      <c r="H714" s="6" t="s">
        <v>1888</v>
      </c>
      <c r="I714" s="6" t="s">
        <v>411</v>
      </c>
      <c r="J714" s="6" t="s">
        <v>3040</v>
      </c>
      <c r="L714" s="6" t="s">
        <v>2266</v>
      </c>
      <c r="M714" s="6">
        <f>INDEX(医院2县区2人!$B$2:$B$1048576,MATCH(L714,医院2县区2人!$A$2:$A$1048576,0))</f>
        <v>4</v>
      </c>
      <c r="N714" s="6" t="str">
        <f>INDEX(医院2县区2人!$C$2:$C$1048576,MATCH(L714,医院2县区2人!$A$2:$A$1048576,0))</f>
        <v>1856</v>
      </c>
      <c r="P714" s="7">
        <v>43280.751238425924</v>
      </c>
      <c r="Q714" s="6">
        <v>30</v>
      </c>
      <c r="R714" s="6">
        <v>25</v>
      </c>
      <c r="S714" s="6">
        <v>17071042</v>
      </c>
      <c r="T714" s="6" t="str">
        <f>INDEX(医院2县区2人!$D$2:$D$1048576,MATCH(L714,医院2县区2人!$A$2:$A$1048576,0))</f>
        <v>201602151421097</v>
      </c>
      <c r="W714" s="6" t="str">
        <f t="shared" si="25"/>
        <v>葡萄糖酸钙口服溶液（含糖）10ml*12支</v>
      </c>
      <c r="X714" s="6" t="s">
        <v>2890</v>
      </c>
    </row>
    <row r="715" spans="1:24" x14ac:dyDescent="0.15">
      <c r="A715" s="7" t="str">
        <f t="shared" si="26"/>
        <v>201806</v>
      </c>
      <c r="C715" s="6" t="str">
        <f>INDEX(工厂基础数据!$A$2:$A$1024,MATCH(X715,工厂基础数据!$D$2:$D$1024,0))</f>
        <v>02025767</v>
      </c>
      <c r="E715" s="6" t="str">
        <f>INDEX(工厂基础数据!$B$2:$B$1024,MATCH(X715,工厂基础数据!$D$2:$D$1024,0))</f>
        <v>滨州市仁信医药有限公司</v>
      </c>
      <c r="F715" s="6">
        <f>INDEX(商业2转码!$B$2:$B$10000,MATCH(E715,商业2转码!$A$2:$A$10000,0))</f>
        <v>0</v>
      </c>
      <c r="G715" s="6" t="str">
        <f>INDEX(品种2编码!$A$2:$A$1048576,MATCH(W715,品种2编码!$D$2:$D$1048576,0))</f>
        <v>0020030020SJSC0004</v>
      </c>
      <c r="H715" s="6" t="s">
        <v>1907</v>
      </c>
      <c r="I715" s="6" t="s">
        <v>1871</v>
      </c>
      <c r="J715" s="6" t="s">
        <v>3045</v>
      </c>
      <c r="L715" s="6" t="s">
        <v>2266</v>
      </c>
      <c r="M715" s="6">
        <f>INDEX(医院2县区2人!$B$2:$B$1048576,MATCH(L715,医院2县区2人!$A$2:$A$1048576,0))</f>
        <v>4</v>
      </c>
      <c r="N715" s="6" t="str">
        <f>INDEX(医院2县区2人!$C$2:$C$1048576,MATCH(L715,医院2县区2人!$A$2:$A$1048576,0))</f>
        <v>1856</v>
      </c>
      <c r="P715" s="7">
        <v>43280.751250000001</v>
      </c>
      <c r="Q715" s="6">
        <v>5</v>
      </c>
      <c r="R715" s="6">
        <v>12.5</v>
      </c>
      <c r="S715" s="6">
        <v>1803006</v>
      </c>
      <c r="T715" s="6" t="str">
        <f>INDEX(医院2县区2人!$D$2:$D$1048576,MATCH(L715,医院2县区2人!$A$2:$A$1048576,0))</f>
        <v>201602151421097</v>
      </c>
      <c r="W715" s="6" t="str">
        <f t="shared" si="25"/>
        <v>胃必治/复方铝酸铋片50片</v>
      </c>
      <c r="X715" s="6" t="s">
        <v>2890</v>
      </c>
    </row>
    <row r="716" spans="1:24" x14ac:dyDescent="0.15">
      <c r="A716" s="7" t="str">
        <f t="shared" si="26"/>
        <v>201806</v>
      </c>
      <c r="C716" s="6" t="str">
        <f>INDEX(工厂基础数据!$A$2:$A$1024,MATCH(X716,工厂基础数据!$D$2:$D$1024,0))</f>
        <v>02025767</v>
      </c>
      <c r="E716" s="6" t="str">
        <f>INDEX(工厂基础数据!$B$2:$B$1024,MATCH(X716,工厂基础数据!$D$2:$D$1024,0))</f>
        <v>滨州市仁信医药有限公司</v>
      </c>
      <c r="F716" s="6">
        <f>INDEX(商业2转码!$B$2:$B$10000,MATCH(E716,商业2转码!$A$2:$A$10000,0))</f>
        <v>0</v>
      </c>
      <c r="G716" s="6" t="str">
        <f>INDEX(品种2编码!$A$2:$A$1048576,MATCH(W716,品种2编码!$D$2:$D$1048576,0))</f>
        <v>0020070001ZYZC0383</v>
      </c>
      <c r="H716" s="6" t="s">
        <v>1849</v>
      </c>
      <c r="I716" s="6" t="s">
        <v>1850</v>
      </c>
      <c r="J716" s="6" t="s">
        <v>3038</v>
      </c>
      <c r="L716" s="6" t="s">
        <v>2680</v>
      </c>
      <c r="M716" s="6">
        <f>INDEX(医院2县区2人!$B$2:$B$1048576,MATCH(L716,医院2县区2人!$A$2:$A$1048576,0))</f>
        <v>2</v>
      </c>
      <c r="N716" s="6" t="str">
        <f>INDEX(医院2县区2人!$C$2:$C$1048576,MATCH(L716,医院2县区2人!$A$2:$A$1048576,0))</f>
        <v>1853</v>
      </c>
      <c r="P716" s="7">
        <v>43280.750937500001</v>
      </c>
      <c r="Q716" s="6">
        <v>3</v>
      </c>
      <c r="R716" s="6">
        <v>15</v>
      </c>
      <c r="S716" s="6">
        <v>1802005</v>
      </c>
      <c r="T716" s="6" t="str">
        <f>INDEX(医院2县区2人!$D$2:$D$1048576,MATCH(L716,医院2县区2人!$A$2:$A$1048576,0))</f>
        <v>201602151421097</v>
      </c>
      <c r="W716" s="6" t="str">
        <f t="shared" si="25"/>
        <v>哈药牌钙铁锌口服液10ml*10支</v>
      </c>
      <c r="X716" s="6" t="s">
        <v>2890</v>
      </c>
    </row>
    <row r="717" spans="1:24" x14ac:dyDescent="0.15">
      <c r="A717" s="7" t="str">
        <f t="shared" si="26"/>
        <v>201806</v>
      </c>
      <c r="C717" s="6" t="str">
        <f>INDEX(工厂基础数据!$A$2:$A$1024,MATCH(X717,工厂基础数据!$D$2:$D$1024,0))</f>
        <v>02025767</v>
      </c>
      <c r="E717" s="6" t="str">
        <f>INDEX(工厂基础数据!$B$2:$B$1024,MATCH(X717,工厂基础数据!$D$2:$D$1024,0))</f>
        <v>滨州市仁信医药有限公司</v>
      </c>
      <c r="F717" s="6">
        <f>INDEX(商业2转码!$B$2:$B$10000,MATCH(E717,商业2转码!$A$2:$A$10000,0))</f>
        <v>0</v>
      </c>
      <c r="G717" s="6" t="str">
        <f>INDEX(品种2编码!$A$2:$A$1048576,MATCH(W717,品种2编码!$D$2:$D$1048576,0))</f>
        <v>0020040220SHYT0004</v>
      </c>
      <c r="H717" s="6" t="s">
        <v>1857</v>
      </c>
      <c r="I717" s="6" t="s">
        <v>1893</v>
      </c>
      <c r="J717" s="6" t="s">
        <v>3037</v>
      </c>
      <c r="L717" s="6" t="s">
        <v>2230</v>
      </c>
      <c r="M717" s="6">
        <f>INDEX(医院2县区2人!$B$2:$B$1048576,MATCH(L717,医院2县区2人!$A$2:$A$1048576,0))</f>
        <v>1</v>
      </c>
      <c r="N717" s="6" t="str">
        <f>INDEX(医院2县区2人!$C$2:$C$1048576,MATCH(L717,医院2县区2人!$A$2:$A$1048576,0))</f>
        <v>1855</v>
      </c>
      <c r="P717" s="7">
        <v>43280.751168981478</v>
      </c>
      <c r="Q717" s="6">
        <v>5</v>
      </c>
      <c r="R717" s="6">
        <v>17</v>
      </c>
      <c r="S717" s="6">
        <v>1705419</v>
      </c>
      <c r="T717" s="6" t="str">
        <f>INDEX(医院2县区2人!$D$2:$D$1048576,MATCH(L717,医院2县区2人!$A$2:$A$1048576,0))</f>
        <v>201602151421097</v>
      </c>
      <c r="W717" s="6" t="str">
        <f t="shared" si="25"/>
        <v>妇宁栓1.6g*8枚</v>
      </c>
      <c r="X717" s="6" t="s">
        <v>2890</v>
      </c>
    </row>
    <row r="718" spans="1:24" x14ac:dyDescent="0.15">
      <c r="A718" s="7" t="str">
        <f t="shared" si="26"/>
        <v>201806</v>
      </c>
      <c r="C718" s="6" t="str">
        <f>INDEX(工厂基础数据!$A$2:$A$1024,MATCH(X718,工厂基础数据!$D$2:$D$1024,0))</f>
        <v>02025767</v>
      </c>
      <c r="E718" s="6" t="str">
        <f>INDEX(工厂基础数据!$B$2:$B$1024,MATCH(X718,工厂基础数据!$D$2:$D$1024,0))</f>
        <v>滨州市仁信医药有限公司</v>
      </c>
      <c r="F718" s="6">
        <f>INDEX(商业2转码!$B$2:$B$10000,MATCH(E718,商业2转码!$A$2:$A$10000,0))</f>
        <v>0</v>
      </c>
      <c r="G718" s="6" t="str">
        <f>INDEX(品种2编码!$A$2:$A$1048576,MATCH(W718,品种2编码!$D$2:$D$1048576,0))</f>
        <v>0020020021ZYLC0011</v>
      </c>
      <c r="H718" s="6" t="s">
        <v>1890</v>
      </c>
      <c r="I718" s="6" t="s">
        <v>1891</v>
      </c>
      <c r="J718" s="6" t="s">
        <v>3036</v>
      </c>
      <c r="L718" s="6" t="s">
        <v>2230</v>
      </c>
      <c r="M718" s="6">
        <f>INDEX(医院2县区2人!$B$2:$B$1048576,MATCH(L718,医院2县区2人!$A$2:$A$1048576,0))</f>
        <v>1</v>
      </c>
      <c r="N718" s="6" t="str">
        <f>INDEX(医院2县区2人!$C$2:$C$1048576,MATCH(L718,医院2县区2人!$A$2:$A$1048576,0))</f>
        <v>1855</v>
      </c>
      <c r="P718" s="7">
        <v>43280.751180555555</v>
      </c>
      <c r="Q718" s="6">
        <v>50</v>
      </c>
      <c r="R718" s="6">
        <v>4</v>
      </c>
      <c r="S718" s="6">
        <v>161102</v>
      </c>
      <c r="T718" s="6" t="str">
        <f>INDEX(医院2县区2人!$D$2:$D$1048576,MATCH(L718,医院2县区2人!$A$2:$A$1048576,0))</f>
        <v>201602151421097</v>
      </c>
      <c r="W718" s="6" t="str">
        <f t="shared" si="25"/>
        <v>严迪/罗红霉素分散片150mg*12片</v>
      </c>
      <c r="X718" s="6" t="s">
        <v>2890</v>
      </c>
    </row>
    <row r="719" spans="1:24" x14ac:dyDescent="0.15">
      <c r="A719" s="7" t="str">
        <f t="shared" si="26"/>
        <v>201806</v>
      </c>
      <c r="C719" s="6" t="str">
        <f>INDEX(工厂基础数据!$A$2:$A$1024,MATCH(X719,工厂基础数据!$D$2:$D$1024,0))</f>
        <v>02025767</v>
      </c>
      <c r="E719" s="6" t="str">
        <f>INDEX(工厂基础数据!$B$2:$B$1024,MATCH(X719,工厂基础数据!$D$2:$D$1024,0))</f>
        <v>滨州市仁信医药有限公司</v>
      </c>
      <c r="F719" s="6">
        <f>INDEX(商业2转码!$B$2:$B$10000,MATCH(E719,商业2转码!$A$2:$A$10000,0))</f>
        <v>0</v>
      </c>
      <c r="G719" s="6" t="str">
        <f>INDEX(品种2编码!$A$2:$A$1048576,MATCH(W719,品种2编码!$D$2:$D$1048576,0))</f>
        <v>0020030001SJZY0006</v>
      </c>
      <c r="H719" s="6" t="s">
        <v>1888</v>
      </c>
      <c r="I719" s="6" t="s">
        <v>411</v>
      </c>
      <c r="J719" s="6" t="s">
        <v>3040</v>
      </c>
      <c r="L719" s="6" t="s">
        <v>2225</v>
      </c>
      <c r="M719" s="6">
        <f>INDEX(医院2县区2人!$B$2:$B$1048576,MATCH(L719,医院2县区2人!$A$2:$A$1048576,0))</f>
        <v>1</v>
      </c>
      <c r="N719" s="6" t="str">
        <f>INDEX(医院2县区2人!$C$2:$C$1048576,MATCH(L719,医院2县区2人!$A$2:$A$1048576,0))</f>
        <v>1853</v>
      </c>
      <c r="P719" s="7">
        <v>43280.75104166667</v>
      </c>
      <c r="Q719" s="6">
        <v>20</v>
      </c>
      <c r="R719" s="6">
        <v>25</v>
      </c>
      <c r="S719" s="6">
        <v>17071042</v>
      </c>
      <c r="T719" s="6" t="str">
        <f>INDEX(医院2县区2人!$D$2:$D$1048576,MATCH(L719,医院2县区2人!$A$2:$A$1048576,0))</f>
        <v>201602151421097</v>
      </c>
      <c r="W719" s="6" t="str">
        <f t="shared" si="25"/>
        <v>葡萄糖酸钙口服溶液（含糖）10ml*12支</v>
      </c>
      <c r="X719" s="6" t="s">
        <v>2890</v>
      </c>
    </row>
    <row r="720" spans="1:24" x14ac:dyDescent="0.15">
      <c r="A720" s="7" t="str">
        <f t="shared" si="26"/>
        <v>201806</v>
      </c>
      <c r="C720" s="6" t="str">
        <f>INDEX(工厂基础数据!$A$2:$A$1024,MATCH(X720,工厂基础数据!$D$2:$D$1024,0))</f>
        <v>02025767</v>
      </c>
      <c r="E720" s="6" t="str">
        <f>INDEX(工厂基础数据!$B$2:$B$1024,MATCH(X720,工厂基础数据!$D$2:$D$1024,0))</f>
        <v>滨州市仁信医药有限公司</v>
      </c>
      <c r="F720" s="6">
        <f>INDEX(商业2转码!$B$2:$B$10000,MATCH(E720,商业2转码!$A$2:$A$10000,0))</f>
        <v>0</v>
      </c>
      <c r="G720" s="6" t="str">
        <f>INDEX(品种2编码!$A$2:$A$1048576,MATCH(W720,品种2编码!$D$2:$D$1048576,0))</f>
        <v>0020030001SJZY0006</v>
      </c>
      <c r="H720" s="6" t="s">
        <v>1888</v>
      </c>
      <c r="I720" s="6" t="s">
        <v>411</v>
      </c>
      <c r="J720" s="6" t="s">
        <v>3040</v>
      </c>
      <c r="L720" s="6" t="s">
        <v>2283</v>
      </c>
      <c r="M720" s="6">
        <f>INDEX(医院2县区2人!$B$2:$B$1048576,MATCH(L720,医院2县区2人!$A$2:$A$1048576,0))</f>
        <v>4</v>
      </c>
      <c r="N720" s="6" t="str">
        <f>INDEX(医院2县区2人!$C$2:$C$1048576,MATCH(L720,医院2县区2人!$A$2:$A$1048576,0))</f>
        <v>1856</v>
      </c>
      <c r="P720" s="7">
        <v>43280.751261574071</v>
      </c>
      <c r="Q720" s="6">
        <v>10</v>
      </c>
      <c r="R720" s="6">
        <v>25</v>
      </c>
      <c r="S720" s="6">
        <v>17071042</v>
      </c>
      <c r="T720" s="6" t="str">
        <f>INDEX(医院2县区2人!$D$2:$D$1048576,MATCH(L720,医院2县区2人!$A$2:$A$1048576,0))</f>
        <v>201602151421097</v>
      </c>
      <c r="W720" s="6" t="str">
        <f t="shared" si="25"/>
        <v>葡萄糖酸钙口服溶液（含糖）10ml*12支</v>
      </c>
      <c r="X720" s="6" t="s">
        <v>2890</v>
      </c>
    </row>
    <row r="721" spans="1:24" x14ac:dyDescent="0.15">
      <c r="A721" s="7" t="str">
        <f t="shared" si="26"/>
        <v>201806</v>
      </c>
      <c r="C721" s="6" t="str">
        <f>INDEX(工厂基础数据!$A$2:$A$1024,MATCH(X721,工厂基础数据!$D$2:$D$1024,0))</f>
        <v>02025767</v>
      </c>
      <c r="E721" s="6" t="str">
        <f>INDEX(工厂基础数据!$B$2:$B$1024,MATCH(X721,工厂基础数据!$D$2:$D$1024,0))</f>
        <v>滨州市仁信医药有限公司</v>
      </c>
      <c r="F721" s="6">
        <f>INDEX(商业2转码!$B$2:$B$10000,MATCH(E721,商业2转码!$A$2:$A$10000,0))</f>
        <v>0</v>
      </c>
      <c r="G721" s="6" t="str">
        <f>INDEX(品种2编码!$A$2:$A$1048576,MATCH(W721,品种2编码!$D$2:$D$1048576,0))</f>
        <v>0020030020SJSC0004</v>
      </c>
      <c r="H721" s="6" t="s">
        <v>1907</v>
      </c>
      <c r="I721" s="6" t="s">
        <v>1871</v>
      </c>
      <c r="J721" s="6" t="s">
        <v>3045</v>
      </c>
      <c r="L721" s="6" t="s">
        <v>2321</v>
      </c>
      <c r="M721" s="6">
        <f>INDEX(医院2县区2人!$B$2:$B$1048576,MATCH(L721,医院2县区2人!$A$2:$A$1048576,0))</f>
        <v>2</v>
      </c>
      <c r="N721" s="6" t="str">
        <f>INDEX(医院2县区2人!$C$2:$C$1048576,MATCH(L721,医院2县区2人!$A$2:$A$1048576,0))</f>
        <v>1853</v>
      </c>
      <c r="P721" s="7">
        <v>43280.751122685186</v>
      </c>
      <c r="Q721" s="6">
        <v>5</v>
      </c>
      <c r="R721" s="6">
        <v>12.5</v>
      </c>
      <c r="S721" s="6">
        <v>1803006</v>
      </c>
      <c r="T721" s="6" t="str">
        <f>INDEX(医院2县区2人!$D$2:$D$1048576,MATCH(L721,医院2县区2人!$A$2:$A$1048576,0))</f>
        <v>201602151421097</v>
      </c>
      <c r="W721" s="6" t="str">
        <f t="shared" si="25"/>
        <v>胃必治/复方铝酸铋片50片</v>
      </c>
      <c r="X721" s="6" t="s">
        <v>2890</v>
      </c>
    </row>
    <row r="722" spans="1:24" x14ac:dyDescent="0.15">
      <c r="A722" s="7" t="str">
        <f t="shared" si="26"/>
        <v>201806</v>
      </c>
      <c r="C722" s="6" t="str">
        <f>INDEX(工厂基础数据!$A$2:$A$1024,MATCH(X722,工厂基础数据!$D$2:$D$1024,0))</f>
        <v>02025767</v>
      </c>
      <c r="E722" s="6" t="str">
        <f>INDEX(工厂基础数据!$B$2:$B$1024,MATCH(X722,工厂基础数据!$D$2:$D$1024,0))</f>
        <v>滨州市仁信医药有限公司</v>
      </c>
      <c r="F722" s="6">
        <f>INDEX(商业2转码!$B$2:$B$10000,MATCH(E722,商业2转码!$A$2:$A$10000,0))</f>
        <v>0</v>
      </c>
      <c r="G722" s="6" t="str">
        <f>INDEX(品种2编码!$A$2:$A$1048576,MATCH(W722,品种2编码!$D$2:$D$1048576,0))</f>
        <v>0020040001SHYT0027</v>
      </c>
      <c r="H722" s="6" t="s">
        <v>313</v>
      </c>
      <c r="I722" s="6" t="s">
        <v>444</v>
      </c>
      <c r="J722" s="6" t="s">
        <v>3037</v>
      </c>
      <c r="L722" s="6" t="s">
        <v>3029</v>
      </c>
      <c r="M722" s="6" t="e">
        <f>INDEX(医院2县区2人!$B$2:$B$1048576,MATCH(L722,医院2县区2人!$A$2:$A$1048576,0))</f>
        <v>#N/A</v>
      </c>
      <c r="N722" s="6" t="e">
        <f>INDEX(医院2县区2人!$C$2:$C$1048576,MATCH(L722,医院2县区2人!$A$2:$A$1048576,0))</f>
        <v>#N/A</v>
      </c>
      <c r="P722" s="7">
        <v>43280.751203703701</v>
      </c>
      <c r="Q722" s="6">
        <v>3</v>
      </c>
      <c r="R722" s="6">
        <v>10</v>
      </c>
      <c r="S722" s="6">
        <v>1606101</v>
      </c>
      <c r="T722" s="6" t="e">
        <f>INDEX(医院2县区2人!$D$2:$D$1048576,MATCH(L722,医院2县区2人!$A$2:$A$1048576,0))</f>
        <v>#N/A</v>
      </c>
      <c r="W722" s="6" t="str">
        <f t="shared" si="25"/>
        <v>柏子养心丸9g*10丸</v>
      </c>
      <c r="X722" s="6" t="s">
        <v>2890</v>
      </c>
    </row>
    <row r="723" spans="1:24" x14ac:dyDescent="0.15">
      <c r="A723" s="7" t="str">
        <f t="shared" si="26"/>
        <v>201806</v>
      </c>
      <c r="C723" s="6" t="str">
        <f>INDEX(工厂基础数据!$A$2:$A$1024,MATCH(X723,工厂基础数据!$D$2:$D$1024,0))</f>
        <v>02025767</v>
      </c>
      <c r="E723" s="6" t="str">
        <f>INDEX(工厂基础数据!$B$2:$B$1024,MATCH(X723,工厂基础数据!$D$2:$D$1024,0))</f>
        <v>滨州市仁信医药有限公司</v>
      </c>
      <c r="F723" s="6">
        <f>INDEX(商业2转码!$B$2:$B$10000,MATCH(E723,商业2转码!$A$2:$A$10000,0))</f>
        <v>0</v>
      </c>
      <c r="G723" s="6" t="str">
        <f>INDEX(品种2编码!$A$2:$A$1048576,MATCH(W723,品种2编码!$D$2:$D$1048576,0))</f>
        <v>0020020030ZYZC0264</v>
      </c>
      <c r="H723" s="6" t="s">
        <v>245</v>
      </c>
      <c r="I723" s="6" t="s">
        <v>254</v>
      </c>
      <c r="J723" s="6" t="s">
        <v>3038</v>
      </c>
      <c r="L723" s="6" t="s">
        <v>2301</v>
      </c>
      <c r="M723" s="6">
        <f>INDEX(医院2县区2人!$B$2:$B$1048576,MATCH(L723,医院2县区2人!$A$2:$A$1048576,0))</f>
        <v>1</v>
      </c>
      <c r="N723" s="6" t="str">
        <f>INDEX(医院2县区2人!$C$2:$C$1048576,MATCH(L723,医院2县区2人!$A$2:$A$1048576,0))</f>
        <v>1853</v>
      </c>
      <c r="P723" s="7">
        <v>43280.751076388886</v>
      </c>
      <c r="Q723" s="6">
        <v>20</v>
      </c>
      <c r="R723" s="6">
        <v>10</v>
      </c>
      <c r="S723" s="6" t="s">
        <v>3052</v>
      </c>
      <c r="T723" s="6" t="str">
        <f>INDEX(医院2县区2人!$D$2:$D$1048576,MATCH(L723,医院2县区2人!$A$2:$A$1048576,0))</f>
        <v>201602151421097</v>
      </c>
      <c r="W723" s="6" t="str">
        <f t="shared" si="25"/>
        <v>阿莫西林胶囊0.5g*20粒</v>
      </c>
      <c r="X723" s="6" t="s">
        <v>2890</v>
      </c>
    </row>
    <row r="724" spans="1:24" x14ac:dyDescent="0.15">
      <c r="A724" s="7" t="str">
        <f t="shared" si="26"/>
        <v>201806</v>
      </c>
      <c r="C724" s="6" t="str">
        <f>INDEX(工厂基础数据!$A$2:$A$1024,MATCH(X724,工厂基础数据!$D$2:$D$1024,0))</f>
        <v>02025767</v>
      </c>
      <c r="E724" s="6" t="str">
        <f>INDEX(工厂基础数据!$B$2:$B$1024,MATCH(X724,工厂基础数据!$D$2:$D$1024,0))</f>
        <v>滨州市仁信医药有限公司</v>
      </c>
      <c r="F724" s="6">
        <f>INDEX(商业2转码!$B$2:$B$10000,MATCH(E724,商业2转码!$A$2:$A$10000,0))</f>
        <v>0</v>
      </c>
      <c r="G724" s="6" t="str">
        <f>INDEX(品种2编码!$A$2:$A$1048576,MATCH(W724,品种2编码!$D$2:$D$1048576,0))</f>
        <v>0020070000ZYLC0001</v>
      </c>
      <c r="H724" s="6" t="s">
        <v>1885</v>
      </c>
      <c r="I724" s="6" t="s">
        <v>1886</v>
      </c>
      <c r="J724" s="6" t="s">
        <v>3036</v>
      </c>
      <c r="L724" s="6" t="s">
        <v>2357</v>
      </c>
      <c r="M724" s="6">
        <f>INDEX(医院2县区2人!$B$2:$B$1048576,MATCH(L724,医院2县区2人!$A$2:$A$1048576,0))</f>
        <v>2</v>
      </c>
      <c r="N724" s="6" t="str">
        <f>INDEX(医院2县区2人!$C$2:$C$1048576,MATCH(L724,医院2县区2人!$A$2:$A$1048576,0))</f>
        <v>1853</v>
      </c>
      <c r="P724" s="7">
        <v>43280.751030092593</v>
      </c>
      <c r="Q724" s="6">
        <v>2</v>
      </c>
      <c r="R724" s="6">
        <v>29</v>
      </c>
      <c r="S724" s="6">
        <v>180104</v>
      </c>
      <c r="T724" s="6" t="str">
        <f>INDEX(医院2县区2人!$D$2:$D$1048576,MATCH(L724,医院2县区2人!$A$2:$A$1048576,0))</f>
        <v>201602151421097</v>
      </c>
      <c r="W724" s="6" t="str">
        <f t="shared" si="25"/>
        <v>新盖中盖高钙片2.5g*36P</v>
      </c>
      <c r="X724" s="6" t="s">
        <v>2890</v>
      </c>
    </row>
    <row r="725" spans="1:24" x14ac:dyDescent="0.15">
      <c r="A725" s="7" t="str">
        <f t="shared" si="26"/>
        <v>201806</v>
      </c>
      <c r="C725" s="6" t="str">
        <f>INDEX(工厂基础数据!$A$2:$A$1024,MATCH(X725,工厂基础数据!$D$2:$D$1024,0))</f>
        <v>02025767</v>
      </c>
      <c r="E725" s="6" t="str">
        <f>INDEX(工厂基础数据!$B$2:$B$1024,MATCH(X725,工厂基础数据!$D$2:$D$1024,0))</f>
        <v>滨州市仁信医药有限公司</v>
      </c>
      <c r="F725" s="6">
        <f>INDEX(商业2转码!$B$2:$B$10000,MATCH(E725,商业2转码!$A$2:$A$10000,0))</f>
        <v>0</v>
      </c>
      <c r="G725" s="6" t="str">
        <f>INDEX(品种2编码!$A$2:$A$1048576,MATCH(W725,品种2编码!$D$2:$D$1048576,0))</f>
        <v>0020070000ZYLC0001</v>
      </c>
      <c r="H725" s="6" t="s">
        <v>1885</v>
      </c>
      <c r="I725" s="6" t="s">
        <v>1886</v>
      </c>
      <c r="J725" s="6" t="s">
        <v>3036</v>
      </c>
      <c r="L725" s="6" t="s">
        <v>2734</v>
      </c>
      <c r="M725" s="6">
        <f>INDEX(医院2县区2人!$B$2:$B$1048576,MATCH(L725,医院2县区2人!$A$2:$A$1048576,0))</f>
        <v>2</v>
      </c>
      <c r="N725" s="6" t="str">
        <f>INDEX(医院2县区2人!$C$2:$C$1048576,MATCH(L725,医院2县区2人!$A$2:$A$1048576,0))</f>
        <v>1853</v>
      </c>
      <c r="P725" s="7">
        <v>43280.75105324074</v>
      </c>
      <c r="Q725" s="6">
        <v>5</v>
      </c>
      <c r="R725" s="6">
        <v>29</v>
      </c>
      <c r="S725" s="6">
        <v>180104</v>
      </c>
      <c r="T725" s="6" t="str">
        <f>INDEX(医院2县区2人!$D$2:$D$1048576,MATCH(L725,医院2县区2人!$A$2:$A$1048576,0))</f>
        <v>201602151421097</v>
      </c>
      <c r="W725" s="6" t="str">
        <f t="shared" si="25"/>
        <v>新盖中盖高钙片2.5g*36P</v>
      </c>
      <c r="X725" s="6" t="s">
        <v>2890</v>
      </c>
    </row>
    <row r="726" spans="1:24" x14ac:dyDescent="0.15">
      <c r="A726" s="7" t="str">
        <f t="shared" si="26"/>
        <v>201806</v>
      </c>
      <c r="C726" s="6" t="str">
        <f>INDEX(工厂基础数据!$A$2:$A$1024,MATCH(X726,工厂基础数据!$D$2:$D$1024,0))</f>
        <v>02025767</v>
      </c>
      <c r="E726" s="6" t="str">
        <f>INDEX(工厂基础数据!$B$2:$B$1024,MATCH(X726,工厂基础数据!$D$2:$D$1024,0))</f>
        <v>滨州市仁信医药有限公司</v>
      </c>
      <c r="F726" s="6">
        <f>INDEX(商业2转码!$B$2:$B$10000,MATCH(E726,商业2转码!$A$2:$A$10000,0))</f>
        <v>0</v>
      </c>
      <c r="G726" s="6" t="str">
        <f>INDEX(品种2编码!$A$2:$A$1048576,MATCH(W726,品种2编码!$D$2:$D$1048576,0))</f>
        <v>0020030001SJZY0009</v>
      </c>
      <c r="H726" s="6" t="s">
        <v>555</v>
      </c>
      <c r="I726" s="6" t="s">
        <v>1889</v>
      </c>
      <c r="J726" s="6" t="s">
        <v>3039</v>
      </c>
      <c r="L726" s="6" t="s">
        <v>2208</v>
      </c>
      <c r="M726" s="6">
        <f>INDEX(医院2县区2人!$B$2:$B$1048576,MATCH(L726,医院2县区2人!$A$2:$A$1048576,0))</f>
        <v>2</v>
      </c>
      <c r="N726" s="6" t="str">
        <f>INDEX(医院2县区2人!$C$2:$C$1048576,MATCH(L726,医院2县区2人!$A$2:$A$1048576,0))</f>
        <v>1855</v>
      </c>
      <c r="P726" s="7">
        <v>43280.750844907408</v>
      </c>
      <c r="Q726" s="6">
        <v>5</v>
      </c>
      <c r="R726" s="6">
        <v>25</v>
      </c>
      <c r="S726" s="6">
        <v>18031227</v>
      </c>
      <c r="T726" s="6" t="str">
        <f>INDEX(医院2县区2人!$D$2:$D$1048576,MATCH(L726,医院2县区2人!$A$2:$A$1048576,0))</f>
        <v>201602151421097</v>
      </c>
      <c r="W726" s="6" t="str">
        <f t="shared" si="25"/>
        <v>葡萄糖酸锌口服液10ML*12支</v>
      </c>
      <c r="X726" s="6" t="s">
        <v>2890</v>
      </c>
    </row>
    <row r="727" spans="1:24" x14ac:dyDescent="0.15">
      <c r="A727" s="7" t="str">
        <f t="shared" si="26"/>
        <v>201806</v>
      </c>
      <c r="C727" s="6" t="str">
        <f>INDEX(工厂基础数据!$A$2:$A$1024,MATCH(X727,工厂基础数据!$D$2:$D$1024,0))</f>
        <v>02025767</v>
      </c>
      <c r="E727" s="6" t="str">
        <f>INDEX(工厂基础数据!$B$2:$B$1024,MATCH(X727,工厂基础数据!$D$2:$D$1024,0))</f>
        <v>滨州市仁信医药有限公司</v>
      </c>
      <c r="F727" s="6">
        <f>INDEX(商业2转码!$B$2:$B$10000,MATCH(E727,商业2转码!$A$2:$A$10000,0))</f>
        <v>0</v>
      </c>
      <c r="G727" s="6" t="str">
        <f>INDEX(品种2编码!$A$2:$A$1048576,MATCH(W727,品种2编码!$D$2:$D$1048576,0))</f>
        <v>0020020021ZYZC0341</v>
      </c>
      <c r="H727" s="6" t="s">
        <v>1936</v>
      </c>
      <c r="I727" s="6" t="s">
        <v>279</v>
      </c>
      <c r="J727" s="6" t="s">
        <v>3042</v>
      </c>
      <c r="L727" s="6" t="s">
        <v>2213</v>
      </c>
      <c r="M727" s="6">
        <f>INDEX(医院2县区2人!$B$2:$B$1048576,MATCH(L727,医院2县区2人!$A$2:$A$1048576,0))</f>
        <v>4</v>
      </c>
      <c r="N727" s="6" t="str">
        <f>INDEX(医院2县区2人!$C$2:$C$1048576,MATCH(L727,医院2县区2人!$A$2:$A$1048576,0))</f>
        <v>1857</v>
      </c>
      <c r="P727" s="7">
        <v>43280.721620370372</v>
      </c>
      <c r="Q727" s="6">
        <v>-5</v>
      </c>
      <c r="R727" s="6">
        <v>13</v>
      </c>
      <c r="S727" s="6" t="s">
        <v>3049</v>
      </c>
      <c r="T727" s="6" t="str">
        <f>INDEX(医院2县区2人!$D$2:$D$1048576,MATCH(L727,医院2县区2人!$A$2:$A$1048576,0))</f>
        <v>201602151421097</v>
      </c>
      <c r="W727" s="6" t="str">
        <f t="shared" si="25"/>
        <v>阿莫西林克拉维酸钾分散片0.2285g*12片</v>
      </c>
      <c r="X727" s="6" t="s">
        <v>2890</v>
      </c>
    </row>
    <row r="728" spans="1:24" x14ac:dyDescent="0.15">
      <c r="A728" s="7" t="str">
        <f t="shared" si="26"/>
        <v>201806</v>
      </c>
      <c r="C728" s="6" t="str">
        <f>INDEX(工厂基础数据!$A$2:$A$1024,MATCH(X728,工厂基础数据!$D$2:$D$1024,0))</f>
        <v>02025767</v>
      </c>
      <c r="E728" s="6" t="str">
        <f>INDEX(工厂基础数据!$B$2:$B$1024,MATCH(X728,工厂基础数据!$D$2:$D$1024,0))</f>
        <v>滨州市仁信医药有限公司</v>
      </c>
      <c r="F728" s="6">
        <f>INDEX(商业2转码!$B$2:$B$10000,MATCH(E728,商业2转码!$A$2:$A$10000,0))</f>
        <v>0</v>
      </c>
      <c r="G728" s="6" t="str">
        <f>INDEX(品种2编码!$A$2:$A$1048576,MATCH(W728,品种2编码!$D$2:$D$1048576,0))</f>
        <v>0020030001SJZY0006</v>
      </c>
      <c r="H728" s="6" t="s">
        <v>1888</v>
      </c>
      <c r="I728" s="6" t="s">
        <v>411</v>
      </c>
      <c r="J728" s="6" t="s">
        <v>3040</v>
      </c>
      <c r="L728" s="6" t="s">
        <v>2265</v>
      </c>
      <c r="M728" s="6">
        <f>INDEX(医院2县区2人!$B$2:$B$1048576,MATCH(L728,医院2县区2人!$A$2:$A$1048576,0))</f>
        <v>2</v>
      </c>
      <c r="N728" s="6" t="str">
        <f>INDEX(医院2县区2人!$C$2:$C$1048576,MATCH(L728,医院2县区2人!$A$2:$A$1048576,0))</f>
        <v>1855</v>
      </c>
      <c r="P728" s="7">
        <v>43280.750972222224</v>
      </c>
      <c r="Q728" s="6">
        <v>1</v>
      </c>
      <c r="R728" s="6">
        <v>25</v>
      </c>
      <c r="S728" s="6">
        <v>17071042</v>
      </c>
      <c r="T728" s="6" t="str">
        <f>INDEX(医院2县区2人!$D$2:$D$1048576,MATCH(L728,医院2县区2人!$A$2:$A$1048576,0))</f>
        <v>201602151421097</v>
      </c>
      <c r="W728" s="6" t="str">
        <f t="shared" si="25"/>
        <v>葡萄糖酸钙口服溶液（含糖）10ml*12支</v>
      </c>
      <c r="X728" s="6" t="s">
        <v>2890</v>
      </c>
    </row>
    <row r="729" spans="1:24" x14ac:dyDescent="0.15">
      <c r="A729" s="7" t="str">
        <f t="shared" si="26"/>
        <v>201806</v>
      </c>
      <c r="C729" s="6" t="str">
        <f>INDEX(工厂基础数据!$A$2:$A$1024,MATCH(X729,工厂基础数据!$D$2:$D$1024,0))</f>
        <v>02025767</v>
      </c>
      <c r="E729" s="6" t="str">
        <f>INDEX(工厂基础数据!$B$2:$B$1024,MATCH(X729,工厂基础数据!$D$2:$D$1024,0))</f>
        <v>滨州市仁信医药有限公司</v>
      </c>
      <c r="F729" s="6">
        <f>INDEX(商业2转码!$B$2:$B$10000,MATCH(E729,商业2转码!$A$2:$A$10000,0))</f>
        <v>0</v>
      </c>
      <c r="G729" s="6" t="str">
        <f>INDEX(品种2编码!$A$2:$A$1048576,MATCH(W729,品种2编码!$D$2:$D$1048576,0))</f>
        <v>0020070000ZYLC0001</v>
      </c>
      <c r="H729" s="6" t="s">
        <v>1885</v>
      </c>
      <c r="I729" s="6" t="s">
        <v>1886</v>
      </c>
      <c r="J729" s="6" t="s">
        <v>3036</v>
      </c>
      <c r="L729" s="6" t="s">
        <v>2266</v>
      </c>
      <c r="M729" s="6">
        <f>INDEX(医院2县区2人!$B$2:$B$1048576,MATCH(L729,医院2县区2人!$A$2:$A$1048576,0))</f>
        <v>4</v>
      </c>
      <c r="N729" s="6" t="str">
        <f>INDEX(医院2县区2人!$C$2:$C$1048576,MATCH(L729,医院2县区2人!$A$2:$A$1048576,0))</f>
        <v>1856</v>
      </c>
      <c r="P729" s="7">
        <v>43280.760057870371</v>
      </c>
      <c r="Q729" s="6">
        <v>2</v>
      </c>
      <c r="R729" s="6">
        <v>29</v>
      </c>
      <c r="S729" s="6">
        <v>180104</v>
      </c>
      <c r="T729" s="6" t="str">
        <f>INDEX(医院2县区2人!$D$2:$D$1048576,MATCH(L729,医院2县区2人!$A$2:$A$1048576,0))</f>
        <v>201602151421097</v>
      </c>
      <c r="W729" s="6" t="str">
        <f t="shared" si="25"/>
        <v>新盖中盖高钙片2.5g*36P</v>
      </c>
      <c r="X729" s="6" t="s">
        <v>2890</v>
      </c>
    </row>
    <row r="730" spans="1:24" x14ac:dyDescent="0.15">
      <c r="A730" s="7" t="str">
        <f t="shared" si="26"/>
        <v>201806</v>
      </c>
      <c r="C730" s="6" t="str">
        <f>INDEX(工厂基础数据!$A$2:$A$1024,MATCH(X730,工厂基础数据!$D$2:$D$1024,0))</f>
        <v>02025767</v>
      </c>
      <c r="E730" s="6" t="str">
        <f>INDEX(工厂基础数据!$B$2:$B$1024,MATCH(X730,工厂基础数据!$D$2:$D$1024,0))</f>
        <v>滨州市仁信医药有限公司</v>
      </c>
      <c r="F730" s="6">
        <f>INDEX(商业2转码!$B$2:$B$10000,MATCH(E730,商业2转码!$A$2:$A$10000,0))</f>
        <v>0</v>
      </c>
      <c r="G730" s="6" t="str">
        <f>INDEX(品种2编码!$A$2:$A$1048576,MATCH(W730,品种2编码!$D$2:$D$1048576,0))</f>
        <v>0020020030SJMS0025</v>
      </c>
      <c r="H730" s="6" t="s">
        <v>1900</v>
      </c>
      <c r="I730" s="6" t="s">
        <v>1901</v>
      </c>
      <c r="J730" s="6" t="s">
        <v>3046</v>
      </c>
      <c r="L730" s="6" t="s">
        <v>2272</v>
      </c>
      <c r="M730" s="6">
        <f>INDEX(医院2县区2人!$B$2:$B$1048576,MATCH(L730,医院2县区2人!$A$2:$A$1048576,0))</f>
        <v>1</v>
      </c>
      <c r="N730" s="6" t="str">
        <f>INDEX(医院2县区2人!$C$2:$C$1048576,MATCH(L730,医院2县区2人!$A$2:$A$1048576,0))</f>
        <v>1854</v>
      </c>
      <c r="P730" s="7">
        <v>43281.625381944446</v>
      </c>
      <c r="Q730" s="6">
        <v>20</v>
      </c>
      <c r="R730" s="6">
        <v>7.7</v>
      </c>
      <c r="S730" s="6">
        <v>1801007</v>
      </c>
      <c r="T730" s="6" t="str">
        <f>INDEX(医院2县区2人!$D$2:$D$1048576,MATCH(L730,医院2县区2人!$A$2:$A$1048576,0))</f>
        <v>201602151421097</v>
      </c>
      <c r="W730" s="6" t="str">
        <f t="shared" si="25"/>
        <v>人工牛黄甲硝唑胶囊/牙疼安10粒*3板</v>
      </c>
      <c r="X730" s="6" t="s">
        <v>2890</v>
      </c>
    </row>
    <row r="731" spans="1:24" x14ac:dyDescent="0.15">
      <c r="A731" s="7" t="str">
        <f t="shared" si="26"/>
        <v>201806</v>
      </c>
      <c r="C731" s="6" t="str">
        <f>INDEX(工厂基础数据!$A$2:$A$1024,MATCH(X731,工厂基础数据!$D$2:$D$1024,0))</f>
        <v>02025767</v>
      </c>
      <c r="E731" s="6" t="str">
        <f>INDEX(工厂基础数据!$B$2:$B$1024,MATCH(X731,工厂基础数据!$D$2:$D$1024,0))</f>
        <v>滨州市仁信医药有限公司</v>
      </c>
      <c r="F731" s="6">
        <f>INDEX(商业2转码!$B$2:$B$10000,MATCH(E731,商业2转码!$A$2:$A$10000,0))</f>
        <v>0</v>
      </c>
      <c r="G731" s="6" t="str">
        <f>INDEX(品种2编码!$A$2:$A$1048576,MATCH(W731,品种2编码!$D$2:$D$1048576,0))</f>
        <v>0020050001SHYT0030</v>
      </c>
      <c r="H731" s="6" t="s">
        <v>2000</v>
      </c>
      <c r="I731" s="6" t="s">
        <v>444</v>
      </c>
      <c r="J731" s="6" t="s">
        <v>3037</v>
      </c>
      <c r="L731" s="6" t="s">
        <v>3030</v>
      </c>
      <c r="M731" s="6" t="e">
        <f>INDEX(医院2县区2人!$B$2:$B$1048576,MATCH(L731,医院2县区2人!$A$2:$A$1048576,0))</f>
        <v>#N/A</v>
      </c>
      <c r="N731" s="6" t="e">
        <f>INDEX(医院2县区2人!$C$2:$C$1048576,MATCH(L731,医院2县区2人!$A$2:$A$1048576,0))</f>
        <v>#N/A</v>
      </c>
      <c r="P731" s="7">
        <v>43281.6252662037</v>
      </c>
      <c r="Q731" s="6">
        <v>5</v>
      </c>
      <c r="R731" s="6">
        <v>8.5</v>
      </c>
      <c r="S731" s="6">
        <v>1603135</v>
      </c>
      <c r="T731" s="6" t="e">
        <f>INDEX(医院2县区2人!$D$2:$D$1048576,MATCH(L731,医院2县区2人!$A$2:$A$1048576,0))</f>
        <v>#N/A</v>
      </c>
      <c r="W731" s="6" t="str">
        <f t="shared" si="25"/>
        <v>知柏地黄丸9g*10丸</v>
      </c>
      <c r="X731" s="6" t="s">
        <v>2890</v>
      </c>
    </row>
    <row r="732" spans="1:24" x14ac:dyDescent="0.15">
      <c r="A732" s="7" t="str">
        <f t="shared" si="26"/>
        <v>201806</v>
      </c>
      <c r="C732" s="6" t="str">
        <f>INDEX(工厂基础数据!$A$2:$A$1024,MATCH(X732,工厂基础数据!$D$2:$D$1024,0))</f>
        <v>02025767</v>
      </c>
      <c r="E732" s="6" t="str">
        <f>INDEX(工厂基础数据!$B$2:$B$1024,MATCH(X732,工厂基础数据!$D$2:$D$1024,0))</f>
        <v>滨州市仁信医药有限公司</v>
      </c>
      <c r="F732" s="6">
        <f>INDEX(商业2转码!$B$2:$B$10000,MATCH(E732,商业2转码!$A$2:$A$10000,0))</f>
        <v>0</v>
      </c>
      <c r="G732" s="6" t="str">
        <f>INDEX(品种2编码!$A$2:$A$1048576,MATCH(W732,品种2编码!$D$2:$D$1048576,0))</f>
        <v>0020030001SJZY0009</v>
      </c>
      <c r="H732" s="6" t="s">
        <v>555</v>
      </c>
      <c r="I732" s="6" t="s">
        <v>1889</v>
      </c>
      <c r="J732" s="6" t="s">
        <v>3039</v>
      </c>
      <c r="L732" s="6" t="s">
        <v>2623</v>
      </c>
      <c r="M732" s="6">
        <f>INDEX(医院2县区2人!$B$2:$B$1048576,MATCH(L732,医院2县区2人!$A$2:$A$1048576,0))</f>
        <v>1</v>
      </c>
      <c r="N732" s="6" t="str">
        <f>INDEX(医院2县区2人!$C$2:$C$1048576,MATCH(L732,医院2县区2人!$A$2:$A$1048576,0))</f>
        <v>1854</v>
      </c>
      <c r="P732" s="7">
        <v>43281.625347222223</v>
      </c>
      <c r="Q732" s="6">
        <v>5</v>
      </c>
      <c r="R732" s="6">
        <v>25</v>
      </c>
      <c r="S732" s="6">
        <v>18031227</v>
      </c>
      <c r="T732" s="6" t="str">
        <f>INDEX(医院2县区2人!$D$2:$D$1048576,MATCH(L732,医院2县区2人!$A$2:$A$1048576,0))</f>
        <v>201602151421097</v>
      </c>
      <c r="W732" s="6" t="str">
        <f t="shared" si="25"/>
        <v>葡萄糖酸锌口服液10ML*12支</v>
      </c>
      <c r="X732" s="6" t="s">
        <v>2890</v>
      </c>
    </row>
    <row r="733" spans="1:24" x14ac:dyDescent="0.15">
      <c r="A733" s="7" t="str">
        <f t="shared" si="26"/>
        <v>201806</v>
      </c>
      <c r="C733" s="6" t="str">
        <f>INDEX(工厂基础数据!$A$2:$A$1024,MATCH(X733,工厂基础数据!$D$2:$D$1024,0))</f>
        <v>02025767</v>
      </c>
      <c r="E733" s="6" t="str">
        <f>INDEX(工厂基础数据!$B$2:$B$1024,MATCH(X733,工厂基础数据!$D$2:$D$1024,0))</f>
        <v>滨州市仁信医药有限公司</v>
      </c>
      <c r="F733" s="6">
        <f>INDEX(商业2转码!$B$2:$B$10000,MATCH(E733,商业2转码!$A$2:$A$10000,0))</f>
        <v>0</v>
      </c>
      <c r="G733" s="6" t="str">
        <f>INDEX(品种2编码!$A$2:$A$1048576,MATCH(W733,品种2编码!$D$2:$D$1048576,0))</f>
        <v>0020030020SJSC0014</v>
      </c>
      <c r="H733" s="6" t="s">
        <v>677</v>
      </c>
      <c r="I733" s="6" t="s">
        <v>1882</v>
      </c>
      <c r="J733" s="6" t="s">
        <v>3045</v>
      </c>
      <c r="L733" s="6" t="s">
        <v>2644</v>
      </c>
      <c r="M733" s="6">
        <f>INDEX(医院2县区2人!$B$2:$B$1048576,MATCH(L733,医院2县区2人!$A$2:$A$1048576,0))</f>
        <v>2</v>
      </c>
      <c r="N733" s="6" t="str">
        <f>INDEX(医院2县区2人!$C$2:$C$1048576,MATCH(L733,医院2县区2人!$A$2:$A$1048576,0))</f>
        <v>1855</v>
      </c>
      <c r="P733" s="7">
        <v>43281.625254629631</v>
      </c>
      <c r="Q733" s="6">
        <v>2</v>
      </c>
      <c r="R733" s="6">
        <v>9.8000000000000007</v>
      </c>
      <c r="S733" s="6">
        <v>1708001</v>
      </c>
      <c r="T733" s="6" t="str">
        <f>INDEX(医院2县区2人!$D$2:$D$1048576,MATCH(L733,医院2县区2人!$A$2:$A$1048576,0))</f>
        <v>201602151421097</v>
      </c>
      <c r="W733" s="6" t="str">
        <f t="shared" si="25"/>
        <v>维D2磷酸氢钙片60片</v>
      </c>
      <c r="X733" s="6" t="s">
        <v>2890</v>
      </c>
    </row>
    <row r="734" spans="1:24" x14ac:dyDescent="0.15">
      <c r="A734" s="7" t="str">
        <f t="shared" si="26"/>
        <v>201806</v>
      </c>
      <c r="C734" s="6" t="str">
        <f>INDEX(工厂基础数据!$A$2:$A$1024,MATCH(X734,工厂基础数据!$D$2:$D$1024,0))</f>
        <v>02025767</v>
      </c>
      <c r="E734" s="6" t="str">
        <f>INDEX(工厂基础数据!$B$2:$B$1024,MATCH(X734,工厂基础数据!$D$2:$D$1024,0))</f>
        <v>滨州市仁信医药有限公司</v>
      </c>
      <c r="F734" s="6">
        <f>INDEX(商业2转码!$B$2:$B$10000,MATCH(E734,商业2转码!$A$2:$A$10000,0))</f>
        <v>0</v>
      </c>
      <c r="G734" s="6" t="str">
        <f>INDEX(品种2编码!$A$2:$A$1048576,MATCH(W734,品种2编码!$D$2:$D$1048576,0))</f>
        <v>0020030020SJSC0014</v>
      </c>
      <c r="H734" s="6" t="s">
        <v>677</v>
      </c>
      <c r="I734" s="6" t="s">
        <v>1882</v>
      </c>
      <c r="J734" s="6" t="s">
        <v>3045</v>
      </c>
      <c r="L734" s="6" t="s">
        <v>2644</v>
      </c>
      <c r="M734" s="6">
        <f>INDEX(医院2县区2人!$B$2:$B$1048576,MATCH(L734,医院2县区2人!$A$2:$A$1048576,0))</f>
        <v>2</v>
      </c>
      <c r="N734" s="6" t="str">
        <f>INDEX(医院2县区2人!$C$2:$C$1048576,MATCH(L734,医院2县区2人!$A$2:$A$1048576,0))</f>
        <v>1855</v>
      </c>
      <c r="P734" s="7">
        <v>43281.625208333331</v>
      </c>
      <c r="Q734" s="6">
        <v>2</v>
      </c>
      <c r="R734" s="6">
        <v>19.3</v>
      </c>
      <c r="S734" s="6">
        <v>1708001</v>
      </c>
      <c r="T734" s="6" t="str">
        <f>INDEX(医院2县区2人!$D$2:$D$1048576,MATCH(L734,医院2县区2人!$A$2:$A$1048576,0))</f>
        <v>201602151421097</v>
      </c>
      <c r="W734" s="6" t="str">
        <f t="shared" si="25"/>
        <v>维D2磷酸氢钙片60片</v>
      </c>
      <c r="X734" s="6" t="s">
        <v>2890</v>
      </c>
    </row>
    <row r="735" spans="1:24" x14ac:dyDescent="0.15">
      <c r="A735" s="7" t="str">
        <f t="shared" si="26"/>
        <v>201806</v>
      </c>
      <c r="C735" s="6" t="str">
        <f>INDEX(工厂基础数据!$A$2:$A$1024,MATCH(X735,工厂基础数据!$D$2:$D$1024,0))</f>
        <v>02025767</v>
      </c>
      <c r="E735" s="6" t="str">
        <f>INDEX(工厂基础数据!$B$2:$B$1024,MATCH(X735,工厂基础数据!$D$2:$D$1024,0))</f>
        <v>滨州市仁信医药有限公司</v>
      </c>
      <c r="F735" s="6">
        <f>INDEX(商业2转码!$B$2:$B$10000,MATCH(E735,商业2转码!$A$2:$A$10000,0))</f>
        <v>0</v>
      </c>
      <c r="G735" s="6" t="str">
        <f>INDEX(品种2编码!$A$2:$A$1048576,MATCH(W735,品种2编码!$D$2:$D$1048576,0))</f>
        <v>0020050030SHYT0002</v>
      </c>
      <c r="H735" s="6" t="s">
        <v>484</v>
      </c>
      <c r="I735" s="6" t="s">
        <v>1910</v>
      </c>
      <c r="J735" s="6" t="s">
        <v>3037</v>
      </c>
      <c r="L735" s="6" t="s">
        <v>2334</v>
      </c>
      <c r="M735" s="6">
        <f>INDEX(医院2县区2人!$B$2:$B$1048576,MATCH(L735,医院2县区2人!$A$2:$A$1048576,0))</f>
        <v>1</v>
      </c>
      <c r="N735" s="6" t="str">
        <f>INDEX(医院2县区2人!$C$2:$C$1048576,MATCH(L735,医院2县区2人!$A$2:$A$1048576,0))</f>
        <v>1859</v>
      </c>
      <c r="P735" s="7">
        <v>43281.657812500001</v>
      </c>
      <c r="Q735" s="6">
        <v>10</v>
      </c>
      <c r="R735" s="6">
        <v>4.2</v>
      </c>
      <c r="S735" s="6">
        <v>1610302</v>
      </c>
      <c r="T735" s="6" t="str">
        <f>INDEX(医院2县区2人!$D$2:$D$1048576,MATCH(L735,医院2县区2人!$A$2:$A$1048576,0))</f>
        <v>201602151421097</v>
      </c>
      <c r="W735" s="6" t="str">
        <f t="shared" si="25"/>
        <v>羚羊感冒片24片</v>
      </c>
      <c r="X735" s="6" t="s">
        <v>2890</v>
      </c>
    </row>
    <row r="736" spans="1:24" x14ac:dyDescent="0.15">
      <c r="A736" s="7" t="str">
        <f t="shared" si="26"/>
        <v>201806</v>
      </c>
      <c r="C736" s="6" t="str">
        <f>INDEX(工厂基础数据!$A$2:$A$1024,MATCH(X736,工厂基础数据!$D$2:$D$1024,0))</f>
        <v>02025767</v>
      </c>
      <c r="E736" s="6" t="str">
        <f>INDEX(工厂基础数据!$B$2:$B$1024,MATCH(X736,工厂基础数据!$D$2:$D$1024,0))</f>
        <v>滨州市仁信医药有限公司</v>
      </c>
      <c r="F736" s="6">
        <f>INDEX(商业2转码!$B$2:$B$10000,MATCH(E736,商业2转码!$A$2:$A$10000,0))</f>
        <v>0</v>
      </c>
      <c r="G736" s="6" t="str">
        <f>INDEX(品种2编码!$A$2:$A$1048576,MATCH(W736,品种2编码!$D$2:$D$1048576,0))</f>
        <v>0020070000ZYLC0003</v>
      </c>
      <c r="H736" s="6" t="s">
        <v>722</v>
      </c>
      <c r="I736" s="6" t="s">
        <v>1909</v>
      </c>
      <c r="J736" s="6" t="s">
        <v>3036</v>
      </c>
      <c r="L736" s="6" t="s">
        <v>2375</v>
      </c>
      <c r="M736" s="6">
        <f>INDEX(医院2县区2人!$B$2:$B$1048576,MATCH(L736,医院2县区2人!$A$2:$A$1048576,0))</f>
        <v>2</v>
      </c>
      <c r="N736" s="6" t="str">
        <f>INDEX(医院2县区2人!$C$2:$C$1048576,MATCH(L736,医院2县区2人!$A$2:$A$1048576,0))</f>
        <v>1854</v>
      </c>
      <c r="P736" s="7">
        <v>43281.625439814816</v>
      </c>
      <c r="Q736" s="6">
        <v>10</v>
      </c>
      <c r="R736" s="6">
        <v>24</v>
      </c>
      <c r="S736" s="6">
        <v>180107</v>
      </c>
      <c r="T736" s="6" t="str">
        <f>INDEX(医院2县区2人!$D$2:$D$1048576,MATCH(L736,医院2县区2人!$A$2:$A$1048576,0))</f>
        <v>201602151421097</v>
      </c>
      <c r="W736" s="6" t="str">
        <f t="shared" si="25"/>
        <v>新盖中盖牌儿童钙片1.75g*36p</v>
      </c>
      <c r="X736" s="6" t="s">
        <v>2890</v>
      </c>
    </row>
    <row r="737" spans="1:24" x14ac:dyDescent="0.15">
      <c r="A737" s="7" t="str">
        <f t="shared" si="26"/>
        <v>201806</v>
      </c>
      <c r="C737" s="6" t="str">
        <f>INDEX(工厂基础数据!$A$2:$A$1024,MATCH(X737,工厂基础数据!$D$2:$D$1024,0))</f>
        <v>02025767</v>
      </c>
      <c r="E737" s="6" t="str">
        <f>INDEX(工厂基础数据!$B$2:$B$1024,MATCH(X737,工厂基础数据!$D$2:$D$1024,0))</f>
        <v>滨州市仁信医药有限公司</v>
      </c>
      <c r="F737" s="6">
        <f>INDEX(商业2转码!$B$2:$B$10000,MATCH(E737,商业2转码!$A$2:$A$10000,0))</f>
        <v>0</v>
      </c>
      <c r="G737" s="6" t="str">
        <f>INDEX(品种2编码!$A$2:$A$1048576,MATCH(W737,品种2编码!$D$2:$D$1048576,0))</f>
        <v>0020040001SHYT0027</v>
      </c>
      <c r="H737" s="6" t="s">
        <v>313</v>
      </c>
      <c r="I737" s="6" t="s">
        <v>444</v>
      </c>
      <c r="J737" s="6" t="s">
        <v>3037</v>
      </c>
      <c r="L737" s="6" t="s">
        <v>3029</v>
      </c>
      <c r="M737" s="6" t="e">
        <f>INDEX(医院2县区2人!$B$2:$B$1048576,MATCH(L737,医院2县区2人!$A$2:$A$1048576,0))</f>
        <v>#N/A</v>
      </c>
      <c r="N737" s="6" t="e">
        <f>INDEX(医院2县区2人!$C$2:$C$1048576,MATCH(L737,医院2县区2人!$A$2:$A$1048576,0))</f>
        <v>#N/A</v>
      </c>
      <c r="P737" s="7">
        <v>43281.68650462963</v>
      </c>
      <c r="Q737" s="6">
        <v>-3</v>
      </c>
      <c r="R737" s="6">
        <v>10</v>
      </c>
      <c r="S737" s="6">
        <v>1606101</v>
      </c>
      <c r="T737" s="6" t="e">
        <f>INDEX(医院2县区2人!$D$2:$D$1048576,MATCH(L737,医院2县区2人!$A$2:$A$1048576,0))</f>
        <v>#N/A</v>
      </c>
      <c r="W737" s="6" t="str">
        <f t="shared" si="25"/>
        <v>柏子养心丸9g*10丸</v>
      </c>
      <c r="X737" s="6" t="s">
        <v>2890</v>
      </c>
    </row>
    <row r="738" spans="1:24" x14ac:dyDescent="0.15">
      <c r="A738" s="7" t="str">
        <f t="shared" si="26"/>
        <v>201806</v>
      </c>
      <c r="C738" s="6" t="str">
        <f>INDEX(工厂基础数据!$A$2:$A$1024,MATCH(X738,工厂基础数据!$D$2:$D$1024,0))</f>
        <v>02025767</v>
      </c>
      <c r="E738" s="6" t="str">
        <f>INDEX(工厂基础数据!$B$2:$B$1024,MATCH(X738,工厂基础数据!$D$2:$D$1024,0))</f>
        <v>滨州市仁信医药有限公司</v>
      </c>
      <c r="F738" s="6">
        <f>INDEX(商业2转码!$B$2:$B$10000,MATCH(E738,商业2转码!$A$2:$A$10000,0))</f>
        <v>0</v>
      </c>
      <c r="G738" s="6" t="str">
        <f>INDEX(品种2编码!$A$2:$A$1048576,MATCH(W738,品种2编码!$D$2:$D$1048576,0))</f>
        <v>0020020020ZYLC0011</v>
      </c>
      <c r="H738" s="6" t="s">
        <v>1877</v>
      </c>
      <c r="I738" s="6" t="s">
        <v>1919</v>
      </c>
      <c r="J738" s="6" t="s">
        <v>3036</v>
      </c>
      <c r="L738" s="6" t="s">
        <v>3029</v>
      </c>
      <c r="M738" s="6" t="e">
        <f>INDEX(医院2县区2人!$B$2:$B$1048576,MATCH(L738,医院2县区2人!$A$2:$A$1048576,0))</f>
        <v>#N/A</v>
      </c>
      <c r="N738" s="6" t="e">
        <f>INDEX(医院2县区2人!$C$2:$C$1048576,MATCH(L738,医院2县区2人!$A$2:$A$1048576,0))</f>
        <v>#N/A</v>
      </c>
      <c r="P738" s="7">
        <v>43281.657893518517</v>
      </c>
      <c r="Q738" s="6">
        <v>5</v>
      </c>
      <c r="R738" s="6">
        <v>2.5</v>
      </c>
      <c r="S738" s="6">
        <v>180101</v>
      </c>
      <c r="T738" s="6" t="e">
        <f>INDEX(医院2县区2人!$D$2:$D$1048576,MATCH(L738,医院2县区2人!$A$2:$A$1048576,0))</f>
        <v>#N/A</v>
      </c>
      <c r="W738" s="6" t="str">
        <f t="shared" si="25"/>
        <v xml:space="preserve">泻利停/颠茄磺苄啶片0.12g*20片 </v>
      </c>
      <c r="X738" s="6" t="s">
        <v>2890</v>
      </c>
    </row>
    <row r="739" spans="1:24" x14ac:dyDescent="0.15">
      <c r="A739" s="7" t="str">
        <f t="shared" si="26"/>
        <v>201806</v>
      </c>
      <c r="C739" s="6" t="str">
        <f>INDEX(工厂基础数据!$A$2:$A$1024,MATCH(X739,工厂基础数据!$D$2:$D$1024,0))</f>
        <v>02025767</v>
      </c>
      <c r="E739" s="6" t="str">
        <f>INDEX(工厂基础数据!$B$2:$B$1024,MATCH(X739,工厂基础数据!$D$2:$D$1024,0))</f>
        <v>滨州市仁信医药有限公司</v>
      </c>
      <c r="F739" s="6">
        <f>INDEX(商业2转码!$B$2:$B$10000,MATCH(E739,商业2转码!$A$2:$A$10000,0))</f>
        <v>0</v>
      </c>
      <c r="G739" s="6" t="str">
        <f>INDEX(品种2编码!$A$2:$A$1048576,MATCH(W739,品种2编码!$D$2:$D$1048576,0))</f>
        <v>0020020020ZYLC0003</v>
      </c>
      <c r="H739" s="6" t="s">
        <v>1940</v>
      </c>
      <c r="I739" s="6" t="s">
        <v>1941</v>
      </c>
      <c r="J739" s="6" t="s">
        <v>3036</v>
      </c>
      <c r="L739" s="6" t="s">
        <v>2204</v>
      </c>
      <c r="M739" s="6">
        <f>INDEX(医院2县区2人!$B$2:$B$1048576,MATCH(L739,医院2县区2人!$A$2:$A$1048576,0))</f>
        <v>2</v>
      </c>
      <c r="N739" s="6" t="str">
        <f>INDEX(医院2县区2人!$C$2:$C$1048576,MATCH(L739,医院2县区2人!$A$2:$A$1048576,0))</f>
        <v>1855</v>
      </c>
      <c r="P739" s="7">
        <v>43281.686053240737</v>
      </c>
      <c r="Q739" s="6">
        <v>10</v>
      </c>
      <c r="R739" s="6">
        <v>9</v>
      </c>
      <c r="S739" s="6">
        <v>161103</v>
      </c>
      <c r="T739" s="6" t="str">
        <f>INDEX(医院2县区2人!$D$2:$D$1048576,MATCH(L739,医院2县区2人!$A$2:$A$1048576,0))</f>
        <v>201602151421097</v>
      </c>
      <c r="W739" s="6" t="str">
        <f t="shared" si="25"/>
        <v>泻立停片/颠茄磺苄啶片0.4g：80mg：8mg*12片</v>
      </c>
      <c r="X739" s="6" t="s">
        <v>2890</v>
      </c>
    </row>
    <row r="740" spans="1:24" x14ac:dyDescent="0.15">
      <c r="A740" s="7" t="str">
        <f t="shared" si="26"/>
        <v>201806</v>
      </c>
      <c r="C740" s="6" t="e">
        <f>INDEX(工厂基础数据!$A$2:$A$1024,MATCH(X740,工厂基础数据!$D$2:$D$1024,0))</f>
        <v>#N/A</v>
      </c>
      <c r="E740" s="6" t="e">
        <f>INDEX(工厂基础数据!$B$2:$B$1024,MATCH(X740,工厂基础数据!$D$2:$D$1024,0))</f>
        <v>#N/A</v>
      </c>
      <c r="F740" s="6" t="e">
        <f>INDEX(商业2转码!$B$2:$B$10000,MATCH(E740,商业2转码!$A$2:$A$10000,0))</f>
        <v>#N/A</v>
      </c>
      <c r="G740" s="6" t="str">
        <f>INDEX(品种2编码!$A$2:$A$1048576,MATCH(W740,品种2编码!$D$2:$D$1048576,0))</f>
        <v>0020030001SJZY0009</v>
      </c>
      <c r="H740" s="6" t="s">
        <v>555</v>
      </c>
      <c r="I740" s="6" t="s">
        <v>411</v>
      </c>
      <c r="J740" s="6" t="s">
        <v>3044</v>
      </c>
      <c r="L740" s="6" t="s">
        <v>212</v>
      </c>
      <c r="M740" s="6" t="e">
        <f>INDEX(医院2县区2人!$B$2:$B$1048576,MATCH(L740,医院2县区2人!$A$2:$A$1048576,0))</f>
        <v>#N/A</v>
      </c>
      <c r="N740" s="6" t="e">
        <f>INDEX(医院2县区2人!$C$2:$C$1048576,MATCH(L740,医院2县区2人!$A$2:$A$1048576,0))</f>
        <v>#N/A</v>
      </c>
      <c r="P740" s="7">
        <v>43252</v>
      </c>
      <c r="Q740" s="6">
        <v>0</v>
      </c>
      <c r="S740" s="6">
        <v>18031317</v>
      </c>
      <c r="T740" s="6" t="e">
        <f>INDEX(医院2县区2人!$D$2:$D$1048576,MATCH(L740,医院2县区2人!$A$2:$A$1048576,0))</f>
        <v>#N/A</v>
      </c>
      <c r="W740" s="6" t="str">
        <f t="shared" si="25"/>
        <v>葡萄糖酸锌口服液10ml*12支</v>
      </c>
      <c r="X740" s="6" t="s">
        <v>2921</v>
      </c>
    </row>
    <row r="741" spans="1:24" x14ac:dyDescent="0.15">
      <c r="A741" s="7" t="str">
        <f t="shared" si="26"/>
        <v>201806</v>
      </c>
      <c r="C741" s="6" t="e">
        <f>INDEX(工厂基础数据!$A$2:$A$1024,MATCH(X741,工厂基础数据!$D$2:$D$1024,0))</f>
        <v>#N/A</v>
      </c>
      <c r="E741" s="6" t="e">
        <f>INDEX(工厂基础数据!$B$2:$B$1024,MATCH(X741,工厂基础数据!$D$2:$D$1024,0))</f>
        <v>#N/A</v>
      </c>
      <c r="F741" s="6" t="e">
        <f>INDEX(商业2转码!$B$2:$B$10000,MATCH(E741,商业2转码!$A$2:$A$10000,0))</f>
        <v>#N/A</v>
      </c>
      <c r="G741" s="6" t="str">
        <f>INDEX(品种2编码!$A$2:$A$1048576,MATCH(W741,品种2编码!$D$2:$D$1048576,0))</f>
        <v>0020030001SJZY0006</v>
      </c>
      <c r="H741" s="6" t="s">
        <v>1833</v>
      </c>
      <c r="I741" s="6" t="s">
        <v>411</v>
      </c>
      <c r="J741" s="6" t="s">
        <v>3040</v>
      </c>
      <c r="L741" s="6" t="s">
        <v>212</v>
      </c>
      <c r="M741" s="6" t="e">
        <f>INDEX(医院2县区2人!$B$2:$B$1048576,MATCH(L741,医院2县区2人!$A$2:$A$1048576,0))</f>
        <v>#N/A</v>
      </c>
      <c r="N741" s="6" t="e">
        <f>INDEX(医院2县区2人!$C$2:$C$1048576,MATCH(L741,医院2县区2人!$A$2:$A$1048576,0))</f>
        <v>#N/A</v>
      </c>
      <c r="P741" s="7">
        <v>43252</v>
      </c>
      <c r="Q741" s="6">
        <v>0</v>
      </c>
      <c r="S741" s="6">
        <v>18030832</v>
      </c>
      <c r="T741" s="6" t="e">
        <f>INDEX(医院2县区2人!$D$2:$D$1048576,MATCH(L741,医院2县区2人!$A$2:$A$1048576,0))</f>
        <v>#N/A</v>
      </c>
      <c r="W741" s="6" t="str">
        <f t="shared" si="25"/>
        <v>葡萄糖酸钙口服溶液10ml*12支</v>
      </c>
      <c r="X741" s="6" t="s">
        <v>2921</v>
      </c>
    </row>
    <row r="742" spans="1:24" x14ac:dyDescent="0.15">
      <c r="A742" s="7" t="str">
        <f t="shared" si="26"/>
        <v>201806</v>
      </c>
      <c r="C742" s="6" t="e">
        <f>INDEX(工厂基础数据!$A$2:$A$1024,MATCH(X742,工厂基础数据!$D$2:$D$1024,0))</f>
        <v>#N/A</v>
      </c>
      <c r="E742" s="6" t="e">
        <f>INDEX(工厂基础数据!$B$2:$B$1024,MATCH(X742,工厂基础数据!$D$2:$D$1024,0))</f>
        <v>#N/A</v>
      </c>
      <c r="F742" s="6" t="e">
        <f>INDEX(商业2转码!$B$2:$B$10000,MATCH(E742,商业2转码!$A$2:$A$10000,0))</f>
        <v>#N/A</v>
      </c>
      <c r="G742" s="6" t="str">
        <f>INDEX(品种2编码!$A$2:$A$1048576,MATCH(W742,品种2编码!$D$2:$D$1048576,0))</f>
        <v>0020020013ZYZC0491</v>
      </c>
      <c r="H742" s="6" t="s">
        <v>911</v>
      </c>
      <c r="I742" s="6" t="s">
        <v>914</v>
      </c>
      <c r="J742" s="6" t="s">
        <v>3038</v>
      </c>
      <c r="L742" s="6" t="s">
        <v>212</v>
      </c>
      <c r="M742" s="6" t="e">
        <f>INDEX(医院2县区2人!$B$2:$B$1048576,MATCH(L742,医院2县区2人!$A$2:$A$1048576,0))</f>
        <v>#N/A</v>
      </c>
      <c r="N742" s="6" t="e">
        <f>INDEX(医院2县区2人!$C$2:$C$1048576,MATCH(L742,医院2县区2人!$A$2:$A$1048576,0))</f>
        <v>#N/A</v>
      </c>
      <c r="P742" s="7">
        <v>43252</v>
      </c>
      <c r="Q742" s="6">
        <v>0</v>
      </c>
      <c r="S742" s="6" t="s">
        <v>2937</v>
      </c>
      <c r="T742" s="6" t="e">
        <f>INDEX(医院2县区2人!$D$2:$D$1048576,MATCH(L742,医院2县区2人!$A$2:$A$1048576,0))</f>
        <v>#N/A</v>
      </c>
      <c r="W742" s="6" t="str">
        <f t="shared" si="25"/>
        <v>注射用乳糖酸阿奇霉素0.25g</v>
      </c>
      <c r="X742" s="6" t="s">
        <v>2921</v>
      </c>
    </row>
    <row r="743" spans="1:24" x14ac:dyDescent="0.15">
      <c r="A743" s="7" t="str">
        <f t="shared" si="26"/>
        <v>201806</v>
      </c>
      <c r="C743" s="6" t="e">
        <f>INDEX(工厂基础数据!$A$2:$A$1024,MATCH(X743,工厂基础数据!$D$2:$D$1024,0))</f>
        <v>#N/A</v>
      </c>
      <c r="E743" s="6" t="e">
        <f>INDEX(工厂基础数据!$B$2:$B$1024,MATCH(X743,工厂基础数据!$D$2:$D$1024,0))</f>
        <v>#N/A</v>
      </c>
      <c r="F743" s="6" t="e">
        <f>INDEX(商业2转码!$B$2:$B$10000,MATCH(E743,商业2转码!$A$2:$A$10000,0))</f>
        <v>#N/A</v>
      </c>
      <c r="G743" s="6" t="str">
        <f>INDEX(品种2编码!$A$2:$A$1048576,MATCH(W743,品种2编码!$D$2:$D$1048576,0))</f>
        <v>0020020030SJMS0025</v>
      </c>
      <c r="H743" s="6" t="s">
        <v>586</v>
      </c>
      <c r="I743" s="6" t="s">
        <v>1937</v>
      </c>
      <c r="J743" s="6" t="s">
        <v>3046</v>
      </c>
      <c r="L743" s="6" t="s">
        <v>3068</v>
      </c>
      <c r="M743" s="6" t="e">
        <f>INDEX(医院2县区2人!$B$2:$B$1048576,MATCH(L743,医院2县区2人!$A$2:$A$1048576,0))</f>
        <v>#N/A</v>
      </c>
      <c r="N743" s="6" t="e">
        <f>INDEX(医院2县区2人!$C$2:$C$1048576,MATCH(L743,医院2县区2人!$A$2:$A$1048576,0))</f>
        <v>#N/A</v>
      </c>
      <c r="P743" s="7">
        <v>43252</v>
      </c>
      <c r="Q743" s="6">
        <v>20</v>
      </c>
      <c r="S743" s="6">
        <v>1705003</v>
      </c>
      <c r="T743" s="6" t="e">
        <f>INDEX(医院2县区2人!$D$2:$D$1048576,MATCH(L743,医院2县区2人!$A$2:$A$1048576,0))</f>
        <v>#N/A</v>
      </c>
      <c r="W743" s="6" t="str">
        <f t="shared" si="25"/>
        <v>人工牛黄甲硝唑胶囊30粒</v>
      </c>
      <c r="X743" s="6" t="s">
        <v>2921</v>
      </c>
    </row>
    <row r="744" spans="1:24" x14ac:dyDescent="0.15">
      <c r="A744" s="7" t="str">
        <f t="shared" si="26"/>
        <v>201806</v>
      </c>
      <c r="C744" s="6" t="e">
        <f>INDEX(工厂基础数据!$A$2:$A$1024,MATCH(X744,工厂基础数据!$D$2:$D$1024,0))</f>
        <v>#N/A</v>
      </c>
      <c r="E744" s="6" t="e">
        <f>INDEX(工厂基础数据!$B$2:$B$1024,MATCH(X744,工厂基础数据!$D$2:$D$1024,0))</f>
        <v>#N/A</v>
      </c>
      <c r="F744" s="6" t="e">
        <f>INDEX(商业2转码!$B$2:$B$10000,MATCH(E744,商业2转码!$A$2:$A$10000,0))</f>
        <v>#N/A</v>
      </c>
      <c r="G744" s="6" t="str">
        <f>INDEX(品种2编码!$A$2:$A$1048576,MATCH(W744,品种2编码!$D$2:$D$1048576,0))</f>
        <v>0020020013ZYZC0491</v>
      </c>
      <c r="H744" s="6" t="s">
        <v>911</v>
      </c>
      <c r="I744" s="6" t="s">
        <v>914</v>
      </c>
      <c r="J744" s="6" t="s">
        <v>3038</v>
      </c>
      <c r="L744" s="6" t="s">
        <v>3069</v>
      </c>
      <c r="M744" s="6" t="e">
        <f>INDEX(医院2县区2人!$B$2:$B$1048576,MATCH(L744,医院2县区2人!$A$2:$A$1048576,0))</f>
        <v>#N/A</v>
      </c>
      <c r="N744" s="6" t="e">
        <f>INDEX(医院2县区2人!$C$2:$C$1048576,MATCH(L744,医院2县区2人!$A$2:$A$1048576,0))</f>
        <v>#N/A</v>
      </c>
      <c r="P744" s="7">
        <v>43252</v>
      </c>
      <c r="Q744" s="6">
        <v>10</v>
      </c>
      <c r="S744" s="6" t="s">
        <v>3065</v>
      </c>
      <c r="T744" s="6" t="e">
        <f>INDEX(医院2县区2人!$D$2:$D$1048576,MATCH(L744,医院2县区2人!$A$2:$A$1048576,0))</f>
        <v>#N/A</v>
      </c>
      <c r="W744" s="6" t="str">
        <f t="shared" si="25"/>
        <v>注射用乳糖酸阿奇霉素0.25g</v>
      </c>
      <c r="X744" s="6" t="s">
        <v>2921</v>
      </c>
    </row>
    <row r="745" spans="1:24" x14ac:dyDescent="0.15">
      <c r="A745" s="7" t="str">
        <f t="shared" si="26"/>
        <v>201806</v>
      </c>
      <c r="C745" s="6" t="e">
        <f>INDEX(工厂基础数据!$A$2:$A$1024,MATCH(X745,工厂基础数据!$D$2:$D$1024,0))</f>
        <v>#N/A</v>
      </c>
      <c r="E745" s="6" t="e">
        <f>INDEX(工厂基础数据!$B$2:$B$1024,MATCH(X745,工厂基础数据!$D$2:$D$1024,0))</f>
        <v>#N/A</v>
      </c>
      <c r="F745" s="6" t="e">
        <f>INDEX(商业2转码!$B$2:$B$10000,MATCH(E745,商业2转码!$A$2:$A$10000,0))</f>
        <v>#N/A</v>
      </c>
      <c r="G745" s="6" t="str">
        <f>INDEX(品种2编码!$A$2:$A$1048576,MATCH(W745,品种2编码!$D$2:$D$1048576,0))</f>
        <v>0020030001SJZY0009</v>
      </c>
      <c r="H745" s="6" t="s">
        <v>555</v>
      </c>
      <c r="I745" s="6" t="s">
        <v>411</v>
      </c>
      <c r="J745" s="6" t="s">
        <v>3044</v>
      </c>
      <c r="L745" s="6" t="s">
        <v>3070</v>
      </c>
      <c r="M745" s="6" t="e">
        <f>INDEX(医院2县区2人!$B$2:$B$1048576,MATCH(L745,医院2县区2人!$A$2:$A$1048576,0))</f>
        <v>#N/A</v>
      </c>
      <c r="N745" s="6" t="e">
        <f>INDEX(医院2县区2人!$C$2:$C$1048576,MATCH(L745,医院2县区2人!$A$2:$A$1048576,0))</f>
        <v>#N/A</v>
      </c>
      <c r="P745" s="7">
        <v>43252</v>
      </c>
      <c r="Q745" s="6">
        <v>5</v>
      </c>
      <c r="S745" s="6">
        <v>17120411</v>
      </c>
      <c r="T745" s="6" t="e">
        <f>INDEX(医院2县区2人!$D$2:$D$1048576,MATCH(L745,医院2县区2人!$A$2:$A$1048576,0))</f>
        <v>#N/A</v>
      </c>
      <c r="W745" s="6" t="str">
        <f t="shared" si="25"/>
        <v>葡萄糖酸锌口服液10ml*12支</v>
      </c>
      <c r="X745" s="6" t="s">
        <v>2921</v>
      </c>
    </row>
    <row r="746" spans="1:24" x14ac:dyDescent="0.15">
      <c r="A746" s="7" t="str">
        <f t="shared" si="26"/>
        <v>201806</v>
      </c>
      <c r="C746" s="6" t="e">
        <f>INDEX(工厂基础数据!$A$2:$A$1024,MATCH(X746,工厂基础数据!$D$2:$D$1024,0))</f>
        <v>#N/A</v>
      </c>
      <c r="E746" s="6" t="e">
        <f>INDEX(工厂基础数据!$B$2:$B$1024,MATCH(X746,工厂基础数据!$D$2:$D$1024,0))</f>
        <v>#N/A</v>
      </c>
      <c r="F746" s="6" t="e">
        <f>INDEX(商业2转码!$B$2:$B$10000,MATCH(E746,商业2转码!$A$2:$A$10000,0))</f>
        <v>#N/A</v>
      </c>
      <c r="G746" s="6" t="str">
        <f>INDEX(品种2编码!$A$2:$A$1048576,MATCH(W746,品种2编码!$D$2:$D$1048576,0))</f>
        <v>0020030020SJSC0004</v>
      </c>
      <c r="H746" s="6" t="s">
        <v>1870</v>
      </c>
      <c r="I746" s="6" t="s">
        <v>1871</v>
      </c>
      <c r="J746" s="6" t="s">
        <v>3045</v>
      </c>
      <c r="L746" s="6" t="s">
        <v>2959</v>
      </c>
      <c r="M746" s="6">
        <f>INDEX(医院2县区2人!$B$2:$B$1048576,MATCH(L746,医院2县区2人!$A$2:$A$1048576,0))</f>
        <v>0</v>
      </c>
      <c r="N746" s="6">
        <f>INDEX(医院2县区2人!$C$2:$C$1048576,MATCH(L746,医院2县区2人!$A$2:$A$1048576,0))</f>
        <v>0</v>
      </c>
      <c r="P746" s="7">
        <v>43253</v>
      </c>
      <c r="Q746" s="6">
        <v>50</v>
      </c>
      <c r="S746" s="6">
        <v>1709020</v>
      </c>
      <c r="T746" s="6">
        <f>INDEX(医院2县区2人!$D$2:$D$1048576,MATCH(L746,医院2县区2人!$A$2:$A$1048576,0))</f>
        <v>0</v>
      </c>
      <c r="W746" s="6" t="str">
        <f t="shared" si="25"/>
        <v>复方铝酸铋片/新胃必治50片</v>
      </c>
      <c r="X746" s="6" t="s">
        <v>2921</v>
      </c>
    </row>
    <row r="747" spans="1:24" x14ac:dyDescent="0.15">
      <c r="A747" s="7" t="str">
        <f t="shared" si="26"/>
        <v>201806</v>
      </c>
      <c r="C747" s="6" t="e">
        <f>INDEX(工厂基础数据!$A$2:$A$1024,MATCH(X747,工厂基础数据!$D$2:$D$1024,0))</f>
        <v>#N/A</v>
      </c>
      <c r="E747" s="6" t="e">
        <f>INDEX(工厂基础数据!$B$2:$B$1024,MATCH(X747,工厂基础数据!$D$2:$D$1024,0))</f>
        <v>#N/A</v>
      </c>
      <c r="F747" s="6" t="e">
        <f>INDEX(商业2转码!$B$2:$B$10000,MATCH(E747,商业2转码!$A$2:$A$10000,0))</f>
        <v>#N/A</v>
      </c>
      <c r="G747" s="6" t="str">
        <f>INDEX(品种2编码!$A$2:$A$1048576,MATCH(W747,品种2编码!$D$2:$D$1048576,0))</f>
        <v>0020050090SJZY0001</v>
      </c>
      <c r="H747" s="6" t="s">
        <v>630</v>
      </c>
      <c r="I747" s="6" t="s">
        <v>1850</v>
      </c>
      <c r="J747" s="6" t="s">
        <v>3044</v>
      </c>
      <c r="L747" s="6" t="s">
        <v>3071</v>
      </c>
      <c r="M747" s="6" t="e">
        <f>INDEX(医院2县区2人!$B$2:$B$1048576,MATCH(L747,医院2县区2人!$A$2:$A$1048576,0))</f>
        <v>#N/A</v>
      </c>
      <c r="N747" s="6" t="e">
        <f>INDEX(医院2县区2人!$C$2:$C$1048576,MATCH(L747,医院2县区2人!$A$2:$A$1048576,0))</f>
        <v>#N/A</v>
      </c>
      <c r="P747" s="7">
        <v>43253</v>
      </c>
      <c r="Q747" s="6">
        <v>5</v>
      </c>
      <c r="S747" s="6">
        <v>17062811</v>
      </c>
      <c r="T747" s="6" t="e">
        <f>INDEX(医院2县区2人!$D$2:$D$1048576,MATCH(L747,医院2县区2人!$A$2:$A$1048576,0))</f>
        <v>#N/A</v>
      </c>
      <c r="W747" s="6" t="str">
        <f t="shared" si="25"/>
        <v>双黄连口服液10ml*10支</v>
      </c>
      <c r="X747" s="6" t="s">
        <v>2921</v>
      </c>
    </row>
    <row r="748" spans="1:24" x14ac:dyDescent="0.15">
      <c r="A748" s="7" t="str">
        <f t="shared" si="26"/>
        <v>201806</v>
      </c>
      <c r="C748" s="6" t="e">
        <f>INDEX(工厂基础数据!$A$2:$A$1024,MATCH(X748,工厂基础数据!$D$2:$D$1024,0))</f>
        <v>#N/A</v>
      </c>
      <c r="E748" s="6" t="e">
        <f>INDEX(工厂基础数据!$B$2:$B$1024,MATCH(X748,工厂基础数据!$D$2:$D$1024,0))</f>
        <v>#N/A</v>
      </c>
      <c r="F748" s="6" t="e">
        <f>INDEX(商业2转码!$B$2:$B$10000,MATCH(E748,商业2转码!$A$2:$A$10000,0))</f>
        <v>#N/A</v>
      </c>
      <c r="G748" s="6">
        <f>INDEX(品种2编码!$A$2:$A$1048576,MATCH(W748,品种2编码!$D$2:$D$1048576,0))</f>
        <v>0</v>
      </c>
      <c r="H748" s="6" t="s">
        <v>1872</v>
      </c>
      <c r="I748" s="6" t="s">
        <v>3064</v>
      </c>
      <c r="J748" s="6" t="s">
        <v>3046</v>
      </c>
      <c r="L748" s="6" t="s">
        <v>3072</v>
      </c>
      <c r="M748" s="6" t="e">
        <f>INDEX(医院2县区2人!$B$2:$B$1048576,MATCH(L748,医院2县区2人!$A$2:$A$1048576,0))</f>
        <v>#N/A</v>
      </c>
      <c r="N748" s="6" t="e">
        <f>INDEX(医院2县区2人!$C$2:$C$1048576,MATCH(L748,医院2县区2人!$A$2:$A$1048576,0))</f>
        <v>#N/A</v>
      </c>
      <c r="P748" s="7">
        <v>43255</v>
      </c>
      <c r="Q748" s="6">
        <v>3</v>
      </c>
      <c r="S748" s="6">
        <v>1803029</v>
      </c>
      <c r="T748" s="6" t="e">
        <f>INDEX(医院2县区2人!$D$2:$D$1048576,MATCH(L748,医院2县区2人!$A$2:$A$1048576,0))</f>
        <v>#N/A</v>
      </c>
      <c r="W748" s="6" t="str">
        <f t="shared" si="25"/>
        <v>拉西地平片/司乐平4mg*30片</v>
      </c>
      <c r="X748" s="6" t="s">
        <v>2921</v>
      </c>
    </row>
    <row r="749" spans="1:24" x14ac:dyDescent="0.15">
      <c r="A749" s="7" t="str">
        <f t="shared" si="26"/>
        <v>201806</v>
      </c>
      <c r="C749" s="6" t="e">
        <f>INDEX(工厂基础数据!$A$2:$A$1024,MATCH(X749,工厂基础数据!$D$2:$D$1024,0))</f>
        <v>#N/A</v>
      </c>
      <c r="E749" s="6" t="e">
        <f>INDEX(工厂基础数据!$B$2:$B$1024,MATCH(X749,工厂基础数据!$D$2:$D$1024,0))</f>
        <v>#N/A</v>
      </c>
      <c r="F749" s="6" t="e">
        <f>INDEX(商业2转码!$B$2:$B$10000,MATCH(E749,商业2转码!$A$2:$A$10000,0))</f>
        <v>#N/A</v>
      </c>
      <c r="G749" s="6">
        <f>INDEX(品种2编码!$A$2:$A$1048576,MATCH(W749,品种2编码!$D$2:$D$1048576,0))</f>
        <v>0</v>
      </c>
      <c r="H749" s="6" t="s">
        <v>911</v>
      </c>
      <c r="I749" s="6" t="s">
        <v>912</v>
      </c>
      <c r="J749" s="6" t="s">
        <v>3038</v>
      </c>
      <c r="L749" s="6" t="s">
        <v>3073</v>
      </c>
      <c r="M749" s="6" t="e">
        <f>INDEX(医院2县区2人!$B$2:$B$1048576,MATCH(L749,医院2县区2人!$A$2:$A$1048576,0))</f>
        <v>#N/A</v>
      </c>
      <c r="N749" s="6" t="e">
        <f>INDEX(医院2县区2人!$C$2:$C$1048576,MATCH(L749,医院2县区2人!$A$2:$A$1048576,0))</f>
        <v>#N/A</v>
      </c>
      <c r="P749" s="7">
        <v>43255</v>
      </c>
      <c r="Q749" s="6">
        <v>10</v>
      </c>
      <c r="S749" s="6" t="s">
        <v>3066</v>
      </c>
      <c r="T749" s="6" t="e">
        <f>INDEX(医院2县区2人!$D$2:$D$1048576,MATCH(L749,医院2县区2人!$A$2:$A$1048576,0))</f>
        <v>#N/A</v>
      </c>
      <c r="W749" s="6" t="str">
        <f t="shared" si="25"/>
        <v>注射用乳糖酸阿奇霉素0.125g</v>
      </c>
      <c r="X749" s="6" t="s">
        <v>2921</v>
      </c>
    </row>
    <row r="750" spans="1:24" x14ac:dyDescent="0.15">
      <c r="A750" s="7" t="str">
        <f t="shared" si="26"/>
        <v>201806</v>
      </c>
      <c r="C750" s="6" t="e">
        <f>INDEX(工厂基础数据!$A$2:$A$1024,MATCH(X750,工厂基础数据!$D$2:$D$1024,0))</f>
        <v>#N/A</v>
      </c>
      <c r="E750" s="6" t="e">
        <f>INDEX(工厂基础数据!$B$2:$B$1024,MATCH(X750,工厂基础数据!$D$2:$D$1024,0))</f>
        <v>#N/A</v>
      </c>
      <c r="F750" s="6" t="e">
        <f>INDEX(商业2转码!$B$2:$B$10000,MATCH(E750,商业2转码!$A$2:$A$10000,0))</f>
        <v>#N/A</v>
      </c>
      <c r="G750" s="6" t="str">
        <f>INDEX(品种2编码!$A$2:$A$1048576,MATCH(W750,品种2编码!$D$2:$D$1048576,0))</f>
        <v>0020030001SJZY0009</v>
      </c>
      <c r="H750" s="6" t="s">
        <v>555</v>
      </c>
      <c r="I750" s="6" t="s">
        <v>411</v>
      </c>
      <c r="J750" s="6" t="s">
        <v>3044</v>
      </c>
      <c r="L750" s="6" t="s">
        <v>3074</v>
      </c>
      <c r="M750" s="6" t="e">
        <f>INDEX(医院2县区2人!$B$2:$B$1048576,MATCH(L750,医院2县区2人!$A$2:$A$1048576,0))</f>
        <v>#N/A</v>
      </c>
      <c r="N750" s="6" t="e">
        <f>INDEX(医院2县区2人!$C$2:$C$1048576,MATCH(L750,医院2县区2人!$A$2:$A$1048576,0))</f>
        <v>#N/A</v>
      </c>
      <c r="P750" s="7">
        <v>43255</v>
      </c>
      <c r="Q750" s="6">
        <v>10</v>
      </c>
      <c r="S750" s="6">
        <v>17120411</v>
      </c>
      <c r="T750" s="6" t="e">
        <f>INDEX(医院2县区2人!$D$2:$D$1048576,MATCH(L750,医院2县区2人!$A$2:$A$1048576,0))</f>
        <v>#N/A</v>
      </c>
      <c r="W750" s="6" t="str">
        <f t="shared" si="25"/>
        <v>葡萄糖酸锌口服液10ml*12支</v>
      </c>
      <c r="X750" s="6" t="s">
        <v>2921</v>
      </c>
    </row>
    <row r="751" spans="1:24" x14ac:dyDescent="0.15">
      <c r="A751" s="7" t="str">
        <f t="shared" si="26"/>
        <v>201806</v>
      </c>
      <c r="C751" s="6" t="e">
        <f>INDEX(工厂基础数据!$A$2:$A$1024,MATCH(X751,工厂基础数据!$D$2:$D$1024,0))</f>
        <v>#N/A</v>
      </c>
      <c r="E751" s="6" t="e">
        <f>INDEX(工厂基础数据!$B$2:$B$1024,MATCH(X751,工厂基础数据!$D$2:$D$1024,0))</f>
        <v>#N/A</v>
      </c>
      <c r="F751" s="6" t="e">
        <f>INDEX(商业2转码!$B$2:$B$10000,MATCH(E751,商业2转码!$A$2:$A$10000,0))</f>
        <v>#N/A</v>
      </c>
      <c r="G751" s="6" t="str">
        <f>INDEX(品种2编码!$A$2:$A$1048576,MATCH(W751,品种2编码!$D$2:$D$1048576,0))</f>
        <v>0020030001SJZY0006</v>
      </c>
      <c r="H751" s="6" t="s">
        <v>1833</v>
      </c>
      <c r="I751" s="6" t="s">
        <v>411</v>
      </c>
      <c r="J751" s="6" t="s">
        <v>3040</v>
      </c>
      <c r="L751" s="6" t="s">
        <v>3074</v>
      </c>
      <c r="M751" s="6" t="e">
        <f>INDEX(医院2县区2人!$B$2:$B$1048576,MATCH(L751,医院2县区2人!$A$2:$A$1048576,0))</f>
        <v>#N/A</v>
      </c>
      <c r="N751" s="6" t="e">
        <f>INDEX(医院2县区2人!$C$2:$C$1048576,MATCH(L751,医院2县区2人!$A$2:$A$1048576,0))</f>
        <v>#N/A</v>
      </c>
      <c r="P751" s="7">
        <v>43255</v>
      </c>
      <c r="Q751" s="6">
        <v>10</v>
      </c>
      <c r="S751" s="6">
        <v>17111823</v>
      </c>
      <c r="T751" s="6" t="e">
        <f>INDEX(医院2县区2人!$D$2:$D$1048576,MATCH(L751,医院2县区2人!$A$2:$A$1048576,0))</f>
        <v>#N/A</v>
      </c>
      <c r="W751" s="6" t="str">
        <f t="shared" si="25"/>
        <v>葡萄糖酸钙口服溶液10ml*12支</v>
      </c>
      <c r="X751" s="6" t="s">
        <v>2921</v>
      </c>
    </row>
    <row r="752" spans="1:24" x14ac:dyDescent="0.15">
      <c r="A752" s="7" t="str">
        <f t="shared" si="26"/>
        <v>201806</v>
      </c>
      <c r="C752" s="6" t="e">
        <f>INDEX(工厂基础数据!$A$2:$A$1024,MATCH(X752,工厂基础数据!$D$2:$D$1024,0))</f>
        <v>#N/A</v>
      </c>
      <c r="E752" s="6" t="e">
        <f>INDEX(工厂基础数据!$B$2:$B$1024,MATCH(X752,工厂基础数据!$D$2:$D$1024,0))</f>
        <v>#N/A</v>
      </c>
      <c r="F752" s="6" t="e">
        <f>INDEX(商业2转码!$B$2:$B$10000,MATCH(E752,商业2转码!$A$2:$A$10000,0))</f>
        <v>#N/A</v>
      </c>
      <c r="G752" s="6" t="str">
        <f>INDEX(品种2编码!$A$2:$A$1048576,MATCH(W752,品种2编码!$D$2:$D$1048576,0))</f>
        <v>0020030001SJZY0006</v>
      </c>
      <c r="H752" s="6" t="s">
        <v>1833</v>
      </c>
      <c r="I752" s="6" t="s">
        <v>411</v>
      </c>
      <c r="J752" s="6" t="s">
        <v>3040</v>
      </c>
      <c r="L752" s="6" t="s">
        <v>2945</v>
      </c>
      <c r="M752" s="6">
        <f>INDEX(医院2县区2人!$B$2:$B$1048576,MATCH(L752,医院2县区2人!$A$2:$A$1048576,0))</f>
        <v>0</v>
      </c>
      <c r="N752" s="6">
        <f>INDEX(医院2县区2人!$C$2:$C$1048576,MATCH(L752,医院2县区2人!$A$2:$A$1048576,0))</f>
        <v>0</v>
      </c>
      <c r="P752" s="7">
        <v>43255</v>
      </c>
      <c r="Q752" s="6">
        <v>20</v>
      </c>
      <c r="S752" s="6">
        <v>17111823</v>
      </c>
      <c r="T752" s="6">
        <f>INDEX(医院2县区2人!$D$2:$D$1048576,MATCH(L752,医院2县区2人!$A$2:$A$1048576,0))</f>
        <v>0</v>
      </c>
      <c r="W752" s="6" t="str">
        <f t="shared" si="25"/>
        <v>葡萄糖酸钙口服溶液10ml*12支</v>
      </c>
      <c r="X752" s="6" t="s">
        <v>2921</v>
      </c>
    </row>
    <row r="753" spans="1:24" x14ac:dyDescent="0.15">
      <c r="A753" s="7" t="str">
        <f t="shared" si="26"/>
        <v>201806</v>
      </c>
      <c r="C753" s="6" t="e">
        <f>INDEX(工厂基础数据!$A$2:$A$1024,MATCH(X753,工厂基础数据!$D$2:$D$1024,0))</f>
        <v>#N/A</v>
      </c>
      <c r="E753" s="6" t="e">
        <f>INDEX(工厂基础数据!$B$2:$B$1024,MATCH(X753,工厂基础数据!$D$2:$D$1024,0))</f>
        <v>#N/A</v>
      </c>
      <c r="F753" s="6" t="e">
        <f>INDEX(商业2转码!$B$2:$B$10000,MATCH(E753,商业2转码!$A$2:$A$10000,0))</f>
        <v>#N/A</v>
      </c>
      <c r="G753" s="6" t="str">
        <f>INDEX(品种2编码!$A$2:$A$1048576,MATCH(W753,品种2编码!$D$2:$D$1048576,0))</f>
        <v>0020030001SJZY0009</v>
      </c>
      <c r="H753" s="6" t="s">
        <v>555</v>
      </c>
      <c r="I753" s="6" t="s">
        <v>411</v>
      </c>
      <c r="J753" s="6" t="s">
        <v>3044</v>
      </c>
      <c r="L753" s="6" t="s">
        <v>3070</v>
      </c>
      <c r="M753" s="6" t="e">
        <f>INDEX(医院2县区2人!$B$2:$B$1048576,MATCH(L753,医院2县区2人!$A$2:$A$1048576,0))</f>
        <v>#N/A</v>
      </c>
      <c r="N753" s="6" t="e">
        <f>INDEX(医院2县区2人!$C$2:$C$1048576,MATCH(L753,医院2县区2人!$A$2:$A$1048576,0))</f>
        <v>#N/A</v>
      </c>
      <c r="P753" s="7">
        <v>43255</v>
      </c>
      <c r="Q753" s="6">
        <v>5</v>
      </c>
      <c r="S753" s="6">
        <v>17120411</v>
      </c>
      <c r="T753" s="6" t="e">
        <f>INDEX(医院2县区2人!$D$2:$D$1048576,MATCH(L753,医院2县区2人!$A$2:$A$1048576,0))</f>
        <v>#N/A</v>
      </c>
      <c r="W753" s="6" t="str">
        <f t="shared" si="25"/>
        <v>葡萄糖酸锌口服液10ml*12支</v>
      </c>
      <c r="X753" s="6" t="s">
        <v>2921</v>
      </c>
    </row>
    <row r="754" spans="1:24" x14ac:dyDescent="0.15">
      <c r="A754" s="7" t="str">
        <f t="shared" si="26"/>
        <v>201806</v>
      </c>
      <c r="C754" s="6" t="e">
        <f>INDEX(工厂基础数据!$A$2:$A$1024,MATCH(X754,工厂基础数据!$D$2:$D$1024,0))</f>
        <v>#N/A</v>
      </c>
      <c r="E754" s="6" t="e">
        <f>INDEX(工厂基础数据!$B$2:$B$1024,MATCH(X754,工厂基础数据!$D$2:$D$1024,0))</f>
        <v>#N/A</v>
      </c>
      <c r="F754" s="6" t="e">
        <f>INDEX(商业2转码!$B$2:$B$10000,MATCH(E754,商业2转码!$A$2:$A$10000,0))</f>
        <v>#N/A</v>
      </c>
      <c r="G754" s="6" t="str">
        <f>INDEX(品种2编码!$A$2:$A$1048576,MATCH(W754,品种2编码!$D$2:$D$1048576,0))</f>
        <v>0020030001SJZY0009</v>
      </c>
      <c r="H754" s="6" t="s">
        <v>555</v>
      </c>
      <c r="I754" s="6" t="s">
        <v>411</v>
      </c>
      <c r="J754" s="6" t="s">
        <v>3044</v>
      </c>
      <c r="L754" s="6" t="s">
        <v>3070</v>
      </c>
      <c r="M754" s="6" t="e">
        <f>INDEX(医院2县区2人!$B$2:$B$1048576,MATCH(L754,医院2县区2人!$A$2:$A$1048576,0))</f>
        <v>#N/A</v>
      </c>
      <c r="N754" s="6" t="e">
        <f>INDEX(医院2县区2人!$C$2:$C$1048576,MATCH(L754,医院2县区2人!$A$2:$A$1048576,0))</f>
        <v>#N/A</v>
      </c>
      <c r="P754" s="7">
        <v>43255</v>
      </c>
      <c r="Q754" s="6">
        <v>-5</v>
      </c>
      <c r="S754" s="6">
        <v>17120411</v>
      </c>
      <c r="T754" s="6" t="e">
        <f>INDEX(医院2县区2人!$D$2:$D$1048576,MATCH(L754,医院2县区2人!$A$2:$A$1048576,0))</f>
        <v>#N/A</v>
      </c>
      <c r="W754" s="6" t="str">
        <f t="shared" si="25"/>
        <v>葡萄糖酸锌口服液10ml*12支</v>
      </c>
      <c r="X754" s="6" t="s">
        <v>2921</v>
      </c>
    </row>
    <row r="755" spans="1:24" x14ac:dyDescent="0.15">
      <c r="A755" s="7" t="str">
        <f t="shared" si="26"/>
        <v>201806</v>
      </c>
      <c r="C755" s="6" t="e">
        <f>INDEX(工厂基础数据!$A$2:$A$1024,MATCH(X755,工厂基础数据!$D$2:$D$1024,0))</f>
        <v>#N/A</v>
      </c>
      <c r="E755" s="6" t="e">
        <f>INDEX(工厂基础数据!$B$2:$B$1024,MATCH(X755,工厂基础数据!$D$2:$D$1024,0))</f>
        <v>#N/A</v>
      </c>
      <c r="F755" s="6" t="e">
        <f>INDEX(商业2转码!$B$2:$B$10000,MATCH(E755,商业2转码!$A$2:$A$10000,0))</f>
        <v>#N/A</v>
      </c>
      <c r="G755" s="6">
        <f>INDEX(品种2编码!$A$2:$A$1048576,MATCH(W755,品种2编码!$D$2:$D$1048576,0))</f>
        <v>0</v>
      </c>
      <c r="H755" s="6" t="s">
        <v>3062</v>
      </c>
      <c r="I755" s="6" t="s">
        <v>2035</v>
      </c>
      <c r="J755" s="6" t="s">
        <v>3036</v>
      </c>
      <c r="L755" s="6" t="s">
        <v>3075</v>
      </c>
      <c r="M755" s="6" t="e">
        <f>INDEX(医院2县区2人!$B$2:$B$1048576,MATCH(L755,医院2县区2人!$A$2:$A$1048576,0))</f>
        <v>#N/A</v>
      </c>
      <c r="N755" s="6" t="e">
        <f>INDEX(医院2县区2人!$C$2:$C$1048576,MATCH(L755,医院2县区2人!$A$2:$A$1048576,0))</f>
        <v>#N/A</v>
      </c>
      <c r="P755" s="7">
        <v>43256</v>
      </c>
      <c r="Q755" s="6">
        <v>30</v>
      </c>
      <c r="S755" s="6">
        <v>160504</v>
      </c>
      <c r="T755" s="6" t="e">
        <f>INDEX(医院2县区2人!$D$2:$D$1048576,MATCH(L755,医院2县区2人!$A$2:$A$1048576,0))</f>
        <v>#N/A</v>
      </c>
      <c r="W755" s="6" t="str">
        <f t="shared" si="25"/>
        <v>颠茄磺苄啶片/泻痢停20片</v>
      </c>
      <c r="X755" s="6" t="s">
        <v>2921</v>
      </c>
    </row>
    <row r="756" spans="1:24" x14ac:dyDescent="0.15">
      <c r="A756" s="7" t="str">
        <f t="shared" si="26"/>
        <v>201806</v>
      </c>
      <c r="C756" s="6" t="e">
        <f>INDEX(工厂基础数据!$A$2:$A$1024,MATCH(X756,工厂基础数据!$D$2:$D$1024,0))</f>
        <v>#N/A</v>
      </c>
      <c r="E756" s="6" t="e">
        <f>INDEX(工厂基础数据!$B$2:$B$1024,MATCH(X756,工厂基础数据!$D$2:$D$1024,0))</f>
        <v>#N/A</v>
      </c>
      <c r="F756" s="6" t="e">
        <f>INDEX(商业2转码!$B$2:$B$10000,MATCH(E756,商业2转码!$A$2:$A$10000,0))</f>
        <v>#N/A</v>
      </c>
      <c r="G756" s="6">
        <f>INDEX(品种2编码!$A$2:$A$1048576,MATCH(W756,品种2编码!$D$2:$D$1048576,0))</f>
        <v>0</v>
      </c>
      <c r="H756" s="6" t="s">
        <v>3062</v>
      </c>
      <c r="I756" s="6" t="s">
        <v>2035</v>
      </c>
      <c r="J756" s="6" t="s">
        <v>3036</v>
      </c>
      <c r="L756" s="6" t="s">
        <v>42</v>
      </c>
      <c r="M756" s="6" t="e">
        <f>INDEX(医院2县区2人!$B$2:$B$1048576,MATCH(L756,医院2县区2人!$A$2:$A$1048576,0))</f>
        <v>#N/A</v>
      </c>
      <c r="N756" s="6" t="e">
        <f>INDEX(医院2县区2人!$C$2:$C$1048576,MATCH(L756,医院2县区2人!$A$2:$A$1048576,0))</f>
        <v>#N/A</v>
      </c>
      <c r="P756" s="7">
        <v>43256</v>
      </c>
      <c r="Q756" s="6">
        <v>50</v>
      </c>
      <c r="S756" s="6">
        <v>160504</v>
      </c>
      <c r="T756" s="6" t="e">
        <f>INDEX(医院2县区2人!$D$2:$D$1048576,MATCH(L756,医院2县区2人!$A$2:$A$1048576,0))</f>
        <v>#N/A</v>
      </c>
      <c r="W756" s="6" t="str">
        <f t="shared" si="25"/>
        <v>颠茄磺苄啶片/泻痢停20片</v>
      </c>
      <c r="X756" s="6" t="s">
        <v>2921</v>
      </c>
    </row>
    <row r="757" spans="1:24" x14ac:dyDescent="0.15">
      <c r="A757" s="7" t="str">
        <f t="shared" si="26"/>
        <v>201806</v>
      </c>
      <c r="C757" s="6" t="e">
        <f>INDEX(工厂基础数据!$A$2:$A$1024,MATCH(X757,工厂基础数据!$D$2:$D$1024,0))</f>
        <v>#N/A</v>
      </c>
      <c r="E757" s="6" t="e">
        <f>INDEX(工厂基础数据!$B$2:$B$1024,MATCH(X757,工厂基础数据!$D$2:$D$1024,0))</f>
        <v>#N/A</v>
      </c>
      <c r="F757" s="6" t="e">
        <f>INDEX(商业2转码!$B$2:$B$10000,MATCH(E757,商业2转码!$A$2:$A$10000,0))</f>
        <v>#N/A</v>
      </c>
      <c r="G757" s="6" t="str">
        <f>INDEX(品种2编码!$A$2:$A$1048576,MATCH(W757,品种2编码!$D$2:$D$1048576,0))</f>
        <v>0020030001SJZY0009</v>
      </c>
      <c r="H757" s="6" t="s">
        <v>555</v>
      </c>
      <c r="I757" s="6" t="s">
        <v>411</v>
      </c>
      <c r="J757" s="6" t="s">
        <v>3044</v>
      </c>
      <c r="L757" s="6" t="s">
        <v>3076</v>
      </c>
      <c r="M757" s="6" t="e">
        <f>INDEX(医院2县区2人!$B$2:$B$1048576,MATCH(L757,医院2县区2人!$A$2:$A$1048576,0))</f>
        <v>#N/A</v>
      </c>
      <c r="N757" s="6" t="e">
        <f>INDEX(医院2县区2人!$C$2:$C$1048576,MATCH(L757,医院2县区2人!$A$2:$A$1048576,0))</f>
        <v>#N/A</v>
      </c>
      <c r="P757" s="7">
        <v>43256</v>
      </c>
      <c r="Q757" s="6">
        <v>10</v>
      </c>
      <c r="S757" s="6">
        <v>17120411</v>
      </c>
      <c r="T757" s="6" t="e">
        <f>INDEX(医院2县区2人!$D$2:$D$1048576,MATCH(L757,医院2县区2人!$A$2:$A$1048576,0))</f>
        <v>#N/A</v>
      </c>
      <c r="W757" s="6" t="str">
        <f t="shared" si="25"/>
        <v>葡萄糖酸锌口服液10ml*12支</v>
      </c>
      <c r="X757" s="6" t="s">
        <v>2921</v>
      </c>
    </row>
    <row r="758" spans="1:24" x14ac:dyDescent="0.15">
      <c r="A758" s="7" t="str">
        <f t="shared" si="26"/>
        <v>201806</v>
      </c>
      <c r="C758" s="6" t="e">
        <f>INDEX(工厂基础数据!$A$2:$A$1024,MATCH(X758,工厂基础数据!$D$2:$D$1024,0))</f>
        <v>#N/A</v>
      </c>
      <c r="E758" s="6" t="e">
        <f>INDEX(工厂基础数据!$B$2:$B$1024,MATCH(X758,工厂基础数据!$D$2:$D$1024,0))</f>
        <v>#N/A</v>
      </c>
      <c r="F758" s="6" t="e">
        <f>INDEX(商业2转码!$B$2:$B$10000,MATCH(E758,商业2转码!$A$2:$A$10000,0))</f>
        <v>#N/A</v>
      </c>
      <c r="G758" s="6" t="str">
        <f>INDEX(品种2编码!$A$2:$A$1048576,MATCH(W758,品种2编码!$D$2:$D$1048576,0))</f>
        <v>0020030001SJZY0006</v>
      </c>
      <c r="H758" s="6" t="s">
        <v>1833</v>
      </c>
      <c r="I758" s="6" t="s">
        <v>411</v>
      </c>
      <c r="J758" s="6" t="s">
        <v>3040</v>
      </c>
      <c r="L758" s="6" t="s">
        <v>3076</v>
      </c>
      <c r="M758" s="6" t="e">
        <f>INDEX(医院2县区2人!$B$2:$B$1048576,MATCH(L758,医院2县区2人!$A$2:$A$1048576,0))</f>
        <v>#N/A</v>
      </c>
      <c r="N758" s="6" t="e">
        <f>INDEX(医院2县区2人!$C$2:$C$1048576,MATCH(L758,医院2县区2人!$A$2:$A$1048576,0))</f>
        <v>#N/A</v>
      </c>
      <c r="P758" s="7">
        <v>43256</v>
      </c>
      <c r="Q758" s="6">
        <v>10</v>
      </c>
      <c r="S758" s="6">
        <v>17111823</v>
      </c>
      <c r="T758" s="6" t="e">
        <f>INDEX(医院2县区2人!$D$2:$D$1048576,MATCH(L758,医院2县区2人!$A$2:$A$1048576,0))</f>
        <v>#N/A</v>
      </c>
      <c r="W758" s="6" t="str">
        <f t="shared" si="25"/>
        <v>葡萄糖酸钙口服溶液10ml*12支</v>
      </c>
      <c r="X758" s="6" t="s">
        <v>2921</v>
      </c>
    </row>
    <row r="759" spans="1:24" x14ac:dyDescent="0.15">
      <c r="A759" s="7" t="str">
        <f t="shared" si="26"/>
        <v>201806</v>
      </c>
      <c r="C759" s="6" t="e">
        <f>INDEX(工厂基础数据!$A$2:$A$1024,MATCH(X759,工厂基础数据!$D$2:$D$1024,0))</f>
        <v>#N/A</v>
      </c>
      <c r="E759" s="6" t="e">
        <f>INDEX(工厂基础数据!$B$2:$B$1024,MATCH(X759,工厂基础数据!$D$2:$D$1024,0))</f>
        <v>#N/A</v>
      </c>
      <c r="F759" s="6" t="e">
        <f>INDEX(商业2转码!$B$2:$B$10000,MATCH(E759,商业2转码!$A$2:$A$10000,0))</f>
        <v>#N/A</v>
      </c>
      <c r="G759" s="6" t="str">
        <f>INDEX(品种2编码!$A$2:$A$1048576,MATCH(W759,品种2编码!$D$2:$D$1048576,0))</f>
        <v>0020030040ZYLC0001</v>
      </c>
      <c r="H759" s="6" t="s">
        <v>1953</v>
      </c>
      <c r="I759" s="6" t="s">
        <v>1954</v>
      </c>
      <c r="J759" s="6" t="s">
        <v>3036</v>
      </c>
      <c r="L759" s="6" t="s">
        <v>3070</v>
      </c>
      <c r="M759" s="6" t="e">
        <f>INDEX(医院2县区2人!$B$2:$B$1048576,MATCH(L759,医院2县区2人!$A$2:$A$1048576,0))</f>
        <v>#N/A</v>
      </c>
      <c r="N759" s="6" t="e">
        <f>INDEX(医院2县区2人!$C$2:$C$1048576,MATCH(L759,医院2县区2人!$A$2:$A$1048576,0))</f>
        <v>#N/A</v>
      </c>
      <c r="P759" s="7">
        <v>43257</v>
      </c>
      <c r="Q759" s="6">
        <v>10</v>
      </c>
      <c r="S759" s="6">
        <v>180184</v>
      </c>
      <c r="T759" s="6" t="e">
        <f>INDEX(医院2县区2人!$D$2:$D$1048576,MATCH(L759,医院2县区2人!$A$2:$A$1048576,0))</f>
        <v>#N/A</v>
      </c>
      <c r="W759" s="6" t="str">
        <f t="shared" si="25"/>
        <v>小儿氨酚黄那敏颗粒12袋</v>
      </c>
      <c r="X759" s="6" t="s">
        <v>2921</v>
      </c>
    </row>
    <row r="760" spans="1:24" x14ac:dyDescent="0.15">
      <c r="A760" s="7" t="str">
        <f t="shared" si="26"/>
        <v>201806</v>
      </c>
      <c r="C760" s="6" t="e">
        <f>INDEX(工厂基础数据!$A$2:$A$1024,MATCH(X760,工厂基础数据!$D$2:$D$1024,0))</f>
        <v>#N/A</v>
      </c>
      <c r="E760" s="6" t="e">
        <f>INDEX(工厂基础数据!$B$2:$B$1024,MATCH(X760,工厂基础数据!$D$2:$D$1024,0))</f>
        <v>#N/A</v>
      </c>
      <c r="F760" s="6" t="e">
        <f>INDEX(商业2转码!$B$2:$B$10000,MATCH(E760,商业2转码!$A$2:$A$10000,0))</f>
        <v>#N/A</v>
      </c>
      <c r="G760" s="6">
        <f>INDEX(品种2编码!$A$2:$A$1048576,MATCH(W760,品种2编码!$D$2:$D$1048576,0))</f>
        <v>0</v>
      </c>
      <c r="H760" s="6" t="s">
        <v>1872</v>
      </c>
      <c r="I760" s="6" t="s">
        <v>3064</v>
      </c>
      <c r="J760" s="6" t="s">
        <v>3046</v>
      </c>
      <c r="L760" s="6" t="s">
        <v>3077</v>
      </c>
      <c r="M760" s="6" t="e">
        <f>INDEX(医院2县区2人!$B$2:$B$1048576,MATCH(L760,医院2县区2人!$A$2:$A$1048576,0))</f>
        <v>#N/A</v>
      </c>
      <c r="N760" s="6" t="e">
        <f>INDEX(医院2县区2人!$C$2:$C$1048576,MATCH(L760,医院2县区2人!$A$2:$A$1048576,0))</f>
        <v>#N/A</v>
      </c>
      <c r="P760" s="7">
        <v>43257</v>
      </c>
      <c r="Q760" s="6">
        <v>-50</v>
      </c>
      <c r="S760" s="6">
        <v>1706022</v>
      </c>
      <c r="T760" s="6" t="e">
        <f>INDEX(医院2县区2人!$D$2:$D$1048576,MATCH(L760,医院2县区2人!$A$2:$A$1048576,0))</f>
        <v>#N/A</v>
      </c>
      <c r="W760" s="6" t="str">
        <f t="shared" si="25"/>
        <v>拉西地平片/司乐平4mg*30片</v>
      </c>
      <c r="X760" s="6" t="s">
        <v>2921</v>
      </c>
    </row>
    <row r="761" spans="1:24" x14ac:dyDescent="0.15">
      <c r="A761" s="7" t="str">
        <f t="shared" si="26"/>
        <v>201806</v>
      </c>
      <c r="C761" s="6" t="e">
        <f>INDEX(工厂基础数据!$A$2:$A$1024,MATCH(X761,工厂基础数据!$D$2:$D$1024,0))</f>
        <v>#N/A</v>
      </c>
      <c r="E761" s="6" t="e">
        <f>INDEX(工厂基础数据!$B$2:$B$1024,MATCH(X761,工厂基础数据!$D$2:$D$1024,0))</f>
        <v>#N/A</v>
      </c>
      <c r="F761" s="6" t="e">
        <f>INDEX(商业2转码!$B$2:$B$10000,MATCH(E761,商业2转码!$A$2:$A$10000,0))</f>
        <v>#N/A</v>
      </c>
      <c r="G761" s="6">
        <f>INDEX(品种2编码!$A$2:$A$1048576,MATCH(W761,品种2编码!$D$2:$D$1048576,0))</f>
        <v>0</v>
      </c>
      <c r="H761" s="6" t="s">
        <v>1872</v>
      </c>
      <c r="I761" s="6" t="s">
        <v>3064</v>
      </c>
      <c r="J761" s="6" t="s">
        <v>3046</v>
      </c>
      <c r="L761" s="6" t="s">
        <v>3077</v>
      </c>
      <c r="M761" s="6" t="e">
        <f>INDEX(医院2县区2人!$B$2:$B$1048576,MATCH(L761,医院2县区2人!$A$2:$A$1048576,0))</f>
        <v>#N/A</v>
      </c>
      <c r="N761" s="6" t="e">
        <f>INDEX(医院2县区2人!$C$2:$C$1048576,MATCH(L761,医院2县区2人!$A$2:$A$1048576,0))</f>
        <v>#N/A</v>
      </c>
      <c r="P761" s="7">
        <v>43257</v>
      </c>
      <c r="Q761" s="6">
        <v>-16</v>
      </c>
      <c r="S761" s="6">
        <v>1706022</v>
      </c>
      <c r="T761" s="6" t="e">
        <f>INDEX(医院2县区2人!$D$2:$D$1048576,MATCH(L761,医院2县区2人!$A$2:$A$1048576,0))</f>
        <v>#N/A</v>
      </c>
      <c r="W761" s="6" t="str">
        <f t="shared" si="25"/>
        <v>拉西地平片/司乐平4mg*30片</v>
      </c>
      <c r="X761" s="6" t="s">
        <v>2921</v>
      </c>
    </row>
    <row r="762" spans="1:24" x14ac:dyDescent="0.15">
      <c r="A762" s="7" t="str">
        <f t="shared" si="26"/>
        <v>201806</v>
      </c>
      <c r="C762" s="6" t="e">
        <f>INDEX(工厂基础数据!$A$2:$A$1024,MATCH(X762,工厂基础数据!$D$2:$D$1024,0))</f>
        <v>#N/A</v>
      </c>
      <c r="E762" s="6" t="e">
        <f>INDEX(工厂基础数据!$B$2:$B$1024,MATCH(X762,工厂基础数据!$D$2:$D$1024,0))</f>
        <v>#N/A</v>
      </c>
      <c r="F762" s="6" t="e">
        <f>INDEX(商业2转码!$B$2:$B$10000,MATCH(E762,商业2转码!$A$2:$A$10000,0))</f>
        <v>#N/A</v>
      </c>
      <c r="G762" s="6">
        <f>INDEX(品种2编码!$A$2:$A$1048576,MATCH(W762,品种2编码!$D$2:$D$1048576,0))</f>
        <v>0</v>
      </c>
      <c r="H762" s="6" t="s">
        <v>1872</v>
      </c>
      <c r="I762" s="6" t="s">
        <v>3064</v>
      </c>
      <c r="J762" s="6" t="s">
        <v>3046</v>
      </c>
      <c r="L762" s="6" t="s">
        <v>3077</v>
      </c>
      <c r="M762" s="6" t="e">
        <f>INDEX(医院2县区2人!$B$2:$B$1048576,MATCH(L762,医院2县区2人!$A$2:$A$1048576,0))</f>
        <v>#N/A</v>
      </c>
      <c r="N762" s="6" t="e">
        <f>INDEX(医院2县区2人!$C$2:$C$1048576,MATCH(L762,医院2县区2人!$A$2:$A$1048576,0))</f>
        <v>#N/A</v>
      </c>
      <c r="P762" s="7">
        <v>43257</v>
      </c>
      <c r="Q762" s="6">
        <v>-2</v>
      </c>
      <c r="S762" s="6">
        <v>1705004</v>
      </c>
      <c r="T762" s="6" t="e">
        <f>INDEX(医院2县区2人!$D$2:$D$1048576,MATCH(L762,医院2县区2人!$A$2:$A$1048576,0))</f>
        <v>#N/A</v>
      </c>
      <c r="W762" s="6" t="str">
        <f t="shared" si="25"/>
        <v>拉西地平片/司乐平4mg*30片</v>
      </c>
      <c r="X762" s="6" t="s">
        <v>2921</v>
      </c>
    </row>
    <row r="763" spans="1:24" x14ac:dyDescent="0.15">
      <c r="A763" s="7" t="str">
        <f t="shared" si="26"/>
        <v>201806</v>
      </c>
      <c r="C763" s="6" t="e">
        <f>INDEX(工厂基础数据!$A$2:$A$1024,MATCH(X763,工厂基础数据!$D$2:$D$1024,0))</f>
        <v>#N/A</v>
      </c>
      <c r="E763" s="6" t="e">
        <f>INDEX(工厂基础数据!$B$2:$B$1024,MATCH(X763,工厂基础数据!$D$2:$D$1024,0))</f>
        <v>#N/A</v>
      </c>
      <c r="F763" s="6" t="e">
        <f>INDEX(商业2转码!$B$2:$B$10000,MATCH(E763,商业2转码!$A$2:$A$10000,0))</f>
        <v>#N/A</v>
      </c>
      <c r="G763" s="6">
        <f>INDEX(品种2编码!$A$2:$A$1048576,MATCH(W763,品种2编码!$D$2:$D$1048576,0))</f>
        <v>0</v>
      </c>
      <c r="H763" s="6" t="s">
        <v>1872</v>
      </c>
      <c r="I763" s="6" t="s">
        <v>3064</v>
      </c>
      <c r="J763" s="6" t="s">
        <v>3046</v>
      </c>
      <c r="L763" s="6" t="s">
        <v>3077</v>
      </c>
      <c r="M763" s="6" t="e">
        <f>INDEX(医院2县区2人!$B$2:$B$1048576,MATCH(L763,医院2县区2人!$A$2:$A$1048576,0))</f>
        <v>#N/A</v>
      </c>
      <c r="N763" s="6" t="e">
        <f>INDEX(医院2县区2人!$C$2:$C$1048576,MATCH(L763,医院2县区2人!$A$2:$A$1048576,0))</f>
        <v>#N/A</v>
      </c>
      <c r="P763" s="7">
        <v>43257</v>
      </c>
      <c r="Q763" s="6">
        <v>-17</v>
      </c>
      <c r="S763" s="6">
        <v>1706022</v>
      </c>
      <c r="T763" s="6" t="e">
        <f>INDEX(医院2县区2人!$D$2:$D$1048576,MATCH(L763,医院2县区2人!$A$2:$A$1048576,0))</f>
        <v>#N/A</v>
      </c>
      <c r="W763" s="6" t="str">
        <f t="shared" si="25"/>
        <v>拉西地平片/司乐平4mg*30片</v>
      </c>
      <c r="X763" s="6" t="s">
        <v>2921</v>
      </c>
    </row>
    <row r="764" spans="1:24" x14ac:dyDescent="0.15">
      <c r="A764" s="7" t="str">
        <f t="shared" si="26"/>
        <v>201806</v>
      </c>
      <c r="C764" s="6" t="e">
        <f>INDEX(工厂基础数据!$A$2:$A$1024,MATCH(X764,工厂基础数据!$D$2:$D$1024,0))</f>
        <v>#N/A</v>
      </c>
      <c r="E764" s="6" t="e">
        <f>INDEX(工厂基础数据!$B$2:$B$1024,MATCH(X764,工厂基础数据!$D$2:$D$1024,0))</f>
        <v>#N/A</v>
      </c>
      <c r="F764" s="6" t="e">
        <f>INDEX(商业2转码!$B$2:$B$10000,MATCH(E764,商业2转码!$A$2:$A$10000,0))</f>
        <v>#N/A</v>
      </c>
      <c r="G764" s="6">
        <f>INDEX(品种2编码!$A$2:$A$1048576,MATCH(W764,品种2编码!$D$2:$D$1048576,0))</f>
        <v>0</v>
      </c>
      <c r="H764" s="6" t="s">
        <v>1872</v>
      </c>
      <c r="I764" s="6" t="s">
        <v>3064</v>
      </c>
      <c r="J764" s="6" t="s">
        <v>3046</v>
      </c>
      <c r="L764" s="6" t="s">
        <v>3077</v>
      </c>
      <c r="M764" s="6" t="e">
        <f>INDEX(医院2县区2人!$B$2:$B$1048576,MATCH(L764,医院2县区2人!$A$2:$A$1048576,0))</f>
        <v>#N/A</v>
      </c>
      <c r="N764" s="6" t="e">
        <f>INDEX(医院2县区2人!$C$2:$C$1048576,MATCH(L764,医院2县区2人!$A$2:$A$1048576,0))</f>
        <v>#N/A</v>
      </c>
      <c r="P764" s="7">
        <v>43257</v>
      </c>
      <c r="Q764" s="6">
        <v>-9</v>
      </c>
      <c r="S764" s="6">
        <v>1704002</v>
      </c>
      <c r="T764" s="6" t="e">
        <f>INDEX(医院2县区2人!$D$2:$D$1048576,MATCH(L764,医院2县区2人!$A$2:$A$1048576,0))</f>
        <v>#N/A</v>
      </c>
      <c r="W764" s="6" t="str">
        <f t="shared" si="25"/>
        <v>拉西地平片/司乐平4mg*30片</v>
      </c>
      <c r="X764" s="6" t="s">
        <v>2921</v>
      </c>
    </row>
    <row r="765" spans="1:24" x14ac:dyDescent="0.15">
      <c r="A765" s="7" t="str">
        <f t="shared" si="26"/>
        <v>201806</v>
      </c>
      <c r="C765" s="6" t="e">
        <f>INDEX(工厂基础数据!$A$2:$A$1024,MATCH(X765,工厂基础数据!$D$2:$D$1024,0))</f>
        <v>#N/A</v>
      </c>
      <c r="E765" s="6" t="e">
        <f>INDEX(工厂基础数据!$B$2:$B$1024,MATCH(X765,工厂基础数据!$D$2:$D$1024,0))</f>
        <v>#N/A</v>
      </c>
      <c r="F765" s="6" t="e">
        <f>INDEX(商业2转码!$B$2:$B$10000,MATCH(E765,商业2转码!$A$2:$A$10000,0))</f>
        <v>#N/A</v>
      </c>
      <c r="G765" s="6">
        <f>INDEX(品种2编码!$A$2:$A$1048576,MATCH(W765,品种2编码!$D$2:$D$1048576,0))</f>
        <v>0</v>
      </c>
      <c r="H765" s="6" t="s">
        <v>3062</v>
      </c>
      <c r="I765" s="6" t="s">
        <v>2035</v>
      </c>
      <c r="J765" s="6" t="s">
        <v>3036</v>
      </c>
      <c r="L765" s="6" t="s">
        <v>3078</v>
      </c>
      <c r="M765" s="6" t="e">
        <f>INDEX(医院2县区2人!$B$2:$B$1048576,MATCH(L765,医院2县区2人!$A$2:$A$1048576,0))</f>
        <v>#N/A</v>
      </c>
      <c r="N765" s="6" t="e">
        <f>INDEX(医院2县区2人!$C$2:$C$1048576,MATCH(L765,医院2县区2人!$A$2:$A$1048576,0))</f>
        <v>#N/A</v>
      </c>
      <c r="P765" s="7">
        <v>43257</v>
      </c>
      <c r="Q765" s="6">
        <v>-50</v>
      </c>
      <c r="S765" s="6">
        <v>160504</v>
      </c>
      <c r="T765" s="6" t="e">
        <f>INDEX(医院2县区2人!$D$2:$D$1048576,MATCH(L765,医院2县区2人!$A$2:$A$1048576,0))</f>
        <v>#N/A</v>
      </c>
      <c r="W765" s="6" t="str">
        <f t="shared" si="25"/>
        <v>颠茄磺苄啶片/泻痢停20片</v>
      </c>
      <c r="X765" s="6" t="s">
        <v>2921</v>
      </c>
    </row>
    <row r="766" spans="1:24" x14ac:dyDescent="0.15">
      <c r="A766" s="7" t="str">
        <f t="shared" si="26"/>
        <v>201806</v>
      </c>
      <c r="C766" s="6" t="e">
        <f>INDEX(工厂基础数据!$A$2:$A$1024,MATCH(X766,工厂基础数据!$D$2:$D$1024,0))</f>
        <v>#N/A</v>
      </c>
      <c r="E766" s="6" t="e">
        <f>INDEX(工厂基础数据!$B$2:$B$1024,MATCH(X766,工厂基础数据!$D$2:$D$1024,0))</f>
        <v>#N/A</v>
      </c>
      <c r="F766" s="6" t="e">
        <f>INDEX(商业2转码!$B$2:$B$10000,MATCH(E766,商业2转码!$A$2:$A$10000,0))</f>
        <v>#N/A</v>
      </c>
      <c r="G766" s="6" t="str">
        <f>INDEX(品种2编码!$A$2:$A$1048576,MATCH(W766,品种2编码!$D$2:$D$1048576,0))</f>
        <v>0020020030SJMS0025</v>
      </c>
      <c r="H766" s="6" t="s">
        <v>586</v>
      </c>
      <c r="I766" s="6" t="s">
        <v>1937</v>
      </c>
      <c r="J766" s="6" t="s">
        <v>3046</v>
      </c>
      <c r="L766" s="6" t="s">
        <v>3068</v>
      </c>
      <c r="M766" s="6" t="e">
        <f>INDEX(医院2县区2人!$B$2:$B$1048576,MATCH(L766,医院2县区2人!$A$2:$A$1048576,0))</f>
        <v>#N/A</v>
      </c>
      <c r="N766" s="6" t="e">
        <f>INDEX(医院2县区2人!$C$2:$C$1048576,MATCH(L766,医院2县区2人!$A$2:$A$1048576,0))</f>
        <v>#N/A</v>
      </c>
      <c r="P766" s="7">
        <v>43258</v>
      </c>
      <c r="Q766" s="6">
        <v>-1</v>
      </c>
      <c r="S766" s="6">
        <v>1705003</v>
      </c>
      <c r="T766" s="6" t="e">
        <f>INDEX(医院2县区2人!$D$2:$D$1048576,MATCH(L766,医院2县区2人!$A$2:$A$1048576,0))</f>
        <v>#N/A</v>
      </c>
      <c r="W766" s="6" t="str">
        <f t="shared" si="25"/>
        <v>人工牛黄甲硝唑胶囊30粒</v>
      </c>
      <c r="X766" s="6" t="s">
        <v>2921</v>
      </c>
    </row>
    <row r="767" spans="1:24" x14ac:dyDescent="0.15">
      <c r="A767" s="7" t="str">
        <f t="shared" si="26"/>
        <v>201806</v>
      </c>
      <c r="C767" s="6" t="e">
        <f>INDEX(工厂基础数据!$A$2:$A$1024,MATCH(X767,工厂基础数据!$D$2:$D$1024,0))</f>
        <v>#N/A</v>
      </c>
      <c r="E767" s="6" t="e">
        <f>INDEX(工厂基础数据!$B$2:$B$1024,MATCH(X767,工厂基础数据!$D$2:$D$1024,0))</f>
        <v>#N/A</v>
      </c>
      <c r="F767" s="6" t="e">
        <f>INDEX(商业2转码!$B$2:$B$10000,MATCH(E767,商业2转码!$A$2:$A$10000,0))</f>
        <v>#N/A</v>
      </c>
      <c r="G767" s="6">
        <f>INDEX(品种2编码!$A$2:$A$1048576,MATCH(W767,品种2编码!$D$2:$D$1048576,0))</f>
        <v>0</v>
      </c>
      <c r="H767" s="6" t="s">
        <v>3062</v>
      </c>
      <c r="I767" s="6" t="s">
        <v>2035</v>
      </c>
      <c r="J767" s="6" t="s">
        <v>3036</v>
      </c>
      <c r="L767" s="6" t="s">
        <v>3079</v>
      </c>
      <c r="M767" s="6" t="e">
        <f>INDEX(医院2县区2人!$B$2:$B$1048576,MATCH(L767,医院2县区2人!$A$2:$A$1048576,0))</f>
        <v>#N/A</v>
      </c>
      <c r="N767" s="6" t="e">
        <f>INDEX(医院2县区2人!$C$2:$C$1048576,MATCH(L767,医院2县区2人!$A$2:$A$1048576,0))</f>
        <v>#N/A</v>
      </c>
      <c r="P767" s="7">
        <v>43259</v>
      </c>
      <c r="Q767" s="6">
        <v>10</v>
      </c>
      <c r="S767" s="6">
        <v>160504</v>
      </c>
      <c r="T767" s="6" t="e">
        <f>INDEX(医院2县区2人!$D$2:$D$1048576,MATCH(L767,医院2县区2人!$A$2:$A$1048576,0))</f>
        <v>#N/A</v>
      </c>
      <c r="W767" s="6" t="str">
        <f t="shared" si="25"/>
        <v>颠茄磺苄啶片/泻痢停20片</v>
      </c>
      <c r="X767" s="6" t="s">
        <v>2921</v>
      </c>
    </row>
    <row r="768" spans="1:24" x14ac:dyDescent="0.15">
      <c r="A768" s="7" t="str">
        <f t="shared" si="26"/>
        <v>201806</v>
      </c>
      <c r="C768" s="6" t="e">
        <f>INDEX(工厂基础数据!$A$2:$A$1024,MATCH(X768,工厂基础数据!$D$2:$D$1024,0))</f>
        <v>#N/A</v>
      </c>
      <c r="E768" s="6" t="e">
        <f>INDEX(工厂基础数据!$B$2:$B$1024,MATCH(X768,工厂基础数据!$D$2:$D$1024,0))</f>
        <v>#N/A</v>
      </c>
      <c r="F768" s="6" t="e">
        <f>INDEX(商业2转码!$B$2:$B$10000,MATCH(E768,商业2转码!$A$2:$A$10000,0))</f>
        <v>#N/A</v>
      </c>
      <c r="G768" s="6" t="str">
        <f>INDEX(品种2编码!$A$2:$A$1048576,MATCH(W768,品种2编码!$D$2:$D$1048576,0))</f>
        <v>0020020013ZYZC0491</v>
      </c>
      <c r="H768" s="6" t="s">
        <v>911</v>
      </c>
      <c r="I768" s="6" t="s">
        <v>914</v>
      </c>
      <c r="J768" s="6" t="s">
        <v>3038</v>
      </c>
      <c r="L768" s="6" t="s">
        <v>3080</v>
      </c>
      <c r="M768" s="6" t="e">
        <f>INDEX(医院2县区2人!$B$2:$B$1048576,MATCH(L768,医院2县区2人!$A$2:$A$1048576,0))</f>
        <v>#N/A</v>
      </c>
      <c r="N768" s="6" t="e">
        <f>INDEX(医院2县区2人!$C$2:$C$1048576,MATCH(L768,医院2县区2人!$A$2:$A$1048576,0))</f>
        <v>#N/A</v>
      </c>
      <c r="P768" s="7">
        <v>43259</v>
      </c>
      <c r="Q768" s="6">
        <v>50</v>
      </c>
      <c r="S768" s="6" t="s">
        <v>3065</v>
      </c>
      <c r="T768" s="6" t="e">
        <f>INDEX(医院2县区2人!$D$2:$D$1048576,MATCH(L768,医院2县区2人!$A$2:$A$1048576,0))</f>
        <v>#N/A</v>
      </c>
      <c r="W768" s="6" t="str">
        <f t="shared" si="25"/>
        <v>注射用乳糖酸阿奇霉素0.25g</v>
      </c>
      <c r="X768" s="6" t="s">
        <v>2921</v>
      </c>
    </row>
    <row r="769" spans="1:24" x14ac:dyDescent="0.15">
      <c r="A769" s="7" t="str">
        <f t="shared" si="26"/>
        <v>201806</v>
      </c>
      <c r="C769" s="6" t="e">
        <f>INDEX(工厂基础数据!$A$2:$A$1024,MATCH(X769,工厂基础数据!$D$2:$D$1024,0))</f>
        <v>#N/A</v>
      </c>
      <c r="E769" s="6" t="e">
        <f>INDEX(工厂基础数据!$B$2:$B$1024,MATCH(X769,工厂基础数据!$D$2:$D$1024,0))</f>
        <v>#N/A</v>
      </c>
      <c r="F769" s="6" t="e">
        <f>INDEX(商业2转码!$B$2:$B$10000,MATCH(E769,商业2转码!$A$2:$A$10000,0))</f>
        <v>#N/A</v>
      </c>
      <c r="G769" s="6" t="str">
        <f>INDEX(品种2编码!$A$2:$A$1048576,MATCH(W769,品种2编码!$D$2:$D$1048576,0))</f>
        <v>0020020013ZYZC0491</v>
      </c>
      <c r="H769" s="6" t="s">
        <v>911</v>
      </c>
      <c r="I769" s="6" t="s">
        <v>914</v>
      </c>
      <c r="J769" s="6" t="s">
        <v>3038</v>
      </c>
      <c r="L769" s="6" t="s">
        <v>3081</v>
      </c>
      <c r="M769" s="6" t="e">
        <f>INDEX(医院2县区2人!$B$2:$B$1048576,MATCH(L769,医院2县区2人!$A$2:$A$1048576,0))</f>
        <v>#N/A</v>
      </c>
      <c r="N769" s="6" t="e">
        <f>INDEX(医院2县区2人!$C$2:$C$1048576,MATCH(L769,医院2县区2人!$A$2:$A$1048576,0))</f>
        <v>#N/A</v>
      </c>
      <c r="P769" s="7">
        <v>43259</v>
      </c>
      <c r="Q769" s="6">
        <v>20</v>
      </c>
      <c r="S769" s="6" t="s">
        <v>2937</v>
      </c>
      <c r="T769" s="6" t="e">
        <f>INDEX(医院2县区2人!$D$2:$D$1048576,MATCH(L769,医院2县区2人!$A$2:$A$1048576,0))</f>
        <v>#N/A</v>
      </c>
      <c r="W769" s="6" t="str">
        <f t="shared" si="25"/>
        <v>注射用乳糖酸阿奇霉素0.25g</v>
      </c>
      <c r="X769" s="6" t="s">
        <v>2921</v>
      </c>
    </row>
    <row r="770" spans="1:24" x14ac:dyDescent="0.15">
      <c r="A770" s="7" t="str">
        <f t="shared" si="26"/>
        <v>201806</v>
      </c>
      <c r="C770" s="6" t="e">
        <f>INDEX(工厂基础数据!$A$2:$A$1024,MATCH(X770,工厂基础数据!$D$2:$D$1024,0))</f>
        <v>#N/A</v>
      </c>
      <c r="E770" s="6" t="e">
        <f>INDEX(工厂基础数据!$B$2:$B$1024,MATCH(X770,工厂基础数据!$D$2:$D$1024,0))</f>
        <v>#N/A</v>
      </c>
      <c r="F770" s="6" t="e">
        <f>INDEX(商业2转码!$B$2:$B$10000,MATCH(E770,商业2转码!$A$2:$A$10000,0))</f>
        <v>#N/A</v>
      </c>
      <c r="G770" s="6">
        <f>INDEX(品种2编码!$A$2:$A$1048576,MATCH(W770,品种2编码!$D$2:$D$1048576,0))</f>
        <v>0</v>
      </c>
      <c r="H770" s="6" t="s">
        <v>1872</v>
      </c>
      <c r="I770" s="6" t="s">
        <v>3064</v>
      </c>
      <c r="J770" s="6" t="s">
        <v>3046</v>
      </c>
      <c r="L770" s="6" t="s">
        <v>3070</v>
      </c>
      <c r="M770" s="6" t="e">
        <f>INDEX(医院2县区2人!$B$2:$B$1048576,MATCH(L770,医院2县区2人!$A$2:$A$1048576,0))</f>
        <v>#N/A</v>
      </c>
      <c r="N770" s="6" t="e">
        <f>INDEX(医院2县区2人!$C$2:$C$1048576,MATCH(L770,医院2县区2人!$A$2:$A$1048576,0))</f>
        <v>#N/A</v>
      </c>
      <c r="P770" s="7">
        <v>43262</v>
      </c>
      <c r="Q770" s="6">
        <v>5</v>
      </c>
      <c r="S770" s="6">
        <v>1803029</v>
      </c>
      <c r="T770" s="6" t="e">
        <f>INDEX(医院2县区2人!$D$2:$D$1048576,MATCH(L770,医院2县区2人!$A$2:$A$1048576,0))</f>
        <v>#N/A</v>
      </c>
      <c r="W770" s="6" t="str">
        <f t="shared" si="25"/>
        <v>拉西地平片/司乐平4mg*30片</v>
      </c>
      <c r="X770" s="6" t="s">
        <v>2921</v>
      </c>
    </row>
    <row r="771" spans="1:24" x14ac:dyDescent="0.15">
      <c r="A771" s="7" t="str">
        <f t="shared" si="26"/>
        <v>201806</v>
      </c>
      <c r="C771" s="6" t="e">
        <f>INDEX(工厂基础数据!$A$2:$A$1024,MATCH(X771,工厂基础数据!$D$2:$D$1024,0))</f>
        <v>#N/A</v>
      </c>
      <c r="E771" s="6" t="e">
        <f>INDEX(工厂基础数据!$B$2:$B$1024,MATCH(X771,工厂基础数据!$D$2:$D$1024,0))</f>
        <v>#N/A</v>
      </c>
      <c r="F771" s="6" t="e">
        <f>INDEX(商业2转码!$B$2:$B$10000,MATCH(E771,商业2转码!$A$2:$A$10000,0))</f>
        <v>#N/A</v>
      </c>
      <c r="G771" s="6" t="str">
        <f>INDEX(品种2编码!$A$2:$A$1048576,MATCH(W771,品种2编码!$D$2:$D$1048576,0))</f>
        <v>0020050090SJZY0001</v>
      </c>
      <c r="H771" s="6" t="s">
        <v>630</v>
      </c>
      <c r="I771" s="6" t="s">
        <v>1850</v>
      </c>
      <c r="J771" s="6" t="s">
        <v>3044</v>
      </c>
      <c r="L771" s="6" t="s">
        <v>3082</v>
      </c>
      <c r="M771" s="6" t="e">
        <f>INDEX(医院2县区2人!$B$2:$B$1048576,MATCH(L771,医院2县区2人!$A$2:$A$1048576,0))</f>
        <v>#N/A</v>
      </c>
      <c r="N771" s="6" t="e">
        <f>INDEX(医院2县区2人!$C$2:$C$1048576,MATCH(L771,医院2县区2人!$A$2:$A$1048576,0))</f>
        <v>#N/A</v>
      </c>
      <c r="P771" s="7">
        <v>43262</v>
      </c>
      <c r="Q771" s="6">
        <v>5</v>
      </c>
      <c r="S771" s="6">
        <v>17062811</v>
      </c>
      <c r="T771" s="6" t="e">
        <f>INDEX(医院2县区2人!$D$2:$D$1048576,MATCH(L771,医院2县区2人!$A$2:$A$1048576,0))</f>
        <v>#N/A</v>
      </c>
      <c r="W771" s="6" t="str">
        <f t="shared" si="25"/>
        <v>双黄连口服液10ml*10支</v>
      </c>
      <c r="X771" s="6" t="s">
        <v>2921</v>
      </c>
    </row>
    <row r="772" spans="1:24" x14ac:dyDescent="0.15">
      <c r="A772" s="7" t="str">
        <f t="shared" si="26"/>
        <v>201806</v>
      </c>
      <c r="C772" s="6" t="e">
        <f>INDEX(工厂基础数据!$A$2:$A$1024,MATCH(X772,工厂基础数据!$D$2:$D$1024,0))</f>
        <v>#N/A</v>
      </c>
      <c r="E772" s="6" t="e">
        <f>INDEX(工厂基础数据!$B$2:$B$1024,MATCH(X772,工厂基础数据!$D$2:$D$1024,0))</f>
        <v>#N/A</v>
      </c>
      <c r="F772" s="6" t="e">
        <f>INDEX(商业2转码!$B$2:$B$10000,MATCH(E772,商业2转码!$A$2:$A$10000,0))</f>
        <v>#N/A</v>
      </c>
      <c r="G772" s="6">
        <f>INDEX(品种2编码!$A$2:$A$1048576,MATCH(W772,品种2编码!$D$2:$D$1048576,0))</f>
        <v>0</v>
      </c>
      <c r="H772" s="6" t="s">
        <v>3062</v>
      </c>
      <c r="I772" s="6" t="s">
        <v>2035</v>
      </c>
      <c r="J772" s="6" t="s">
        <v>3036</v>
      </c>
      <c r="L772" s="6" t="s">
        <v>3083</v>
      </c>
      <c r="M772" s="6" t="e">
        <f>INDEX(医院2县区2人!$B$2:$B$1048576,MATCH(L772,医院2县区2人!$A$2:$A$1048576,0))</f>
        <v>#N/A</v>
      </c>
      <c r="N772" s="6" t="e">
        <f>INDEX(医院2县区2人!$C$2:$C$1048576,MATCH(L772,医院2县区2人!$A$2:$A$1048576,0))</f>
        <v>#N/A</v>
      </c>
      <c r="P772" s="7">
        <v>43262</v>
      </c>
      <c r="Q772" s="6">
        <v>10</v>
      </c>
      <c r="S772" s="6">
        <v>160504</v>
      </c>
      <c r="T772" s="6" t="e">
        <f>INDEX(医院2县区2人!$D$2:$D$1048576,MATCH(L772,医院2县区2人!$A$2:$A$1048576,0))</f>
        <v>#N/A</v>
      </c>
      <c r="W772" s="6" t="str">
        <f t="shared" ref="W772:W834" si="27">H772&amp;I772</f>
        <v>颠茄磺苄啶片/泻痢停20片</v>
      </c>
      <c r="X772" s="6" t="s">
        <v>2921</v>
      </c>
    </row>
    <row r="773" spans="1:24" x14ac:dyDescent="0.15">
      <c r="A773" s="7" t="str">
        <f t="shared" ref="A773:A835" si="28">IF(MONTH(P773)&lt;10,YEAR(P773)&amp;"0"&amp;MONTH(P773),YEAR(P773)&amp;MONTH(P773))</f>
        <v>201806</v>
      </c>
      <c r="C773" s="6" t="e">
        <f>INDEX(工厂基础数据!$A$2:$A$1024,MATCH(X773,工厂基础数据!$D$2:$D$1024,0))</f>
        <v>#N/A</v>
      </c>
      <c r="E773" s="6" t="e">
        <f>INDEX(工厂基础数据!$B$2:$B$1024,MATCH(X773,工厂基础数据!$D$2:$D$1024,0))</f>
        <v>#N/A</v>
      </c>
      <c r="F773" s="6" t="e">
        <f>INDEX(商业2转码!$B$2:$B$10000,MATCH(E773,商业2转码!$A$2:$A$10000,0))</f>
        <v>#N/A</v>
      </c>
      <c r="G773" s="6">
        <f>INDEX(品种2编码!$A$2:$A$1048576,MATCH(W773,品种2编码!$D$2:$D$1048576,0))</f>
        <v>0</v>
      </c>
      <c r="H773" s="6" t="s">
        <v>3062</v>
      </c>
      <c r="I773" s="6" t="s">
        <v>2035</v>
      </c>
      <c r="J773" s="6" t="s">
        <v>3036</v>
      </c>
      <c r="L773" s="6" t="s">
        <v>3084</v>
      </c>
      <c r="M773" s="6" t="e">
        <f>INDEX(医院2县区2人!$B$2:$B$1048576,MATCH(L773,医院2县区2人!$A$2:$A$1048576,0))</f>
        <v>#N/A</v>
      </c>
      <c r="N773" s="6" t="e">
        <f>INDEX(医院2县区2人!$C$2:$C$1048576,MATCH(L773,医院2县区2人!$A$2:$A$1048576,0))</f>
        <v>#N/A</v>
      </c>
      <c r="P773" s="7">
        <v>43262</v>
      </c>
      <c r="Q773" s="6">
        <v>10</v>
      </c>
      <c r="S773" s="6">
        <v>160504</v>
      </c>
      <c r="T773" s="6" t="e">
        <f>INDEX(医院2县区2人!$D$2:$D$1048576,MATCH(L773,医院2县区2人!$A$2:$A$1048576,0))</f>
        <v>#N/A</v>
      </c>
      <c r="W773" s="6" t="str">
        <f t="shared" si="27"/>
        <v>颠茄磺苄啶片/泻痢停20片</v>
      </c>
      <c r="X773" s="6" t="s">
        <v>2921</v>
      </c>
    </row>
    <row r="774" spans="1:24" x14ac:dyDescent="0.15">
      <c r="A774" s="7" t="str">
        <f t="shared" si="28"/>
        <v>201806</v>
      </c>
      <c r="C774" s="6" t="e">
        <f>INDEX(工厂基础数据!$A$2:$A$1024,MATCH(X774,工厂基础数据!$D$2:$D$1024,0))</f>
        <v>#N/A</v>
      </c>
      <c r="E774" s="6" t="e">
        <f>INDEX(工厂基础数据!$B$2:$B$1024,MATCH(X774,工厂基础数据!$D$2:$D$1024,0))</f>
        <v>#N/A</v>
      </c>
      <c r="F774" s="6" t="e">
        <f>INDEX(商业2转码!$B$2:$B$10000,MATCH(E774,商业2转码!$A$2:$A$10000,0))</f>
        <v>#N/A</v>
      </c>
      <c r="G774" s="6">
        <f>INDEX(品种2编码!$A$2:$A$1048576,MATCH(W774,品种2编码!$D$2:$D$1048576,0))</f>
        <v>0</v>
      </c>
      <c r="H774" s="6" t="s">
        <v>3062</v>
      </c>
      <c r="I774" s="6" t="s">
        <v>2035</v>
      </c>
      <c r="J774" s="6" t="s">
        <v>3036</v>
      </c>
      <c r="L774" s="6" t="s">
        <v>3085</v>
      </c>
      <c r="M774" s="6" t="e">
        <f>INDEX(医院2县区2人!$B$2:$B$1048576,MATCH(L774,医院2县区2人!$A$2:$A$1048576,0))</f>
        <v>#N/A</v>
      </c>
      <c r="N774" s="6" t="e">
        <f>INDEX(医院2县区2人!$C$2:$C$1048576,MATCH(L774,医院2县区2人!$A$2:$A$1048576,0))</f>
        <v>#N/A</v>
      </c>
      <c r="P774" s="7">
        <v>43262</v>
      </c>
      <c r="Q774" s="6">
        <v>30</v>
      </c>
      <c r="S774" s="6">
        <v>160504</v>
      </c>
      <c r="T774" s="6" t="e">
        <f>INDEX(医院2县区2人!$D$2:$D$1048576,MATCH(L774,医院2县区2人!$A$2:$A$1048576,0))</f>
        <v>#N/A</v>
      </c>
      <c r="W774" s="6" t="str">
        <f t="shared" si="27"/>
        <v>颠茄磺苄啶片/泻痢停20片</v>
      </c>
      <c r="X774" s="6" t="s">
        <v>2921</v>
      </c>
    </row>
    <row r="775" spans="1:24" x14ac:dyDescent="0.15">
      <c r="A775" s="7" t="str">
        <f t="shared" si="28"/>
        <v>201806</v>
      </c>
      <c r="C775" s="6" t="e">
        <f>INDEX(工厂基础数据!$A$2:$A$1024,MATCH(X775,工厂基础数据!$D$2:$D$1024,0))</f>
        <v>#N/A</v>
      </c>
      <c r="E775" s="6" t="e">
        <f>INDEX(工厂基础数据!$B$2:$B$1024,MATCH(X775,工厂基础数据!$D$2:$D$1024,0))</f>
        <v>#N/A</v>
      </c>
      <c r="F775" s="6" t="e">
        <f>INDEX(商业2转码!$B$2:$B$10000,MATCH(E775,商业2转码!$A$2:$A$10000,0))</f>
        <v>#N/A</v>
      </c>
      <c r="G775" s="6" t="str">
        <f>INDEX(品种2编码!$A$2:$A$1048576,MATCH(W775,品种2编码!$D$2:$D$1048576,0))</f>
        <v>0020020013ZYZC0491</v>
      </c>
      <c r="H775" s="6" t="s">
        <v>911</v>
      </c>
      <c r="I775" s="6" t="s">
        <v>914</v>
      </c>
      <c r="J775" s="6" t="s">
        <v>3038</v>
      </c>
      <c r="L775" s="6" t="s">
        <v>3086</v>
      </c>
      <c r="M775" s="6" t="e">
        <f>INDEX(医院2县区2人!$B$2:$B$1048576,MATCH(L775,医院2县区2人!$A$2:$A$1048576,0))</f>
        <v>#N/A</v>
      </c>
      <c r="N775" s="6" t="e">
        <f>INDEX(医院2县区2人!$C$2:$C$1048576,MATCH(L775,医院2县区2人!$A$2:$A$1048576,0))</f>
        <v>#N/A</v>
      </c>
      <c r="P775" s="7">
        <v>43262</v>
      </c>
      <c r="Q775" s="6">
        <v>10</v>
      </c>
      <c r="S775" s="6" t="s">
        <v>3065</v>
      </c>
      <c r="T775" s="6" t="e">
        <f>INDEX(医院2县区2人!$D$2:$D$1048576,MATCH(L775,医院2县区2人!$A$2:$A$1048576,0))</f>
        <v>#N/A</v>
      </c>
      <c r="W775" s="6" t="str">
        <f t="shared" si="27"/>
        <v>注射用乳糖酸阿奇霉素0.25g</v>
      </c>
      <c r="X775" s="6" t="s">
        <v>2921</v>
      </c>
    </row>
    <row r="776" spans="1:24" x14ac:dyDescent="0.15">
      <c r="A776" s="7" t="str">
        <f t="shared" si="28"/>
        <v>201806</v>
      </c>
      <c r="C776" s="6" t="e">
        <f>INDEX(工厂基础数据!$A$2:$A$1024,MATCH(X776,工厂基础数据!$D$2:$D$1024,0))</f>
        <v>#N/A</v>
      </c>
      <c r="E776" s="6" t="e">
        <f>INDEX(工厂基础数据!$B$2:$B$1024,MATCH(X776,工厂基础数据!$D$2:$D$1024,0))</f>
        <v>#N/A</v>
      </c>
      <c r="F776" s="6" t="e">
        <f>INDEX(商业2转码!$B$2:$B$10000,MATCH(E776,商业2转码!$A$2:$A$10000,0))</f>
        <v>#N/A</v>
      </c>
      <c r="G776" s="6" t="str">
        <f>INDEX(品种2编码!$A$2:$A$1048576,MATCH(W776,品种2编码!$D$2:$D$1048576,0))</f>
        <v>0020020013ZYZC0491</v>
      </c>
      <c r="H776" s="6" t="s">
        <v>911</v>
      </c>
      <c r="I776" s="6" t="s">
        <v>914</v>
      </c>
      <c r="J776" s="6" t="s">
        <v>3038</v>
      </c>
      <c r="L776" s="6" t="s">
        <v>3086</v>
      </c>
      <c r="M776" s="6" t="e">
        <f>INDEX(医院2县区2人!$B$2:$B$1048576,MATCH(L776,医院2县区2人!$A$2:$A$1048576,0))</f>
        <v>#N/A</v>
      </c>
      <c r="N776" s="6" t="e">
        <f>INDEX(医院2县区2人!$C$2:$C$1048576,MATCH(L776,医院2县区2人!$A$2:$A$1048576,0))</f>
        <v>#N/A</v>
      </c>
      <c r="P776" s="7">
        <v>43262</v>
      </c>
      <c r="Q776" s="6">
        <v>90</v>
      </c>
      <c r="S776" s="6" t="s">
        <v>2937</v>
      </c>
      <c r="T776" s="6" t="e">
        <f>INDEX(医院2县区2人!$D$2:$D$1048576,MATCH(L776,医院2县区2人!$A$2:$A$1048576,0))</f>
        <v>#N/A</v>
      </c>
      <c r="W776" s="6" t="str">
        <f t="shared" si="27"/>
        <v>注射用乳糖酸阿奇霉素0.25g</v>
      </c>
      <c r="X776" s="6" t="s">
        <v>2921</v>
      </c>
    </row>
    <row r="777" spans="1:24" x14ac:dyDescent="0.15">
      <c r="A777" s="7" t="str">
        <f t="shared" si="28"/>
        <v>201806</v>
      </c>
      <c r="C777" s="6" t="e">
        <f>INDEX(工厂基础数据!$A$2:$A$1024,MATCH(X777,工厂基础数据!$D$2:$D$1024,0))</f>
        <v>#N/A</v>
      </c>
      <c r="E777" s="6" t="e">
        <f>INDEX(工厂基础数据!$B$2:$B$1024,MATCH(X777,工厂基础数据!$D$2:$D$1024,0))</f>
        <v>#N/A</v>
      </c>
      <c r="F777" s="6" t="e">
        <f>INDEX(商业2转码!$B$2:$B$10000,MATCH(E777,商业2转码!$A$2:$A$10000,0))</f>
        <v>#N/A</v>
      </c>
      <c r="G777" s="6" t="str">
        <f>INDEX(品种2编码!$A$2:$A$1048576,MATCH(W777,品种2编码!$D$2:$D$1048576,0))</f>
        <v>0020030020SJSC0004</v>
      </c>
      <c r="H777" s="6" t="s">
        <v>1870</v>
      </c>
      <c r="I777" s="6" t="s">
        <v>1871</v>
      </c>
      <c r="J777" s="6" t="s">
        <v>3045</v>
      </c>
      <c r="L777" s="6" t="s">
        <v>3087</v>
      </c>
      <c r="M777" s="6" t="e">
        <f>INDEX(医院2县区2人!$B$2:$B$1048576,MATCH(L777,医院2县区2人!$A$2:$A$1048576,0))</f>
        <v>#N/A</v>
      </c>
      <c r="N777" s="6" t="e">
        <f>INDEX(医院2县区2人!$C$2:$C$1048576,MATCH(L777,医院2县区2人!$A$2:$A$1048576,0))</f>
        <v>#N/A</v>
      </c>
      <c r="P777" s="7">
        <v>43262</v>
      </c>
      <c r="Q777" s="6">
        <v>10</v>
      </c>
      <c r="S777" s="6">
        <v>1709020</v>
      </c>
      <c r="T777" s="6" t="e">
        <f>INDEX(医院2县区2人!$D$2:$D$1048576,MATCH(L777,医院2县区2人!$A$2:$A$1048576,0))</f>
        <v>#N/A</v>
      </c>
      <c r="W777" s="6" t="str">
        <f t="shared" si="27"/>
        <v>复方铝酸铋片/新胃必治50片</v>
      </c>
      <c r="X777" s="6" t="s">
        <v>2921</v>
      </c>
    </row>
    <row r="778" spans="1:24" x14ac:dyDescent="0.15">
      <c r="A778" s="7" t="str">
        <f t="shared" si="28"/>
        <v>201806</v>
      </c>
      <c r="C778" s="6" t="e">
        <f>INDEX(工厂基础数据!$A$2:$A$1024,MATCH(X778,工厂基础数据!$D$2:$D$1024,0))</f>
        <v>#N/A</v>
      </c>
      <c r="E778" s="6" t="e">
        <f>INDEX(工厂基础数据!$B$2:$B$1024,MATCH(X778,工厂基础数据!$D$2:$D$1024,0))</f>
        <v>#N/A</v>
      </c>
      <c r="F778" s="6" t="e">
        <f>INDEX(商业2转码!$B$2:$B$10000,MATCH(E778,商业2转码!$A$2:$A$10000,0))</f>
        <v>#N/A</v>
      </c>
      <c r="G778" s="6">
        <f>INDEX(品种2编码!$A$2:$A$1048576,MATCH(W778,品种2编码!$D$2:$D$1048576,0))</f>
        <v>0</v>
      </c>
      <c r="H778" s="6" t="s">
        <v>3063</v>
      </c>
      <c r="I778" s="6" t="s">
        <v>1869</v>
      </c>
      <c r="J778" s="6" t="s">
        <v>3036</v>
      </c>
      <c r="L778" s="6" t="s">
        <v>2944</v>
      </c>
      <c r="M778" s="6">
        <f>INDEX(医院2县区2人!$B$2:$B$1048576,MATCH(L778,医院2县区2人!$A$2:$A$1048576,0))</f>
        <v>0</v>
      </c>
      <c r="N778" s="6">
        <f>INDEX(医院2县区2人!$C$2:$C$1048576,MATCH(L778,医院2县区2人!$A$2:$A$1048576,0))</f>
        <v>0</v>
      </c>
      <c r="P778" s="7">
        <v>43263</v>
      </c>
      <c r="Q778" s="6">
        <v>100</v>
      </c>
      <c r="S778" s="6">
        <v>170501</v>
      </c>
      <c r="T778" s="6">
        <f>INDEX(医院2县区2人!$D$2:$D$1048576,MATCH(L778,医院2县区2人!$A$2:$A$1048576,0))</f>
        <v>0</v>
      </c>
      <c r="W778" s="6" t="str">
        <f t="shared" si="27"/>
        <v>罗红霉素分散片/严迪75mg*12片</v>
      </c>
      <c r="X778" s="6" t="s">
        <v>2921</v>
      </c>
    </row>
    <row r="779" spans="1:24" x14ac:dyDescent="0.15">
      <c r="A779" s="7" t="str">
        <f t="shared" si="28"/>
        <v>201806</v>
      </c>
      <c r="C779" s="6" t="e">
        <f>INDEX(工厂基础数据!$A$2:$A$1024,MATCH(X779,工厂基础数据!$D$2:$D$1024,0))</f>
        <v>#N/A</v>
      </c>
      <c r="E779" s="6" t="e">
        <f>INDEX(工厂基础数据!$B$2:$B$1024,MATCH(X779,工厂基础数据!$D$2:$D$1024,0))</f>
        <v>#N/A</v>
      </c>
      <c r="F779" s="6" t="e">
        <f>INDEX(商业2转码!$B$2:$B$10000,MATCH(E779,商业2转码!$A$2:$A$10000,0))</f>
        <v>#N/A</v>
      </c>
      <c r="G779" s="6">
        <f>INDEX(品种2编码!$A$2:$A$1048576,MATCH(W779,品种2编码!$D$2:$D$1048576,0))</f>
        <v>0</v>
      </c>
      <c r="H779" s="6" t="s">
        <v>3062</v>
      </c>
      <c r="I779" s="6" t="s">
        <v>2035</v>
      </c>
      <c r="J779" s="6" t="s">
        <v>3036</v>
      </c>
      <c r="L779" s="6" t="s">
        <v>3088</v>
      </c>
      <c r="M779" s="6" t="e">
        <f>INDEX(医院2县区2人!$B$2:$B$1048576,MATCH(L779,医院2县区2人!$A$2:$A$1048576,0))</f>
        <v>#N/A</v>
      </c>
      <c r="N779" s="6" t="e">
        <f>INDEX(医院2县区2人!$C$2:$C$1048576,MATCH(L779,医院2县区2人!$A$2:$A$1048576,0))</f>
        <v>#N/A</v>
      </c>
      <c r="P779" s="7">
        <v>43263</v>
      </c>
      <c r="Q779" s="6">
        <v>10</v>
      </c>
      <c r="S779" s="6">
        <v>160504</v>
      </c>
      <c r="T779" s="6" t="e">
        <f>INDEX(医院2县区2人!$D$2:$D$1048576,MATCH(L779,医院2县区2人!$A$2:$A$1048576,0))</f>
        <v>#N/A</v>
      </c>
      <c r="W779" s="6" t="str">
        <f t="shared" si="27"/>
        <v>颠茄磺苄啶片/泻痢停20片</v>
      </c>
      <c r="X779" s="6" t="s">
        <v>2921</v>
      </c>
    </row>
    <row r="780" spans="1:24" x14ac:dyDescent="0.15">
      <c r="A780" s="7" t="str">
        <f t="shared" si="28"/>
        <v>201806</v>
      </c>
      <c r="C780" s="6" t="e">
        <f>INDEX(工厂基础数据!$A$2:$A$1024,MATCH(X780,工厂基础数据!$D$2:$D$1024,0))</f>
        <v>#N/A</v>
      </c>
      <c r="E780" s="6" t="e">
        <f>INDEX(工厂基础数据!$B$2:$B$1024,MATCH(X780,工厂基础数据!$D$2:$D$1024,0))</f>
        <v>#N/A</v>
      </c>
      <c r="F780" s="6" t="e">
        <f>INDEX(商业2转码!$B$2:$B$10000,MATCH(E780,商业2转码!$A$2:$A$10000,0))</f>
        <v>#N/A</v>
      </c>
      <c r="G780" s="6">
        <f>INDEX(品种2编码!$A$2:$A$1048576,MATCH(W780,品种2编码!$D$2:$D$1048576,0))</f>
        <v>0</v>
      </c>
      <c r="H780" s="6" t="s">
        <v>3062</v>
      </c>
      <c r="I780" s="6" t="s">
        <v>2035</v>
      </c>
      <c r="J780" s="6" t="s">
        <v>3036</v>
      </c>
      <c r="L780" s="6" t="s">
        <v>3089</v>
      </c>
      <c r="M780" s="6" t="e">
        <f>INDEX(医院2县区2人!$B$2:$B$1048576,MATCH(L780,医院2县区2人!$A$2:$A$1048576,0))</f>
        <v>#N/A</v>
      </c>
      <c r="N780" s="6" t="e">
        <f>INDEX(医院2县区2人!$C$2:$C$1048576,MATCH(L780,医院2县区2人!$A$2:$A$1048576,0))</f>
        <v>#N/A</v>
      </c>
      <c r="P780" s="7">
        <v>43263</v>
      </c>
      <c r="Q780" s="6">
        <v>10</v>
      </c>
      <c r="S780" s="6">
        <v>160504</v>
      </c>
      <c r="T780" s="6" t="e">
        <f>INDEX(医院2县区2人!$D$2:$D$1048576,MATCH(L780,医院2县区2人!$A$2:$A$1048576,0))</f>
        <v>#N/A</v>
      </c>
      <c r="W780" s="6" t="str">
        <f t="shared" si="27"/>
        <v>颠茄磺苄啶片/泻痢停20片</v>
      </c>
      <c r="X780" s="6" t="s">
        <v>2921</v>
      </c>
    </row>
    <row r="781" spans="1:24" x14ac:dyDescent="0.15">
      <c r="A781" s="7" t="str">
        <f t="shared" si="28"/>
        <v>201806</v>
      </c>
      <c r="C781" s="6" t="e">
        <f>INDEX(工厂基础数据!$A$2:$A$1024,MATCH(X781,工厂基础数据!$D$2:$D$1024,0))</f>
        <v>#N/A</v>
      </c>
      <c r="E781" s="6" t="e">
        <f>INDEX(工厂基础数据!$B$2:$B$1024,MATCH(X781,工厂基础数据!$D$2:$D$1024,0))</f>
        <v>#N/A</v>
      </c>
      <c r="F781" s="6" t="e">
        <f>INDEX(商业2转码!$B$2:$B$10000,MATCH(E781,商业2转码!$A$2:$A$10000,0))</f>
        <v>#N/A</v>
      </c>
      <c r="G781" s="6" t="str">
        <f>INDEX(品种2编码!$A$2:$A$1048576,MATCH(W781,品种2编码!$D$2:$D$1048576,0))</f>
        <v>0020020030SJMS0025</v>
      </c>
      <c r="H781" s="6" t="s">
        <v>586</v>
      </c>
      <c r="I781" s="6" t="s">
        <v>1937</v>
      </c>
      <c r="J781" s="6" t="s">
        <v>3046</v>
      </c>
      <c r="L781" s="6" t="s">
        <v>3090</v>
      </c>
      <c r="M781" s="6" t="e">
        <f>INDEX(医院2县区2人!$B$2:$B$1048576,MATCH(L781,医院2县区2人!$A$2:$A$1048576,0))</f>
        <v>#N/A</v>
      </c>
      <c r="N781" s="6" t="e">
        <f>INDEX(医院2县区2人!$C$2:$C$1048576,MATCH(L781,医院2县区2人!$A$2:$A$1048576,0))</f>
        <v>#N/A</v>
      </c>
      <c r="P781" s="7">
        <v>43263</v>
      </c>
      <c r="Q781" s="6">
        <v>1</v>
      </c>
      <c r="S781" s="6">
        <v>1705003</v>
      </c>
      <c r="T781" s="6" t="e">
        <f>INDEX(医院2县区2人!$D$2:$D$1048576,MATCH(L781,医院2县区2人!$A$2:$A$1048576,0))</f>
        <v>#N/A</v>
      </c>
      <c r="W781" s="6" t="str">
        <f t="shared" si="27"/>
        <v>人工牛黄甲硝唑胶囊30粒</v>
      </c>
      <c r="X781" s="6" t="s">
        <v>2921</v>
      </c>
    </row>
    <row r="782" spans="1:24" x14ac:dyDescent="0.15">
      <c r="A782" s="7" t="str">
        <f t="shared" si="28"/>
        <v>201806</v>
      </c>
      <c r="C782" s="6" t="e">
        <f>INDEX(工厂基础数据!$A$2:$A$1024,MATCH(X782,工厂基础数据!$D$2:$D$1024,0))</f>
        <v>#N/A</v>
      </c>
      <c r="E782" s="6" t="e">
        <f>INDEX(工厂基础数据!$B$2:$B$1024,MATCH(X782,工厂基础数据!$D$2:$D$1024,0))</f>
        <v>#N/A</v>
      </c>
      <c r="F782" s="6" t="e">
        <f>INDEX(商业2转码!$B$2:$B$10000,MATCH(E782,商业2转码!$A$2:$A$10000,0))</f>
        <v>#N/A</v>
      </c>
      <c r="G782" s="6">
        <f>INDEX(品种2编码!$A$2:$A$1048576,MATCH(W782,品种2编码!$D$2:$D$1048576,0))</f>
        <v>0</v>
      </c>
      <c r="H782" s="6" t="s">
        <v>3062</v>
      </c>
      <c r="I782" s="6" t="s">
        <v>2035</v>
      </c>
      <c r="J782" s="6" t="s">
        <v>3036</v>
      </c>
      <c r="L782" s="6" t="s">
        <v>3091</v>
      </c>
      <c r="M782" s="6" t="e">
        <f>INDEX(医院2县区2人!$B$2:$B$1048576,MATCH(L782,医院2县区2人!$A$2:$A$1048576,0))</f>
        <v>#N/A</v>
      </c>
      <c r="N782" s="6" t="e">
        <f>INDEX(医院2县区2人!$C$2:$C$1048576,MATCH(L782,医院2县区2人!$A$2:$A$1048576,0))</f>
        <v>#N/A</v>
      </c>
      <c r="P782" s="7">
        <v>43264</v>
      </c>
      <c r="Q782" s="6">
        <v>10</v>
      </c>
      <c r="S782" s="6">
        <v>160504</v>
      </c>
      <c r="T782" s="6" t="e">
        <f>INDEX(医院2县区2人!$D$2:$D$1048576,MATCH(L782,医院2县区2人!$A$2:$A$1048576,0))</f>
        <v>#N/A</v>
      </c>
      <c r="W782" s="6" t="str">
        <f t="shared" si="27"/>
        <v>颠茄磺苄啶片/泻痢停20片</v>
      </c>
      <c r="X782" s="6" t="s">
        <v>2921</v>
      </c>
    </row>
    <row r="783" spans="1:24" x14ac:dyDescent="0.15">
      <c r="A783" s="7" t="str">
        <f t="shared" si="28"/>
        <v>201806</v>
      </c>
      <c r="C783" s="6" t="e">
        <f>INDEX(工厂基础数据!$A$2:$A$1024,MATCH(X783,工厂基础数据!$D$2:$D$1024,0))</f>
        <v>#N/A</v>
      </c>
      <c r="E783" s="6" t="e">
        <f>INDEX(工厂基础数据!$B$2:$B$1024,MATCH(X783,工厂基础数据!$D$2:$D$1024,0))</f>
        <v>#N/A</v>
      </c>
      <c r="F783" s="6" t="e">
        <f>INDEX(商业2转码!$B$2:$B$10000,MATCH(E783,商业2转码!$A$2:$A$10000,0))</f>
        <v>#N/A</v>
      </c>
      <c r="G783" s="6">
        <f>INDEX(品种2编码!$A$2:$A$1048576,MATCH(W783,品种2编码!$D$2:$D$1048576,0))</f>
        <v>0</v>
      </c>
      <c r="H783" s="6" t="s">
        <v>3062</v>
      </c>
      <c r="I783" s="6" t="s">
        <v>2035</v>
      </c>
      <c r="J783" s="6" t="s">
        <v>3036</v>
      </c>
      <c r="L783" s="6" t="s">
        <v>3092</v>
      </c>
      <c r="M783" s="6" t="e">
        <f>INDEX(医院2县区2人!$B$2:$B$1048576,MATCH(L783,医院2县区2人!$A$2:$A$1048576,0))</f>
        <v>#N/A</v>
      </c>
      <c r="N783" s="6" t="e">
        <f>INDEX(医院2县区2人!$C$2:$C$1048576,MATCH(L783,医院2县区2人!$A$2:$A$1048576,0))</f>
        <v>#N/A</v>
      </c>
      <c r="P783" s="7">
        <v>43264</v>
      </c>
      <c r="Q783" s="6">
        <v>10</v>
      </c>
      <c r="S783" s="6">
        <v>160504</v>
      </c>
      <c r="T783" s="6" t="e">
        <f>INDEX(医院2县区2人!$D$2:$D$1048576,MATCH(L783,医院2县区2人!$A$2:$A$1048576,0))</f>
        <v>#N/A</v>
      </c>
      <c r="W783" s="6" t="str">
        <f t="shared" si="27"/>
        <v>颠茄磺苄啶片/泻痢停20片</v>
      </c>
      <c r="X783" s="6" t="s">
        <v>2921</v>
      </c>
    </row>
    <row r="784" spans="1:24" x14ac:dyDescent="0.15">
      <c r="A784" s="7" t="str">
        <f t="shared" si="28"/>
        <v>201806</v>
      </c>
      <c r="C784" s="6" t="e">
        <f>INDEX(工厂基础数据!$A$2:$A$1024,MATCH(X784,工厂基础数据!$D$2:$D$1024,0))</f>
        <v>#N/A</v>
      </c>
      <c r="E784" s="6" t="e">
        <f>INDEX(工厂基础数据!$B$2:$B$1024,MATCH(X784,工厂基础数据!$D$2:$D$1024,0))</f>
        <v>#N/A</v>
      </c>
      <c r="F784" s="6" t="e">
        <f>INDEX(商业2转码!$B$2:$B$10000,MATCH(E784,商业2转码!$A$2:$A$10000,0))</f>
        <v>#N/A</v>
      </c>
      <c r="G784" s="6">
        <f>INDEX(品种2编码!$A$2:$A$1048576,MATCH(W784,品种2编码!$D$2:$D$1048576,0))</f>
        <v>0</v>
      </c>
      <c r="H784" s="6" t="s">
        <v>3062</v>
      </c>
      <c r="I784" s="6" t="s">
        <v>2035</v>
      </c>
      <c r="J784" s="6" t="s">
        <v>3036</v>
      </c>
      <c r="L784" s="6" t="s">
        <v>3093</v>
      </c>
      <c r="M784" s="6" t="e">
        <f>INDEX(医院2县区2人!$B$2:$B$1048576,MATCH(L784,医院2县区2人!$A$2:$A$1048576,0))</f>
        <v>#N/A</v>
      </c>
      <c r="N784" s="6" t="e">
        <f>INDEX(医院2县区2人!$C$2:$C$1048576,MATCH(L784,医院2县区2人!$A$2:$A$1048576,0))</f>
        <v>#N/A</v>
      </c>
      <c r="P784" s="7">
        <v>43264</v>
      </c>
      <c r="Q784" s="6">
        <v>30</v>
      </c>
      <c r="S784" s="6">
        <v>160504</v>
      </c>
      <c r="T784" s="6" t="e">
        <f>INDEX(医院2县区2人!$D$2:$D$1048576,MATCH(L784,医院2县区2人!$A$2:$A$1048576,0))</f>
        <v>#N/A</v>
      </c>
      <c r="W784" s="6" t="str">
        <f t="shared" si="27"/>
        <v>颠茄磺苄啶片/泻痢停20片</v>
      </c>
      <c r="X784" s="6" t="s">
        <v>2921</v>
      </c>
    </row>
    <row r="785" spans="1:24" x14ac:dyDescent="0.15">
      <c r="A785" s="7" t="str">
        <f t="shared" si="28"/>
        <v>201806</v>
      </c>
      <c r="C785" s="6" t="e">
        <f>INDEX(工厂基础数据!$A$2:$A$1024,MATCH(X785,工厂基础数据!$D$2:$D$1024,0))</f>
        <v>#N/A</v>
      </c>
      <c r="E785" s="6" t="e">
        <f>INDEX(工厂基础数据!$B$2:$B$1024,MATCH(X785,工厂基础数据!$D$2:$D$1024,0))</f>
        <v>#N/A</v>
      </c>
      <c r="F785" s="6" t="e">
        <f>INDEX(商业2转码!$B$2:$B$10000,MATCH(E785,商业2转码!$A$2:$A$10000,0))</f>
        <v>#N/A</v>
      </c>
      <c r="G785" s="6" t="str">
        <f>INDEX(品种2编码!$A$2:$A$1048576,MATCH(W785,品种2编码!$D$2:$D$1048576,0))</f>
        <v>0020030001SJZY0009</v>
      </c>
      <c r="H785" s="6" t="s">
        <v>555</v>
      </c>
      <c r="I785" s="6" t="s">
        <v>411</v>
      </c>
      <c r="J785" s="6" t="s">
        <v>3044</v>
      </c>
      <c r="L785" s="6" t="s">
        <v>3094</v>
      </c>
      <c r="M785" s="6" t="e">
        <f>INDEX(医院2县区2人!$B$2:$B$1048576,MATCH(L785,医院2县区2人!$A$2:$A$1048576,0))</f>
        <v>#N/A</v>
      </c>
      <c r="N785" s="6" t="e">
        <f>INDEX(医院2县区2人!$C$2:$C$1048576,MATCH(L785,医院2县区2人!$A$2:$A$1048576,0))</f>
        <v>#N/A</v>
      </c>
      <c r="P785" s="7">
        <v>43264</v>
      </c>
      <c r="Q785" s="6">
        <v>2</v>
      </c>
      <c r="S785" s="6">
        <v>17120411</v>
      </c>
      <c r="T785" s="6" t="e">
        <f>INDEX(医院2县区2人!$D$2:$D$1048576,MATCH(L785,医院2县区2人!$A$2:$A$1048576,0))</f>
        <v>#N/A</v>
      </c>
      <c r="W785" s="6" t="str">
        <f t="shared" si="27"/>
        <v>葡萄糖酸锌口服液10ml*12支</v>
      </c>
      <c r="X785" s="6" t="s">
        <v>2921</v>
      </c>
    </row>
    <row r="786" spans="1:24" x14ac:dyDescent="0.15">
      <c r="A786" s="7" t="str">
        <f t="shared" si="28"/>
        <v>201806</v>
      </c>
      <c r="C786" s="6" t="e">
        <f>INDEX(工厂基础数据!$A$2:$A$1024,MATCH(X786,工厂基础数据!$D$2:$D$1024,0))</f>
        <v>#N/A</v>
      </c>
      <c r="E786" s="6" t="e">
        <f>INDEX(工厂基础数据!$B$2:$B$1024,MATCH(X786,工厂基础数据!$D$2:$D$1024,0))</f>
        <v>#N/A</v>
      </c>
      <c r="F786" s="6" t="e">
        <f>INDEX(商业2转码!$B$2:$B$10000,MATCH(E786,商业2转码!$A$2:$A$10000,0))</f>
        <v>#N/A</v>
      </c>
      <c r="G786" s="6" t="str">
        <f>INDEX(品种2编码!$A$2:$A$1048576,MATCH(W786,品种2编码!$D$2:$D$1048576,0))</f>
        <v>0020030001SJZY0006</v>
      </c>
      <c r="H786" s="6" t="s">
        <v>1833</v>
      </c>
      <c r="I786" s="6" t="s">
        <v>411</v>
      </c>
      <c r="J786" s="6" t="s">
        <v>3040</v>
      </c>
      <c r="L786" s="6" t="s">
        <v>3094</v>
      </c>
      <c r="M786" s="6" t="e">
        <f>INDEX(医院2县区2人!$B$2:$B$1048576,MATCH(L786,医院2县区2人!$A$2:$A$1048576,0))</f>
        <v>#N/A</v>
      </c>
      <c r="N786" s="6" t="e">
        <f>INDEX(医院2县区2人!$C$2:$C$1048576,MATCH(L786,医院2县区2人!$A$2:$A$1048576,0))</f>
        <v>#N/A</v>
      </c>
      <c r="P786" s="7">
        <v>43264</v>
      </c>
      <c r="Q786" s="6">
        <v>2</v>
      </c>
      <c r="S786" s="6">
        <v>17111823</v>
      </c>
      <c r="T786" s="6" t="e">
        <f>INDEX(医院2县区2人!$D$2:$D$1048576,MATCH(L786,医院2县区2人!$A$2:$A$1048576,0))</f>
        <v>#N/A</v>
      </c>
      <c r="W786" s="6" t="str">
        <f t="shared" si="27"/>
        <v>葡萄糖酸钙口服溶液10ml*12支</v>
      </c>
      <c r="X786" s="6" t="s">
        <v>2921</v>
      </c>
    </row>
    <row r="787" spans="1:24" x14ac:dyDescent="0.15">
      <c r="A787" s="7" t="str">
        <f t="shared" si="28"/>
        <v>201806</v>
      </c>
      <c r="C787" s="6" t="e">
        <f>INDEX(工厂基础数据!$A$2:$A$1024,MATCH(X787,工厂基础数据!$D$2:$D$1024,0))</f>
        <v>#N/A</v>
      </c>
      <c r="E787" s="6" t="e">
        <f>INDEX(工厂基础数据!$B$2:$B$1024,MATCH(X787,工厂基础数据!$D$2:$D$1024,0))</f>
        <v>#N/A</v>
      </c>
      <c r="F787" s="6" t="e">
        <f>INDEX(商业2转码!$B$2:$B$10000,MATCH(E787,商业2转码!$A$2:$A$10000,0))</f>
        <v>#N/A</v>
      </c>
      <c r="G787" s="6">
        <f>INDEX(品种2编码!$A$2:$A$1048576,MATCH(W787,品种2编码!$D$2:$D$1048576,0))</f>
        <v>0</v>
      </c>
      <c r="H787" s="6" t="s">
        <v>3062</v>
      </c>
      <c r="I787" s="6" t="s">
        <v>2035</v>
      </c>
      <c r="J787" s="6" t="s">
        <v>3036</v>
      </c>
      <c r="L787" s="6" t="s">
        <v>3095</v>
      </c>
      <c r="M787" s="6" t="e">
        <f>INDEX(医院2县区2人!$B$2:$B$1048576,MATCH(L787,医院2县区2人!$A$2:$A$1048576,0))</f>
        <v>#N/A</v>
      </c>
      <c r="N787" s="6" t="e">
        <f>INDEX(医院2县区2人!$C$2:$C$1048576,MATCH(L787,医院2县区2人!$A$2:$A$1048576,0))</f>
        <v>#N/A</v>
      </c>
      <c r="P787" s="7">
        <v>43265</v>
      </c>
      <c r="Q787" s="6">
        <v>10</v>
      </c>
      <c r="S787" s="6">
        <v>160504</v>
      </c>
      <c r="T787" s="6" t="e">
        <f>INDEX(医院2县区2人!$D$2:$D$1048576,MATCH(L787,医院2县区2人!$A$2:$A$1048576,0))</f>
        <v>#N/A</v>
      </c>
      <c r="W787" s="6" t="str">
        <f t="shared" si="27"/>
        <v>颠茄磺苄啶片/泻痢停20片</v>
      </c>
      <c r="X787" s="6" t="s">
        <v>2921</v>
      </c>
    </row>
    <row r="788" spans="1:24" x14ac:dyDescent="0.15">
      <c r="A788" s="7" t="str">
        <f t="shared" si="28"/>
        <v>201806</v>
      </c>
      <c r="C788" s="6" t="e">
        <f>INDEX(工厂基础数据!$A$2:$A$1024,MATCH(X788,工厂基础数据!$D$2:$D$1024,0))</f>
        <v>#N/A</v>
      </c>
      <c r="E788" s="6" t="e">
        <f>INDEX(工厂基础数据!$B$2:$B$1024,MATCH(X788,工厂基础数据!$D$2:$D$1024,0))</f>
        <v>#N/A</v>
      </c>
      <c r="F788" s="6" t="e">
        <f>INDEX(商业2转码!$B$2:$B$10000,MATCH(E788,商业2转码!$A$2:$A$10000,0))</f>
        <v>#N/A</v>
      </c>
      <c r="G788" s="6" t="str">
        <f>INDEX(品种2编码!$A$2:$A$1048576,MATCH(W788,品种2编码!$D$2:$D$1048576,0))</f>
        <v>0020030001SJZY0006</v>
      </c>
      <c r="H788" s="6" t="s">
        <v>1833</v>
      </c>
      <c r="I788" s="6" t="s">
        <v>411</v>
      </c>
      <c r="J788" s="6" t="s">
        <v>3040</v>
      </c>
      <c r="L788" s="6" t="s">
        <v>2956</v>
      </c>
      <c r="M788" s="6">
        <f>INDEX(医院2县区2人!$B$2:$B$1048576,MATCH(L788,医院2县区2人!$A$2:$A$1048576,0))</f>
        <v>0</v>
      </c>
      <c r="N788" s="6">
        <f>INDEX(医院2县区2人!$C$2:$C$1048576,MATCH(L788,医院2县区2人!$A$2:$A$1048576,0))</f>
        <v>0</v>
      </c>
      <c r="P788" s="7">
        <v>43266</v>
      </c>
      <c r="Q788" s="6">
        <v>5</v>
      </c>
      <c r="S788" s="6">
        <v>17111823</v>
      </c>
      <c r="T788" s="6">
        <f>INDEX(医院2县区2人!$D$2:$D$1048576,MATCH(L788,医院2县区2人!$A$2:$A$1048576,0))</f>
        <v>0</v>
      </c>
      <c r="W788" s="6" t="str">
        <f t="shared" si="27"/>
        <v>葡萄糖酸钙口服溶液10ml*12支</v>
      </c>
      <c r="X788" s="6" t="s">
        <v>2921</v>
      </c>
    </row>
    <row r="789" spans="1:24" x14ac:dyDescent="0.15">
      <c r="A789" s="7" t="str">
        <f t="shared" si="28"/>
        <v>201806</v>
      </c>
      <c r="C789" s="6" t="e">
        <f>INDEX(工厂基础数据!$A$2:$A$1024,MATCH(X789,工厂基础数据!$D$2:$D$1024,0))</f>
        <v>#N/A</v>
      </c>
      <c r="E789" s="6" t="e">
        <f>INDEX(工厂基础数据!$B$2:$B$1024,MATCH(X789,工厂基础数据!$D$2:$D$1024,0))</f>
        <v>#N/A</v>
      </c>
      <c r="F789" s="6" t="e">
        <f>INDEX(商业2转码!$B$2:$B$10000,MATCH(E789,商业2转码!$A$2:$A$10000,0))</f>
        <v>#N/A</v>
      </c>
      <c r="G789" s="6" t="str">
        <f>INDEX(品种2编码!$A$2:$A$1048576,MATCH(W789,品种2编码!$D$2:$D$1048576,0))</f>
        <v>0020030001SJZY0006</v>
      </c>
      <c r="H789" s="6" t="s">
        <v>1833</v>
      </c>
      <c r="I789" s="6" t="s">
        <v>411</v>
      </c>
      <c r="J789" s="6" t="s">
        <v>3040</v>
      </c>
      <c r="L789" s="6" t="s">
        <v>3096</v>
      </c>
      <c r="M789" s="6" t="e">
        <f>INDEX(医院2县区2人!$B$2:$B$1048576,MATCH(L789,医院2县区2人!$A$2:$A$1048576,0))</f>
        <v>#N/A</v>
      </c>
      <c r="N789" s="6" t="e">
        <f>INDEX(医院2县区2人!$C$2:$C$1048576,MATCH(L789,医院2县区2人!$A$2:$A$1048576,0))</f>
        <v>#N/A</v>
      </c>
      <c r="P789" s="7">
        <v>43266</v>
      </c>
      <c r="Q789" s="6">
        <v>160</v>
      </c>
      <c r="S789" s="6">
        <v>18030832</v>
      </c>
      <c r="T789" s="6" t="e">
        <f>INDEX(医院2县区2人!$D$2:$D$1048576,MATCH(L789,医院2县区2人!$A$2:$A$1048576,0))</f>
        <v>#N/A</v>
      </c>
      <c r="W789" s="6" t="str">
        <f t="shared" si="27"/>
        <v>葡萄糖酸钙口服溶液10ml*12支</v>
      </c>
      <c r="X789" s="6" t="s">
        <v>2921</v>
      </c>
    </row>
    <row r="790" spans="1:24" x14ac:dyDescent="0.15">
      <c r="A790" s="7" t="str">
        <f t="shared" si="28"/>
        <v>201806</v>
      </c>
      <c r="C790" s="6" t="e">
        <f>INDEX(工厂基础数据!$A$2:$A$1024,MATCH(X790,工厂基础数据!$D$2:$D$1024,0))</f>
        <v>#N/A</v>
      </c>
      <c r="E790" s="6" t="e">
        <f>INDEX(工厂基础数据!$B$2:$B$1024,MATCH(X790,工厂基础数据!$D$2:$D$1024,0))</f>
        <v>#N/A</v>
      </c>
      <c r="F790" s="6" t="e">
        <f>INDEX(商业2转码!$B$2:$B$10000,MATCH(E790,商业2转码!$A$2:$A$10000,0))</f>
        <v>#N/A</v>
      </c>
      <c r="G790" s="6">
        <f>INDEX(品种2编码!$A$2:$A$1048576,MATCH(W790,品种2编码!$D$2:$D$1048576,0))</f>
        <v>0</v>
      </c>
      <c r="H790" s="6" t="s">
        <v>3062</v>
      </c>
      <c r="I790" s="6" t="s">
        <v>2035</v>
      </c>
      <c r="J790" s="6" t="s">
        <v>3036</v>
      </c>
      <c r="L790" s="6" t="s">
        <v>3097</v>
      </c>
      <c r="M790" s="6" t="e">
        <f>INDEX(医院2县区2人!$B$2:$B$1048576,MATCH(L790,医院2县区2人!$A$2:$A$1048576,0))</f>
        <v>#N/A</v>
      </c>
      <c r="N790" s="6" t="e">
        <f>INDEX(医院2县区2人!$C$2:$C$1048576,MATCH(L790,医院2县区2人!$A$2:$A$1048576,0))</f>
        <v>#N/A</v>
      </c>
      <c r="P790" s="7">
        <v>43266</v>
      </c>
      <c r="Q790" s="6">
        <v>10</v>
      </c>
      <c r="S790" s="6">
        <v>160504</v>
      </c>
      <c r="T790" s="6" t="e">
        <f>INDEX(医院2县区2人!$D$2:$D$1048576,MATCH(L790,医院2县区2人!$A$2:$A$1048576,0))</f>
        <v>#N/A</v>
      </c>
      <c r="W790" s="6" t="str">
        <f t="shared" si="27"/>
        <v>颠茄磺苄啶片/泻痢停20片</v>
      </c>
      <c r="X790" s="6" t="s">
        <v>2921</v>
      </c>
    </row>
    <row r="791" spans="1:24" x14ac:dyDescent="0.15">
      <c r="A791" s="7" t="str">
        <f t="shared" si="28"/>
        <v>201806</v>
      </c>
      <c r="C791" s="6" t="e">
        <f>INDEX(工厂基础数据!$A$2:$A$1024,MATCH(X791,工厂基础数据!$D$2:$D$1024,0))</f>
        <v>#N/A</v>
      </c>
      <c r="E791" s="6" t="e">
        <f>INDEX(工厂基础数据!$B$2:$B$1024,MATCH(X791,工厂基础数据!$D$2:$D$1024,0))</f>
        <v>#N/A</v>
      </c>
      <c r="F791" s="6" t="e">
        <f>INDEX(商业2转码!$B$2:$B$10000,MATCH(E791,商业2转码!$A$2:$A$10000,0))</f>
        <v>#N/A</v>
      </c>
      <c r="G791" s="6" t="str">
        <f>INDEX(品种2编码!$A$2:$A$1048576,MATCH(W791,品种2编码!$D$2:$D$1048576,0))</f>
        <v>0020030001SJZY0006</v>
      </c>
      <c r="H791" s="6" t="s">
        <v>1833</v>
      </c>
      <c r="I791" s="6" t="s">
        <v>411</v>
      </c>
      <c r="J791" s="6" t="s">
        <v>3040</v>
      </c>
      <c r="L791" s="6" t="s">
        <v>2964</v>
      </c>
      <c r="M791" s="6">
        <f>INDEX(医院2县区2人!$B$2:$B$1048576,MATCH(L791,医院2县区2人!$A$2:$A$1048576,0))</f>
        <v>0</v>
      </c>
      <c r="N791" s="6">
        <f>INDEX(医院2县区2人!$C$2:$C$1048576,MATCH(L791,医院2县区2人!$A$2:$A$1048576,0))</f>
        <v>0</v>
      </c>
      <c r="P791" s="7">
        <v>43270</v>
      </c>
      <c r="Q791" s="6">
        <v>5</v>
      </c>
      <c r="S791" s="6">
        <v>17111823</v>
      </c>
      <c r="T791" s="6">
        <f>INDEX(医院2县区2人!$D$2:$D$1048576,MATCH(L791,医院2县区2人!$A$2:$A$1048576,0))</f>
        <v>0</v>
      </c>
      <c r="W791" s="6" t="str">
        <f t="shared" si="27"/>
        <v>葡萄糖酸钙口服溶液10ml*12支</v>
      </c>
      <c r="X791" s="6" t="s">
        <v>2921</v>
      </c>
    </row>
    <row r="792" spans="1:24" x14ac:dyDescent="0.15">
      <c r="A792" s="7" t="str">
        <f t="shared" si="28"/>
        <v>201806</v>
      </c>
      <c r="C792" s="6" t="e">
        <f>INDEX(工厂基础数据!$A$2:$A$1024,MATCH(X792,工厂基础数据!$D$2:$D$1024,0))</f>
        <v>#N/A</v>
      </c>
      <c r="E792" s="6" t="e">
        <f>INDEX(工厂基础数据!$B$2:$B$1024,MATCH(X792,工厂基础数据!$D$2:$D$1024,0))</f>
        <v>#N/A</v>
      </c>
      <c r="F792" s="6" t="e">
        <f>INDEX(商业2转码!$B$2:$B$10000,MATCH(E792,商业2转码!$A$2:$A$10000,0))</f>
        <v>#N/A</v>
      </c>
      <c r="G792" s="6" t="str">
        <f>INDEX(品种2编码!$A$2:$A$1048576,MATCH(W792,品种2编码!$D$2:$D$1048576,0))</f>
        <v>0020030020SJSC0025</v>
      </c>
      <c r="H792" s="6" t="s">
        <v>380</v>
      </c>
      <c r="I792" s="6" t="s">
        <v>381</v>
      </c>
      <c r="J792" s="6" t="s">
        <v>3045</v>
      </c>
      <c r="L792" s="6" t="s">
        <v>3098</v>
      </c>
      <c r="M792" s="6" t="e">
        <f>INDEX(医院2县区2人!$B$2:$B$1048576,MATCH(L792,医院2县区2人!$A$2:$A$1048576,0))</f>
        <v>#N/A</v>
      </c>
      <c r="N792" s="6" t="e">
        <f>INDEX(医院2县区2人!$C$2:$C$1048576,MATCH(L792,医院2县区2人!$A$2:$A$1048576,0))</f>
        <v>#N/A</v>
      </c>
      <c r="P792" s="7">
        <v>43270</v>
      </c>
      <c r="Q792" s="6">
        <v>10</v>
      </c>
      <c r="S792" s="6">
        <v>1711002</v>
      </c>
      <c r="T792" s="6" t="e">
        <f>INDEX(医院2县区2人!$D$2:$D$1048576,MATCH(L792,医院2县区2人!$A$2:$A$1048576,0))</f>
        <v>#N/A</v>
      </c>
      <c r="W792" s="6" t="str">
        <f t="shared" si="27"/>
        <v>复方氨酚烷胺片12片</v>
      </c>
      <c r="X792" s="6" t="s">
        <v>2921</v>
      </c>
    </row>
    <row r="793" spans="1:24" x14ac:dyDescent="0.15">
      <c r="A793" s="7" t="str">
        <f t="shared" si="28"/>
        <v>201806</v>
      </c>
      <c r="C793" s="6" t="e">
        <f>INDEX(工厂基础数据!$A$2:$A$1024,MATCH(X793,工厂基础数据!$D$2:$D$1024,0))</f>
        <v>#N/A</v>
      </c>
      <c r="E793" s="6" t="e">
        <f>INDEX(工厂基础数据!$B$2:$B$1024,MATCH(X793,工厂基础数据!$D$2:$D$1024,0))</f>
        <v>#N/A</v>
      </c>
      <c r="F793" s="6" t="e">
        <f>INDEX(商业2转码!$B$2:$B$10000,MATCH(E793,商业2转码!$A$2:$A$10000,0))</f>
        <v>#N/A</v>
      </c>
      <c r="G793" s="6" t="str">
        <f>INDEX(品种2编码!$A$2:$A$1048576,MATCH(W793,品种2编码!$D$2:$D$1048576,0))</f>
        <v>0020030020SJSC0004</v>
      </c>
      <c r="H793" s="6" t="s">
        <v>1870</v>
      </c>
      <c r="I793" s="6" t="s">
        <v>1871</v>
      </c>
      <c r="J793" s="6" t="s">
        <v>3045</v>
      </c>
      <c r="L793" s="6" t="s">
        <v>3099</v>
      </c>
      <c r="M793" s="6" t="e">
        <f>INDEX(医院2县区2人!$B$2:$B$1048576,MATCH(L793,医院2县区2人!$A$2:$A$1048576,0))</f>
        <v>#N/A</v>
      </c>
      <c r="N793" s="6" t="e">
        <f>INDEX(医院2县区2人!$C$2:$C$1048576,MATCH(L793,医院2县区2人!$A$2:$A$1048576,0))</f>
        <v>#N/A</v>
      </c>
      <c r="P793" s="7">
        <v>43270</v>
      </c>
      <c r="Q793" s="6">
        <v>5</v>
      </c>
      <c r="S793" s="6">
        <v>1709020</v>
      </c>
      <c r="T793" s="6" t="e">
        <f>INDEX(医院2县区2人!$D$2:$D$1048576,MATCH(L793,医院2县区2人!$A$2:$A$1048576,0))</f>
        <v>#N/A</v>
      </c>
      <c r="W793" s="6" t="str">
        <f t="shared" si="27"/>
        <v>复方铝酸铋片/新胃必治50片</v>
      </c>
      <c r="X793" s="6" t="s">
        <v>2921</v>
      </c>
    </row>
    <row r="794" spans="1:24" x14ac:dyDescent="0.15">
      <c r="A794" s="7" t="str">
        <f t="shared" si="28"/>
        <v>201806</v>
      </c>
      <c r="C794" s="6" t="e">
        <f>INDEX(工厂基础数据!$A$2:$A$1024,MATCH(X794,工厂基础数据!$D$2:$D$1024,0))</f>
        <v>#N/A</v>
      </c>
      <c r="E794" s="6" t="e">
        <f>INDEX(工厂基础数据!$B$2:$B$1024,MATCH(X794,工厂基础数据!$D$2:$D$1024,0))</f>
        <v>#N/A</v>
      </c>
      <c r="F794" s="6" t="e">
        <f>INDEX(商业2转码!$B$2:$B$10000,MATCH(E794,商业2转码!$A$2:$A$10000,0))</f>
        <v>#N/A</v>
      </c>
      <c r="G794" s="6" t="str">
        <f>INDEX(品种2编码!$A$2:$A$1048576,MATCH(W794,品种2编码!$D$2:$D$1048576,0))</f>
        <v>0020020013ZYZC0491</v>
      </c>
      <c r="H794" s="6" t="s">
        <v>911</v>
      </c>
      <c r="I794" s="6" t="s">
        <v>914</v>
      </c>
      <c r="J794" s="6" t="s">
        <v>3038</v>
      </c>
      <c r="L794" s="6" t="s">
        <v>3100</v>
      </c>
      <c r="M794" s="6" t="e">
        <f>INDEX(医院2县区2人!$B$2:$B$1048576,MATCH(L794,医院2县区2人!$A$2:$A$1048576,0))</f>
        <v>#N/A</v>
      </c>
      <c r="N794" s="6" t="e">
        <f>INDEX(医院2县区2人!$C$2:$C$1048576,MATCH(L794,医院2县区2人!$A$2:$A$1048576,0))</f>
        <v>#N/A</v>
      </c>
      <c r="P794" s="7">
        <v>43270</v>
      </c>
      <c r="Q794" s="6">
        <v>10</v>
      </c>
      <c r="S794" s="6" t="s">
        <v>2937</v>
      </c>
      <c r="T794" s="6" t="e">
        <f>INDEX(医院2县区2人!$D$2:$D$1048576,MATCH(L794,医院2县区2人!$A$2:$A$1048576,0))</f>
        <v>#N/A</v>
      </c>
      <c r="W794" s="6" t="str">
        <f t="shared" si="27"/>
        <v>注射用乳糖酸阿奇霉素0.25g</v>
      </c>
      <c r="X794" s="6" t="s">
        <v>2921</v>
      </c>
    </row>
    <row r="795" spans="1:24" x14ac:dyDescent="0.15">
      <c r="A795" s="7" t="str">
        <f t="shared" si="28"/>
        <v>201806</v>
      </c>
      <c r="C795" s="6" t="e">
        <f>INDEX(工厂基础数据!$A$2:$A$1024,MATCH(X795,工厂基础数据!$D$2:$D$1024,0))</f>
        <v>#N/A</v>
      </c>
      <c r="E795" s="6" t="e">
        <f>INDEX(工厂基础数据!$B$2:$B$1024,MATCH(X795,工厂基础数据!$D$2:$D$1024,0))</f>
        <v>#N/A</v>
      </c>
      <c r="F795" s="6" t="e">
        <f>INDEX(商业2转码!$B$2:$B$10000,MATCH(E795,商业2转码!$A$2:$A$10000,0))</f>
        <v>#N/A</v>
      </c>
      <c r="G795" s="6">
        <f>INDEX(品种2编码!$A$2:$A$1048576,MATCH(W795,品种2编码!$D$2:$D$1048576,0))</f>
        <v>0</v>
      </c>
      <c r="H795" s="6" t="s">
        <v>3062</v>
      </c>
      <c r="I795" s="6" t="s">
        <v>2035</v>
      </c>
      <c r="J795" s="6" t="s">
        <v>3036</v>
      </c>
      <c r="L795" s="6" t="s">
        <v>3094</v>
      </c>
      <c r="M795" s="6" t="e">
        <f>INDEX(医院2县区2人!$B$2:$B$1048576,MATCH(L795,医院2县区2人!$A$2:$A$1048576,0))</f>
        <v>#N/A</v>
      </c>
      <c r="N795" s="6" t="e">
        <f>INDEX(医院2县区2人!$C$2:$C$1048576,MATCH(L795,医院2县区2人!$A$2:$A$1048576,0))</f>
        <v>#N/A</v>
      </c>
      <c r="P795" s="7">
        <v>43270</v>
      </c>
      <c r="Q795" s="6">
        <v>10</v>
      </c>
      <c r="S795" s="6">
        <v>160504</v>
      </c>
      <c r="T795" s="6" t="e">
        <f>INDEX(医院2县区2人!$D$2:$D$1048576,MATCH(L795,医院2县区2人!$A$2:$A$1048576,0))</f>
        <v>#N/A</v>
      </c>
      <c r="W795" s="6" t="str">
        <f t="shared" si="27"/>
        <v>颠茄磺苄啶片/泻痢停20片</v>
      </c>
      <c r="X795" s="6" t="s">
        <v>2921</v>
      </c>
    </row>
    <row r="796" spans="1:24" x14ac:dyDescent="0.15">
      <c r="A796" s="7" t="str">
        <f t="shared" si="28"/>
        <v>201806</v>
      </c>
      <c r="C796" s="6" t="e">
        <f>INDEX(工厂基础数据!$A$2:$A$1024,MATCH(X796,工厂基础数据!$D$2:$D$1024,0))</f>
        <v>#N/A</v>
      </c>
      <c r="E796" s="6" t="e">
        <f>INDEX(工厂基础数据!$B$2:$B$1024,MATCH(X796,工厂基础数据!$D$2:$D$1024,0))</f>
        <v>#N/A</v>
      </c>
      <c r="F796" s="6" t="e">
        <f>INDEX(商业2转码!$B$2:$B$10000,MATCH(E796,商业2转码!$A$2:$A$10000,0))</f>
        <v>#N/A</v>
      </c>
      <c r="G796" s="6">
        <f>INDEX(品种2编码!$A$2:$A$1048576,MATCH(W796,品种2编码!$D$2:$D$1048576,0))</f>
        <v>0</v>
      </c>
      <c r="H796" s="6" t="s">
        <v>911</v>
      </c>
      <c r="I796" s="6" t="s">
        <v>912</v>
      </c>
      <c r="J796" s="6" t="s">
        <v>3038</v>
      </c>
      <c r="L796" s="6" t="s">
        <v>3073</v>
      </c>
      <c r="M796" s="6" t="e">
        <f>INDEX(医院2县区2人!$B$2:$B$1048576,MATCH(L796,医院2县区2人!$A$2:$A$1048576,0))</f>
        <v>#N/A</v>
      </c>
      <c r="N796" s="6" t="e">
        <f>INDEX(医院2县区2人!$C$2:$C$1048576,MATCH(L796,医院2县区2人!$A$2:$A$1048576,0))</f>
        <v>#N/A</v>
      </c>
      <c r="P796" s="7">
        <v>43270</v>
      </c>
      <c r="Q796" s="6">
        <v>10</v>
      </c>
      <c r="S796" s="6" t="s">
        <v>3066</v>
      </c>
      <c r="T796" s="6" t="e">
        <f>INDEX(医院2县区2人!$D$2:$D$1048576,MATCH(L796,医院2县区2人!$A$2:$A$1048576,0))</f>
        <v>#N/A</v>
      </c>
      <c r="W796" s="6" t="str">
        <f t="shared" si="27"/>
        <v>注射用乳糖酸阿奇霉素0.125g</v>
      </c>
      <c r="X796" s="6" t="s">
        <v>2921</v>
      </c>
    </row>
    <row r="797" spans="1:24" x14ac:dyDescent="0.15">
      <c r="A797" s="7" t="str">
        <f t="shared" si="28"/>
        <v>201806</v>
      </c>
      <c r="C797" s="6" t="e">
        <f>INDEX(工厂基础数据!$A$2:$A$1024,MATCH(X797,工厂基础数据!$D$2:$D$1024,0))</f>
        <v>#N/A</v>
      </c>
      <c r="E797" s="6" t="e">
        <f>INDEX(工厂基础数据!$B$2:$B$1024,MATCH(X797,工厂基础数据!$D$2:$D$1024,0))</f>
        <v>#N/A</v>
      </c>
      <c r="F797" s="6" t="e">
        <f>INDEX(商业2转码!$B$2:$B$10000,MATCH(E797,商业2转码!$A$2:$A$10000,0))</f>
        <v>#N/A</v>
      </c>
      <c r="G797" s="6" t="str">
        <f>INDEX(品种2编码!$A$2:$A$1048576,MATCH(W797,品种2编码!$D$2:$D$1048576,0))</f>
        <v>0020030001SJZY0006</v>
      </c>
      <c r="H797" s="6" t="s">
        <v>1833</v>
      </c>
      <c r="I797" s="6" t="s">
        <v>411</v>
      </c>
      <c r="J797" s="6" t="s">
        <v>3040</v>
      </c>
      <c r="L797" s="6" t="s">
        <v>3101</v>
      </c>
      <c r="M797" s="6" t="e">
        <f>INDEX(医院2县区2人!$B$2:$B$1048576,MATCH(L797,医院2县区2人!$A$2:$A$1048576,0))</f>
        <v>#N/A</v>
      </c>
      <c r="N797" s="6" t="e">
        <f>INDEX(医院2县区2人!$C$2:$C$1048576,MATCH(L797,医院2县区2人!$A$2:$A$1048576,0))</f>
        <v>#N/A</v>
      </c>
      <c r="P797" s="7">
        <v>43270</v>
      </c>
      <c r="Q797" s="6">
        <v>8</v>
      </c>
      <c r="S797" s="6">
        <v>17111823</v>
      </c>
      <c r="T797" s="6" t="e">
        <f>INDEX(医院2县区2人!$D$2:$D$1048576,MATCH(L797,医院2县区2人!$A$2:$A$1048576,0))</f>
        <v>#N/A</v>
      </c>
      <c r="W797" s="6" t="str">
        <f t="shared" si="27"/>
        <v>葡萄糖酸钙口服溶液10ml*12支</v>
      </c>
      <c r="X797" s="6" t="s">
        <v>2921</v>
      </c>
    </row>
    <row r="798" spans="1:24" x14ac:dyDescent="0.15">
      <c r="A798" s="7" t="str">
        <f t="shared" si="28"/>
        <v>201806</v>
      </c>
      <c r="C798" s="6" t="e">
        <f>INDEX(工厂基础数据!$A$2:$A$1024,MATCH(X798,工厂基础数据!$D$2:$D$1024,0))</f>
        <v>#N/A</v>
      </c>
      <c r="E798" s="6" t="e">
        <f>INDEX(工厂基础数据!$B$2:$B$1024,MATCH(X798,工厂基础数据!$D$2:$D$1024,0))</f>
        <v>#N/A</v>
      </c>
      <c r="F798" s="6" t="e">
        <f>INDEX(商业2转码!$B$2:$B$10000,MATCH(E798,商业2转码!$A$2:$A$10000,0))</f>
        <v>#N/A</v>
      </c>
      <c r="G798" s="6" t="str">
        <f>INDEX(品种2编码!$A$2:$A$1048576,MATCH(W798,品种2编码!$D$2:$D$1048576,0))</f>
        <v>0020050090SJZY0001</v>
      </c>
      <c r="H798" s="6" t="s">
        <v>630</v>
      </c>
      <c r="I798" s="6" t="s">
        <v>1850</v>
      </c>
      <c r="J798" s="6" t="s">
        <v>3044</v>
      </c>
      <c r="L798" s="6" t="s">
        <v>3102</v>
      </c>
      <c r="M798" s="6" t="e">
        <f>INDEX(医院2县区2人!$B$2:$B$1048576,MATCH(L798,医院2县区2人!$A$2:$A$1048576,0))</f>
        <v>#N/A</v>
      </c>
      <c r="N798" s="6" t="e">
        <f>INDEX(医院2县区2人!$C$2:$C$1048576,MATCH(L798,医院2县区2人!$A$2:$A$1048576,0))</f>
        <v>#N/A</v>
      </c>
      <c r="P798" s="7">
        <v>43270</v>
      </c>
      <c r="Q798" s="6">
        <v>10</v>
      </c>
      <c r="S798" s="6">
        <v>17062811</v>
      </c>
      <c r="T798" s="6" t="e">
        <f>INDEX(医院2县区2人!$D$2:$D$1048576,MATCH(L798,医院2县区2人!$A$2:$A$1048576,0))</f>
        <v>#N/A</v>
      </c>
      <c r="W798" s="6" t="str">
        <f t="shared" si="27"/>
        <v>双黄连口服液10ml*10支</v>
      </c>
      <c r="X798" s="6" t="s">
        <v>2921</v>
      </c>
    </row>
    <row r="799" spans="1:24" x14ac:dyDescent="0.15">
      <c r="A799" s="7" t="str">
        <f t="shared" si="28"/>
        <v>201806</v>
      </c>
      <c r="C799" s="6" t="e">
        <f>INDEX(工厂基础数据!$A$2:$A$1024,MATCH(X799,工厂基础数据!$D$2:$D$1024,0))</f>
        <v>#N/A</v>
      </c>
      <c r="E799" s="6" t="e">
        <f>INDEX(工厂基础数据!$B$2:$B$1024,MATCH(X799,工厂基础数据!$D$2:$D$1024,0))</f>
        <v>#N/A</v>
      </c>
      <c r="F799" s="6" t="e">
        <f>INDEX(商业2转码!$B$2:$B$10000,MATCH(E799,商业2转码!$A$2:$A$10000,0))</f>
        <v>#N/A</v>
      </c>
      <c r="G799" s="6" t="str">
        <f>INDEX(品种2编码!$A$2:$A$1048576,MATCH(W799,品种2编码!$D$2:$D$1048576,0))</f>
        <v>0020030001SJZY0006</v>
      </c>
      <c r="H799" s="6" t="s">
        <v>1833</v>
      </c>
      <c r="I799" s="6" t="s">
        <v>411</v>
      </c>
      <c r="J799" s="6" t="s">
        <v>3040</v>
      </c>
      <c r="L799" s="6" t="s">
        <v>3102</v>
      </c>
      <c r="M799" s="6" t="e">
        <f>INDEX(医院2县区2人!$B$2:$B$1048576,MATCH(L799,医院2县区2人!$A$2:$A$1048576,0))</f>
        <v>#N/A</v>
      </c>
      <c r="N799" s="6" t="e">
        <f>INDEX(医院2县区2人!$C$2:$C$1048576,MATCH(L799,医院2县区2人!$A$2:$A$1048576,0))</f>
        <v>#N/A</v>
      </c>
      <c r="P799" s="7">
        <v>43270</v>
      </c>
      <c r="Q799" s="6">
        <v>20</v>
      </c>
      <c r="S799" s="6">
        <v>17111823</v>
      </c>
      <c r="T799" s="6" t="e">
        <f>INDEX(医院2县区2人!$D$2:$D$1048576,MATCH(L799,医院2县区2人!$A$2:$A$1048576,0))</f>
        <v>#N/A</v>
      </c>
      <c r="W799" s="6" t="str">
        <f t="shared" si="27"/>
        <v>葡萄糖酸钙口服溶液10ml*12支</v>
      </c>
      <c r="X799" s="6" t="s">
        <v>2921</v>
      </c>
    </row>
    <row r="800" spans="1:24" x14ac:dyDescent="0.15">
      <c r="A800" s="7" t="str">
        <f t="shared" si="28"/>
        <v>201806</v>
      </c>
      <c r="C800" s="6" t="e">
        <f>INDEX(工厂基础数据!$A$2:$A$1024,MATCH(X800,工厂基础数据!$D$2:$D$1024,0))</f>
        <v>#N/A</v>
      </c>
      <c r="E800" s="6" t="e">
        <f>INDEX(工厂基础数据!$B$2:$B$1024,MATCH(X800,工厂基础数据!$D$2:$D$1024,0))</f>
        <v>#N/A</v>
      </c>
      <c r="F800" s="6" t="e">
        <f>INDEX(商业2转码!$B$2:$B$10000,MATCH(E800,商业2转码!$A$2:$A$10000,0))</f>
        <v>#N/A</v>
      </c>
      <c r="G800" s="6" t="str">
        <f>INDEX(品种2编码!$A$2:$A$1048576,MATCH(W800,品种2编码!$D$2:$D$1048576,0))</f>
        <v>0020030001SJZY0009</v>
      </c>
      <c r="H800" s="6" t="s">
        <v>555</v>
      </c>
      <c r="I800" s="6" t="s">
        <v>411</v>
      </c>
      <c r="J800" s="6" t="s">
        <v>3044</v>
      </c>
      <c r="L800" s="6" t="s">
        <v>3101</v>
      </c>
      <c r="M800" s="6" t="e">
        <f>INDEX(医院2县区2人!$B$2:$B$1048576,MATCH(L800,医院2县区2人!$A$2:$A$1048576,0))</f>
        <v>#N/A</v>
      </c>
      <c r="N800" s="6" t="e">
        <f>INDEX(医院2县区2人!$C$2:$C$1048576,MATCH(L800,医院2县区2人!$A$2:$A$1048576,0))</f>
        <v>#N/A</v>
      </c>
      <c r="P800" s="7">
        <v>43270</v>
      </c>
      <c r="Q800" s="6">
        <v>27</v>
      </c>
      <c r="S800" s="6">
        <v>17120411</v>
      </c>
      <c r="T800" s="6" t="e">
        <f>INDEX(医院2县区2人!$D$2:$D$1048576,MATCH(L800,医院2县区2人!$A$2:$A$1048576,0))</f>
        <v>#N/A</v>
      </c>
      <c r="W800" s="6" t="str">
        <f t="shared" si="27"/>
        <v>葡萄糖酸锌口服液10ml*12支</v>
      </c>
      <c r="X800" s="6" t="s">
        <v>2921</v>
      </c>
    </row>
    <row r="801" spans="1:24" x14ac:dyDescent="0.15">
      <c r="A801" s="7" t="str">
        <f t="shared" si="28"/>
        <v>201806</v>
      </c>
      <c r="C801" s="6" t="e">
        <f>INDEX(工厂基础数据!$A$2:$A$1024,MATCH(X801,工厂基础数据!$D$2:$D$1024,0))</f>
        <v>#N/A</v>
      </c>
      <c r="E801" s="6" t="e">
        <f>INDEX(工厂基础数据!$B$2:$B$1024,MATCH(X801,工厂基础数据!$D$2:$D$1024,0))</f>
        <v>#N/A</v>
      </c>
      <c r="F801" s="6" t="e">
        <f>INDEX(商业2转码!$B$2:$B$10000,MATCH(E801,商业2转码!$A$2:$A$10000,0))</f>
        <v>#N/A</v>
      </c>
      <c r="G801" s="6" t="str">
        <f>INDEX(品种2编码!$A$2:$A$1048576,MATCH(W801,品种2编码!$D$2:$D$1048576,0))</f>
        <v>0020030001SJZY0009</v>
      </c>
      <c r="H801" s="6" t="s">
        <v>555</v>
      </c>
      <c r="I801" s="6" t="s">
        <v>411</v>
      </c>
      <c r="J801" s="6" t="s">
        <v>3044</v>
      </c>
      <c r="L801" s="6" t="s">
        <v>2959</v>
      </c>
      <c r="M801" s="6">
        <f>INDEX(医院2县区2人!$B$2:$B$1048576,MATCH(L801,医院2县区2人!$A$2:$A$1048576,0))</f>
        <v>0</v>
      </c>
      <c r="N801" s="6">
        <f>INDEX(医院2县区2人!$C$2:$C$1048576,MATCH(L801,医院2县区2人!$A$2:$A$1048576,0))</f>
        <v>0</v>
      </c>
      <c r="P801" s="7">
        <v>43271</v>
      </c>
      <c r="Q801" s="6">
        <v>160</v>
      </c>
      <c r="S801" s="6">
        <v>18031317</v>
      </c>
      <c r="T801" s="6">
        <f>INDEX(医院2县区2人!$D$2:$D$1048576,MATCH(L801,医院2县区2人!$A$2:$A$1048576,0))</f>
        <v>0</v>
      </c>
      <c r="W801" s="6" t="str">
        <f t="shared" si="27"/>
        <v>葡萄糖酸锌口服液10ml*12支</v>
      </c>
      <c r="X801" s="6" t="s">
        <v>2921</v>
      </c>
    </row>
    <row r="802" spans="1:24" x14ac:dyDescent="0.15">
      <c r="A802" s="7" t="str">
        <f t="shared" si="28"/>
        <v>201806</v>
      </c>
      <c r="C802" s="6" t="e">
        <f>INDEX(工厂基础数据!$A$2:$A$1024,MATCH(X802,工厂基础数据!$D$2:$D$1024,0))</f>
        <v>#N/A</v>
      </c>
      <c r="E802" s="6" t="e">
        <f>INDEX(工厂基础数据!$B$2:$B$1024,MATCH(X802,工厂基础数据!$D$2:$D$1024,0))</f>
        <v>#N/A</v>
      </c>
      <c r="F802" s="6" t="e">
        <f>INDEX(商业2转码!$B$2:$B$10000,MATCH(E802,商业2转码!$A$2:$A$10000,0))</f>
        <v>#N/A</v>
      </c>
      <c r="G802" s="6" t="str">
        <f>INDEX(品种2编码!$A$2:$A$1048576,MATCH(W802,品种2编码!$D$2:$D$1048576,0))</f>
        <v>0020030020SJSC0004</v>
      </c>
      <c r="H802" s="6" t="s">
        <v>1870</v>
      </c>
      <c r="I802" s="6" t="s">
        <v>1871</v>
      </c>
      <c r="J802" s="6" t="s">
        <v>3045</v>
      </c>
      <c r="L802" s="6" t="s">
        <v>3103</v>
      </c>
      <c r="M802" s="6" t="e">
        <f>INDEX(医院2县区2人!$B$2:$B$1048576,MATCH(L802,医院2县区2人!$A$2:$A$1048576,0))</f>
        <v>#N/A</v>
      </c>
      <c r="N802" s="6" t="e">
        <f>INDEX(医院2县区2人!$C$2:$C$1048576,MATCH(L802,医院2县区2人!$A$2:$A$1048576,0))</f>
        <v>#N/A</v>
      </c>
      <c r="P802" s="7">
        <v>43273</v>
      </c>
      <c r="Q802" s="6">
        <v>2</v>
      </c>
      <c r="S802" s="6">
        <v>1709020</v>
      </c>
      <c r="T802" s="6" t="e">
        <f>INDEX(医院2县区2人!$D$2:$D$1048576,MATCH(L802,医院2县区2人!$A$2:$A$1048576,0))</f>
        <v>#N/A</v>
      </c>
      <c r="W802" s="6" t="str">
        <f t="shared" si="27"/>
        <v>复方铝酸铋片/新胃必治50片</v>
      </c>
      <c r="X802" s="6" t="s">
        <v>2921</v>
      </c>
    </row>
    <row r="803" spans="1:24" x14ac:dyDescent="0.15">
      <c r="A803" s="7" t="str">
        <f t="shared" si="28"/>
        <v>201806</v>
      </c>
      <c r="C803" s="6" t="e">
        <f>INDEX(工厂基础数据!$A$2:$A$1024,MATCH(X803,工厂基础数据!$D$2:$D$1024,0))</f>
        <v>#N/A</v>
      </c>
      <c r="E803" s="6" t="e">
        <f>INDEX(工厂基础数据!$B$2:$B$1024,MATCH(X803,工厂基础数据!$D$2:$D$1024,0))</f>
        <v>#N/A</v>
      </c>
      <c r="F803" s="6" t="e">
        <f>INDEX(商业2转码!$B$2:$B$10000,MATCH(E803,商业2转码!$A$2:$A$10000,0))</f>
        <v>#N/A</v>
      </c>
      <c r="G803" s="6" t="str">
        <f>INDEX(品种2编码!$A$2:$A$1048576,MATCH(W803,品种2编码!$D$2:$D$1048576,0))</f>
        <v>0020020013ZYZC0491</v>
      </c>
      <c r="H803" s="6" t="s">
        <v>911</v>
      </c>
      <c r="I803" s="6" t="s">
        <v>914</v>
      </c>
      <c r="J803" s="6" t="s">
        <v>3038</v>
      </c>
      <c r="L803" s="6" t="s">
        <v>3073</v>
      </c>
      <c r="M803" s="6" t="e">
        <f>INDEX(医院2县区2人!$B$2:$B$1048576,MATCH(L803,医院2县区2人!$A$2:$A$1048576,0))</f>
        <v>#N/A</v>
      </c>
      <c r="N803" s="6" t="e">
        <f>INDEX(医院2县区2人!$C$2:$C$1048576,MATCH(L803,医院2县区2人!$A$2:$A$1048576,0))</f>
        <v>#N/A</v>
      </c>
      <c r="P803" s="7">
        <v>43273</v>
      </c>
      <c r="Q803" s="6">
        <v>10</v>
      </c>
      <c r="S803" s="6" t="s">
        <v>2937</v>
      </c>
      <c r="T803" s="6" t="e">
        <f>INDEX(医院2县区2人!$D$2:$D$1048576,MATCH(L803,医院2县区2人!$A$2:$A$1048576,0))</f>
        <v>#N/A</v>
      </c>
      <c r="W803" s="6" t="str">
        <f t="shared" si="27"/>
        <v>注射用乳糖酸阿奇霉素0.25g</v>
      </c>
      <c r="X803" s="6" t="s">
        <v>2921</v>
      </c>
    </row>
    <row r="804" spans="1:24" x14ac:dyDescent="0.15">
      <c r="A804" s="7" t="str">
        <f t="shared" si="28"/>
        <v>201806</v>
      </c>
      <c r="C804" s="6" t="e">
        <f>INDEX(工厂基础数据!$A$2:$A$1024,MATCH(X804,工厂基础数据!$D$2:$D$1024,0))</f>
        <v>#N/A</v>
      </c>
      <c r="E804" s="6" t="e">
        <f>INDEX(工厂基础数据!$B$2:$B$1024,MATCH(X804,工厂基础数据!$D$2:$D$1024,0))</f>
        <v>#N/A</v>
      </c>
      <c r="F804" s="6" t="e">
        <f>INDEX(商业2转码!$B$2:$B$10000,MATCH(E804,商业2转码!$A$2:$A$10000,0))</f>
        <v>#N/A</v>
      </c>
      <c r="G804" s="6">
        <f>INDEX(品种2编码!$A$2:$A$1048576,MATCH(W804,品种2编码!$D$2:$D$1048576,0))</f>
        <v>0</v>
      </c>
      <c r="H804" s="6" t="s">
        <v>3062</v>
      </c>
      <c r="I804" s="6" t="s">
        <v>2035</v>
      </c>
      <c r="J804" s="6" t="s">
        <v>3036</v>
      </c>
      <c r="L804" s="6" t="s">
        <v>3104</v>
      </c>
      <c r="M804" s="6" t="e">
        <f>INDEX(医院2县区2人!$B$2:$B$1048576,MATCH(L804,医院2县区2人!$A$2:$A$1048576,0))</f>
        <v>#N/A</v>
      </c>
      <c r="N804" s="6" t="e">
        <f>INDEX(医院2县区2人!$C$2:$C$1048576,MATCH(L804,医院2县区2人!$A$2:$A$1048576,0))</f>
        <v>#N/A</v>
      </c>
      <c r="P804" s="7">
        <v>43273</v>
      </c>
      <c r="Q804" s="6">
        <v>10</v>
      </c>
      <c r="S804" s="6">
        <v>160504</v>
      </c>
      <c r="T804" s="6" t="e">
        <f>INDEX(医院2县区2人!$D$2:$D$1048576,MATCH(L804,医院2县区2人!$A$2:$A$1048576,0))</f>
        <v>#N/A</v>
      </c>
      <c r="W804" s="6" t="str">
        <f t="shared" si="27"/>
        <v>颠茄磺苄啶片/泻痢停20片</v>
      </c>
      <c r="X804" s="6" t="s">
        <v>2921</v>
      </c>
    </row>
    <row r="805" spans="1:24" x14ac:dyDescent="0.15">
      <c r="A805" s="7" t="str">
        <f t="shared" si="28"/>
        <v>201806</v>
      </c>
      <c r="C805" s="6" t="e">
        <f>INDEX(工厂基础数据!$A$2:$A$1024,MATCH(X805,工厂基础数据!$D$2:$D$1024,0))</f>
        <v>#N/A</v>
      </c>
      <c r="E805" s="6" t="e">
        <f>INDEX(工厂基础数据!$B$2:$B$1024,MATCH(X805,工厂基础数据!$D$2:$D$1024,0))</f>
        <v>#N/A</v>
      </c>
      <c r="F805" s="6" t="e">
        <f>INDEX(商业2转码!$B$2:$B$10000,MATCH(E805,商业2转码!$A$2:$A$10000,0))</f>
        <v>#N/A</v>
      </c>
      <c r="G805" s="6">
        <f>INDEX(品种2编码!$A$2:$A$1048576,MATCH(W805,品种2编码!$D$2:$D$1048576,0))</f>
        <v>0</v>
      </c>
      <c r="H805" s="6" t="s">
        <v>3062</v>
      </c>
      <c r="I805" s="6" t="s">
        <v>2035</v>
      </c>
      <c r="J805" s="6" t="s">
        <v>3036</v>
      </c>
      <c r="L805" s="6" t="s">
        <v>3105</v>
      </c>
      <c r="M805" s="6" t="e">
        <f>INDEX(医院2县区2人!$B$2:$B$1048576,MATCH(L805,医院2县区2人!$A$2:$A$1048576,0))</f>
        <v>#N/A</v>
      </c>
      <c r="N805" s="6" t="e">
        <f>INDEX(医院2县区2人!$C$2:$C$1048576,MATCH(L805,医院2县区2人!$A$2:$A$1048576,0))</f>
        <v>#N/A</v>
      </c>
      <c r="P805" s="7">
        <v>43273</v>
      </c>
      <c r="Q805" s="6">
        <v>10</v>
      </c>
      <c r="S805" s="6">
        <v>160504</v>
      </c>
      <c r="T805" s="6" t="e">
        <f>INDEX(医院2县区2人!$D$2:$D$1048576,MATCH(L805,医院2县区2人!$A$2:$A$1048576,0))</f>
        <v>#N/A</v>
      </c>
      <c r="W805" s="6" t="str">
        <f t="shared" si="27"/>
        <v>颠茄磺苄啶片/泻痢停20片</v>
      </c>
      <c r="X805" s="6" t="s">
        <v>2921</v>
      </c>
    </row>
    <row r="806" spans="1:24" x14ac:dyDescent="0.15">
      <c r="A806" s="7" t="str">
        <f t="shared" si="28"/>
        <v>201806</v>
      </c>
      <c r="C806" s="6" t="e">
        <f>INDEX(工厂基础数据!$A$2:$A$1024,MATCH(X806,工厂基础数据!$D$2:$D$1024,0))</f>
        <v>#N/A</v>
      </c>
      <c r="E806" s="6" t="e">
        <f>INDEX(工厂基础数据!$B$2:$B$1024,MATCH(X806,工厂基础数据!$D$2:$D$1024,0))</f>
        <v>#N/A</v>
      </c>
      <c r="F806" s="6" t="e">
        <f>INDEX(商业2转码!$B$2:$B$10000,MATCH(E806,商业2转码!$A$2:$A$10000,0))</f>
        <v>#N/A</v>
      </c>
      <c r="G806" s="6" t="str">
        <f>INDEX(品种2编码!$A$2:$A$1048576,MATCH(W806,品种2编码!$D$2:$D$1048576,0))</f>
        <v>0020020021ZYZC0341</v>
      </c>
      <c r="H806" s="6" t="s">
        <v>1936</v>
      </c>
      <c r="I806" s="6" t="s">
        <v>279</v>
      </c>
      <c r="J806" s="6" t="s">
        <v>3038</v>
      </c>
      <c r="L806" s="6" t="s">
        <v>3106</v>
      </c>
      <c r="M806" s="6" t="e">
        <f>INDEX(医院2县区2人!$B$2:$B$1048576,MATCH(L806,医院2县区2人!$A$2:$A$1048576,0))</f>
        <v>#N/A</v>
      </c>
      <c r="N806" s="6" t="e">
        <f>INDEX(医院2县区2人!$C$2:$C$1048576,MATCH(L806,医院2县区2人!$A$2:$A$1048576,0))</f>
        <v>#N/A</v>
      </c>
      <c r="P806" s="7">
        <v>43274</v>
      </c>
      <c r="Q806" s="6">
        <v>0</v>
      </c>
      <c r="S806" s="6" t="s">
        <v>3067</v>
      </c>
      <c r="T806" s="6" t="e">
        <f>INDEX(医院2县区2人!$D$2:$D$1048576,MATCH(L806,医院2县区2人!$A$2:$A$1048576,0))</f>
        <v>#N/A</v>
      </c>
      <c r="W806" s="6" t="str">
        <f t="shared" si="27"/>
        <v>阿莫西林克拉维酸钾分散片0.2285g*12片</v>
      </c>
      <c r="X806" s="6" t="s">
        <v>2921</v>
      </c>
    </row>
    <row r="807" spans="1:24" x14ac:dyDescent="0.15">
      <c r="A807" s="7" t="str">
        <f t="shared" si="28"/>
        <v>201806</v>
      </c>
      <c r="C807" s="6" t="e">
        <f>INDEX(工厂基础数据!$A$2:$A$1024,MATCH(X807,工厂基础数据!$D$2:$D$1024,0))</f>
        <v>#N/A</v>
      </c>
      <c r="E807" s="6" t="e">
        <f>INDEX(工厂基础数据!$B$2:$B$1024,MATCH(X807,工厂基础数据!$D$2:$D$1024,0))</f>
        <v>#N/A</v>
      </c>
      <c r="F807" s="6" t="e">
        <f>INDEX(商业2转码!$B$2:$B$10000,MATCH(E807,商业2转码!$A$2:$A$10000,0))</f>
        <v>#N/A</v>
      </c>
      <c r="G807" s="6" t="str">
        <f>INDEX(品种2编码!$A$2:$A$1048576,MATCH(W807,品种2编码!$D$2:$D$1048576,0))</f>
        <v>0020030001SJZY0006</v>
      </c>
      <c r="H807" s="6" t="s">
        <v>1833</v>
      </c>
      <c r="I807" s="6" t="s">
        <v>411</v>
      </c>
      <c r="J807" s="6" t="s">
        <v>3040</v>
      </c>
      <c r="L807" s="6" t="s">
        <v>3107</v>
      </c>
      <c r="M807" s="6" t="e">
        <f>INDEX(医院2县区2人!$B$2:$B$1048576,MATCH(L807,医院2县区2人!$A$2:$A$1048576,0))</f>
        <v>#N/A</v>
      </c>
      <c r="N807" s="6" t="e">
        <f>INDEX(医院2县区2人!$C$2:$C$1048576,MATCH(L807,医院2县区2人!$A$2:$A$1048576,0))</f>
        <v>#N/A</v>
      </c>
      <c r="P807" s="7">
        <v>43274</v>
      </c>
      <c r="Q807" s="6">
        <v>80</v>
      </c>
      <c r="S807" s="6">
        <v>18030832</v>
      </c>
      <c r="T807" s="6" t="e">
        <f>INDEX(医院2县区2人!$D$2:$D$1048576,MATCH(L807,医院2县区2人!$A$2:$A$1048576,0))</f>
        <v>#N/A</v>
      </c>
      <c r="W807" s="6" t="str">
        <f t="shared" si="27"/>
        <v>葡萄糖酸钙口服溶液10ml*12支</v>
      </c>
      <c r="X807" s="6" t="s">
        <v>2921</v>
      </c>
    </row>
    <row r="808" spans="1:24" x14ac:dyDescent="0.15">
      <c r="A808" s="7" t="str">
        <f t="shared" si="28"/>
        <v>201806</v>
      </c>
      <c r="C808" s="6" t="e">
        <f>INDEX(工厂基础数据!$A$2:$A$1024,MATCH(X808,工厂基础数据!$D$2:$D$1024,0))</f>
        <v>#N/A</v>
      </c>
      <c r="E808" s="6" t="e">
        <f>INDEX(工厂基础数据!$B$2:$B$1024,MATCH(X808,工厂基础数据!$D$2:$D$1024,0))</f>
        <v>#N/A</v>
      </c>
      <c r="F808" s="6" t="e">
        <f>INDEX(商业2转码!$B$2:$B$10000,MATCH(E808,商业2转码!$A$2:$A$10000,0))</f>
        <v>#N/A</v>
      </c>
      <c r="G808" s="6" t="str">
        <f>INDEX(品种2编码!$A$2:$A$1048576,MATCH(W808,品种2编码!$D$2:$D$1048576,0))</f>
        <v>0020030001SJZY0009</v>
      </c>
      <c r="H808" s="6" t="s">
        <v>555</v>
      </c>
      <c r="I808" s="6" t="s">
        <v>411</v>
      </c>
      <c r="J808" s="6" t="s">
        <v>3044</v>
      </c>
      <c r="L808" s="6" t="s">
        <v>3076</v>
      </c>
      <c r="M808" s="6" t="e">
        <f>INDEX(医院2县区2人!$B$2:$B$1048576,MATCH(L808,医院2县区2人!$A$2:$A$1048576,0))</f>
        <v>#N/A</v>
      </c>
      <c r="N808" s="6" t="e">
        <f>INDEX(医院2县区2人!$C$2:$C$1048576,MATCH(L808,医院2县区2人!$A$2:$A$1048576,0))</f>
        <v>#N/A</v>
      </c>
      <c r="P808" s="7">
        <v>43276</v>
      </c>
      <c r="Q808" s="6">
        <v>10</v>
      </c>
      <c r="S808" s="6">
        <v>17120411</v>
      </c>
      <c r="T808" s="6" t="e">
        <f>INDEX(医院2县区2人!$D$2:$D$1048576,MATCH(L808,医院2县区2人!$A$2:$A$1048576,0))</f>
        <v>#N/A</v>
      </c>
      <c r="W808" s="6" t="str">
        <f t="shared" si="27"/>
        <v>葡萄糖酸锌口服液10ml*12支</v>
      </c>
      <c r="X808" s="6" t="s">
        <v>2921</v>
      </c>
    </row>
    <row r="809" spans="1:24" x14ac:dyDescent="0.15">
      <c r="A809" s="7" t="str">
        <f t="shared" si="28"/>
        <v>201806</v>
      </c>
      <c r="C809" s="6" t="e">
        <f>INDEX(工厂基础数据!$A$2:$A$1024,MATCH(X809,工厂基础数据!$D$2:$D$1024,0))</f>
        <v>#N/A</v>
      </c>
      <c r="E809" s="6" t="e">
        <f>INDEX(工厂基础数据!$B$2:$B$1024,MATCH(X809,工厂基础数据!$D$2:$D$1024,0))</f>
        <v>#N/A</v>
      </c>
      <c r="F809" s="6" t="e">
        <f>INDEX(商业2转码!$B$2:$B$10000,MATCH(E809,商业2转码!$A$2:$A$10000,0))</f>
        <v>#N/A</v>
      </c>
      <c r="G809" s="6" t="str">
        <f>INDEX(品种2编码!$A$2:$A$1048576,MATCH(W809,品种2编码!$D$2:$D$1048576,0))</f>
        <v>0020030001SJZY0006</v>
      </c>
      <c r="H809" s="6" t="s">
        <v>1833</v>
      </c>
      <c r="I809" s="6" t="s">
        <v>411</v>
      </c>
      <c r="J809" s="6" t="s">
        <v>3040</v>
      </c>
      <c r="L809" s="6" t="s">
        <v>3076</v>
      </c>
      <c r="M809" s="6" t="e">
        <f>INDEX(医院2县区2人!$B$2:$B$1048576,MATCH(L809,医院2县区2人!$A$2:$A$1048576,0))</f>
        <v>#N/A</v>
      </c>
      <c r="N809" s="6" t="e">
        <f>INDEX(医院2县区2人!$C$2:$C$1048576,MATCH(L809,医院2县区2人!$A$2:$A$1048576,0))</f>
        <v>#N/A</v>
      </c>
      <c r="P809" s="7">
        <v>43276</v>
      </c>
      <c r="Q809" s="6">
        <v>8</v>
      </c>
      <c r="S809" s="6">
        <v>18030832</v>
      </c>
      <c r="T809" s="6" t="e">
        <f>INDEX(医院2县区2人!$D$2:$D$1048576,MATCH(L809,医院2县区2人!$A$2:$A$1048576,0))</f>
        <v>#N/A</v>
      </c>
      <c r="W809" s="6" t="str">
        <f t="shared" si="27"/>
        <v>葡萄糖酸钙口服溶液10ml*12支</v>
      </c>
      <c r="X809" s="6" t="s">
        <v>2921</v>
      </c>
    </row>
    <row r="810" spans="1:24" x14ac:dyDescent="0.15">
      <c r="A810" s="7" t="str">
        <f t="shared" si="28"/>
        <v>201806</v>
      </c>
      <c r="C810" s="6" t="e">
        <f>INDEX(工厂基础数据!$A$2:$A$1024,MATCH(X810,工厂基础数据!$D$2:$D$1024,0))</f>
        <v>#N/A</v>
      </c>
      <c r="E810" s="6" t="e">
        <f>INDEX(工厂基础数据!$B$2:$B$1024,MATCH(X810,工厂基础数据!$D$2:$D$1024,0))</f>
        <v>#N/A</v>
      </c>
      <c r="F810" s="6" t="e">
        <f>INDEX(商业2转码!$B$2:$B$10000,MATCH(E810,商业2转码!$A$2:$A$10000,0))</f>
        <v>#N/A</v>
      </c>
      <c r="G810" s="6" t="str">
        <f>INDEX(品种2编码!$A$2:$A$1048576,MATCH(W810,品种2编码!$D$2:$D$1048576,0))</f>
        <v>0020030001SJZY0006</v>
      </c>
      <c r="H810" s="6" t="s">
        <v>1833</v>
      </c>
      <c r="I810" s="6" t="s">
        <v>411</v>
      </c>
      <c r="J810" s="6" t="s">
        <v>3040</v>
      </c>
      <c r="L810" s="6" t="s">
        <v>3076</v>
      </c>
      <c r="M810" s="6" t="e">
        <f>INDEX(医院2县区2人!$B$2:$B$1048576,MATCH(L810,医院2县区2人!$A$2:$A$1048576,0))</f>
        <v>#N/A</v>
      </c>
      <c r="N810" s="6" t="e">
        <f>INDEX(医院2县区2人!$C$2:$C$1048576,MATCH(L810,医院2县区2人!$A$2:$A$1048576,0))</f>
        <v>#N/A</v>
      </c>
      <c r="P810" s="7">
        <v>43276</v>
      </c>
      <c r="Q810" s="6">
        <v>2</v>
      </c>
      <c r="S810" s="6">
        <v>17111823</v>
      </c>
      <c r="T810" s="6" t="e">
        <f>INDEX(医院2县区2人!$D$2:$D$1048576,MATCH(L810,医院2县区2人!$A$2:$A$1048576,0))</f>
        <v>#N/A</v>
      </c>
      <c r="W810" s="6" t="str">
        <f t="shared" si="27"/>
        <v>葡萄糖酸钙口服溶液10ml*12支</v>
      </c>
      <c r="X810" s="6" t="s">
        <v>2921</v>
      </c>
    </row>
    <row r="811" spans="1:24" x14ac:dyDescent="0.15">
      <c r="A811" s="7" t="str">
        <f t="shared" si="28"/>
        <v>201806</v>
      </c>
      <c r="C811" s="6" t="e">
        <f>INDEX(工厂基础数据!$A$2:$A$1024,MATCH(X811,工厂基础数据!$D$2:$D$1024,0))</f>
        <v>#N/A</v>
      </c>
      <c r="E811" s="6" t="e">
        <f>INDEX(工厂基础数据!$B$2:$B$1024,MATCH(X811,工厂基础数据!$D$2:$D$1024,0))</f>
        <v>#N/A</v>
      </c>
      <c r="F811" s="6" t="e">
        <f>INDEX(商业2转码!$B$2:$B$10000,MATCH(E811,商业2转码!$A$2:$A$10000,0))</f>
        <v>#N/A</v>
      </c>
      <c r="G811" s="6" t="str">
        <f>INDEX(品种2编码!$A$2:$A$1048576,MATCH(W811,品种2编码!$D$2:$D$1048576,0))</f>
        <v>0020030001SJZY0006</v>
      </c>
      <c r="H811" s="6" t="s">
        <v>1833</v>
      </c>
      <c r="I811" s="6" t="s">
        <v>411</v>
      </c>
      <c r="J811" s="6" t="s">
        <v>3040</v>
      </c>
      <c r="L811" s="6" t="s">
        <v>3107</v>
      </c>
      <c r="M811" s="6" t="e">
        <f>INDEX(医院2县区2人!$B$2:$B$1048576,MATCH(L811,医院2县区2人!$A$2:$A$1048576,0))</f>
        <v>#N/A</v>
      </c>
      <c r="N811" s="6" t="e">
        <f>INDEX(医院2县区2人!$C$2:$C$1048576,MATCH(L811,医院2县区2人!$A$2:$A$1048576,0))</f>
        <v>#N/A</v>
      </c>
      <c r="P811" s="7">
        <v>43276</v>
      </c>
      <c r="Q811" s="6">
        <v>80</v>
      </c>
      <c r="S811" s="6">
        <v>18030832</v>
      </c>
      <c r="T811" s="6" t="e">
        <f>INDEX(医院2县区2人!$D$2:$D$1048576,MATCH(L811,医院2县区2人!$A$2:$A$1048576,0))</f>
        <v>#N/A</v>
      </c>
      <c r="W811" s="6" t="str">
        <f t="shared" si="27"/>
        <v>葡萄糖酸钙口服溶液10ml*12支</v>
      </c>
      <c r="X811" s="6" t="s">
        <v>2921</v>
      </c>
    </row>
    <row r="812" spans="1:24" x14ac:dyDescent="0.15">
      <c r="A812" s="7" t="str">
        <f t="shared" si="28"/>
        <v>201806</v>
      </c>
      <c r="C812" s="6" t="e">
        <f>INDEX(工厂基础数据!$A$2:$A$1024,MATCH(X812,工厂基础数据!$D$2:$D$1024,0))</f>
        <v>#N/A</v>
      </c>
      <c r="E812" s="6" t="e">
        <f>INDEX(工厂基础数据!$B$2:$B$1024,MATCH(X812,工厂基础数据!$D$2:$D$1024,0))</f>
        <v>#N/A</v>
      </c>
      <c r="F812" s="6" t="e">
        <f>INDEX(商业2转码!$B$2:$B$10000,MATCH(E812,商业2转码!$A$2:$A$10000,0))</f>
        <v>#N/A</v>
      </c>
      <c r="G812" s="6" t="str">
        <f>INDEX(品种2编码!$A$2:$A$1048576,MATCH(W812,品种2编码!$D$2:$D$1048576,0))</f>
        <v>0020030001SJZY0006</v>
      </c>
      <c r="H812" s="6" t="s">
        <v>1833</v>
      </c>
      <c r="I812" s="6" t="s">
        <v>411</v>
      </c>
      <c r="J812" s="6" t="s">
        <v>3040</v>
      </c>
      <c r="L812" s="6" t="s">
        <v>3107</v>
      </c>
      <c r="M812" s="6" t="e">
        <f>INDEX(医院2县区2人!$B$2:$B$1048576,MATCH(L812,医院2县区2人!$A$2:$A$1048576,0))</f>
        <v>#N/A</v>
      </c>
      <c r="N812" s="6" t="e">
        <f>INDEX(医院2县区2人!$C$2:$C$1048576,MATCH(L812,医院2县区2人!$A$2:$A$1048576,0))</f>
        <v>#N/A</v>
      </c>
      <c r="P812" s="7">
        <v>43276</v>
      </c>
      <c r="Q812" s="6">
        <v>70</v>
      </c>
      <c r="S812" s="6">
        <v>18030832</v>
      </c>
      <c r="T812" s="6" t="e">
        <f>INDEX(医院2县区2人!$D$2:$D$1048576,MATCH(L812,医院2县区2人!$A$2:$A$1048576,0))</f>
        <v>#N/A</v>
      </c>
      <c r="W812" s="6" t="str">
        <f t="shared" si="27"/>
        <v>葡萄糖酸钙口服溶液10ml*12支</v>
      </c>
      <c r="X812" s="6" t="s">
        <v>2921</v>
      </c>
    </row>
    <row r="813" spans="1:24" x14ac:dyDescent="0.15">
      <c r="A813" s="7" t="str">
        <f t="shared" si="28"/>
        <v>201806</v>
      </c>
      <c r="C813" s="6" t="e">
        <f>INDEX(工厂基础数据!$A$2:$A$1024,MATCH(X813,工厂基础数据!$D$2:$D$1024,0))</f>
        <v>#N/A</v>
      </c>
      <c r="E813" s="6" t="e">
        <f>INDEX(工厂基础数据!$B$2:$B$1024,MATCH(X813,工厂基础数据!$D$2:$D$1024,0))</f>
        <v>#N/A</v>
      </c>
      <c r="F813" s="6" t="e">
        <f>INDEX(商业2转码!$B$2:$B$10000,MATCH(E813,商业2转码!$A$2:$A$10000,0))</f>
        <v>#N/A</v>
      </c>
      <c r="G813" s="6">
        <f>INDEX(品种2编码!$A$2:$A$1048576,MATCH(W813,品种2编码!$D$2:$D$1048576,0))</f>
        <v>0</v>
      </c>
      <c r="H813" s="6" t="s">
        <v>3063</v>
      </c>
      <c r="I813" s="6" t="s">
        <v>1869</v>
      </c>
      <c r="J813" s="6" t="s">
        <v>3036</v>
      </c>
      <c r="L813" s="6" t="s">
        <v>2952</v>
      </c>
      <c r="M813" s="6">
        <f>INDEX(医院2县区2人!$B$2:$B$1048576,MATCH(L813,医院2县区2人!$A$2:$A$1048576,0))</f>
        <v>0</v>
      </c>
      <c r="N813" s="6">
        <f>INDEX(医院2县区2人!$C$2:$C$1048576,MATCH(L813,医院2县区2人!$A$2:$A$1048576,0))</f>
        <v>0</v>
      </c>
      <c r="P813" s="7">
        <v>43276</v>
      </c>
      <c r="Q813" s="6">
        <v>10</v>
      </c>
      <c r="S813" s="6">
        <v>170501</v>
      </c>
      <c r="T813" s="6">
        <f>INDEX(医院2县区2人!$D$2:$D$1048576,MATCH(L813,医院2县区2人!$A$2:$A$1048576,0))</f>
        <v>0</v>
      </c>
      <c r="W813" s="6" t="str">
        <f t="shared" si="27"/>
        <v>罗红霉素分散片/严迪75mg*12片</v>
      </c>
      <c r="X813" s="6" t="s">
        <v>2921</v>
      </c>
    </row>
    <row r="814" spans="1:24" x14ac:dyDescent="0.15">
      <c r="A814" s="7" t="str">
        <f t="shared" si="28"/>
        <v>201806</v>
      </c>
      <c r="C814" s="6" t="e">
        <f>INDEX(工厂基础数据!$A$2:$A$1024,MATCH(X814,工厂基础数据!$D$2:$D$1024,0))</f>
        <v>#N/A</v>
      </c>
      <c r="E814" s="6" t="e">
        <f>INDEX(工厂基础数据!$B$2:$B$1024,MATCH(X814,工厂基础数据!$D$2:$D$1024,0))</f>
        <v>#N/A</v>
      </c>
      <c r="F814" s="6" t="e">
        <f>INDEX(商业2转码!$B$2:$B$10000,MATCH(E814,商业2转码!$A$2:$A$10000,0))</f>
        <v>#N/A</v>
      </c>
      <c r="G814" s="6" t="str">
        <f>INDEX(品种2编码!$A$2:$A$1048576,MATCH(W814,品种2编码!$D$2:$D$1048576,0))</f>
        <v>0020020021ZYZC0341</v>
      </c>
      <c r="H814" s="6" t="s">
        <v>1936</v>
      </c>
      <c r="I814" s="6" t="s">
        <v>279</v>
      </c>
      <c r="J814" s="6" t="s">
        <v>3038</v>
      </c>
      <c r="L814" s="6" t="s">
        <v>3108</v>
      </c>
      <c r="M814" s="6" t="e">
        <f>INDEX(医院2县区2人!$B$2:$B$1048576,MATCH(L814,医院2县区2人!$A$2:$A$1048576,0))</f>
        <v>#N/A</v>
      </c>
      <c r="N814" s="6" t="e">
        <f>INDEX(医院2县区2人!$C$2:$C$1048576,MATCH(L814,医院2县区2人!$A$2:$A$1048576,0))</f>
        <v>#N/A</v>
      </c>
      <c r="P814" s="7">
        <v>43277</v>
      </c>
      <c r="Q814" s="6">
        <v>1200</v>
      </c>
      <c r="S814" s="6" t="s">
        <v>3067</v>
      </c>
      <c r="T814" s="6" t="e">
        <f>INDEX(医院2县区2人!$D$2:$D$1048576,MATCH(L814,医院2县区2人!$A$2:$A$1048576,0))</f>
        <v>#N/A</v>
      </c>
      <c r="W814" s="6" t="str">
        <f t="shared" si="27"/>
        <v>阿莫西林克拉维酸钾分散片0.2285g*12片</v>
      </c>
      <c r="X814" s="6" t="s">
        <v>2921</v>
      </c>
    </row>
    <row r="815" spans="1:24" x14ac:dyDescent="0.15">
      <c r="A815" s="7" t="str">
        <f t="shared" si="28"/>
        <v>201806</v>
      </c>
      <c r="C815" s="6" t="e">
        <f>INDEX(工厂基础数据!$A$2:$A$1024,MATCH(X815,工厂基础数据!$D$2:$D$1024,0))</f>
        <v>#N/A</v>
      </c>
      <c r="E815" s="6" t="e">
        <f>INDEX(工厂基础数据!$B$2:$B$1024,MATCH(X815,工厂基础数据!$D$2:$D$1024,0))</f>
        <v>#N/A</v>
      </c>
      <c r="F815" s="6" t="e">
        <f>INDEX(商业2转码!$B$2:$B$10000,MATCH(E815,商业2转码!$A$2:$A$10000,0))</f>
        <v>#N/A</v>
      </c>
      <c r="G815" s="6" t="str">
        <f>INDEX(品种2编码!$A$2:$A$1048576,MATCH(W815,品种2编码!$D$2:$D$1048576,0))</f>
        <v>0020030001SJZY0009</v>
      </c>
      <c r="H815" s="6" t="s">
        <v>555</v>
      </c>
      <c r="I815" s="6" t="s">
        <v>411</v>
      </c>
      <c r="J815" s="6" t="s">
        <v>3044</v>
      </c>
      <c r="L815" s="6" t="s">
        <v>3096</v>
      </c>
      <c r="M815" s="6" t="e">
        <f>INDEX(医院2县区2人!$B$2:$B$1048576,MATCH(L815,医院2县区2人!$A$2:$A$1048576,0))</f>
        <v>#N/A</v>
      </c>
      <c r="N815" s="6" t="e">
        <f>INDEX(医院2县区2人!$C$2:$C$1048576,MATCH(L815,医院2县区2人!$A$2:$A$1048576,0))</f>
        <v>#N/A</v>
      </c>
      <c r="P815" s="7">
        <v>43277</v>
      </c>
      <c r="Q815" s="6">
        <v>160</v>
      </c>
      <c r="S815" s="6">
        <v>18031317</v>
      </c>
      <c r="T815" s="6" t="e">
        <f>INDEX(医院2县区2人!$D$2:$D$1048576,MATCH(L815,医院2县区2人!$A$2:$A$1048576,0))</f>
        <v>#N/A</v>
      </c>
      <c r="W815" s="6" t="str">
        <f t="shared" si="27"/>
        <v>葡萄糖酸锌口服液10ml*12支</v>
      </c>
      <c r="X815" s="6" t="s">
        <v>2921</v>
      </c>
    </row>
    <row r="816" spans="1:24" x14ac:dyDescent="0.15">
      <c r="A816" s="7" t="str">
        <f t="shared" si="28"/>
        <v>201806</v>
      </c>
      <c r="C816" s="6" t="e">
        <f>INDEX(工厂基础数据!$A$2:$A$1024,MATCH(X816,工厂基础数据!$D$2:$D$1024,0))</f>
        <v>#N/A</v>
      </c>
      <c r="E816" s="6" t="e">
        <f>INDEX(工厂基础数据!$B$2:$B$1024,MATCH(X816,工厂基础数据!$D$2:$D$1024,0))</f>
        <v>#N/A</v>
      </c>
      <c r="F816" s="6" t="e">
        <f>INDEX(商业2转码!$B$2:$B$10000,MATCH(E816,商业2转码!$A$2:$A$10000,0))</f>
        <v>#N/A</v>
      </c>
      <c r="G816" s="6">
        <f>INDEX(品种2编码!$A$2:$A$1048576,MATCH(W816,品种2编码!$D$2:$D$1048576,0))</f>
        <v>0</v>
      </c>
      <c r="H816" s="6" t="s">
        <v>3062</v>
      </c>
      <c r="I816" s="6" t="s">
        <v>2035</v>
      </c>
      <c r="J816" s="6" t="s">
        <v>3036</v>
      </c>
      <c r="L816" s="6" t="s">
        <v>3109</v>
      </c>
      <c r="M816" s="6" t="e">
        <f>INDEX(医院2县区2人!$B$2:$B$1048576,MATCH(L816,医院2县区2人!$A$2:$A$1048576,0))</f>
        <v>#N/A</v>
      </c>
      <c r="N816" s="6" t="e">
        <f>INDEX(医院2县区2人!$C$2:$C$1048576,MATCH(L816,医院2县区2人!$A$2:$A$1048576,0))</f>
        <v>#N/A</v>
      </c>
      <c r="P816" s="7">
        <v>43278</v>
      </c>
      <c r="Q816" s="6">
        <v>60</v>
      </c>
      <c r="S816" s="6">
        <v>160504</v>
      </c>
      <c r="T816" s="6" t="e">
        <f>INDEX(医院2县区2人!$D$2:$D$1048576,MATCH(L816,医院2县区2人!$A$2:$A$1048576,0))</f>
        <v>#N/A</v>
      </c>
      <c r="W816" s="6" t="str">
        <f t="shared" si="27"/>
        <v>颠茄磺苄啶片/泻痢停20片</v>
      </c>
      <c r="X816" s="6" t="s">
        <v>2921</v>
      </c>
    </row>
    <row r="817" spans="1:24" x14ac:dyDescent="0.15">
      <c r="A817" s="7" t="str">
        <f t="shared" si="28"/>
        <v>201806</v>
      </c>
      <c r="C817" s="6" t="e">
        <f>INDEX(工厂基础数据!$A$2:$A$1024,MATCH(X817,工厂基础数据!$D$2:$D$1024,0))</f>
        <v>#N/A</v>
      </c>
      <c r="E817" s="6" t="e">
        <f>INDEX(工厂基础数据!$B$2:$B$1024,MATCH(X817,工厂基础数据!$D$2:$D$1024,0))</f>
        <v>#N/A</v>
      </c>
      <c r="F817" s="6" t="e">
        <f>INDEX(商业2转码!$B$2:$B$10000,MATCH(E817,商业2转码!$A$2:$A$10000,0))</f>
        <v>#N/A</v>
      </c>
      <c r="G817" s="6">
        <f>INDEX(品种2编码!$A$2:$A$1048576,MATCH(W817,品种2编码!$D$2:$D$1048576,0))</f>
        <v>0</v>
      </c>
      <c r="H817" s="6" t="s">
        <v>3062</v>
      </c>
      <c r="I817" s="6" t="s">
        <v>2035</v>
      </c>
      <c r="J817" s="6" t="s">
        <v>3036</v>
      </c>
      <c r="L817" s="6" t="s">
        <v>3110</v>
      </c>
      <c r="M817" s="6" t="e">
        <f>INDEX(医院2县区2人!$B$2:$B$1048576,MATCH(L817,医院2县区2人!$A$2:$A$1048576,0))</f>
        <v>#N/A</v>
      </c>
      <c r="N817" s="6" t="e">
        <f>INDEX(医院2县区2人!$C$2:$C$1048576,MATCH(L817,医院2县区2人!$A$2:$A$1048576,0))</f>
        <v>#N/A</v>
      </c>
      <c r="P817" s="7">
        <v>43279</v>
      </c>
      <c r="Q817" s="6">
        <v>20</v>
      </c>
      <c r="S817" s="6">
        <v>160504</v>
      </c>
      <c r="T817" s="6" t="e">
        <f>INDEX(医院2县区2人!$D$2:$D$1048576,MATCH(L817,医院2县区2人!$A$2:$A$1048576,0))</f>
        <v>#N/A</v>
      </c>
      <c r="W817" s="6" t="str">
        <f t="shared" si="27"/>
        <v>颠茄磺苄啶片/泻痢停20片</v>
      </c>
      <c r="X817" s="6" t="s">
        <v>2921</v>
      </c>
    </row>
    <row r="818" spans="1:24" x14ac:dyDescent="0.15">
      <c r="A818" s="7" t="str">
        <f t="shared" si="28"/>
        <v>201806</v>
      </c>
      <c r="C818" s="6" t="e">
        <f>INDEX(工厂基础数据!$A$2:$A$1024,MATCH(X818,工厂基础数据!$D$2:$D$1024,0))</f>
        <v>#N/A</v>
      </c>
      <c r="E818" s="6" t="e">
        <f>INDEX(工厂基础数据!$B$2:$B$1024,MATCH(X818,工厂基础数据!$D$2:$D$1024,0))</f>
        <v>#N/A</v>
      </c>
      <c r="F818" s="6" t="e">
        <f>INDEX(商业2转码!$B$2:$B$10000,MATCH(E818,商业2转码!$A$2:$A$10000,0))</f>
        <v>#N/A</v>
      </c>
      <c r="G818" s="6">
        <f>INDEX(品种2编码!$A$2:$A$1048576,MATCH(W818,品种2编码!$D$2:$D$1048576,0))</f>
        <v>0</v>
      </c>
      <c r="H818" s="6" t="s">
        <v>3062</v>
      </c>
      <c r="I818" s="6" t="s">
        <v>2035</v>
      </c>
      <c r="J818" s="6" t="s">
        <v>3036</v>
      </c>
      <c r="L818" s="6" t="s">
        <v>3111</v>
      </c>
      <c r="M818" s="6" t="e">
        <f>INDEX(医院2县区2人!$B$2:$B$1048576,MATCH(L818,医院2县区2人!$A$2:$A$1048576,0))</f>
        <v>#N/A</v>
      </c>
      <c r="N818" s="6" t="e">
        <f>INDEX(医院2县区2人!$C$2:$C$1048576,MATCH(L818,医院2县区2人!$A$2:$A$1048576,0))</f>
        <v>#N/A</v>
      </c>
      <c r="P818" s="7">
        <v>43279</v>
      </c>
      <c r="Q818" s="6">
        <v>30</v>
      </c>
      <c r="S818" s="6">
        <v>160504</v>
      </c>
      <c r="T818" s="6" t="e">
        <f>INDEX(医院2县区2人!$D$2:$D$1048576,MATCH(L818,医院2县区2人!$A$2:$A$1048576,0))</f>
        <v>#N/A</v>
      </c>
      <c r="W818" s="6" t="str">
        <f t="shared" si="27"/>
        <v>颠茄磺苄啶片/泻痢停20片</v>
      </c>
      <c r="X818" s="6" t="s">
        <v>2921</v>
      </c>
    </row>
    <row r="819" spans="1:24" x14ac:dyDescent="0.15">
      <c r="A819" s="7" t="str">
        <f t="shared" si="28"/>
        <v>201806</v>
      </c>
      <c r="C819" s="6" t="e">
        <f>INDEX(工厂基础数据!$A$2:$A$1024,MATCH(X819,工厂基础数据!$D$2:$D$1024,0))</f>
        <v>#N/A</v>
      </c>
      <c r="E819" s="6" t="e">
        <f>INDEX(工厂基础数据!$B$2:$B$1024,MATCH(X819,工厂基础数据!$D$2:$D$1024,0))</f>
        <v>#N/A</v>
      </c>
      <c r="F819" s="6" t="e">
        <f>INDEX(商业2转码!$B$2:$B$10000,MATCH(E819,商业2转码!$A$2:$A$10000,0))</f>
        <v>#N/A</v>
      </c>
      <c r="G819" s="6">
        <f>INDEX(品种2编码!$A$2:$A$1048576,MATCH(W819,品种2编码!$D$2:$D$1048576,0))</f>
        <v>0</v>
      </c>
      <c r="H819" s="6" t="s">
        <v>1872</v>
      </c>
      <c r="I819" s="6" t="s">
        <v>3064</v>
      </c>
      <c r="J819" s="6" t="s">
        <v>3046</v>
      </c>
      <c r="L819" s="6" t="s">
        <v>3072</v>
      </c>
      <c r="M819" s="6" t="e">
        <f>INDEX(医院2县区2人!$B$2:$B$1048576,MATCH(L819,医院2县区2人!$A$2:$A$1048576,0))</f>
        <v>#N/A</v>
      </c>
      <c r="N819" s="6" t="e">
        <f>INDEX(医院2县区2人!$C$2:$C$1048576,MATCH(L819,医院2县区2人!$A$2:$A$1048576,0))</f>
        <v>#N/A</v>
      </c>
      <c r="P819" s="7">
        <v>43280</v>
      </c>
      <c r="Q819" s="6">
        <v>5</v>
      </c>
      <c r="S819" s="6">
        <v>1706022</v>
      </c>
      <c r="T819" s="6" t="e">
        <f>INDEX(医院2县区2人!$D$2:$D$1048576,MATCH(L819,医院2县区2人!$A$2:$A$1048576,0))</f>
        <v>#N/A</v>
      </c>
      <c r="W819" s="6" t="str">
        <f t="shared" si="27"/>
        <v>拉西地平片/司乐平4mg*30片</v>
      </c>
      <c r="X819" s="6" t="s">
        <v>2921</v>
      </c>
    </row>
    <row r="820" spans="1:24" x14ac:dyDescent="0.15">
      <c r="A820" s="7" t="str">
        <f t="shared" si="28"/>
        <v>201806</v>
      </c>
      <c r="C820" s="6" t="e">
        <f>INDEX(工厂基础数据!$A$2:$A$1024,MATCH(X820,工厂基础数据!$D$2:$D$1024,0))</f>
        <v>#N/A</v>
      </c>
      <c r="E820" s="6" t="e">
        <f>INDEX(工厂基础数据!$B$2:$B$1024,MATCH(X820,工厂基础数据!$D$2:$D$1024,0))</f>
        <v>#N/A</v>
      </c>
      <c r="F820" s="6" t="e">
        <f>INDEX(商业2转码!$B$2:$B$10000,MATCH(E820,商业2转码!$A$2:$A$10000,0))</f>
        <v>#N/A</v>
      </c>
      <c r="G820" s="6" t="str">
        <f>INDEX(品种2编码!$A$2:$A$1048576,MATCH(W820,品种2编码!$D$2:$D$1048576,0))</f>
        <v>0020030040ZYLC0001</v>
      </c>
      <c r="H820" s="6" t="s">
        <v>1953</v>
      </c>
      <c r="I820" s="6" t="s">
        <v>1954</v>
      </c>
      <c r="J820" s="6" t="s">
        <v>3036</v>
      </c>
      <c r="L820" s="6" t="s">
        <v>3112</v>
      </c>
      <c r="M820" s="6" t="e">
        <f>INDEX(医院2县区2人!$B$2:$B$1048576,MATCH(L820,医院2县区2人!$A$2:$A$1048576,0))</f>
        <v>#N/A</v>
      </c>
      <c r="N820" s="6" t="e">
        <f>INDEX(医院2县区2人!$C$2:$C$1048576,MATCH(L820,医院2县区2人!$A$2:$A$1048576,0))</f>
        <v>#N/A</v>
      </c>
      <c r="P820" s="7">
        <v>43280</v>
      </c>
      <c r="Q820" s="6">
        <v>20</v>
      </c>
      <c r="S820" s="6">
        <v>180184</v>
      </c>
      <c r="T820" s="6" t="e">
        <f>INDEX(医院2县区2人!$D$2:$D$1048576,MATCH(L820,医院2县区2人!$A$2:$A$1048576,0))</f>
        <v>#N/A</v>
      </c>
      <c r="W820" s="6" t="str">
        <f t="shared" si="27"/>
        <v>小儿氨酚黄那敏颗粒12袋</v>
      </c>
      <c r="X820" s="6" t="s">
        <v>2921</v>
      </c>
    </row>
    <row r="821" spans="1:24" x14ac:dyDescent="0.15">
      <c r="A821" s="7" t="str">
        <f t="shared" si="28"/>
        <v>201806</v>
      </c>
      <c r="C821" s="6" t="str">
        <f>INDEX(工厂基础数据!$A$2:$A$1024,MATCH(X821,工厂基础数据!$D$2:$D$1024,0))</f>
        <v>02032120</v>
      </c>
      <c r="E821" s="6" t="str">
        <f>INDEX(工厂基础数据!$B$2:$B$1024,MATCH(X821,工厂基础数据!$D$2:$D$1024,0))</f>
        <v>淄博博仁医药有限公司</v>
      </c>
      <c r="F821" s="6" t="e">
        <f>INDEX(商业2转码!$B$2:$B$10000,MATCH(E821,商业2转码!$A$2:$A$10000,0))</f>
        <v>#N/A</v>
      </c>
      <c r="G821" s="6">
        <f>INDEX(品种2编码!$A$2:$A$1048576,MATCH(W821,品种2编码!$D$2:$D$1048576,0))</f>
        <v>0</v>
      </c>
      <c r="H821" s="6" t="s">
        <v>405</v>
      </c>
      <c r="I821" s="6" t="s">
        <v>1850</v>
      </c>
      <c r="J821" s="6" t="s">
        <v>3279</v>
      </c>
      <c r="L821" s="6" t="s">
        <v>3113</v>
      </c>
      <c r="M821" s="6" t="e">
        <f>INDEX(医院2县区2人!$B$2:$B$1048576,MATCH(L821,医院2县区2人!$A$2:$A$1048576,0))</f>
        <v>#N/A</v>
      </c>
      <c r="N821" s="6" t="e">
        <f>INDEX(医院2县区2人!$C$2:$C$1048576,MATCH(L821,医院2县区2人!$A$2:$A$1048576,0))</f>
        <v>#N/A</v>
      </c>
      <c r="P821" s="7">
        <v>43252</v>
      </c>
      <c r="Q821" s="6">
        <v>-10</v>
      </c>
      <c r="R821" s="6">
        <v>-140</v>
      </c>
      <c r="S821" s="6">
        <v>1801108</v>
      </c>
      <c r="T821" s="6" t="e">
        <f>INDEX(医院2县区2人!$D$2:$D$1048576,MATCH(L821,医院2县区2人!$A$2:$A$1048576,0))</f>
        <v>#N/A</v>
      </c>
      <c r="W821" s="6" t="str">
        <f t="shared" si="27"/>
        <v>钙铁锌口服液10ml*10支</v>
      </c>
      <c r="X821" s="6" t="s">
        <v>2893</v>
      </c>
    </row>
    <row r="822" spans="1:24" x14ac:dyDescent="0.15">
      <c r="A822" s="7" t="str">
        <f t="shared" si="28"/>
        <v>201806</v>
      </c>
      <c r="C822" s="6" t="str">
        <f>INDEX(工厂基础数据!$A$2:$A$1024,MATCH(X822,工厂基础数据!$D$2:$D$1024,0))</f>
        <v>02032120</v>
      </c>
      <c r="E822" s="6" t="str">
        <f>INDEX(工厂基础数据!$B$2:$B$1024,MATCH(X822,工厂基础数据!$D$2:$D$1024,0))</f>
        <v>淄博博仁医药有限公司</v>
      </c>
      <c r="F822" s="6" t="e">
        <f>INDEX(商业2转码!$B$2:$B$10000,MATCH(E822,商业2转码!$A$2:$A$10000,0))</f>
        <v>#N/A</v>
      </c>
      <c r="G822" s="6">
        <f>INDEX(品种2编码!$A$2:$A$1048576,MATCH(W822,品种2编码!$D$2:$D$1048576,0))</f>
        <v>0</v>
      </c>
      <c r="H822" s="6" t="s">
        <v>1885</v>
      </c>
      <c r="I822" s="6" t="s">
        <v>1838</v>
      </c>
      <c r="J822" s="6" t="s">
        <v>3279</v>
      </c>
      <c r="L822" s="6" t="s">
        <v>3114</v>
      </c>
      <c r="M822" s="6" t="e">
        <f>INDEX(医院2县区2人!$B$2:$B$1048576,MATCH(L822,医院2县区2人!$A$2:$A$1048576,0))</f>
        <v>#N/A</v>
      </c>
      <c r="N822" s="6" t="e">
        <f>INDEX(医院2县区2人!$C$2:$C$1048576,MATCH(L822,医院2县区2人!$A$2:$A$1048576,0))</f>
        <v>#N/A</v>
      </c>
      <c r="P822" s="7">
        <v>43252</v>
      </c>
      <c r="Q822" s="6">
        <v>2</v>
      </c>
      <c r="R822" s="6">
        <v>48</v>
      </c>
      <c r="S822" s="6">
        <v>171124</v>
      </c>
      <c r="T822" s="6" t="e">
        <f>INDEX(医院2县区2人!$D$2:$D$1048576,MATCH(L822,医院2县区2人!$A$2:$A$1048576,0))</f>
        <v>#N/A</v>
      </c>
      <c r="W822" s="6" t="str">
        <f t="shared" si="27"/>
        <v>新盖中盖高钙片2.5g*36片</v>
      </c>
      <c r="X822" s="6" t="s">
        <v>2893</v>
      </c>
    </row>
    <row r="823" spans="1:24" x14ac:dyDescent="0.15">
      <c r="A823" s="7" t="str">
        <f t="shared" si="28"/>
        <v>201806</v>
      </c>
      <c r="C823" s="6" t="str">
        <f>INDEX(工厂基础数据!$A$2:$A$1024,MATCH(X823,工厂基础数据!$D$2:$D$1024,0))</f>
        <v>02032120</v>
      </c>
      <c r="E823" s="6" t="str">
        <f>INDEX(工厂基础数据!$B$2:$B$1024,MATCH(X823,工厂基础数据!$D$2:$D$1024,0))</f>
        <v>淄博博仁医药有限公司</v>
      </c>
      <c r="F823" s="6" t="e">
        <f>INDEX(商业2转码!$B$2:$B$10000,MATCH(E823,商业2转码!$A$2:$A$10000,0))</f>
        <v>#N/A</v>
      </c>
      <c r="G823" s="6" t="str">
        <f>INDEX(品种2编码!$A$2:$A$1048576,MATCH(W823,品种2编码!$D$2:$D$1048576,0))</f>
        <v>0020030001SJZY0006</v>
      </c>
      <c r="H823" s="6" t="s">
        <v>1833</v>
      </c>
      <c r="I823" s="6" t="s">
        <v>411</v>
      </c>
      <c r="J823" s="6" t="s">
        <v>3280</v>
      </c>
      <c r="L823" s="6" t="s">
        <v>3115</v>
      </c>
      <c r="M823" s="6" t="e">
        <f>INDEX(医院2县区2人!$B$2:$B$1048576,MATCH(L823,医院2县区2人!$A$2:$A$1048576,0))</f>
        <v>#N/A</v>
      </c>
      <c r="N823" s="6" t="e">
        <f>INDEX(医院2县区2人!$C$2:$C$1048576,MATCH(L823,医院2县区2人!$A$2:$A$1048576,0))</f>
        <v>#N/A</v>
      </c>
      <c r="P823" s="7">
        <v>43252</v>
      </c>
      <c r="Q823" s="6">
        <v>3</v>
      </c>
      <c r="R823" s="6">
        <v>66</v>
      </c>
      <c r="S823" s="6">
        <v>17122912</v>
      </c>
      <c r="T823" s="6" t="e">
        <f>INDEX(医院2县区2人!$D$2:$D$1048576,MATCH(L823,医院2县区2人!$A$2:$A$1048576,0))</f>
        <v>#N/A</v>
      </c>
      <c r="W823" s="6" t="str">
        <f t="shared" si="27"/>
        <v>葡萄糖酸钙口服溶液10ml*12支</v>
      </c>
      <c r="X823" s="6" t="s">
        <v>2893</v>
      </c>
    </row>
    <row r="824" spans="1:24" x14ac:dyDescent="0.15">
      <c r="A824" s="7" t="str">
        <f t="shared" si="28"/>
        <v>201806</v>
      </c>
      <c r="C824" s="6" t="str">
        <f>INDEX(工厂基础数据!$A$2:$A$1024,MATCH(X824,工厂基础数据!$D$2:$D$1024,0))</f>
        <v>02032120</v>
      </c>
      <c r="E824" s="6" t="str">
        <f>INDEX(工厂基础数据!$B$2:$B$1024,MATCH(X824,工厂基础数据!$D$2:$D$1024,0))</f>
        <v>淄博博仁医药有限公司</v>
      </c>
      <c r="F824" s="6" t="e">
        <f>INDEX(商业2转码!$B$2:$B$10000,MATCH(E824,商业2转码!$A$2:$A$10000,0))</f>
        <v>#N/A</v>
      </c>
      <c r="G824" s="6" t="str">
        <f>INDEX(品种2编码!$A$2:$A$1048576,MATCH(W824,品种2编码!$D$2:$D$1048576,0))</f>
        <v>0020050020SHYT0016</v>
      </c>
      <c r="H824" s="6" t="s">
        <v>1864</v>
      </c>
      <c r="I824" s="6" t="s">
        <v>339</v>
      </c>
      <c r="J824" s="6" t="s">
        <v>3037</v>
      </c>
      <c r="L824" s="6" t="s">
        <v>3116</v>
      </c>
      <c r="M824" s="6" t="e">
        <f>INDEX(医院2县区2人!$B$2:$B$1048576,MATCH(L824,医院2县区2人!$A$2:$A$1048576,0))</f>
        <v>#N/A</v>
      </c>
      <c r="N824" s="6" t="e">
        <f>INDEX(医院2县区2人!$C$2:$C$1048576,MATCH(L824,医院2县区2人!$A$2:$A$1048576,0))</f>
        <v>#N/A</v>
      </c>
      <c r="P824" s="7">
        <v>43252</v>
      </c>
      <c r="Q824" s="6">
        <v>3</v>
      </c>
      <c r="R824" s="6">
        <v>44.7</v>
      </c>
      <c r="S824" s="6">
        <v>1801503</v>
      </c>
      <c r="T824" s="6" t="e">
        <f>INDEX(医院2县区2人!$D$2:$D$1048576,MATCH(L824,医院2县区2人!$A$2:$A$1048576,0))</f>
        <v>#N/A</v>
      </c>
      <c r="W824" s="6" t="str">
        <f t="shared" si="27"/>
        <v>复方金银花颗粒10g*10袋</v>
      </c>
      <c r="X824" s="6" t="s">
        <v>2893</v>
      </c>
    </row>
    <row r="825" spans="1:24" x14ac:dyDescent="0.15">
      <c r="A825" s="7" t="str">
        <f t="shared" si="28"/>
        <v>201806</v>
      </c>
      <c r="C825" s="6" t="str">
        <f>INDEX(工厂基础数据!$A$2:$A$1024,MATCH(X825,工厂基础数据!$D$2:$D$1024,0))</f>
        <v>02032120</v>
      </c>
      <c r="E825" s="6" t="str">
        <f>INDEX(工厂基础数据!$B$2:$B$1024,MATCH(X825,工厂基础数据!$D$2:$D$1024,0))</f>
        <v>淄博博仁医药有限公司</v>
      </c>
      <c r="F825" s="6" t="e">
        <f>INDEX(商业2转码!$B$2:$B$10000,MATCH(E825,商业2转码!$A$2:$A$10000,0))</f>
        <v>#N/A</v>
      </c>
      <c r="G825" s="6">
        <f>INDEX(品种2编码!$A$2:$A$1048576,MATCH(W825,品种2编码!$D$2:$D$1048576,0))</f>
        <v>0</v>
      </c>
      <c r="H825" s="6" t="s">
        <v>1885</v>
      </c>
      <c r="I825" s="6" t="s">
        <v>1838</v>
      </c>
      <c r="J825" s="6" t="s">
        <v>3279</v>
      </c>
      <c r="L825" s="6" t="s">
        <v>3117</v>
      </c>
      <c r="M825" s="6" t="e">
        <f>INDEX(医院2县区2人!$B$2:$B$1048576,MATCH(L825,医院2县区2人!$A$2:$A$1048576,0))</f>
        <v>#N/A</v>
      </c>
      <c r="N825" s="6" t="e">
        <f>INDEX(医院2县区2人!$C$2:$C$1048576,MATCH(L825,医院2县区2人!$A$2:$A$1048576,0))</f>
        <v>#N/A</v>
      </c>
      <c r="P825" s="7">
        <v>43252</v>
      </c>
      <c r="Q825" s="6">
        <v>5</v>
      </c>
      <c r="R825" s="6">
        <v>120</v>
      </c>
      <c r="S825" s="6">
        <v>171124</v>
      </c>
      <c r="T825" s="6" t="e">
        <f>INDEX(医院2县区2人!$D$2:$D$1048576,MATCH(L825,医院2县区2人!$A$2:$A$1048576,0))</f>
        <v>#N/A</v>
      </c>
      <c r="W825" s="6" t="str">
        <f t="shared" si="27"/>
        <v>新盖中盖高钙片2.5g*36片</v>
      </c>
      <c r="X825" s="6" t="s">
        <v>2893</v>
      </c>
    </row>
    <row r="826" spans="1:24" x14ac:dyDescent="0.15">
      <c r="A826" s="7" t="str">
        <f t="shared" si="28"/>
        <v>201806</v>
      </c>
      <c r="C826" s="6" t="str">
        <f>INDEX(工厂基础数据!$A$2:$A$1024,MATCH(X826,工厂基础数据!$D$2:$D$1024,0))</f>
        <v>02032120</v>
      </c>
      <c r="E826" s="6" t="str">
        <f>INDEX(工厂基础数据!$B$2:$B$1024,MATCH(X826,工厂基础数据!$D$2:$D$1024,0))</f>
        <v>淄博博仁医药有限公司</v>
      </c>
      <c r="F826" s="6" t="e">
        <f>INDEX(商业2转码!$B$2:$B$10000,MATCH(E826,商业2转码!$A$2:$A$10000,0))</f>
        <v>#N/A</v>
      </c>
      <c r="G826" s="6" t="str">
        <f>INDEX(品种2编码!$A$2:$A$1048576,MATCH(W826,品种2编码!$D$2:$D$1048576,0))</f>
        <v>0020040110SHYT0002</v>
      </c>
      <c r="H826" s="6" t="s">
        <v>601</v>
      </c>
      <c r="I826" s="6" t="s">
        <v>1997</v>
      </c>
      <c r="J826" s="6" t="s">
        <v>3279</v>
      </c>
      <c r="L826" s="6" t="s">
        <v>3118</v>
      </c>
      <c r="M826" s="6" t="e">
        <f>INDEX(医院2县区2人!$B$2:$B$1048576,MATCH(L826,医院2县区2人!$A$2:$A$1048576,0))</f>
        <v>#N/A</v>
      </c>
      <c r="N826" s="6" t="e">
        <f>INDEX(医院2县区2人!$C$2:$C$1048576,MATCH(L826,医院2县区2人!$A$2:$A$1048576,0))</f>
        <v>#N/A</v>
      </c>
      <c r="P826" s="7">
        <v>43252</v>
      </c>
      <c r="Q826" s="6">
        <v>5</v>
      </c>
      <c r="R826" s="6">
        <v>87.5</v>
      </c>
      <c r="S826" s="6">
        <v>161101</v>
      </c>
      <c r="T826" s="6" t="e">
        <f>INDEX(医院2县区2人!$D$2:$D$1048576,MATCH(L826,医院2县区2人!$A$2:$A$1048576,0))</f>
        <v>#N/A</v>
      </c>
      <c r="W826" s="6" t="str">
        <f t="shared" si="27"/>
        <v>麝香接骨胶囊0.3g*40粒</v>
      </c>
      <c r="X826" s="6" t="s">
        <v>2893</v>
      </c>
    </row>
    <row r="827" spans="1:24" x14ac:dyDescent="0.15">
      <c r="A827" s="7" t="str">
        <f t="shared" si="28"/>
        <v>201806</v>
      </c>
      <c r="C827" s="6" t="str">
        <f>INDEX(工厂基础数据!$A$2:$A$1024,MATCH(X827,工厂基础数据!$D$2:$D$1024,0))</f>
        <v>02032120</v>
      </c>
      <c r="E827" s="6" t="str">
        <f>INDEX(工厂基础数据!$B$2:$B$1024,MATCH(X827,工厂基础数据!$D$2:$D$1024,0))</f>
        <v>淄博博仁医药有限公司</v>
      </c>
      <c r="F827" s="6" t="e">
        <f>INDEX(商业2转码!$B$2:$B$10000,MATCH(E827,商业2转码!$A$2:$A$10000,0))</f>
        <v>#N/A</v>
      </c>
      <c r="G827" s="6" t="str">
        <f>INDEX(品种2编码!$A$2:$A$1048576,MATCH(W827,品种2编码!$D$2:$D$1048576,0))</f>
        <v>0020070000ZYLC0052</v>
      </c>
      <c r="H827" s="6" t="s">
        <v>402</v>
      </c>
      <c r="I827" s="6" t="s">
        <v>411</v>
      </c>
      <c r="J827" s="6" t="s">
        <v>3279</v>
      </c>
      <c r="L827" s="6" t="s">
        <v>3119</v>
      </c>
      <c r="M827" s="6" t="e">
        <f>INDEX(医院2县区2人!$B$2:$B$1048576,MATCH(L827,医院2县区2人!$A$2:$A$1048576,0))</f>
        <v>#N/A</v>
      </c>
      <c r="N827" s="6" t="e">
        <f>INDEX(医院2县区2人!$C$2:$C$1048576,MATCH(L827,医院2县区2人!$A$2:$A$1048576,0))</f>
        <v>#N/A</v>
      </c>
      <c r="P827" s="7">
        <v>43252</v>
      </c>
      <c r="Q827" s="6">
        <v>5</v>
      </c>
      <c r="R827" s="6">
        <v>85</v>
      </c>
      <c r="S827" s="6">
        <v>170801</v>
      </c>
      <c r="T827" s="6" t="e">
        <f>INDEX(医院2县区2人!$D$2:$D$1048576,MATCH(L827,医院2县区2人!$A$2:$A$1048576,0))</f>
        <v>#N/A</v>
      </c>
      <c r="W827" s="6" t="str">
        <f t="shared" si="27"/>
        <v>钙加锌口服液10ml*12支</v>
      </c>
      <c r="X827" s="6" t="s">
        <v>2893</v>
      </c>
    </row>
    <row r="828" spans="1:24" x14ac:dyDescent="0.15">
      <c r="A828" s="7" t="str">
        <f t="shared" si="28"/>
        <v>201806</v>
      </c>
      <c r="C828" s="6" t="str">
        <f>INDEX(工厂基础数据!$A$2:$A$1024,MATCH(X828,工厂基础数据!$D$2:$D$1024,0))</f>
        <v>02032120</v>
      </c>
      <c r="E828" s="6" t="str">
        <f>INDEX(工厂基础数据!$B$2:$B$1024,MATCH(X828,工厂基础数据!$D$2:$D$1024,0))</f>
        <v>淄博博仁医药有限公司</v>
      </c>
      <c r="F828" s="6" t="e">
        <f>INDEX(商业2转码!$B$2:$B$10000,MATCH(E828,商业2转码!$A$2:$A$10000,0))</f>
        <v>#N/A</v>
      </c>
      <c r="G828" s="6">
        <f>INDEX(品种2编码!$A$2:$A$1048576,MATCH(W828,品种2编码!$D$2:$D$1048576,0))</f>
        <v>0</v>
      </c>
      <c r="H828" s="6" t="s">
        <v>1857</v>
      </c>
      <c r="I828" s="6" t="s">
        <v>3288</v>
      </c>
      <c r="J828" s="6" t="s">
        <v>3281</v>
      </c>
      <c r="L828" s="6" t="s">
        <v>3118</v>
      </c>
      <c r="M828" s="6" t="e">
        <f>INDEX(医院2县区2人!$B$2:$B$1048576,MATCH(L828,医院2县区2人!$A$2:$A$1048576,0))</f>
        <v>#N/A</v>
      </c>
      <c r="N828" s="6" t="e">
        <f>INDEX(医院2县区2人!$C$2:$C$1048576,MATCH(L828,医院2县区2人!$A$2:$A$1048576,0))</f>
        <v>#N/A</v>
      </c>
      <c r="P828" s="7">
        <v>43252</v>
      </c>
      <c r="Q828" s="6">
        <v>5</v>
      </c>
      <c r="R828" s="6">
        <v>70</v>
      </c>
      <c r="S828" s="6">
        <v>1801404</v>
      </c>
      <c r="T828" s="6" t="e">
        <f>INDEX(医院2县区2人!$D$2:$D$1048576,MATCH(L828,医院2县区2人!$A$2:$A$1048576,0))</f>
        <v>#N/A</v>
      </c>
      <c r="W828" s="6" t="str">
        <f t="shared" si="27"/>
        <v>妇宁栓7粒</v>
      </c>
      <c r="X828" s="6" t="s">
        <v>2893</v>
      </c>
    </row>
    <row r="829" spans="1:24" x14ac:dyDescent="0.15">
      <c r="A829" s="7" t="str">
        <f t="shared" si="28"/>
        <v>201806</v>
      </c>
      <c r="C829" s="6" t="str">
        <f>INDEX(工厂基础数据!$A$2:$A$1024,MATCH(X829,工厂基础数据!$D$2:$D$1024,0))</f>
        <v>02032120</v>
      </c>
      <c r="E829" s="6" t="str">
        <f>INDEX(工厂基础数据!$B$2:$B$1024,MATCH(X829,工厂基础数据!$D$2:$D$1024,0))</f>
        <v>淄博博仁医药有限公司</v>
      </c>
      <c r="F829" s="6" t="e">
        <f>INDEX(商业2转码!$B$2:$B$10000,MATCH(E829,商业2转码!$A$2:$A$10000,0))</f>
        <v>#N/A</v>
      </c>
      <c r="G829" s="6" t="str">
        <f>INDEX(品种2编码!$A$2:$A$1048576,MATCH(W829,品种2编码!$D$2:$D$1048576,0))</f>
        <v>0020040020SHYT0007</v>
      </c>
      <c r="H829" s="6" t="s">
        <v>338</v>
      </c>
      <c r="I829" s="6" t="s">
        <v>1866</v>
      </c>
      <c r="J829" s="6" t="s">
        <v>3279</v>
      </c>
      <c r="L829" s="6" t="s">
        <v>3120</v>
      </c>
      <c r="M829" s="6" t="e">
        <f>INDEX(医院2县区2人!$B$2:$B$1048576,MATCH(L829,医院2县区2人!$A$2:$A$1048576,0))</f>
        <v>#N/A</v>
      </c>
      <c r="N829" s="6" t="e">
        <f>INDEX(医院2县区2人!$C$2:$C$1048576,MATCH(L829,医院2县区2人!$A$2:$A$1048576,0))</f>
        <v>#N/A</v>
      </c>
      <c r="P829" s="7">
        <v>43252</v>
      </c>
      <c r="Q829" s="6">
        <v>5</v>
      </c>
      <c r="R829" s="6">
        <v>81</v>
      </c>
      <c r="S829" s="6">
        <v>1703505</v>
      </c>
      <c r="T829" s="6" t="e">
        <f>INDEX(医院2县区2人!$D$2:$D$1048576,MATCH(L829,医院2县区2人!$A$2:$A$1048576,0))</f>
        <v>#N/A</v>
      </c>
      <c r="W829" s="6" t="str">
        <f t="shared" si="27"/>
        <v>丹佛胃尔康颗粒10g*6袋</v>
      </c>
      <c r="X829" s="6" t="s">
        <v>2893</v>
      </c>
    </row>
    <row r="830" spans="1:24" x14ac:dyDescent="0.15">
      <c r="A830" s="7" t="str">
        <f t="shared" si="28"/>
        <v>201806</v>
      </c>
      <c r="C830" s="6" t="str">
        <f>INDEX(工厂基础数据!$A$2:$A$1024,MATCH(X830,工厂基础数据!$D$2:$D$1024,0))</f>
        <v>02032120</v>
      </c>
      <c r="E830" s="6" t="str">
        <f>INDEX(工厂基础数据!$B$2:$B$1024,MATCH(X830,工厂基础数据!$D$2:$D$1024,0))</f>
        <v>淄博博仁医药有限公司</v>
      </c>
      <c r="F830" s="6" t="e">
        <f>INDEX(商业2转码!$B$2:$B$10000,MATCH(E830,商业2转码!$A$2:$A$10000,0))</f>
        <v>#N/A</v>
      </c>
      <c r="G830" s="6">
        <f>INDEX(品种2编码!$A$2:$A$1048576,MATCH(W830,品种2编码!$D$2:$D$1048576,0))</f>
        <v>0</v>
      </c>
      <c r="H830" s="6" t="s">
        <v>306</v>
      </c>
      <c r="I830" s="6" t="s">
        <v>3289</v>
      </c>
      <c r="J830" s="6" t="s">
        <v>3279</v>
      </c>
      <c r="L830" s="6" t="s">
        <v>3116</v>
      </c>
      <c r="M830" s="6" t="e">
        <f>INDEX(医院2县区2人!$B$2:$B$1048576,MATCH(L830,医院2县区2人!$A$2:$A$1048576,0))</f>
        <v>#N/A</v>
      </c>
      <c r="N830" s="6" t="e">
        <f>INDEX(医院2县区2人!$C$2:$C$1048576,MATCH(L830,医院2县区2人!$A$2:$A$1048576,0))</f>
        <v>#N/A</v>
      </c>
      <c r="P830" s="7">
        <v>43252</v>
      </c>
      <c r="Q830" s="6">
        <v>5</v>
      </c>
      <c r="R830" s="6">
        <v>45</v>
      </c>
      <c r="S830" s="6">
        <v>180117</v>
      </c>
      <c r="T830" s="6" t="e">
        <f>INDEX(医院2县区2人!$D$2:$D$1048576,MATCH(L830,医院2县区2人!$A$2:$A$1048576,0))</f>
        <v>#N/A</v>
      </c>
      <c r="W830" s="6" t="str">
        <f t="shared" si="27"/>
        <v>氨金黄敏颗粒10袋</v>
      </c>
      <c r="X830" s="6" t="s">
        <v>2893</v>
      </c>
    </row>
    <row r="831" spans="1:24" x14ac:dyDescent="0.15">
      <c r="A831" s="7" t="str">
        <f t="shared" si="28"/>
        <v>201806</v>
      </c>
      <c r="C831" s="6" t="str">
        <f>INDEX(工厂基础数据!$A$2:$A$1024,MATCH(X831,工厂基础数据!$D$2:$D$1024,0))</f>
        <v>02032120</v>
      </c>
      <c r="E831" s="6" t="str">
        <f>INDEX(工厂基础数据!$B$2:$B$1024,MATCH(X831,工厂基础数据!$D$2:$D$1024,0))</f>
        <v>淄博博仁医药有限公司</v>
      </c>
      <c r="F831" s="6" t="e">
        <f>INDEX(商业2转码!$B$2:$B$10000,MATCH(E831,商业2转码!$A$2:$A$10000,0))</f>
        <v>#N/A</v>
      </c>
      <c r="G831" s="6">
        <f>INDEX(品种2编码!$A$2:$A$1048576,MATCH(W831,品种2编码!$D$2:$D$1048576,0))</f>
        <v>0</v>
      </c>
      <c r="H831" s="6" t="s">
        <v>2020</v>
      </c>
      <c r="I831" s="6" t="s">
        <v>3290</v>
      </c>
      <c r="J831" s="6" t="s">
        <v>3036</v>
      </c>
      <c r="L831" s="6" t="s">
        <v>3121</v>
      </c>
      <c r="M831" s="6" t="e">
        <f>INDEX(医院2县区2人!$B$2:$B$1048576,MATCH(L831,医院2县区2人!$A$2:$A$1048576,0))</f>
        <v>#N/A</v>
      </c>
      <c r="N831" s="6" t="e">
        <f>INDEX(医院2县区2人!$C$2:$C$1048576,MATCH(L831,医院2县区2人!$A$2:$A$1048576,0))</f>
        <v>#N/A</v>
      </c>
      <c r="P831" s="7">
        <v>43252</v>
      </c>
      <c r="Q831" s="6">
        <v>10</v>
      </c>
      <c r="R831" s="6">
        <v>40</v>
      </c>
      <c r="S831" s="6">
        <v>170601</v>
      </c>
      <c r="T831" s="6" t="e">
        <f>INDEX(医院2县区2人!$D$2:$D$1048576,MATCH(L831,医院2县区2人!$A$2:$A$1048576,0))</f>
        <v>#N/A</v>
      </c>
      <c r="W831" s="6" t="str">
        <f t="shared" si="27"/>
        <v>盐酸氟桂利嗪片5mg*20片</v>
      </c>
      <c r="X831" s="6" t="s">
        <v>2893</v>
      </c>
    </row>
    <row r="832" spans="1:24" x14ac:dyDescent="0.15">
      <c r="A832" s="7" t="str">
        <f t="shared" si="28"/>
        <v>201806</v>
      </c>
      <c r="C832" s="6" t="str">
        <f>INDEX(工厂基础数据!$A$2:$A$1024,MATCH(X832,工厂基础数据!$D$2:$D$1024,0))</f>
        <v>02032120</v>
      </c>
      <c r="E832" s="6" t="str">
        <f>INDEX(工厂基础数据!$B$2:$B$1024,MATCH(X832,工厂基础数据!$D$2:$D$1024,0))</f>
        <v>淄博博仁医药有限公司</v>
      </c>
      <c r="F832" s="6" t="e">
        <f>INDEX(商业2转码!$B$2:$B$10000,MATCH(E832,商业2转码!$A$2:$A$10000,0))</f>
        <v>#N/A</v>
      </c>
      <c r="G832" s="6" t="str">
        <f>INDEX(品种2编码!$A$2:$A$1048576,MATCH(W832,品种2编码!$D$2:$D$1048576,0))</f>
        <v>0020030001SJZY0006</v>
      </c>
      <c r="H832" s="6" t="s">
        <v>1833</v>
      </c>
      <c r="I832" s="6" t="s">
        <v>411</v>
      </c>
      <c r="J832" s="6" t="s">
        <v>3280</v>
      </c>
      <c r="L832" s="6" t="s">
        <v>3122</v>
      </c>
      <c r="M832" s="6" t="e">
        <f>INDEX(医院2县区2人!$B$2:$B$1048576,MATCH(L832,医院2县区2人!$A$2:$A$1048576,0))</f>
        <v>#N/A</v>
      </c>
      <c r="N832" s="6" t="e">
        <f>INDEX(医院2县区2人!$C$2:$C$1048576,MATCH(L832,医院2县区2人!$A$2:$A$1048576,0))</f>
        <v>#N/A</v>
      </c>
      <c r="P832" s="7">
        <v>43252</v>
      </c>
      <c r="Q832" s="6">
        <v>10</v>
      </c>
      <c r="R832" s="6">
        <v>220</v>
      </c>
      <c r="S832" s="6">
        <v>17122912</v>
      </c>
      <c r="T832" s="6" t="e">
        <f>INDEX(医院2县区2人!$D$2:$D$1048576,MATCH(L832,医院2县区2人!$A$2:$A$1048576,0))</f>
        <v>#N/A</v>
      </c>
      <c r="W832" s="6" t="str">
        <f t="shared" si="27"/>
        <v>葡萄糖酸钙口服溶液10ml*12支</v>
      </c>
      <c r="X832" s="6" t="s">
        <v>2893</v>
      </c>
    </row>
    <row r="833" spans="1:24" x14ac:dyDescent="0.15">
      <c r="A833" s="7" t="str">
        <f t="shared" si="28"/>
        <v>201806</v>
      </c>
      <c r="C833" s="6" t="str">
        <f>INDEX(工厂基础数据!$A$2:$A$1024,MATCH(X833,工厂基础数据!$D$2:$D$1024,0))</f>
        <v>02032120</v>
      </c>
      <c r="E833" s="6" t="str">
        <f>INDEX(工厂基础数据!$B$2:$B$1024,MATCH(X833,工厂基础数据!$D$2:$D$1024,0))</f>
        <v>淄博博仁医药有限公司</v>
      </c>
      <c r="F833" s="6" t="e">
        <f>INDEX(商业2转码!$B$2:$B$10000,MATCH(E833,商业2转码!$A$2:$A$10000,0))</f>
        <v>#N/A</v>
      </c>
      <c r="G833" s="6" t="str">
        <f>INDEX(品种2编码!$A$2:$A$1048576,MATCH(W833,品种2编码!$D$2:$D$1048576,0))</f>
        <v>0020050030SJSC0007</v>
      </c>
      <c r="H833" s="6" t="s">
        <v>461</v>
      </c>
      <c r="I833" s="6" t="s">
        <v>1917</v>
      </c>
      <c r="J833" s="6" t="s">
        <v>3279</v>
      </c>
      <c r="L833" s="6" t="s">
        <v>3120</v>
      </c>
      <c r="M833" s="6" t="e">
        <f>INDEX(医院2县区2人!$B$2:$B$1048576,MATCH(L833,医院2县区2人!$A$2:$A$1048576,0))</f>
        <v>#N/A</v>
      </c>
      <c r="N833" s="6" t="e">
        <f>INDEX(医院2县区2人!$C$2:$C$1048576,MATCH(L833,医院2县区2人!$A$2:$A$1048576,0))</f>
        <v>#N/A</v>
      </c>
      <c r="P833" s="7">
        <v>43252</v>
      </c>
      <c r="Q833" s="6">
        <v>10</v>
      </c>
      <c r="R833" s="6">
        <v>86</v>
      </c>
      <c r="S833" s="6">
        <v>1803003</v>
      </c>
      <c r="T833" s="6" t="e">
        <f>INDEX(医院2县区2人!$D$2:$D$1048576,MATCH(L833,医院2县区2人!$A$2:$A$1048576,0))</f>
        <v>#N/A</v>
      </c>
      <c r="W833" s="6" t="str">
        <f t="shared" si="27"/>
        <v>菊梅利咽含片1.2g*18片</v>
      </c>
      <c r="X833" s="6" t="s">
        <v>2893</v>
      </c>
    </row>
    <row r="834" spans="1:24" x14ac:dyDescent="0.15">
      <c r="A834" s="7" t="str">
        <f t="shared" si="28"/>
        <v>201806</v>
      </c>
      <c r="C834" s="6" t="str">
        <f>INDEX(工厂基础数据!$A$2:$A$1024,MATCH(X834,工厂基础数据!$D$2:$D$1024,0))</f>
        <v>02032120</v>
      </c>
      <c r="E834" s="6" t="str">
        <f>INDEX(工厂基础数据!$B$2:$B$1024,MATCH(X834,工厂基础数据!$D$2:$D$1024,0))</f>
        <v>淄博博仁医药有限公司</v>
      </c>
      <c r="F834" s="6" t="e">
        <f>INDEX(商业2转码!$B$2:$B$10000,MATCH(E834,商业2转码!$A$2:$A$10000,0))</f>
        <v>#N/A</v>
      </c>
      <c r="G834" s="6">
        <f>INDEX(品种2编码!$A$2:$A$1048576,MATCH(W834,品种2编码!$D$2:$D$1048576,0))</f>
        <v>0</v>
      </c>
      <c r="H834" s="6" t="s">
        <v>1857</v>
      </c>
      <c r="I834" s="6" t="s">
        <v>3288</v>
      </c>
      <c r="J834" s="6" t="s">
        <v>3281</v>
      </c>
      <c r="L834" s="6" t="s">
        <v>3123</v>
      </c>
      <c r="M834" s="6" t="e">
        <f>INDEX(医院2县区2人!$B$2:$B$1048576,MATCH(L834,医院2县区2人!$A$2:$A$1048576,0))</f>
        <v>#N/A</v>
      </c>
      <c r="N834" s="6" t="e">
        <f>INDEX(医院2县区2人!$C$2:$C$1048576,MATCH(L834,医院2县区2人!$A$2:$A$1048576,0))</f>
        <v>#N/A</v>
      </c>
      <c r="P834" s="7">
        <v>43252</v>
      </c>
      <c r="Q834" s="6">
        <v>10</v>
      </c>
      <c r="R834" s="6">
        <v>106</v>
      </c>
      <c r="S834" s="6">
        <v>1801404</v>
      </c>
      <c r="T834" s="6" t="e">
        <f>INDEX(医院2县区2人!$D$2:$D$1048576,MATCH(L834,医院2县区2人!$A$2:$A$1048576,0))</f>
        <v>#N/A</v>
      </c>
      <c r="W834" s="6" t="str">
        <f t="shared" si="27"/>
        <v>妇宁栓7粒</v>
      </c>
      <c r="X834" s="6" t="s">
        <v>2893</v>
      </c>
    </row>
    <row r="835" spans="1:24" x14ac:dyDescent="0.15">
      <c r="A835" s="7" t="str">
        <f t="shared" si="28"/>
        <v>201806</v>
      </c>
      <c r="C835" s="6" t="str">
        <f>INDEX(工厂基础数据!$A$2:$A$1024,MATCH(X835,工厂基础数据!$D$2:$D$1024,0))</f>
        <v>02032120</v>
      </c>
      <c r="E835" s="6" t="str">
        <f>INDEX(工厂基础数据!$B$2:$B$1024,MATCH(X835,工厂基础数据!$D$2:$D$1024,0))</f>
        <v>淄博博仁医药有限公司</v>
      </c>
      <c r="F835" s="6" t="e">
        <f>INDEX(商业2转码!$B$2:$B$10000,MATCH(E835,商业2转码!$A$2:$A$10000,0))</f>
        <v>#N/A</v>
      </c>
      <c r="G835" s="6" t="str">
        <f>INDEX(品种2编码!$A$2:$A$1048576,MATCH(W835,品种2编码!$D$2:$D$1048576,0))</f>
        <v>0020020020ZYLC0003</v>
      </c>
      <c r="H835" s="6" t="s">
        <v>1855</v>
      </c>
      <c r="I835" s="6" t="s">
        <v>381</v>
      </c>
      <c r="J835" s="6" t="s">
        <v>3279</v>
      </c>
      <c r="L835" s="6" t="s">
        <v>3124</v>
      </c>
      <c r="M835" s="6" t="e">
        <f>INDEX(医院2县区2人!$B$2:$B$1048576,MATCH(L835,医院2县区2人!$A$2:$A$1048576,0))</f>
        <v>#N/A</v>
      </c>
      <c r="N835" s="6" t="e">
        <f>INDEX(医院2县区2人!$C$2:$C$1048576,MATCH(L835,医院2县区2人!$A$2:$A$1048576,0))</f>
        <v>#N/A</v>
      </c>
      <c r="P835" s="7">
        <v>43252</v>
      </c>
      <c r="Q835" s="6">
        <v>10</v>
      </c>
      <c r="R835" s="6">
        <v>55</v>
      </c>
      <c r="S835" s="6">
        <v>170706</v>
      </c>
      <c r="T835" s="6" t="e">
        <f>INDEX(医院2县区2人!$D$2:$D$1048576,MATCH(L835,医院2县区2人!$A$2:$A$1048576,0))</f>
        <v>#N/A</v>
      </c>
      <c r="W835" s="6" t="str">
        <f t="shared" ref="W835:W898" si="29">H835&amp;I835</f>
        <v>颠茄磺苄啶片12片</v>
      </c>
      <c r="X835" s="6" t="s">
        <v>2893</v>
      </c>
    </row>
    <row r="836" spans="1:24" x14ac:dyDescent="0.15">
      <c r="A836" s="7" t="str">
        <f t="shared" ref="A836:A899" si="30">IF(MONTH(P836)&lt;10,YEAR(P836)&amp;"0"&amp;MONTH(P836),YEAR(P836)&amp;MONTH(P836))</f>
        <v>201806</v>
      </c>
      <c r="C836" s="6" t="str">
        <f>INDEX(工厂基础数据!$A$2:$A$1024,MATCH(X836,工厂基础数据!$D$2:$D$1024,0))</f>
        <v>02032120</v>
      </c>
      <c r="E836" s="6" t="str">
        <f>INDEX(工厂基础数据!$B$2:$B$1024,MATCH(X836,工厂基础数据!$D$2:$D$1024,0))</f>
        <v>淄博博仁医药有限公司</v>
      </c>
      <c r="F836" s="6" t="e">
        <f>INDEX(商业2转码!$B$2:$B$10000,MATCH(E836,商业2转码!$A$2:$A$10000,0))</f>
        <v>#N/A</v>
      </c>
      <c r="G836" s="6">
        <f>INDEX(品种2编码!$A$2:$A$1048576,MATCH(W836,品种2编码!$D$2:$D$1048576,0))</f>
        <v>0</v>
      </c>
      <c r="H836" s="6" t="s">
        <v>317</v>
      </c>
      <c r="I836" s="6" t="s">
        <v>3291</v>
      </c>
      <c r="J836" s="6" t="s">
        <v>3279</v>
      </c>
      <c r="L836" s="6" t="s">
        <v>3125</v>
      </c>
      <c r="M836" s="6" t="e">
        <f>INDEX(医院2县区2人!$B$2:$B$1048576,MATCH(L836,医院2县区2人!$A$2:$A$1048576,0))</f>
        <v>#N/A</v>
      </c>
      <c r="N836" s="6" t="e">
        <f>INDEX(医院2县区2人!$C$2:$C$1048576,MATCH(L836,医院2县区2人!$A$2:$A$1048576,0))</f>
        <v>#N/A</v>
      </c>
      <c r="P836" s="7">
        <v>43252</v>
      </c>
      <c r="Q836" s="6">
        <v>10</v>
      </c>
      <c r="R836" s="6">
        <v>125</v>
      </c>
      <c r="S836" s="6">
        <v>1712615</v>
      </c>
      <c r="T836" s="6" t="e">
        <f>INDEX(医院2县区2人!$D$2:$D$1048576,MATCH(L836,医院2县区2人!$A$2:$A$1048576,0))</f>
        <v>#N/A</v>
      </c>
      <c r="W836" s="6" t="str">
        <f t="shared" si="29"/>
        <v>布洛芬颗粒0.2g*12包</v>
      </c>
      <c r="X836" s="6" t="s">
        <v>2893</v>
      </c>
    </row>
    <row r="837" spans="1:24" x14ac:dyDescent="0.15">
      <c r="A837" s="7" t="str">
        <f t="shared" si="30"/>
        <v>201806</v>
      </c>
      <c r="C837" s="6" t="str">
        <f>INDEX(工厂基础数据!$A$2:$A$1024,MATCH(X837,工厂基础数据!$D$2:$D$1024,0))</f>
        <v>02032120</v>
      </c>
      <c r="E837" s="6" t="str">
        <f>INDEX(工厂基础数据!$B$2:$B$1024,MATCH(X837,工厂基础数据!$D$2:$D$1024,0))</f>
        <v>淄博博仁医药有限公司</v>
      </c>
      <c r="F837" s="6" t="e">
        <f>INDEX(商业2转码!$B$2:$B$10000,MATCH(E837,商业2转码!$A$2:$A$10000,0))</f>
        <v>#N/A</v>
      </c>
      <c r="G837" s="6" t="str">
        <f>INDEX(品种2编码!$A$2:$A$1048576,MATCH(W837,品种2编码!$D$2:$D$1048576,0))</f>
        <v>0020020013ZYZC0491</v>
      </c>
      <c r="H837" s="6" t="s">
        <v>3266</v>
      </c>
      <c r="I837" s="6" t="s">
        <v>914</v>
      </c>
      <c r="J837" s="6" t="s">
        <v>3279</v>
      </c>
      <c r="L837" s="6" t="s">
        <v>3126</v>
      </c>
      <c r="M837" s="6" t="e">
        <f>INDEX(医院2县区2人!$B$2:$B$1048576,MATCH(L837,医院2县区2人!$A$2:$A$1048576,0))</f>
        <v>#N/A</v>
      </c>
      <c r="N837" s="6" t="e">
        <f>INDEX(医院2县区2人!$C$2:$C$1048576,MATCH(L837,医院2县区2人!$A$2:$A$1048576,0))</f>
        <v>#N/A</v>
      </c>
      <c r="P837" s="7">
        <v>43252</v>
      </c>
      <c r="Q837" s="6">
        <v>10</v>
      </c>
      <c r="R837" s="6">
        <v>39</v>
      </c>
      <c r="S837" s="6" t="s">
        <v>3272</v>
      </c>
      <c r="T837" s="6" t="e">
        <f>INDEX(医院2县区2人!$D$2:$D$1048576,MATCH(L837,医院2县区2人!$A$2:$A$1048576,0))</f>
        <v>#N/A</v>
      </c>
      <c r="W837" s="6" t="str">
        <f t="shared" si="29"/>
        <v>*注射用乳糖酸阿奇霉素0.25g</v>
      </c>
      <c r="X837" s="6" t="s">
        <v>2893</v>
      </c>
    </row>
    <row r="838" spans="1:24" x14ac:dyDescent="0.15">
      <c r="A838" s="7" t="str">
        <f t="shared" si="30"/>
        <v>201806</v>
      </c>
      <c r="C838" s="6" t="str">
        <f>INDEX(工厂基础数据!$A$2:$A$1024,MATCH(X838,工厂基础数据!$D$2:$D$1024,0))</f>
        <v>02032120</v>
      </c>
      <c r="E838" s="6" t="str">
        <f>INDEX(工厂基础数据!$B$2:$B$1024,MATCH(X838,工厂基础数据!$D$2:$D$1024,0))</f>
        <v>淄博博仁医药有限公司</v>
      </c>
      <c r="F838" s="6" t="e">
        <f>INDEX(商业2转码!$B$2:$B$10000,MATCH(E838,商业2转码!$A$2:$A$10000,0))</f>
        <v>#N/A</v>
      </c>
      <c r="G838" s="6">
        <f>INDEX(品种2编码!$A$2:$A$1048576,MATCH(W838,品种2编码!$D$2:$D$1048576,0))</f>
        <v>0</v>
      </c>
      <c r="H838" s="6" t="s">
        <v>1857</v>
      </c>
      <c r="I838" s="6" t="s">
        <v>3288</v>
      </c>
      <c r="J838" s="6" t="s">
        <v>3281</v>
      </c>
      <c r="L838" s="6" t="s">
        <v>3127</v>
      </c>
      <c r="M838" s="6" t="e">
        <f>INDEX(医院2县区2人!$B$2:$B$1048576,MATCH(L838,医院2县区2人!$A$2:$A$1048576,0))</f>
        <v>#N/A</v>
      </c>
      <c r="N838" s="6" t="e">
        <f>INDEX(医院2县区2人!$C$2:$C$1048576,MATCH(L838,医院2县区2人!$A$2:$A$1048576,0))</f>
        <v>#N/A</v>
      </c>
      <c r="P838" s="7">
        <v>43253</v>
      </c>
      <c r="Q838" s="6">
        <v>1</v>
      </c>
      <c r="R838" s="6">
        <v>10.6</v>
      </c>
      <c r="S838" s="6">
        <v>1801404</v>
      </c>
      <c r="T838" s="6" t="e">
        <f>INDEX(医院2县区2人!$D$2:$D$1048576,MATCH(L838,医院2县区2人!$A$2:$A$1048576,0))</f>
        <v>#N/A</v>
      </c>
      <c r="W838" s="6" t="str">
        <f t="shared" si="29"/>
        <v>妇宁栓7粒</v>
      </c>
      <c r="X838" s="6" t="s">
        <v>2893</v>
      </c>
    </row>
    <row r="839" spans="1:24" x14ac:dyDescent="0.15">
      <c r="A839" s="7" t="str">
        <f t="shared" si="30"/>
        <v>201806</v>
      </c>
      <c r="C839" s="6" t="str">
        <f>INDEX(工厂基础数据!$A$2:$A$1024,MATCH(X839,工厂基础数据!$D$2:$D$1024,0))</f>
        <v>02032120</v>
      </c>
      <c r="E839" s="6" t="str">
        <f>INDEX(工厂基础数据!$B$2:$B$1024,MATCH(X839,工厂基础数据!$D$2:$D$1024,0))</f>
        <v>淄博博仁医药有限公司</v>
      </c>
      <c r="F839" s="6" t="e">
        <f>INDEX(商业2转码!$B$2:$B$10000,MATCH(E839,商业2转码!$A$2:$A$10000,0))</f>
        <v>#N/A</v>
      </c>
      <c r="G839" s="6">
        <f>INDEX(品种2编码!$A$2:$A$1048576,MATCH(W839,品种2编码!$D$2:$D$1048576,0))</f>
        <v>0</v>
      </c>
      <c r="H839" s="6" t="s">
        <v>705</v>
      </c>
      <c r="I839" s="6" t="s">
        <v>2035</v>
      </c>
      <c r="J839" s="6" t="s">
        <v>3279</v>
      </c>
      <c r="L839" s="6" t="s">
        <v>3127</v>
      </c>
      <c r="M839" s="6" t="e">
        <f>INDEX(医院2县区2人!$B$2:$B$1048576,MATCH(L839,医院2县区2人!$A$2:$A$1048576,0))</f>
        <v>#N/A</v>
      </c>
      <c r="N839" s="6" t="e">
        <f>INDEX(医院2县区2人!$C$2:$C$1048576,MATCH(L839,医院2县区2人!$A$2:$A$1048576,0))</f>
        <v>#N/A</v>
      </c>
      <c r="P839" s="7">
        <v>43253</v>
      </c>
      <c r="Q839" s="6">
        <v>2</v>
      </c>
      <c r="R839" s="6">
        <v>4.5999999999999996</v>
      </c>
      <c r="S839" s="6">
        <v>170601</v>
      </c>
      <c r="T839" s="6" t="e">
        <f>INDEX(医院2县区2人!$D$2:$D$1048576,MATCH(L839,医院2县区2人!$A$2:$A$1048576,0))</f>
        <v>#N/A</v>
      </c>
      <c r="W839" s="6" t="str">
        <f t="shared" si="29"/>
        <v>小儿氨酚黄那敏片20片</v>
      </c>
      <c r="X839" s="6" t="s">
        <v>2893</v>
      </c>
    </row>
    <row r="840" spans="1:24" x14ac:dyDescent="0.15">
      <c r="A840" s="7" t="str">
        <f t="shared" si="30"/>
        <v>201806</v>
      </c>
      <c r="C840" s="6" t="str">
        <f>INDEX(工厂基础数据!$A$2:$A$1024,MATCH(X840,工厂基础数据!$D$2:$D$1024,0))</f>
        <v>02032120</v>
      </c>
      <c r="E840" s="6" t="str">
        <f>INDEX(工厂基础数据!$B$2:$B$1024,MATCH(X840,工厂基础数据!$D$2:$D$1024,0))</f>
        <v>淄博博仁医药有限公司</v>
      </c>
      <c r="F840" s="6" t="e">
        <f>INDEX(商业2转码!$B$2:$B$10000,MATCH(E840,商业2转码!$A$2:$A$10000,0))</f>
        <v>#N/A</v>
      </c>
      <c r="G840" s="6" t="str">
        <f>INDEX(品种2编码!$A$2:$A$1048576,MATCH(W840,品种2编码!$D$2:$D$1048576,0))</f>
        <v>0020040110SHYT0002</v>
      </c>
      <c r="H840" s="6" t="s">
        <v>601</v>
      </c>
      <c r="I840" s="6" t="s">
        <v>1997</v>
      </c>
      <c r="J840" s="6" t="s">
        <v>3279</v>
      </c>
      <c r="L840" s="6" t="s">
        <v>3127</v>
      </c>
      <c r="M840" s="6" t="e">
        <f>INDEX(医院2县区2人!$B$2:$B$1048576,MATCH(L840,医院2县区2人!$A$2:$A$1048576,0))</f>
        <v>#N/A</v>
      </c>
      <c r="N840" s="6" t="e">
        <f>INDEX(医院2县区2人!$C$2:$C$1048576,MATCH(L840,医院2县区2人!$A$2:$A$1048576,0))</f>
        <v>#N/A</v>
      </c>
      <c r="P840" s="7">
        <v>43253</v>
      </c>
      <c r="Q840" s="6">
        <v>2</v>
      </c>
      <c r="R840" s="6">
        <v>22.8</v>
      </c>
      <c r="S840" s="6">
        <v>161101</v>
      </c>
      <c r="T840" s="6" t="e">
        <f>INDEX(医院2县区2人!$D$2:$D$1048576,MATCH(L840,医院2县区2人!$A$2:$A$1048576,0))</f>
        <v>#N/A</v>
      </c>
      <c r="W840" s="6" t="str">
        <f t="shared" si="29"/>
        <v>麝香接骨胶囊0.3g*40粒</v>
      </c>
      <c r="X840" s="6" t="s">
        <v>2893</v>
      </c>
    </row>
    <row r="841" spans="1:24" x14ac:dyDescent="0.15">
      <c r="A841" s="7" t="str">
        <f t="shared" si="30"/>
        <v>201806</v>
      </c>
      <c r="C841" s="6" t="str">
        <f>INDEX(工厂基础数据!$A$2:$A$1024,MATCH(X841,工厂基础数据!$D$2:$D$1024,0))</f>
        <v>02032120</v>
      </c>
      <c r="E841" s="6" t="str">
        <f>INDEX(工厂基础数据!$B$2:$B$1024,MATCH(X841,工厂基础数据!$D$2:$D$1024,0))</f>
        <v>淄博博仁医药有限公司</v>
      </c>
      <c r="F841" s="6" t="e">
        <f>INDEX(商业2转码!$B$2:$B$10000,MATCH(E841,商业2转码!$A$2:$A$10000,0))</f>
        <v>#N/A</v>
      </c>
      <c r="G841" s="6" t="str">
        <f>INDEX(品种2编码!$A$2:$A$1048576,MATCH(W841,品种2编码!$D$2:$D$1048576,0))</f>
        <v>0020030001SJZY0006</v>
      </c>
      <c r="H841" s="6" t="s">
        <v>1833</v>
      </c>
      <c r="I841" s="6" t="s">
        <v>411</v>
      </c>
      <c r="J841" s="6" t="s">
        <v>3280</v>
      </c>
      <c r="L841" s="6" t="s">
        <v>3128</v>
      </c>
      <c r="M841" s="6" t="e">
        <f>INDEX(医院2县区2人!$B$2:$B$1048576,MATCH(L841,医院2县区2人!$A$2:$A$1048576,0))</f>
        <v>#N/A</v>
      </c>
      <c r="N841" s="6" t="e">
        <f>INDEX(医院2县区2人!$C$2:$C$1048576,MATCH(L841,医院2县区2人!$A$2:$A$1048576,0))</f>
        <v>#N/A</v>
      </c>
      <c r="P841" s="7">
        <v>43253</v>
      </c>
      <c r="Q841" s="6">
        <v>2</v>
      </c>
      <c r="R841" s="6">
        <v>44</v>
      </c>
      <c r="S841" s="6">
        <v>17122912</v>
      </c>
      <c r="T841" s="6" t="e">
        <f>INDEX(医院2县区2人!$D$2:$D$1048576,MATCH(L841,医院2县区2人!$A$2:$A$1048576,0))</f>
        <v>#N/A</v>
      </c>
      <c r="W841" s="6" t="str">
        <f t="shared" si="29"/>
        <v>葡萄糖酸钙口服溶液10ml*12支</v>
      </c>
      <c r="X841" s="6" t="s">
        <v>2893</v>
      </c>
    </row>
    <row r="842" spans="1:24" x14ac:dyDescent="0.15">
      <c r="A842" s="7" t="str">
        <f t="shared" si="30"/>
        <v>201806</v>
      </c>
      <c r="C842" s="6" t="str">
        <f>INDEX(工厂基础数据!$A$2:$A$1024,MATCH(X842,工厂基础数据!$D$2:$D$1024,0))</f>
        <v>02032120</v>
      </c>
      <c r="E842" s="6" t="str">
        <f>INDEX(工厂基础数据!$B$2:$B$1024,MATCH(X842,工厂基础数据!$D$2:$D$1024,0))</f>
        <v>淄博博仁医药有限公司</v>
      </c>
      <c r="F842" s="6" t="e">
        <f>INDEX(商业2转码!$B$2:$B$10000,MATCH(E842,商业2转码!$A$2:$A$10000,0))</f>
        <v>#N/A</v>
      </c>
      <c r="G842" s="6">
        <f>INDEX(品种2编码!$A$2:$A$1048576,MATCH(W842,品种2编码!$D$2:$D$1048576,0))</f>
        <v>0</v>
      </c>
      <c r="H842" s="6" t="s">
        <v>1987</v>
      </c>
      <c r="I842" s="6" t="s">
        <v>411</v>
      </c>
      <c r="J842" s="6" t="s">
        <v>3279</v>
      </c>
      <c r="L842" s="6" t="s">
        <v>3129</v>
      </c>
      <c r="M842" s="6" t="e">
        <f>INDEX(医院2县区2人!$B$2:$B$1048576,MATCH(L842,医院2县区2人!$A$2:$A$1048576,0))</f>
        <v>#N/A</v>
      </c>
      <c r="N842" s="6" t="e">
        <f>INDEX(医院2县区2人!$C$2:$C$1048576,MATCH(L842,医院2县区2人!$A$2:$A$1048576,0))</f>
        <v>#N/A</v>
      </c>
      <c r="P842" s="7">
        <v>43253</v>
      </c>
      <c r="Q842" s="6">
        <v>3</v>
      </c>
      <c r="R842" s="6">
        <v>37.799999999999997</v>
      </c>
      <c r="S842" s="6">
        <v>170622</v>
      </c>
      <c r="T842" s="6" t="e">
        <f>INDEX(医院2县区2人!$D$2:$D$1048576,MATCH(L842,医院2县区2人!$A$2:$A$1048576,0))</f>
        <v>#N/A</v>
      </c>
      <c r="W842" s="6" t="str">
        <f t="shared" si="29"/>
        <v>乳酸亚铁口服液（朴雪）10ml*12支</v>
      </c>
      <c r="X842" s="6" t="s">
        <v>2893</v>
      </c>
    </row>
    <row r="843" spans="1:24" x14ac:dyDescent="0.15">
      <c r="A843" s="7" t="str">
        <f t="shared" si="30"/>
        <v>201806</v>
      </c>
      <c r="C843" s="6" t="str">
        <f>INDEX(工厂基础数据!$A$2:$A$1024,MATCH(X843,工厂基础数据!$D$2:$D$1024,0))</f>
        <v>02032120</v>
      </c>
      <c r="E843" s="6" t="str">
        <f>INDEX(工厂基础数据!$B$2:$B$1024,MATCH(X843,工厂基础数据!$D$2:$D$1024,0))</f>
        <v>淄博博仁医药有限公司</v>
      </c>
      <c r="F843" s="6" t="e">
        <f>INDEX(商业2转码!$B$2:$B$10000,MATCH(E843,商业2转码!$A$2:$A$10000,0))</f>
        <v>#N/A</v>
      </c>
      <c r="G843" s="6" t="str">
        <f>INDEX(品种2编码!$A$2:$A$1048576,MATCH(W843,品种2编码!$D$2:$D$1048576,0))</f>
        <v>0020070000ZYLC0052</v>
      </c>
      <c r="H843" s="6" t="s">
        <v>402</v>
      </c>
      <c r="I843" s="6" t="s">
        <v>411</v>
      </c>
      <c r="J843" s="6" t="s">
        <v>3279</v>
      </c>
      <c r="L843" s="6" t="s">
        <v>3129</v>
      </c>
      <c r="M843" s="6" t="e">
        <f>INDEX(医院2县区2人!$B$2:$B$1048576,MATCH(L843,医院2县区2人!$A$2:$A$1048576,0))</f>
        <v>#N/A</v>
      </c>
      <c r="N843" s="6" t="e">
        <f>INDEX(医院2县区2人!$C$2:$C$1048576,MATCH(L843,医院2县区2人!$A$2:$A$1048576,0))</f>
        <v>#N/A</v>
      </c>
      <c r="P843" s="7">
        <v>43253</v>
      </c>
      <c r="Q843" s="6">
        <v>3</v>
      </c>
      <c r="R843" s="6">
        <v>42</v>
      </c>
      <c r="S843" s="6">
        <v>170801</v>
      </c>
      <c r="T843" s="6" t="e">
        <f>INDEX(医院2县区2人!$D$2:$D$1048576,MATCH(L843,医院2县区2人!$A$2:$A$1048576,0))</f>
        <v>#N/A</v>
      </c>
      <c r="W843" s="6" t="str">
        <f t="shared" si="29"/>
        <v>钙加锌口服液10ml*12支</v>
      </c>
      <c r="X843" s="6" t="s">
        <v>2893</v>
      </c>
    </row>
    <row r="844" spans="1:24" x14ac:dyDescent="0.15">
      <c r="A844" s="7" t="str">
        <f t="shared" si="30"/>
        <v>201806</v>
      </c>
      <c r="C844" s="6" t="str">
        <f>INDEX(工厂基础数据!$A$2:$A$1024,MATCH(X844,工厂基础数据!$D$2:$D$1024,0))</f>
        <v>02032120</v>
      </c>
      <c r="E844" s="6" t="str">
        <f>INDEX(工厂基础数据!$B$2:$B$1024,MATCH(X844,工厂基础数据!$D$2:$D$1024,0))</f>
        <v>淄博博仁医药有限公司</v>
      </c>
      <c r="F844" s="6" t="e">
        <f>INDEX(商业2转码!$B$2:$B$10000,MATCH(E844,商业2转码!$A$2:$A$10000,0))</f>
        <v>#N/A</v>
      </c>
      <c r="G844" s="6">
        <f>INDEX(品种2编码!$A$2:$A$1048576,MATCH(W844,品种2编码!$D$2:$D$1048576,0))</f>
        <v>0</v>
      </c>
      <c r="H844" s="6" t="s">
        <v>306</v>
      </c>
      <c r="I844" s="6" t="s">
        <v>3289</v>
      </c>
      <c r="J844" s="6" t="s">
        <v>3279</v>
      </c>
      <c r="L844" s="6" t="s">
        <v>3127</v>
      </c>
      <c r="M844" s="6" t="e">
        <f>INDEX(医院2县区2人!$B$2:$B$1048576,MATCH(L844,医院2县区2人!$A$2:$A$1048576,0))</f>
        <v>#N/A</v>
      </c>
      <c r="N844" s="6" t="e">
        <f>INDEX(医院2县区2人!$C$2:$C$1048576,MATCH(L844,医院2县区2人!$A$2:$A$1048576,0))</f>
        <v>#N/A</v>
      </c>
      <c r="P844" s="7">
        <v>43253</v>
      </c>
      <c r="Q844" s="6">
        <v>3</v>
      </c>
      <c r="R844" s="6">
        <v>18</v>
      </c>
      <c r="S844" s="6">
        <v>180117</v>
      </c>
      <c r="T844" s="6" t="e">
        <f>INDEX(医院2县区2人!$D$2:$D$1048576,MATCH(L844,医院2县区2人!$A$2:$A$1048576,0))</f>
        <v>#N/A</v>
      </c>
      <c r="W844" s="6" t="str">
        <f t="shared" si="29"/>
        <v>氨金黄敏颗粒10袋</v>
      </c>
      <c r="X844" s="6" t="s">
        <v>2893</v>
      </c>
    </row>
    <row r="845" spans="1:24" x14ac:dyDescent="0.15">
      <c r="A845" s="7" t="str">
        <f t="shared" si="30"/>
        <v>201806</v>
      </c>
      <c r="C845" s="6" t="str">
        <f>INDEX(工厂基础数据!$A$2:$A$1024,MATCH(X845,工厂基础数据!$D$2:$D$1024,0))</f>
        <v>02032120</v>
      </c>
      <c r="E845" s="6" t="str">
        <f>INDEX(工厂基础数据!$B$2:$B$1024,MATCH(X845,工厂基础数据!$D$2:$D$1024,0))</f>
        <v>淄博博仁医药有限公司</v>
      </c>
      <c r="F845" s="6" t="e">
        <f>INDEX(商业2转码!$B$2:$B$10000,MATCH(E845,商业2转码!$A$2:$A$10000,0))</f>
        <v>#N/A</v>
      </c>
      <c r="G845" s="6" t="str">
        <f>INDEX(品种2编码!$A$2:$A$1048576,MATCH(W845,品种2编码!$D$2:$D$1048576,0))</f>
        <v>0020020020ZYZC0359</v>
      </c>
      <c r="H845" s="6" t="s">
        <v>575</v>
      </c>
      <c r="I845" s="6" t="s">
        <v>1860</v>
      </c>
      <c r="J845" s="6" t="s">
        <v>3279</v>
      </c>
      <c r="L845" s="6" t="s">
        <v>3127</v>
      </c>
      <c r="M845" s="6" t="e">
        <f>INDEX(医院2县区2人!$B$2:$B$1048576,MATCH(L845,医院2县区2人!$A$2:$A$1048576,0))</f>
        <v>#N/A</v>
      </c>
      <c r="N845" s="6" t="e">
        <f>INDEX(医院2县区2人!$C$2:$C$1048576,MATCH(L845,医院2县区2人!$A$2:$A$1048576,0))</f>
        <v>#N/A</v>
      </c>
      <c r="P845" s="7">
        <v>43253</v>
      </c>
      <c r="Q845" s="6">
        <v>4</v>
      </c>
      <c r="R845" s="6">
        <v>14</v>
      </c>
      <c r="S845" s="6" t="s">
        <v>3273</v>
      </c>
      <c r="T845" s="6" t="e">
        <f>INDEX(医院2县区2人!$D$2:$D$1048576,MATCH(L845,医院2县区2人!$A$2:$A$1048576,0))</f>
        <v>#N/A</v>
      </c>
      <c r="W845" s="6" t="str">
        <f t="shared" si="29"/>
        <v>青霉素V钾片0.236g*24片</v>
      </c>
      <c r="X845" s="6" t="s">
        <v>2893</v>
      </c>
    </row>
    <row r="846" spans="1:24" x14ac:dyDescent="0.15">
      <c r="A846" s="7" t="str">
        <f t="shared" si="30"/>
        <v>201806</v>
      </c>
      <c r="C846" s="6" t="str">
        <f>INDEX(工厂基础数据!$A$2:$A$1024,MATCH(X846,工厂基础数据!$D$2:$D$1024,0))</f>
        <v>02032120</v>
      </c>
      <c r="E846" s="6" t="str">
        <f>INDEX(工厂基础数据!$B$2:$B$1024,MATCH(X846,工厂基础数据!$D$2:$D$1024,0))</f>
        <v>淄博博仁医药有限公司</v>
      </c>
      <c r="F846" s="6" t="e">
        <f>INDEX(商业2转码!$B$2:$B$10000,MATCH(E846,商业2转码!$A$2:$A$10000,0))</f>
        <v>#N/A</v>
      </c>
      <c r="G846" s="6" t="str">
        <f>INDEX(品种2编码!$A$2:$A$1048576,MATCH(W846,品种2编码!$D$2:$D$1048576,0))</f>
        <v>0020020030ZYZC0283</v>
      </c>
      <c r="H846" s="6" t="s">
        <v>655</v>
      </c>
      <c r="I846" s="6" t="s">
        <v>1938</v>
      </c>
      <c r="J846" s="6" t="s">
        <v>3279</v>
      </c>
      <c r="L846" s="6" t="s">
        <v>3127</v>
      </c>
      <c r="M846" s="6" t="e">
        <f>INDEX(医院2县区2人!$B$2:$B$1048576,MATCH(L846,医院2县区2人!$A$2:$A$1048576,0))</f>
        <v>#N/A</v>
      </c>
      <c r="N846" s="6" t="e">
        <f>INDEX(医院2县区2人!$C$2:$C$1048576,MATCH(L846,医院2县区2人!$A$2:$A$1048576,0))</f>
        <v>#N/A</v>
      </c>
      <c r="P846" s="7">
        <v>43253</v>
      </c>
      <c r="Q846" s="6">
        <v>5</v>
      </c>
      <c r="R846" s="6">
        <v>27</v>
      </c>
      <c r="S846" s="6" t="s">
        <v>3274</v>
      </c>
      <c r="T846" s="6" t="e">
        <f>INDEX(医院2县区2人!$D$2:$D$1048576,MATCH(L846,医院2县区2人!$A$2:$A$1048576,0))</f>
        <v>#N/A</v>
      </c>
      <c r="W846" s="6" t="str">
        <f t="shared" si="29"/>
        <v>头孢拉定胶囊0.25g*24粒</v>
      </c>
      <c r="X846" s="6" t="s">
        <v>2893</v>
      </c>
    </row>
    <row r="847" spans="1:24" x14ac:dyDescent="0.15">
      <c r="A847" s="7" t="str">
        <f t="shared" si="30"/>
        <v>201806</v>
      </c>
      <c r="C847" s="6" t="str">
        <f>INDEX(工厂基础数据!$A$2:$A$1024,MATCH(X847,工厂基础数据!$D$2:$D$1024,0))</f>
        <v>02032120</v>
      </c>
      <c r="E847" s="6" t="str">
        <f>INDEX(工厂基础数据!$B$2:$B$1024,MATCH(X847,工厂基础数据!$D$2:$D$1024,0))</f>
        <v>淄博博仁医药有限公司</v>
      </c>
      <c r="F847" s="6" t="e">
        <f>INDEX(商业2转码!$B$2:$B$10000,MATCH(E847,商业2转码!$A$2:$A$10000,0))</f>
        <v>#N/A</v>
      </c>
      <c r="G847" s="6" t="str">
        <f>INDEX(品种2编码!$A$2:$A$1048576,MATCH(W847,品种2编码!$D$2:$D$1048576,0))</f>
        <v>0020040030SHYT0002</v>
      </c>
      <c r="H847" s="6" t="s">
        <v>537</v>
      </c>
      <c r="I847" s="6" t="s">
        <v>1910</v>
      </c>
      <c r="J847" s="6" t="s">
        <v>3281</v>
      </c>
      <c r="L847" s="6" t="s">
        <v>3123</v>
      </c>
      <c r="M847" s="6" t="e">
        <f>INDEX(医院2县区2人!$B$2:$B$1048576,MATCH(L847,医院2县区2人!$A$2:$A$1048576,0))</f>
        <v>#N/A</v>
      </c>
      <c r="N847" s="6" t="e">
        <f>INDEX(医院2县区2人!$C$2:$C$1048576,MATCH(L847,医院2县区2人!$A$2:$A$1048576,0))</f>
        <v>#N/A</v>
      </c>
      <c r="P847" s="7">
        <v>43253</v>
      </c>
      <c r="Q847" s="6">
        <v>5</v>
      </c>
      <c r="R847" s="6">
        <v>23.5</v>
      </c>
      <c r="S847" s="6">
        <v>1711301</v>
      </c>
      <c r="T847" s="6" t="e">
        <f>INDEX(医院2县区2人!$D$2:$D$1048576,MATCH(L847,医院2县区2人!$A$2:$A$1048576,0))</f>
        <v>#N/A</v>
      </c>
      <c r="W847" s="6" t="str">
        <f t="shared" si="29"/>
        <v>牛黄消炎片24片</v>
      </c>
      <c r="X847" s="6" t="s">
        <v>2893</v>
      </c>
    </row>
    <row r="848" spans="1:24" x14ac:dyDescent="0.15">
      <c r="A848" s="7" t="str">
        <f t="shared" si="30"/>
        <v>201806</v>
      </c>
      <c r="C848" s="6" t="str">
        <f>INDEX(工厂基础数据!$A$2:$A$1024,MATCH(X848,工厂基础数据!$D$2:$D$1024,0))</f>
        <v>02032120</v>
      </c>
      <c r="E848" s="6" t="str">
        <f>INDEX(工厂基础数据!$B$2:$B$1024,MATCH(X848,工厂基础数据!$D$2:$D$1024,0))</f>
        <v>淄博博仁医药有限公司</v>
      </c>
      <c r="F848" s="6" t="e">
        <f>INDEX(商业2转码!$B$2:$B$10000,MATCH(E848,商业2转码!$A$2:$A$10000,0))</f>
        <v>#N/A</v>
      </c>
      <c r="G848" s="6">
        <f>INDEX(品种2编码!$A$2:$A$1048576,MATCH(W848,品种2编码!$D$2:$D$1048576,0))</f>
        <v>0</v>
      </c>
      <c r="H848" s="6" t="s">
        <v>3267</v>
      </c>
      <c r="I848" s="6" t="s">
        <v>1945</v>
      </c>
      <c r="J848" s="6" t="s">
        <v>3037</v>
      </c>
      <c r="L848" s="6" t="s">
        <v>3127</v>
      </c>
      <c r="M848" s="6" t="e">
        <f>INDEX(医院2县区2人!$B$2:$B$1048576,MATCH(L848,医院2县区2人!$A$2:$A$1048576,0))</f>
        <v>#N/A</v>
      </c>
      <c r="N848" s="6" t="e">
        <f>INDEX(医院2县区2人!$C$2:$C$1048576,MATCH(L848,医院2县区2人!$A$2:$A$1048576,0))</f>
        <v>#N/A</v>
      </c>
      <c r="P848" s="7">
        <v>43253</v>
      </c>
      <c r="Q848" s="6">
        <v>5</v>
      </c>
      <c r="R848" s="6">
        <v>57.5</v>
      </c>
      <c r="S848" s="6">
        <v>1712705</v>
      </c>
      <c r="T848" s="6" t="e">
        <f>INDEX(医院2县区2人!$D$2:$D$1048576,MATCH(L848,医院2县区2人!$A$2:$A$1048576,0))</f>
        <v>#N/A</v>
      </c>
      <c r="W848" s="6" t="str">
        <f t="shared" si="29"/>
        <v>六味地黄丸(水蜜丸)72g</v>
      </c>
      <c r="X848" s="6" t="s">
        <v>2893</v>
      </c>
    </row>
    <row r="849" spans="1:24" x14ac:dyDescent="0.15">
      <c r="A849" s="7" t="str">
        <f t="shared" si="30"/>
        <v>201806</v>
      </c>
      <c r="C849" s="6" t="str">
        <f>INDEX(工厂基础数据!$A$2:$A$1024,MATCH(X849,工厂基础数据!$D$2:$D$1024,0))</f>
        <v>02032120</v>
      </c>
      <c r="E849" s="6" t="str">
        <f>INDEX(工厂基础数据!$B$2:$B$1024,MATCH(X849,工厂基础数据!$D$2:$D$1024,0))</f>
        <v>淄博博仁医药有限公司</v>
      </c>
      <c r="F849" s="6" t="e">
        <f>INDEX(商业2转码!$B$2:$B$10000,MATCH(E849,商业2转码!$A$2:$A$10000,0))</f>
        <v>#N/A</v>
      </c>
      <c r="G849" s="6">
        <f>INDEX(品种2编码!$A$2:$A$1048576,MATCH(W849,品种2编码!$D$2:$D$1048576,0))</f>
        <v>0</v>
      </c>
      <c r="H849" s="6" t="s">
        <v>1857</v>
      </c>
      <c r="I849" s="6" t="s">
        <v>3288</v>
      </c>
      <c r="J849" s="6" t="s">
        <v>3281</v>
      </c>
      <c r="L849" s="6" t="s">
        <v>3130</v>
      </c>
      <c r="M849" s="6" t="e">
        <f>INDEX(医院2县区2人!$B$2:$B$1048576,MATCH(L849,医院2县区2人!$A$2:$A$1048576,0))</f>
        <v>#N/A</v>
      </c>
      <c r="N849" s="6" t="e">
        <f>INDEX(医院2县区2人!$C$2:$C$1048576,MATCH(L849,医院2县区2人!$A$2:$A$1048576,0))</f>
        <v>#N/A</v>
      </c>
      <c r="P849" s="7">
        <v>43253</v>
      </c>
      <c r="Q849" s="6">
        <v>5</v>
      </c>
      <c r="R849" s="6">
        <v>70</v>
      </c>
      <c r="S849" s="6">
        <v>1801404</v>
      </c>
      <c r="T849" s="6" t="e">
        <f>INDEX(医院2县区2人!$D$2:$D$1048576,MATCH(L849,医院2县区2人!$A$2:$A$1048576,0))</f>
        <v>#N/A</v>
      </c>
      <c r="W849" s="6" t="str">
        <f t="shared" si="29"/>
        <v>妇宁栓7粒</v>
      </c>
      <c r="X849" s="6" t="s">
        <v>2893</v>
      </c>
    </row>
    <row r="850" spans="1:24" x14ac:dyDescent="0.15">
      <c r="A850" s="7" t="str">
        <f t="shared" si="30"/>
        <v>201806</v>
      </c>
      <c r="C850" s="6" t="str">
        <f>INDEX(工厂基础数据!$A$2:$A$1024,MATCH(X850,工厂基础数据!$D$2:$D$1024,0))</f>
        <v>02032120</v>
      </c>
      <c r="E850" s="6" t="str">
        <f>INDEX(工厂基础数据!$B$2:$B$1024,MATCH(X850,工厂基础数据!$D$2:$D$1024,0))</f>
        <v>淄博博仁医药有限公司</v>
      </c>
      <c r="F850" s="6" t="e">
        <f>INDEX(商业2转码!$B$2:$B$10000,MATCH(E850,商业2转码!$A$2:$A$10000,0))</f>
        <v>#N/A</v>
      </c>
      <c r="G850" s="6" t="str">
        <f>INDEX(品种2编码!$A$2:$A$1048576,MATCH(W850,品种2编码!$D$2:$D$1048576,0))</f>
        <v>0020020020ZYLC0003</v>
      </c>
      <c r="H850" s="6" t="s">
        <v>1855</v>
      </c>
      <c r="I850" s="6" t="s">
        <v>381</v>
      </c>
      <c r="J850" s="6" t="s">
        <v>3279</v>
      </c>
      <c r="L850" s="6" t="s">
        <v>3131</v>
      </c>
      <c r="M850" s="6" t="e">
        <f>INDEX(医院2县区2人!$B$2:$B$1048576,MATCH(L850,医院2县区2人!$A$2:$A$1048576,0))</f>
        <v>#N/A</v>
      </c>
      <c r="N850" s="6" t="e">
        <f>INDEX(医院2县区2人!$C$2:$C$1048576,MATCH(L850,医院2县区2人!$A$2:$A$1048576,0))</f>
        <v>#N/A</v>
      </c>
      <c r="P850" s="7">
        <v>43253</v>
      </c>
      <c r="Q850" s="6">
        <v>5</v>
      </c>
      <c r="R850" s="6">
        <v>27.5</v>
      </c>
      <c r="S850" s="6">
        <v>170706</v>
      </c>
      <c r="T850" s="6" t="e">
        <f>INDEX(医院2县区2人!$D$2:$D$1048576,MATCH(L850,医院2县区2人!$A$2:$A$1048576,0))</f>
        <v>#N/A</v>
      </c>
      <c r="W850" s="6" t="str">
        <f t="shared" si="29"/>
        <v>颠茄磺苄啶片12片</v>
      </c>
      <c r="X850" s="6" t="s">
        <v>2893</v>
      </c>
    </row>
    <row r="851" spans="1:24" x14ac:dyDescent="0.15">
      <c r="A851" s="7" t="str">
        <f t="shared" si="30"/>
        <v>201806</v>
      </c>
      <c r="C851" s="6" t="str">
        <f>INDEX(工厂基础数据!$A$2:$A$1024,MATCH(X851,工厂基础数据!$D$2:$D$1024,0))</f>
        <v>02032120</v>
      </c>
      <c r="E851" s="6" t="str">
        <f>INDEX(工厂基础数据!$B$2:$B$1024,MATCH(X851,工厂基础数据!$D$2:$D$1024,0))</f>
        <v>淄博博仁医药有限公司</v>
      </c>
      <c r="F851" s="6" t="e">
        <f>INDEX(商业2转码!$B$2:$B$10000,MATCH(E851,商业2转码!$A$2:$A$10000,0))</f>
        <v>#N/A</v>
      </c>
      <c r="G851" s="6" t="str">
        <f>INDEX(品种2编码!$A$2:$A$1048576,MATCH(W851,品种2编码!$D$2:$D$1048576,0))</f>
        <v>0020020030SJMS0025</v>
      </c>
      <c r="H851" s="6" t="s">
        <v>586</v>
      </c>
      <c r="I851" s="6" t="s">
        <v>1937</v>
      </c>
      <c r="J851" s="6" t="s">
        <v>3282</v>
      </c>
      <c r="L851" s="6" t="s">
        <v>3127</v>
      </c>
      <c r="M851" s="6" t="e">
        <f>INDEX(医院2县区2人!$B$2:$B$1048576,MATCH(L851,医院2县区2人!$A$2:$A$1048576,0))</f>
        <v>#N/A</v>
      </c>
      <c r="N851" s="6" t="e">
        <f>INDEX(医院2县区2人!$C$2:$C$1048576,MATCH(L851,医院2县区2人!$A$2:$A$1048576,0))</f>
        <v>#N/A</v>
      </c>
      <c r="P851" s="7">
        <v>43253</v>
      </c>
      <c r="Q851" s="6">
        <v>10</v>
      </c>
      <c r="R851" s="6">
        <v>32</v>
      </c>
      <c r="S851" s="6">
        <v>1709011</v>
      </c>
      <c r="T851" s="6" t="e">
        <f>INDEX(医院2县区2人!$D$2:$D$1048576,MATCH(L851,医院2县区2人!$A$2:$A$1048576,0))</f>
        <v>#N/A</v>
      </c>
      <c r="W851" s="6" t="str">
        <f t="shared" si="29"/>
        <v>人工牛黄甲硝唑胶囊30粒</v>
      </c>
      <c r="X851" s="6" t="s">
        <v>2893</v>
      </c>
    </row>
    <row r="852" spans="1:24" x14ac:dyDescent="0.15">
      <c r="A852" s="7" t="str">
        <f t="shared" si="30"/>
        <v>201806</v>
      </c>
      <c r="C852" s="6" t="str">
        <f>INDEX(工厂基础数据!$A$2:$A$1024,MATCH(X852,工厂基础数据!$D$2:$D$1024,0))</f>
        <v>02032120</v>
      </c>
      <c r="E852" s="6" t="str">
        <f>INDEX(工厂基础数据!$B$2:$B$1024,MATCH(X852,工厂基础数据!$D$2:$D$1024,0))</f>
        <v>淄博博仁医药有限公司</v>
      </c>
      <c r="F852" s="6" t="e">
        <f>INDEX(商业2转码!$B$2:$B$10000,MATCH(E852,商业2转码!$A$2:$A$10000,0))</f>
        <v>#N/A</v>
      </c>
      <c r="G852" s="6">
        <f>INDEX(品种2编码!$A$2:$A$1048576,MATCH(W852,品种2编码!$D$2:$D$1048576,0))</f>
        <v>0</v>
      </c>
      <c r="H852" s="6" t="s">
        <v>1835</v>
      </c>
      <c r="I852" s="6" t="s">
        <v>1954</v>
      </c>
      <c r="J852" s="6" t="s">
        <v>3279</v>
      </c>
      <c r="L852" s="6" t="s">
        <v>3132</v>
      </c>
      <c r="M852" s="6" t="e">
        <f>INDEX(医院2县区2人!$B$2:$B$1048576,MATCH(L852,医院2县区2人!$A$2:$A$1048576,0))</f>
        <v>#N/A</v>
      </c>
      <c r="N852" s="6" t="e">
        <f>INDEX(医院2县区2人!$C$2:$C$1048576,MATCH(L852,医院2县区2人!$A$2:$A$1048576,0))</f>
        <v>#N/A</v>
      </c>
      <c r="P852" s="7">
        <v>43253</v>
      </c>
      <c r="Q852" s="6">
        <v>10</v>
      </c>
      <c r="R852" s="6">
        <v>115</v>
      </c>
      <c r="S852" s="6">
        <v>171113</v>
      </c>
      <c r="T852" s="6" t="e">
        <f>INDEX(医院2县区2人!$D$2:$D$1048576,MATCH(L852,医院2县区2人!$A$2:$A$1048576,0))</f>
        <v>#N/A</v>
      </c>
      <c r="W852" s="6" t="str">
        <f t="shared" si="29"/>
        <v>蒙脱石散12袋</v>
      </c>
      <c r="X852" s="6" t="s">
        <v>2893</v>
      </c>
    </row>
    <row r="853" spans="1:24" x14ac:dyDescent="0.15">
      <c r="A853" s="7" t="str">
        <f t="shared" si="30"/>
        <v>201806</v>
      </c>
      <c r="C853" s="6" t="str">
        <f>INDEX(工厂基础数据!$A$2:$A$1024,MATCH(X853,工厂基础数据!$D$2:$D$1024,0))</f>
        <v>02032120</v>
      </c>
      <c r="E853" s="6" t="str">
        <f>INDEX(工厂基础数据!$B$2:$B$1024,MATCH(X853,工厂基础数据!$D$2:$D$1024,0))</f>
        <v>淄博博仁医药有限公司</v>
      </c>
      <c r="F853" s="6" t="e">
        <f>INDEX(商业2转码!$B$2:$B$10000,MATCH(E853,商业2转码!$A$2:$A$10000,0))</f>
        <v>#N/A</v>
      </c>
      <c r="G853" s="6" t="str">
        <f>INDEX(品种2编码!$A$2:$A$1048576,MATCH(W853,品种2编码!$D$2:$D$1048576,0))</f>
        <v>0020020021ZYLC0005</v>
      </c>
      <c r="H853" s="6" t="s">
        <v>1950</v>
      </c>
      <c r="I853" s="6" t="s">
        <v>1841</v>
      </c>
      <c r="J853" s="6" t="s">
        <v>3283</v>
      </c>
      <c r="L853" s="6" t="s">
        <v>3133</v>
      </c>
      <c r="M853" s="6" t="e">
        <f>INDEX(医院2县区2人!$B$2:$B$1048576,MATCH(L853,医院2县区2人!$A$2:$A$1048576,0))</f>
        <v>#N/A</v>
      </c>
      <c r="N853" s="6" t="e">
        <f>INDEX(医院2县区2人!$C$2:$C$1048576,MATCH(L853,医院2县区2人!$A$2:$A$1048576,0))</f>
        <v>#N/A</v>
      </c>
      <c r="P853" s="7">
        <v>43253</v>
      </c>
      <c r="Q853" s="6">
        <v>10</v>
      </c>
      <c r="R853" s="6">
        <v>40</v>
      </c>
      <c r="S853" s="6">
        <v>180101</v>
      </c>
      <c r="T853" s="6" t="e">
        <f>INDEX(医院2县区2人!$D$2:$D$1048576,MATCH(L853,医院2县区2人!$A$2:$A$1048576,0))</f>
        <v>#N/A</v>
      </c>
      <c r="W853" s="6" t="str">
        <f t="shared" si="29"/>
        <v>罗红霉素分散片50mg*12片</v>
      </c>
      <c r="X853" s="6" t="s">
        <v>2893</v>
      </c>
    </row>
    <row r="854" spans="1:24" x14ac:dyDescent="0.15">
      <c r="A854" s="7" t="str">
        <f t="shared" si="30"/>
        <v>201806</v>
      </c>
      <c r="C854" s="6" t="str">
        <f>INDEX(工厂基础数据!$A$2:$A$1024,MATCH(X854,工厂基础数据!$D$2:$D$1024,0))</f>
        <v>02032120</v>
      </c>
      <c r="E854" s="6" t="str">
        <f>INDEX(工厂基础数据!$B$2:$B$1024,MATCH(X854,工厂基础数据!$D$2:$D$1024,0))</f>
        <v>淄博博仁医药有限公司</v>
      </c>
      <c r="F854" s="6" t="e">
        <f>INDEX(商业2转码!$B$2:$B$10000,MATCH(E854,商业2转码!$A$2:$A$10000,0))</f>
        <v>#N/A</v>
      </c>
      <c r="G854" s="6" t="str">
        <f>INDEX(品种2编码!$A$2:$A$1048576,MATCH(W854,品种2编码!$D$2:$D$1048576,0))</f>
        <v>0020050030SJSC0007</v>
      </c>
      <c r="H854" s="6" t="s">
        <v>461</v>
      </c>
      <c r="I854" s="6" t="s">
        <v>1917</v>
      </c>
      <c r="J854" s="6" t="s">
        <v>3279</v>
      </c>
      <c r="L854" s="6" t="s">
        <v>3132</v>
      </c>
      <c r="M854" s="6" t="e">
        <f>INDEX(医院2县区2人!$B$2:$B$1048576,MATCH(L854,医院2县区2人!$A$2:$A$1048576,0))</f>
        <v>#N/A</v>
      </c>
      <c r="N854" s="6" t="e">
        <f>INDEX(医院2县区2人!$C$2:$C$1048576,MATCH(L854,医院2县区2人!$A$2:$A$1048576,0))</f>
        <v>#N/A</v>
      </c>
      <c r="P854" s="7">
        <v>43253</v>
      </c>
      <c r="Q854" s="6">
        <v>10</v>
      </c>
      <c r="R854" s="6">
        <v>86</v>
      </c>
      <c r="S854" s="6">
        <v>1803003</v>
      </c>
      <c r="T854" s="6" t="e">
        <f>INDEX(医院2县区2人!$D$2:$D$1048576,MATCH(L854,医院2县区2人!$A$2:$A$1048576,0))</f>
        <v>#N/A</v>
      </c>
      <c r="W854" s="6" t="str">
        <f t="shared" si="29"/>
        <v>菊梅利咽含片1.2g*18片</v>
      </c>
      <c r="X854" s="6" t="s">
        <v>2893</v>
      </c>
    </row>
    <row r="855" spans="1:24" x14ac:dyDescent="0.15">
      <c r="A855" s="7" t="str">
        <f t="shared" si="30"/>
        <v>201806</v>
      </c>
      <c r="C855" s="6" t="str">
        <f>INDEX(工厂基础数据!$A$2:$A$1024,MATCH(X855,工厂基础数据!$D$2:$D$1024,0))</f>
        <v>02032120</v>
      </c>
      <c r="E855" s="6" t="str">
        <f>INDEX(工厂基础数据!$B$2:$B$1024,MATCH(X855,工厂基础数据!$D$2:$D$1024,0))</f>
        <v>淄博博仁医药有限公司</v>
      </c>
      <c r="F855" s="6" t="e">
        <f>INDEX(商业2转码!$B$2:$B$10000,MATCH(E855,商业2转码!$A$2:$A$10000,0))</f>
        <v>#N/A</v>
      </c>
      <c r="G855" s="6" t="str">
        <f>INDEX(品种2编码!$A$2:$A$1048576,MATCH(W855,品种2编码!$D$2:$D$1048576,0))</f>
        <v>0020050030SJSC0007</v>
      </c>
      <c r="H855" s="6" t="s">
        <v>461</v>
      </c>
      <c r="I855" s="6" t="s">
        <v>1917</v>
      </c>
      <c r="J855" s="6" t="s">
        <v>3279</v>
      </c>
      <c r="L855" s="6" t="s">
        <v>3123</v>
      </c>
      <c r="M855" s="6" t="e">
        <f>INDEX(医院2县区2人!$B$2:$B$1048576,MATCH(L855,医院2县区2人!$A$2:$A$1048576,0))</f>
        <v>#N/A</v>
      </c>
      <c r="N855" s="6" t="e">
        <f>INDEX(医院2县区2人!$C$2:$C$1048576,MATCH(L855,医院2县区2人!$A$2:$A$1048576,0))</f>
        <v>#N/A</v>
      </c>
      <c r="P855" s="7">
        <v>43253</v>
      </c>
      <c r="Q855" s="6">
        <v>10</v>
      </c>
      <c r="R855" s="6">
        <v>86</v>
      </c>
      <c r="S855" s="6">
        <v>1803003</v>
      </c>
      <c r="T855" s="6" t="e">
        <f>INDEX(医院2县区2人!$D$2:$D$1048576,MATCH(L855,医院2县区2人!$A$2:$A$1048576,0))</f>
        <v>#N/A</v>
      </c>
      <c r="W855" s="6" t="str">
        <f t="shared" si="29"/>
        <v>菊梅利咽含片1.2g*18片</v>
      </c>
      <c r="X855" s="6" t="s">
        <v>2893</v>
      </c>
    </row>
    <row r="856" spans="1:24" x14ac:dyDescent="0.15">
      <c r="A856" s="7" t="str">
        <f t="shared" si="30"/>
        <v>201806</v>
      </c>
      <c r="C856" s="6" t="str">
        <f>INDEX(工厂基础数据!$A$2:$A$1024,MATCH(X856,工厂基础数据!$D$2:$D$1024,0))</f>
        <v>02032120</v>
      </c>
      <c r="E856" s="6" t="str">
        <f>INDEX(工厂基础数据!$B$2:$B$1024,MATCH(X856,工厂基础数据!$D$2:$D$1024,0))</f>
        <v>淄博博仁医药有限公司</v>
      </c>
      <c r="F856" s="6" t="e">
        <f>INDEX(商业2转码!$B$2:$B$10000,MATCH(E856,商业2转码!$A$2:$A$10000,0))</f>
        <v>#N/A</v>
      </c>
      <c r="G856" s="6" t="str">
        <f>INDEX(品种2编码!$A$2:$A$1048576,MATCH(W856,品种2编码!$D$2:$D$1048576,0))</f>
        <v>0020050030SJSC0007</v>
      </c>
      <c r="H856" s="6" t="s">
        <v>461</v>
      </c>
      <c r="I856" s="6" t="s">
        <v>1917</v>
      </c>
      <c r="J856" s="6" t="s">
        <v>3279</v>
      </c>
      <c r="L856" s="6" t="s">
        <v>3120</v>
      </c>
      <c r="M856" s="6" t="e">
        <f>INDEX(医院2县区2人!$B$2:$B$1048576,MATCH(L856,医院2县区2人!$A$2:$A$1048576,0))</f>
        <v>#N/A</v>
      </c>
      <c r="N856" s="6" t="e">
        <f>INDEX(医院2县区2人!$C$2:$C$1048576,MATCH(L856,医院2县区2人!$A$2:$A$1048576,0))</f>
        <v>#N/A</v>
      </c>
      <c r="P856" s="7">
        <v>43253</v>
      </c>
      <c r="Q856" s="6">
        <v>10</v>
      </c>
      <c r="R856" s="6">
        <v>86</v>
      </c>
      <c r="S856" s="6">
        <v>1803003</v>
      </c>
      <c r="T856" s="6" t="e">
        <f>INDEX(医院2县区2人!$D$2:$D$1048576,MATCH(L856,医院2县区2人!$A$2:$A$1048576,0))</f>
        <v>#N/A</v>
      </c>
      <c r="W856" s="6" t="str">
        <f t="shared" si="29"/>
        <v>菊梅利咽含片1.2g*18片</v>
      </c>
      <c r="X856" s="6" t="s">
        <v>2893</v>
      </c>
    </row>
    <row r="857" spans="1:24" x14ac:dyDescent="0.15">
      <c r="A857" s="7" t="str">
        <f t="shared" si="30"/>
        <v>201806</v>
      </c>
      <c r="C857" s="6" t="str">
        <f>INDEX(工厂基础数据!$A$2:$A$1024,MATCH(X857,工厂基础数据!$D$2:$D$1024,0))</f>
        <v>02032120</v>
      </c>
      <c r="E857" s="6" t="str">
        <f>INDEX(工厂基础数据!$B$2:$B$1024,MATCH(X857,工厂基础数据!$D$2:$D$1024,0))</f>
        <v>淄博博仁医药有限公司</v>
      </c>
      <c r="F857" s="6" t="e">
        <f>INDEX(商业2转码!$B$2:$B$10000,MATCH(E857,商业2转码!$A$2:$A$10000,0))</f>
        <v>#N/A</v>
      </c>
      <c r="G857" s="6">
        <f>INDEX(品种2编码!$A$2:$A$1048576,MATCH(W857,品种2编码!$D$2:$D$1048576,0))</f>
        <v>0</v>
      </c>
      <c r="H857" s="6" t="s">
        <v>380</v>
      </c>
      <c r="I857" s="6" t="s">
        <v>3292</v>
      </c>
      <c r="J857" s="6" t="s">
        <v>3279</v>
      </c>
      <c r="L857" s="6" t="s">
        <v>3127</v>
      </c>
      <c r="M857" s="6" t="e">
        <f>INDEX(医院2县区2人!$B$2:$B$1048576,MATCH(L857,医院2县区2人!$A$2:$A$1048576,0))</f>
        <v>#N/A</v>
      </c>
      <c r="N857" s="6" t="e">
        <f>INDEX(医院2县区2人!$C$2:$C$1048576,MATCH(L857,医院2县区2人!$A$2:$A$1048576,0))</f>
        <v>#N/A</v>
      </c>
      <c r="P857" s="7">
        <v>43253</v>
      </c>
      <c r="Q857" s="6">
        <v>10</v>
      </c>
      <c r="R857" s="6">
        <v>28</v>
      </c>
      <c r="S857" s="6">
        <v>1711002</v>
      </c>
      <c r="T857" s="6" t="e">
        <f>INDEX(医院2县区2人!$D$2:$D$1048576,MATCH(L857,医院2县区2人!$A$2:$A$1048576,0))</f>
        <v>#N/A</v>
      </c>
      <c r="W857" s="6" t="str">
        <f t="shared" si="29"/>
        <v>复方氨酚烷胺片12粒</v>
      </c>
      <c r="X857" s="6" t="s">
        <v>2893</v>
      </c>
    </row>
    <row r="858" spans="1:24" x14ac:dyDescent="0.15">
      <c r="A858" s="7" t="str">
        <f t="shared" si="30"/>
        <v>201806</v>
      </c>
      <c r="C858" s="6" t="str">
        <f>INDEX(工厂基础数据!$A$2:$A$1024,MATCH(X858,工厂基础数据!$D$2:$D$1024,0))</f>
        <v>02032120</v>
      </c>
      <c r="E858" s="6" t="str">
        <f>INDEX(工厂基础数据!$B$2:$B$1024,MATCH(X858,工厂基础数据!$D$2:$D$1024,0))</f>
        <v>淄博博仁医药有限公司</v>
      </c>
      <c r="F858" s="6" t="e">
        <f>INDEX(商业2转码!$B$2:$B$10000,MATCH(E858,商业2转码!$A$2:$A$10000,0))</f>
        <v>#N/A</v>
      </c>
      <c r="G858" s="6">
        <f>INDEX(品种2编码!$A$2:$A$1048576,MATCH(W858,品种2编码!$D$2:$D$1048576,0))</f>
        <v>0</v>
      </c>
      <c r="H858" s="6" t="s">
        <v>306</v>
      </c>
      <c r="I858" s="6" t="s">
        <v>3289</v>
      </c>
      <c r="J858" s="6" t="s">
        <v>3279</v>
      </c>
      <c r="L858" s="6" t="s">
        <v>3132</v>
      </c>
      <c r="M858" s="6" t="e">
        <f>INDEX(医院2县区2人!$B$2:$B$1048576,MATCH(L858,医院2县区2人!$A$2:$A$1048576,0))</f>
        <v>#N/A</v>
      </c>
      <c r="N858" s="6" t="e">
        <f>INDEX(医院2县区2人!$C$2:$C$1048576,MATCH(L858,医院2县区2人!$A$2:$A$1048576,0))</f>
        <v>#N/A</v>
      </c>
      <c r="P858" s="7">
        <v>43253</v>
      </c>
      <c r="Q858" s="6">
        <v>10</v>
      </c>
      <c r="R858" s="6">
        <v>60</v>
      </c>
      <c r="S858" s="6">
        <v>180117</v>
      </c>
      <c r="T858" s="6" t="e">
        <f>INDEX(医院2县区2人!$D$2:$D$1048576,MATCH(L858,医院2县区2人!$A$2:$A$1048576,0))</f>
        <v>#N/A</v>
      </c>
      <c r="W858" s="6" t="str">
        <f t="shared" si="29"/>
        <v>氨金黄敏颗粒10袋</v>
      </c>
      <c r="X858" s="6" t="s">
        <v>2893</v>
      </c>
    </row>
    <row r="859" spans="1:24" x14ac:dyDescent="0.15">
      <c r="A859" s="7" t="str">
        <f t="shared" si="30"/>
        <v>201806</v>
      </c>
      <c r="C859" s="6" t="str">
        <f>INDEX(工厂基础数据!$A$2:$A$1024,MATCH(X859,工厂基础数据!$D$2:$D$1024,0))</f>
        <v>02032120</v>
      </c>
      <c r="E859" s="6" t="str">
        <f>INDEX(工厂基础数据!$B$2:$B$1024,MATCH(X859,工厂基础数据!$D$2:$D$1024,0))</f>
        <v>淄博博仁医药有限公司</v>
      </c>
      <c r="F859" s="6" t="e">
        <f>INDEX(商业2转码!$B$2:$B$10000,MATCH(E859,商业2转码!$A$2:$A$10000,0))</f>
        <v>#N/A</v>
      </c>
      <c r="G859" s="6" t="str">
        <f>INDEX(品种2编码!$A$2:$A$1048576,MATCH(W859,品种2编码!$D$2:$D$1048576,0))</f>
        <v>0020020021ZYZC0341</v>
      </c>
      <c r="H859" s="6" t="s">
        <v>1936</v>
      </c>
      <c r="I859" s="6" t="s">
        <v>279</v>
      </c>
      <c r="J859" s="6" t="s">
        <v>3279</v>
      </c>
      <c r="L859" s="6" t="s">
        <v>3132</v>
      </c>
      <c r="M859" s="6" t="e">
        <f>INDEX(医院2县区2人!$B$2:$B$1048576,MATCH(L859,医院2县区2人!$A$2:$A$1048576,0))</f>
        <v>#N/A</v>
      </c>
      <c r="N859" s="6" t="e">
        <f>INDEX(医院2县区2人!$C$2:$C$1048576,MATCH(L859,医院2县区2人!$A$2:$A$1048576,0))</f>
        <v>#N/A</v>
      </c>
      <c r="P859" s="7">
        <v>43253</v>
      </c>
      <c r="Q859" s="6">
        <v>10</v>
      </c>
      <c r="R859" s="6">
        <v>68</v>
      </c>
      <c r="S859" s="6" t="s">
        <v>3275</v>
      </c>
      <c r="T859" s="6" t="e">
        <f>INDEX(医院2县区2人!$D$2:$D$1048576,MATCH(L859,医院2县区2人!$A$2:$A$1048576,0))</f>
        <v>#N/A</v>
      </c>
      <c r="W859" s="6" t="str">
        <f t="shared" si="29"/>
        <v>阿莫西林克拉维酸钾分散片0.2285g*12片</v>
      </c>
      <c r="X859" s="6" t="s">
        <v>2893</v>
      </c>
    </row>
    <row r="860" spans="1:24" x14ac:dyDescent="0.15">
      <c r="A860" s="7" t="str">
        <f t="shared" si="30"/>
        <v>201806</v>
      </c>
      <c r="C860" s="6" t="str">
        <f>INDEX(工厂基础数据!$A$2:$A$1024,MATCH(X860,工厂基础数据!$D$2:$D$1024,0))</f>
        <v>02032120</v>
      </c>
      <c r="E860" s="6" t="str">
        <f>INDEX(工厂基础数据!$B$2:$B$1024,MATCH(X860,工厂基础数据!$D$2:$D$1024,0))</f>
        <v>淄博博仁医药有限公司</v>
      </c>
      <c r="F860" s="6" t="e">
        <f>INDEX(商业2转码!$B$2:$B$10000,MATCH(E860,商业2转码!$A$2:$A$10000,0))</f>
        <v>#N/A</v>
      </c>
      <c r="G860" s="6" t="str">
        <f>INDEX(品种2编码!$A$2:$A$1048576,MATCH(W860,品种2编码!$D$2:$D$1048576,0))</f>
        <v>0020030001SJZY0006</v>
      </c>
      <c r="H860" s="6" t="s">
        <v>1833</v>
      </c>
      <c r="I860" s="6" t="s">
        <v>411</v>
      </c>
      <c r="J860" s="6" t="s">
        <v>3280</v>
      </c>
      <c r="L860" s="6" t="s">
        <v>3123</v>
      </c>
      <c r="M860" s="6" t="e">
        <f>INDEX(医院2县区2人!$B$2:$B$1048576,MATCH(L860,医院2县区2人!$A$2:$A$1048576,0))</f>
        <v>#N/A</v>
      </c>
      <c r="N860" s="6" t="e">
        <f>INDEX(医院2县区2人!$C$2:$C$1048576,MATCH(L860,医院2县区2人!$A$2:$A$1048576,0))</f>
        <v>#N/A</v>
      </c>
      <c r="P860" s="7">
        <v>43255</v>
      </c>
      <c r="Q860" s="6">
        <v>1</v>
      </c>
      <c r="R860" s="6">
        <v>18.600000000000001</v>
      </c>
      <c r="S860" s="6">
        <v>17122912</v>
      </c>
      <c r="T860" s="6" t="e">
        <f>INDEX(医院2县区2人!$D$2:$D$1048576,MATCH(L860,医院2县区2人!$A$2:$A$1048576,0))</f>
        <v>#N/A</v>
      </c>
      <c r="W860" s="6" t="str">
        <f t="shared" si="29"/>
        <v>葡萄糖酸钙口服溶液10ml*12支</v>
      </c>
      <c r="X860" s="6" t="s">
        <v>2893</v>
      </c>
    </row>
    <row r="861" spans="1:24" x14ac:dyDescent="0.15">
      <c r="A861" s="7" t="str">
        <f t="shared" si="30"/>
        <v>201806</v>
      </c>
      <c r="C861" s="6" t="str">
        <f>INDEX(工厂基础数据!$A$2:$A$1024,MATCH(X861,工厂基础数据!$D$2:$D$1024,0))</f>
        <v>02032120</v>
      </c>
      <c r="E861" s="6" t="str">
        <f>INDEX(工厂基础数据!$B$2:$B$1024,MATCH(X861,工厂基础数据!$D$2:$D$1024,0))</f>
        <v>淄博博仁医药有限公司</v>
      </c>
      <c r="F861" s="6" t="e">
        <f>INDEX(商业2转码!$B$2:$B$10000,MATCH(E861,商业2转码!$A$2:$A$10000,0))</f>
        <v>#N/A</v>
      </c>
      <c r="G861" s="6">
        <f>INDEX(品种2编码!$A$2:$A$1048576,MATCH(W861,品种2编码!$D$2:$D$1048576,0))</f>
        <v>0</v>
      </c>
      <c r="H861" s="6" t="s">
        <v>3268</v>
      </c>
      <c r="I861" s="6" t="s">
        <v>411</v>
      </c>
      <c r="J861" s="6" t="s">
        <v>3040</v>
      </c>
      <c r="L861" s="6" t="s">
        <v>3134</v>
      </c>
      <c r="M861" s="6" t="e">
        <f>INDEX(医院2县区2人!$B$2:$B$1048576,MATCH(L861,医院2县区2人!$A$2:$A$1048576,0))</f>
        <v>#N/A</v>
      </c>
      <c r="N861" s="6" t="e">
        <f>INDEX(医院2县区2人!$C$2:$C$1048576,MATCH(L861,医院2县区2人!$A$2:$A$1048576,0))</f>
        <v>#N/A</v>
      </c>
      <c r="P861" s="7">
        <v>43255</v>
      </c>
      <c r="Q861" s="6">
        <v>2</v>
      </c>
      <c r="R861" s="6">
        <v>46</v>
      </c>
      <c r="S861" s="6">
        <v>17112821</v>
      </c>
      <c r="T861" s="6" t="e">
        <f>INDEX(医院2县区2人!$D$2:$D$1048576,MATCH(L861,医院2县区2人!$A$2:$A$1048576,0))</f>
        <v>#N/A</v>
      </c>
      <c r="W861" s="6" t="str">
        <f t="shared" si="29"/>
        <v>葡糖糖酸锌口服溶液10ml*12支</v>
      </c>
      <c r="X861" s="6" t="s">
        <v>2893</v>
      </c>
    </row>
    <row r="862" spans="1:24" x14ac:dyDescent="0.15">
      <c r="A862" s="7" t="str">
        <f t="shared" si="30"/>
        <v>201806</v>
      </c>
      <c r="C862" s="6" t="str">
        <f>INDEX(工厂基础数据!$A$2:$A$1024,MATCH(X862,工厂基础数据!$D$2:$D$1024,0))</f>
        <v>02032120</v>
      </c>
      <c r="E862" s="6" t="str">
        <f>INDEX(工厂基础数据!$B$2:$B$1024,MATCH(X862,工厂基础数据!$D$2:$D$1024,0))</f>
        <v>淄博博仁医药有限公司</v>
      </c>
      <c r="F862" s="6" t="e">
        <f>INDEX(商业2转码!$B$2:$B$10000,MATCH(E862,商业2转码!$A$2:$A$10000,0))</f>
        <v>#N/A</v>
      </c>
      <c r="G862" s="6">
        <f>INDEX(品种2编码!$A$2:$A$1048576,MATCH(W862,品种2编码!$D$2:$D$1048576,0))</f>
        <v>0</v>
      </c>
      <c r="H862" s="6" t="s">
        <v>405</v>
      </c>
      <c r="I862" s="6" t="s">
        <v>1850</v>
      </c>
      <c r="J862" s="6" t="s">
        <v>3279</v>
      </c>
      <c r="L862" s="6" t="s">
        <v>3135</v>
      </c>
      <c r="M862" s="6" t="e">
        <f>INDEX(医院2县区2人!$B$2:$B$1048576,MATCH(L862,医院2县区2人!$A$2:$A$1048576,0))</f>
        <v>#N/A</v>
      </c>
      <c r="N862" s="6" t="e">
        <f>INDEX(医院2县区2人!$C$2:$C$1048576,MATCH(L862,医院2县区2人!$A$2:$A$1048576,0))</f>
        <v>#N/A</v>
      </c>
      <c r="P862" s="7">
        <v>43255</v>
      </c>
      <c r="Q862" s="6">
        <v>2</v>
      </c>
      <c r="R862" s="6">
        <v>28</v>
      </c>
      <c r="S862" s="6">
        <v>1801108</v>
      </c>
      <c r="T862" s="6" t="e">
        <f>INDEX(医院2县区2人!$D$2:$D$1048576,MATCH(L862,医院2县区2人!$A$2:$A$1048576,0))</f>
        <v>#N/A</v>
      </c>
      <c r="W862" s="6" t="str">
        <f t="shared" si="29"/>
        <v>钙铁锌口服液10ml*10支</v>
      </c>
      <c r="X862" s="6" t="s">
        <v>2893</v>
      </c>
    </row>
    <row r="863" spans="1:24" x14ac:dyDescent="0.15">
      <c r="A863" s="7" t="str">
        <f t="shared" si="30"/>
        <v>201806</v>
      </c>
      <c r="C863" s="6" t="str">
        <f>INDEX(工厂基础数据!$A$2:$A$1024,MATCH(X863,工厂基础数据!$D$2:$D$1024,0))</f>
        <v>02032120</v>
      </c>
      <c r="E863" s="6" t="str">
        <f>INDEX(工厂基础数据!$B$2:$B$1024,MATCH(X863,工厂基础数据!$D$2:$D$1024,0))</f>
        <v>淄博博仁医药有限公司</v>
      </c>
      <c r="F863" s="6" t="e">
        <f>INDEX(商业2转码!$B$2:$B$10000,MATCH(E863,商业2转码!$A$2:$A$10000,0))</f>
        <v>#N/A</v>
      </c>
      <c r="G863" s="6" t="str">
        <f>INDEX(品种2编码!$A$2:$A$1048576,MATCH(W863,品种2编码!$D$2:$D$1048576,0))</f>
        <v>0020020021ZYLC0005</v>
      </c>
      <c r="H863" s="6" t="s">
        <v>1950</v>
      </c>
      <c r="I863" s="6" t="s">
        <v>1841</v>
      </c>
      <c r="J863" s="6" t="s">
        <v>3283</v>
      </c>
      <c r="L863" s="6" t="s">
        <v>3120</v>
      </c>
      <c r="M863" s="6" t="e">
        <f>INDEX(医院2县区2人!$B$2:$B$1048576,MATCH(L863,医院2县区2人!$A$2:$A$1048576,0))</f>
        <v>#N/A</v>
      </c>
      <c r="N863" s="6" t="e">
        <f>INDEX(医院2县区2人!$C$2:$C$1048576,MATCH(L863,医院2县区2人!$A$2:$A$1048576,0))</f>
        <v>#N/A</v>
      </c>
      <c r="P863" s="7">
        <v>43255</v>
      </c>
      <c r="Q863" s="6">
        <v>3</v>
      </c>
      <c r="R863" s="6">
        <v>10.5</v>
      </c>
      <c r="S863" s="6">
        <v>180101</v>
      </c>
      <c r="T863" s="6" t="e">
        <f>INDEX(医院2县区2人!$D$2:$D$1048576,MATCH(L863,医院2县区2人!$A$2:$A$1048576,0))</f>
        <v>#N/A</v>
      </c>
      <c r="W863" s="6" t="str">
        <f t="shared" si="29"/>
        <v>罗红霉素分散片50mg*12片</v>
      </c>
      <c r="X863" s="6" t="s">
        <v>2893</v>
      </c>
    </row>
    <row r="864" spans="1:24" x14ac:dyDescent="0.15">
      <c r="A864" s="7" t="str">
        <f t="shared" si="30"/>
        <v>201806</v>
      </c>
      <c r="C864" s="6" t="str">
        <f>INDEX(工厂基础数据!$A$2:$A$1024,MATCH(X864,工厂基础数据!$D$2:$D$1024,0))</f>
        <v>02032120</v>
      </c>
      <c r="E864" s="6" t="str">
        <f>INDEX(工厂基础数据!$B$2:$B$1024,MATCH(X864,工厂基础数据!$D$2:$D$1024,0))</f>
        <v>淄博博仁医药有限公司</v>
      </c>
      <c r="F864" s="6" t="e">
        <f>INDEX(商业2转码!$B$2:$B$10000,MATCH(E864,商业2转码!$A$2:$A$10000,0))</f>
        <v>#N/A</v>
      </c>
      <c r="G864" s="6">
        <f>INDEX(品种2编码!$A$2:$A$1048576,MATCH(W864,品种2编码!$D$2:$D$1048576,0))</f>
        <v>0</v>
      </c>
      <c r="H864" s="6" t="s">
        <v>405</v>
      </c>
      <c r="I864" s="6" t="s">
        <v>1850</v>
      </c>
      <c r="J864" s="6" t="s">
        <v>3279</v>
      </c>
      <c r="L864" s="6" t="s">
        <v>3136</v>
      </c>
      <c r="M864" s="6" t="e">
        <f>INDEX(医院2县区2人!$B$2:$B$1048576,MATCH(L864,医院2县区2人!$A$2:$A$1048576,0))</f>
        <v>#N/A</v>
      </c>
      <c r="N864" s="6" t="e">
        <f>INDEX(医院2县区2人!$C$2:$C$1048576,MATCH(L864,医院2县区2人!$A$2:$A$1048576,0))</f>
        <v>#N/A</v>
      </c>
      <c r="P864" s="7">
        <v>43255</v>
      </c>
      <c r="Q864" s="6">
        <v>3</v>
      </c>
      <c r="R864" s="6">
        <v>32.1</v>
      </c>
      <c r="S864" s="6">
        <v>1801108</v>
      </c>
      <c r="T864" s="6" t="e">
        <f>INDEX(医院2县区2人!$D$2:$D$1048576,MATCH(L864,医院2县区2人!$A$2:$A$1048576,0))</f>
        <v>#N/A</v>
      </c>
      <c r="W864" s="6" t="str">
        <f t="shared" si="29"/>
        <v>钙铁锌口服液10ml*10支</v>
      </c>
      <c r="X864" s="6" t="s">
        <v>2893</v>
      </c>
    </row>
    <row r="865" spans="1:24" x14ac:dyDescent="0.15">
      <c r="A865" s="7" t="str">
        <f t="shared" si="30"/>
        <v>201806</v>
      </c>
      <c r="C865" s="6" t="str">
        <f>INDEX(工厂基础数据!$A$2:$A$1024,MATCH(X865,工厂基础数据!$D$2:$D$1024,0))</f>
        <v>02032120</v>
      </c>
      <c r="E865" s="6" t="str">
        <f>INDEX(工厂基础数据!$B$2:$B$1024,MATCH(X865,工厂基础数据!$D$2:$D$1024,0))</f>
        <v>淄博博仁医药有限公司</v>
      </c>
      <c r="F865" s="6" t="e">
        <f>INDEX(商业2转码!$B$2:$B$10000,MATCH(E865,商业2转码!$A$2:$A$10000,0))</f>
        <v>#N/A</v>
      </c>
      <c r="G865" s="6" t="str">
        <f>INDEX(品种2编码!$A$2:$A$1048576,MATCH(W865,品种2编码!$D$2:$D$1048576,0))</f>
        <v>0020070000ZYLC0003</v>
      </c>
      <c r="H865" s="6" t="s">
        <v>722</v>
      </c>
      <c r="I865" s="6" t="s">
        <v>1993</v>
      </c>
      <c r="J865" s="6" t="s">
        <v>3279</v>
      </c>
      <c r="L865" s="6" t="s">
        <v>3137</v>
      </c>
      <c r="M865" s="6" t="e">
        <f>INDEX(医院2县区2人!$B$2:$B$1048576,MATCH(L865,医院2县区2人!$A$2:$A$1048576,0))</f>
        <v>#N/A</v>
      </c>
      <c r="N865" s="6" t="e">
        <f>INDEX(医院2县区2人!$C$2:$C$1048576,MATCH(L865,医院2县区2人!$A$2:$A$1048576,0))</f>
        <v>#N/A</v>
      </c>
      <c r="P865" s="7">
        <v>43255</v>
      </c>
      <c r="Q865" s="6">
        <v>5</v>
      </c>
      <c r="R865" s="6">
        <v>110</v>
      </c>
      <c r="S865" s="6">
        <v>170702</v>
      </c>
      <c r="T865" s="6" t="e">
        <f>INDEX(医院2县区2人!$D$2:$D$1048576,MATCH(L865,医院2县区2人!$A$2:$A$1048576,0))</f>
        <v>#N/A</v>
      </c>
      <c r="W865" s="6" t="str">
        <f t="shared" si="29"/>
        <v>新盖中盖牌儿童钙片1.75g*36片</v>
      </c>
      <c r="X865" s="6" t="s">
        <v>2893</v>
      </c>
    </row>
    <row r="866" spans="1:24" x14ac:dyDescent="0.15">
      <c r="A866" s="7" t="str">
        <f t="shared" si="30"/>
        <v>201806</v>
      </c>
      <c r="C866" s="6" t="str">
        <f>INDEX(工厂基础数据!$A$2:$A$1024,MATCH(X866,工厂基础数据!$D$2:$D$1024,0))</f>
        <v>02032120</v>
      </c>
      <c r="E866" s="6" t="str">
        <f>INDEX(工厂基础数据!$B$2:$B$1024,MATCH(X866,工厂基础数据!$D$2:$D$1024,0))</f>
        <v>淄博博仁医药有限公司</v>
      </c>
      <c r="F866" s="6" t="e">
        <f>INDEX(商业2转码!$B$2:$B$10000,MATCH(E866,商业2转码!$A$2:$A$10000,0))</f>
        <v>#N/A</v>
      </c>
      <c r="G866" s="6" t="str">
        <f>INDEX(品种2编码!$A$2:$A$1048576,MATCH(W866,品种2编码!$D$2:$D$1048576,0))</f>
        <v>0020030001SJZY0006</v>
      </c>
      <c r="H866" s="6" t="s">
        <v>1833</v>
      </c>
      <c r="I866" s="6" t="s">
        <v>411</v>
      </c>
      <c r="J866" s="6" t="s">
        <v>3280</v>
      </c>
      <c r="L866" s="6" t="s">
        <v>3138</v>
      </c>
      <c r="M866" s="6" t="e">
        <f>INDEX(医院2县区2人!$B$2:$B$1048576,MATCH(L866,医院2县区2人!$A$2:$A$1048576,0))</f>
        <v>#N/A</v>
      </c>
      <c r="N866" s="6" t="e">
        <f>INDEX(医院2县区2人!$C$2:$C$1048576,MATCH(L866,医院2县区2人!$A$2:$A$1048576,0))</f>
        <v>#N/A</v>
      </c>
      <c r="P866" s="7">
        <v>43255</v>
      </c>
      <c r="Q866" s="6">
        <v>5</v>
      </c>
      <c r="R866" s="6">
        <v>110</v>
      </c>
      <c r="S866" s="6">
        <v>17122912</v>
      </c>
      <c r="T866" s="6" t="e">
        <f>INDEX(医院2县区2人!$D$2:$D$1048576,MATCH(L866,医院2县区2人!$A$2:$A$1048576,0))</f>
        <v>#N/A</v>
      </c>
      <c r="W866" s="6" t="str">
        <f t="shared" si="29"/>
        <v>葡萄糖酸钙口服溶液10ml*12支</v>
      </c>
      <c r="X866" s="6" t="s">
        <v>2893</v>
      </c>
    </row>
    <row r="867" spans="1:24" x14ac:dyDescent="0.15">
      <c r="A867" s="7" t="str">
        <f t="shared" si="30"/>
        <v>201806</v>
      </c>
      <c r="C867" s="6" t="str">
        <f>INDEX(工厂基础数据!$A$2:$A$1024,MATCH(X867,工厂基础数据!$D$2:$D$1024,0))</f>
        <v>02032120</v>
      </c>
      <c r="E867" s="6" t="str">
        <f>INDEX(工厂基础数据!$B$2:$B$1024,MATCH(X867,工厂基础数据!$D$2:$D$1024,0))</f>
        <v>淄博博仁医药有限公司</v>
      </c>
      <c r="F867" s="6" t="e">
        <f>INDEX(商业2转码!$B$2:$B$10000,MATCH(E867,商业2转码!$A$2:$A$10000,0))</f>
        <v>#N/A</v>
      </c>
      <c r="G867" s="6" t="str">
        <f>INDEX(品种2编码!$A$2:$A$1048576,MATCH(W867,品种2编码!$D$2:$D$1048576,0))</f>
        <v>0020030001SJZY0006</v>
      </c>
      <c r="H867" s="6" t="s">
        <v>1833</v>
      </c>
      <c r="I867" s="6" t="s">
        <v>411</v>
      </c>
      <c r="J867" s="6" t="s">
        <v>3280</v>
      </c>
      <c r="L867" s="6" t="s">
        <v>3139</v>
      </c>
      <c r="M867" s="6" t="e">
        <f>INDEX(医院2县区2人!$B$2:$B$1048576,MATCH(L867,医院2县区2人!$A$2:$A$1048576,0))</f>
        <v>#N/A</v>
      </c>
      <c r="N867" s="6" t="e">
        <f>INDEX(医院2县区2人!$C$2:$C$1048576,MATCH(L867,医院2县区2人!$A$2:$A$1048576,0))</f>
        <v>#N/A</v>
      </c>
      <c r="P867" s="7">
        <v>43255</v>
      </c>
      <c r="Q867" s="6">
        <v>5</v>
      </c>
      <c r="R867" s="6">
        <v>110</v>
      </c>
      <c r="S867" s="6">
        <v>17122912</v>
      </c>
      <c r="T867" s="6" t="e">
        <f>INDEX(医院2县区2人!$D$2:$D$1048576,MATCH(L867,医院2县区2人!$A$2:$A$1048576,0))</f>
        <v>#N/A</v>
      </c>
      <c r="W867" s="6" t="str">
        <f t="shared" si="29"/>
        <v>葡萄糖酸钙口服溶液10ml*12支</v>
      </c>
      <c r="X867" s="6" t="s">
        <v>2893</v>
      </c>
    </row>
    <row r="868" spans="1:24" x14ac:dyDescent="0.15">
      <c r="A868" s="7" t="str">
        <f t="shared" si="30"/>
        <v>201806</v>
      </c>
      <c r="C868" s="6" t="str">
        <f>INDEX(工厂基础数据!$A$2:$A$1024,MATCH(X868,工厂基础数据!$D$2:$D$1024,0))</f>
        <v>02032120</v>
      </c>
      <c r="E868" s="6" t="str">
        <f>INDEX(工厂基础数据!$B$2:$B$1024,MATCH(X868,工厂基础数据!$D$2:$D$1024,0))</f>
        <v>淄博博仁医药有限公司</v>
      </c>
      <c r="F868" s="6" t="e">
        <f>INDEX(商业2转码!$B$2:$B$10000,MATCH(E868,商业2转码!$A$2:$A$10000,0))</f>
        <v>#N/A</v>
      </c>
      <c r="G868" s="6">
        <f>INDEX(品种2编码!$A$2:$A$1048576,MATCH(W868,品种2编码!$D$2:$D$1048576,0))</f>
        <v>0</v>
      </c>
      <c r="H868" s="6" t="s">
        <v>405</v>
      </c>
      <c r="I868" s="6" t="s">
        <v>1850</v>
      </c>
      <c r="J868" s="6" t="s">
        <v>3279</v>
      </c>
      <c r="L868" s="6" t="s">
        <v>3140</v>
      </c>
      <c r="M868" s="6" t="e">
        <f>INDEX(医院2县区2人!$B$2:$B$1048576,MATCH(L868,医院2县区2人!$A$2:$A$1048576,0))</f>
        <v>#N/A</v>
      </c>
      <c r="N868" s="6" t="e">
        <f>INDEX(医院2县区2人!$C$2:$C$1048576,MATCH(L868,医院2县区2人!$A$2:$A$1048576,0))</f>
        <v>#N/A</v>
      </c>
      <c r="P868" s="7">
        <v>43255</v>
      </c>
      <c r="Q868" s="6">
        <v>5</v>
      </c>
      <c r="R868" s="6">
        <v>70</v>
      </c>
      <c r="S868" s="6">
        <v>1801108</v>
      </c>
      <c r="T868" s="6" t="e">
        <f>INDEX(医院2县区2人!$D$2:$D$1048576,MATCH(L868,医院2县区2人!$A$2:$A$1048576,0))</f>
        <v>#N/A</v>
      </c>
      <c r="W868" s="6" t="str">
        <f t="shared" si="29"/>
        <v>钙铁锌口服液10ml*10支</v>
      </c>
      <c r="X868" s="6" t="s">
        <v>2893</v>
      </c>
    </row>
    <row r="869" spans="1:24" x14ac:dyDescent="0.15">
      <c r="A869" s="7" t="str">
        <f t="shared" si="30"/>
        <v>201806</v>
      </c>
      <c r="C869" s="6" t="str">
        <f>INDEX(工厂基础数据!$A$2:$A$1024,MATCH(X869,工厂基础数据!$D$2:$D$1024,0))</f>
        <v>02032120</v>
      </c>
      <c r="E869" s="6" t="str">
        <f>INDEX(工厂基础数据!$B$2:$B$1024,MATCH(X869,工厂基础数据!$D$2:$D$1024,0))</f>
        <v>淄博博仁医药有限公司</v>
      </c>
      <c r="F869" s="6" t="e">
        <f>INDEX(商业2转码!$B$2:$B$10000,MATCH(E869,商业2转码!$A$2:$A$10000,0))</f>
        <v>#N/A</v>
      </c>
      <c r="G869" s="6">
        <f>INDEX(品种2编码!$A$2:$A$1048576,MATCH(W869,品种2编码!$D$2:$D$1048576,0))</f>
        <v>0</v>
      </c>
      <c r="H869" s="6" t="s">
        <v>306</v>
      </c>
      <c r="I869" s="6" t="s">
        <v>3289</v>
      </c>
      <c r="J869" s="6" t="s">
        <v>3279</v>
      </c>
      <c r="L869" s="6" t="s">
        <v>3141</v>
      </c>
      <c r="M869" s="6" t="e">
        <f>INDEX(医院2县区2人!$B$2:$B$1048576,MATCH(L869,医院2县区2人!$A$2:$A$1048576,0))</f>
        <v>#N/A</v>
      </c>
      <c r="N869" s="6" t="e">
        <f>INDEX(医院2县区2人!$C$2:$C$1048576,MATCH(L869,医院2县区2人!$A$2:$A$1048576,0))</f>
        <v>#N/A</v>
      </c>
      <c r="P869" s="7">
        <v>43255</v>
      </c>
      <c r="Q869" s="6">
        <v>5</v>
      </c>
      <c r="R869" s="6">
        <v>30</v>
      </c>
      <c r="S869" s="6">
        <v>180117</v>
      </c>
      <c r="T869" s="6" t="e">
        <f>INDEX(医院2县区2人!$D$2:$D$1048576,MATCH(L869,医院2县区2人!$A$2:$A$1048576,0))</f>
        <v>#N/A</v>
      </c>
      <c r="W869" s="6" t="str">
        <f t="shared" si="29"/>
        <v>氨金黄敏颗粒10袋</v>
      </c>
      <c r="X869" s="6" t="s">
        <v>2893</v>
      </c>
    </row>
    <row r="870" spans="1:24" x14ac:dyDescent="0.15">
      <c r="A870" s="7" t="str">
        <f t="shared" si="30"/>
        <v>201806</v>
      </c>
      <c r="C870" s="6" t="str">
        <f>INDEX(工厂基础数据!$A$2:$A$1024,MATCH(X870,工厂基础数据!$D$2:$D$1024,0))</f>
        <v>02032120</v>
      </c>
      <c r="E870" s="6" t="str">
        <f>INDEX(工厂基础数据!$B$2:$B$1024,MATCH(X870,工厂基础数据!$D$2:$D$1024,0))</f>
        <v>淄博博仁医药有限公司</v>
      </c>
      <c r="F870" s="6" t="e">
        <f>INDEX(商业2转码!$B$2:$B$10000,MATCH(E870,商业2转码!$A$2:$A$10000,0))</f>
        <v>#N/A</v>
      </c>
      <c r="G870" s="6" t="str">
        <f>INDEX(品种2编码!$A$2:$A$1048576,MATCH(W870,品种2编码!$D$2:$D$1048576,0))</f>
        <v>0020020020ZYZC0473</v>
      </c>
      <c r="H870" s="6" t="s">
        <v>745</v>
      </c>
      <c r="I870" s="6" t="s">
        <v>290</v>
      </c>
      <c r="J870" s="6" t="s">
        <v>3038</v>
      </c>
      <c r="L870" s="6" t="s">
        <v>3142</v>
      </c>
      <c r="M870" s="6" t="e">
        <f>INDEX(医院2县区2人!$B$2:$B$1048576,MATCH(L870,医院2县区2人!$A$2:$A$1048576,0))</f>
        <v>#N/A</v>
      </c>
      <c r="N870" s="6" t="e">
        <f>INDEX(医院2县区2人!$C$2:$C$1048576,MATCH(L870,医院2县区2人!$A$2:$A$1048576,0))</f>
        <v>#N/A</v>
      </c>
      <c r="P870" s="7">
        <v>43255</v>
      </c>
      <c r="Q870" s="6">
        <v>10</v>
      </c>
      <c r="R870" s="6">
        <v>43</v>
      </c>
      <c r="S870" s="6" t="s">
        <v>3276</v>
      </c>
      <c r="T870" s="6" t="e">
        <f>INDEX(医院2县区2人!$D$2:$D$1048576,MATCH(L870,医院2县区2人!$A$2:$A$1048576,0))</f>
        <v>#N/A</v>
      </c>
      <c r="W870" s="6" t="str">
        <f t="shared" si="29"/>
        <v>盐酸环丙沙星片0.25g*12片</v>
      </c>
      <c r="X870" s="6" t="s">
        <v>2893</v>
      </c>
    </row>
    <row r="871" spans="1:24" x14ac:dyDescent="0.15">
      <c r="A871" s="7" t="str">
        <f t="shared" si="30"/>
        <v>201806</v>
      </c>
      <c r="C871" s="6" t="str">
        <f>INDEX(工厂基础数据!$A$2:$A$1024,MATCH(X871,工厂基础数据!$D$2:$D$1024,0))</f>
        <v>02032120</v>
      </c>
      <c r="E871" s="6" t="str">
        <f>INDEX(工厂基础数据!$B$2:$B$1024,MATCH(X871,工厂基础数据!$D$2:$D$1024,0))</f>
        <v>淄博博仁医药有限公司</v>
      </c>
      <c r="F871" s="6" t="e">
        <f>INDEX(商业2转码!$B$2:$B$10000,MATCH(E871,商业2转码!$A$2:$A$10000,0))</f>
        <v>#N/A</v>
      </c>
      <c r="G871" s="6" t="str">
        <f>INDEX(品种2编码!$A$2:$A$1048576,MATCH(W871,品种2编码!$D$2:$D$1048576,0))</f>
        <v>0020040001SHYT0018</v>
      </c>
      <c r="H871" s="6" t="s">
        <v>732</v>
      </c>
      <c r="I871" s="6" t="s">
        <v>444</v>
      </c>
      <c r="J871" s="6" t="s">
        <v>3279</v>
      </c>
      <c r="L871" s="6" t="s">
        <v>3143</v>
      </c>
      <c r="M871" s="6" t="e">
        <f>INDEX(医院2县区2人!$B$2:$B$1048576,MATCH(L871,医院2县区2人!$A$2:$A$1048576,0))</f>
        <v>#N/A</v>
      </c>
      <c r="N871" s="6" t="e">
        <f>INDEX(医院2县区2人!$C$2:$C$1048576,MATCH(L871,医院2县区2人!$A$2:$A$1048576,0))</f>
        <v>#N/A</v>
      </c>
      <c r="P871" s="7">
        <v>43255</v>
      </c>
      <c r="Q871" s="6">
        <v>10</v>
      </c>
      <c r="R871" s="6">
        <v>100</v>
      </c>
      <c r="S871" s="6">
        <v>1712113</v>
      </c>
      <c r="T871" s="6" t="e">
        <f>INDEX(医院2县区2人!$D$2:$D$1048576,MATCH(L871,医院2县区2人!$A$2:$A$1048576,0))</f>
        <v>#N/A</v>
      </c>
      <c r="W871" s="6" t="str">
        <f t="shared" si="29"/>
        <v>血府逐瘀丸9g*10丸</v>
      </c>
      <c r="X871" s="6" t="s">
        <v>2893</v>
      </c>
    </row>
    <row r="872" spans="1:24" x14ac:dyDescent="0.15">
      <c r="A872" s="7" t="str">
        <f t="shared" si="30"/>
        <v>201806</v>
      </c>
      <c r="C872" s="6" t="str">
        <f>INDEX(工厂基础数据!$A$2:$A$1024,MATCH(X872,工厂基础数据!$D$2:$D$1024,0))</f>
        <v>02032120</v>
      </c>
      <c r="E872" s="6" t="str">
        <f>INDEX(工厂基础数据!$B$2:$B$1024,MATCH(X872,工厂基础数据!$D$2:$D$1024,0))</f>
        <v>淄博博仁医药有限公司</v>
      </c>
      <c r="F872" s="6" t="e">
        <f>INDEX(商业2转码!$B$2:$B$10000,MATCH(E872,商业2转码!$A$2:$A$10000,0))</f>
        <v>#N/A</v>
      </c>
      <c r="G872" s="6">
        <f>INDEX(品种2编码!$A$2:$A$1048576,MATCH(W872,品种2编码!$D$2:$D$1048576,0))</f>
        <v>0</v>
      </c>
      <c r="H872" s="6" t="s">
        <v>705</v>
      </c>
      <c r="I872" s="6" t="s">
        <v>2035</v>
      </c>
      <c r="J872" s="6" t="s">
        <v>3279</v>
      </c>
      <c r="L872" s="6" t="s">
        <v>3117</v>
      </c>
      <c r="M872" s="6" t="e">
        <f>INDEX(医院2县区2人!$B$2:$B$1048576,MATCH(L872,医院2县区2人!$A$2:$A$1048576,0))</f>
        <v>#N/A</v>
      </c>
      <c r="N872" s="6" t="e">
        <f>INDEX(医院2县区2人!$C$2:$C$1048576,MATCH(L872,医院2县区2人!$A$2:$A$1048576,0))</f>
        <v>#N/A</v>
      </c>
      <c r="P872" s="7">
        <v>43255</v>
      </c>
      <c r="Q872" s="6">
        <v>10</v>
      </c>
      <c r="R872" s="6">
        <v>40</v>
      </c>
      <c r="S872" s="6">
        <v>170601</v>
      </c>
      <c r="T872" s="6" t="e">
        <f>INDEX(医院2县区2人!$D$2:$D$1048576,MATCH(L872,医院2县区2人!$A$2:$A$1048576,0))</f>
        <v>#N/A</v>
      </c>
      <c r="W872" s="6" t="str">
        <f t="shared" si="29"/>
        <v>小儿氨酚黄那敏片20片</v>
      </c>
      <c r="X872" s="6" t="s">
        <v>2893</v>
      </c>
    </row>
    <row r="873" spans="1:24" x14ac:dyDescent="0.15">
      <c r="A873" s="7" t="str">
        <f t="shared" si="30"/>
        <v>201806</v>
      </c>
      <c r="C873" s="6" t="str">
        <f>INDEX(工厂基础数据!$A$2:$A$1024,MATCH(X873,工厂基础数据!$D$2:$D$1024,0))</f>
        <v>02032120</v>
      </c>
      <c r="E873" s="6" t="str">
        <f>INDEX(工厂基础数据!$B$2:$B$1024,MATCH(X873,工厂基础数据!$D$2:$D$1024,0))</f>
        <v>淄博博仁医药有限公司</v>
      </c>
      <c r="F873" s="6" t="e">
        <f>INDEX(商业2转码!$B$2:$B$10000,MATCH(E873,商业2转码!$A$2:$A$10000,0))</f>
        <v>#N/A</v>
      </c>
      <c r="G873" s="6" t="str">
        <f>INDEX(品种2编码!$A$2:$A$1048576,MATCH(W873,品种2编码!$D$2:$D$1048576,0))</f>
        <v>0020030040ZYLC0001</v>
      </c>
      <c r="H873" s="6" t="s">
        <v>1953</v>
      </c>
      <c r="I873" s="6" t="s">
        <v>1954</v>
      </c>
      <c r="J873" s="6" t="s">
        <v>3279</v>
      </c>
      <c r="L873" s="6" t="s">
        <v>3136</v>
      </c>
      <c r="M873" s="6" t="e">
        <f>INDEX(医院2县区2人!$B$2:$B$1048576,MATCH(L873,医院2县区2人!$A$2:$A$1048576,0))</f>
        <v>#N/A</v>
      </c>
      <c r="N873" s="6" t="e">
        <f>INDEX(医院2县区2人!$C$2:$C$1048576,MATCH(L873,医院2县区2人!$A$2:$A$1048576,0))</f>
        <v>#N/A</v>
      </c>
      <c r="P873" s="7">
        <v>43255</v>
      </c>
      <c r="Q873" s="6">
        <v>10</v>
      </c>
      <c r="R873" s="6">
        <v>77</v>
      </c>
      <c r="S873" s="6">
        <v>171113</v>
      </c>
      <c r="T873" s="6" t="e">
        <f>INDEX(医院2县区2人!$D$2:$D$1048576,MATCH(L873,医院2县区2人!$A$2:$A$1048576,0))</f>
        <v>#N/A</v>
      </c>
      <c r="W873" s="6" t="str">
        <f t="shared" si="29"/>
        <v>小儿氨酚黄那敏颗粒12袋</v>
      </c>
      <c r="X873" s="6" t="s">
        <v>2893</v>
      </c>
    </row>
    <row r="874" spans="1:24" x14ac:dyDescent="0.15">
      <c r="A874" s="7" t="str">
        <f t="shared" si="30"/>
        <v>201806</v>
      </c>
      <c r="C874" s="6" t="str">
        <f>INDEX(工厂基础数据!$A$2:$A$1024,MATCH(X874,工厂基础数据!$D$2:$D$1024,0))</f>
        <v>02032120</v>
      </c>
      <c r="E874" s="6" t="str">
        <f>INDEX(工厂基础数据!$B$2:$B$1024,MATCH(X874,工厂基础数据!$D$2:$D$1024,0))</f>
        <v>淄博博仁医药有限公司</v>
      </c>
      <c r="F874" s="6" t="e">
        <f>INDEX(商业2转码!$B$2:$B$10000,MATCH(E874,商业2转码!$A$2:$A$10000,0))</f>
        <v>#N/A</v>
      </c>
      <c r="G874" s="6">
        <f>INDEX(品种2编码!$A$2:$A$1048576,MATCH(W874,品种2编码!$D$2:$D$1048576,0))</f>
        <v>0</v>
      </c>
      <c r="H874" s="6" t="s">
        <v>3269</v>
      </c>
      <c r="I874" s="6" t="s">
        <v>1839</v>
      </c>
      <c r="J874" s="6" t="s">
        <v>3279</v>
      </c>
      <c r="L874" s="6" t="s">
        <v>3144</v>
      </c>
      <c r="M874" s="6" t="e">
        <f>INDEX(医院2县区2人!$B$2:$B$1048576,MATCH(L874,医院2县区2人!$A$2:$A$1048576,0))</f>
        <v>#N/A</v>
      </c>
      <c r="N874" s="6" t="e">
        <f>INDEX(医院2县区2人!$C$2:$C$1048576,MATCH(L874,医院2县区2人!$A$2:$A$1048576,0))</f>
        <v>#N/A</v>
      </c>
      <c r="P874" s="7">
        <v>43255</v>
      </c>
      <c r="Q874" s="6">
        <v>10</v>
      </c>
      <c r="R874" s="6">
        <v>80</v>
      </c>
      <c r="S874" s="6">
        <v>180302</v>
      </c>
      <c r="T874" s="6" t="e">
        <f>INDEX(医院2县区2人!$D$2:$D$1048576,MATCH(L874,医院2县区2人!$A$2:$A$1048576,0))</f>
        <v>#N/A</v>
      </c>
      <c r="W874" s="6" t="str">
        <f t="shared" si="29"/>
        <v>乳酸菌素片(精）0.4g*36片</v>
      </c>
      <c r="X874" s="6" t="s">
        <v>2893</v>
      </c>
    </row>
    <row r="875" spans="1:24" x14ac:dyDescent="0.15">
      <c r="A875" s="7" t="str">
        <f t="shared" si="30"/>
        <v>201806</v>
      </c>
      <c r="C875" s="6" t="str">
        <f>INDEX(工厂基础数据!$A$2:$A$1024,MATCH(X875,工厂基础数据!$D$2:$D$1024,0))</f>
        <v>02032120</v>
      </c>
      <c r="E875" s="6" t="str">
        <f>INDEX(工厂基础数据!$B$2:$B$1024,MATCH(X875,工厂基础数据!$D$2:$D$1024,0))</f>
        <v>淄博博仁医药有限公司</v>
      </c>
      <c r="F875" s="6" t="e">
        <f>INDEX(商业2转码!$B$2:$B$10000,MATCH(E875,商业2转码!$A$2:$A$10000,0))</f>
        <v>#N/A</v>
      </c>
      <c r="G875" s="6" t="str">
        <f>INDEX(品种2编码!$A$2:$A$1048576,MATCH(W875,品种2编码!$D$2:$D$1048576,0))</f>
        <v>0020020030SJMS0025</v>
      </c>
      <c r="H875" s="6" t="s">
        <v>586</v>
      </c>
      <c r="I875" s="6" t="s">
        <v>1937</v>
      </c>
      <c r="J875" s="6" t="s">
        <v>3282</v>
      </c>
      <c r="L875" s="6" t="s">
        <v>3141</v>
      </c>
      <c r="M875" s="6" t="e">
        <f>INDEX(医院2县区2人!$B$2:$B$1048576,MATCH(L875,医院2县区2人!$A$2:$A$1048576,0))</f>
        <v>#N/A</v>
      </c>
      <c r="N875" s="6" t="e">
        <f>INDEX(医院2县区2人!$C$2:$C$1048576,MATCH(L875,医院2县区2人!$A$2:$A$1048576,0))</f>
        <v>#N/A</v>
      </c>
      <c r="P875" s="7">
        <v>43255</v>
      </c>
      <c r="Q875" s="6">
        <v>10</v>
      </c>
      <c r="R875" s="6">
        <v>32</v>
      </c>
      <c r="S875" s="6">
        <v>1709011</v>
      </c>
      <c r="T875" s="6" t="e">
        <f>INDEX(医院2县区2人!$D$2:$D$1048576,MATCH(L875,医院2县区2人!$A$2:$A$1048576,0))</f>
        <v>#N/A</v>
      </c>
      <c r="W875" s="6" t="str">
        <f t="shared" si="29"/>
        <v>人工牛黄甲硝唑胶囊30粒</v>
      </c>
      <c r="X875" s="6" t="s">
        <v>2893</v>
      </c>
    </row>
    <row r="876" spans="1:24" x14ac:dyDescent="0.15">
      <c r="A876" s="7" t="str">
        <f t="shared" si="30"/>
        <v>201806</v>
      </c>
      <c r="C876" s="6" t="str">
        <f>INDEX(工厂基础数据!$A$2:$A$1024,MATCH(X876,工厂基础数据!$D$2:$D$1024,0))</f>
        <v>02032120</v>
      </c>
      <c r="E876" s="6" t="str">
        <f>INDEX(工厂基础数据!$B$2:$B$1024,MATCH(X876,工厂基础数据!$D$2:$D$1024,0))</f>
        <v>淄博博仁医药有限公司</v>
      </c>
      <c r="F876" s="6" t="e">
        <f>INDEX(商业2转码!$B$2:$B$10000,MATCH(E876,商业2转码!$A$2:$A$10000,0))</f>
        <v>#N/A</v>
      </c>
      <c r="G876" s="6" t="str">
        <f>INDEX(品种2编码!$A$2:$A$1048576,MATCH(W876,品种2编码!$D$2:$D$1048576,0))</f>
        <v>0020020030SJMS0025</v>
      </c>
      <c r="H876" s="6" t="s">
        <v>586</v>
      </c>
      <c r="I876" s="6" t="s">
        <v>1937</v>
      </c>
      <c r="J876" s="6" t="s">
        <v>3282</v>
      </c>
      <c r="L876" s="6" t="s">
        <v>3136</v>
      </c>
      <c r="M876" s="6" t="e">
        <f>INDEX(医院2县区2人!$B$2:$B$1048576,MATCH(L876,医院2县区2人!$A$2:$A$1048576,0))</f>
        <v>#N/A</v>
      </c>
      <c r="N876" s="6" t="e">
        <f>INDEX(医院2县区2人!$C$2:$C$1048576,MATCH(L876,医院2县区2人!$A$2:$A$1048576,0))</f>
        <v>#N/A</v>
      </c>
      <c r="P876" s="7">
        <v>43255</v>
      </c>
      <c r="Q876" s="6">
        <v>10</v>
      </c>
      <c r="R876" s="6">
        <v>32</v>
      </c>
      <c r="S876" s="6">
        <v>1709011</v>
      </c>
      <c r="T876" s="6" t="e">
        <f>INDEX(医院2县区2人!$D$2:$D$1048576,MATCH(L876,医院2县区2人!$A$2:$A$1048576,0))</f>
        <v>#N/A</v>
      </c>
      <c r="W876" s="6" t="str">
        <f t="shared" si="29"/>
        <v>人工牛黄甲硝唑胶囊30粒</v>
      </c>
      <c r="X876" s="6" t="s">
        <v>2893</v>
      </c>
    </row>
    <row r="877" spans="1:24" x14ac:dyDescent="0.15">
      <c r="A877" s="7" t="str">
        <f t="shared" si="30"/>
        <v>201806</v>
      </c>
      <c r="C877" s="6" t="str">
        <f>INDEX(工厂基础数据!$A$2:$A$1024,MATCH(X877,工厂基础数据!$D$2:$D$1024,0))</f>
        <v>02032120</v>
      </c>
      <c r="E877" s="6" t="str">
        <f>INDEX(工厂基础数据!$B$2:$B$1024,MATCH(X877,工厂基础数据!$D$2:$D$1024,0))</f>
        <v>淄博博仁医药有限公司</v>
      </c>
      <c r="F877" s="6" t="e">
        <f>INDEX(商业2转码!$B$2:$B$10000,MATCH(E877,商业2转码!$A$2:$A$10000,0))</f>
        <v>#N/A</v>
      </c>
      <c r="G877" s="6" t="str">
        <f>INDEX(品种2编码!$A$2:$A$1048576,MATCH(W877,品种2编码!$D$2:$D$1048576,0))</f>
        <v>0020030001SJZY0006</v>
      </c>
      <c r="H877" s="6" t="s">
        <v>1833</v>
      </c>
      <c r="I877" s="6" t="s">
        <v>411</v>
      </c>
      <c r="J877" s="6" t="s">
        <v>3280</v>
      </c>
      <c r="L877" s="6" t="s">
        <v>3145</v>
      </c>
      <c r="M877" s="6" t="e">
        <f>INDEX(医院2县区2人!$B$2:$B$1048576,MATCH(L877,医院2县区2人!$A$2:$A$1048576,0))</f>
        <v>#N/A</v>
      </c>
      <c r="N877" s="6" t="e">
        <f>INDEX(医院2县区2人!$C$2:$C$1048576,MATCH(L877,医院2县区2人!$A$2:$A$1048576,0))</f>
        <v>#N/A</v>
      </c>
      <c r="P877" s="7">
        <v>43255</v>
      </c>
      <c r="Q877" s="6">
        <v>10</v>
      </c>
      <c r="R877" s="6">
        <v>220</v>
      </c>
      <c r="S877" s="6">
        <v>17122912</v>
      </c>
      <c r="T877" s="6" t="e">
        <f>INDEX(医院2县区2人!$D$2:$D$1048576,MATCH(L877,医院2县区2人!$A$2:$A$1048576,0))</f>
        <v>#N/A</v>
      </c>
      <c r="W877" s="6" t="str">
        <f t="shared" si="29"/>
        <v>葡萄糖酸钙口服溶液10ml*12支</v>
      </c>
      <c r="X877" s="6" t="s">
        <v>2893</v>
      </c>
    </row>
    <row r="878" spans="1:24" x14ac:dyDescent="0.15">
      <c r="A878" s="7" t="str">
        <f t="shared" si="30"/>
        <v>201806</v>
      </c>
      <c r="C878" s="6" t="str">
        <f>INDEX(工厂基础数据!$A$2:$A$1024,MATCH(X878,工厂基础数据!$D$2:$D$1024,0))</f>
        <v>02032120</v>
      </c>
      <c r="E878" s="6" t="str">
        <f>INDEX(工厂基础数据!$B$2:$B$1024,MATCH(X878,工厂基础数据!$D$2:$D$1024,0))</f>
        <v>淄博博仁医药有限公司</v>
      </c>
      <c r="F878" s="6" t="e">
        <f>INDEX(商业2转码!$B$2:$B$10000,MATCH(E878,商业2转码!$A$2:$A$10000,0))</f>
        <v>#N/A</v>
      </c>
      <c r="G878" s="6" t="str">
        <f>INDEX(品种2编码!$A$2:$A$1048576,MATCH(W878,品种2编码!$D$2:$D$1048576,0))</f>
        <v>0020040030SHYT0002</v>
      </c>
      <c r="H878" s="6" t="s">
        <v>537</v>
      </c>
      <c r="I878" s="6" t="s">
        <v>1910</v>
      </c>
      <c r="J878" s="6" t="s">
        <v>3281</v>
      </c>
      <c r="L878" s="6" t="s">
        <v>3144</v>
      </c>
      <c r="M878" s="6" t="e">
        <f>INDEX(医院2县区2人!$B$2:$B$1048576,MATCH(L878,医院2县区2人!$A$2:$A$1048576,0))</f>
        <v>#N/A</v>
      </c>
      <c r="N878" s="6" t="e">
        <f>INDEX(医院2县区2人!$C$2:$C$1048576,MATCH(L878,医院2县区2人!$A$2:$A$1048576,0))</f>
        <v>#N/A</v>
      </c>
      <c r="P878" s="7">
        <v>43255</v>
      </c>
      <c r="Q878" s="6">
        <v>10</v>
      </c>
      <c r="R878" s="6">
        <v>52</v>
      </c>
      <c r="S878" s="6">
        <v>1711301</v>
      </c>
      <c r="T878" s="6" t="e">
        <f>INDEX(医院2县区2人!$D$2:$D$1048576,MATCH(L878,医院2县区2人!$A$2:$A$1048576,0))</f>
        <v>#N/A</v>
      </c>
      <c r="W878" s="6" t="str">
        <f t="shared" si="29"/>
        <v>牛黄消炎片24片</v>
      </c>
      <c r="X878" s="6" t="s">
        <v>2893</v>
      </c>
    </row>
    <row r="879" spans="1:24" x14ac:dyDescent="0.15">
      <c r="A879" s="7" t="str">
        <f t="shared" si="30"/>
        <v>201806</v>
      </c>
      <c r="C879" s="6" t="str">
        <f>INDEX(工厂基础数据!$A$2:$A$1024,MATCH(X879,工厂基础数据!$D$2:$D$1024,0))</f>
        <v>02032120</v>
      </c>
      <c r="E879" s="6" t="str">
        <f>INDEX(工厂基础数据!$B$2:$B$1024,MATCH(X879,工厂基础数据!$D$2:$D$1024,0))</f>
        <v>淄博博仁医药有限公司</v>
      </c>
      <c r="F879" s="6" t="e">
        <f>INDEX(商业2转码!$B$2:$B$10000,MATCH(E879,商业2转码!$A$2:$A$10000,0))</f>
        <v>#N/A</v>
      </c>
      <c r="G879" s="6" t="str">
        <f>INDEX(品种2编码!$A$2:$A$1048576,MATCH(W879,品种2编码!$D$2:$D$1048576,0))</f>
        <v>0020020021ZYLC0004</v>
      </c>
      <c r="H879" s="6" t="s">
        <v>1950</v>
      </c>
      <c r="I879" s="6" t="s">
        <v>1869</v>
      </c>
      <c r="J879" s="6" t="s">
        <v>3283</v>
      </c>
      <c r="L879" s="6" t="s">
        <v>3146</v>
      </c>
      <c r="M879" s="6" t="e">
        <f>INDEX(医院2县区2人!$B$2:$B$1048576,MATCH(L879,医院2县区2人!$A$2:$A$1048576,0))</f>
        <v>#N/A</v>
      </c>
      <c r="N879" s="6" t="e">
        <f>INDEX(医院2县区2人!$C$2:$C$1048576,MATCH(L879,医院2县区2人!$A$2:$A$1048576,0))</f>
        <v>#N/A</v>
      </c>
      <c r="P879" s="7">
        <v>43255</v>
      </c>
      <c r="Q879" s="6">
        <v>10</v>
      </c>
      <c r="R879" s="6">
        <v>80</v>
      </c>
      <c r="S879" s="6">
        <v>171101</v>
      </c>
      <c r="T879" s="6" t="e">
        <f>INDEX(医院2县区2人!$D$2:$D$1048576,MATCH(L879,医院2县区2人!$A$2:$A$1048576,0))</f>
        <v>#N/A</v>
      </c>
      <c r="W879" s="6" t="str">
        <f t="shared" si="29"/>
        <v>罗红霉素分散片75mg*12片</v>
      </c>
      <c r="X879" s="6" t="s">
        <v>2893</v>
      </c>
    </row>
    <row r="880" spans="1:24" x14ac:dyDescent="0.15">
      <c r="A880" s="7" t="str">
        <f t="shared" si="30"/>
        <v>201806</v>
      </c>
      <c r="C880" s="6" t="str">
        <f>INDEX(工厂基础数据!$A$2:$A$1024,MATCH(X880,工厂基础数据!$D$2:$D$1024,0))</f>
        <v>02032120</v>
      </c>
      <c r="E880" s="6" t="str">
        <f>INDEX(工厂基础数据!$B$2:$B$1024,MATCH(X880,工厂基础数据!$D$2:$D$1024,0))</f>
        <v>淄博博仁医药有限公司</v>
      </c>
      <c r="F880" s="6" t="e">
        <f>INDEX(商业2转码!$B$2:$B$10000,MATCH(E880,商业2转码!$A$2:$A$10000,0))</f>
        <v>#N/A</v>
      </c>
      <c r="G880" s="6" t="str">
        <f>INDEX(品种2编码!$A$2:$A$1048576,MATCH(W880,品种2编码!$D$2:$D$1048576,0))</f>
        <v>0020050030SJSC0007</v>
      </c>
      <c r="H880" s="6" t="s">
        <v>461</v>
      </c>
      <c r="I880" s="6" t="s">
        <v>1917</v>
      </c>
      <c r="J880" s="6" t="s">
        <v>3279</v>
      </c>
      <c r="L880" s="6" t="s">
        <v>3141</v>
      </c>
      <c r="M880" s="6" t="e">
        <f>INDEX(医院2县区2人!$B$2:$B$1048576,MATCH(L880,医院2县区2人!$A$2:$A$1048576,0))</f>
        <v>#N/A</v>
      </c>
      <c r="N880" s="6" t="e">
        <f>INDEX(医院2县区2人!$C$2:$C$1048576,MATCH(L880,医院2县区2人!$A$2:$A$1048576,0))</f>
        <v>#N/A</v>
      </c>
      <c r="P880" s="7">
        <v>43255</v>
      </c>
      <c r="Q880" s="6">
        <v>10</v>
      </c>
      <c r="R880" s="6">
        <v>86</v>
      </c>
      <c r="S880" s="6">
        <v>1803003</v>
      </c>
      <c r="T880" s="6" t="e">
        <f>INDEX(医院2县区2人!$D$2:$D$1048576,MATCH(L880,医院2县区2人!$A$2:$A$1048576,0))</f>
        <v>#N/A</v>
      </c>
      <c r="W880" s="6" t="str">
        <f t="shared" si="29"/>
        <v>菊梅利咽含片1.2g*18片</v>
      </c>
      <c r="X880" s="6" t="s">
        <v>2893</v>
      </c>
    </row>
    <row r="881" spans="1:24" x14ac:dyDescent="0.15">
      <c r="A881" s="7" t="str">
        <f t="shared" si="30"/>
        <v>201806</v>
      </c>
      <c r="C881" s="6" t="str">
        <f>INDEX(工厂基础数据!$A$2:$A$1024,MATCH(X881,工厂基础数据!$D$2:$D$1024,0))</f>
        <v>02032120</v>
      </c>
      <c r="E881" s="6" t="str">
        <f>INDEX(工厂基础数据!$B$2:$B$1024,MATCH(X881,工厂基础数据!$D$2:$D$1024,0))</f>
        <v>淄博博仁医药有限公司</v>
      </c>
      <c r="F881" s="6" t="e">
        <f>INDEX(商业2转码!$B$2:$B$10000,MATCH(E881,商业2转码!$A$2:$A$10000,0))</f>
        <v>#N/A</v>
      </c>
      <c r="G881" s="6" t="str">
        <f>INDEX(品种2编码!$A$2:$A$1048576,MATCH(W881,品种2编码!$D$2:$D$1048576,0))</f>
        <v>0020030020SJSC0004</v>
      </c>
      <c r="H881" s="6" t="s">
        <v>394</v>
      </c>
      <c r="I881" s="6" t="s">
        <v>1871</v>
      </c>
      <c r="J881" s="6" t="s">
        <v>3284</v>
      </c>
      <c r="L881" s="6" t="s">
        <v>3144</v>
      </c>
      <c r="M881" s="6" t="e">
        <f>INDEX(医院2县区2人!$B$2:$B$1048576,MATCH(L881,医院2县区2人!$A$2:$A$1048576,0))</f>
        <v>#N/A</v>
      </c>
      <c r="N881" s="6" t="e">
        <f>INDEX(医院2县区2人!$C$2:$C$1048576,MATCH(L881,医院2县区2人!$A$2:$A$1048576,0))</f>
        <v>#N/A</v>
      </c>
      <c r="P881" s="7">
        <v>43255</v>
      </c>
      <c r="Q881" s="6">
        <v>10</v>
      </c>
      <c r="R881" s="6">
        <v>110</v>
      </c>
      <c r="S881" s="6">
        <v>1709020</v>
      </c>
      <c r="T881" s="6" t="e">
        <f>INDEX(医院2县区2人!$D$2:$D$1048576,MATCH(L881,医院2县区2人!$A$2:$A$1048576,0))</f>
        <v>#N/A</v>
      </c>
      <c r="W881" s="6" t="str">
        <f t="shared" si="29"/>
        <v>复方铝酸铋片50片</v>
      </c>
      <c r="X881" s="6" t="s">
        <v>2893</v>
      </c>
    </row>
    <row r="882" spans="1:24" x14ac:dyDescent="0.15">
      <c r="A882" s="7" t="str">
        <f t="shared" si="30"/>
        <v>201806</v>
      </c>
      <c r="C882" s="6" t="str">
        <f>INDEX(工厂基础数据!$A$2:$A$1024,MATCH(X882,工厂基础数据!$D$2:$D$1024,0))</f>
        <v>02032120</v>
      </c>
      <c r="E882" s="6" t="str">
        <f>INDEX(工厂基础数据!$B$2:$B$1024,MATCH(X882,工厂基础数据!$D$2:$D$1024,0))</f>
        <v>淄博博仁医药有限公司</v>
      </c>
      <c r="F882" s="6" t="e">
        <f>INDEX(商业2转码!$B$2:$B$10000,MATCH(E882,商业2转码!$A$2:$A$10000,0))</f>
        <v>#N/A</v>
      </c>
      <c r="G882" s="6" t="str">
        <f>INDEX(品种2编码!$A$2:$A$1048576,MATCH(W882,品种2编码!$D$2:$D$1048576,0))</f>
        <v>0020020020ZYLC0003</v>
      </c>
      <c r="H882" s="6" t="s">
        <v>1855</v>
      </c>
      <c r="I882" s="6" t="s">
        <v>381</v>
      </c>
      <c r="J882" s="6" t="s">
        <v>3279</v>
      </c>
      <c r="L882" s="6" t="s">
        <v>3147</v>
      </c>
      <c r="M882" s="6" t="e">
        <f>INDEX(医院2县区2人!$B$2:$B$1048576,MATCH(L882,医院2县区2人!$A$2:$A$1048576,0))</f>
        <v>#N/A</v>
      </c>
      <c r="N882" s="6" t="e">
        <f>INDEX(医院2县区2人!$C$2:$C$1048576,MATCH(L882,医院2县区2人!$A$2:$A$1048576,0))</f>
        <v>#N/A</v>
      </c>
      <c r="P882" s="7">
        <v>43255</v>
      </c>
      <c r="Q882" s="6">
        <v>10</v>
      </c>
      <c r="R882" s="6">
        <v>55</v>
      </c>
      <c r="S882" s="6">
        <v>170706</v>
      </c>
      <c r="T882" s="6" t="e">
        <f>INDEX(医院2县区2人!$D$2:$D$1048576,MATCH(L882,医院2县区2人!$A$2:$A$1048576,0))</f>
        <v>#N/A</v>
      </c>
      <c r="W882" s="6" t="str">
        <f t="shared" si="29"/>
        <v>颠茄磺苄啶片12片</v>
      </c>
      <c r="X882" s="6" t="s">
        <v>2893</v>
      </c>
    </row>
    <row r="883" spans="1:24" x14ac:dyDescent="0.15">
      <c r="A883" s="7" t="str">
        <f t="shared" si="30"/>
        <v>201806</v>
      </c>
      <c r="C883" s="6" t="str">
        <f>INDEX(工厂基础数据!$A$2:$A$1024,MATCH(X883,工厂基础数据!$D$2:$D$1024,0))</f>
        <v>02032120</v>
      </c>
      <c r="E883" s="6" t="str">
        <f>INDEX(工厂基础数据!$B$2:$B$1024,MATCH(X883,工厂基础数据!$D$2:$D$1024,0))</f>
        <v>淄博博仁医药有限公司</v>
      </c>
      <c r="F883" s="6" t="e">
        <f>INDEX(商业2转码!$B$2:$B$10000,MATCH(E883,商业2转码!$A$2:$A$10000,0))</f>
        <v>#N/A</v>
      </c>
      <c r="G883" s="6">
        <f>INDEX(品种2编码!$A$2:$A$1048576,MATCH(W883,品种2编码!$D$2:$D$1048576,0))</f>
        <v>0</v>
      </c>
      <c r="H883" s="6" t="s">
        <v>317</v>
      </c>
      <c r="I883" s="6" t="s">
        <v>3291</v>
      </c>
      <c r="J883" s="6" t="s">
        <v>3279</v>
      </c>
      <c r="L883" s="6" t="s">
        <v>3144</v>
      </c>
      <c r="M883" s="6" t="e">
        <f>INDEX(医院2县区2人!$B$2:$B$1048576,MATCH(L883,医院2县区2人!$A$2:$A$1048576,0))</f>
        <v>#N/A</v>
      </c>
      <c r="N883" s="6" t="e">
        <f>INDEX(医院2县区2人!$C$2:$C$1048576,MATCH(L883,医院2县区2人!$A$2:$A$1048576,0))</f>
        <v>#N/A</v>
      </c>
      <c r="P883" s="7">
        <v>43255</v>
      </c>
      <c r="Q883" s="6">
        <v>10</v>
      </c>
      <c r="R883" s="6">
        <v>125</v>
      </c>
      <c r="S883" s="6">
        <v>1712615</v>
      </c>
      <c r="T883" s="6" t="e">
        <f>INDEX(医院2县区2人!$D$2:$D$1048576,MATCH(L883,医院2县区2人!$A$2:$A$1048576,0))</f>
        <v>#N/A</v>
      </c>
      <c r="W883" s="6" t="str">
        <f t="shared" si="29"/>
        <v>布洛芬颗粒0.2g*12包</v>
      </c>
      <c r="X883" s="6" t="s">
        <v>2893</v>
      </c>
    </row>
    <row r="884" spans="1:24" x14ac:dyDescent="0.15">
      <c r="A884" s="7" t="str">
        <f t="shared" si="30"/>
        <v>201806</v>
      </c>
      <c r="C884" s="6" t="str">
        <f>INDEX(工厂基础数据!$A$2:$A$1024,MATCH(X884,工厂基础数据!$D$2:$D$1024,0))</f>
        <v>02032120</v>
      </c>
      <c r="E884" s="6" t="str">
        <f>INDEX(工厂基础数据!$B$2:$B$1024,MATCH(X884,工厂基础数据!$D$2:$D$1024,0))</f>
        <v>淄博博仁医药有限公司</v>
      </c>
      <c r="F884" s="6" t="e">
        <f>INDEX(商业2转码!$B$2:$B$10000,MATCH(E884,商业2转码!$A$2:$A$10000,0))</f>
        <v>#N/A</v>
      </c>
      <c r="G884" s="6">
        <f>INDEX(品种2编码!$A$2:$A$1048576,MATCH(W884,品种2编码!$D$2:$D$1048576,0))</f>
        <v>0</v>
      </c>
      <c r="H884" s="6" t="s">
        <v>1885</v>
      </c>
      <c r="I884" s="6" t="s">
        <v>1838</v>
      </c>
      <c r="J884" s="6" t="s">
        <v>3279</v>
      </c>
      <c r="L884" s="6" t="s">
        <v>3148</v>
      </c>
      <c r="M884" s="6" t="e">
        <f>INDEX(医院2县区2人!$B$2:$B$1048576,MATCH(L884,医院2县区2人!$A$2:$A$1048576,0))</f>
        <v>#N/A</v>
      </c>
      <c r="N884" s="6" t="e">
        <f>INDEX(医院2县区2人!$C$2:$C$1048576,MATCH(L884,医院2县区2人!$A$2:$A$1048576,0))</f>
        <v>#N/A</v>
      </c>
      <c r="P884" s="7">
        <v>43255</v>
      </c>
      <c r="Q884" s="6">
        <v>20</v>
      </c>
      <c r="R884" s="6">
        <v>480</v>
      </c>
      <c r="S884" s="6">
        <v>171124</v>
      </c>
      <c r="T884" s="6" t="e">
        <f>INDEX(医院2县区2人!$D$2:$D$1048576,MATCH(L884,医院2县区2人!$A$2:$A$1048576,0))</f>
        <v>#N/A</v>
      </c>
      <c r="W884" s="6" t="str">
        <f t="shared" si="29"/>
        <v>新盖中盖高钙片2.5g*36片</v>
      </c>
      <c r="X884" s="6" t="s">
        <v>2893</v>
      </c>
    </row>
    <row r="885" spans="1:24" x14ac:dyDescent="0.15">
      <c r="A885" s="7" t="str">
        <f t="shared" si="30"/>
        <v>201806</v>
      </c>
      <c r="C885" s="6" t="str">
        <f>INDEX(工厂基础数据!$A$2:$A$1024,MATCH(X885,工厂基础数据!$D$2:$D$1024,0))</f>
        <v>02032120</v>
      </c>
      <c r="E885" s="6" t="str">
        <f>INDEX(工厂基础数据!$B$2:$B$1024,MATCH(X885,工厂基础数据!$D$2:$D$1024,0))</f>
        <v>淄博博仁医药有限公司</v>
      </c>
      <c r="F885" s="6" t="e">
        <f>INDEX(商业2转码!$B$2:$B$10000,MATCH(E885,商业2转码!$A$2:$A$10000,0))</f>
        <v>#N/A</v>
      </c>
      <c r="G885" s="6" t="str">
        <f>INDEX(品种2编码!$A$2:$A$1048576,MATCH(W885,品种2编码!$D$2:$D$1048576,0))</f>
        <v>0020020030SJMS0025</v>
      </c>
      <c r="H885" s="6" t="s">
        <v>586</v>
      </c>
      <c r="I885" s="6" t="s">
        <v>1937</v>
      </c>
      <c r="J885" s="6" t="s">
        <v>3282</v>
      </c>
      <c r="L885" s="6" t="s">
        <v>3144</v>
      </c>
      <c r="M885" s="6" t="e">
        <f>INDEX(医院2县区2人!$B$2:$B$1048576,MATCH(L885,医院2县区2人!$A$2:$A$1048576,0))</f>
        <v>#N/A</v>
      </c>
      <c r="N885" s="6" t="e">
        <f>INDEX(医院2县区2人!$C$2:$C$1048576,MATCH(L885,医院2县区2人!$A$2:$A$1048576,0))</f>
        <v>#N/A</v>
      </c>
      <c r="P885" s="7">
        <v>43255</v>
      </c>
      <c r="Q885" s="6">
        <v>20</v>
      </c>
      <c r="R885" s="6">
        <v>110</v>
      </c>
      <c r="S885" s="6">
        <v>1709011</v>
      </c>
      <c r="T885" s="6" t="e">
        <f>INDEX(医院2县区2人!$D$2:$D$1048576,MATCH(L885,医院2县区2人!$A$2:$A$1048576,0))</f>
        <v>#N/A</v>
      </c>
      <c r="W885" s="6" t="str">
        <f t="shared" si="29"/>
        <v>人工牛黄甲硝唑胶囊30粒</v>
      </c>
      <c r="X885" s="6" t="s">
        <v>2893</v>
      </c>
    </row>
    <row r="886" spans="1:24" x14ac:dyDescent="0.15">
      <c r="A886" s="7" t="str">
        <f t="shared" si="30"/>
        <v>201806</v>
      </c>
      <c r="C886" s="6" t="str">
        <f>INDEX(工厂基础数据!$A$2:$A$1024,MATCH(X886,工厂基础数据!$D$2:$D$1024,0))</f>
        <v>02032120</v>
      </c>
      <c r="E886" s="6" t="str">
        <f>INDEX(工厂基础数据!$B$2:$B$1024,MATCH(X886,工厂基础数据!$D$2:$D$1024,0))</f>
        <v>淄博博仁医药有限公司</v>
      </c>
      <c r="F886" s="6" t="e">
        <f>INDEX(商业2转码!$B$2:$B$10000,MATCH(E886,商业2转码!$A$2:$A$10000,0))</f>
        <v>#N/A</v>
      </c>
      <c r="G886" s="6" t="str">
        <f>INDEX(品种2编码!$A$2:$A$1048576,MATCH(W886,品种2编码!$D$2:$D$1048576,0))</f>
        <v>0020020020ZYZC0359</v>
      </c>
      <c r="H886" s="6" t="s">
        <v>575</v>
      </c>
      <c r="I886" s="6" t="s">
        <v>1860</v>
      </c>
      <c r="J886" s="6" t="s">
        <v>3279</v>
      </c>
      <c r="L886" s="6" t="s">
        <v>3144</v>
      </c>
      <c r="M886" s="6" t="e">
        <f>INDEX(医院2县区2人!$B$2:$B$1048576,MATCH(L886,医院2县区2人!$A$2:$A$1048576,0))</f>
        <v>#N/A</v>
      </c>
      <c r="N886" s="6" t="e">
        <f>INDEX(医院2县区2人!$C$2:$C$1048576,MATCH(L886,医院2县区2人!$A$2:$A$1048576,0))</f>
        <v>#N/A</v>
      </c>
      <c r="P886" s="7">
        <v>43255</v>
      </c>
      <c r="Q886" s="6">
        <v>20</v>
      </c>
      <c r="R886" s="6">
        <v>120</v>
      </c>
      <c r="S886" s="6" t="s">
        <v>3273</v>
      </c>
      <c r="T886" s="6" t="e">
        <f>INDEX(医院2县区2人!$D$2:$D$1048576,MATCH(L886,医院2县区2人!$A$2:$A$1048576,0))</f>
        <v>#N/A</v>
      </c>
      <c r="W886" s="6" t="str">
        <f t="shared" si="29"/>
        <v>青霉素V钾片0.236g*24片</v>
      </c>
      <c r="X886" s="6" t="s">
        <v>2893</v>
      </c>
    </row>
    <row r="887" spans="1:24" x14ac:dyDescent="0.15">
      <c r="A887" s="7" t="str">
        <f t="shared" si="30"/>
        <v>201806</v>
      </c>
      <c r="C887" s="6" t="str">
        <f>INDEX(工厂基础数据!$A$2:$A$1024,MATCH(X887,工厂基础数据!$D$2:$D$1024,0))</f>
        <v>02032120</v>
      </c>
      <c r="E887" s="6" t="str">
        <f>INDEX(工厂基础数据!$B$2:$B$1024,MATCH(X887,工厂基础数据!$D$2:$D$1024,0))</f>
        <v>淄博博仁医药有限公司</v>
      </c>
      <c r="F887" s="6" t="e">
        <f>INDEX(商业2转码!$B$2:$B$10000,MATCH(E887,商业2转码!$A$2:$A$10000,0))</f>
        <v>#N/A</v>
      </c>
      <c r="G887" s="6" t="str">
        <f>INDEX(品种2编码!$A$2:$A$1048576,MATCH(W887,品种2编码!$D$2:$D$1048576,0))</f>
        <v>0020030001SJZY0006</v>
      </c>
      <c r="H887" s="6" t="s">
        <v>1833</v>
      </c>
      <c r="I887" s="6" t="s">
        <v>411</v>
      </c>
      <c r="J887" s="6" t="s">
        <v>3280</v>
      </c>
      <c r="L887" s="6" t="s">
        <v>3142</v>
      </c>
      <c r="M887" s="6" t="e">
        <f>INDEX(医院2县区2人!$B$2:$B$1048576,MATCH(L887,医院2县区2人!$A$2:$A$1048576,0))</f>
        <v>#N/A</v>
      </c>
      <c r="N887" s="6" t="e">
        <f>INDEX(医院2县区2人!$C$2:$C$1048576,MATCH(L887,医院2县区2人!$A$2:$A$1048576,0))</f>
        <v>#N/A</v>
      </c>
      <c r="P887" s="7">
        <v>43255</v>
      </c>
      <c r="Q887" s="6">
        <v>20</v>
      </c>
      <c r="R887" s="6">
        <v>440</v>
      </c>
      <c r="S887" s="6">
        <v>17122912</v>
      </c>
      <c r="T887" s="6" t="e">
        <f>INDEX(医院2县区2人!$D$2:$D$1048576,MATCH(L887,医院2县区2人!$A$2:$A$1048576,0))</f>
        <v>#N/A</v>
      </c>
      <c r="W887" s="6" t="str">
        <f t="shared" si="29"/>
        <v>葡萄糖酸钙口服溶液10ml*12支</v>
      </c>
      <c r="X887" s="6" t="s">
        <v>2893</v>
      </c>
    </row>
    <row r="888" spans="1:24" x14ac:dyDescent="0.15">
      <c r="A888" s="7" t="str">
        <f t="shared" si="30"/>
        <v>201806</v>
      </c>
      <c r="C888" s="6" t="str">
        <f>INDEX(工厂基础数据!$A$2:$A$1024,MATCH(X888,工厂基础数据!$D$2:$D$1024,0))</f>
        <v>02032120</v>
      </c>
      <c r="E888" s="6" t="str">
        <f>INDEX(工厂基础数据!$B$2:$B$1024,MATCH(X888,工厂基础数据!$D$2:$D$1024,0))</f>
        <v>淄博博仁医药有限公司</v>
      </c>
      <c r="F888" s="6" t="e">
        <f>INDEX(商业2转码!$B$2:$B$10000,MATCH(E888,商业2转码!$A$2:$A$10000,0))</f>
        <v>#N/A</v>
      </c>
      <c r="G888" s="6">
        <f>INDEX(品种2编码!$A$2:$A$1048576,MATCH(W888,品种2编码!$D$2:$D$1048576,0))</f>
        <v>0</v>
      </c>
      <c r="H888" s="6" t="s">
        <v>3268</v>
      </c>
      <c r="I888" s="6" t="s">
        <v>411</v>
      </c>
      <c r="J888" s="6" t="s">
        <v>3040</v>
      </c>
      <c r="L888" s="6" t="s">
        <v>3142</v>
      </c>
      <c r="M888" s="6" t="e">
        <f>INDEX(医院2县区2人!$B$2:$B$1048576,MATCH(L888,医院2县区2人!$A$2:$A$1048576,0))</f>
        <v>#N/A</v>
      </c>
      <c r="N888" s="6" t="e">
        <f>INDEX(医院2县区2人!$C$2:$C$1048576,MATCH(L888,医院2县区2人!$A$2:$A$1048576,0))</f>
        <v>#N/A</v>
      </c>
      <c r="P888" s="7">
        <v>43255</v>
      </c>
      <c r="Q888" s="6">
        <v>20</v>
      </c>
      <c r="R888" s="6">
        <v>460</v>
      </c>
      <c r="S888" s="6">
        <v>17112821</v>
      </c>
      <c r="T888" s="6" t="e">
        <f>INDEX(医院2县区2人!$D$2:$D$1048576,MATCH(L888,医院2县区2人!$A$2:$A$1048576,0))</f>
        <v>#N/A</v>
      </c>
      <c r="W888" s="6" t="str">
        <f t="shared" si="29"/>
        <v>葡糖糖酸锌口服溶液10ml*12支</v>
      </c>
      <c r="X888" s="6" t="s">
        <v>2893</v>
      </c>
    </row>
    <row r="889" spans="1:24" x14ac:dyDescent="0.15">
      <c r="A889" s="7" t="str">
        <f t="shared" si="30"/>
        <v>201806</v>
      </c>
      <c r="C889" s="6" t="str">
        <f>INDEX(工厂基础数据!$A$2:$A$1024,MATCH(X889,工厂基础数据!$D$2:$D$1024,0))</f>
        <v>02032120</v>
      </c>
      <c r="E889" s="6" t="str">
        <f>INDEX(工厂基础数据!$B$2:$B$1024,MATCH(X889,工厂基础数据!$D$2:$D$1024,0))</f>
        <v>淄博博仁医药有限公司</v>
      </c>
      <c r="F889" s="6" t="e">
        <f>INDEX(商业2转码!$B$2:$B$10000,MATCH(E889,商业2转码!$A$2:$A$10000,0))</f>
        <v>#N/A</v>
      </c>
      <c r="G889" s="6" t="str">
        <f>INDEX(品种2编码!$A$2:$A$1048576,MATCH(W889,品种2编码!$D$2:$D$1048576,0))</f>
        <v>0020050020SHYT0016</v>
      </c>
      <c r="H889" s="6" t="s">
        <v>1864</v>
      </c>
      <c r="I889" s="6" t="s">
        <v>339</v>
      </c>
      <c r="J889" s="6" t="s">
        <v>3037</v>
      </c>
      <c r="L889" s="6" t="s">
        <v>3144</v>
      </c>
      <c r="M889" s="6" t="e">
        <f>INDEX(医院2县区2人!$B$2:$B$1048576,MATCH(L889,医院2县区2人!$A$2:$A$1048576,0))</f>
        <v>#N/A</v>
      </c>
      <c r="N889" s="6" t="e">
        <f>INDEX(医院2县区2人!$C$2:$C$1048576,MATCH(L889,医院2县区2人!$A$2:$A$1048576,0))</f>
        <v>#N/A</v>
      </c>
      <c r="P889" s="7">
        <v>43255</v>
      </c>
      <c r="Q889" s="6">
        <v>20</v>
      </c>
      <c r="R889" s="6">
        <v>298</v>
      </c>
      <c r="S889" s="6">
        <v>1801503</v>
      </c>
      <c r="T889" s="6" t="e">
        <f>INDEX(医院2县区2人!$D$2:$D$1048576,MATCH(L889,医院2县区2人!$A$2:$A$1048576,0))</f>
        <v>#N/A</v>
      </c>
      <c r="W889" s="6" t="str">
        <f t="shared" si="29"/>
        <v>复方金银花颗粒10g*10袋</v>
      </c>
      <c r="X889" s="6" t="s">
        <v>2893</v>
      </c>
    </row>
    <row r="890" spans="1:24" x14ac:dyDescent="0.15">
      <c r="A890" s="7" t="str">
        <f t="shared" si="30"/>
        <v>201806</v>
      </c>
      <c r="C890" s="6" t="str">
        <f>INDEX(工厂基础数据!$A$2:$A$1024,MATCH(X890,工厂基础数据!$D$2:$D$1024,0))</f>
        <v>02032120</v>
      </c>
      <c r="E890" s="6" t="str">
        <f>INDEX(工厂基础数据!$B$2:$B$1024,MATCH(X890,工厂基础数据!$D$2:$D$1024,0))</f>
        <v>淄博博仁医药有限公司</v>
      </c>
      <c r="F890" s="6" t="e">
        <f>INDEX(商业2转码!$B$2:$B$10000,MATCH(E890,商业2转码!$A$2:$A$10000,0))</f>
        <v>#N/A</v>
      </c>
      <c r="G890" s="6">
        <f>INDEX(品种2编码!$A$2:$A$1048576,MATCH(W890,品种2编码!$D$2:$D$1048576,0))</f>
        <v>0</v>
      </c>
      <c r="H890" s="6" t="s">
        <v>380</v>
      </c>
      <c r="I890" s="6" t="s">
        <v>3292</v>
      </c>
      <c r="J890" s="6" t="s">
        <v>3279</v>
      </c>
      <c r="L890" s="6" t="s">
        <v>3144</v>
      </c>
      <c r="M890" s="6" t="e">
        <f>INDEX(医院2县区2人!$B$2:$B$1048576,MATCH(L890,医院2县区2人!$A$2:$A$1048576,0))</f>
        <v>#N/A</v>
      </c>
      <c r="N890" s="6" t="e">
        <f>INDEX(医院2县区2人!$C$2:$C$1048576,MATCH(L890,医院2县区2人!$A$2:$A$1048576,0))</f>
        <v>#N/A</v>
      </c>
      <c r="P890" s="7">
        <v>43255</v>
      </c>
      <c r="Q890" s="6">
        <v>20</v>
      </c>
      <c r="R890" s="6">
        <v>72</v>
      </c>
      <c r="S890" s="6">
        <v>1711002</v>
      </c>
      <c r="T890" s="6" t="e">
        <f>INDEX(医院2县区2人!$D$2:$D$1048576,MATCH(L890,医院2县区2人!$A$2:$A$1048576,0))</f>
        <v>#N/A</v>
      </c>
      <c r="W890" s="6" t="str">
        <f t="shared" si="29"/>
        <v>复方氨酚烷胺片12粒</v>
      </c>
      <c r="X890" s="6" t="s">
        <v>2893</v>
      </c>
    </row>
    <row r="891" spans="1:24" x14ac:dyDescent="0.15">
      <c r="A891" s="7" t="str">
        <f t="shared" si="30"/>
        <v>201806</v>
      </c>
      <c r="C891" s="6" t="str">
        <f>INDEX(工厂基础数据!$A$2:$A$1024,MATCH(X891,工厂基础数据!$D$2:$D$1024,0))</f>
        <v>02032120</v>
      </c>
      <c r="E891" s="6" t="str">
        <f>INDEX(工厂基础数据!$B$2:$B$1024,MATCH(X891,工厂基础数据!$D$2:$D$1024,0))</f>
        <v>淄博博仁医药有限公司</v>
      </c>
      <c r="F891" s="6" t="e">
        <f>INDEX(商业2转码!$B$2:$B$10000,MATCH(E891,商业2转码!$A$2:$A$10000,0))</f>
        <v>#N/A</v>
      </c>
      <c r="G891" s="6">
        <f>INDEX(品种2编码!$A$2:$A$1048576,MATCH(W891,品种2编码!$D$2:$D$1048576,0))</f>
        <v>0</v>
      </c>
      <c r="H891" s="6" t="s">
        <v>317</v>
      </c>
      <c r="I891" s="6" t="s">
        <v>3291</v>
      </c>
      <c r="J891" s="6" t="s">
        <v>3279</v>
      </c>
      <c r="L891" s="6" t="s">
        <v>3144</v>
      </c>
      <c r="M891" s="6" t="e">
        <f>INDEX(医院2县区2人!$B$2:$B$1048576,MATCH(L891,医院2县区2人!$A$2:$A$1048576,0))</f>
        <v>#N/A</v>
      </c>
      <c r="N891" s="6" t="e">
        <f>INDEX(医院2县区2人!$C$2:$C$1048576,MATCH(L891,医院2县区2人!$A$2:$A$1048576,0))</f>
        <v>#N/A</v>
      </c>
      <c r="P891" s="7">
        <v>43255</v>
      </c>
      <c r="Q891" s="6">
        <v>20</v>
      </c>
      <c r="R891" s="6">
        <v>250</v>
      </c>
      <c r="S891" s="6">
        <v>1712615</v>
      </c>
      <c r="T891" s="6" t="e">
        <f>INDEX(医院2县区2人!$D$2:$D$1048576,MATCH(L891,医院2县区2人!$A$2:$A$1048576,0))</f>
        <v>#N/A</v>
      </c>
      <c r="W891" s="6" t="str">
        <f t="shared" si="29"/>
        <v>布洛芬颗粒0.2g*12包</v>
      </c>
      <c r="X891" s="6" t="s">
        <v>2893</v>
      </c>
    </row>
    <row r="892" spans="1:24" x14ac:dyDescent="0.15">
      <c r="A892" s="7" t="str">
        <f t="shared" si="30"/>
        <v>201806</v>
      </c>
      <c r="C892" s="6" t="str">
        <f>INDEX(工厂基础数据!$A$2:$A$1024,MATCH(X892,工厂基础数据!$D$2:$D$1024,0))</f>
        <v>02032120</v>
      </c>
      <c r="E892" s="6" t="str">
        <f>INDEX(工厂基础数据!$B$2:$B$1024,MATCH(X892,工厂基础数据!$D$2:$D$1024,0))</f>
        <v>淄博博仁医药有限公司</v>
      </c>
      <c r="F892" s="6" t="e">
        <f>INDEX(商业2转码!$B$2:$B$10000,MATCH(E892,商业2转码!$A$2:$A$10000,0))</f>
        <v>#N/A</v>
      </c>
      <c r="G892" s="6">
        <f>INDEX(品种2编码!$A$2:$A$1048576,MATCH(W892,品种2编码!$D$2:$D$1048576,0))</f>
        <v>0</v>
      </c>
      <c r="H892" s="6" t="s">
        <v>306</v>
      </c>
      <c r="I892" s="6" t="s">
        <v>3289</v>
      </c>
      <c r="J892" s="6" t="s">
        <v>3279</v>
      </c>
      <c r="L892" s="6" t="s">
        <v>3144</v>
      </c>
      <c r="M892" s="6" t="e">
        <f>INDEX(医院2县区2人!$B$2:$B$1048576,MATCH(L892,医院2县区2人!$A$2:$A$1048576,0))</f>
        <v>#N/A</v>
      </c>
      <c r="N892" s="6" t="e">
        <f>INDEX(医院2县区2人!$C$2:$C$1048576,MATCH(L892,医院2县区2人!$A$2:$A$1048576,0))</f>
        <v>#N/A</v>
      </c>
      <c r="P892" s="7">
        <v>43255</v>
      </c>
      <c r="Q892" s="6">
        <v>20</v>
      </c>
      <c r="R892" s="6">
        <v>180</v>
      </c>
      <c r="S892" s="6">
        <v>180117</v>
      </c>
      <c r="T892" s="6" t="e">
        <f>INDEX(医院2县区2人!$D$2:$D$1048576,MATCH(L892,医院2县区2人!$A$2:$A$1048576,0))</f>
        <v>#N/A</v>
      </c>
      <c r="W892" s="6" t="str">
        <f t="shared" si="29"/>
        <v>氨金黄敏颗粒10袋</v>
      </c>
      <c r="X892" s="6" t="s">
        <v>2893</v>
      </c>
    </row>
    <row r="893" spans="1:24" x14ac:dyDescent="0.15">
      <c r="A893" s="7" t="str">
        <f t="shared" si="30"/>
        <v>201806</v>
      </c>
      <c r="C893" s="6" t="str">
        <f>INDEX(工厂基础数据!$A$2:$A$1024,MATCH(X893,工厂基础数据!$D$2:$D$1024,0))</f>
        <v>02032120</v>
      </c>
      <c r="E893" s="6" t="str">
        <f>INDEX(工厂基础数据!$B$2:$B$1024,MATCH(X893,工厂基础数据!$D$2:$D$1024,0))</f>
        <v>淄博博仁医药有限公司</v>
      </c>
      <c r="F893" s="6" t="e">
        <f>INDEX(商业2转码!$B$2:$B$10000,MATCH(E893,商业2转码!$A$2:$A$10000,0))</f>
        <v>#N/A</v>
      </c>
      <c r="G893" s="6" t="str">
        <f>INDEX(品种2编码!$A$2:$A$1048576,MATCH(W893,品种2编码!$D$2:$D$1048576,0))</f>
        <v>0020020030ZYZC0508</v>
      </c>
      <c r="H893" s="6" t="s">
        <v>245</v>
      </c>
      <c r="I893" s="6" t="s">
        <v>246</v>
      </c>
      <c r="J893" s="6" t="s">
        <v>3279</v>
      </c>
      <c r="L893" s="6" t="s">
        <v>3144</v>
      </c>
      <c r="M893" s="6" t="e">
        <f>INDEX(医院2县区2人!$B$2:$B$1048576,MATCH(L893,医院2县区2人!$A$2:$A$1048576,0))</f>
        <v>#N/A</v>
      </c>
      <c r="N893" s="6" t="e">
        <f>INDEX(医院2县区2人!$C$2:$C$1048576,MATCH(L893,医院2县区2人!$A$2:$A$1048576,0))</f>
        <v>#N/A</v>
      </c>
      <c r="P893" s="7">
        <v>43255</v>
      </c>
      <c r="Q893" s="6">
        <v>20</v>
      </c>
      <c r="R893" s="6">
        <v>120</v>
      </c>
      <c r="S893" s="6" t="s">
        <v>3277</v>
      </c>
      <c r="T893" s="6" t="e">
        <f>INDEX(医院2县区2人!$D$2:$D$1048576,MATCH(L893,医院2县区2人!$A$2:$A$1048576,0))</f>
        <v>#N/A</v>
      </c>
      <c r="W893" s="6" t="str">
        <f t="shared" si="29"/>
        <v>阿莫西林胶囊0.25g*20粒</v>
      </c>
      <c r="X893" s="6" t="s">
        <v>2893</v>
      </c>
    </row>
    <row r="894" spans="1:24" x14ac:dyDescent="0.15">
      <c r="A894" s="7" t="str">
        <f t="shared" si="30"/>
        <v>201806</v>
      </c>
      <c r="C894" s="6" t="str">
        <f>INDEX(工厂基础数据!$A$2:$A$1024,MATCH(X894,工厂基础数据!$D$2:$D$1024,0))</f>
        <v>02032120</v>
      </c>
      <c r="E894" s="6" t="str">
        <f>INDEX(工厂基础数据!$B$2:$B$1024,MATCH(X894,工厂基础数据!$D$2:$D$1024,0))</f>
        <v>淄博博仁医药有限公司</v>
      </c>
      <c r="F894" s="6" t="e">
        <f>INDEX(商业2转码!$B$2:$B$10000,MATCH(E894,商业2转码!$A$2:$A$10000,0))</f>
        <v>#N/A</v>
      </c>
      <c r="G894" s="6" t="str">
        <f>INDEX(品种2编码!$A$2:$A$1048576,MATCH(W894,品种2编码!$D$2:$D$1048576,0))</f>
        <v>0020020030ZYZC0264</v>
      </c>
      <c r="H894" s="6" t="s">
        <v>245</v>
      </c>
      <c r="I894" s="6" t="s">
        <v>254</v>
      </c>
      <c r="J894" s="6" t="s">
        <v>3279</v>
      </c>
      <c r="L894" s="6" t="s">
        <v>3144</v>
      </c>
      <c r="M894" s="6" t="e">
        <f>INDEX(医院2县区2人!$B$2:$B$1048576,MATCH(L894,医院2县区2人!$A$2:$A$1048576,0))</f>
        <v>#N/A</v>
      </c>
      <c r="N894" s="6" t="e">
        <f>INDEX(医院2县区2人!$C$2:$C$1048576,MATCH(L894,医院2县区2人!$A$2:$A$1048576,0))</f>
        <v>#N/A</v>
      </c>
      <c r="P894" s="7">
        <v>43255</v>
      </c>
      <c r="Q894" s="6">
        <v>20</v>
      </c>
      <c r="R894" s="6">
        <v>160</v>
      </c>
      <c r="S894" s="6" t="s">
        <v>3052</v>
      </c>
      <c r="T894" s="6" t="e">
        <f>INDEX(医院2县区2人!$D$2:$D$1048576,MATCH(L894,医院2县区2人!$A$2:$A$1048576,0))</f>
        <v>#N/A</v>
      </c>
      <c r="W894" s="6" t="str">
        <f t="shared" si="29"/>
        <v>阿莫西林胶囊0.5g*20粒</v>
      </c>
      <c r="X894" s="6" t="s">
        <v>2893</v>
      </c>
    </row>
    <row r="895" spans="1:24" x14ac:dyDescent="0.15">
      <c r="A895" s="7" t="str">
        <f t="shared" si="30"/>
        <v>201806</v>
      </c>
      <c r="C895" s="6" t="str">
        <f>INDEX(工厂基础数据!$A$2:$A$1024,MATCH(X895,工厂基础数据!$D$2:$D$1024,0))</f>
        <v>02032120</v>
      </c>
      <c r="E895" s="6" t="str">
        <f>INDEX(工厂基础数据!$B$2:$B$1024,MATCH(X895,工厂基础数据!$D$2:$D$1024,0))</f>
        <v>淄博博仁医药有限公司</v>
      </c>
      <c r="F895" s="6" t="e">
        <f>INDEX(商业2转码!$B$2:$B$10000,MATCH(E895,商业2转码!$A$2:$A$10000,0))</f>
        <v>#N/A</v>
      </c>
      <c r="G895" s="6" t="str">
        <f>INDEX(品种2编码!$A$2:$A$1048576,MATCH(W895,品种2编码!$D$2:$D$1048576,0))</f>
        <v>0020020013ZYZC0491</v>
      </c>
      <c r="H895" s="6" t="s">
        <v>3266</v>
      </c>
      <c r="I895" s="6" t="s">
        <v>914</v>
      </c>
      <c r="J895" s="6" t="s">
        <v>3279</v>
      </c>
      <c r="L895" s="6" t="s">
        <v>3139</v>
      </c>
      <c r="M895" s="6" t="e">
        <f>INDEX(医院2县区2人!$B$2:$B$1048576,MATCH(L895,医院2县区2人!$A$2:$A$1048576,0))</f>
        <v>#N/A</v>
      </c>
      <c r="N895" s="6" t="e">
        <f>INDEX(医院2县区2人!$C$2:$C$1048576,MATCH(L895,医院2县区2人!$A$2:$A$1048576,0))</f>
        <v>#N/A</v>
      </c>
      <c r="P895" s="7">
        <v>43255</v>
      </c>
      <c r="Q895" s="6">
        <v>20</v>
      </c>
      <c r="R895" s="6">
        <v>78</v>
      </c>
      <c r="S895" s="6" t="s">
        <v>3272</v>
      </c>
      <c r="T895" s="6" t="e">
        <f>INDEX(医院2县区2人!$D$2:$D$1048576,MATCH(L895,医院2县区2人!$A$2:$A$1048576,0))</f>
        <v>#N/A</v>
      </c>
      <c r="W895" s="6" t="str">
        <f t="shared" si="29"/>
        <v>*注射用乳糖酸阿奇霉素0.25g</v>
      </c>
      <c r="X895" s="6" t="s">
        <v>2893</v>
      </c>
    </row>
    <row r="896" spans="1:24" x14ac:dyDescent="0.15">
      <c r="A896" s="7" t="str">
        <f t="shared" si="30"/>
        <v>201806</v>
      </c>
      <c r="C896" s="6" t="str">
        <f>INDEX(工厂基础数据!$A$2:$A$1024,MATCH(X896,工厂基础数据!$D$2:$D$1024,0))</f>
        <v>02032120</v>
      </c>
      <c r="E896" s="6" t="str">
        <f>INDEX(工厂基础数据!$B$2:$B$1024,MATCH(X896,工厂基础数据!$D$2:$D$1024,0))</f>
        <v>淄博博仁医药有限公司</v>
      </c>
      <c r="F896" s="6" t="e">
        <f>INDEX(商业2转码!$B$2:$B$10000,MATCH(E896,商业2转码!$A$2:$A$10000,0))</f>
        <v>#N/A</v>
      </c>
      <c r="G896" s="6" t="str">
        <f>INDEX(品种2编码!$A$2:$A$1048576,MATCH(W896,品种2编码!$D$2:$D$1048576,0))</f>
        <v>0020050090SJZY0001</v>
      </c>
      <c r="H896" s="6" t="s">
        <v>630</v>
      </c>
      <c r="I896" s="6" t="s">
        <v>1850</v>
      </c>
      <c r="J896" s="6" t="s">
        <v>3285</v>
      </c>
      <c r="L896" s="6" t="s">
        <v>3113</v>
      </c>
      <c r="M896" s="6" t="e">
        <f>INDEX(医院2县区2人!$B$2:$B$1048576,MATCH(L896,医院2县区2人!$A$2:$A$1048576,0))</f>
        <v>#N/A</v>
      </c>
      <c r="N896" s="6" t="e">
        <f>INDEX(医院2县区2人!$C$2:$C$1048576,MATCH(L896,医院2县区2人!$A$2:$A$1048576,0))</f>
        <v>#N/A</v>
      </c>
      <c r="P896" s="7">
        <v>43255</v>
      </c>
      <c r="Q896" s="6">
        <v>30</v>
      </c>
      <c r="R896" s="6">
        <v>495</v>
      </c>
      <c r="S896" s="6">
        <v>17122813</v>
      </c>
      <c r="T896" s="6" t="e">
        <f>INDEX(医院2县区2人!$D$2:$D$1048576,MATCH(L896,医院2县区2人!$A$2:$A$1048576,0))</f>
        <v>#N/A</v>
      </c>
      <c r="W896" s="6" t="str">
        <f t="shared" si="29"/>
        <v>双黄连口服液10ml*10支</v>
      </c>
      <c r="X896" s="6" t="s">
        <v>2893</v>
      </c>
    </row>
    <row r="897" spans="1:24" x14ac:dyDescent="0.15">
      <c r="A897" s="7" t="str">
        <f t="shared" si="30"/>
        <v>201806</v>
      </c>
      <c r="C897" s="6" t="str">
        <f>INDEX(工厂基础数据!$A$2:$A$1024,MATCH(X897,工厂基础数据!$D$2:$D$1024,0))</f>
        <v>02032120</v>
      </c>
      <c r="E897" s="6" t="str">
        <f>INDEX(工厂基础数据!$B$2:$B$1024,MATCH(X897,工厂基础数据!$D$2:$D$1024,0))</f>
        <v>淄博博仁医药有限公司</v>
      </c>
      <c r="F897" s="6" t="e">
        <f>INDEX(商业2转码!$B$2:$B$10000,MATCH(E897,商业2转码!$A$2:$A$10000,0))</f>
        <v>#N/A</v>
      </c>
      <c r="G897" s="6" t="str">
        <f>INDEX(品种2编码!$A$2:$A$1048576,MATCH(W897,品种2编码!$D$2:$D$1048576,0))</f>
        <v>0020030001SJZY0006</v>
      </c>
      <c r="H897" s="6" t="s">
        <v>1833</v>
      </c>
      <c r="I897" s="6" t="s">
        <v>411</v>
      </c>
      <c r="J897" s="6" t="s">
        <v>3280</v>
      </c>
      <c r="L897" s="6" t="s">
        <v>3113</v>
      </c>
      <c r="M897" s="6" t="e">
        <f>INDEX(医院2县区2人!$B$2:$B$1048576,MATCH(L897,医院2县区2人!$A$2:$A$1048576,0))</f>
        <v>#N/A</v>
      </c>
      <c r="N897" s="6" t="e">
        <f>INDEX(医院2县区2人!$C$2:$C$1048576,MATCH(L897,医院2县区2人!$A$2:$A$1048576,0))</f>
        <v>#N/A</v>
      </c>
      <c r="P897" s="7">
        <v>43255</v>
      </c>
      <c r="Q897" s="6">
        <v>30</v>
      </c>
      <c r="R897" s="6">
        <v>660</v>
      </c>
      <c r="S897" s="6">
        <v>17122912</v>
      </c>
      <c r="T897" s="6" t="e">
        <f>INDEX(医院2县区2人!$D$2:$D$1048576,MATCH(L897,医院2县区2人!$A$2:$A$1048576,0))</f>
        <v>#N/A</v>
      </c>
      <c r="W897" s="6" t="str">
        <f t="shared" si="29"/>
        <v>葡萄糖酸钙口服溶液10ml*12支</v>
      </c>
      <c r="X897" s="6" t="s">
        <v>2893</v>
      </c>
    </row>
    <row r="898" spans="1:24" x14ac:dyDescent="0.15">
      <c r="A898" s="7" t="str">
        <f t="shared" si="30"/>
        <v>201806</v>
      </c>
      <c r="C898" s="6" t="str">
        <f>INDEX(工厂基础数据!$A$2:$A$1024,MATCH(X898,工厂基础数据!$D$2:$D$1024,0))</f>
        <v>02032120</v>
      </c>
      <c r="E898" s="6" t="str">
        <f>INDEX(工厂基础数据!$B$2:$B$1024,MATCH(X898,工厂基础数据!$D$2:$D$1024,0))</f>
        <v>淄博博仁医药有限公司</v>
      </c>
      <c r="F898" s="6" t="e">
        <f>INDEX(商业2转码!$B$2:$B$10000,MATCH(E898,商业2转码!$A$2:$A$10000,0))</f>
        <v>#N/A</v>
      </c>
      <c r="G898" s="6">
        <f>INDEX(品种2编码!$A$2:$A$1048576,MATCH(W898,品种2编码!$D$2:$D$1048576,0))</f>
        <v>0</v>
      </c>
      <c r="H898" s="6" t="s">
        <v>3268</v>
      </c>
      <c r="I898" s="6" t="s">
        <v>411</v>
      </c>
      <c r="J898" s="6" t="s">
        <v>3040</v>
      </c>
      <c r="L898" s="6" t="s">
        <v>3113</v>
      </c>
      <c r="M898" s="6" t="e">
        <f>INDEX(医院2县区2人!$B$2:$B$1048576,MATCH(L898,医院2县区2人!$A$2:$A$1048576,0))</f>
        <v>#N/A</v>
      </c>
      <c r="N898" s="6" t="e">
        <f>INDEX(医院2县区2人!$C$2:$C$1048576,MATCH(L898,医院2县区2人!$A$2:$A$1048576,0))</f>
        <v>#N/A</v>
      </c>
      <c r="P898" s="7">
        <v>43255</v>
      </c>
      <c r="Q898" s="6">
        <v>30</v>
      </c>
      <c r="R898" s="6">
        <v>690</v>
      </c>
      <c r="S898" s="6">
        <v>17112821</v>
      </c>
      <c r="T898" s="6" t="e">
        <f>INDEX(医院2县区2人!$D$2:$D$1048576,MATCH(L898,医院2县区2人!$A$2:$A$1048576,0))</f>
        <v>#N/A</v>
      </c>
      <c r="W898" s="6" t="str">
        <f t="shared" si="29"/>
        <v>葡糖糖酸锌口服溶液10ml*12支</v>
      </c>
      <c r="X898" s="6" t="s">
        <v>2893</v>
      </c>
    </row>
    <row r="899" spans="1:24" x14ac:dyDescent="0.15">
      <c r="A899" s="7" t="str">
        <f t="shared" si="30"/>
        <v>201806</v>
      </c>
      <c r="C899" s="6" t="str">
        <f>INDEX(工厂基础数据!$A$2:$A$1024,MATCH(X899,工厂基础数据!$D$2:$D$1024,0))</f>
        <v>02032120</v>
      </c>
      <c r="E899" s="6" t="str">
        <f>INDEX(工厂基础数据!$B$2:$B$1024,MATCH(X899,工厂基础数据!$D$2:$D$1024,0))</f>
        <v>淄博博仁医药有限公司</v>
      </c>
      <c r="F899" s="6" t="e">
        <f>INDEX(商业2转码!$B$2:$B$10000,MATCH(E899,商业2转码!$A$2:$A$10000,0))</f>
        <v>#N/A</v>
      </c>
      <c r="G899" s="6" t="str">
        <f>INDEX(品种2编码!$A$2:$A$1048576,MATCH(W899,品种2编码!$D$2:$D$1048576,0))</f>
        <v>0020020030ZYZC0264</v>
      </c>
      <c r="H899" s="6" t="s">
        <v>245</v>
      </c>
      <c r="I899" s="6" t="s">
        <v>254</v>
      </c>
      <c r="J899" s="6" t="s">
        <v>3279</v>
      </c>
      <c r="L899" s="6" t="s">
        <v>3123</v>
      </c>
      <c r="M899" s="6" t="e">
        <f>INDEX(医院2县区2人!$B$2:$B$1048576,MATCH(L899,医院2县区2人!$A$2:$A$1048576,0))</f>
        <v>#N/A</v>
      </c>
      <c r="N899" s="6" t="e">
        <f>INDEX(医院2县区2人!$C$2:$C$1048576,MATCH(L899,医院2县区2人!$A$2:$A$1048576,0))</f>
        <v>#N/A</v>
      </c>
      <c r="P899" s="7">
        <v>43255</v>
      </c>
      <c r="Q899" s="6">
        <v>30</v>
      </c>
      <c r="R899" s="6">
        <v>171</v>
      </c>
      <c r="S899" s="6" t="s">
        <v>3052</v>
      </c>
      <c r="T899" s="6" t="e">
        <f>INDEX(医院2县区2人!$D$2:$D$1048576,MATCH(L899,医院2县区2人!$A$2:$A$1048576,0))</f>
        <v>#N/A</v>
      </c>
      <c r="W899" s="6" t="str">
        <f t="shared" ref="W899:W962" si="31">H899&amp;I899</f>
        <v>阿莫西林胶囊0.5g*20粒</v>
      </c>
      <c r="X899" s="6" t="s">
        <v>2893</v>
      </c>
    </row>
    <row r="900" spans="1:24" x14ac:dyDescent="0.15">
      <c r="A900" s="7" t="str">
        <f t="shared" ref="A900:A963" si="32">IF(MONTH(P900)&lt;10,YEAR(P900)&amp;"0"&amp;MONTH(P900),YEAR(P900)&amp;MONTH(P900))</f>
        <v>201806</v>
      </c>
      <c r="C900" s="6" t="str">
        <f>INDEX(工厂基础数据!$A$2:$A$1024,MATCH(X900,工厂基础数据!$D$2:$D$1024,0))</f>
        <v>02032120</v>
      </c>
      <c r="E900" s="6" t="str">
        <f>INDEX(工厂基础数据!$B$2:$B$1024,MATCH(X900,工厂基础数据!$D$2:$D$1024,0))</f>
        <v>淄博博仁医药有限公司</v>
      </c>
      <c r="F900" s="6" t="e">
        <f>INDEX(商业2转码!$B$2:$B$10000,MATCH(E900,商业2转码!$A$2:$A$10000,0))</f>
        <v>#N/A</v>
      </c>
      <c r="G900" s="6">
        <f>INDEX(品种2编码!$A$2:$A$1048576,MATCH(W900,品种2编码!$D$2:$D$1048576,0))</f>
        <v>0</v>
      </c>
      <c r="H900" s="6" t="s">
        <v>1885</v>
      </c>
      <c r="I900" s="6" t="s">
        <v>1838</v>
      </c>
      <c r="J900" s="6" t="s">
        <v>3279</v>
      </c>
      <c r="L900" s="6" t="s">
        <v>3149</v>
      </c>
      <c r="M900" s="6" t="e">
        <f>INDEX(医院2县区2人!$B$2:$B$1048576,MATCH(L900,医院2县区2人!$A$2:$A$1048576,0))</f>
        <v>#N/A</v>
      </c>
      <c r="N900" s="6" t="e">
        <f>INDEX(医院2县区2人!$C$2:$C$1048576,MATCH(L900,医院2县区2人!$A$2:$A$1048576,0))</f>
        <v>#N/A</v>
      </c>
      <c r="P900" s="7">
        <v>43256</v>
      </c>
      <c r="Q900" s="6">
        <v>2</v>
      </c>
      <c r="R900" s="6">
        <v>48</v>
      </c>
      <c r="S900" s="6">
        <v>171251</v>
      </c>
      <c r="T900" s="6" t="e">
        <f>INDEX(医院2县区2人!$D$2:$D$1048576,MATCH(L900,医院2县区2人!$A$2:$A$1048576,0))</f>
        <v>#N/A</v>
      </c>
      <c r="W900" s="6" t="str">
        <f t="shared" si="31"/>
        <v>新盖中盖高钙片2.5g*36片</v>
      </c>
      <c r="X900" s="6" t="s">
        <v>2893</v>
      </c>
    </row>
    <row r="901" spans="1:24" x14ac:dyDescent="0.15">
      <c r="A901" s="7" t="str">
        <f t="shared" si="32"/>
        <v>201806</v>
      </c>
      <c r="C901" s="6" t="str">
        <f>INDEX(工厂基础数据!$A$2:$A$1024,MATCH(X901,工厂基础数据!$D$2:$D$1024,0))</f>
        <v>02032120</v>
      </c>
      <c r="E901" s="6" t="str">
        <f>INDEX(工厂基础数据!$B$2:$B$1024,MATCH(X901,工厂基础数据!$D$2:$D$1024,0))</f>
        <v>淄博博仁医药有限公司</v>
      </c>
      <c r="F901" s="6" t="e">
        <f>INDEX(商业2转码!$B$2:$B$10000,MATCH(E901,商业2转码!$A$2:$A$10000,0))</f>
        <v>#N/A</v>
      </c>
      <c r="G901" s="6" t="str">
        <f>INDEX(品种2编码!$A$2:$A$1048576,MATCH(W901,品种2编码!$D$2:$D$1048576,0))</f>
        <v>0020030001SJZY0006</v>
      </c>
      <c r="H901" s="6" t="s">
        <v>1833</v>
      </c>
      <c r="I901" s="6" t="s">
        <v>411</v>
      </c>
      <c r="J901" s="6" t="s">
        <v>3280</v>
      </c>
      <c r="L901" s="6" t="s">
        <v>3150</v>
      </c>
      <c r="M901" s="6" t="e">
        <f>INDEX(医院2县区2人!$B$2:$B$1048576,MATCH(L901,医院2县区2人!$A$2:$A$1048576,0))</f>
        <v>#N/A</v>
      </c>
      <c r="N901" s="6" t="e">
        <f>INDEX(医院2县区2人!$C$2:$C$1048576,MATCH(L901,医院2县区2人!$A$2:$A$1048576,0))</f>
        <v>#N/A</v>
      </c>
      <c r="P901" s="7">
        <v>43256</v>
      </c>
      <c r="Q901" s="6">
        <v>2</v>
      </c>
      <c r="R901" s="6">
        <v>37.200000000000003</v>
      </c>
      <c r="S901" s="6">
        <v>17122912</v>
      </c>
      <c r="T901" s="6" t="e">
        <f>INDEX(医院2县区2人!$D$2:$D$1048576,MATCH(L901,医院2县区2人!$A$2:$A$1048576,0))</f>
        <v>#N/A</v>
      </c>
      <c r="W901" s="6" t="str">
        <f t="shared" si="31"/>
        <v>葡萄糖酸钙口服溶液10ml*12支</v>
      </c>
      <c r="X901" s="6" t="s">
        <v>2893</v>
      </c>
    </row>
    <row r="902" spans="1:24" x14ac:dyDescent="0.15">
      <c r="A902" s="7" t="str">
        <f t="shared" si="32"/>
        <v>201806</v>
      </c>
      <c r="C902" s="6" t="str">
        <f>INDEX(工厂基础数据!$A$2:$A$1024,MATCH(X902,工厂基础数据!$D$2:$D$1024,0))</f>
        <v>02032120</v>
      </c>
      <c r="E902" s="6" t="str">
        <f>INDEX(工厂基础数据!$B$2:$B$1024,MATCH(X902,工厂基础数据!$D$2:$D$1024,0))</f>
        <v>淄博博仁医药有限公司</v>
      </c>
      <c r="F902" s="6" t="e">
        <f>INDEX(商业2转码!$B$2:$B$10000,MATCH(E902,商业2转码!$A$2:$A$10000,0))</f>
        <v>#N/A</v>
      </c>
      <c r="G902" s="6">
        <f>INDEX(品种2编码!$A$2:$A$1048576,MATCH(W902,品种2编码!$D$2:$D$1048576,0))</f>
        <v>0</v>
      </c>
      <c r="H902" s="6" t="s">
        <v>1987</v>
      </c>
      <c r="I902" s="6" t="s">
        <v>411</v>
      </c>
      <c r="J902" s="6" t="s">
        <v>3279</v>
      </c>
      <c r="L902" s="6" t="s">
        <v>3151</v>
      </c>
      <c r="M902" s="6" t="e">
        <f>INDEX(医院2县区2人!$B$2:$B$1048576,MATCH(L902,医院2县区2人!$A$2:$A$1048576,0))</f>
        <v>#N/A</v>
      </c>
      <c r="N902" s="6" t="e">
        <f>INDEX(医院2县区2人!$C$2:$C$1048576,MATCH(L902,医院2县区2人!$A$2:$A$1048576,0))</f>
        <v>#N/A</v>
      </c>
      <c r="P902" s="7">
        <v>43256</v>
      </c>
      <c r="Q902" s="6">
        <v>3</v>
      </c>
      <c r="R902" s="6">
        <v>48</v>
      </c>
      <c r="S902" s="6">
        <v>170622</v>
      </c>
      <c r="T902" s="6" t="e">
        <f>INDEX(医院2县区2人!$D$2:$D$1048576,MATCH(L902,医院2县区2人!$A$2:$A$1048576,0))</f>
        <v>#N/A</v>
      </c>
      <c r="W902" s="6" t="str">
        <f t="shared" si="31"/>
        <v>乳酸亚铁口服液（朴雪）10ml*12支</v>
      </c>
      <c r="X902" s="6" t="s">
        <v>2893</v>
      </c>
    </row>
    <row r="903" spans="1:24" x14ac:dyDescent="0.15">
      <c r="A903" s="7" t="str">
        <f t="shared" si="32"/>
        <v>201806</v>
      </c>
      <c r="C903" s="6" t="str">
        <f>INDEX(工厂基础数据!$A$2:$A$1024,MATCH(X903,工厂基础数据!$D$2:$D$1024,0))</f>
        <v>02032120</v>
      </c>
      <c r="E903" s="6" t="str">
        <f>INDEX(工厂基础数据!$B$2:$B$1024,MATCH(X903,工厂基础数据!$D$2:$D$1024,0))</f>
        <v>淄博博仁医药有限公司</v>
      </c>
      <c r="F903" s="6" t="e">
        <f>INDEX(商业2转码!$B$2:$B$10000,MATCH(E903,商业2转码!$A$2:$A$10000,0))</f>
        <v>#N/A</v>
      </c>
      <c r="G903" s="6">
        <f>INDEX(品种2编码!$A$2:$A$1048576,MATCH(W903,品种2编码!$D$2:$D$1048576,0))</f>
        <v>0</v>
      </c>
      <c r="H903" s="6" t="s">
        <v>768</v>
      </c>
      <c r="I903" s="6" t="s">
        <v>3293</v>
      </c>
      <c r="J903" s="6" t="s">
        <v>3286</v>
      </c>
      <c r="L903" s="6" t="s">
        <v>3129</v>
      </c>
      <c r="M903" s="6" t="e">
        <f>INDEX(医院2县区2人!$B$2:$B$1048576,MATCH(L903,医院2县区2人!$A$2:$A$1048576,0))</f>
        <v>#N/A</v>
      </c>
      <c r="N903" s="6" t="e">
        <f>INDEX(医院2县区2人!$C$2:$C$1048576,MATCH(L903,医院2县区2人!$A$2:$A$1048576,0))</f>
        <v>#N/A</v>
      </c>
      <c r="P903" s="7">
        <v>43256</v>
      </c>
      <c r="Q903" s="6">
        <v>5</v>
      </c>
      <c r="R903" s="6">
        <v>23.5</v>
      </c>
      <c r="S903" s="6">
        <v>20170803</v>
      </c>
      <c r="T903" s="6" t="e">
        <f>INDEX(医院2县区2人!$D$2:$D$1048576,MATCH(L903,医院2县区2人!$A$2:$A$1048576,0))</f>
        <v>#N/A</v>
      </c>
      <c r="W903" s="6" t="str">
        <f t="shared" si="31"/>
        <v>医用退热贴40*110mm*2贴</v>
      </c>
      <c r="X903" s="6" t="s">
        <v>2893</v>
      </c>
    </row>
    <row r="904" spans="1:24" x14ac:dyDescent="0.15">
      <c r="A904" s="7" t="str">
        <f t="shared" si="32"/>
        <v>201806</v>
      </c>
      <c r="C904" s="6" t="str">
        <f>INDEX(工厂基础数据!$A$2:$A$1024,MATCH(X904,工厂基础数据!$D$2:$D$1024,0))</f>
        <v>02032120</v>
      </c>
      <c r="E904" s="6" t="str">
        <f>INDEX(工厂基础数据!$B$2:$B$1024,MATCH(X904,工厂基础数据!$D$2:$D$1024,0))</f>
        <v>淄博博仁医药有限公司</v>
      </c>
      <c r="F904" s="6" t="e">
        <f>INDEX(商业2转码!$B$2:$B$10000,MATCH(E904,商业2转码!$A$2:$A$10000,0))</f>
        <v>#N/A</v>
      </c>
      <c r="G904" s="6" t="str">
        <f>INDEX(品种2编码!$A$2:$A$1048576,MATCH(W904,品种2编码!$D$2:$D$1048576,0))</f>
        <v>0020020020ZYZC0473</v>
      </c>
      <c r="H904" s="6" t="s">
        <v>745</v>
      </c>
      <c r="I904" s="6" t="s">
        <v>290</v>
      </c>
      <c r="J904" s="6" t="s">
        <v>3038</v>
      </c>
      <c r="L904" s="6" t="s">
        <v>3144</v>
      </c>
      <c r="M904" s="6" t="e">
        <f>INDEX(医院2县区2人!$B$2:$B$1048576,MATCH(L904,医院2县区2人!$A$2:$A$1048576,0))</f>
        <v>#N/A</v>
      </c>
      <c r="N904" s="6" t="e">
        <f>INDEX(医院2县区2人!$C$2:$C$1048576,MATCH(L904,医院2县区2人!$A$2:$A$1048576,0))</f>
        <v>#N/A</v>
      </c>
      <c r="P904" s="7">
        <v>43256</v>
      </c>
      <c r="Q904" s="6">
        <v>5</v>
      </c>
      <c r="R904" s="6">
        <v>21.5</v>
      </c>
      <c r="S904" s="6" t="s">
        <v>3276</v>
      </c>
      <c r="T904" s="6" t="e">
        <f>INDEX(医院2县区2人!$D$2:$D$1048576,MATCH(L904,医院2县区2人!$A$2:$A$1048576,0))</f>
        <v>#N/A</v>
      </c>
      <c r="W904" s="6" t="str">
        <f t="shared" si="31"/>
        <v>盐酸环丙沙星片0.25g*12片</v>
      </c>
      <c r="X904" s="6" t="s">
        <v>2893</v>
      </c>
    </row>
    <row r="905" spans="1:24" x14ac:dyDescent="0.15">
      <c r="A905" s="7" t="str">
        <f t="shared" si="32"/>
        <v>201806</v>
      </c>
      <c r="C905" s="6" t="str">
        <f>INDEX(工厂基础数据!$A$2:$A$1024,MATCH(X905,工厂基础数据!$D$2:$D$1024,0))</f>
        <v>02032120</v>
      </c>
      <c r="E905" s="6" t="str">
        <f>INDEX(工厂基础数据!$B$2:$B$1024,MATCH(X905,工厂基础数据!$D$2:$D$1024,0))</f>
        <v>淄博博仁医药有限公司</v>
      </c>
      <c r="F905" s="6" t="e">
        <f>INDEX(商业2转码!$B$2:$B$10000,MATCH(E905,商业2转码!$A$2:$A$10000,0))</f>
        <v>#N/A</v>
      </c>
      <c r="G905" s="6">
        <f>INDEX(品种2编码!$A$2:$A$1048576,MATCH(W905,品种2编码!$D$2:$D$1048576,0))</f>
        <v>0</v>
      </c>
      <c r="H905" s="6" t="s">
        <v>2020</v>
      </c>
      <c r="I905" s="6" t="s">
        <v>3290</v>
      </c>
      <c r="J905" s="6" t="s">
        <v>3036</v>
      </c>
      <c r="L905" s="6" t="s">
        <v>3144</v>
      </c>
      <c r="M905" s="6" t="e">
        <f>INDEX(医院2县区2人!$B$2:$B$1048576,MATCH(L905,医院2县区2人!$A$2:$A$1048576,0))</f>
        <v>#N/A</v>
      </c>
      <c r="N905" s="6" t="e">
        <f>INDEX(医院2县区2人!$C$2:$C$1048576,MATCH(L905,医院2县区2人!$A$2:$A$1048576,0))</f>
        <v>#N/A</v>
      </c>
      <c r="P905" s="7">
        <v>43256</v>
      </c>
      <c r="Q905" s="6">
        <v>5</v>
      </c>
      <c r="R905" s="6">
        <v>20</v>
      </c>
      <c r="S905" s="6">
        <v>170601</v>
      </c>
      <c r="T905" s="6" t="e">
        <f>INDEX(医院2县区2人!$D$2:$D$1048576,MATCH(L905,医院2县区2人!$A$2:$A$1048576,0))</f>
        <v>#N/A</v>
      </c>
      <c r="W905" s="6" t="str">
        <f t="shared" si="31"/>
        <v>盐酸氟桂利嗪片5mg*20片</v>
      </c>
      <c r="X905" s="6" t="s">
        <v>2893</v>
      </c>
    </row>
    <row r="906" spans="1:24" x14ac:dyDescent="0.15">
      <c r="A906" s="7" t="str">
        <f t="shared" si="32"/>
        <v>201806</v>
      </c>
      <c r="C906" s="6" t="str">
        <f>INDEX(工厂基础数据!$A$2:$A$1024,MATCH(X906,工厂基础数据!$D$2:$D$1024,0))</f>
        <v>02032120</v>
      </c>
      <c r="E906" s="6" t="str">
        <f>INDEX(工厂基础数据!$B$2:$B$1024,MATCH(X906,工厂基础数据!$D$2:$D$1024,0))</f>
        <v>淄博博仁医药有限公司</v>
      </c>
      <c r="F906" s="6" t="e">
        <f>INDEX(商业2转码!$B$2:$B$10000,MATCH(E906,商业2转码!$A$2:$A$10000,0))</f>
        <v>#N/A</v>
      </c>
      <c r="G906" s="6">
        <f>INDEX(品种2编码!$A$2:$A$1048576,MATCH(W906,品种2编码!$D$2:$D$1048576,0))</f>
        <v>0</v>
      </c>
      <c r="H906" s="6" t="s">
        <v>1885</v>
      </c>
      <c r="I906" s="6" t="s">
        <v>1838</v>
      </c>
      <c r="J906" s="6" t="s">
        <v>3279</v>
      </c>
      <c r="L906" s="6" t="s">
        <v>3152</v>
      </c>
      <c r="M906" s="6" t="e">
        <f>INDEX(医院2县区2人!$B$2:$B$1048576,MATCH(L906,医院2县区2人!$A$2:$A$1048576,0))</f>
        <v>#N/A</v>
      </c>
      <c r="N906" s="6" t="e">
        <f>INDEX(医院2县区2人!$C$2:$C$1048576,MATCH(L906,医院2县区2人!$A$2:$A$1048576,0))</f>
        <v>#N/A</v>
      </c>
      <c r="P906" s="7">
        <v>43256</v>
      </c>
      <c r="Q906" s="6">
        <v>5</v>
      </c>
      <c r="R906" s="6">
        <v>120</v>
      </c>
      <c r="S906" s="6">
        <v>171251</v>
      </c>
      <c r="T906" s="6" t="e">
        <f>INDEX(医院2县区2人!$D$2:$D$1048576,MATCH(L906,医院2县区2人!$A$2:$A$1048576,0))</f>
        <v>#N/A</v>
      </c>
      <c r="W906" s="6" t="str">
        <f t="shared" si="31"/>
        <v>新盖中盖高钙片2.5g*36片</v>
      </c>
      <c r="X906" s="6" t="s">
        <v>2893</v>
      </c>
    </row>
    <row r="907" spans="1:24" x14ac:dyDescent="0.15">
      <c r="A907" s="7" t="str">
        <f t="shared" si="32"/>
        <v>201806</v>
      </c>
      <c r="C907" s="6" t="str">
        <f>INDEX(工厂基础数据!$A$2:$A$1024,MATCH(X907,工厂基础数据!$D$2:$D$1024,0))</f>
        <v>02032120</v>
      </c>
      <c r="E907" s="6" t="str">
        <f>INDEX(工厂基础数据!$B$2:$B$1024,MATCH(X907,工厂基础数据!$D$2:$D$1024,0))</f>
        <v>淄博博仁医药有限公司</v>
      </c>
      <c r="F907" s="6" t="e">
        <f>INDEX(商业2转码!$B$2:$B$10000,MATCH(E907,商业2转码!$A$2:$A$10000,0))</f>
        <v>#N/A</v>
      </c>
      <c r="G907" s="6">
        <f>INDEX(品种2编码!$A$2:$A$1048576,MATCH(W907,品种2编码!$D$2:$D$1048576,0))</f>
        <v>0</v>
      </c>
      <c r="H907" s="6" t="s">
        <v>1885</v>
      </c>
      <c r="I907" s="6" t="s">
        <v>1838</v>
      </c>
      <c r="J907" s="6" t="s">
        <v>3279</v>
      </c>
      <c r="L907" s="6" t="s">
        <v>3144</v>
      </c>
      <c r="M907" s="6" t="e">
        <f>INDEX(医院2县区2人!$B$2:$B$1048576,MATCH(L907,医院2县区2人!$A$2:$A$1048576,0))</f>
        <v>#N/A</v>
      </c>
      <c r="N907" s="6" t="e">
        <f>INDEX(医院2县区2人!$C$2:$C$1048576,MATCH(L907,医院2县区2人!$A$2:$A$1048576,0))</f>
        <v>#N/A</v>
      </c>
      <c r="P907" s="7">
        <v>43256</v>
      </c>
      <c r="Q907" s="6">
        <v>5</v>
      </c>
      <c r="R907" s="6">
        <v>120</v>
      </c>
      <c r="S907" s="6">
        <v>171251</v>
      </c>
      <c r="T907" s="6" t="e">
        <f>INDEX(医院2县区2人!$D$2:$D$1048576,MATCH(L907,医院2县区2人!$A$2:$A$1048576,0))</f>
        <v>#N/A</v>
      </c>
      <c r="W907" s="6" t="str">
        <f t="shared" si="31"/>
        <v>新盖中盖高钙片2.5g*36片</v>
      </c>
      <c r="X907" s="6" t="s">
        <v>2893</v>
      </c>
    </row>
    <row r="908" spans="1:24" x14ac:dyDescent="0.15">
      <c r="A908" s="7" t="str">
        <f t="shared" si="32"/>
        <v>201806</v>
      </c>
      <c r="C908" s="6" t="str">
        <f>INDEX(工厂基础数据!$A$2:$A$1024,MATCH(X908,工厂基础数据!$D$2:$D$1024,0))</f>
        <v>02032120</v>
      </c>
      <c r="E908" s="6" t="str">
        <f>INDEX(工厂基础数据!$B$2:$B$1024,MATCH(X908,工厂基础数据!$D$2:$D$1024,0))</f>
        <v>淄博博仁医药有限公司</v>
      </c>
      <c r="F908" s="6" t="e">
        <f>INDEX(商业2转码!$B$2:$B$10000,MATCH(E908,商业2转码!$A$2:$A$10000,0))</f>
        <v>#N/A</v>
      </c>
      <c r="G908" s="6" t="str">
        <f>INDEX(品种2编码!$A$2:$A$1048576,MATCH(W908,品种2编码!$D$2:$D$1048576,0))</f>
        <v>0020040001SHYT0026</v>
      </c>
      <c r="H908" s="6" t="s">
        <v>715</v>
      </c>
      <c r="I908" s="6" t="s">
        <v>1867</v>
      </c>
      <c r="J908" s="6" t="s">
        <v>3279</v>
      </c>
      <c r="L908" s="6" t="s">
        <v>3144</v>
      </c>
      <c r="M908" s="6" t="e">
        <f>INDEX(医院2县区2人!$B$2:$B$1048576,MATCH(L908,医院2县区2人!$A$2:$A$1048576,0))</f>
        <v>#N/A</v>
      </c>
      <c r="N908" s="6" t="e">
        <f>INDEX(医院2县区2人!$C$2:$C$1048576,MATCH(L908,医院2县区2人!$A$2:$A$1048576,0))</f>
        <v>#N/A</v>
      </c>
      <c r="P908" s="7">
        <v>43256</v>
      </c>
      <c r="Q908" s="6">
        <v>5</v>
      </c>
      <c r="R908" s="6">
        <v>29</v>
      </c>
      <c r="S908" s="6">
        <v>1801108</v>
      </c>
      <c r="T908" s="6" t="e">
        <f>INDEX(医院2县区2人!$D$2:$D$1048576,MATCH(L908,医院2县区2人!$A$2:$A$1048576,0))</f>
        <v>#N/A</v>
      </c>
      <c r="W908" s="6" t="str">
        <f t="shared" si="31"/>
        <v>小活络丸3g*10丸</v>
      </c>
      <c r="X908" s="6" t="s">
        <v>2893</v>
      </c>
    </row>
    <row r="909" spans="1:24" x14ac:dyDescent="0.15">
      <c r="A909" s="7" t="str">
        <f t="shared" si="32"/>
        <v>201806</v>
      </c>
      <c r="C909" s="6" t="str">
        <f>INDEX(工厂基础数据!$A$2:$A$1024,MATCH(X909,工厂基础数据!$D$2:$D$1024,0))</f>
        <v>02032120</v>
      </c>
      <c r="E909" s="6" t="str">
        <f>INDEX(工厂基础数据!$B$2:$B$1024,MATCH(X909,工厂基础数据!$D$2:$D$1024,0))</f>
        <v>淄博博仁医药有限公司</v>
      </c>
      <c r="F909" s="6" t="e">
        <f>INDEX(商业2转码!$B$2:$B$10000,MATCH(E909,商业2转码!$A$2:$A$10000,0))</f>
        <v>#N/A</v>
      </c>
      <c r="G909" s="6" t="str">
        <f>INDEX(品种2编码!$A$2:$A$1048576,MATCH(W909,品种2编码!$D$2:$D$1048576,0))</f>
        <v>0020040070ZYEC0005</v>
      </c>
      <c r="H909" s="6" t="s">
        <v>708</v>
      </c>
      <c r="I909" s="6" t="s">
        <v>1851</v>
      </c>
      <c r="J909" s="6" t="s">
        <v>3279</v>
      </c>
      <c r="L909" s="6" t="s">
        <v>3144</v>
      </c>
      <c r="M909" s="6" t="e">
        <f>INDEX(医院2县区2人!$B$2:$B$1048576,MATCH(L909,医院2县区2人!$A$2:$A$1048576,0))</f>
        <v>#N/A</v>
      </c>
      <c r="N909" s="6" t="e">
        <f>INDEX(医院2县区2人!$C$2:$C$1048576,MATCH(L909,医院2县区2人!$A$2:$A$1048576,0))</f>
        <v>#N/A</v>
      </c>
      <c r="P909" s="7">
        <v>43256</v>
      </c>
      <c r="Q909" s="6">
        <v>5</v>
      </c>
      <c r="R909" s="6">
        <v>60</v>
      </c>
      <c r="S909" s="6">
        <v>180301</v>
      </c>
      <c r="T909" s="6" t="e">
        <f>INDEX(医院2县区2人!$D$2:$D$1048576,MATCH(L909,医院2县区2人!$A$2:$A$1048576,0))</f>
        <v>#N/A</v>
      </c>
      <c r="W909" s="6" t="str">
        <f t="shared" si="31"/>
        <v>小儿百部止咳糖浆100ml</v>
      </c>
      <c r="X909" s="6" t="s">
        <v>2893</v>
      </c>
    </row>
    <row r="910" spans="1:24" x14ac:dyDescent="0.15">
      <c r="A910" s="7" t="str">
        <f t="shared" si="32"/>
        <v>201806</v>
      </c>
      <c r="C910" s="6" t="str">
        <f>INDEX(工厂基础数据!$A$2:$A$1024,MATCH(X910,工厂基础数据!$D$2:$D$1024,0))</f>
        <v>02032120</v>
      </c>
      <c r="E910" s="6" t="str">
        <f>INDEX(工厂基础数据!$B$2:$B$1024,MATCH(X910,工厂基础数据!$D$2:$D$1024,0))</f>
        <v>淄博博仁医药有限公司</v>
      </c>
      <c r="F910" s="6" t="e">
        <f>INDEX(商业2转码!$B$2:$B$10000,MATCH(E910,商业2转码!$A$2:$A$10000,0))</f>
        <v>#N/A</v>
      </c>
      <c r="G910" s="6" t="str">
        <f>INDEX(品种2编码!$A$2:$A$1048576,MATCH(W910,品种2编码!$D$2:$D$1048576,0))</f>
        <v>0020050090SJZY0001</v>
      </c>
      <c r="H910" s="6" t="s">
        <v>630</v>
      </c>
      <c r="I910" s="6" t="s">
        <v>1850</v>
      </c>
      <c r="J910" s="6" t="s">
        <v>3285</v>
      </c>
      <c r="L910" s="6" t="s">
        <v>3144</v>
      </c>
      <c r="M910" s="6" t="e">
        <f>INDEX(医院2县区2人!$B$2:$B$1048576,MATCH(L910,医院2县区2人!$A$2:$A$1048576,0))</f>
        <v>#N/A</v>
      </c>
      <c r="N910" s="6" t="e">
        <f>INDEX(医院2县区2人!$C$2:$C$1048576,MATCH(L910,医院2县区2人!$A$2:$A$1048576,0))</f>
        <v>#N/A</v>
      </c>
      <c r="P910" s="7">
        <v>43256</v>
      </c>
      <c r="Q910" s="6">
        <v>5</v>
      </c>
      <c r="R910" s="6">
        <v>82.5</v>
      </c>
      <c r="S910" s="6">
        <v>17122813</v>
      </c>
      <c r="T910" s="6" t="e">
        <f>INDEX(医院2县区2人!$D$2:$D$1048576,MATCH(L910,医院2县区2人!$A$2:$A$1048576,0))</f>
        <v>#N/A</v>
      </c>
      <c r="W910" s="6" t="str">
        <f t="shared" si="31"/>
        <v>双黄连口服液10ml*10支</v>
      </c>
      <c r="X910" s="6" t="s">
        <v>2893</v>
      </c>
    </row>
    <row r="911" spans="1:24" x14ac:dyDescent="0.15">
      <c r="A911" s="7" t="str">
        <f t="shared" si="32"/>
        <v>201806</v>
      </c>
      <c r="C911" s="6" t="str">
        <f>INDEX(工厂基础数据!$A$2:$A$1024,MATCH(X911,工厂基础数据!$D$2:$D$1024,0))</f>
        <v>02032120</v>
      </c>
      <c r="E911" s="6" t="str">
        <f>INDEX(工厂基础数据!$B$2:$B$1024,MATCH(X911,工厂基础数据!$D$2:$D$1024,0))</f>
        <v>淄博博仁医药有限公司</v>
      </c>
      <c r="F911" s="6" t="e">
        <f>INDEX(商业2转码!$B$2:$B$10000,MATCH(E911,商业2转码!$A$2:$A$10000,0))</f>
        <v>#N/A</v>
      </c>
      <c r="G911" s="6">
        <f>INDEX(品种2编码!$A$2:$A$1048576,MATCH(W911,品种2编码!$D$2:$D$1048576,0))</f>
        <v>0</v>
      </c>
      <c r="H911" s="6" t="s">
        <v>3269</v>
      </c>
      <c r="I911" s="6" t="s">
        <v>1839</v>
      </c>
      <c r="J911" s="6" t="s">
        <v>3279</v>
      </c>
      <c r="L911" s="6" t="s">
        <v>3153</v>
      </c>
      <c r="M911" s="6" t="e">
        <f>INDEX(医院2县区2人!$B$2:$B$1048576,MATCH(L911,医院2县区2人!$A$2:$A$1048576,0))</f>
        <v>#N/A</v>
      </c>
      <c r="N911" s="6" t="e">
        <f>INDEX(医院2县区2人!$C$2:$C$1048576,MATCH(L911,医院2县区2人!$A$2:$A$1048576,0))</f>
        <v>#N/A</v>
      </c>
      <c r="P911" s="7">
        <v>43256</v>
      </c>
      <c r="Q911" s="6">
        <v>5</v>
      </c>
      <c r="R911" s="6">
        <v>40</v>
      </c>
      <c r="S911" s="6">
        <v>180302</v>
      </c>
      <c r="T911" s="6" t="e">
        <f>INDEX(医院2县区2人!$D$2:$D$1048576,MATCH(L911,医院2县区2人!$A$2:$A$1048576,0))</f>
        <v>#N/A</v>
      </c>
      <c r="W911" s="6" t="str">
        <f t="shared" si="31"/>
        <v>乳酸菌素片(精）0.4g*36片</v>
      </c>
      <c r="X911" s="6" t="s">
        <v>2893</v>
      </c>
    </row>
    <row r="912" spans="1:24" x14ac:dyDescent="0.15">
      <c r="A912" s="7" t="str">
        <f t="shared" si="32"/>
        <v>201806</v>
      </c>
      <c r="C912" s="6" t="str">
        <f>INDEX(工厂基础数据!$A$2:$A$1024,MATCH(X912,工厂基础数据!$D$2:$D$1024,0))</f>
        <v>02032120</v>
      </c>
      <c r="E912" s="6" t="str">
        <f>INDEX(工厂基础数据!$B$2:$B$1024,MATCH(X912,工厂基础数据!$D$2:$D$1024,0))</f>
        <v>淄博博仁医药有限公司</v>
      </c>
      <c r="F912" s="6" t="e">
        <f>INDEX(商业2转码!$B$2:$B$10000,MATCH(E912,商业2转码!$A$2:$A$10000,0))</f>
        <v>#N/A</v>
      </c>
      <c r="G912" s="6" t="str">
        <f>INDEX(品种2编码!$A$2:$A$1048576,MATCH(W912,品种2编码!$D$2:$D$1048576,0))</f>
        <v>0020030001SJZY0006</v>
      </c>
      <c r="H912" s="6" t="s">
        <v>1833</v>
      </c>
      <c r="I912" s="6" t="s">
        <v>411</v>
      </c>
      <c r="J912" s="6" t="s">
        <v>3280</v>
      </c>
      <c r="L912" s="6" t="s">
        <v>3154</v>
      </c>
      <c r="M912" s="6" t="e">
        <f>INDEX(医院2县区2人!$B$2:$B$1048576,MATCH(L912,医院2县区2人!$A$2:$A$1048576,0))</f>
        <v>#N/A</v>
      </c>
      <c r="N912" s="6" t="e">
        <f>INDEX(医院2县区2人!$C$2:$C$1048576,MATCH(L912,医院2县区2人!$A$2:$A$1048576,0))</f>
        <v>#N/A</v>
      </c>
      <c r="P912" s="7">
        <v>43256</v>
      </c>
      <c r="Q912" s="6">
        <v>5</v>
      </c>
      <c r="R912" s="6">
        <v>110</v>
      </c>
      <c r="S912" s="6">
        <v>17122912</v>
      </c>
      <c r="T912" s="6" t="e">
        <f>INDEX(医院2县区2人!$D$2:$D$1048576,MATCH(L912,医院2县区2人!$A$2:$A$1048576,0))</f>
        <v>#N/A</v>
      </c>
      <c r="W912" s="6" t="str">
        <f t="shared" si="31"/>
        <v>葡萄糖酸钙口服溶液10ml*12支</v>
      </c>
      <c r="X912" s="6" t="s">
        <v>2893</v>
      </c>
    </row>
    <row r="913" spans="1:24" x14ac:dyDescent="0.15">
      <c r="A913" s="7" t="str">
        <f t="shared" si="32"/>
        <v>201806</v>
      </c>
      <c r="C913" s="6" t="str">
        <f>INDEX(工厂基础数据!$A$2:$A$1024,MATCH(X913,工厂基础数据!$D$2:$D$1024,0))</f>
        <v>02032120</v>
      </c>
      <c r="E913" s="6" t="str">
        <f>INDEX(工厂基础数据!$B$2:$B$1024,MATCH(X913,工厂基础数据!$D$2:$D$1024,0))</f>
        <v>淄博博仁医药有限公司</v>
      </c>
      <c r="F913" s="6" t="e">
        <f>INDEX(商业2转码!$B$2:$B$10000,MATCH(E913,商业2转码!$A$2:$A$10000,0))</f>
        <v>#N/A</v>
      </c>
      <c r="G913" s="6" t="str">
        <f>INDEX(品种2编码!$A$2:$A$1048576,MATCH(W913,品种2编码!$D$2:$D$1048576,0))</f>
        <v>0020030001SJZY0006</v>
      </c>
      <c r="H913" s="6" t="s">
        <v>1833</v>
      </c>
      <c r="I913" s="6" t="s">
        <v>411</v>
      </c>
      <c r="J913" s="6" t="s">
        <v>3280</v>
      </c>
      <c r="L913" s="6" t="s">
        <v>3155</v>
      </c>
      <c r="M913" s="6" t="e">
        <f>INDEX(医院2县区2人!$B$2:$B$1048576,MATCH(L913,医院2县区2人!$A$2:$A$1048576,0))</f>
        <v>#N/A</v>
      </c>
      <c r="N913" s="6" t="e">
        <f>INDEX(医院2县区2人!$C$2:$C$1048576,MATCH(L913,医院2县区2人!$A$2:$A$1048576,0))</f>
        <v>#N/A</v>
      </c>
      <c r="P913" s="7">
        <v>43256</v>
      </c>
      <c r="Q913" s="6">
        <v>5</v>
      </c>
      <c r="R913" s="6">
        <v>110</v>
      </c>
      <c r="S913" s="6">
        <v>17122912</v>
      </c>
      <c r="T913" s="6" t="e">
        <f>INDEX(医院2县区2人!$D$2:$D$1048576,MATCH(L913,医院2县区2人!$A$2:$A$1048576,0))</f>
        <v>#N/A</v>
      </c>
      <c r="W913" s="6" t="str">
        <f t="shared" si="31"/>
        <v>葡萄糖酸钙口服溶液10ml*12支</v>
      </c>
      <c r="X913" s="6" t="s">
        <v>2893</v>
      </c>
    </row>
    <row r="914" spans="1:24" x14ac:dyDescent="0.15">
      <c r="A914" s="7" t="str">
        <f t="shared" si="32"/>
        <v>201806</v>
      </c>
      <c r="C914" s="6" t="str">
        <f>INDEX(工厂基础数据!$A$2:$A$1024,MATCH(X914,工厂基础数据!$D$2:$D$1024,0))</f>
        <v>02032120</v>
      </c>
      <c r="E914" s="6" t="str">
        <f>INDEX(工厂基础数据!$B$2:$B$1024,MATCH(X914,工厂基础数据!$D$2:$D$1024,0))</f>
        <v>淄博博仁医药有限公司</v>
      </c>
      <c r="F914" s="6" t="e">
        <f>INDEX(商业2转码!$B$2:$B$10000,MATCH(E914,商业2转码!$A$2:$A$10000,0))</f>
        <v>#N/A</v>
      </c>
      <c r="G914" s="6">
        <f>INDEX(品种2编码!$A$2:$A$1048576,MATCH(W914,品种2编码!$D$2:$D$1048576,0))</f>
        <v>0</v>
      </c>
      <c r="H914" s="6" t="s">
        <v>3268</v>
      </c>
      <c r="I914" s="6" t="s">
        <v>411</v>
      </c>
      <c r="J914" s="6" t="s">
        <v>3040</v>
      </c>
      <c r="L914" s="6" t="s">
        <v>3139</v>
      </c>
      <c r="M914" s="6" t="e">
        <f>INDEX(医院2县区2人!$B$2:$B$1048576,MATCH(L914,医院2县区2人!$A$2:$A$1048576,0))</f>
        <v>#N/A</v>
      </c>
      <c r="N914" s="6" t="e">
        <f>INDEX(医院2县区2人!$C$2:$C$1048576,MATCH(L914,医院2县区2人!$A$2:$A$1048576,0))</f>
        <v>#N/A</v>
      </c>
      <c r="P914" s="7">
        <v>43256</v>
      </c>
      <c r="Q914" s="6">
        <v>5</v>
      </c>
      <c r="R914" s="6">
        <v>115</v>
      </c>
      <c r="S914" s="6">
        <v>17112821</v>
      </c>
      <c r="T914" s="6" t="e">
        <f>INDEX(医院2县区2人!$D$2:$D$1048576,MATCH(L914,医院2县区2人!$A$2:$A$1048576,0))</f>
        <v>#N/A</v>
      </c>
      <c r="W914" s="6" t="str">
        <f t="shared" si="31"/>
        <v>葡糖糖酸锌口服溶液10ml*12支</v>
      </c>
      <c r="X914" s="6" t="s">
        <v>2893</v>
      </c>
    </row>
    <row r="915" spans="1:24" x14ac:dyDescent="0.15">
      <c r="A915" s="7" t="str">
        <f t="shared" si="32"/>
        <v>201806</v>
      </c>
      <c r="C915" s="6" t="str">
        <f>INDEX(工厂基础数据!$A$2:$A$1024,MATCH(X915,工厂基础数据!$D$2:$D$1024,0))</f>
        <v>02032120</v>
      </c>
      <c r="E915" s="6" t="str">
        <f>INDEX(工厂基础数据!$B$2:$B$1024,MATCH(X915,工厂基础数据!$D$2:$D$1024,0))</f>
        <v>淄博博仁医药有限公司</v>
      </c>
      <c r="F915" s="6" t="e">
        <f>INDEX(商业2转码!$B$2:$B$10000,MATCH(E915,商业2转码!$A$2:$A$10000,0))</f>
        <v>#N/A</v>
      </c>
      <c r="G915" s="6" t="str">
        <f>INDEX(品种2编码!$A$2:$A$1048576,MATCH(W915,品种2编码!$D$2:$D$1048576,0))</f>
        <v>0020070000ZYLC0052</v>
      </c>
      <c r="H915" s="6" t="s">
        <v>402</v>
      </c>
      <c r="I915" s="6" t="s">
        <v>411</v>
      </c>
      <c r="J915" s="6" t="s">
        <v>3279</v>
      </c>
      <c r="L915" s="6" t="s">
        <v>3151</v>
      </c>
      <c r="M915" s="6" t="e">
        <f>INDEX(医院2县区2人!$B$2:$B$1048576,MATCH(L915,医院2县区2人!$A$2:$A$1048576,0))</f>
        <v>#N/A</v>
      </c>
      <c r="N915" s="6" t="e">
        <f>INDEX(医院2县区2人!$C$2:$C$1048576,MATCH(L915,医院2县区2人!$A$2:$A$1048576,0))</f>
        <v>#N/A</v>
      </c>
      <c r="P915" s="7">
        <v>43256</v>
      </c>
      <c r="Q915" s="6">
        <v>5</v>
      </c>
      <c r="R915" s="6">
        <v>85</v>
      </c>
      <c r="S915" s="6">
        <v>170801</v>
      </c>
      <c r="T915" s="6" t="e">
        <f>INDEX(医院2县区2人!$D$2:$D$1048576,MATCH(L915,医院2县区2人!$A$2:$A$1048576,0))</f>
        <v>#N/A</v>
      </c>
      <c r="W915" s="6" t="str">
        <f t="shared" si="31"/>
        <v>钙加锌口服液10ml*12支</v>
      </c>
      <c r="X915" s="6" t="s">
        <v>2893</v>
      </c>
    </row>
    <row r="916" spans="1:24" x14ac:dyDescent="0.15">
      <c r="A916" s="7" t="str">
        <f t="shared" si="32"/>
        <v>201806</v>
      </c>
      <c r="C916" s="6" t="str">
        <f>INDEX(工厂基础数据!$A$2:$A$1024,MATCH(X916,工厂基础数据!$D$2:$D$1024,0))</f>
        <v>02032120</v>
      </c>
      <c r="E916" s="6" t="str">
        <f>INDEX(工厂基础数据!$B$2:$B$1024,MATCH(X916,工厂基础数据!$D$2:$D$1024,0))</f>
        <v>淄博博仁医药有限公司</v>
      </c>
      <c r="F916" s="6" t="e">
        <f>INDEX(商业2转码!$B$2:$B$10000,MATCH(E916,商业2转码!$A$2:$A$10000,0))</f>
        <v>#N/A</v>
      </c>
      <c r="G916" s="6" t="str">
        <f>INDEX(品种2编码!$A$2:$A$1048576,MATCH(W916,品种2编码!$D$2:$D$1048576,0))</f>
        <v>0020070000ZYLC0052</v>
      </c>
      <c r="H916" s="6" t="s">
        <v>402</v>
      </c>
      <c r="I916" s="6" t="s">
        <v>411</v>
      </c>
      <c r="J916" s="6" t="s">
        <v>3279</v>
      </c>
      <c r="L916" s="6" t="s">
        <v>3155</v>
      </c>
      <c r="M916" s="6" t="e">
        <f>INDEX(医院2县区2人!$B$2:$B$1048576,MATCH(L916,医院2县区2人!$A$2:$A$1048576,0))</f>
        <v>#N/A</v>
      </c>
      <c r="N916" s="6" t="e">
        <f>INDEX(医院2县区2人!$C$2:$C$1048576,MATCH(L916,医院2县区2人!$A$2:$A$1048576,0))</f>
        <v>#N/A</v>
      </c>
      <c r="P916" s="7">
        <v>43256</v>
      </c>
      <c r="Q916" s="6">
        <v>5</v>
      </c>
      <c r="R916" s="6">
        <v>85</v>
      </c>
      <c r="S916" s="6">
        <v>170801</v>
      </c>
      <c r="T916" s="6" t="e">
        <f>INDEX(医院2县区2人!$D$2:$D$1048576,MATCH(L916,医院2县区2人!$A$2:$A$1048576,0))</f>
        <v>#N/A</v>
      </c>
      <c r="W916" s="6" t="str">
        <f t="shared" si="31"/>
        <v>钙加锌口服液10ml*12支</v>
      </c>
      <c r="X916" s="6" t="s">
        <v>2893</v>
      </c>
    </row>
    <row r="917" spans="1:24" x14ac:dyDescent="0.15">
      <c r="A917" s="7" t="str">
        <f t="shared" si="32"/>
        <v>201806</v>
      </c>
      <c r="C917" s="6" t="str">
        <f>INDEX(工厂基础数据!$A$2:$A$1024,MATCH(X917,工厂基础数据!$D$2:$D$1024,0))</f>
        <v>02032120</v>
      </c>
      <c r="E917" s="6" t="str">
        <f>INDEX(工厂基础数据!$B$2:$B$1024,MATCH(X917,工厂基础数据!$D$2:$D$1024,0))</f>
        <v>淄博博仁医药有限公司</v>
      </c>
      <c r="F917" s="6" t="e">
        <f>INDEX(商业2转码!$B$2:$B$10000,MATCH(E917,商业2转码!$A$2:$A$10000,0))</f>
        <v>#N/A</v>
      </c>
      <c r="G917" s="6" t="str">
        <f>INDEX(品种2编码!$A$2:$A$1048576,MATCH(W917,品种2编码!$D$2:$D$1048576,0))</f>
        <v>0020030020SJSC0004</v>
      </c>
      <c r="H917" s="6" t="s">
        <v>394</v>
      </c>
      <c r="I917" s="6" t="s">
        <v>1871</v>
      </c>
      <c r="J917" s="6" t="s">
        <v>3284</v>
      </c>
      <c r="L917" s="6" t="s">
        <v>3144</v>
      </c>
      <c r="M917" s="6" t="e">
        <f>INDEX(医院2县区2人!$B$2:$B$1048576,MATCH(L917,医院2县区2人!$A$2:$A$1048576,0))</f>
        <v>#N/A</v>
      </c>
      <c r="N917" s="6" t="e">
        <f>INDEX(医院2县区2人!$C$2:$C$1048576,MATCH(L917,医院2县区2人!$A$2:$A$1048576,0))</f>
        <v>#N/A</v>
      </c>
      <c r="P917" s="7">
        <v>43256</v>
      </c>
      <c r="Q917" s="6">
        <v>5</v>
      </c>
      <c r="R917" s="6">
        <v>55</v>
      </c>
      <c r="S917" s="6">
        <v>1709020</v>
      </c>
      <c r="T917" s="6" t="e">
        <f>INDEX(医院2县区2人!$D$2:$D$1048576,MATCH(L917,医院2县区2人!$A$2:$A$1048576,0))</f>
        <v>#N/A</v>
      </c>
      <c r="W917" s="6" t="str">
        <f t="shared" si="31"/>
        <v>复方铝酸铋片50片</v>
      </c>
      <c r="X917" s="6" t="s">
        <v>2893</v>
      </c>
    </row>
    <row r="918" spans="1:24" x14ac:dyDescent="0.15">
      <c r="A918" s="7" t="str">
        <f t="shared" si="32"/>
        <v>201806</v>
      </c>
      <c r="C918" s="6" t="str">
        <f>INDEX(工厂基础数据!$A$2:$A$1024,MATCH(X918,工厂基础数据!$D$2:$D$1024,0))</f>
        <v>02032120</v>
      </c>
      <c r="E918" s="6" t="str">
        <f>INDEX(工厂基础数据!$B$2:$B$1024,MATCH(X918,工厂基础数据!$D$2:$D$1024,0))</f>
        <v>淄博博仁医药有限公司</v>
      </c>
      <c r="F918" s="6" t="e">
        <f>INDEX(商业2转码!$B$2:$B$10000,MATCH(E918,商业2转码!$A$2:$A$10000,0))</f>
        <v>#N/A</v>
      </c>
      <c r="G918" s="6" t="str">
        <f>INDEX(品种2编码!$A$2:$A$1048576,MATCH(W918,品种2编码!$D$2:$D$1048576,0))</f>
        <v>0020050020SHYT0016</v>
      </c>
      <c r="H918" s="6" t="s">
        <v>1864</v>
      </c>
      <c r="I918" s="6" t="s">
        <v>339</v>
      </c>
      <c r="J918" s="6" t="s">
        <v>3037</v>
      </c>
      <c r="L918" s="6" t="s">
        <v>3144</v>
      </c>
      <c r="M918" s="6" t="e">
        <f>INDEX(医院2县区2人!$B$2:$B$1048576,MATCH(L918,医院2县区2人!$A$2:$A$1048576,0))</f>
        <v>#N/A</v>
      </c>
      <c r="N918" s="6" t="e">
        <f>INDEX(医院2县区2人!$C$2:$C$1048576,MATCH(L918,医院2县区2人!$A$2:$A$1048576,0))</f>
        <v>#N/A</v>
      </c>
      <c r="P918" s="7">
        <v>43256</v>
      </c>
      <c r="Q918" s="6">
        <v>5</v>
      </c>
      <c r="R918" s="6">
        <v>74.5</v>
      </c>
      <c r="S918" s="6">
        <v>1801504</v>
      </c>
      <c r="T918" s="6" t="e">
        <f>INDEX(医院2县区2人!$D$2:$D$1048576,MATCH(L918,医院2县区2人!$A$2:$A$1048576,0))</f>
        <v>#N/A</v>
      </c>
      <c r="W918" s="6" t="str">
        <f t="shared" si="31"/>
        <v>复方金银花颗粒10g*10袋</v>
      </c>
      <c r="X918" s="6" t="s">
        <v>2893</v>
      </c>
    </row>
    <row r="919" spans="1:24" x14ac:dyDescent="0.15">
      <c r="A919" s="7" t="str">
        <f t="shared" si="32"/>
        <v>201806</v>
      </c>
      <c r="C919" s="6" t="str">
        <f>INDEX(工厂基础数据!$A$2:$A$1024,MATCH(X919,工厂基础数据!$D$2:$D$1024,0))</f>
        <v>02032120</v>
      </c>
      <c r="E919" s="6" t="str">
        <f>INDEX(工厂基础数据!$B$2:$B$1024,MATCH(X919,工厂基础数据!$D$2:$D$1024,0))</f>
        <v>淄博博仁医药有限公司</v>
      </c>
      <c r="F919" s="6" t="e">
        <f>INDEX(商业2转码!$B$2:$B$10000,MATCH(E919,商业2转码!$A$2:$A$10000,0))</f>
        <v>#N/A</v>
      </c>
      <c r="G919" s="6">
        <f>INDEX(品种2编码!$A$2:$A$1048576,MATCH(W919,品种2编码!$D$2:$D$1048576,0))</f>
        <v>0</v>
      </c>
      <c r="H919" s="6" t="s">
        <v>306</v>
      </c>
      <c r="I919" s="6" t="s">
        <v>3289</v>
      </c>
      <c r="J919" s="6" t="s">
        <v>3279</v>
      </c>
      <c r="L919" s="6" t="s">
        <v>3144</v>
      </c>
      <c r="M919" s="6" t="e">
        <f>INDEX(医院2县区2人!$B$2:$B$1048576,MATCH(L919,医院2县区2人!$A$2:$A$1048576,0))</f>
        <v>#N/A</v>
      </c>
      <c r="N919" s="6" t="e">
        <f>INDEX(医院2县区2人!$C$2:$C$1048576,MATCH(L919,医院2县区2人!$A$2:$A$1048576,0))</f>
        <v>#N/A</v>
      </c>
      <c r="P919" s="7">
        <v>43256</v>
      </c>
      <c r="Q919" s="6">
        <v>5</v>
      </c>
      <c r="R919" s="6">
        <v>45</v>
      </c>
      <c r="S919" s="6">
        <v>180117</v>
      </c>
      <c r="T919" s="6" t="e">
        <f>INDEX(医院2县区2人!$D$2:$D$1048576,MATCH(L919,医院2县区2人!$A$2:$A$1048576,0))</f>
        <v>#N/A</v>
      </c>
      <c r="W919" s="6" t="str">
        <f t="shared" si="31"/>
        <v>氨金黄敏颗粒10袋</v>
      </c>
      <c r="X919" s="6" t="s">
        <v>2893</v>
      </c>
    </row>
    <row r="920" spans="1:24" x14ac:dyDescent="0.15">
      <c r="A920" s="7" t="str">
        <f t="shared" si="32"/>
        <v>201806</v>
      </c>
      <c r="C920" s="6" t="str">
        <f>INDEX(工厂基础数据!$A$2:$A$1024,MATCH(X920,工厂基础数据!$D$2:$D$1024,0))</f>
        <v>02032120</v>
      </c>
      <c r="E920" s="6" t="str">
        <f>INDEX(工厂基础数据!$B$2:$B$1024,MATCH(X920,工厂基础数据!$D$2:$D$1024,0))</f>
        <v>淄博博仁医药有限公司</v>
      </c>
      <c r="F920" s="6" t="e">
        <f>INDEX(商业2转码!$B$2:$B$10000,MATCH(E920,商业2转码!$A$2:$A$10000,0))</f>
        <v>#N/A</v>
      </c>
      <c r="G920" s="6" t="str">
        <f>INDEX(品种2编码!$A$2:$A$1048576,MATCH(W920,品种2编码!$D$2:$D$1048576,0))</f>
        <v>0020050020SHYT0016</v>
      </c>
      <c r="H920" s="6" t="s">
        <v>1864</v>
      </c>
      <c r="I920" s="6" t="s">
        <v>339</v>
      </c>
      <c r="J920" s="6" t="s">
        <v>3037</v>
      </c>
      <c r="L920" s="6" t="s">
        <v>3123</v>
      </c>
      <c r="M920" s="6" t="e">
        <f>INDEX(医院2县区2人!$B$2:$B$1048576,MATCH(L920,医院2县区2人!$A$2:$A$1048576,0))</f>
        <v>#N/A</v>
      </c>
      <c r="N920" s="6" t="e">
        <f>INDEX(医院2县区2人!$C$2:$C$1048576,MATCH(L920,医院2县区2人!$A$2:$A$1048576,0))</f>
        <v>#N/A</v>
      </c>
      <c r="P920" s="7">
        <v>43256</v>
      </c>
      <c r="Q920" s="6">
        <v>7</v>
      </c>
      <c r="R920" s="6">
        <v>91.7</v>
      </c>
      <c r="S920" s="6">
        <v>1801504</v>
      </c>
      <c r="T920" s="6" t="e">
        <f>INDEX(医院2县区2人!$D$2:$D$1048576,MATCH(L920,医院2县区2人!$A$2:$A$1048576,0))</f>
        <v>#N/A</v>
      </c>
      <c r="W920" s="6" t="str">
        <f t="shared" si="31"/>
        <v>复方金银花颗粒10g*10袋</v>
      </c>
      <c r="X920" s="6" t="s">
        <v>2893</v>
      </c>
    </row>
    <row r="921" spans="1:24" x14ac:dyDescent="0.15">
      <c r="A921" s="7" t="str">
        <f t="shared" si="32"/>
        <v>201806</v>
      </c>
      <c r="C921" s="6" t="str">
        <f>INDEX(工厂基础数据!$A$2:$A$1024,MATCH(X921,工厂基础数据!$D$2:$D$1024,0))</f>
        <v>02032120</v>
      </c>
      <c r="E921" s="6" t="str">
        <f>INDEX(工厂基础数据!$B$2:$B$1024,MATCH(X921,工厂基础数据!$D$2:$D$1024,0))</f>
        <v>淄博博仁医药有限公司</v>
      </c>
      <c r="F921" s="6" t="e">
        <f>INDEX(商业2转码!$B$2:$B$10000,MATCH(E921,商业2转码!$A$2:$A$10000,0))</f>
        <v>#N/A</v>
      </c>
      <c r="G921" s="6" t="str">
        <f>INDEX(品种2编码!$A$2:$A$1048576,MATCH(W921,品种2编码!$D$2:$D$1048576,0))</f>
        <v>0020020020ZYZC0473</v>
      </c>
      <c r="H921" s="6" t="s">
        <v>745</v>
      </c>
      <c r="I921" s="6" t="s">
        <v>290</v>
      </c>
      <c r="J921" s="6" t="s">
        <v>3038</v>
      </c>
      <c r="L921" s="6" t="s">
        <v>3144</v>
      </c>
      <c r="M921" s="6" t="e">
        <f>INDEX(医院2县区2人!$B$2:$B$1048576,MATCH(L921,医院2县区2人!$A$2:$A$1048576,0))</f>
        <v>#N/A</v>
      </c>
      <c r="N921" s="6" t="e">
        <f>INDEX(医院2县区2人!$C$2:$C$1048576,MATCH(L921,医院2县区2人!$A$2:$A$1048576,0))</f>
        <v>#N/A</v>
      </c>
      <c r="P921" s="7">
        <v>43256</v>
      </c>
      <c r="Q921" s="6">
        <v>10</v>
      </c>
      <c r="R921" s="6">
        <v>43</v>
      </c>
      <c r="S921" s="6" t="s">
        <v>3276</v>
      </c>
      <c r="T921" s="6" t="e">
        <f>INDEX(医院2县区2人!$D$2:$D$1048576,MATCH(L921,医院2县区2人!$A$2:$A$1048576,0))</f>
        <v>#N/A</v>
      </c>
      <c r="W921" s="6" t="str">
        <f t="shared" si="31"/>
        <v>盐酸环丙沙星片0.25g*12片</v>
      </c>
      <c r="X921" s="6" t="s">
        <v>2893</v>
      </c>
    </row>
    <row r="922" spans="1:24" x14ac:dyDescent="0.15">
      <c r="A922" s="7" t="str">
        <f t="shared" si="32"/>
        <v>201806</v>
      </c>
      <c r="C922" s="6" t="str">
        <f>INDEX(工厂基础数据!$A$2:$A$1024,MATCH(X922,工厂基础数据!$D$2:$D$1024,0))</f>
        <v>02032120</v>
      </c>
      <c r="E922" s="6" t="str">
        <f>INDEX(工厂基础数据!$B$2:$B$1024,MATCH(X922,工厂基础数据!$D$2:$D$1024,0))</f>
        <v>淄博博仁医药有限公司</v>
      </c>
      <c r="F922" s="6" t="e">
        <f>INDEX(商业2转码!$B$2:$B$10000,MATCH(E922,商业2转码!$A$2:$A$10000,0))</f>
        <v>#N/A</v>
      </c>
      <c r="G922" s="6" t="str">
        <f>INDEX(品种2编码!$A$2:$A$1048576,MATCH(W922,品种2编码!$D$2:$D$1048576,0))</f>
        <v>0020040001SHYT0026</v>
      </c>
      <c r="H922" s="6" t="s">
        <v>715</v>
      </c>
      <c r="I922" s="6" t="s">
        <v>1867</v>
      </c>
      <c r="J922" s="6" t="s">
        <v>3279</v>
      </c>
      <c r="L922" s="6" t="s">
        <v>3123</v>
      </c>
      <c r="M922" s="6" t="e">
        <f>INDEX(医院2县区2人!$B$2:$B$1048576,MATCH(L922,医院2县区2人!$A$2:$A$1048576,0))</f>
        <v>#N/A</v>
      </c>
      <c r="N922" s="6" t="e">
        <f>INDEX(医院2县区2人!$C$2:$C$1048576,MATCH(L922,医院2县区2人!$A$2:$A$1048576,0))</f>
        <v>#N/A</v>
      </c>
      <c r="P922" s="7">
        <v>43256</v>
      </c>
      <c r="Q922" s="6">
        <v>10</v>
      </c>
      <c r="R922" s="6">
        <v>50</v>
      </c>
      <c r="S922" s="6">
        <v>1801108</v>
      </c>
      <c r="T922" s="6" t="e">
        <f>INDEX(医院2县区2人!$D$2:$D$1048576,MATCH(L922,医院2县区2人!$A$2:$A$1048576,0))</f>
        <v>#N/A</v>
      </c>
      <c r="W922" s="6" t="str">
        <f t="shared" si="31"/>
        <v>小活络丸3g*10丸</v>
      </c>
      <c r="X922" s="6" t="s">
        <v>2893</v>
      </c>
    </row>
    <row r="923" spans="1:24" x14ac:dyDescent="0.15">
      <c r="A923" s="7" t="str">
        <f t="shared" si="32"/>
        <v>201806</v>
      </c>
      <c r="C923" s="6" t="str">
        <f>INDEX(工厂基础数据!$A$2:$A$1024,MATCH(X923,工厂基础数据!$D$2:$D$1024,0))</f>
        <v>02032120</v>
      </c>
      <c r="E923" s="6" t="str">
        <f>INDEX(工厂基础数据!$B$2:$B$1024,MATCH(X923,工厂基础数据!$D$2:$D$1024,0))</f>
        <v>淄博博仁医药有限公司</v>
      </c>
      <c r="F923" s="6" t="e">
        <f>INDEX(商业2转码!$B$2:$B$10000,MATCH(E923,商业2转码!$A$2:$A$10000,0))</f>
        <v>#N/A</v>
      </c>
      <c r="G923" s="6" t="str">
        <f>INDEX(品种2编码!$A$2:$A$1048576,MATCH(W923,品种2编码!$D$2:$D$1048576,0))</f>
        <v>0020050090SJZY0001</v>
      </c>
      <c r="H923" s="6" t="s">
        <v>630</v>
      </c>
      <c r="I923" s="6" t="s">
        <v>1850</v>
      </c>
      <c r="J923" s="6" t="s">
        <v>3285</v>
      </c>
      <c r="L923" s="6" t="s">
        <v>3156</v>
      </c>
      <c r="M923" s="6" t="e">
        <f>INDEX(医院2县区2人!$B$2:$B$1048576,MATCH(L923,医院2县区2人!$A$2:$A$1048576,0))</f>
        <v>#N/A</v>
      </c>
      <c r="N923" s="6" t="e">
        <f>INDEX(医院2县区2人!$C$2:$C$1048576,MATCH(L923,医院2县区2人!$A$2:$A$1048576,0))</f>
        <v>#N/A</v>
      </c>
      <c r="P923" s="7">
        <v>43256</v>
      </c>
      <c r="Q923" s="6">
        <v>10</v>
      </c>
      <c r="R923" s="6">
        <v>165</v>
      </c>
      <c r="S923" s="6">
        <v>17122813</v>
      </c>
      <c r="T923" s="6" t="e">
        <f>INDEX(医院2县区2人!$D$2:$D$1048576,MATCH(L923,医院2县区2人!$A$2:$A$1048576,0))</f>
        <v>#N/A</v>
      </c>
      <c r="W923" s="6" t="str">
        <f t="shared" si="31"/>
        <v>双黄连口服液10ml*10支</v>
      </c>
      <c r="X923" s="6" t="s">
        <v>2893</v>
      </c>
    </row>
    <row r="924" spans="1:24" x14ac:dyDescent="0.15">
      <c r="A924" s="7" t="str">
        <f t="shared" si="32"/>
        <v>201806</v>
      </c>
      <c r="C924" s="6" t="str">
        <f>INDEX(工厂基础数据!$A$2:$A$1024,MATCH(X924,工厂基础数据!$D$2:$D$1024,0))</f>
        <v>02032120</v>
      </c>
      <c r="E924" s="6" t="str">
        <f>INDEX(工厂基础数据!$B$2:$B$1024,MATCH(X924,工厂基础数据!$D$2:$D$1024,0))</f>
        <v>淄博博仁医药有限公司</v>
      </c>
      <c r="F924" s="6" t="e">
        <f>INDEX(商业2转码!$B$2:$B$10000,MATCH(E924,商业2转码!$A$2:$A$10000,0))</f>
        <v>#N/A</v>
      </c>
      <c r="G924" s="6">
        <f>INDEX(品种2编码!$A$2:$A$1048576,MATCH(W924,品种2编码!$D$2:$D$1048576,0))</f>
        <v>0</v>
      </c>
      <c r="H924" s="6" t="s">
        <v>3269</v>
      </c>
      <c r="I924" s="6" t="s">
        <v>1839</v>
      </c>
      <c r="J924" s="6" t="s">
        <v>3279</v>
      </c>
      <c r="L924" s="6" t="s">
        <v>3144</v>
      </c>
      <c r="M924" s="6" t="e">
        <f>INDEX(医院2县区2人!$B$2:$B$1048576,MATCH(L924,医院2县区2人!$A$2:$A$1048576,0))</f>
        <v>#N/A</v>
      </c>
      <c r="N924" s="6" t="e">
        <f>INDEX(医院2县区2人!$C$2:$C$1048576,MATCH(L924,医院2县区2人!$A$2:$A$1048576,0))</f>
        <v>#N/A</v>
      </c>
      <c r="P924" s="7">
        <v>43256</v>
      </c>
      <c r="Q924" s="6">
        <v>10</v>
      </c>
      <c r="R924" s="6">
        <v>80</v>
      </c>
      <c r="S924" s="6">
        <v>180302</v>
      </c>
      <c r="T924" s="6" t="e">
        <f>INDEX(医院2县区2人!$D$2:$D$1048576,MATCH(L924,医院2县区2人!$A$2:$A$1048576,0))</f>
        <v>#N/A</v>
      </c>
      <c r="W924" s="6" t="str">
        <f t="shared" si="31"/>
        <v>乳酸菌素片(精）0.4g*36片</v>
      </c>
      <c r="X924" s="6" t="s">
        <v>2893</v>
      </c>
    </row>
    <row r="925" spans="1:24" x14ac:dyDescent="0.15">
      <c r="A925" s="7" t="str">
        <f t="shared" si="32"/>
        <v>201806</v>
      </c>
      <c r="C925" s="6" t="str">
        <f>INDEX(工厂基础数据!$A$2:$A$1024,MATCH(X925,工厂基础数据!$D$2:$D$1024,0))</f>
        <v>02032120</v>
      </c>
      <c r="E925" s="6" t="str">
        <f>INDEX(工厂基础数据!$B$2:$B$1024,MATCH(X925,工厂基础数据!$D$2:$D$1024,0))</f>
        <v>淄博博仁医药有限公司</v>
      </c>
      <c r="F925" s="6" t="e">
        <f>INDEX(商业2转码!$B$2:$B$10000,MATCH(E925,商业2转码!$A$2:$A$10000,0))</f>
        <v>#N/A</v>
      </c>
      <c r="G925" s="6" t="str">
        <f>INDEX(品种2编码!$A$2:$A$1048576,MATCH(W925,品种2编码!$D$2:$D$1048576,0))</f>
        <v>0020020030SJMS0025</v>
      </c>
      <c r="H925" s="6" t="s">
        <v>586</v>
      </c>
      <c r="I925" s="6" t="s">
        <v>1937</v>
      </c>
      <c r="J925" s="6" t="s">
        <v>3282</v>
      </c>
      <c r="L925" s="6" t="s">
        <v>3144</v>
      </c>
      <c r="M925" s="6" t="e">
        <f>INDEX(医院2县区2人!$B$2:$B$1048576,MATCH(L925,医院2县区2人!$A$2:$A$1048576,0))</f>
        <v>#N/A</v>
      </c>
      <c r="N925" s="6" t="e">
        <f>INDEX(医院2县区2人!$C$2:$C$1048576,MATCH(L925,医院2县区2人!$A$2:$A$1048576,0))</f>
        <v>#N/A</v>
      </c>
      <c r="P925" s="7">
        <v>43256</v>
      </c>
      <c r="Q925" s="6">
        <v>10</v>
      </c>
      <c r="R925" s="6">
        <v>55</v>
      </c>
      <c r="S925" s="6">
        <v>1709011</v>
      </c>
      <c r="T925" s="6" t="e">
        <f>INDEX(医院2县区2人!$D$2:$D$1048576,MATCH(L925,医院2县区2人!$A$2:$A$1048576,0))</f>
        <v>#N/A</v>
      </c>
      <c r="W925" s="6" t="str">
        <f t="shared" si="31"/>
        <v>人工牛黄甲硝唑胶囊30粒</v>
      </c>
      <c r="X925" s="6" t="s">
        <v>2893</v>
      </c>
    </row>
    <row r="926" spans="1:24" x14ac:dyDescent="0.15">
      <c r="A926" s="7" t="str">
        <f t="shared" si="32"/>
        <v>201806</v>
      </c>
      <c r="C926" s="6" t="str">
        <f>INDEX(工厂基础数据!$A$2:$A$1024,MATCH(X926,工厂基础数据!$D$2:$D$1024,0))</f>
        <v>02032120</v>
      </c>
      <c r="E926" s="6" t="str">
        <f>INDEX(工厂基础数据!$B$2:$B$1024,MATCH(X926,工厂基础数据!$D$2:$D$1024,0))</f>
        <v>淄博博仁医药有限公司</v>
      </c>
      <c r="F926" s="6" t="e">
        <f>INDEX(商业2转码!$B$2:$B$10000,MATCH(E926,商业2转码!$A$2:$A$10000,0))</f>
        <v>#N/A</v>
      </c>
      <c r="G926" s="6" t="str">
        <f>INDEX(品种2编码!$A$2:$A$1048576,MATCH(W926,品种2编码!$D$2:$D$1048576,0))</f>
        <v>0020020030SJMS0025</v>
      </c>
      <c r="H926" s="6" t="s">
        <v>586</v>
      </c>
      <c r="I926" s="6" t="s">
        <v>1937</v>
      </c>
      <c r="J926" s="6" t="s">
        <v>3282</v>
      </c>
      <c r="L926" s="6" t="s">
        <v>3144</v>
      </c>
      <c r="M926" s="6" t="e">
        <f>INDEX(医院2县区2人!$B$2:$B$1048576,MATCH(L926,医院2县区2人!$A$2:$A$1048576,0))</f>
        <v>#N/A</v>
      </c>
      <c r="N926" s="6" t="e">
        <f>INDEX(医院2县区2人!$C$2:$C$1048576,MATCH(L926,医院2县区2人!$A$2:$A$1048576,0))</f>
        <v>#N/A</v>
      </c>
      <c r="P926" s="7">
        <v>43256</v>
      </c>
      <c r="Q926" s="6">
        <v>10</v>
      </c>
      <c r="R926" s="6">
        <v>55</v>
      </c>
      <c r="S926" s="6">
        <v>1709011</v>
      </c>
      <c r="T926" s="6" t="e">
        <f>INDEX(医院2县区2人!$D$2:$D$1048576,MATCH(L926,医院2县区2人!$A$2:$A$1048576,0))</f>
        <v>#N/A</v>
      </c>
      <c r="W926" s="6" t="str">
        <f t="shared" si="31"/>
        <v>人工牛黄甲硝唑胶囊30粒</v>
      </c>
      <c r="X926" s="6" t="s">
        <v>2893</v>
      </c>
    </row>
    <row r="927" spans="1:24" x14ac:dyDescent="0.15">
      <c r="A927" s="7" t="str">
        <f t="shared" si="32"/>
        <v>201806</v>
      </c>
      <c r="C927" s="6" t="str">
        <f>INDEX(工厂基础数据!$A$2:$A$1024,MATCH(X927,工厂基础数据!$D$2:$D$1024,0))</f>
        <v>02032120</v>
      </c>
      <c r="E927" s="6" t="str">
        <f>INDEX(工厂基础数据!$B$2:$B$1024,MATCH(X927,工厂基础数据!$D$2:$D$1024,0))</f>
        <v>淄博博仁医药有限公司</v>
      </c>
      <c r="F927" s="6" t="e">
        <f>INDEX(商业2转码!$B$2:$B$10000,MATCH(E927,商业2转码!$A$2:$A$10000,0))</f>
        <v>#N/A</v>
      </c>
      <c r="G927" s="6" t="str">
        <f>INDEX(品种2编码!$A$2:$A$1048576,MATCH(W927,品种2编码!$D$2:$D$1048576,0))</f>
        <v>0020030001SJZY0006</v>
      </c>
      <c r="H927" s="6" t="s">
        <v>1833</v>
      </c>
      <c r="I927" s="6" t="s">
        <v>411</v>
      </c>
      <c r="J927" s="6" t="s">
        <v>3280</v>
      </c>
      <c r="L927" s="6" t="s">
        <v>3156</v>
      </c>
      <c r="M927" s="6" t="e">
        <f>INDEX(医院2县区2人!$B$2:$B$1048576,MATCH(L927,医院2县区2人!$A$2:$A$1048576,0))</f>
        <v>#N/A</v>
      </c>
      <c r="N927" s="6" t="e">
        <f>INDEX(医院2县区2人!$C$2:$C$1048576,MATCH(L927,医院2县区2人!$A$2:$A$1048576,0))</f>
        <v>#N/A</v>
      </c>
      <c r="P927" s="7">
        <v>43256</v>
      </c>
      <c r="Q927" s="6">
        <v>10</v>
      </c>
      <c r="R927" s="6">
        <v>220</v>
      </c>
      <c r="S927" s="6">
        <v>17122912</v>
      </c>
      <c r="T927" s="6" t="e">
        <f>INDEX(医院2县区2人!$D$2:$D$1048576,MATCH(L927,医院2县区2人!$A$2:$A$1048576,0))</f>
        <v>#N/A</v>
      </c>
      <c r="W927" s="6" t="str">
        <f t="shared" si="31"/>
        <v>葡萄糖酸钙口服溶液10ml*12支</v>
      </c>
      <c r="X927" s="6" t="s">
        <v>2893</v>
      </c>
    </row>
    <row r="928" spans="1:24" x14ac:dyDescent="0.15">
      <c r="A928" s="7" t="str">
        <f t="shared" si="32"/>
        <v>201806</v>
      </c>
      <c r="C928" s="6" t="str">
        <f>INDEX(工厂基础数据!$A$2:$A$1024,MATCH(X928,工厂基础数据!$D$2:$D$1024,0))</f>
        <v>02032120</v>
      </c>
      <c r="E928" s="6" t="str">
        <f>INDEX(工厂基础数据!$B$2:$B$1024,MATCH(X928,工厂基础数据!$D$2:$D$1024,0))</f>
        <v>淄博博仁医药有限公司</v>
      </c>
      <c r="F928" s="6" t="e">
        <f>INDEX(商业2转码!$B$2:$B$10000,MATCH(E928,商业2转码!$A$2:$A$10000,0))</f>
        <v>#N/A</v>
      </c>
      <c r="G928" s="6">
        <f>INDEX(品种2编码!$A$2:$A$1048576,MATCH(W928,品种2编码!$D$2:$D$1048576,0))</f>
        <v>0</v>
      </c>
      <c r="H928" s="6" t="s">
        <v>3268</v>
      </c>
      <c r="I928" s="6" t="s">
        <v>411</v>
      </c>
      <c r="J928" s="6" t="s">
        <v>3040</v>
      </c>
      <c r="L928" s="6" t="s">
        <v>3156</v>
      </c>
      <c r="M928" s="6" t="e">
        <f>INDEX(医院2县区2人!$B$2:$B$1048576,MATCH(L928,医院2县区2人!$A$2:$A$1048576,0))</f>
        <v>#N/A</v>
      </c>
      <c r="N928" s="6" t="e">
        <f>INDEX(医院2县区2人!$C$2:$C$1048576,MATCH(L928,医院2县区2人!$A$2:$A$1048576,0))</f>
        <v>#N/A</v>
      </c>
      <c r="P928" s="7">
        <v>43256</v>
      </c>
      <c r="Q928" s="6">
        <v>10</v>
      </c>
      <c r="R928" s="6">
        <v>230</v>
      </c>
      <c r="S928" s="6">
        <v>17112821</v>
      </c>
      <c r="T928" s="6" t="e">
        <f>INDEX(医院2县区2人!$D$2:$D$1048576,MATCH(L928,医院2县区2人!$A$2:$A$1048576,0))</f>
        <v>#N/A</v>
      </c>
      <c r="W928" s="6" t="str">
        <f t="shared" si="31"/>
        <v>葡糖糖酸锌口服溶液10ml*12支</v>
      </c>
      <c r="X928" s="6" t="s">
        <v>2893</v>
      </c>
    </row>
    <row r="929" spans="1:24" x14ac:dyDescent="0.15">
      <c r="A929" s="7" t="str">
        <f t="shared" si="32"/>
        <v>201806</v>
      </c>
      <c r="C929" s="6" t="str">
        <f>INDEX(工厂基础数据!$A$2:$A$1024,MATCH(X929,工厂基础数据!$D$2:$D$1024,0))</f>
        <v>02032120</v>
      </c>
      <c r="E929" s="6" t="str">
        <f>INDEX(工厂基础数据!$B$2:$B$1024,MATCH(X929,工厂基础数据!$D$2:$D$1024,0))</f>
        <v>淄博博仁医药有限公司</v>
      </c>
      <c r="F929" s="6" t="e">
        <f>INDEX(商业2转码!$B$2:$B$10000,MATCH(E929,商业2转码!$A$2:$A$10000,0))</f>
        <v>#N/A</v>
      </c>
      <c r="G929" s="6" t="str">
        <f>INDEX(品种2编码!$A$2:$A$1048576,MATCH(W929,品种2编码!$D$2:$D$1048576,0))</f>
        <v>0020040030SHYT0002</v>
      </c>
      <c r="H929" s="6" t="s">
        <v>537</v>
      </c>
      <c r="I929" s="6" t="s">
        <v>1910</v>
      </c>
      <c r="J929" s="6" t="s">
        <v>3281</v>
      </c>
      <c r="L929" s="6" t="s">
        <v>3144</v>
      </c>
      <c r="M929" s="6" t="e">
        <f>INDEX(医院2县区2人!$B$2:$B$1048576,MATCH(L929,医院2县区2人!$A$2:$A$1048576,0))</f>
        <v>#N/A</v>
      </c>
      <c r="N929" s="6" t="e">
        <f>INDEX(医院2县区2人!$C$2:$C$1048576,MATCH(L929,医院2县区2人!$A$2:$A$1048576,0))</f>
        <v>#N/A</v>
      </c>
      <c r="P929" s="7">
        <v>43256</v>
      </c>
      <c r="Q929" s="6">
        <v>10</v>
      </c>
      <c r="R929" s="6">
        <v>52</v>
      </c>
      <c r="S929" s="6">
        <v>1711301</v>
      </c>
      <c r="T929" s="6" t="e">
        <f>INDEX(医院2县区2人!$D$2:$D$1048576,MATCH(L929,医院2县区2人!$A$2:$A$1048576,0))</f>
        <v>#N/A</v>
      </c>
      <c r="W929" s="6" t="str">
        <f t="shared" si="31"/>
        <v>牛黄消炎片24片</v>
      </c>
      <c r="X929" s="6" t="s">
        <v>2893</v>
      </c>
    </row>
    <row r="930" spans="1:24" x14ac:dyDescent="0.15">
      <c r="A930" s="7" t="str">
        <f t="shared" si="32"/>
        <v>201806</v>
      </c>
      <c r="C930" s="6" t="str">
        <f>INDEX(工厂基础数据!$A$2:$A$1024,MATCH(X930,工厂基础数据!$D$2:$D$1024,0))</f>
        <v>02032120</v>
      </c>
      <c r="E930" s="6" t="str">
        <f>INDEX(工厂基础数据!$B$2:$B$1024,MATCH(X930,工厂基础数据!$D$2:$D$1024,0))</f>
        <v>淄博博仁医药有限公司</v>
      </c>
      <c r="F930" s="6" t="e">
        <f>INDEX(商业2转码!$B$2:$B$10000,MATCH(E930,商业2转码!$A$2:$A$10000,0))</f>
        <v>#N/A</v>
      </c>
      <c r="G930" s="6" t="str">
        <f>INDEX(品种2编码!$A$2:$A$1048576,MATCH(W930,品种2编码!$D$2:$D$1048576,0))</f>
        <v>0020040030SHYT0002</v>
      </c>
      <c r="H930" s="6" t="s">
        <v>537</v>
      </c>
      <c r="I930" s="6" t="s">
        <v>1910</v>
      </c>
      <c r="J930" s="6" t="s">
        <v>3281</v>
      </c>
      <c r="L930" s="6" t="s">
        <v>3144</v>
      </c>
      <c r="M930" s="6" t="e">
        <f>INDEX(医院2县区2人!$B$2:$B$1048576,MATCH(L930,医院2县区2人!$A$2:$A$1048576,0))</f>
        <v>#N/A</v>
      </c>
      <c r="N930" s="6" t="e">
        <f>INDEX(医院2县区2人!$C$2:$C$1048576,MATCH(L930,医院2县区2人!$A$2:$A$1048576,0))</f>
        <v>#N/A</v>
      </c>
      <c r="P930" s="7">
        <v>43256</v>
      </c>
      <c r="Q930" s="6">
        <v>10</v>
      </c>
      <c r="R930" s="6">
        <v>52</v>
      </c>
      <c r="S930" s="6">
        <v>1711301</v>
      </c>
      <c r="T930" s="6" t="e">
        <f>INDEX(医院2县区2人!$D$2:$D$1048576,MATCH(L930,医院2县区2人!$A$2:$A$1048576,0))</f>
        <v>#N/A</v>
      </c>
      <c r="W930" s="6" t="str">
        <f t="shared" si="31"/>
        <v>牛黄消炎片24片</v>
      </c>
      <c r="X930" s="6" t="s">
        <v>2893</v>
      </c>
    </row>
    <row r="931" spans="1:24" x14ac:dyDescent="0.15">
      <c r="A931" s="7" t="str">
        <f t="shared" si="32"/>
        <v>201806</v>
      </c>
      <c r="C931" s="6" t="str">
        <f>INDEX(工厂基础数据!$A$2:$A$1024,MATCH(X931,工厂基础数据!$D$2:$D$1024,0))</f>
        <v>02032120</v>
      </c>
      <c r="E931" s="6" t="str">
        <f>INDEX(工厂基础数据!$B$2:$B$1024,MATCH(X931,工厂基础数据!$D$2:$D$1024,0))</f>
        <v>淄博博仁医药有限公司</v>
      </c>
      <c r="F931" s="6" t="e">
        <f>INDEX(商业2转码!$B$2:$B$10000,MATCH(E931,商业2转码!$A$2:$A$10000,0))</f>
        <v>#N/A</v>
      </c>
      <c r="G931" s="6" t="str">
        <f>INDEX(品种2编码!$A$2:$A$1048576,MATCH(W931,品种2编码!$D$2:$D$1048576,0))</f>
        <v>0020040030SHYT0002</v>
      </c>
      <c r="H931" s="6" t="s">
        <v>537</v>
      </c>
      <c r="I931" s="6" t="s">
        <v>1910</v>
      </c>
      <c r="J931" s="6" t="s">
        <v>3281</v>
      </c>
      <c r="L931" s="6" t="s">
        <v>3144</v>
      </c>
      <c r="M931" s="6" t="e">
        <f>INDEX(医院2县区2人!$B$2:$B$1048576,MATCH(L931,医院2县区2人!$A$2:$A$1048576,0))</f>
        <v>#N/A</v>
      </c>
      <c r="N931" s="6" t="e">
        <f>INDEX(医院2县区2人!$C$2:$C$1048576,MATCH(L931,医院2县区2人!$A$2:$A$1048576,0))</f>
        <v>#N/A</v>
      </c>
      <c r="P931" s="7">
        <v>43256</v>
      </c>
      <c r="Q931" s="6">
        <v>10</v>
      </c>
      <c r="R931" s="6">
        <v>52</v>
      </c>
      <c r="S931" s="6">
        <v>1711301</v>
      </c>
      <c r="T931" s="6" t="e">
        <f>INDEX(医院2县区2人!$D$2:$D$1048576,MATCH(L931,医院2县区2人!$A$2:$A$1048576,0))</f>
        <v>#N/A</v>
      </c>
      <c r="W931" s="6" t="str">
        <f t="shared" si="31"/>
        <v>牛黄消炎片24片</v>
      </c>
      <c r="X931" s="6" t="s">
        <v>2893</v>
      </c>
    </row>
    <row r="932" spans="1:24" x14ac:dyDescent="0.15">
      <c r="A932" s="7" t="str">
        <f t="shared" si="32"/>
        <v>201806</v>
      </c>
      <c r="C932" s="6" t="str">
        <f>INDEX(工厂基础数据!$A$2:$A$1024,MATCH(X932,工厂基础数据!$D$2:$D$1024,0))</f>
        <v>02032120</v>
      </c>
      <c r="E932" s="6" t="str">
        <f>INDEX(工厂基础数据!$B$2:$B$1024,MATCH(X932,工厂基础数据!$D$2:$D$1024,0))</f>
        <v>淄博博仁医药有限公司</v>
      </c>
      <c r="F932" s="6" t="e">
        <f>INDEX(商业2转码!$B$2:$B$10000,MATCH(E932,商业2转码!$A$2:$A$10000,0))</f>
        <v>#N/A</v>
      </c>
      <c r="G932" s="6">
        <f>INDEX(品种2编码!$A$2:$A$1048576,MATCH(W932,品种2编码!$D$2:$D$1048576,0))</f>
        <v>0</v>
      </c>
      <c r="H932" s="6" t="s">
        <v>1835</v>
      </c>
      <c r="I932" s="6" t="s">
        <v>1954</v>
      </c>
      <c r="J932" s="6" t="s">
        <v>3279</v>
      </c>
      <c r="L932" s="6" t="s">
        <v>3144</v>
      </c>
      <c r="M932" s="6" t="e">
        <f>INDEX(医院2县区2人!$B$2:$B$1048576,MATCH(L932,医院2县区2人!$A$2:$A$1048576,0))</f>
        <v>#N/A</v>
      </c>
      <c r="N932" s="6" t="e">
        <f>INDEX(医院2县区2人!$C$2:$C$1048576,MATCH(L932,医院2县区2人!$A$2:$A$1048576,0))</f>
        <v>#N/A</v>
      </c>
      <c r="P932" s="7">
        <v>43256</v>
      </c>
      <c r="Q932" s="6">
        <v>10</v>
      </c>
      <c r="R932" s="6">
        <v>140</v>
      </c>
      <c r="S932" s="6">
        <v>171113</v>
      </c>
      <c r="T932" s="6" t="e">
        <f>INDEX(医院2县区2人!$D$2:$D$1048576,MATCH(L932,医院2县区2人!$A$2:$A$1048576,0))</f>
        <v>#N/A</v>
      </c>
      <c r="W932" s="6" t="str">
        <f t="shared" si="31"/>
        <v>蒙脱石散12袋</v>
      </c>
      <c r="X932" s="6" t="s">
        <v>2893</v>
      </c>
    </row>
    <row r="933" spans="1:24" x14ac:dyDescent="0.15">
      <c r="A933" s="7" t="str">
        <f t="shared" si="32"/>
        <v>201806</v>
      </c>
      <c r="C933" s="6" t="str">
        <f>INDEX(工厂基础数据!$A$2:$A$1024,MATCH(X933,工厂基础数据!$D$2:$D$1024,0))</f>
        <v>02032120</v>
      </c>
      <c r="E933" s="6" t="str">
        <f>INDEX(工厂基础数据!$B$2:$B$1024,MATCH(X933,工厂基础数据!$D$2:$D$1024,0))</f>
        <v>淄博博仁医药有限公司</v>
      </c>
      <c r="F933" s="6" t="e">
        <f>INDEX(商业2转码!$B$2:$B$10000,MATCH(E933,商业2转码!$A$2:$A$10000,0))</f>
        <v>#N/A</v>
      </c>
      <c r="G933" s="6">
        <f>INDEX(品种2编码!$A$2:$A$1048576,MATCH(W933,品种2编码!$D$2:$D$1048576,0))</f>
        <v>0</v>
      </c>
      <c r="H933" s="6" t="s">
        <v>380</v>
      </c>
      <c r="I933" s="6" t="s">
        <v>3292</v>
      </c>
      <c r="J933" s="6" t="s">
        <v>3279</v>
      </c>
      <c r="L933" s="6" t="s">
        <v>3141</v>
      </c>
      <c r="M933" s="6" t="e">
        <f>INDEX(医院2县区2人!$B$2:$B$1048576,MATCH(L933,医院2县区2人!$A$2:$A$1048576,0))</f>
        <v>#N/A</v>
      </c>
      <c r="N933" s="6" t="e">
        <f>INDEX(医院2县区2人!$C$2:$C$1048576,MATCH(L933,医院2县区2人!$A$2:$A$1048576,0))</f>
        <v>#N/A</v>
      </c>
      <c r="P933" s="7">
        <v>43256</v>
      </c>
      <c r="Q933" s="6">
        <v>10</v>
      </c>
      <c r="R933" s="6">
        <v>28</v>
      </c>
      <c r="S933" s="6">
        <v>1711002</v>
      </c>
      <c r="T933" s="6" t="e">
        <f>INDEX(医院2县区2人!$D$2:$D$1048576,MATCH(L933,医院2县区2人!$A$2:$A$1048576,0))</f>
        <v>#N/A</v>
      </c>
      <c r="W933" s="6" t="str">
        <f t="shared" si="31"/>
        <v>复方氨酚烷胺片12粒</v>
      </c>
      <c r="X933" s="6" t="s">
        <v>2893</v>
      </c>
    </row>
    <row r="934" spans="1:24" x14ac:dyDescent="0.15">
      <c r="A934" s="7" t="str">
        <f t="shared" si="32"/>
        <v>201806</v>
      </c>
      <c r="C934" s="6" t="str">
        <f>INDEX(工厂基础数据!$A$2:$A$1024,MATCH(X934,工厂基础数据!$D$2:$D$1024,0))</f>
        <v>02032120</v>
      </c>
      <c r="E934" s="6" t="str">
        <f>INDEX(工厂基础数据!$B$2:$B$1024,MATCH(X934,工厂基础数据!$D$2:$D$1024,0))</f>
        <v>淄博博仁医药有限公司</v>
      </c>
      <c r="F934" s="6" t="e">
        <f>INDEX(商业2转码!$B$2:$B$10000,MATCH(E934,商业2转码!$A$2:$A$10000,0))</f>
        <v>#N/A</v>
      </c>
      <c r="G934" s="6">
        <f>INDEX(品种2编码!$A$2:$A$1048576,MATCH(W934,品种2编码!$D$2:$D$1048576,0))</f>
        <v>0</v>
      </c>
      <c r="H934" s="6" t="s">
        <v>338</v>
      </c>
      <c r="I934" s="6" t="s">
        <v>341</v>
      </c>
      <c r="J934" s="6" t="s">
        <v>3279</v>
      </c>
      <c r="L934" s="6" t="s">
        <v>3144</v>
      </c>
      <c r="M934" s="6" t="e">
        <f>INDEX(医院2县区2人!$B$2:$B$1048576,MATCH(L934,医院2县区2人!$A$2:$A$1048576,0))</f>
        <v>#N/A</v>
      </c>
      <c r="N934" s="6" t="e">
        <f>INDEX(医院2县区2人!$C$2:$C$1048576,MATCH(L934,医院2县区2人!$A$2:$A$1048576,0))</f>
        <v>#N/A</v>
      </c>
      <c r="P934" s="7">
        <v>43256</v>
      </c>
      <c r="Q934" s="6">
        <v>10</v>
      </c>
      <c r="R934" s="6">
        <v>185</v>
      </c>
      <c r="S934" s="6">
        <v>1504512</v>
      </c>
      <c r="T934" s="6" t="e">
        <f>INDEX(医院2县区2人!$D$2:$D$1048576,MATCH(L934,医院2县区2人!$A$2:$A$1048576,0))</f>
        <v>#N/A</v>
      </c>
      <c r="W934" s="6" t="str">
        <f t="shared" si="31"/>
        <v>丹佛胃尔康颗粒10g*8袋</v>
      </c>
      <c r="X934" s="6" t="s">
        <v>2893</v>
      </c>
    </row>
    <row r="935" spans="1:24" x14ac:dyDescent="0.15">
      <c r="A935" s="7" t="str">
        <f t="shared" si="32"/>
        <v>201806</v>
      </c>
      <c r="C935" s="6" t="str">
        <f>INDEX(工厂基础数据!$A$2:$A$1024,MATCH(X935,工厂基础数据!$D$2:$D$1024,0))</f>
        <v>02032120</v>
      </c>
      <c r="E935" s="6" t="str">
        <f>INDEX(工厂基础数据!$B$2:$B$1024,MATCH(X935,工厂基础数据!$D$2:$D$1024,0))</f>
        <v>淄博博仁医药有限公司</v>
      </c>
      <c r="F935" s="6" t="e">
        <f>INDEX(商业2转码!$B$2:$B$10000,MATCH(E935,商业2转码!$A$2:$A$10000,0))</f>
        <v>#N/A</v>
      </c>
      <c r="G935" s="6" t="str">
        <f>INDEX(品种2编码!$A$2:$A$1048576,MATCH(W935,品种2编码!$D$2:$D$1048576,0))</f>
        <v>0020050020SHYT0016</v>
      </c>
      <c r="H935" s="6" t="s">
        <v>1864</v>
      </c>
      <c r="I935" s="6" t="s">
        <v>339</v>
      </c>
      <c r="J935" s="6" t="s">
        <v>3037</v>
      </c>
      <c r="L935" s="6" t="s">
        <v>3123</v>
      </c>
      <c r="M935" s="6" t="e">
        <f>INDEX(医院2县区2人!$B$2:$B$1048576,MATCH(L935,医院2县区2人!$A$2:$A$1048576,0))</f>
        <v>#N/A</v>
      </c>
      <c r="N935" s="6" t="e">
        <f>INDEX(医院2县区2人!$C$2:$C$1048576,MATCH(L935,医院2县区2人!$A$2:$A$1048576,0))</f>
        <v>#N/A</v>
      </c>
      <c r="P935" s="7">
        <v>43256</v>
      </c>
      <c r="Q935" s="6">
        <v>13</v>
      </c>
      <c r="R935" s="6">
        <v>170.3</v>
      </c>
      <c r="S935" s="6">
        <v>1801503</v>
      </c>
      <c r="T935" s="6" t="e">
        <f>INDEX(医院2县区2人!$D$2:$D$1048576,MATCH(L935,医院2县区2人!$A$2:$A$1048576,0))</f>
        <v>#N/A</v>
      </c>
      <c r="W935" s="6" t="str">
        <f t="shared" si="31"/>
        <v>复方金银花颗粒10g*10袋</v>
      </c>
      <c r="X935" s="6" t="s">
        <v>2893</v>
      </c>
    </row>
    <row r="936" spans="1:24" x14ac:dyDescent="0.15">
      <c r="A936" s="7" t="str">
        <f t="shared" si="32"/>
        <v>201806</v>
      </c>
      <c r="C936" s="6" t="str">
        <f>INDEX(工厂基础数据!$A$2:$A$1024,MATCH(X936,工厂基础数据!$D$2:$D$1024,0))</f>
        <v>02032120</v>
      </c>
      <c r="E936" s="6" t="str">
        <f>INDEX(工厂基础数据!$B$2:$B$1024,MATCH(X936,工厂基础数据!$D$2:$D$1024,0))</f>
        <v>淄博博仁医药有限公司</v>
      </c>
      <c r="F936" s="6" t="e">
        <f>INDEX(商业2转码!$B$2:$B$10000,MATCH(E936,商业2转码!$A$2:$A$10000,0))</f>
        <v>#N/A</v>
      </c>
      <c r="G936" s="6">
        <f>INDEX(品种2编码!$A$2:$A$1048576,MATCH(W936,品种2编码!$D$2:$D$1048576,0))</f>
        <v>0</v>
      </c>
      <c r="H936" s="6" t="s">
        <v>672</v>
      </c>
      <c r="I936" s="6" t="s">
        <v>1843</v>
      </c>
      <c r="J936" s="6" t="s">
        <v>3279</v>
      </c>
      <c r="L936" s="6" t="s">
        <v>3156</v>
      </c>
      <c r="M936" s="6" t="e">
        <f>INDEX(医院2县区2人!$B$2:$B$1048576,MATCH(L936,医院2县区2人!$A$2:$A$1048576,0))</f>
        <v>#N/A</v>
      </c>
      <c r="N936" s="6" t="e">
        <f>INDEX(医院2县区2人!$C$2:$C$1048576,MATCH(L936,医院2县区2人!$A$2:$A$1048576,0))</f>
        <v>#N/A</v>
      </c>
      <c r="P936" s="7">
        <v>43256</v>
      </c>
      <c r="Q936" s="6">
        <v>20</v>
      </c>
      <c r="R936" s="6">
        <v>0.2</v>
      </c>
      <c r="S936" s="6">
        <v>20180105</v>
      </c>
      <c r="T936" s="6" t="e">
        <f>INDEX(医院2县区2人!$D$2:$D$1048576,MATCH(L936,医院2县区2人!$A$2:$A$1048576,0))</f>
        <v>#N/A</v>
      </c>
      <c r="W936" s="6" t="str">
        <f t="shared" si="31"/>
        <v>退热贴2贴</v>
      </c>
      <c r="X936" s="6" t="s">
        <v>2893</v>
      </c>
    </row>
    <row r="937" spans="1:24" x14ac:dyDescent="0.15">
      <c r="A937" s="7" t="str">
        <f t="shared" si="32"/>
        <v>201806</v>
      </c>
      <c r="C937" s="6" t="str">
        <f>INDEX(工厂基础数据!$A$2:$A$1024,MATCH(X937,工厂基础数据!$D$2:$D$1024,0))</f>
        <v>02032120</v>
      </c>
      <c r="E937" s="6" t="str">
        <f>INDEX(工厂基础数据!$B$2:$B$1024,MATCH(X937,工厂基础数据!$D$2:$D$1024,0))</f>
        <v>淄博博仁医药有限公司</v>
      </c>
      <c r="F937" s="6" t="e">
        <f>INDEX(商业2转码!$B$2:$B$10000,MATCH(E937,商业2转码!$A$2:$A$10000,0))</f>
        <v>#N/A</v>
      </c>
      <c r="G937" s="6" t="str">
        <f>INDEX(品种2编码!$A$2:$A$1048576,MATCH(W937,品种2编码!$D$2:$D$1048576,0))</f>
        <v>0020050090SJZY0001</v>
      </c>
      <c r="H937" s="6" t="s">
        <v>630</v>
      </c>
      <c r="I937" s="6" t="s">
        <v>1850</v>
      </c>
      <c r="J937" s="6" t="s">
        <v>3285</v>
      </c>
      <c r="L937" s="6" t="s">
        <v>3142</v>
      </c>
      <c r="M937" s="6" t="e">
        <f>INDEX(医院2县区2人!$B$2:$B$1048576,MATCH(L937,医院2县区2人!$A$2:$A$1048576,0))</f>
        <v>#N/A</v>
      </c>
      <c r="N937" s="6" t="e">
        <f>INDEX(医院2县区2人!$C$2:$C$1048576,MATCH(L937,医院2县区2人!$A$2:$A$1048576,0))</f>
        <v>#N/A</v>
      </c>
      <c r="P937" s="7">
        <v>43256</v>
      </c>
      <c r="Q937" s="6">
        <v>20</v>
      </c>
      <c r="R937" s="6">
        <v>330</v>
      </c>
      <c r="S937" s="6">
        <v>17122813</v>
      </c>
      <c r="T937" s="6" t="e">
        <f>INDEX(医院2县区2人!$D$2:$D$1048576,MATCH(L937,医院2县区2人!$A$2:$A$1048576,0))</f>
        <v>#N/A</v>
      </c>
      <c r="W937" s="6" t="str">
        <f t="shared" si="31"/>
        <v>双黄连口服液10ml*10支</v>
      </c>
      <c r="X937" s="6" t="s">
        <v>2893</v>
      </c>
    </row>
    <row r="938" spans="1:24" x14ac:dyDescent="0.15">
      <c r="A938" s="7" t="str">
        <f t="shared" si="32"/>
        <v>201806</v>
      </c>
      <c r="C938" s="6" t="str">
        <f>INDEX(工厂基础数据!$A$2:$A$1024,MATCH(X938,工厂基础数据!$D$2:$D$1024,0))</f>
        <v>02032120</v>
      </c>
      <c r="E938" s="6" t="str">
        <f>INDEX(工厂基础数据!$B$2:$B$1024,MATCH(X938,工厂基础数据!$D$2:$D$1024,0))</f>
        <v>淄博博仁医药有限公司</v>
      </c>
      <c r="F938" s="6" t="e">
        <f>INDEX(商业2转码!$B$2:$B$10000,MATCH(E938,商业2转码!$A$2:$A$10000,0))</f>
        <v>#N/A</v>
      </c>
      <c r="G938" s="6">
        <f>INDEX(品种2编码!$A$2:$A$1048576,MATCH(W938,品种2编码!$D$2:$D$1048576,0))</f>
        <v>0</v>
      </c>
      <c r="H938" s="6" t="s">
        <v>3268</v>
      </c>
      <c r="I938" s="6" t="s">
        <v>411</v>
      </c>
      <c r="J938" s="6" t="s">
        <v>3040</v>
      </c>
      <c r="L938" s="6" t="s">
        <v>3157</v>
      </c>
      <c r="M938" s="6" t="e">
        <f>INDEX(医院2县区2人!$B$2:$B$1048576,MATCH(L938,医院2县区2人!$A$2:$A$1048576,0))</f>
        <v>#N/A</v>
      </c>
      <c r="N938" s="6" t="e">
        <f>INDEX(医院2县区2人!$C$2:$C$1048576,MATCH(L938,医院2县区2人!$A$2:$A$1048576,0))</f>
        <v>#N/A</v>
      </c>
      <c r="P938" s="7">
        <v>43256</v>
      </c>
      <c r="Q938" s="6">
        <v>20</v>
      </c>
      <c r="R938" s="6">
        <v>460</v>
      </c>
      <c r="S938" s="6">
        <v>17112821</v>
      </c>
      <c r="T938" s="6" t="e">
        <f>INDEX(医院2县区2人!$D$2:$D$1048576,MATCH(L938,医院2县区2人!$A$2:$A$1048576,0))</f>
        <v>#N/A</v>
      </c>
      <c r="W938" s="6" t="str">
        <f t="shared" si="31"/>
        <v>葡糖糖酸锌口服溶液10ml*12支</v>
      </c>
      <c r="X938" s="6" t="s">
        <v>2893</v>
      </c>
    </row>
    <row r="939" spans="1:24" x14ac:dyDescent="0.15">
      <c r="A939" s="7" t="str">
        <f t="shared" si="32"/>
        <v>201806</v>
      </c>
      <c r="C939" s="6" t="str">
        <f>INDEX(工厂基础数据!$A$2:$A$1024,MATCH(X939,工厂基础数据!$D$2:$D$1024,0))</f>
        <v>02032120</v>
      </c>
      <c r="E939" s="6" t="str">
        <f>INDEX(工厂基础数据!$B$2:$B$1024,MATCH(X939,工厂基础数据!$D$2:$D$1024,0))</f>
        <v>淄博博仁医药有限公司</v>
      </c>
      <c r="F939" s="6" t="e">
        <f>INDEX(商业2转码!$B$2:$B$10000,MATCH(E939,商业2转码!$A$2:$A$10000,0))</f>
        <v>#N/A</v>
      </c>
      <c r="G939" s="6" t="str">
        <f>INDEX(品种2编码!$A$2:$A$1048576,MATCH(W939,品种2编码!$D$2:$D$1048576,0))</f>
        <v>0020050090SJZY0001</v>
      </c>
      <c r="H939" s="6" t="s">
        <v>630</v>
      </c>
      <c r="I939" s="6" t="s">
        <v>1850</v>
      </c>
      <c r="J939" s="6" t="s">
        <v>3285</v>
      </c>
      <c r="L939" s="6" t="s">
        <v>3158</v>
      </c>
      <c r="M939" s="6" t="e">
        <f>INDEX(医院2县区2人!$B$2:$B$1048576,MATCH(L939,医院2县区2人!$A$2:$A$1048576,0))</f>
        <v>#N/A</v>
      </c>
      <c r="N939" s="6" t="e">
        <f>INDEX(医院2县区2人!$C$2:$C$1048576,MATCH(L939,医院2县区2人!$A$2:$A$1048576,0))</f>
        <v>#N/A</v>
      </c>
      <c r="P939" s="7">
        <v>43256</v>
      </c>
      <c r="Q939" s="6">
        <v>30</v>
      </c>
      <c r="R939" s="6">
        <v>495</v>
      </c>
      <c r="S939" s="6">
        <v>17122813</v>
      </c>
      <c r="T939" s="6" t="e">
        <f>INDEX(医院2县区2人!$D$2:$D$1048576,MATCH(L939,医院2县区2人!$A$2:$A$1048576,0))</f>
        <v>#N/A</v>
      </c>
      <c r="W939" s="6" t="str">
        <f t="shared" si="31"/>
        <v>双黄连口服液10ml*10支</v>
      </c>
      <c r="X939" s="6" t="s">
        <v>2893</v>
      </c>
    </row>
    <row r="940" spans="1:24" x14ac:dyDescent="0.15">
      <c r="A940" s="7" t="str">
        <f t="shared" si="32"/>
        <v>201806</v>
      </c>
      <c r="C940" s="6" t="str">
        <f>INDEX(工厂基础数据!$A$2:$A$1024,MATCH(X940,工厂基础数据!$D$2:$D$1024,0))</f>
        <v>02032120</v>
      </c>
      <c r="E940" s="6" t="str">
        <f>INDEX(工厂基础数据!$B$2:$B$1024,MATCH(X940,工厂基础数据!$D$2:$D$1024,0))</f>
        <v>淄博博仁医药有限公司</v>
      </c>
      <c r="F940" s="6" t="e">
        <f>INDEX(商业2转码!$B$2:$B$10000,MATCH(E940,商业2转码!$A$2:$A$10000,0))</f>
        <v>#N/A</v>
      </c>
      <c r="G940" s="6" t="str">
        <f>INDEX(品种2编码!$A$2:$A$1048576,MATCH(W940,品种2编码!$D$2:$D$1048576,0))</f>
        <v>0020030001SJZY0006</v>
      </c>
      <c r="H940" s="6" t="s">
        <v>1833</v>
      </c>
      <c r="I940" s="6" t="s">
        <v>411</v>
      </c>
      <c r="J940" s="6" t="s">
        <v>3280</v>
      </c>
      <c r="L940" s="6" t="s">
        <v>3158</v>
      </c>
      <c r="M940" s="6" t="e">
        <f>INDEX(医院2县区2人!$B$2:$B$1048576,MATCH(L940,医院2县区2人!$A$2:$A$1048576,0))</f>
        <v>#N/A</v>
      </c>
      <c r="N940" s="6" t="e">
        <f>INDEX(医院2县区2人!$C$2:$C$1048576,MATCH(L940,医院2县区2人!$A$2:$A$1048576,0))</f>
        <v>#N/A</v>
      </c>
      <c r="P940" s="7">
        <v>43256</v>
      </c>
      <c r="Q940" s="6">
        <v>30</v>
      </c>
      <c r="R940" s="6">
        <v>660</v>
      </c>
      <c r="S940" s="6">
        <v>17122912</v>
      </c>
      <c r="T940" s="6" t="e">
        <f>INDEX(医院2县区2人!$D$2:$D$1048576,MATCH(L940,医院2县区2人!$A$2:$A$1048576,0))</f>
        <v>#N/A</v>
      </c>
      <c r="W940" s="6" t="str">
        <f t="shared" si="31"/>
        <v>葡萄糖酸钙口服溶液10ml*12支</v>
      </c>
      <c r="X940" s="6" t="s">
        <v>2893</v>
      </c>
    </row>
    <row r="941" spans="1:24" x14ac:dyDescent="0.15">
      <c r="A941" s="7" t="str">
        <f t="shared" si="32"/>
        <v>201806</v>
      </c>
      <c r="C941" s="6" t="str">
        <f>INDEX(工厂基础数据!$A$2:$A$1024,MATCH(X941,工厂基础数据!$D$2:$D$1024,0))</f>
        <v>02032120</v>
      </c>
      <c r="E941" s="6" t="str">
        <f>INDEX(工厂基础数据!$B$2:$B$1024,MATCH(X941,工厂基础数据!$D$2:$D$1024,0))</f>
        <v>淄博博仁医药有限公司</v>
      </c>
      <c r="F941" s="6" t="e">
        <f>INDEX(商业2转码!$B$2:$B$10000,MATCH(E941,商业2转码!$A$2:$A$10000,0))</f>
        <v>#N/A</v>
      </c>
      <c r="G941" s="6">
        <f>INDEX(品种2编码!$A$2:$A$1048576,MATCH(W941,品种2编码!$D$2:$D$1048576,0))</f>
        <v>0</v>
      </c>
      <c r="H941" s="6" t="s">
        <v>3268</v>
      </c>
      <c r="I941" s="6" t="s">
        <v>411</v>
      </c>
      <c r="J941" s="6" t="s">
        <v>3040</v>
      </c>
      <c r="L941" s="6" t="s">
        <v>3158</v>
      </c>
      <c r="M941" s="6" t="e">
        <f>INDEX(医院2县区2人!$B$2:$B$1048576,MATCH(L941,医院2县区2人!$A$2:$A$1048576,0))</f>
        <v>#N/A</v>
      </c>
      <c r="N941" s="6" t="e">
        <f>INDEX(医院2县区2人!$C$2:$C$1048576,MATCH(L941,医院2县区2人!$A$2:$A$1048576,0))</f>
        <v>#N/A</v>
      </c>
      <c r="P941" s="7">
        <v>43256</v>
      </c>
      <c r="Q941" s="6">
        <v>30</v>
      </c>
      <c r="R941" s="6">
        <v>690</v>
      </c>
      <c r="S941" s="6">
        <v>17112821</v>
      </c>
      <c r="T941" s="6" t="e">
        <f>INDEX(医院2县区2人!$D$2:$D$1048576,MATCH(L941,医院2县区2人!$A$2:$A$1048576,0))</f>
        <v>#N/A</v>
      </c>
      <c r="W941" s="6" t="str">
        <f t="shared" si="31"/>
        <v>葡糖糖酸锌口服溶液10ml*12支</v>
      </c>
      <c r="X941" s="6" t="s">
        <v>2893</v>
      </c>
    </row>
    <row r="942" spans="1:24" x14ac:dyDescent="0.15">
      <c r="A942" s="7" t="str">
        <f t="shared" si="32"/>
        <v>201806</v>
      </c>
      <c r="C942" s="6" t="str">
        <f>INDEX(工厂基础数据!$A$2:$A$1024,MATCH(X942,工厂基础数据!$D$2:$D$1024,0))</f>
        <v>02032120</v>
      </c>
      <c r="E942" s="6" t="str">
        <f>INDEX(工厂基础数据!$B$2:$B$1024,MATCH(X942,工厂基础数据!$D$2:$D$1024,0))</f>
        <v>淄博博仁医药有限公司</v>
      </c>
      <c r="F942" s="6" t="e">
        <f>INDEX(商业2转码!$B$2:$B$10000,MATCH(E942,商业2转码!$A$2:$A$10000,0))</f>
        <v>#N/A</v>
      </c>
      <c r="G942" s="6">
        <f>INDEX(品种2编码!$A$2:$A$1048576,MATCH(W942,品种2编码!$D$2:$D$1048576,0))</f>
        <v>0</v>
      </c>
      <c r="H942" s="6" t="s">
        <v>317</v>
      </c>
      <c r="I942" s="6" t="s">
        <v>3291</v>
      </c>
      <c r="J942" s="6" t="s">
        <v>3279</v>
      </c>
      <c r="L942" s="6" t="s">
        <v>3132</v>
      </c>
      <c r="M942" s="6" t="e">
        <f>INDEX(医院2县区2人!$B$2:$B$1048576,MATCH(L942,医院2县区2人!$A$2:$A$1048576,0))</f>
        <v>#N/A</v>
      </c>
      <c r="N942" s="6" t="e">
        <f>INDEX(医院2县区2人!$C$2:$C$1048576,MATCH(L942,医院2县区2人!$A$2:$A$1048576,0))</f>
        <v>#N/A</v>
      </c>
      <c r="P942" s="7">
        <v>43257</v>
      </c>
      <c r="Q942" s="6">
        <v>1</v>
      </c>
      <c r="R942" s="6">
        <v>10.3</v>
      </c>
      <c r="S942" s="6">
        <v>1803608</v>
      </c>
      <c r="T942" s="6" t="e">
        <f>INDEX(医院2县区2人!$D$2:$D$1048576,MATCH(L942,医院2县区2人!$A$2:$A$1048576,0))</f>
        <v>#N/A</v>
      </c>
      <c r="W942" s="6" t="str">
        <f t="shared" si="31"/>
        <v>布洛芬颗粒0.2g*12包</v>
      </c>
      <c r="X942" s="6" t="s">
        <v>2893</v>
      </c>
    </row>
    <row r="943" spans="1:24" x14ac:dyDescent="0.15">
      <c r="A943" s="7" t="str">
        <f t="shared" si="32"/>
        <v>201806</v>
      </c>
      <c r="C943" s="6" t="str">
        <f>INDEX(工厂基础数据!$A$2:$A$1024,MATCH(X943,工厂基础数据!$D$2:$D$1024,0))</f>
        <v>02032120</v>
      </c>
      <c r="E943" s="6" t="str">
        <f>INDEX(工厂基础数据!$B$2:$B$1024,MATCH(X943,工厂基础数据!$D$2:$D$1024,0))</f>
        <v>淄博博仁医药有限公司</v>
      </c>
      <c r="F943" s="6" t="e">
        <f>INDEX(商业2转码!$B$2:$B$10000,MATCH(E943,商业2转码!$A$2:$A$10000,0))</f>
        <v>#N/A</v>
      </c>
      <c r="G943" s="6">
        <f>INDEX(品种2编码!$A$2:$A$1048576,MATCH(W943,品种2编码!$D$2:$D$1048576,0))</f>
        <v>0</v>
      </c>
      <c r="H943" s="6" t="s">
        <v>1987</v>
      </c>
      <c r="I943" s="6" t="s">
        <v>411</v>
      </c>
      <c r="J943" s="6" t="s">
        <v>3279</v>
      </c>
      <c r="L943" s="6" t="s">
        <v>3159</v>
      </c>
      <c r="M943" s="6" t="e">
        <f>INDEX(医院2县区2人!$B$2:$B$1048576,MATCH(L943,医院2县区2人!$A$2:$A$1048576,0))</f>
        <v>#N/A</v>
      </c>
      <c r="N943" s="6" t="e">
        <f>INDEX(医院2县区2人!$C$2:$C$1048576,MATCH(L943,医院2县区2人!$A$2:$A$1048576,0))</f>
        <v>#N/A</v>
      </c>
      <c r="P943" s="7">
        <v>43257</v>
      </c>
      <c r="Q943" s="6">
        <v>2</v>
      </c>
      <c r="R943" s="6">
        <v>32</v>
      </c>
      <c r="S943" s="6">
        <v>170622</v>
      </c>
      <c r="T943" s="6" t="e">
        <f>INDEX(医院2县区2人!$D$2:$D$1048576,MATCH(L943,医院2县区2人!$A$2:$A$1048576,0))</f>
        <v>#N/A</v>
      </c>
      <c r="W943" s="6" t="str">
        <f t="shared" si="31"/>
        <v>乳酸亚铁口服液（朴雪）10ml*12支</v>
      </c>
      <c r="X943" s="6" t="s">
        <v>2893</v>
      </c>
    </row>
    <row r="944" spans="1:24" x14ac:dyDescent="0.15">
      <c r="A944" s="7" t="str">
        <f t="shared" si="32"/>
        <v>201806</v>
      </c>
      <c r="C944" s="6" t="str">
        <f>INDEX(工厂基础数据!$A$2:$A$1024,MATCH(X944,工厂基础数据!$D$2:$D$1024,0))</f>
        <v>02032120</v>
      </c>
      <c r="E944" s="6" t="str">
        <f>INDEX(工厂基础数据!$B$2:$B$1024,MATCH(X944,工厂基础数据!$D$2:$D$1024,0))</f>
        <v>淄博博仁医药有限公司</v>
      </c>
      <c r="F944" s="6" t="e">
        <f>INDEX(商业2转码!$B$2:$B$10000,MATCH(E944,商业2转码!$A$2:$A$10000,0))</f>
        <v>#N/A</v>
      </c>
      <c r="G944" s="6">
        <f>INDEX(品种2编码!$A$2:$A$1048576,MATCH(W944,品种2编码!$D$2:$D$1048576,0))</f>
        <v>0</v>
      </c>
      <c r="H944" s="6" t="s">
        <v>3268</v>
      </c>
      <c r="I944" s="6" t="s">
        <v>411</v>
      </c>
      <c r="J944" s="6" t="s">
        <v>3040</v>
      </c>
      <c r="L944" s="6" t="s">
        <v>3160</v>
      </c>
      <c r="M944" s="6" t="e">
        <f>INDEX(医院2县区2人!$B$2:$B$1048576,MATCH(L944,医院2县区2人!$A$2:$A$1048576,0))</f>
        <v>#N/A</v>
      </c>
      <c r="N944" s="6" t="e">
        <f>INDEX(医院2县区2人!$C$2:$C$1048576,MATCH(L944,医院2县区2人!$A$2:$A$1048576,0))</f>
        <v>#N/A</v>
      </c>
      <c r="P944" s="7">
        <v>43257</v>
      </c>
      <c r="Q944" s="6">
        <v>2</v>
      </c>
      <c r="R944" s="6">
        <v>46</v>
      </c>
      <c r="S944" s="6">
        <v>17112821</v>
      </c>
      <c r="T944" s="6" t="e">
        <f>INDEX(医院2县区2人!$D$2:$D$1048576,MATCH(L944,医院2县区2人!$A$2:$A$1048576,0))</f>
        <v>#N/A</v>
      </c>
      <c r="W944" s="6" t="str">
        <f t="shared" si="31"/>
        <v>葡糖糖酸锌口服溶液10ml*12支</v>
      </c>
      <c r="X944" s="6" t="s">
        <v>2893</v>
      </c>
    </row>
    <row r="945" spans="1:24" x14ac:dyDescent="0.15">
      <c r="A945" s="7" t="str">
        <f t="shared" si="32"/>
        <v>201806</v>
      </c>
      <c r="C945" s="6" t="str">
        <f>INDEX(工厂基础数据!$A$2:$A$1024,MATCH(X945,工厂基础数据!$D$2:$D$1024,0))</f>
        <v>02032120</v>
      </c>
      <c r="E945" s="6" t="str">
        <f>INDEX(工厂基础数据!$B$2:$B$1024,MATCH(X945,工厂基础数据!$D$2:$D$1024,0))</f>
        <v>淄博博仁医药有限公司</v>
      </c>
      <c r="F945" s="6" t="e">
        <f>INDEX(商业2转码!$B$2:$B$10000,MATCH(E945,商业2转码!$A$2:$A$10000,0))</f>
        <v>#N/A</v>
      </c>
      <c r="G945" s="6">
        <f>INDEX(品种2编码!$A$2:$A$1048576,MATCH(W945,品种2编码!$D$2:$D$1048576,0))</f>
        <v>0</v>
      </c>
      <c r="H945" s="6" t="s">
        <v>317</v>
      </c>
      <c r="I945" s="6" t="s">
        <v>3291</v>
      </c>
      <c r="J945" s="6" t="s">
        <v>3279</v>
      </c>
      <c r="L945" s="6" t="s">
        <v>3132</v>
      </c>
      <c r="M945" s="6" t="e">
        <f>INDEX(医院2县区2人!$B$2:$B$1048576,MATCH(L945,医院2县区2人!$A$2:$A$1048576,0))</f>
        <v>#N/A</v>
      </c>
      <c r="N945" s="6" t="e">
        <f>INDEX(医院2县区2人!$C$2:$C$1048576,MATCH(L945,医院2县区2人!$A$2:$A$1048576,0))</f>
        <v>#N/A</v>
      </c>
      <c r="P945" s="7">
        <v>43257</v>
      </c>
      <c r="Q945" s="6">
        <v>4</v>
      </c>
      <c r="R945" s="6">
        <v>41.2</v>
      </c>
      <c r="S945" s="6">
        <v>1712615</v>
      </c>
      <c r="T945" s="6" t="e">
        <f>INDEX(医院2县区2人!$D$2:$D$1048576,MATCH(L945,医院2县区2人!$A$2:$A$1048576,0))</f>
        <v>#N/A</v>
      </c>
      <c r="W945" s="6" t="str">
        <f t="shared" si="31"/>
        <v>布洛芬颗粒0.2g*12包</v>
      </c>
      <c r="X945" s="6" t="s">
        <v>2893</v>
      </c>
    </row>
    <row r="946" spans="1:24" x14ac:dyDescent="0.15">
      <c r="A946" s="7" t="str">
        <f t="shared" si="32"/>
        <v>201806</v>
      </c>
      <c r="C946" s="6" t="str">
        <f>INDEX(工厂基础数据!$A$2:$A$1024,MATCH(X946,工厂基础数据!$D$2:$D$1024,0))</f>
        <v>02032120</v>
      </c>
      <c r="E946" s="6" t="str">
        <f>INDEX(工厂基础数据!$B$2:$B$1024,MATCH(X946,工厂基础数据!$D$2:$D$1024,0))</f>
        <v>淄博博仁医药有限公司</v>
      </c>
      <c r="F946" s="6" t="e">
        <f>INDEX(商业2转码!$B$2:$B$10000,MATCH(E946,商业2转码!$A$2:$A$10000,0))</f>
        <v>#N/A</v>
      </c>
      <c r="G946" s="6">
        <f>INDEX(品种2编码!$A$2:$A$1048576,MATCH(W946,品种2编码!$D$2:$D$1048576,0))</f>
        <v>0</v>
      </c>
      <c r="H946" s="6" t="s">
        <v>1885</v>
      </c>
      <c r="I946" s="6" t="s">
        <v>1838</v>
      </c>
      <c r="J946" s="6" t="s">
        <v>3279</v>
      </c>
      <c r="L946" s="6" t="s">
        <v>3161</v>
      </c>
      <c r="M946" s="6" t="e">
        <f>INDEX(医院2县区2人!$B$2:$B$1048576,MATCH(L946,医院2县区2人!$A$2:$A$1048576,0))</f>
        <v>#N/A</v>
      </c>
      <c r="N946" s="6" t="e">
        <f>INDEX(医院2县区2人!$C$2:$C$1048576,MATCH(L946,医院2县区2人!$A$2:$A$1048576,0))</f>
        <v>#N/A</v>
      </c>
      <c r="P946" s="7">
        <v>43257</v>
      </c>
      <c r="Q946" s="6">
        <v>5</v>
      </c>
      <c r="R946" s="6">
        <v>120</v>
      </c>
      <c r="S946" s="6">
        <v>171251</v>
      </c>
      <c r="T946" s="6" t="e">
        <f>INDEX(医院2县区2人!$D$2:$D$1048576,MATCH(L946,医院2县区2人!$A$2:$A$1048576,0))</f>
        <v>#N/A</v>
      </c>
      <c r="W946" s="6" t="str">
        <f t="shared" si="31"/>
        <v>新盖中盖高钙片2.5g*36片</v>
      </c>
      <c r="X946" s="6" t="s">
        <v>2893</v>
      </c>
    </row>
    <row r="947" spans="1:24" x14ac:dyDescent="0.15">
      <c r="A947" s="7" t="str">
        <f t="shared" si="32"/>
        <v>201806</v>
      </c>
      <c r="C947" s="6" t="str">
        <f>INDEX(工厂基础数据!$A$2:$A$1024,MATCH(X947,工厂基础数据!$D$2:$D$1024,0))</f>
        <v>02032120</v>
      </c>
      <c r="E947" s="6" t="str">
        <f>INDEX(工厂基础数据!$B$2:$B$1024,MATCH(X947,工厂基础数据!$D$2:$D$1024,0))</f>
        <v>淄博博仁医药有限公司</v>
      </c>
      <c r="F947" s="6" t="e">
        <f>INDEX(商业2转码!$B$2:$B$10000,MATCH(E947,商业2转码!$A$2:$A$10000,0))</f>
        <v>#N/A</v>
      </c>
      <c r="G947" s="6">
        <f>INDEX(品种2编码!$A$2:$A$1048576,MATCH(W947,品种2编码!$D$2:$D$1048576,0))</f>
        <v>0</v>
      </c>
      <c r="H947" s="6" t="s">
        <v>1987</v>
      </c>
      <c r="I947" s="6" t="s">
        <v>411</v>
      </c>
      <c r="J947" s="6" t="s">
        <v>3279</v>
      </c>
      <c r="L947" s="6" t="s">
        <v>3160</v>
      </c>
      <c r="M947" s="6" t="e">
        <f>INDEX(医院2县区2人!$B$2:$B$1048576,MATCH(L947,医院2县区2人!$A$2:$A$1048576,0))</f>
        <v>#N/A</v>
      </c>
      <c r="N947" s="6" t="e">
        <f>INDEX(医院2县区2人!$C$2:$C$1048576,MATCH(L947,医院2县区2人!$A$2:$A$1048576,0))</f>
        <v>#N/A</v>
      </c>
      <c r="P947" s="7">
        <v>43257</v>
      </c>
      <c r="Q947" s="6">
        <v>5</v>
      </c>
      <c r="R947" s="6">
        <v>80</v>
      </c>
      <c r="S947" s="6">
        <v>170622</v>
      </c>
      <c r="T947" s="6" t="e">
        <f>INDEX(医院2县区2人!$D$2:$D$1048576,MATCH(L947,医院2县区2人!$A$2:$A$1048576,0))</f>
        <v>#N/A</v>
      </c>
      <c r="W947" s="6" t="str">
        <f t="shared" si="31"/>
        <v>乳酸亚铁口服液（朴雪）10ml*12支</v>
      </c>
      <c r="X947" s="6" t="s">
        <v>2893</v>
      </c>
    </row>
    <row r="948" spans="1:24" x14ac:dyDescent="0.15">
      <c r="A948" s="7" t="str">
        <f t="shared" si="32"/>
        <v>201806</v>
      </c>
      <c r="C948" s="6" t="str">
        <f>INDEX(工厂基础数据!$A$2:$A$1024,MATCH(X948,工厂基础数据!$D$2:$D$1024,0))</f>
        <v>02032120</v>
      </c>
      <c r="E948" s="6" t="str">
        <f>INDEX(工厂基础数据!$B$2:$B$1024,MATCH(X948,工厂基础数据!$D$2:$D$1024,0))</f>
        <v>淄博博仁医药有限公司</v>
      </c>
      <c r="F948" s="6" t="e">
        <f>INDEX(商业2转码!$B$2:$B$10000,MATCH(E948,商业2转码!$A$2:$A$10000,0))</f>
        <v>#N/A</v>
      </c>
      <c r="G948" s="6">
        <f>INDEX(品种2编码!$A$2:$A$1048576,MATCH(W948,品种2编码!$D$2:$D$1048576,0))</f>
        <v>0</v>
      </c>
      <c r="H948" s="6" t="s">
        <v>3268</v>
      </c>
      <c r="I948" s="6" t="s">
        <v>411</v>
      </c>
      <c r="J948" s="6" t="s">
        <v>3040</v>
      </c>
      <c r="L948" s="6" t="s">
        <v>3162</v>
      </c>
      <c r="M948" s="6" t="e">
        <f>INDEX(医院2县区2人!$B$2:$B$1048576,MATCH(L948,医院2县区2人!$A$2:$A$1048576,0))</f>
        <v>#N/A</v>
      </c>
      <c r="N948" s="6" t="e">
        <f>INDEX(医院2县区2人!$C$2:$C$1048576,MATCH(L948,医院2县区2人!$A$2:$A$1048576,0))</f>
        <v>#N/A</v>
      </c>
      <c r="P948" s="7">
        <v>43257</v>
      </c>
      <c r="Q948" s="6">
        <v>5</v>
      </c>
      <c r="R948" s="6">
        <v>115</v>
      </c>
      <c r="S948" s="6">
        <v>17112821</v>
      </c>
      <c r="T948" s="6" t="e">
        <f>INDEX(医院2县区2人!$D$2:$D$1048576,MATCH(L948,医院2县区2人!$A$2:$A$1048576,0))</f>
        <v>#N/A</v>
      </c>
      <c r="W948" s="6" t="str">
        <f t="shared" si="31"/>
        <v>葡糖糖酸锌口服溶液10ml*12支</v>
      </c>
      <c r="X948" s="6" t="s">
        <v>2893</v>
      </c>
    </row>
    <row r="949" spans="1:24" x14ac:dyDescent="0.15">
      <c r="A949" s="7" t="str">
        <f t="shared" si="32"/>
        <v>201806</v>
      </c>
      <c r="C949" s="6" t="str">
        <f>INDEX(工厂基础数据!$A$2:$A$1024,MATCH(X949,工厂基础数据!$D$2:$D$1024,0))</f>
        <v>02032120</v>
      </c>
      <c r="E949" s="6" t="str">
        <f>INDEX(工厂基础数据!$B$2:$B$1024,MATCH(X949,工厂基础数据!$D$2:$D$1024,0))</f>
        <v>淄博博仁医药有限公司</v>
      </c>
      <c r="F949" s="6" t="e">
        <f>INDEX(商业2转码!$B$2:$B$10000,MATCH(E949,商业2转码!$A$2:$A$10000,0))</f>
        <v>#N/A</v>
      </c>
      <c r="G949" s="6" t="str">
        <f>INDEX(品种2编码!$A$2:$A$1048576,MATCH(W949,品种2编码!$D$2:$D$1048576,0))</f>
        <v>0020070000ZYLC0052</v>
      </c>
      <c r="H949" s="6" t="s">
        <v>402</v>
      </c>
      <c r="I949" s="6" t="s">
        <v>411</v>
      </c>
      <c r="J949" s="6" t="s">
        <v>3279</v>
      </c>
      <c r="L949" s="6" t="s">
        <v>3160</v>
      </c>
      <c r="M949" s="6" t="e">
        <f>INDEX(医院2县区2人!$B$2:$B$1048576,MATCH(L949,医院2县区2人!$A$2:$A$1048576,0))</f>
        <v>#N/A</v>
      </c>
      <c r="N949" s="6" t="e">
        <f>INDEX(医院2县区2人!$C$2:$C$1048576,MATCH(L949,医院2县区2人!$A$2:$A$1048576,0))</f>
        <v>#N/A</v>
      </c>
      <c r="P949" s="7">
        <v>43257</v>
      </c>
      <c r="Q949" s="6">
        <v>5</v>
      </c>
      <c r="R949" s="6">
        <v>85</v>
      </c>
      <c r="S949" s="6">
        <v>170801</v>
      </c>
      <c r="T949" s="6" t="e">
        <f>INDEX(医院2县区2人!$D$2:$D$1048576,MATCH(L949,医院2县区2人!$A$2:$A$1048576,0))</f>
        <v>#N/A</v>
      </c>
      <c r="W949" s="6" t="str">
        <f t="shared" si="31"/>
        <v>钙加锌口服液10ml*12支</v>
      </c>
      <c r="X949" s="6" t="s">
        <v>2893</v>
      </c>
    </row>
    <row r="950" spans="1:24" x14ac:dyDescent="0.15">
      <c r="A950" s="7" t="str">
        <f t="shared" si="32"/>
        <v>201806</v>
      </c>
      <c r="C950" s="6" t="str">
        <f>INDEX(工厂基础数据!$A$2:$A$1024,MATCH(X950,工厂基础数据!$D$2:$D$1024,0))</f>
        <v>02032120</v>
      </c>
      <c r="E950" s="6" t="str">
        <f>INDEX(工厂基础数据!$B$2:$B$1024,MATCH(X950,工厂基础数据!$D$2:$D$1024,0))</f>
        <v>淄博博仁医药有限公司</v>
      </c>
      <c r="F950" s="6" t="e">
        <f>INDEX(商业2转码!$B$2:$B$10000,MATCH(E950,商业2转码!$A$2:$A$10000,0))</f>
        <v>#N/A</v>
      </c>
      <c r="G950" s="6">
        <f>INDEX(品种2编码!$A$2:$A$1048576,MATCH(W950,品种2编码!$D$2:$D$1048576,0))</f>
        <v>0</v>
      </c>
      <c r="H950" s="6" t="s">
        <v>1857</v>
      </c>
      <c r="I950" s="6" t="s">
        <v>3288</v>
      </c>
      <c r="J950" s="6" t="s">
        <v>3281</v>
      </c>
      <c r="L950" s="6" t="s">
        <v>3163</v>
      </c>
      <c r="M950" s="6" t="e">
        <f>INDEX(医院2县区2人!$B$2:$B$1048576,MATCH(L950,医院2县区2人!$A$2:$A$1048576,0))</f>
        <v>#N/A</v>
      </c>
      <c r="N950" s="6" t="e">
        <f>INDEX(医院2县区2人!$C$2:$C$1048576,MATCH(L950,医院2县区2人!$A$2:$A$1048576,0))</f>
        <v>#N/A</v>
      </c>
      <c r="P950" s="7">
        <v>43257</v>
      </c>
      <c r="Q950" s="6">
        <v>5</v>
      </c>
      <c r="R950" s="6">
        <v>70</v>
      </c>
      <c r="S950" s="6">
        <v>1801404</v>
      </c>
      <c r="T950" s="6" t="e">
        <f>INDEX(医院2县区2人!$D$2:$D$1048576,MATCH(L950,医院2县区2人!$A$2:$A$1048576,0))</f>
        <v>#N/A</v>
      </c>
      <c r="W950" s="6" t="str">
        <f t="shared" si="31"/>
        <v>妇宁栓7粒</v>
      </c>
      <c r="X950" s="6" t="s">
        <v>2893</v>
      </c>
    </row>
    <row r="951" spans="1:24" x14ac:dyDescent="0.15">
      <c r="A951" s="7" t="str">
        <f t="shared" si="32"/>
        <v>201806</v>
      </c>
      <c r="C951" s="6" t="str">
        <f>INDEX(工厂基础数据!$A$2:$A$1024,MATCH(X951,工厂基础数据!$D$2:$D$1024,0))</f>
        <v>02032120</v>
      </c>
      <c r="E951" s="6" t="str">
        <f>INDEX(工厂基础数据!$B$2:$B$1024,MATCH(X951,工厂基础数据!$D$2:$D$1024,0))</f>
        <v>淄博博仁医药有限公司</v>
      </c>
      <c r="F951" s="6" t="e">
        <f>INDEX(商业2转码!$B$2:$B$10000,MATCH(E951,商业2转码!$A$2:$A$10000,0))</f>
        <v>#N/A</v>
      </c>
      <c r="G951" s="6">
        <f>INDEX(品种2编码!$A$2:$A$1048576,MATCH(W951,品种2编码!$D$2:$D$1048576,0))</f>
        <v>0</v>
      </c>
      <c r="H951" s="6" t="s">
        <v>317</v>
      </c>
      <c r="I951" s="6" t="s">
        <v>3291</v>
      </c>
      <c r="J951" s="6" t="s">
        <v>3279</v>
      </c>
      <c r="L951" s="6" t="s">
        <v>3164</v>
      </c>
      <c r="M951" s="6" t="e">
        <f>INDEX(医院2县区2人!$B$2:$B$1048576,MATCH(L951,医院2县区2人!$A$2:$A$1048576,0))</f>
        <v>#N/A</v>
      </c>
      <c r="N951" s="6" t="e">
        <f>INDEX(医院2县区2人!$C$2:$C$1048576,MATCH(L951,医院2县区2人!$A$2:$A$1048576,0))</f>
        <v>#N/A</v>
      </c>
      <c r="P951" s="7">
        <v>43257</v>
      </c>
      <c r="Q951" s="6">
        <v>5</v>
      </c>
      <c r="R951" s="6">
        <v>62.5</v>
      </c>
      <c r="S951" s="6">
        <v>1712615</v>
      </c>
      <c r="T951" s="6" t="e">
        <f>INDEX(医院2县区2人!$D$2:$D$1048576,MATCH(L951,医院2县区2人!$A$2:$A$1048576,0))</f>
        <v>#N/A</v>
      </c>
      <c r="W951" s="6" t="str">
        <f t="shared" si="31"/>
        <v>布洛芬颗粒0.2g*12包</v>
      </c>
      <c r="X951" s="6" t="s">
        <v>2893</v>
      </c>
    </row>
    <row r="952" spans="1:24" x14ac:dyDescent="0.15">
      <c r="A952" s="7" t="str">
        <f t="shared" si="32"/>
        <v>201806</v>
      </c>
      <c r="C952" s="6" t="str">
        <f>INDEX(工厂基础数据!$A$2:$A$1024,MATCH(X952,工厂基础数据!$D$2:$D$1024,0))</f>
        <v>02032120</v>
      </c>
      <c r="E952" s="6" t="str">
        <f>INDEX(工厂基础数据!$B$2:$B$1024,MATCH(X952,工厂基础数据!$D$2:$D$1024,0))</f>
        <v>淄博博仁医药有限公司</v>
      </c>
      <c r="F952" s="6" t="e">
        <f>INDEX(商业2转码!$B$2:$B$10000,MATCH(E952,商业2转码!$A$2:$A$10000,0))</f>
        <v>#N/A</v>
      </c>
      <c r="G952" s="6">
        <f>INDEX(品种2编码!$A$2:$A$1048576,MATCH(W952,品种2编码!$D$2:$D$1048576,0))</f>
        <v>0</v>
      </c>
      <c r="H952" s="6" t="s">
        <v>1885</v>
      </c>
      <c r="I952" s="6" t="s">
        <v>1838</v>
      </c>
      <c r="J952" s="6" t="s">
        <v>3279</v>
      </c>
      <c r="L952" s="6" t="s">
        <v>3165</v>
      </c>
      <c r="M952" s="6" t="e">
        <f>INDEX(医院2县区2人!$B$2:$B$1048576,MATCH(L952,医院2县区2人!$A$2:$A$1048576,0))</f>
        <v>#N/A</v>
      </c>
      <c r="N952" s="6" t="e">
        <f>INDEX(医院2县区2人!$C$2:$C$1048576,MATCH(L952,医院2县区2人!$A$2:$A$1048576,0))</f>
        <v>#N/A</v>
      </c>
      <c r="P952" s="7">
        <v>43257</v>
      </c>
      <c r="Q952" s="6">
        <v>10</v>
      </c>
      <c r="R952" s="6">
        <v>240</v>
      </c>
      <c r="S952" s="6">
        <v>171251</v>
      </c>
      <c r="T952" s="6" t="e">
        <f>INDEX(医院2县区2人!$D$2:$D$1048576,MATCH(L952,医院2县区2人!$A$2:$A$1048576,0))</f>
        <v>#N/A</v>
      </c>
      <c r="W952" s="6" t="str">
        <f t="shared" si="31"/>
        <v>新盖中盖高钙片2.5g*36片</v>
      </c>
      <c r="X952" s="6" t="s">
        <v>2893</v>
      </c>
    </row>
    <row r="953" spans="1:24" x14ac:dyDescent="0.15">
      <c r="A953" s="7" t="str">
        <f t="shared" si="32"/>
        <v>201806</v>
      </c>
      <c r="C953" s="6" t="str">
        <f>INDEX(工厂基础数据!$A$2:$A$1024,MATCH(X953,工厂基础数据!$D$2:$D$1024,0))</f>
        <v>02032120</v>
      </c>
      <c r="E953" s="6" t="str">
        <f>INDEX(工厂基础数据!$B$2:$B$1024,MATCH(X953,工厂基础数据!$D$2:$D$1024,0))</f>
        <v>淄博博仁医药有限公司</v>
      </c>
      <c r="F953" s="6" t="e">
        <f>INDEX(商业2转码!$B$2:$B$10000,MATCH(E953,商业2转码!$A$2:$A$10000,0))</f>
        <v>#N/A</v>
      </c>
      <c r="G953" s="6" t="str">
        <f>INDEX(品种2编码!$A$2:$A$1048576,MATCH(W953,品种2编码!$D$2:$D$1048576,0))</f>
        <v>0020050090SJZY0001</v>
      </c>
      <c r="H953" s="6" t="s">
        <v>630</v>
      </c>
      <c r="I953" s="6" t="s">
        <v>1850</v>
      </c>
      <c r="J953" s="6" t="s">
        <v>3285</v>
      </c>
      <c r="L953" s="6" t="s">
        <v>3166</v>
      </c>
      <c r="M953" s="6" t="e">
        <f>INDEX(医院2县区2人!$B$2:$B$1048576,MATCH(L953,医院2县区2人!$A$2:$A$1048576,0))</f>
        <v>#N/A</v>
      </c>
      <c r="N953" s="6" t="e">
        <f>INDEX(医院2县区2人!$C$2:$C$1048576,MATCH(L953,医院2县区2人!$A$2:$A$1048576,0))</f>
        <v>#N/A</v>
      </c>
      <c r="P953" s="7">
        <v>43257</v>
      </c>
      <c r="Q953" s="6">
        <v>10</v>
      </c>
      <c r="R953" s="6">
        <v>165</v>
      </c>
      <c r="S953" s="6">
        <v>17122813</v>
      </c>
      <c r="T953" s="6" t="e">
        <f>INDEX(医院2县区2人!$D$2:$D$1048576,MATCH(L953,医院2县区2人!$A$2:$A$1048576,0))</f>
        <v>#N/A</v>
      </c>
      <c r="W953" s="6" t="str">
        <f t="shared" si="31"/>
        <v>双黄连口服液10ml*10支</v>
      </c>
      <c r="X953" s="6" t="s">
        <v>2893</v>
      </c>
    </row>
    <row r="954" spans="1:24" x14ac:dyDescent="0.15">
      <c r="A954" s="7" t="str">
        <f t="shared" si="32"/>
        <v>201806</v>
      </c>
      <c r="C954" s="6" t="str">
        <f>INDEX(工厂基础数据!$A$2:$A$1024,MATCH(X954,工厂基础数据!$D$2:$D$1024,0))</f>
        <v>02032120</v>
      </c>
      <c r="E954" s="6" t="str">
        <f>INDEX(工厂基础数据!$B$2:$B$1024,MATCH(X954,工厂基础数据!$D$2:$D$1024,0))</f>
        <v>淄博博仁医药有限公司</v>
      </c>
      <c r="F954" s="6" t="e">
        <f>INDEX(商业2转码!$B$2:$B$10000,MATCH(E954,商业2转码!$A$2:$A$10000,0))</f>
        <v>#N/A</v>
      </c>
      <c r="G954" s="6" t="str">
        <f>INDEX(品种2编码!$A$2:$A$1048576,MATCH(W954,品种2编码!$D$2:$D$1048576,0))</f>
        <v>0020050090SJZY0001</v>
      </c>
      <c r="H954" s="6" t="s">
        <v>630</v>
      </c>
      <c r="I954" s="6" t="s">
        <v>1850</v>
      </c>
      <c r="J954" s="6" t="s">
        <v>3285</v>
      </c>
      <c r="L954" s="6" t="s">
        <v>3167</v>
      </c>
      <c r="M954" s="6" t="e">
        <f>INDEX(医院2县区2人!$B$2:$B$1048576,MATCH(L954,医院2县区2人!$A$2:$A$1048576,0))</f>
        <v>#N/A</v>
      </c>
      <c r="N954" s="6" t="e">
        <f>INDEX(医院2县区2人!$C$2:$C$1048576,MATCH(L954,医院2县区2人!$A$2:$A$1048576,0))</f>
        <v>#N/A</v>
      </c>
      <c r="P954" s="7">
        <v>43257</v>
      </c>
      <c r="Q954" s="6">
        <v>10</v>
      </c>
      <c r="R954" s="6">
        <v>165</v>
      </c>
      <c r="S954" s="6">
        <v>17122813</v>
      </c>
      <c r="T954" s="6" t="e">
        <f>INDEX(医院2县区2人!$D$2:$D$1048576,MATCH(L954,医院2县区2人!$A$2:$A$1048576,0))</f>
        <v>#N/A</v>
      </c>
      <c r="W954" s="6" t="str">
        <f t="shared" si="31"/>
        <v>双黄连口服液10ml*10支</v>
      </c>
      <c r="X954" s="6" t="s">
        <v>2893</v>
      </c>
    </row>
    <row r="955" spans="1:24" x14ac:dyDescent="0.15">
      <c r="A955" s="7" t="str">
        <f t="shared" si="32"/>
        <v>201806</v>
      </c>
      <c r="C955" s="6" t="str">
        <f>INDEX(工厂基础数据!$A$2:$A$1024,MATCH(X955,工厂基础数据!$D$2:$D$1024,0))</f>
        <v>02032120</v>
      </c>
      <c r="E955" s="6" t="str">
        <f>INDEX(工厂基础数据!$B$2:$B$1024,MATCH(X955,工厂基础数据!$D$2:$D$1024,0))</f>
        <v>淄博博仁医药有限公司</v>
      </c>
      <c r="F955" s="6" t="e">
        <f>INDEX(商业2转码!$B$2:$B$10000,MATCH(E955,商业2转码!$A$2:$A$10000,0))</f>
        <v>#N/A</v>
      </c>
      <c r="G955" s="6" t="str">
        <f>INDEX(品种2编码!$A$2:$A$1048576,MATCH(W955,品种2编码!$D$2:$D$1048576,0))</f>
        <v>0020030001SJZY0006</v>
      </c>
      <c r="H955" s="6" t="s">
        <v>1833</v>
      </c>
      <c r="I955" s="6" t="s">
        <v>411</v>
      </c>
      <c r="J955" s="6" t="s">
        <v>3280</v>
      </c>
      <c r="L955" s="6" t="s">
        <v>3166</v>
      </c>
      <c r="M955" s="6" t="e">
        <f>INDEX(医院2县区2人!$B$2:$B$1048576,MATCH(L955,医院2县区2人!$A$2:$A$1048576,0))</f>
        <v>#N/A</v>
      </c>
      <c r="N955" s="6" t="e">
        <f>INDEX(医院2县区2人!$C$2:$C$1048576,MATCH(L955,医院2县区2人!$A$2:$A$1048576,0))</f>
        <v>#N/A</v>
      </c>
      <c r="P955" s="7">
        <v>43257</v>
      </c>
      <c r="Q955" s="6">
        <v>10</v>
      </c>
      <c r="R955" s="6">
        <v>220</v>
      </c>
      <c r="S955" s="6">
        <v>17122912</v>
      </c>
      <c r="T955" s="6" t="e">
        <f>INDEX(医院2县区2人!$D$2:$D$1048576,MATCH(L955,医院2县区2人!$A$2:$A$1048576,0))</f>
        <v>#N/A</v>
      </c>
      <c r="W955" s="6" t="str">
        <f t="shared" si="31"/>
        <v>葡萄糖酸钙口服溶液10ml*12支</v>
      </c>
      <c r="X955" s="6" t="s">
        <v>2893</v>
      </c>
    </row>
    <row r="956" spans="1:24" x14ac:dyDescent="0.15">
      <c r="A956" s="7" t="str">
        <f t="shared" si="32"/>
        <v>201806</v>
      </c>
      <c r="C956" s="6" t="str">
        <f>INDEX(工厂基础数据!$A$2:$A$1024,MATCH(X956,工厂基础数据!$D$2:$D$1024,0))</f>
        <v>02032120</v>
      </c>
      <c r="E956" s="6" t="str">
        <f>INDEX(工厂基础数据!$B$2:$B$1024,MATCH(X956,工厂基础数据!$D$2:$D$1024,0))</f>
        <v>淄博博仁医药有限公司</v>
      </c>
      <c r="F956" s="6" t="e">
        <f>INDEX(商业2转码!$B$2:$B$10000,MATCH(E956,商业2转码!$A$2:$A$10000,0))</f>
        <v>#N/A</v>
      </c>
      <c r="G956" s="6" t="str">
        <f>INDEX(品种2编码!$A$2:$A$1048576,MATCH(W956,品种2编码!$D$2:$D$1048576,0))</f>
        <v>0020030001SJZY0006</v>
      </c>
      <c r="H956" s="6" t="s">
        <v>1833</v>
      </c>
      <c r="I956" s="6" t="s">
        <v>411</v>
      </c>
      <c r="J956" s="6" t="s">
        <v>3280</v>
      </c>
      <c r="L956" s="6" t="s">
        <v>3167</v>
      </c>
      <c r="M956" s="6" t="e">
        <f>INDEX(医院2县区2人!$B$2:$B$1048576,MATCH(L956,医院2县区2人!$A$2:$A$1048576,0))</f>
        <v>#N/A</v>
      </c>
      <c r="N956" s="6" t="e">
        <f>INDEX(医院2县区2人!$C$2:$C$1048576,MATCH(L956,医院2县区2人!$A$2:$A$1048576,0))</f>
        <v>#N/A</v>
      </c>
      <c r="P956" s="7">
        <v>43257</v>
      </c>
      <c r="Q956" s="6">
        <v>10</v>
      </c>
      <c r="R956" s="6">
        <v>220</v>
      </c>
      <c r="S956" s="6">
        <v>17122912</v>
      </c>
      <c r="T956" s="6" t="e">
        <f>INDEX(医院2县区2人!$D$2:$D$1048576,MATCH(L956,医院2县区2人!$A$2:$A$1048576,0))</f>
        <v>#N/A</v>
      </c>
      <c r="W956" s="6" t="str">
        <f t="shared" si="31"/>
        <v>葡萄糖酸钙口服溶液10ml*12支</v>
      </c>
      <c r="X956" s="6" t="s">
        <v>2893</v>
      </c>
    </row>
    <row r="957" spans="1:24" x14ac:dyDescent="0.15">
      <c r="A957" s="7" t="str">
        <f t="shared" si="32"/>
        <v>201806</v>
      </c>
      <c r="C957" s="6" t="str">
        <f>INDEX(工厂基础数据!$A$2:$A$1024,MATCH(X957,工厂基础数据!$D$2:$D$1024,0))</f>
        <v>02032120</v>
      </c>
      <c r="E957" s="6" t="str">
        <f>INDEX(工厂基础数据!$B$2:$B$1024,MATCH(X957,工厂基础数据!$D$2:$D$1024,0))</f>
        <v>淄博博仁医药有限公司</v>
      </c>
      <c r="F957" s="6" t="e">
        <f>INDEX(商业2转码!$B$2:$B$10000,MATCH(E957,商业2转码!$A$2:$A$10000,0))</f>
        <v>#N/A</v>
      </c>
      <c r="G957" s="6">
        <f>INDEX(品种2编码!$A$2:$A$1048576,MATCH(W957,品种2编码!$D$2:$D$1048576,0))</f>
        <v>0</v>
      </c>
      <c r="H957" s="6" t="s">
        <v>3268</v>
      </c>
      <c r="I957" s="6" t="s">
        <v>411</v>
      </c>
      <c r="J957" s="6" t="s">
        <v>3040</v>
      </c>
      <c r="L957" s="6" t="s">
        <v>3166</v>
      </c>
      <c r="M957" s="6" t="e">
        <f>INDEX(医院2县区2人!$B$2:$B$1048576,MATCH(L957,医院2县区2人!$A$2:$A$1048576,0))</f>
        <v>#N/A</v>
      </c>
      <c r="N957" s="6" t="e">
        <f>INDEX(医院2县区2人!$C$2:$C$1048576,MATCH(L957,医院2县区2人!$A$2:$A$1048576,0))</f>
        <v>#N/A</v>
      </c>
      <c r="P957" s="7">
        <v>43257</v>
      </c>
      <c r="Q957" s="6">
        <v>10</v>
      </c>
      <c r="R957" s="6">
        <v>230</v>
      </c>
      <c r="S957" s="6">
        <v>17112821</v>
      </c>
      <c r="T957" s="6" t="e">
        <f>INDEX(医院2县区2人!$D$2:$D$1048576,MATCH(L957,医院2县区2人!$A$2:$A$1048576,0))</f>
        <v>#N/A</v>
      </c>
      <c r="W957" s="6" t="str">
        <f t="shared" si="31"/>
        <v>葡糖糖酸锌口服溶液10ml*12支</v>
      </c>
      <c r="X957" s="6" t="s">
        <v>2893</v>
      </c>
    </row>
    <row r="958" spans="1:24" x14ac:dyDescent="0.15">
      <c r="A958" s="7" t="str">
        <f t="shared" si="32"/>
        <v>201806</v>
      </c>
      <c r="C958" s="6" t="str">
        <f>INDEX(工厂基础数据!$A$2:$A$1024,MATCH(X958,工厂基础数据!$D$2:$D$1024,0))</f>
        <v>02032120</v>
      </c>
      <c r="E958" s="6" t="str">
        <f>INDEX(工厂基础数据!$B$2:$B$1024,MATCH(X958,工厂基础数据!$D$2:$D$1024,0))</f>
        <v>淄博博仁医药有限公司</v>
      </c>
      <c r="F958" s="6" t="e">
        <f>INDEX(商业2转码!$B$2:$B$10000,MATCH(E958,商业2转码!$A$2:$A$10000,0))</f>
        <v>#N/A</v>
      </c>
      <c r="G958" s="6">
        <f>INDEX(品种2编码!$A$2:$A$1048576,MATCH(W958,品种2编码!$D$2:$D$1048576,0))</f>
        <v>0</v>
      </c>
      <c r="H958" s="6" t="s">
        <v>3268</v>
      </c>
      <c r="I958" s="6" t="s">
        <v>411</v>
      </c>
      <c r="J958" s="6" t="s">
        <v>3040</v>
      </c>
      <c r="L958" s="6" t="s">
        <v>3165</v>
      </c>
      <c r="M958" s="6" t="e">
        <f>INDEX(医院2县区2人!$B$2:$B$1048576,MATCH(L958,医院2县区2人!$A$2:$A$1048576,0))</f>
        <v>#N/A</v>
      </c>
      <c r="N958" s="6" t="e">
        <f>INDEX(医院2县区2人!$C$2:$C$1048576,MATCH(L958,医院2县区2人!$A$2:$A$1048576,0))</f>
        <v>#N/A</v>
      </c>
      <c r="P958" s="7">
        <v>43257</v>
      </c>
      <c r="Q958" s="6">
        <v>10</v>
      </c>
      <c r="R958" s="6">
        <v>230</v>
      </c>
      <c r="S958" s="6">
        <v>17112821</v>
      </c>
      <c r="T958" s="6" t="e">
        <f>INDEX(医院2县区2人!$D$2:$D$1048576,MATCH(L958,医院2县区2人!$A$2:$A$1048576,0))</f>
        <v>#N/A</v>
      </c>
      <c r="W958" s="6" t="str">
        <f t="shared" si="31"/>
        <v>葡糖糖酸锌口服溶液10ml*12支</v>
      </c>
      <c r="X958" s="6" t="s">
        <v>2893</v>
      </c>
    </row>
    <row r="959" spans="1:24" x14ac:dyDescent="0.15">
      <c r="A959" s="7" t="str">
        <f t="shared" si="32"/>
        <v>201806</v>
      </c>
      <c r="C959" s="6" t="str">
        <f>INDEX(工厂基础数据!$A$2:$A$1024,MATCH(X959,工厂基础数据!$D$2:$D$1024,0))</f>
        <v>02032120</v>
      </c>
      <c r="E959" s="6" t="str">
        <f>INDEX(工厂基础数据!$B$2:$B$1024,MATCH(X959,工厂基础数据!$D$2:$D$1024,0))</f>
        <v>淄博博仁医药有限公司</v>
      </c>
      <c r="F959" s="6" t="e">
        <f>INDEX(商业2转码!$B$2:$B$10000,MATCH(E959,商业2转码!$A$2:$A$10000,0))</f>
        <v>#N/A</v>
      </c>
      <c r="G959" s="6">
        <f>INDEX(品种2编码!$A$2:$A$1048576,MATCH(W959,品种2编码!$D$2:$D$1048576,0))</f>
        <v>0</v>
      </c>
      <c r="H959" s="6" t="s">
        <v>3268</v>
      </c>
      <c r="I959" s="6" t="s">
        <v>411</v>
      </c>
      <c r="J959" s="6" t="s">
        <v>3040</v>
      </c>
      <c r="L959" s="6" t="s">
        <v>3167</v>
      </c>
      <c r="M959" s="6" t="e">
        <f>INDEX(医院2县区2人!$B$2:$B$1048576,MATCH(L959,医院2县区2人!$A$2:$A$1048576,0))</f>
        <v>#N/A</v>
      </c>
      <c r="N959" s="6" t="e">
        <f>INDEX(医院2县区2人!$C$2:$C$1048576,MATCH(L959,医院2县区2人!$A$2:$A$1048576,0))</f>
        <v>#N/A</v>
      </c>
      <c r="P959" s="7">
        <v>43257</v>
      </c>
      <c r="Q959" s="6">
        <v>10</v>
      </c>
      <c r="R959" s="6">
        <v>230</v>
      </c>
      <c r="S959" s="6">
        <v>17112821</v>
      </c>
      <c r="T959" s="6" t="e">
        <f>INDEX(医院2县区2人!$D$2:$D$1048576,MATCH(L959,医院2县区2人!$A$2:$A$1048576,0))</f>
        <v>#N/A</v>
      </c>
      <c r="W959" s="6" t="str">
        <f t="shared" si="31"/>
        <v>葡糖糖酸锌口服溶液10ml*12支</v>
      </c>
      <c r="X959" s="6" t="s">
        <v>2893</v>
      </c>
    </row>
    <row r="960" spans="1:24" x14ac:dyDescent="0.15">
      <c r="A960" s="7" t="str">
        <f t="shared" si="32"/>
        <v>201806</v>
      </c>
      <c r="C960" s="6" t="str">
        <f>INDEX(工厂基础数据!$A$2:$A$1024,MATCH(X960,工厂基础数据!$D$2:$D$1024,0))</f>
        <v>02032120</v>
      </c>
      <c r="E960" s="6" t="str">
        <f>INDEX(工厂基础数据!$B$2:$B$1024,MATCH(X960,工厂基础数据!$D$2:$D$1024,0))</f>
        <v>淄博博仁医药有限公司</v>
      </c>
      <c r="F960" s="6" t="e">
        <f>INDEX(商业2转码!$B$2:$B$10000,MATCH(E960,商业2转码!$A$2:$A$10000,0))</f>
        <v>#N/A</v>
      </c>
      <c r="G960" s="6" t="str">
        <f>INDEX(品种2编码!$A$2:$A$1048576,MATCH(W960,品种2编码!$D$2:$D$1048576,0))</f>
        <v>0020020021ZYLC0004</v>
      </c>
      <c r="H960" s="6" t="s">
        <v>1950</v>
      </c>
      <c r="I960" s="6" t="s">
        <v>1869</v>
      </c>
      <c r="J960" s="6" t="s">
        <v>3283</v>
      </c>
      <c r="L960" s="6" t="s">
        <v>3120</v>
      </c>
      <c r="M960" s="6" t="e">
        <f>INDEX(医院2县区2人!$B$2:$B$1048576,MATCH(L960,医院2县区2人!$A$2:$A$1048576,0))</f>
        <v>#N/A</v>
      </c>
      <c r="N960" s="6" t="e">
        <f>INDEX(医院2县区2人!$C$2:$C$1048576,MATCH(L960,医院2县区2人!$A$2:$A$1048576,0))</f>
        <v>#N/A</v>
      </c>
      <c r="P960" s="7">
        <v>43257</v>
      </c>
      <c r="Q960" s="6">
        <v>10</v>
      </c>
      <c r="R960" s="6">
        <v>71</v>
      </c>
      <c r="S960" s="6">
        <v>171101</v>
      </c>
      <c r="T960" s="6" t="e">
        <f>INDEX(医院2县区2人!$D$2:$D$1048576,MATCH(L960,医院2县区2人!$A$2:$A$1048576,0))</f>
        <v>#N/A</v>
      </c>
      <c r="W960" s="6" t="str">
        <f t="shared" si="31"/>
        <v>罗红霉素分散片75mg*12片</v>
      </c>
      <c r="X960" s="6" t="s">
        <v>2893</v>
      </c>
    </row>
    <row r="961" spans="1:24" x14ac:dyDescent="0.15">
      <c r="A961" s="7" t="str">
        <f t="shared" si="32"/>
        <v>201806</v>
      </c>
      <c r="C961" s="6" t="str">
        <f>INDEX(工厂基础数据!$A$2:$A$1024,MATCH(X961,工厂基础数据!$D$2:$D$1024,0))</f>
        <v>02032120</v>
      </c>
      <c r="E961" s="6" t="str">
        <f>INDEX(工厂基础数据!$B$2:$B$1024,MATCH(X961,工厂基础数据!$D$2:$D$1024,0))</f>
        <v>淄博博仁医药有限公司</v>
      </c>
      <c r="F961" s="6" t="e">
        <f>INDEX(商业2转码!$B$2:$B$10000,MATCH(E961,商业2转码!$A$2:$A$10000,0))</f>
        <v>#N/A</v>
      </c>
      <c r="G961" s="6" t="str">
        <f>INDEX(品种2编码!$A$2:$A$1048576,MATCH(W961,品种2编码!$D$2:$D$1048576,0))</f>
        <v>0020040003SHYT0002</v>
      </c>
      <c r="H961" s="6" t="s">
        <v>452</v>
      </c>
      <c r="I961" s="6" t="s">
        <v>1945</v>
      </c>
      <c r="J961" s="6" t="s">
        <v>3279</v>
      </c>
      <c r="L961" s="6" t="s">
        <v>3123</v>
      </c>
      <c r="M961" s="6" t="e">
        <f>INDEX(医院2县区2人!$B$2:$B$1048576,MATCH(L961,医院2县区2人!$A$2:$A$1048576,0))</f>
        <v>#N/A</v>
      </c>
      <c r="N961" s="6" t="e">
        <f>INDEX(医院2县区2人!$C$2:$C$1048576,MATCH(L961,医院2县区2人!$A$2:$A$1048576,0))</f>
        <v>#N/A</v>
      </c>
      <c r="P961" s="7">
        <v>43257</v>
      </c>
      <c r="Q961" s="6">
        <v>10</v>
      </c>
      <c r="R961" s="6">
        <v>104</v>
      </c>
      <c r="S961" s="6">
        <v>1802702</v>
      </c>
      <c r="T961" s="6" t="e">
        <f>INDEX(医院2县区2人!$D$2:$D$1048576,MATCH(L961,医院2县区2人!$A$2:$A$1048576,0))</f>
        <v>#N/A</v>
      </c>
      <c r="W961" s="6" t="str">
        <f t="shared" si="31"/>
        <v>金匮肾气丸72g</v>
      </c>
      <c r="X961" s="6" t="s">
        <v>2893</v>
      </c>
    </row>
    <row r="962" spans="1:24" x14ac:dyDescent="0.15">
      <c r="A962" s="7" t="str">
        <f t="shared" si="32"/>
        <v>201806</v>
      </c>
      <c r="C962" s="6" t="str">
        <f>INDEX(工厂基础数据!$A$2:$A$1024,MATCH(X962,工厂基础数据!$D$2:$D$1024,0))</f>
        <v>02032120</v>
      </c>
      <c r="E962" s="6" t="str">
        <f>INDEX(工厂基础数据!$B$2:$B$1024,MATCH(X962,工厂基础数据!$D$2:$D$1024,0))</f>
        <v>淄博博仁医药有限公司</v>
      </c>
      <c r="F962" s="6" t="e">
        <f>INDEX(商业2转码!$B$2:$B$10000,MATCH(E962,商业2转码!$A$2:$A$10000,0))</f>
        <v>#N/A</v>
      </c>
      <c r="G962" s="6">
        <f>INDEX(品种2编码!$A$2:$A$1048576,MATCH(W962,品种2编码!$D$2:$D$1048576,0))</f>
        <v>0</v>
      </c>
      <c r="H962" s="6" t="s">
        <v>1845</v>
      </c>
      <c r="I962" s="6" t="s">
        <v>3294</v>
      </c>
      <c r="J962" s="6" t="s">
        <v>3041</v>
      </c>
      <c r="L962" s="6" t="s">
        <v>3132</v>
      </c>
      <c r="M962" s="6" t="e">
        <f>INDEX(医院2县区2人!$B$2:$B$1048576,MATCH(L962,医院2县区2人!$A$2:$A$1048576,0))</f>
        <v>#N/A</v>
      </c>
      <c r="N962" s="6" t="e">
        <f>INDEX(医院2县区2人!$C$2:$C$1048576,MATCH(L962,医院2县区2人!$A$2:$A$1048576,0))</f>
        <v>#N/A</v>
      </c>
      <c r="P962" s="7">
        <v>43257</v>
      </c>
      <c r="Q962" s="6">
        <v>10</v>
      </c>
      <c r="R962" s="6">
        <v>116</v>
      </c>
      <c r="S962" s="6">
        <v>161201</v>
      </c>
      <c r="T962" s="6" t="e">
        <f>INDEX(医院2县区2人!$D$2:$D$1048576,MATCH(L962,医院2县区2人!$A$2:$A$1048576,0))</f>
        <v>#N/A</v>
      </c>
      <c r="W962" s="6" t="str">
        <f t="shared" si="31"/>
        <v>感冒解毒灵颗粒5克*10袋</v>
      </c>
      <c r="X962" s="6" t="s">
        <v>2893</v>
      </c>
    </row>
    <row r="963" spans="1:24" x14ac:dyDescent="0.15">
      <c r="A963" s="7" t="str">
        <f t="shared" si="32"/>
        <v>201806</v>
      </c>
      <c r="C963" s="6" t="str">
        <f>INDEX(工厂基础数据!$A$2:$A$1024,MATCH(X963,工厂基础数据!$D$2:$D$1024,0))</f>
        <v>02032120</v>
      </c>
      <c r="E963" s="6" t="str">
        <f>INDEX(工厂基础数据!$B$2:$B$1024,MATCH(X963,工厂基础数据!$D$2:$D$1024,0))</f>
        <v>淄博博仁医药有限公司</v>
      </c>
      <c r="F963" s="6" t="e">
        <f>INDEX(商业2转码!$B$2:$B$10000,MATCH(E963,商业2转码!$A$2:$A$10000,0))</f>
        <v>#N/A</v>
      </c>
      <c r="G963" s="6" t="str">
        <f>INDEX(品种2编码!$A$2:$A$1048576,MATCH(W963,品种2编码!$D$2:$D$1048576,0))</f>
        <v>0020050020SHYT0016</v>
      </c>
      <c r="H963" s="6" t="s">
        <v>1864</v>
      </c>
      <c r="I963" s="6" t="s">
        <v>339</v>
      </c>
      <c r="J963" s="6" t="s">
        <v>3037</v>
      </c>
      <c r="L963" s="6" t="s">
        <v>3136</v>
      </c>
      <c r="M963" s="6" t="e">
        <f>INDEX(医院2县区2人!$B$2:$B$1048576,MATCH(L963,医院2县区2人!$A$2:$A$1048576,0))</f>
        <v>#N/A</v>
      </c>
      <c r="N963" s="6" t="e">
        <f>INDEX(医院2县区2人!$C$2:$C$1048576,MATCH(L963,医院2县区2人!$A$2:$A$1048576,0))</f>
        <v>#N/A</v>
      </c>
      <c r="P963" s="7">
        <v>43257</v>
      </c>
      <c r="Q963" s="6">
        <v>10</v>
      </c>
      <c r="R963" s="6">
        <v>131</v>
      </c>
      <c r="S963" s="6">
        <v>1801504</v>
      </c>
      <c r="T963" s="6" t="e">
        <f>INDEX(医院2县区2人!$D$2:$D$1048576,MATCH(L963,医院2县区2人!$A$2:$A$1048576,0))</f>
        <v>#N/A</v>
      </c>
      <c r="W963" s="6" t="str">
        <f t="shared" ref="W963:W1026" si="33">H963&amp;I963</f>
        <v>复方金银花颗粒10g*10袋</v>
      </c>
      <c r="X963" s="6" t="s">
        <v>2893</v>
      </c>
    </row>
    <row r="964" spans="1:24" x14ac:dyDescent="0.15">
      <c r="A964" s="7" t="str">
        <f t="shared" ref="A964:A1027" si="34">IF(MONTH(P964)&lt;10,YEAR(P964)&amp;"0"&amp;MONTH(P964),YEAR(P964)&amp;MONTH(P964))</f>
        <v>201806</v>
      </c>
      <c r="C964" s="6" t="str">
        <f>INDEX(工厂基础数据!$A$2:$A$1024,MATCH(X964,工厂基础数据!$D$2:$D$1024,0))</f>
        <v>02032120</v>
      </c>
      <c r="E964" s="6" t="str">
        <f>INDEX(工厂基础数据!$B$2:$B$1024,MATCH(X964,工厂基础数据!$D$2:$D$1024,0))</f>
        <v>淄博博仁医药有限公司</v>
      </c>
      <c r="F964" s="6" t="e">
        <f>INDEX(商业2转码!$B$2:$B$10000,MATCH(E964,商业2转码!$A$2:$A$10000,0))</f>
        <v>#N/A</v>
      </c>
      <c r="G964" s="6">
        <f>INDEX(品种2编码!$A$2:$A$1048576,MATCH(W964,品种2编码!$D$2:$D$1048576,0))</f>
        <v>0</v>
      </c>
      <c r="H964" s="6" t="s">
        <v>1857</v>
      </c>
      <c r="I964" s="6" t="s">
        <v>3288</v>
      </c>
      <c r="J964" s="6" t="s">
        <v>3281</v>
      </c>
      <c r="L964" s="6" t="s">
        <v>3168</v>
      </c>
      <c r="M964" s="6" t="e">
        <f>INDEX(医院2县区2人!$B$2:$B$1048576,MATCH(L964,医院2县区2人!$A$2:$A$1048576,0))</f>
        <v>#N/A</v>
      </c>
      <c r="N964" s="6" t="e">
        <f>INDEX(医院2县区2人!$C$2:$C$1048576,MATCH(L964,医院2县区2人!$A$2:$A$1048576,0))</f>
        <v>#N/A</v>
      </c>
      <c r="P964" s="7">
        <v>43257</v>
      </c>
      <c r="Q964" s="6">
        <v>10</v>
      </c>
      <c r="R964" s="6">
        <v>140</v>
      </c>
      <c r="S964" s="6">
        <v>1801404</v>
      </c>
      <c r="T964" s="6" t="e">
        <f>INDEX(医院2县区2人!$D$2:$D$1048576,MATCH(L964,医院2县区2人!$A$2:$A$1048576,0))</f>
        <v>#N/A</v>
      </c>
      <c r="W964" s="6" t="str">
        <f t="shared" si="33"/>
        <v>妇宁栓7粒</v>
      </c>
      <c r="X964" s="6" t="s">
        <v>2893</v>
      </c>
    </row>
    <row r="965" spans="1:24" x14ac:dyDescent="0.15">
      <c r="A965" s="7" t="str">
        <f t="shared" si="34"/>
        <v>201806</v>
      </c>
      <c r="C965" s="6" t="str">
        <f>INDEX(工厂基础数据!$A$2:$A$1024,MATCH(X965,工厂基础数据!$D$2:$D$1024,0))</f>
        <v>02032120</v>
      </c>
      <c r="E965" s="6" t="str">
        <f>INDEX(工厂基础数据!$B$2:$B$1024,MATCH(X965,工厂基础数据!$D$2:$D$1024,0))</f>
        <v>淄博博仁医药有限公司</v>
      </c>
      <c r="F965" s="6" t="e">
        <f>INDEX(商业2转码!$B$2:$B$10000,MATCH(E965,商业2转码!$A$2:$A$10000,0))</f>
        <v>#N/A</v>
      </c>
      <c r="G965" s="6">
        <f>INDEX(品种2编码!$A$2:$A$1048576,MATCH(W965,品种2编码!$D$2:$D$1048576,0))</f>
        <v>0</v>
      </c>
      <c r="H965" s="6" t="s">
        <v>672</v>
      </c>
      <c r="I965" s="6" t="s">
        <v>1843</v>
      </c>
      <c r="J965" s="6" t="s">
        <v>3279</v>
      </c>
      <c r="L965" s="6" t="s">
        <v>3135</v>
      </c>
      <c r="M965" s="6" t="e">
        <f>INDEX(医院2县区2人!$B$2:$B$1048576,MATCH(L965,医院2县区2人!$A$2:$A$1048576,0))</f>
        <v>#N/A</v>
      </c>
      <c r="N965" s="6" t="e">
        <f>INDEX(医院2县区2人!$C$2:$C$1048576,MATCH(L965,医院2县区2人!$A$2:$A$1048576,0))</f>
        <v>#N/A</v>
      </c>
      <c r="P965" s="7">
        <v>43257</v>
      </c>
      <c r="Q965" s="6">
        <v>20</v>
      </c>
      <c r="R965" s="6">
        <v>0.2</v>
      </c>
      <c r="S965" s="6">
        <v>20180105</v>
      </c>
      <c r="T965" s="6" t="e">
        <f>INDEX(医院2县区2人!$D$2:$D$1048576,MATCH(L965,医院2县区2人!$A$2:$A$1048576,0))</f>
        <v>#N/A</v>
      </c>
      <c r="W965" s="6" t="str">
        <f t="shared" si="33"/>
        <v>退热贴2贴</v>
      </c>
      <c r="X965" s="6" t="s">
        <v>2893</v>
      </c>
    </row>
    <row r="966" spans="1:24" x14ac:dyDescent="0.15">
      <c r="A966" s="7" t="str">
        <f t="shared" si="34"/>
        <v>201806</v>
      </c>
      <c r="C966" s="6" t="str">
        <f>INDEX(工厂基础数据!$A$2:$A$1024,MATCH(X966,工厂基础数据!$D$2:$D$1024,0))</f>
        <v>02032120</v>
      </c>
      <c r="E966" s="6" t="str">
        <f>INDEX(工厂基础数据!$B$2:$B$1024,MATCH(X966,工厂基础数据!$D$2:$D$1024,0))</f>
        <v>淄博博仁医药有限公司</v>
      </c>
      <c r="F966" s="6" t="e">
        <f>INDEX(商业2转码!$B$2:$B$10000,MATCH(E966,商业2转码!$A$2:$A$10000,0))</f>
        <v>#N/A</v>
      </c>
      <c r="G966" s="6">
        <f>INDEX(品种2编码!$A$2:$A$1048576,MATCH(W966,品种2编码!$D$2:$D$1048576,0))</f>
        <v>0</v>
      </c>
      <c r="H966" s="6" t="s">
        <v>672</v>
      </c>
      <c r="I966" s="6" t="s">
        <v>1843</v>
      </c>
      <c r="J966" s="6" t="s">
        <v>3279</v>
      </c>
      <c r="L966" s="6" t="s">
        <v>3167</v>
      </c>
      <c r="M966" s="6" t="e">
        <f>INDEX(医院2县区2人!$B$2:$B$1048576,MATCH(L966,医院2县区2人!$A$2:$A$1048576,0))</f>
        <v>#N/A</v>
      </c>
      <c r="N966" s="6" t="e">
        <f>INDEX(医院2县区2人!$C$2:$C$1048576,MATCH(L966,医院2县区2人!$A$2:$A$1048576,0))</f>
        <v>#N/A</v>
      </c>
      <c r="P966" s="7">
        <v>43257</v>
      </c>
      <c r="Q966" s="6">
        <v>20</v>
      </c>
      <c r="R966" s="6">
        <v>0.2</v>
      </c>
      <c r="S966" s="6">
        <v>20180105</v>
      </c>
      <c r="T966" s="6" t="e">
        <f>INDEX(医院2县区2人!$D$2:$D$1048576,MATCH(L966,医院2县区2人!$A$2:$A$1048576,0))</f>
        <v>#N/A</v>
      </c>
      <c r="W966" s="6" t="str">
        <f t="shared" si="33"/>
        <v>退热贴2贴</v>
      </c>
      <c r="X966" s="6" t="s">
        <v>2893</v>
      </c>
    </row>
    <row r="967" spans="1:24" x14ac:dyDescent="0.15">
      <c r="A967" s="7" t="str">
        <f t="shared" si="34"/>
        <v>201806</v>
      </c>
      <c r="C967" s="6" t="str">
        <f>INDEX(工厂基础数据!$A$2:$A$1024,MATCH(X967,工厂基础数据!$D$2:$D$1024,0))</f>
        <v>02032120</v>
      </c>
      <c r="E967" s="6" t="str">
        <f>INDEX(工厂基础数据!$B$2:$B$1024,MATCH(X967,工厂基础数据!$D$2:$D$1024,0))</f>
        <v>淄博博仁医药有限公司</v>
      </c>
      <c r="F967" s="6" t="e">
        <f>INDEX(商业2转码!$B$2:$B$10000,MATCH(E967,商业2转码!$A$2:$A$10000,0))</f>
        <v>#N/A</v>
      </c>
      <c r="G967" s="6">
        <f>INDEX(品种2编码!$A$2:$A$1048576,MATCH(W967,品种2编码!$D$2:$D$1048576,0))</f>
        <v>0</v>
      </c>
      <c r="H967" s="6" t="s">
        <v>1835</v>
      </c>
      <c r="I967" s="6" t="s">
        <v>1954</v>
      </c>
      <c r="J967" s="6" t="s">
        <v>3279</v>
      </c>
      <c r="L967" s="6" t="s">
        <v>3123</v>
      </c>
      <c r="M967" s="6" t="e">
        <f>INDEX(医院2县区2人!$B$2:$B$1048576,MATCH(L967,医院2县区2人!$A$2:$A$1048576,0))</f>
        <v>#N/A</v>
      </c>
      <c r="N967" s="6" t="e">
        <f>INDEX(医院2县区2人!$C$2:$C$1048576,MATCH(L967,医院2县区2人!$A$2:$A$1048576,0))</f>
        <v>#N/A</v>
      </c>
      <c r="P967" s="7">
        <v>43257</v>
      </c>
      <c r="Q967" s="6">
        <v>20</v>
      </c>
      <c r="R967" s="6">
        <v>230</v>
      </c>
      <c r="S967" s="6">
        <v>171113</v>
      </c>
      <c r="T967" s="6" t="e">
        <f>INDEX(医院2县区2人!$D$2:$D$1048576,MATCH(L967,医院2县区2人!$A$2:$A$1048576,0))</f>
        <v>#N/A</v>
      </c>
      <c r="W967" s="6" t="str">
        <f t="shared" si="33"/>
        <v>蒙脱石散12袋</v>
      </c>
      <c r="X967" s="6" t="s">
        <v>2893</v>
      </c>
    </row>
    <row r="968" spans="1:24" x14ac:dyDescent="0.15">
      <c r="A968" s="7" t="str">
        <f t="shared" si="34"/>
        <v>201806</v>
      </c>
      <c r="C968" s="6" t="str">
        <f>INDEX(工厂基础数据!$A$2:$A$1024,MATCH(X968,工厂基础数据!$D$2:$D$1024,0))</f>
        <v>02032120</v>
      </c>
      <c r="E968" s="6" t="str">
        <f>INDEX(工厂基础数据!$B$2:$B$1024,MATCH(X968,工厂基础数据!$D$2:$D$1024,0))</f>
        <v>淄博博仁医药有限公司</v>
      </c>
      <c r="F968" s="6" t="e">
        <f>INDEX(商业2转码!$B$2:$B$10000,MATCH(E968,商业2转码!$A$2:$A$10000,0))</f>
        <v>#N/A</v>
      </c>
      <c r="G968" s="6">
        <f>INDEX(品种2编码!$A$2:$A$1048576,MATCH(W968,品种2编码!$D$2:$D$1048576,0))</f>
        <v>0</v>
      </c>
      <c r="H968" s="6" t="s">
        <v>1885</v>
      </c>
      <c r="I968" s="6" t="s">
        <v>1838</v>
      </c>
      <c r="J968" s="6" t="s">
        <v>3279</v>
      </c>
      <c r="L968" s="6" t="s">
        <v>3169</v>
      </c>
      <c r="M968" s="6" t="e">
        <f>INDEX(医院2县区2人!$B$2:$B$1048576,MATCH(L968,医院2县区2人!$A$2:$A$1048576,0))</f>
        <v>#N/A</v>
      </c>
      <c r="N968" s="6" t="e">
        <f>INDEX(医院2县区2人!$C$2:$C$1048576,MATCH(L968,医院2县区2人!$A$2:$A$1048576,0))</f>
        <v>#N/A</v>
      </c>
      <c r="P968" s="7">
        <v>43257</v>
      </c>
      <c r="Q968" s="6">
        <v>30</v>
      </c>
      <c r="R968" s="6">
        <v>720</v>
      </c>
      <c r="S968" s="6">
        <v>171251</v>
      </c>
      <c r="T968" s="6" t="e">
        <f>INDEX(医院2县区2人!$D$2:$D$1048576,MATCH(L968,医院2县区2人!$A$2:$A$1048576,0))</f>
        <v>#N/A</v>
      </c>
      <c r="W968" s="6" t="str">
        <f t="shared" si="33"/>
        <v>新盖中盖高钙片2.5g*36片</v>
      </c>
      <c r="X968" s="6" t="s">
        <v>2893</v>
      </c>
    </row>
    <row r="969" spans="1:24" x14ac:dyDescent="0.15">
      <c r="A969" s="7" t="str">
        <f t="shared" si="34"/>
        <v>201806</v>
      </c>
      <c r="C969" s="6" t="str">
        <f>INDEX(工厂基础数据!$A$2:$A$1024,MATCH(X969,工厂基础数据!$D$2:$D$1024,0))</f>
        <v>02032120</v>
      </c>
      <c r="E969" s="6" t="str">
        <f>INDEX(工厂基础数据!$B$2:$B$1024,MATCH(X969,工厂基础数据!$D$2:$D$1024,0))</f>
        <v>淄博博仁医药有限公司</v>
      </c>
      <c r="F969" s="6" t="e">
        <f>INDEX(商业2转码!$B$2:$B$10000,MATCH(E969,商业2转码!$A$2:$A$10000,0))</f>
        <v>#N/A</v>
      </c>
      <c r="G969" s="6">
        <f>INDEX(品种2编码!$A$2:$A$1048576,MATCH(W969,品种2编码!$D$2:$D$1048576,0))</f>
        <v>0</v>
      </c>
      <c r="H969" s="6" t="s">
        <v>3268</v>
      </c>
      <c r="I969" s="6" t="s">
        <v>411</v>
      </c>
      <c r="J969" s="6" t="s">
        <v>3040</v>
      </c>
      <c r="L969" s="6" t="s">
        <v>3169</v>
      </c>
      <c r="M969" s="6" t="e">
        <f>INDEX(医院2县区2人!$B$2:$B$1048576,MATCH(L969,医院2县区2人!$A$2:$A$1048576,0))</f>
        <v>#N/A</v>
      </c>
      <c r="N969" s="6" t="e">
        <f>INDEX(医院2县区2人!$C$2:$C$1048576,MATCH(L969,医院2县区2人!$A$2:$A$1048576,0))</f>
        <v>#N/A</v>
      </c>
      <c r="P969" s="7">
        <v>43257</v>
      </c>
      <c r="Q969" s="6">
        <v>30</v>
      </c>
      <c r="R969" s="6">
        <v>690</v>
      </c>
      <c r="S969" s="6">
        <v>17112821</v>
      </c>
      <c r="T969" s="6" t="e">
        <f>INDEX(医院2县区2人!$D$2:$D$1048576,MATCH(L969,医院2县区2人!$A$2:$A$1048576,0))</f>
        <v>#N/A</v>
      </c>
      <c r="W969" s="6" t="str">
        <f t="shared" si="33"/>
        <v>葡糖糖酸锌口服溶液10ml*12支</v>
      </c>
      <c r="X969" s="6" t="s">
        <v>2893</v>
      </c>
    </row>
    <row r="970" spans="1:24" x14ac:dyDescent="0.15">
      <c r="A970" s="7" t="str">
        <f t="shared" si="34"/>
        <v>201806</v>
      </c>
      <c r="C970" s="6" t="str">
        <f>INDEX(工厂基础数据!$A$2:$A$1024,MATCH(X970,工厂基础数据!$D$2:$D$1024,0))</f>
        <v>02032120</v>
      </c>
      <c r="E970" s="6" t="str">
        <f>INDEX(工厂基础数据!$B$2:$B$1024,MATCH(X970,工厂基础数据!$D$2:$D$1024,0))</f>
        <v>淄博博仁医药有限公司</v>
      </c>
      <c r="F970" s="6" t="e">
        <f>INDEX(商业2转码!$B$2:$B$10000,MATCH(E970,商业2转码!$A$2:$A$10000,0))</f>
        <v>#N/A</v>
      </c>
      <c r="G970" s="6" t="str">
        <f>INDEX(品种2编码!$A$2:$A$1048576,MATCH(W970,品种2编码!$D$2:$D$1048576,0))</f>
        <v>0020050020SHYT0016</v>
      </c>
      <c r="H970" s="6" t="s">
        <v>1864</v>
      </c>
      <c r="I970" s="6" t="s">
        <v>339</v>
      </c>
      <c r="J970" s="6" t="s">
        <v>3037</v>
      </c>
      <c r="L970" s="6" t="s">
        <v>3132</v>
      </c>
      <c r="M970" s="6" t="e">
        <f>INDEX(医院2县区2人!$B$2:$B$1048576,MATCH(L970,医院2县区2人!$A$2:$A$1048576,0))</f>
        <v>#N/A</v>
      </c>
      <c r="N970" s="6" t="e">
        <f>INDEX(医院2县区2人!$C$2:$C$1048576,MATCH(L970,医院2县区2人!$A$2:$A$1048576,0))</f>
        <v>#N/A</v>
      </c>
      <c r="P970" s="7">
        <v>43257</v>
      </c>
      <c r="Q970" s="6">
        <v>30</v>
      </c>
      <c r="R970" s="6">
        <v>393</v>
      </c>
      <c r="S970" s="6">
        <v>1801504</v>
      </c>
      <c r="T970" s="6" t="e">
        <f>INDEX(医院2县区2人!$D$2:$D$1048576,MATCH(L970,医院2县区2人!$A$2:$A$1048576,0))</f>
        <v>#N/A</v>
      </c>
      <c r="W970" s="6" t="str">
        <f t="shared" si="33"/>
        <v>复方金银花颗粒10g*10袋</v>
      </c>
      <c r="X970" s="6" t="s">
        <v>2893</v>
      </c>
    </row>
    <row r="971" spans="1:24" x14ac:dyDescent="0.15">
      <c r="A971" s="7" t="str">
        <f t="shared" si="34"/>
        <v>201806</v>
      </c>
      <c r="C971" s="6" t="str">
        <f>INDEX(工厂基础数据!$A$2:$A$1024,MATCH(X971,工厂基础数据!$D$2:$D$1024,0))</f>
        <v>02032120</v>
      </c>
      <c r="E971" s="6" t="str">
        <f>INDEX(工厂基础数据!$B$2:$B$1024,MATCH(X971,工厂基础数据!$D$2:$D$1024,0))</f>
        <v>淄博博仁医药有限公司</v>
      </c>
      <c r="F971" s="6" t="e">
        <f>INDEX(商业2转码!$B$2:$B$10000,MATCH(E971,商业2转码!$A$2:$A$10000,0))</f>
        <v>#N/A</v>
      </c>
      <c r="G971" s="6" t="str">
        <f>INDEX(品种2编码!$A$2:$A$1048576,MATCH(W971,品种2编码!$D$2:$D$1048576,0))</f>
        <v>0020020020ZYLC0003</v>
      </c>
      <c r="H971" s="6" t="s">
        <v>1855</v>
      </c>
      <c r="I971" s="6" t="s">
        <v>381</v>
      </c>
      <c r="J971" s="6" t="s">
        <v>3279</v>
      </c>
      <c r="L971" s="6" t="s">
        <v>3170</v>
      </c>
      <c r="M971" s="6" t="e">
        <f>INDEX(医院2县区2人!$B$2:$B$1048576,MATCH(L971,医院2县区2人!$A$2:$A$1048576,0))</f>
        <v>#N/A</v>
      </c>
      <c r="N971" s="6" t="e">
        <f>INDEX(医院2县区2人!$C$2:$C$1048576,MATCH(L971,医院2县区2人!$A$2:$A$1048576,0))</f>
        <v>#N/A</v>
      </c>
      <c r="P971" s="7">
        <v>43257</v>
      </c>
      <c r="Q971" s="6">
        <v>40</v>
      </c>
      <c r="R971" s="6">
        <v>220</v>
      </c>
      <c r="S971" s="6">
        <v>170706</v>
      </c>
      <c r="T971" s="6" t="e">
        <f>INDEX(医院2县区2人!$D$2:$D$1048576,MATCH(L971,医院2县区2人!$A$2:$A$1048576,0))</f>
        <v>#N/A</v>
      </c>
      <c r="W971" s="6" t="str">
        <f t="shared" si="33"/>
        <v>颠茄磺苄啶片12片</v>
      </c>
      <c r="X971" s="6" t="s">
        <v>2893</v>
      </c>
    </row>
    <row r="972" spans="1:24" x14ac:dyDescent="0.15">
      <c r="A972" s="7" t="str">
        <f t="shared" si="34"/>
        <v>201806</v>
      </c>
      <c r="C972" s="6" t="str">
        <f>INDEX(工厂基础数据!$A$2:$A$1024,MATCH(X972,工厂基础数据!$D$2:$D$1024,0))</f>
        <v>02032120</v>
      </c>
      <c r="E972" s="6" t="str">
        <f>INDEX(工厂基础数据!$B$2:$B$1024,MATCH(X972,工厂基础数据!$D$2:$D$1024,0))</f>
        <v>淄博博仁医药有限公司</v>
      </c>
      <c r="F972" s="6" t="e">
        <f>INDEX(商业2转码!$B$2:$B$10000,MATCH(E972,商业2转码!$A$2:$A$10000,0))</f>
        <v>#N/A</v>
      </c>
      <c r="G972" s="6">
        <f>INDEX(品种2编码!$A$2:$A$1048576,MATCH(W972,品种2编码!$D$2:$D$1048576,0))</f>
        <v>0</v>
      </c>
      <c r="H972" s="6" t="s">
        <v>317</v>
      </c>
      <c r="I972" s="6" t="s">
        <v>3291</v>
      </c>
      <c r="J972" s="6" t="s">
        <v>3279</v>
      </c>
      <c r="L972" s="6" t="s">
        <v>3127</v>
      </c>
      <c r="M972" s="6" t="e">
        <f>INDEX(医院2县区2人!$B$2:$B$1048576,MATCH(L972,医院2县区2人!$A$2:$A$1048576,0))</f>
        <v>#N/A</v>
      </c>
      <c r="N972" s="6" t="e">
        <f>INDEX(医院2县区2人!$C$2:$C$1048576,MATCH(L972,医院2县区2人!$A$2:$A$1048576,0))</f>
        <v>#N/A</v>
      </c>
      <c r="P972" s="7">
        <v>43258</v>
      </c>
      <c r="Q972" s="6">
        <v>3</v>
      </c>
      <c r="R972" s="6">
        <v>30.9</v>
      </c>
      <c r="S972" s="6">
        <v>1803608</v>
      </c>
      <c r="T972" s="6" t="e">
        <f>INDEX(医院2县区2人!$D$2:$D$1048576,MATCH(L972,医院2县区2人!$A$2:$A$1048576,0))</f>
        <v>#N/A</v>
      </c>
      <c r="W972" s="6" t="str">
        <f t="shared" si="33"/>
        <v>布洛芬颗粒0.2g*12包</v>
      </c>
      <c r="X972" s="6" t="s">
        <v>2893</v>
      </c>
    </row>
    <row r="973" spans="1:24" x14ac:dyDescent="0.15">
      <c r="A973" s="7" t="str">
        <f t="shared" si="34"/>
        <v>201806</v>
      </c>
      <c r="C973" s="6" t="str">
        <f>INDEX(工厂基础数据!$A$2:$A$1024,MATCH(X973,工厂基础数据!$D$2:$D$1024,0))</f>
        <v>02032120</v>
      </c>
      <c r="E973" s="6" t="str">
        <f>INDEX(工厂基础数据!$B$2:$B$1024,MATCH(X973,工厂基础数据!$D$2:$D$1024,0))</f>
        <v>淄博博仁医药有限公司</v>
      </c>
      <c r="F973" s="6" t="e">
        <f>INDEX(商业2转码!$B$2:$B$10000,MATCH(E973,商业2转码!$A$2:$A$10000,0))</f>
        <v>#N/A</v>
      </c>
      <c r="G973" s="6" t="str">
        <f>INDEX(品种2编码!$A$2:$A$1048576,MATCH(W973,品种2编码!$D$2:$D$1048576,0))</f>
        <v>0020050030SJSC0007</v>
      </c>
      <c r="H973" s="6" t="s">
        <v>461</v>
      </c>
      <c r="I973" s="6" t="s">
        <v>1917</v>
      </c>
      <c r="J973" s="6" t="s">
        <v>3279</v>
      </c>
      <c r="L973" s="6" t="s">
        <v>3127</v>
      </c>
      <c r="M973" s="6" t="e">
        <f>INDEX(医院2县区2人!$B$2:$B$1048576,MATCH(L973,医院2县区2人!$A$2:$A$1048576,0))</f>
        <v>#N/A</v>
      </c>
      <c r="N973" s="6" t="e">
        <f>INDEX(医院2县区2人!$C$2:$C$1048576,MATCH(L973,医院2县区2人!$A$2:$A$1048576,0))</f>
        <v>#N/A</v>
      </c>
      <c r="P973" s="7">
        <v>43258</v>
      </c>
      <c r="Q973" s="6">
        <v>5</v>
      </c>
      <c r="R973" s="6">
        <v>43</v>
      </c>
      <c r="S973" s="6">
        <v>1803003</v>
      </c>
      <c r="T973" s="6" t="e">
        <f>INDEX(医院2县区2人!$D$2:$D$1048576,MATCH(L973,医院2县区2人!$A$2:$A$1048576,0))</f>
        <v>#N/A</v>
      </c>
      <c r="W973" s="6" t="str">
        <f t="shared" si="33"/>
        <v>菊梅利咽含片1.2g*18片</v>
      </c>
      <c r="X973" s="6" t="s">
        <v>2893</v>
      </c>
    </row>
    <row r="974" spans="1:24" x14ac:dyDescent="0.15">
      <c r="A974" s="7" t="str">
        <f t="shared" si="34"/>
        <v>201806</v>
      </c>
      <c r="C974" s="6" t="str">
        <f>INDEX(工厂基础数据!$A$2:$A$1024,MATCH(X974,工厂基础数据!$D$2:$D$1024,0))</f>
        <v>02032120</v>
      </c>
      <c r="E974" s="6" t="str">
        <f>INDEX(工厂基础数据!$B$2:$B$1024,MATCH(X974,工厂基础数据!$D$2:$D$1024,0))</f>
        <v>淄博博仁医药有限公司</v>
      </c>
      <c r="F974" s="6" t="e">
        <f>INDEX(商业2转码!$B$2:$B$10000,MATCH(E974,商业2转码!$A$2:$A$10000,0))</f>
        <v>#N/A</v>
      </c>
      <c r="G974" s="6" t="str">
        <f>INDEX(品种2编码!$A$2:$A$1048576,MATCH(W974,品种2编码!$D$2:$D$1048576,0))</f>
        <v>0020050090SJZY0001</v>
      </c>
      <c r="H974" s="6" t="s">
        <v>630</v>
      </c>
      <c r="I974" s="6" t="s">
        <v>1850</v>
      </c>
      <c r="J974" s="6" t="s">
        <v>3285</v>
      </c>
      <c r="L974" s="6" t="s">
        <v>3171</v>
      </c>
      <c r="M974" s="6" t="e">
        <f>INDEX(医院2县区2人!$B$2:$B$1048576,MATCH(L974,医院2县区2人!$A$2:$A$1048576,0))</f>
        <v>#N/A</v>
      </c>
      <c r="N974" s="6" t="e">
        <f>INDEX(医院2县区2人!$C$2:$C$1048576,MATCH(L974,医院2县区2人!$A$2:$A$1048576,0))</f>
        <v>#N/A</v>
      </c>
      <c r="P974" s="7">
        <v>43258</v>
      </c>
      <c r="Q974" s="6">
        <v>10</v>
      </c>
      <c r="R974" s="6">
        <v>165</v>
      </c>
      <c r="S974" s="6">
        <v>17122813</v>
      </c>
      <c r="T974" s="6" t="e">
        <f>INDEX(医院2县区2人!$D$2:$D$1048576,MATCH(L974,医院2县区2人!$A$2:$A$1048576,0))</f>
        <v>#N/A</v>
      </c>
      <c r="W974" s="6" t="str">
        <f t="shared" si="33"/>
        <v>双黄连口服液10ml*10支</v>
      </c>
      <c r="X974" s="6" t="s">
        <v>2893</v>
      </c>
    </row>
    <row r="975" spans="1:24" x14ac:dyDescent="0.15">
      <c r="A975" s="7" t="str">
        <f t="shared" si="34"/>
        <v>201806</v>
      </c>
      <c r="C975" s="6" t="str">
        <f>INDEX(工厂基础数据!$A$2:$A$1024,MATCH(X975,工厂基础数据!$D$2:$D$1024,0))</f>
        <v>02032120</v>
      </c>
      <c r="E975" s="6" t="str">
        <f>INDEX(工厂基础数据!$B$2:$B$1024,MATCH(X975,工厂基础数据!$D$2:$D$1024,0))</f>
        <v>淄博博仁医药有限公司</v>
      </c>
      <c r="F975" s="6" t="e">
        <f>INDEX(商业2转码!$B$2:$B$10000,MATCH(E975,商业2转码!$A$2:$A$10000,0))</f>
        <v>#N/A</v>
      </c>
      <c r="G975" s="6" t="str">
        <f>INDEX(品种2编码!$A$2:$A$1048576,MATCH(W975,品种2编码!$D$2:$D$1048576,0))</f>
        <v>0020050090SJZY0001</v>
      </c>
      <c r="H975" s="6" t="s">
        <v>630</v>
      </c>
      <c r="I975" s="6" t="s">
        <v>1850</v>
      </c>
      <c r="J975" s="6" t="s">
        <v>3285</v>
      </c>
      <c r="L975" s="6" t="s">
        <v>3172</v>
      </c>
      <c r="M975" s="6" t="e">
        <f>INDEX(医院2县区2人!$B$2:$B$1048576,MATCH(L975,医院2县区2人!$A$2:$A$1048576,0))</f>
        <v>#N/A</v>
      </c>
      <c r="N975" s="6" t="e">
        <f>INDEX(医院2县区2人!$C$2:$C$1048576,MATCH(L975,医院2县区2人!$A$2:$A$1048576,0))</f>
        <v>#N/A</v>
      </c>
      <c r="P975" s="7">
        <v>43258</v>
      </c>
      <c r="Q975" s="6">
        <v>10</v>
      </c>
      <c r="R975" s="6">
        <v>165</v>
      </c>
      <c r="S975" s="6">
        <v>18010723</v>
      </c>
      <c r="T975" s="6" t="e">
        <f>INDEX(医院2县区2人!$D$2:$D$1048576,MATCH(L975,医院2县区2人!$A$2:$A$1048576,0))</f>
        <v>#N/A</v>
      </c>
      <c r="W975" s="6" t="str">
        <f t="shared" si="33"/>
        <v>双黄连口服液10ml*10支</v>
      </c>
      <c r="X975" s="6" t="s">
        <v>2893</v>
      </c>
    </row>
    <row r="976" spans="1:24" x14ac:dyDescent="0.15">
      <c r="A976" s="7" t="str">
        <f t="shared" si="34"/>
        <v>201806</v>
      </c>
      <c r="C976" s="6" t="str">
        <f>INDEX(工厂基础数据!$A$2:$A$1024,MATCH(X976,工厂基础数据!$D$2:$D$1024,0))</f>
        <v>02032120</v>
      </c>
      <c r="E976" s="6" t="str">
        <f>INDEX(工厂基础数据!$B$2:$B$1024,MATCH(X976,工厂基础数据!$D$2:$D$1024,0))</f>
        <v>淄博博仁医药有限公司</v>
      </c>
      <c r="F976" s="6" t="e">
        <f>INDEX(商业2转码!$B$2:$B$10000,MATCH(E976,商业2转码!$A$2:$A$10000,0))</f>
        <v>#N/A</v>
      </c>
      <c r="G976" s="6">
        <f>INDEX(品种2编码!$A$2:$A$1048576,MATCH(W976,品种2编码!$D$2:$D$1048576,0))</f>
        <v>0</v>
      </c>
      <c r="H976" s="6" t="s">
        <v>3269</v>
      </c>
      <c r="I976" s="6" t="s">
        <v>1839</v>
      </c>
      <c r="J976" s="6" t="s">
        <v>3279</v>
      </c>
      <c r="L976" s="6" t="s">
        <v>3173</v>
      </c>
      <c r="M976" s="6" t="e">
        <f>INDEX(医院2县区2人!$B$2:$B$1048576,MATCH(L976,医院2县区2人!$A$2:$A$1048576,0))</f>
        <v>#N/A</v>
      </c>
      <c r="N976" s="6" t="e">
        <f>INDEX(医院2县区2人!$C$2:$C$1048576,MATCH(L976,医院2县区2人!$A$2:$A$1048576,0))</f>
        <v>#N/A</v>
      </c>
      <c r="P976" s="7">
        <v>43258</v>
      </c>
      <c r="Q976" s="6">
        <v>10</v>
      </c>
      <c r="R976" s="6">
        <v>68</v>
      </c>
      <c r="S976" s="6">
        <v>180302</v>
      </c>
      <c r="T976" s="6" t="e">
        <f>INDEX(医院2县区2人!$D$2:$D$1048576,MATCH(L976,医院2县区2人!$A$2:$A$1048576,0))</f>
        <v>#N/A</v>
      </c>
      <c r="W976" s="6" t="str">
        <f t="shared" si="33"/>
        <v>乳酸菌素片(精）0.4g*36片</v>
      </c>
      <c r="X976" s="6" t="s">
        <v>2893</v>
      </c>
    </row>
    <row r="977" spans="1:24" x14ac:dyDescent="0.15">
      <c r="A977" s="7" t="str">
        <f t="shared" si="34"/>
        <v>201806</v>
      </c>
      <c r="C977" s="6" t="str">
        <f>INDEX(工厂基础数据!$A$2:$A$1024,MATCH(X977,工厂基础数据!$D$2:$D$1024,0))</f>
        <v>02032120</v>
      </c>
      <c r="E977" s="6" t="str">
        <f>INDEX(工厂基础数据!$B$2:$B$1024,MATCH(X977,工厂基础数据!$D$2:$D$1024,0))</f>
        <v>淄博博仁医药有限公司</v>
      </c>
      <c r="F977" s="6" t="e">
        <f>INDEX(商业2转码!$B$2:$B$10000,MATCH(E977,商业2转码!$A$2:$A$10000,0))</f>
        <v>#N/A</v>
      </c>
      <c r="G977" s="6" t="str">
        <f>INDEX(品种2编码!$A$2:$A$1048576,MATCH(W977,品种2编码!$D$2:$D$1048576,0))</f>
        <v>0020030001SJZY0006</v>
      </c>
      <c r="H977" s="6" t="s">
        <v>1833</v>
      </c>
      <c r="I977" s="6" t="s">
        <v>411</v>
      </c>
      <c r="J977" s="6" t="s">
        <v>3280</v>
      </c>
      <c r="L977" s="6" t="s">
        <v>3172</v>
      </c>
      <c r="M977" s="6" t="e">
        <f>INDEX(医院2县区2人!$B$2:$B$1048576,MATCH(L977,医院2县区2人!$A$2:$A$1048576,0))</f>
        <v>#N/A</v>
      </c>
      <c r="N977" s="6" t="e">
        <f>INDEX(医院2县区2人!$C$2:$C$1048576,MATCH(L977,医院2县区2人!$A$2:$A$1048576,0))</f>
        <v>#N/A</v>
      </c>
      <c r="P977" s="7">
        <v>43258</v>
      </c>
      <c r="Q977" s="6">
        <v>10</v>
      </c>
      <c r="R977" s="6">
        <v>220</v>
      </c>
      <c r="S977" s="6">
        <v>17122912</v>
      </c>
      <c r="T977" s="6" t="e">
        <f>INDEX(医院2县区2人!$D$2:$D$1048576,MATCH(L977,医院2县区2人!$A$2:$A$1048576,0))</f>
        <v>#N/A</v>
      </c>
      <c r="W977" s="6" t="str">
        <f t="shared" si="33"/>
        <v>葡萄糖酸钙口服溶液10ml*12支</v>
      </c>
      <c r="X977" s="6" t="s">
        <v>2893</v>
      </c>
    </row>
    <row r="978" spans="1:24" x14ac:dyDescent="0.15">
      <c r="A978" s="7" t="str">
        <f t="shared" si="34"/>
        <v>201806</v>
      </c>
      <c r="C978" s="6" t="str">
        <f>INDEX(工厂基础数据!$A$2:$A$1024,MATCH(X978,工厂基础数据!$D$2:$D$1024,0))</f>
        <v>02032120</v>
      </c>
      <c r="E978" s="6" t="str">
        <f>INDEX(工厂基础数据!$B$2:$B$1024,MATCH(X978,工厂基础数据!$D$2:$D$1024,0))</f>
        <v>淄博博仁医药有限公司</v>
      </c>
      <c r="F978" s="6" t="e">
        <f>INDEX(商业2转码!$B$2:$B$10000,MATCH(E978,商业2转码!$A$2:$A$10000,0))</f>
        <v>#N/A</v>
      </c>
      <c r="G978" s="6" t="str">
        <f>INDEX(品种2编码!$A$2:$A$1048576,MATCH(W978,品种2编码!$D$2:$D$1048576,0))</f>
        <v>0020030001SJZY0006</v>
      </c>
      <c r="H978" s="6" t="s">
        <v>1833</v>
      </c>
      <c r="I978" s="6" t="s">
        <v>411</v>
      </c>
      <c r="J978" s="6" t="s">
        <v>3280</v>
      </c>
      <c r="L978" s="6" t="s">
        <v>3171</v>
      </c>
      <c r="M978" s="6" t="e">
        <f>INDEX(医院2县区2人!$B$2:$B$1048576,MATCH(L978,医院2县区2人!$A$2:$A$1048576,0))</f>
        <v>#N/A</v>
      </c>
      <c r="N978" s="6" t="e">
        <f>INDEX(医院2县区2人!$C$2:$C$1048576,MATCH(L978,医院2县区2人!$A$2:$A$1048576,0))</f>
        <v>#N/A</v>
      </c>
      <c r="P978" s="7">
        <v>43258</v>
      </c>
      <c r="Q978" s="6">
        <v>10</v>
      </c>
      <c r="R978" s="6">
        <v>220</v>
      </c>
      <c r="S978" s="6">
        <v>17122912</v>
      </c>
      <c r="T978" s="6" t="e">
        <f>INDEX(医院2县区2人!$D$2:$D$1048576,MATCH(L978,医院2县区2人!$A$2:$A$1048576,0))</f>
        <v>#N/A</v>
      </c>
      <c r="W978" s="6" t="str">
        <f t="shared" si="33"/>
        <v>葡萄糖酸钙口服溶液10ml*12支</v>
      </c>
      <c r="X978" s="6" t="s">
        <v>2893</v>
      </c>
    </row>
    <row r="979" spans="1:24" x14ac:dyDescent="0.15">
      <c r="A979" s="7" t="str">
        <f t="shared" si="34"/>
        <v>201806</v>
      </c>
      <c r="C979" s="6" t="str">
        <f>INDEX(工厂基础数据!$A$2:$A$1024,MATCH(X979,工厂基础数据!$D$2:$D$1024,0))</f>
        <v>02032120</v>
      </c>
      <c r="E979" s="6" t="str">
        <f>INDEX(工厂基础数据!$B$2:$B$1024,MATCH(X979,工厂基础数据!$D$2:$D$1024,0))</f>
        <v>淄博博仁医药有限公司</v>
      </c>
      <c r="F979" s="6" t="e">
        <f>INDEX(商业2转码!$B$2:$B$10000,MATCH(E979,商业2转码!$A$2:$A$10000,0))</f>
        <v>#N/A</v>
      </c>
      <c r="G979" s="6">
        <f>INDEX(品种2编码!$A$2:$A$1048576,MATCH(W979,品种2编码!$D$2:$D$1048576,0))</f>
        <v>0</v>
      </c>
      <c r="H979" s="6" t="s">
        <v>3268</v>
      </c>
      <c r="I979" s="6" t="s">
        <v>411</v>
      </c>
      <c r="J979" s="6" t="s">
        <v>3040</v>
      </c>
      <c r="L979" s="6" t="s">
        <v>3172</v>
      </c>
      <c r="M979" s="6" t="e">
        <f>INDEX(医院2县区2人!$B$2:$B$1048576,MATCH(L979,医院2县区2人!$A$2:$A$1048576,0))</f>
        <v>#N/A</v>
      </c>
      <c r="N979" s="6" t="e">
        <f>INDEX(医院2县区2人!$C$2:$C$1048576,MATCH(L979,医院2县区2人!$A$2:$A$1048576,0))</f>
        <v>#N/A</v>
      </c>
      <c r="P979" s="7">
        <v>43258</v>
      </c>
      <c r="Q979" s="6">
        <v>10</v>
      </c>
      <c r="R979" s="6">
        <v>230</v>
      </c>
      <c r="S979" s="6">
        <v>17112821</v>
      </c>
      <c r="T979" s="6" t="e">
        <f>INDEX(医院2县区2人!$D$2:$D$1048576,MATCH(L979,医院2县区2人!$A$2:$A$1048576,0))</f>
        <v>#N/A</v>
      </c>
      <c r="W979" s="6" t="str">
        <f t="shared" si="33"/>
        <v>葡糖糖酸锌口服溶液10ml*12支</v>
      </c>
      <c r="X979" s="6" t="s">
        <v>2893</v>
      </c>
    </row>
    <row r="980" spans="1:24" x14ac:dyDescent="0.15">
      <c r="A980" s="7" t="str">
        <f t="shared" si="34"/>
        <v>201806</v>
      </c>
      <c r="C980" s="6" t="str">
        <f>INDEX(工厂基础数据!$A$2:$A$1024,MATCH(X980,工厂基础数据!$D$2:$D$1024,0))</f>
        <v>02032120</v>
      </c>
      <c r="E980" s="6" t="str">
        <f>INDEX(工厂基础数据!$B$2:$B$1024,MATCH(X980,工厂基础数据!$D$2:$D$1024,0))</f>
        <v>淄博博仁医药有限公司</v>
      </c>
      <c r="F980" s="6" t="e">
        <f>INDEX(商业2转码!$B$2:$B$10000,MATCH(E980,商业2转码!$A$2:$A$10000,0))</f>
        <v>#N/A</v>
      </c>
      <c r="G980" s="6">
        <f>INDEX(品种2编码!$A$2:$A$1048576,MATCH(W980,品种2编码!$D$2:$D$1048576,0))</f>
        <v>0</v>
      </c>
      <c r="H980" s="6" t="s">
        <v>3268</v>
      </c>
      <c r="I980" s="6" t="s">
        <v>411</v>
      </c>
      <c r="J980" s="6" t="s">
        <v>3040</v>
      </c>
      <c r="L980" s="6" t="s">
        <v>3171</v>
      </c>
      <c r="M980" s="6" t="e">
        <f>INDEX(医院2县区2人!$B$2:$B$1048576,MATCH(L980,医院2县区2人!$A$2:$A$1048576,0))</f>
        <v>#N/A</v>
      </c>
      <c r="N980" s="6" t="e">
        <f>INDEX(医院2县区2人!$C$2:$C$1048576,MATCH(L980,医院2县区2人!$A$2:$A$1048576,0))</f>
        <v>#N/A</v>
      </c>
      <c r="P980" s="7">
        <v>43258</v>
      </c>
      <c r="Q980" s="6">
        <v>10</v>
      </c>
      <c r="R980" s="6">
        <v>230</v>
      </c>
      <c r="S980" s="6">
        <v>17112821</v>
      </c>
      <c r="T980" s="6" t="e">
        <f>INDEX(医院2县区2人!$D$2:$D$1048576,MATCH(L980,医院2县区2人!$A$2:$A$1048576,0))</f>
        <v>#N/A</v>
      </c>
      <c r="W980" s="6" t="str">
        <f t="shared" si="33"/>
        <v>葡糖糖酸锌口服溶液10ml*12支</v>
      </c>
      <c r="X980" s="6" t="s">
        <v>2893</v>
      </c>
    </row>
    <row r="981" spans="1:24" x14ac:dyDescent="0.15">
      <c r="A981" s="7" t="str">
        <f t="shared" si="34"/>
        <v>201806</v>
      </c>
      <c r="C981" s="6" t="str">
        <f>INDEX(工厂基础数据!$A$2:$A$1024,MATCH(X981,工厂基础数据!$D$2:$D$1024,0))</f>
        <v>02032120</v>
      </c>
      <c r="E981" s="6" t="str">
        <f>INDEX(工厂基础数据!$B$2:$B$1024,MATCH(X981,工厂基础数据!$D$2:$D$1024,0))</f>
        <v>淄博博仁医药有限公司</v>
      </c>
      <c r="F981" s="6" t="e">
        <f>INDEX(商业2转码!$B$2:$B$10000,MATCH(E981,商业2转码!$A$2:$A$10000,0))</f>
        <v>#N/A</v>
      </c>
      <c r="G981" s="6" t="str">
        <f>INDEX(品种2编码!$A$2:$A$1048576,MATCH(W981,品种2编码!$D$2:$D$1048576,0))</f>
        <v>0020020021ZYLC0004</v>
      </c>
      <c r="H981" s="6" t="s">
        <v>1950</v>
      </c>
      <c r="I981" s="6" t="s">
        <v>1869</v>
      </c>
      <c r="J981" s="6" t="s">
        <v>3283</v>
      </c>
      <c r="L981" s="6" t="s">
        <v>3134</v>
      </c>
      <c r="M981" s="6" t="e">
        <f>INDEX(医院2县区2人!$B$2:$B$1048576,MATCH(L981,医院2县区2人!$A$2:$A$1048576,0))</f>
        <v>#N/A</v>
      </c>
      <c r="N981" s="6" t="e">
        <f>INDEX(医院2县区2人!$C$2:$C$1048576,MATCH(L981,医院2县区2人!$A$2:$A$1048576,0))</f>
        <v>#N/A</v>
      </c>
      <c r="P981" s="7">
        <v>43258</v>
      </c>
      <c r="Q981" s="6">
        <v>10</v>
      </c>
      <c r="R981" s="6">
        <v>80</v>
      </c>
      <c r="S981" s="6">
        <v>171101</v>
      </c>
      <c r="T981" s="6" t="e">
        <f>INDEX(医院2县区2人!$D$2:$D$1048576,MATCH(L981,医院2县区2人!$A$2:$A$1048576,0))</f>
        <v>#N/A</v>
      </c>
      <c r="W981" s="6" t="str">
        <f t="shared" si="33"/>
        <v>罗红霉素分散片75mg*12片</v>
      </c>
      <c r="X981" s="6" t="s">
        <v>2893</v>
      </c>
    </row>
    <row r="982" spans="1:24" x14ac:dyDescent="0.15">
      <c r="A982" s="7" t="str">
        <f t="shared" si="34"/>
        <v>201806</v>
      </c>
      <c r="C982" s="6" t="str">
        <f>INDEX(工厂基础数据!$A$2:$A$1024,MATCH(X982,工厂基础数据!$D$2:$D$1024,0))</f>
        <v>02032120</v>
      </c>
      <c r="E982" s="6" t="str">
        <f>INDEX(工厂基础数据!$B$2:$B$1024,MATCH(X982,工厂基础数据!$D$2:$D$1024,0))</f>
        <v>淄博博仁医药有限公司</v>
      </c>
      <c r="F982" s="6" t="e">
        <f>INDEX(商业2转码!$B$2:$B$10000,MATCH(E982,商业2转码!$A$2:$A$10000,0))</f>
        <v>#N/A</v>
      </c>
      <c r="G982" s="6">
        <f>INDEX(品种2编码!$A$2:$A$1048576,MATCH(W982,品种2编码!$D$2:$D$1048576,0))</f>
        <v>0</v>
      </c>
      <c r="H982" s="6" t="s">
        <v>672</v>
      </c>
      <c r="I982" s="6" t="s">
        <v>1843</v>
      </c>
      <c r="J982" s="6" t="s">
        <v>3279</v>
      </c>
      <c r="L982" s="6" t="s">
        <v>3171</v>
      </c>
      <c r="M982" s="6" t="e">
        <f>INDEX(医院2县区2人!$B$2:$B$1048576,MATCH(L982,医院2县区2人!$A$2:$A$1048576,0))</f>
        <v>#N/A</v>
      </c>
      <c r="N982" s="6" t="e">
        <f>INDEX(医院2县区2人!$C$2:$C$1048576,MATCH(L982,医院2县区2人!$A$2:$A$1048576,0))</f>
        <v>#N/A</v>
      </c>
      <c r="P982" s="7">
        <v>43258</v>
      </c>
      <c r="Q982" s="6">
        <v>20</v>
      </c>
      <c r="R982" s="6">
        <v>0.2</v>
      </c>
      <c r="S982" s="6">
        <v>20180105</v>
      </c>
      <c r="T982" s="6" t="e">
        <f>INDEX(医院2县区2人!$D$2:$D$1048576,MATCH(L982,医院2县区2人!$A$2:$A$1048576,0))</f>
        <v>#N/A</v>
      </c>
      <c r="W982" s="6" t="str">
        <f t="shared" si="33"/>
        <v>退热贴2贴</v>
      </c>
      <c r="X982" s="6" t="s">
        <v>2893</v>
      </c>
    </row>
    <row r="983" spans="1:24" x14ac:dyDescent="0.15">
      <c r="A983" s="7" t="str">
        <f t="shared" si="34"/>
        <v>201806</v>
      </c>
      <c r="C983" s="6" t="str">
        <f>INDEX(工厂基础数据!$A$2:$A$1024,MATCH(X983,工厂基础数据!$D$2:$D$1024,0))</f>
        <v>02032120</v>
      </c>
      <c r="E983" s="6" t="str">
        <f>INDEX(工厂基础数据!$B$2:$B$1024,MATCH(X983,工厂基础数据!$D$2:$D$1024,0))</f>
        <v>淄博博仁医药有限公司</v>
      </c>
      <c r="F983" s="6" t="e">
        <f>INDEX(商业2转码!$B$2:$B$10000,MATCH(E983,商业2转码!$A$2:$A$10000,0))</f>
        <v>#N/A</v>
      </c>
      <c r="G983" s="6">
        <f>INDEX(品种2编码!$A$2:$A$1048576,MATCH(W983,品种2编码!$D$2:$D$1048576,0))</f>
        <v>0</v>
      </c>
      <c r="H983" s="6" t="s">
        <v>672</v>
      </c>
      <c r="I983" s="6" t="s">
        <v>1843</v>
      </c>
      <c r="J983" s="6" t="s">
        <v>3279</v>
      </c>
      <c r="L983" s="6" t="s">
        <v>3172</v>
      </c>
      <c r="M983" s="6" t="e">
        <f>INDEX(医院2县区2人!$B$2:$B$1048576,MATCH(L983,医院2县区2人!$A$2:$A$1048576,0))</f>
        <v>#N/A</v>
      </c>
      <c r="N983" s="6" t="e">
        <f>INDEX(医院2县区2人!$C$2:$C$1048576,MATCH(L983,医院2县区2人!$A$2:$A$1048576,0))</f>
        <v>#N/A</v>
      </c>
      <c r="P983" s="7">
        <v>43258</v>
      </c>
      <c r="Q983" s="6">
        <v>20</v>
      </c>
      <c r="R983" s="6">
        <v>0.2</v>
      </c>
      <c r="S983" s="6">
        <v>20180105</v>
      </c>
      <c r="T983" s="6" t="e">
        <f>INDEX(医院2县区2人!$D$2:$D$1048576,MATCH(L983,医院2县区2人!$A$2:$A$1048576,0))</f>
        <v>#N/A</v>
      </c>
      <c r="W983" s="6" t="str">
        <f t="shared" si="33"/>
        <v>退热贴2贴</v>
      </c>
      <c r="X983" s="6" t="s">
        <v>2893</v>
      </c>
    </row>
    <row r="984" spans="1:24" x14ac:dyDescent="0.15">
      <c r="A984" s="7" t="str">
        <f t="shared" si="34"/>
        <v>201806</v>
      </c>
      <c r="C984" s="6" t="str">
        <f>INDEX(工厂基础数据!$A$2:$A$1024,MATCH(X984,工厂基础数据!$D$2:$D$1024,0))</f>
        <v>02032120</v>
      </c>
      <c r="E984" s="6" t="str">
        <f>INDEX(工厂基础数据!$B$2:$B$1024,MATCH(X984,工厂基础数据!$D$2:$D$1024,0))</f>
        <v>淄博博仁医药有限公司</v>
      </c>
      <c r="F984" s="6" t="e">
        <f>INDEX(商业2转码!$B$2:$B$10000,MATCH(E984,商业2转码!$A$2:$A$10000,0))</f>
        <v>#N/A</v>
      </c>
      <c r="G984" s="6">
        <f>INDEX(品种2编码!$A$2:$A$1048576,MATCH(W984,品种2编码!$D$2:$D$1048576,0))</f>
        <v>0</v>
      </c>
      <c r="H984" s="6" t="s">
        <v>672</v>
      </c>
      <c r="I984" s="6" t="s">
        <v>1843</v>
      </c>
      <c r="J984" s="6" t="s">
        <v>3279</v>
      </c>
      <c r="L984" s="6" t="s">
        <v>3174</v>
      </c>
      <c r="M984" s="6" t="e">
        <f>INDEX(医院2县区2人!$B$2:$B$1048576,MATCH(L984,医院2县区2人!$A$2:$A$1048576,0))</f>
        <v>#N/A</v>
      </c>
      <c r="N984" s="6" t="e">
        <f>INDEX(医院2县区2人!$C$2:$C$1048576,MATCH(L984,医院2县区2人!$A$2:$A$1048576,0))</f>
        <v>#N/A</v>
      </c>
      <c r="P984" s="7">
        <v>43258</v>
      </c>
      <c r="Q984" s="6">
        <v>20</v>
      </c>
      <c r="R984" s="6">
        <v>0.2</v>
      </c>
      <c r="S984" s="6">
        <v>20180105</v>
      </c>
      <c r="T984" s="6" t="e">
        <f>INDEX(医院2县区2人!$D$2:$D$1048576,MATCH(L984,医院2县区2人!$A$2:$A$1048576,0))</f>
        <v>#N/A</v>
      </c>
      <c r="W984" s="6" t="str">
        <f t="shared" si="33"/>
        <v>退热贴2贴</v>
      </c>
      <c r="X984" s="6" t="s">
        <v>2893</v>
      </c>
    </row>
    <row r="985" spans="1:24" x14ac:dyDescent="0.15">
      <c r="A985" s="7" t="str">
        <f t="shared" si="34"/>
        <v>201806</v>
      </c>
      <c r="C985" s="6" t="str">
        <f>INDEX(工厂基础数据!$A$2:$A$1024,MATCH(X985,工厂基础数据!$D$2:$D$1024,0))</f>
        <v>02032120</v>
      </c>
      <c r="E985" s="6" t="str">
        <f>INDEX(工厂基础数据!$B$2:$B$1024,MATCH(X985,工厂基础数据!$D$2:$D$1024,0))</f>
        <v>淄博博仁医药有限公司</v>
      </c>
      <c r="F985" s="6" t="e">
        <f>INDEX(商业2转码!$B$2:$B$10000,MATCH(E985,商业2转码!$A$2:$A$10000,0))</f>
        <v>#N/A</v>
      </c>
      <c r="G985" s="6" t="str">
        <f>INDEX(品种2编码!$A$2:$A$1048576,MATCH(W985,品种2编码!$D$2:$D$1048576,0))</f>
        <v>0020050090SJZY0001</v>
      </c>
      <c r="H985" s="6" t="s">
        <v>630</v>
      </c>
      <c r="I985" s="6" t="s">
        <v>1850</v>
      </c>
      <c r="J985" s="6" t="s">
        <v>3285</v>
      </c>
      <c r="L985" s="6" t="s">
        <v>3175</v>
      </c>
      <c r="M985" s="6" t="e">
        <f>INDEX(医院2县区2人!$B$2:$B$1048576,MATCH(L985,医院2县区2人!$A$2:$A$1048576,0))</f>
        <v>#N/A</v>
      </c>
      <c r="N985" s="6" t="e">
        <f>INDEX(医院2县区2人!$C$2:$C$1048576,MATCH(L985,医院2县区2人!$A$2:$A$1048576,0))</f>
        <v>#N/A</v>
      </c>
      <c r="P985" s="7">
        <v>43258</v>
      </c>
      <c r="Q985" s="6">
        <v>20</v>
      </c>
      <c r="R985" s="6">
        <v>330</v>
      </c>
      <c r="S985" s="6">
        <v>17122813</v>
      </c>
      <c r="T985" s="6" t="e">
        <f>INDEX(医院2县区2人!$D$2:$D$1048576,MATCH(L985,医院2县区2人!$A$2:$A$1048576,0))</f>
        <v>#N/A</v>
      </c>
      <c r="W985" s="6" t="str">
        <f t="shared" si="33"/>
        <v>双黄连口服液10ml*10支</v>
      </c>
      <c r="X985" s="6" t="s">
        <v>2893</v>
      </c>
    </row>
    <row r="986" spans="1:24" x14ac:dyDescent="0.15">
      <c r="A986" s="7" t="str">
        <f t="shared" si="34"/>
        <v>201806</v>
      </c>
      <c r="C986" s="6" t="str">
        <f>INDEX(工厂基础数据!$A$2:$A$1024,MATCH(X986,工厂基础数据!$D$2:$D$1024,0))</f>
        <v>02032120</v>
      </c>
      <c r="E986" s="6" t="str">
        <f>INDEX(工厂基础数据!$B$2:$B$1024,MATCH(X986,工厂基础数据!$D$2:$D$1024,0))</f>
        <v>淄博博仁医药有限公司</v>
      </c>
      <c r="F986" s="6" t="e">
        <f>INDEX(商业2转码!$B$2:$B$10000,MATCH(E986,商业2转码!$A$2:$A$10000,0))</f>
        <v>#N/A</v>
      </c>
      <c r="G986" s="6" t="str">
        <f>INDEX(品种2编码!$A$2:$A$1048576,MATCH(W986,品种2编码!$D$2:$D$1048576,0))</f>
        <v>0020050090SJZY0001</v>
      </c>
      <c r="H986" s="6" t="s">
        <v>630</v>
      </c>
      <c r="I986" s="6" t="s">
        <v>1850</v>
      </c>
      <c r="J986" s="6" t="s">
        <v>3285</v>
      </c>
      <c r="L986" s="6" t="s">
        <v>3176</v>
      </c>
      <c r="M986" s="6" t="e">
        <f>INDEX(医院2县区2人!$B$2:$B$1048576,MATCH(L986,医院2县区2人!$A$2:$A$1048576,0))</f>
        <v>#N/A</v>
      </c>
      <c r="N986" s="6" t="e">
        <f>INDEX(医院2县区2人!$C$2:$C$1048576,MATCH(L986,医院2县区2人!$A$2:$A$1048576,0))</f>
        <v>#N/A</v>
      </c>
      <c r="P986" s="7">
        <v>43258</v>
      </c>
      <c r="Q986" s="6">
        <v>20</v>
      </c>
      <c r="R986" s="6">
        <v>330</v>
      </c>
      <c r="S986" s="6">
        <v>17122813</v>
      </c>
      <c r="T986" s="6" t="e">
        <f>INDEX(医院2县区2人!$D$2:$D$1048576,MATCH(L986,医院2县区2人!$A$2:$A$1048576,0))</f>
        <v>#N/A</v>
      </c>
      <c r="W986" s="6" t="str">
        <f t="shared" si="33"/>
        <v>双黄连口服液10ml*10支</v>
      </c>
      <c r="X986" s="6" t="s">
        <v>2893</v>
      </c>
    </row>
    <row r="987" spans="1:24" x14ac:dyDescent="0.15">
      <c r="A987" s="7" t="str">
        <f t="shared" si="34"/>
        <v>201806</v>
      </c>
      <c r="C987" s="6" t="str">
        <f>INDEX(工厂基础数据!$A$2:$A$1024,MATCH(X987,工厂基础数据!$D$2:$D$1024,0))</f>
        <v>02032120</v>
      </c>
      <c r="E987" s="6" t="str">
        <f>INDEX(工厂基础数据!$B$2:$B$1024,MATCH(X987,工厂基础数据!$D$2:$D$1024,0))</f>
        <v>淄博博仁医药有限公司</v>
      </c>
      <c r="F987" s="6" t="e">
        <f>INDEX(商业2转码!$B$2:$B$10000,MATCH(E987,商业2转码!$A$2:$A$10000,0))</f>
        <v>#N/A</v>
      </c>
      <c r="G987" s="6" t="str">
        <f>INDEX(品种2编码!$A$2:$A$1048576,MATCH(W987,品种2编码!$D$2:$D$1048576,0))</f>
        <v>0020030001SJZY0006</v>
      </c>
      <c r="H987" s="6" t="s">
        <v>1833</v>
      </c>
      <c r="I987" s="6" t="s">
        <v>411</v>
      </c>
      <c r="J987" s="6" t="s">
        <v>3280</v>
      </c>
      <c r="L987" s="6" t="s">
        <v>3175</v>
      </c>
      <c r="M987" s="6" t="e">
        <f>INDEX(医院2县区2人!$B$2:$B$1048576,MATCH(L987,医院2县区2人!$A$2:$A$1048576,0))</f>
        <v>#N/A</v>
      </c>
      <c r="N987" s="6" t="e">
        <f>INDEX(医院2县区2人!$C$2:$C$1048576,MATCH(L987,医院2县区2人!$A$2:$A$1048576,0))</f>
        <v>#N/A</v>
      </c>
      <c r="P987" s="7">
        <v>43258</v>
      </c>
      <c r="Q987" s="6">
        <v>20</v>
      </c>
      <c r="R987" s="6">
        <v>440</v>
      </c>
      <c r="S987" s="6">
        <v>17122912</v>
      </c>
      <c r="T987" s="6" t="e">
        <f>INDEX(医院2县区2人!$D$2:$D$1048576,MATCH(L987,医院2县区2人!$A$2:$A$1048576,0))</f>
        <v>#N/A</v>
      </c>
      <c r="W987" s="6" t="str">
        <f t="shared" si="33"/>
        <v>葡萄糖酸钙口服溶液10ml*12支</v>
      </c>
      <c r="X987" s="6" t="s">
        <v>2893</v>
      </c>
    </row>
    <row r="988" spans="1:24" x14ac:dyDescent="0.15">
      <c r="A988" s="7" t="str">
        <f t="shared" si="34"/>
        <v>201806</v>
      </c>
      <c r="C988" s="6" t="str">
        <f>INDEX(工厂基础数据!$A$2:$A$1024,MATCH(X988,工厂基础数据!$D$2:$D$1024,0))</f>
        <v>02032120</v>
      </c>
      <c r="E988" s="6" t="str">
        <f>INDEX(工厂基础数据!$B$2:$B$1024,MATCH(X988,工厂基础数据!$D$2:$D$1024,0))</f>
        <v>淄博博仁医药有限公司</v>
      </c>
      <c r="F988" s="6" t="e">
        <f>INDEX(商业2转码!$B$2:$B$10000,MATCH(E988,商业2转码!$A$2:$A$10000,0))</f>
        <v>#N/A</v>
      </c>
      <c r="G988" s="6" t="str">
        <f>INDEX(品种2编码!$A$2:$A$1048576,MATCH(W988,品种2编码!$D$2:$D$1048576,0))</f>
        <v>0020030001SJZY0006</v>
      </c>
      <c r="H988" s="6" t="s">
        <v>1833</v>
      </c>
      <c r="I988" s="6" t="s">
        <v>411</v>
      </c>
      <c r="J988" s="6" t="s">
        <v>3280</v>
      </c>
      <c r="L988" s="6" t="s">
        <v>3176</v>
      </c>
      <c r="M988" s="6" t="e">
        <f>INDEX(医院2县区2人!$B$2:$B$1048576,MATCH(L988,医院2县区2人!$A$2:$A$1048576,0))</f>
        <v>#N/A</v>
      </c>
      <c r="N988" s="6" t="e">
        <f>INDEX(医院2县区2人!$C$2:$C$1048576,MATCH(L988,医院2县区2人!$A$2:$A$1048576,0))</f>
        <v>#N/A</v>
      </c>
      <c r="P988" s="7">
        <v>43258</v>
      </c>
      <c r="Q988" s="6">
        <v>20</v>
      </c>
      <c r="R988" s="6">
        <v>440</v>
      </c>
      <c r="S988" s="6">
        <v>18030523</v>
      </c>
      <c r="T988" s="6" t="e">
        <f>INDEX(医院2县区2人!$D$2:$D$1048576,MATCH(L988,医院2县区2人!$A$2:$A$1048576,0))</f>
        <v>#N/A</v>
      </c>
      <c r="W988" s="6" t="str">
        <f t="shared" si="33"/>
        <v>葡萄糖酸钙口服溶液10ml*12支</v>
      </c>
      <c r="X988" s="6" t="s">
        <v>2893</v>
      </c>
    </row>
    <row r="989" spans="1:24" x14ac:dyDescent="0.15">
      <c r="A989" s="7" t="str">
        <f t="shared" si="34"/>
        <v>201806</v>
      </c>
      <c r="C989" s="6" t="str">
        <f>INDEX(工厂基础数据!$A$2:$A$1024,MATCH(X989,工厂基础数据!$D$2:$D$1024,0))</f>
        <v>02032120</v>
      </c>
      <c r="E989" s="6" t="str">
        <f>INDEX(工厂基础数据!$B$2:$B$1024,MATCH(X989,工厂基础数据!$D$2:$D$1024,0))</f>
        <v>淄博博仁医药有限公司</v>
      </c>
      <c r="F989" s="6" t="e">
        <f>INDEX(商业2转码!$B$2:$B$10000,MATCH(E989,商业2转码!$A$2:$A$10000,0))</f>
        <v>#N/A</v>
      </c>
      <c r="G989" s="6">
        <f>INDEX(品种2编码!$A$2:$A$1048576,MATCH(W989,品种2编码!$D$2:$D$1048576,0))</f>
        <v>0</v>
      </c>
      <c r="H989" s="6" t="s">
        <v>3268</v>
      </c>
      <c r="I989" s="6" t="s">
        <v>411</v>
      </c>
      <c r="J989" s="6" t="s">
        <v>3040</v>
      </c>
      <c r="L989" s="6" t="s">
        <v>3175</v>
      </c>
      <c r="M989" s="6" t="e">
        <f>INDEX(医院2县区2人!$B$2:$B$1048576,MATCH(L989,医院2县区2人!$A$2:$A$1048576,0))</f>
        <v>#N/A</v>
      </c>
      <c r="N989" s="6" t="e">
        <f>INDEX(医院2县区2人!$C$2:$C$1048576,MATCH(L989,医院2县区2人!$A$2:$A$1048576,0))</f>
        <v>#N/A</v>
      </c>
      <c r="P989" s="7">
        <v>43258</v>
      </c>
      <c r="Q989" s="6">
        <v>20</v>
      </c>
      <c r="R989" s="6">
        <v>460</v>
      </c>
      <c r="S989" s="6">
        <v>17112821</v>
      </c>
      <c r="T989" s="6" t="e">
        <f>INDEX(医院2县区2人!$D$2:$D$1048576,MATCH(L989,医院2县区2人!$A$2:$A$1048576,0))</f>
        <v>#N/A</v>
      </c>
      <c r="W989" s="6" t="str">
        <f t="shared" si="33"/>
        <v>葡糖糖酸锌口服溶液10ml*12支</v>
      </c>
      <c r="X989" s="6" t="s">
        <v>2893</v>
      </c>
    </row>
    <row r="990" spans="1:24" x14ac:dyDescent="0.15">
      <c r="A990" s="7" t="str">
        <f t="shared" si="34"/>
        <v>201806</v>
      </c>
      <c r="C990" s="6" t="str">
        <f>INDEX(工厂基础数据!$A$2:$A$1024,MATCH(X990,工厂基础数据!$D$2:$D$1024,0))</f>
        <v>02032120</v>
      </c>
      <c r="E990" s="6" t="str">
        <f>INDEX(工厂基础数据!$B$2:$B$1024,MATCH(X990,工厂基础数据!$D$2:$D$1024,0))</f>
        <v>淄博博仁医药有限公司</v>
      </c>
      <c r="F990" s="6" t="e">
        <f>INDEX(商业2转码!$B$2:$B$10000,MATCH(E990,商业2转码!$A$2:$A$10000,0))</f>
        <v>#N/A</v>
      </c>
      <c r="G990" s="6">
        <f>INDEX(品种2编码!$A$2:$A$1048576,MATCH(W990,品种2编码!$D$2:$D$1048576,0))</f>
        <v>0</v>
      </c>
      <c r="H990" s="6" t="s">
        <v>3268</v>
      </c>
      <c r="I990" s="6" t="s">
        <v>411</v>
      </c>
      <c r="J990" s="6" t="s">
        <v>3040</v>
      </c>
      <c r="L990" s="6" t="s">
        <v>3176</v>
      </c>
      <c r="M990" s="6" t="e">
        <f>INDEX(医院2县区2人!$B$2:$B$1048576,MATCH(L990,医院2县区2人!$A$2:$A$1048576,0))</f>
        <v>#N/A</v>
      </c>
      <c r="N990" s="6" t="e">
        <f>INDEX(医院2县区2人!$C$2:$C$1048576,MATCH(L990,医院2县区2人!$A$2:$A$1048576,0))</f>
        <v>#N/A</v>
      </c>
      <c r="P990" s="7">
        <v>43258</v>
      </c>
      <c r="Q990" s="6">
        <v>20</v>
      </c>
      <c r="R990" s="6">
        <v>460</v>
      </c>
      <c r="S990" s="6">
        <v>18031227</v>
      </c>
      <c r="T990" s="6" t="e">
        <f>INDEX(医院2县区2人!$D$2:$D$1048576,MATCH(L990,医院2县区2人!$A$2:$A$1048576,0))</f>
        <v>#N/A</v>
      </c>
      <c r="W990" s="6" t="str">
        <f t="shared" si="33"/>
        <v>葡糖糖酸锌口服溶液10ml*12支</v>
      </c>
      <c r="X990" s="6" t="s">
        <v>2893</v>
      </c>
    </row>
    <row r="991" spans="1:24" x14ac:dyDescent="0.15">
      <c r="A991" s="7" t="str">
        <f t="shared" si="34"/>
        <v>201806</v>
      </c>
      <c r="C991" s="6" t="str">
        <f>INDEX(工厂基础数据!$A$2:$A$1024,MATCH(X991,工厂基础数据!$D$2:$D$1024,0))</f>
        <v>02032120</v>
      </c>
      <c r="E991" s="6" t="str">
        <f>INDEX(工厂基础数据!$B$2:$B$1024,MATCH(X991,工厂基础数据!$D$2:$D$1024,0))</f>
        <v>淄博博仁医药有限公司</v>
      </c>
      <c r="F991" s="6" t="e">
        <f>INDEX(商业2转码!$B$2:$B$10000,MATCH(E991,商业2转码!$A$2:$A$10000,0))</f>
        <v>#N/A</v>
      </c>
      <c r="G991" s="6" t="str">
        <f>INDEX(品种2编码!$A$2:$A$1048576,MATCH(W991,品种2编码!$D$2:$D$1048576,0))</f>
        <v>0020050090SJZY0001</v>
      </c>
      <c r="H991" s="6" t="s">
        <v>630</v>
      </c>
      <c r="I991" s="6" t="s">
        <v>1850</v>
      </c>
      <c r="J991" s="6" t="s">
        <v>3285</v>
      </c>
      <c r="L991" s="6" t="s">
        <v>3157</v>
      </c>
      <c r="M991" s="6" t="e">
        <f>INDEX(医院2县区2人!$B$2:$B$1048576,MATCH(L991,医院2县区2人!$A$2:$A$1048576,0))</f>
        <v>#N/A</v>
      </c>
      <c r="N991" s="6" t="e">
        <f>INDEX(医院2县区2人!$C$2:$C$1048576,MATCH(L991,医院2县区2人!$A$2:$A$1048576,0))</f>
        <v>#N/A</v>
      </c>
      <c r="P991" s="7">
        <v>43259</v>
      </c>
      <c r="Q991" s="6">
        <v>-20</v>
      </c>
      <c r="R991" s="6">
        <v>-330</v>
      </c>
      <c r="S991" s="6">
        <v>18011223</v>
      </c>
      <c r="T991" s="6" t="e">
        <f>INDEX(医院2县区2人!$D$2:$D$1048576,MATCH(L991,医院2县区2人!$A$2:$A$1048576,0))</f>
        <v>#N/A</v>
      </c>
      <c r="W991" s="6" t="str">
        <f t="shared" si="33"/>
        <v>双黄连口服液10ml*10支</v>
      </c>
      <c r="X991" s="6" t="s">
        <v>2893</v>
      </c>
    </row>
    <row r="992" spans="1:24" x14ac:dyDescent="0.15">
      <c r="A992" s="7" t="str">
        <f t="shared" si="34"/>
        <v>201806</v>
      </c>
      <c r="C992" s="6" t="str">
        <f>INDEX(工厂基础数据!$A$2:$A$1024,MATCH(X992,工厂基础数据!$D$2:$D$1024,0))</f>
        <v>02032120</v>
      </c>
      <c r="E992" s="6" t="str">
        <f>INDEX(工厂基础数据!$B$2:$B$1024,MATCH(X992,工厂基础数据!$D$2:$D$1024,0))</f>
        <v>淄博博仁医药有限公司</v>
      </c>
      <c r="F992" s="6" t="e">
        <f>INDEX(商业2转码!$B$2:$B$10000,MATCH(E992,商业2转码!$A$2:$A$10000,0))</f>
        <v>#N/A</v>
      </c>
      <c r="G992" s="6" t="str">
        <f>INDEX(品种2编码!$A$2:$A$1048576,MATCH(W992,品种2编码!$D$2:$D$1048576,0))</f>
        <v>0020020021ZYLC0004</v>
      </c>
      <c r="H992" s="6" t="s">
        <v>1950</v>
      </c>
      <c r="I992" s="6" t="s">
        <v>1869</v>
      </c>
      <c r="J992" s="6" t="s">
        <v>3283</v>
      </c>
      <c r="L992" s="6" t="s">
        <v>3157</v>
      </c>
      <c r="M992" s="6" t="e">
        <f>INDEX(医院2县区2人!$B$2:$B$1048576,MATCH(L992,医院2县区2人!$A$2:$A$1048576,0))</f>
        <v>#N/A</v>
      </c>
      <c r="N992" s="6" t="e">
        <f>INDEX(医院2县区2人!$C$2:$C$1048576,MATCH(L992,医院2县区2人!$A$2:$A$1048576,0))</f>
        <v>#N/A</v>
      </c>
      <c r="P992" s="7">
        <v>43259</v>
      </c>
      <c r="Q992" s="6">
        <v>-20</v>
      </c>
      <c r="R992" s="6">
        <v>-160</v>
      </c>
      <c r="S992" s="6">
        <v>171101</v>
      </c>
      <c r="T992" s="6" t="e">
        <f>INDEX(医院2县区2人!$D$2:$D$1048576,MATCH(L992,医院2县区2人!$A$2:$A$1048576,0))</f>
        <v>#N/A</v>
      </c>
      <c r="W992" s="6" t="str">
        <f t="shared" si="33"/>
        <v>罗红霉素分散片75mg*12片</v>
      </c>
      <c r="X992" s="6" t="s">
        <v>2893</v>
      </c>
    </row>
    <row r="993" spans="1:24" x14ac:dyDescent="0.15">
      <c r="A993" s="7" t="str">
        <f t="shared" si="34"/>
        <v>201806</v>
      </c>
      <c r="C993" s="6" t="str">
        <f>INDEX(工厂基础数据!$A$2:$A$1024,MATCH(X993,工厂基础数据!$D$2:$D$1024,0))</f>
        <v>02032120</v>
      </c>
      <c r="E993" s="6" t="str">
        <f>INDEX(工厂基础数据!$B$2:$B$1024,MATCH(X993,工厂基础数据!$D$2:$D$1024,0))</f>
        <v>淄博博仁医药有限公司</v>
      </c>
      <c r="F993" s="6" t="e">
        <f>INDEX(商业2转码!$B$2:$B$10000,MATCH(E993,商业2转码!$A$2:$A$10000,0))</f>
        <v>#N/A</v>
      </c>
      <c r="G993" s="6">
        <f>INDEX(品种2编码!$A$2:$A$1048576,MATCH(W993,品种2编码!$D$2:$D$1048576,0))</f>
        <v>0</v>
      </c>
      <c r="H993" s="6" t="s">
        <v>405</v>
      </c>
      <c r="I993" s="6" t="s">
        <v>1850</v>
      </c>
      <c r="J993" s="6" t="s">
        <v>3279</v>
      </c>
      <c r="L993" s="6" t="s">
        <v>3157</v>
      </c>
      <c r="M993" s="6" t="e">
        <f>INDEX(医院2县区2人!$B$2:$B$1048576,MATCH(L993,医院2县区2人!$A$2:$A$1048576,0))</f>
        <v>#N/A</v>
      </c>
      <c r="N993" s="6" t="e">
        <f>INDEX(医院2县区2人!$C$2:$C$1048576,MATCH(L993,医院2县区2人!$A$2:$A$1048576,0))</f>
        <v>#N/A</v>
      </c>
      <c r="P993" s="7">
        <v>43259</v>
      </c>
      <c r="Q993" s="6">
        <v>-5</v>
      </c>
      <c r="R993" s="6">
        <v>-70</v>
      </c>
      <c r="S993" s="6" t="s">
        <v>3278</v>
      </c>
      <c r="T993" s="6" t="e">
        <f>INDEX(医院2县区2人!$D$2:$D$1048576,MATCH(L993,医院2县区2人!$A$2:$A$1048576,0))</f>
        <v>#N/A</v>
      </c>
      <c r="W993" s="6" t="str">
        <f t="shared" si="33"/>
        <v>钙铁锌口服液10ml*10支</v>
      </c>
      <c r="X993" s="6" t="s">
        <v>2893</v>
      </c>
    </row>
    <row r="994" spans="1:24" x14ac:dyDescent="0.15">
      <c r="A994" s="7" t="str">
        <f t="shared" si="34"/>
        <v>201806</v>
      </c>
      <c r="C994" s="6" t="str">
        <f>INDEX(工厂基础数据!$A$2:$A$1024,MATCH(X994,工厂基础数据!$D$2:$D$1024,0))</f>
        <v>02032120</v>
      </c>
      <c r="E994" s="6" t="str">
        <f>INDEX(工厂基础数据!$B$2:$B$1024,MATCH(X994,工厂基础数据!$D$2:$D$1024,0))</f>
        <v>淄博博仁医药有限公司</v>
      </c>
      <c r="F994" s="6" t="e">
        <f>INDEX(商业2转码!$B$2:$B$10000,MATCH(E994,商业2转码!$A$2:$A$10000,0))</f>
        <v>#N/A</v>
      </c>
      <c r="G994" s="6">
        <f>INDEX(品种2编码!$A$2:$A$1048576,MATCH(W994,品种2编码!$D$2:$D$1048576,0))</f>
        <v>0</v>
      </c>
      <c r="H994" s="6" t="s">
        <v>3268</v>
      </c>
      <c r="I994" s="6" t="s">
        <v>411</v>
      </c>
      <c r="J994" s="6" t="s">
        <v>3040</v>
      </c>
      <c r="L994" s="6" t="s">
        <v>3123</v>
      </c>
      <c r="M994" s="6" t="e">
        <f>INDEX(医院2县区2人!$B$2:$B$1048576,MATCH(L994,医院2县区2人!$A$2:$A$1048576,0))</f>
        <v>#N/A</v>
      </c>
      <c r="N994" s="6" t="e">
        <f>INDEX(医院2县区2人!$C$2:$C$1048576,MATCH(L994,医院2县区2人!$A$2:$A$1048576,0))</f>
        <v>#N/A</v>
      </c>
      <c r="P994" s="7">
        <v>43259</v>
      </c>
      <c r="Q994" s="6">
        <v>2</v>
      </c>
      <c r="R994" s="6">
        <v>38.799999999999997</v>
      </c>
      <c r="S994" s="6">
        <v>17112821</v>
      </c>
      <c r="T994" s="6" t="e">
        <f>INDEX(医院2县区2人!$D$2:$D$1048576,MATCH(L994,医院2县区2人!$A$2:$A$1048576,0))</f>
        <v>#N/A</v>
      </c>
      <c r="W994" s="6" t="str">
        <f t="shared" si="33"/>
        <v>葡糖糖酸锌口服溶液10ml*12支</v>
      </c>
      <c r="X994" s="6" t="s">
        <v>2893</v>
      </c>
    </row>
    <row r="995" spans="1:24" x14ac:dyDescent="0.15">
      <c r="A995" s="7" t="str">
        <f t="shared" si="34"/>
        <v>201806</v>
      </c>
      <c r="C995" s="6" t="str">
        <f>INDEX(工厂基础数据!$A$2:$A$1024,MATCH(X995,工厂基础数据!$D$2:$D$1024,0))</f>
        <v>02032120</v>
      </c>
      <c r="E995" s="6" t="str">
        <f>INDEX(工厂基础数据!$B$2:$B$1024,MATCH(X995,工厂基础数据!$D$2:$D$1024,0))</f>
        <v>淄博博仁医药有限公司</v>
      </c>
      <c r="F995" s="6" t="e">
        <f>INDEX(商业2转码!$B$2:$B$10000,MATCH(E995,商业2转码!$A$2:$A$10000,0))</f>
        <v>#N/A</v>
      </c>
      <c r="G995" s="6">
        <f>INDEX(品种2编码!$A$2:$A$1048576,MATCH(W995,品种2编码!$D$2:$D$1048576,0))</f>
        <v>0</v>
      </c>
      <c r="H995" s="6" t="s">
        <v>3268</v>
      </c>
      <c r="I995" s="6" t="s">
        <v>411</v>
      </c>
      <c r="J995" s="6" t="s">
        <v>3040</v>
      </c>
      <c r="L995" s="6" t="s">
        <v>3177</v>
      </c>
      <c r="M995" s="6" t="e">
        <f>INDEX(医院2县区2人!$B$2:$B$1048576,MATCH(L995,医院2县区2人!$A$2:$A$1048576,0))</f>
        <v>#N/A</v>
      </c>
      <c r="N995" s="6" t="e">
        <f>INDEX(医院2县区2人!$C$2:$C$1048576,MATCH(L995,医院2县区2人!$A$2:$A$1048576,0))</f>
        <v>#N/A</v>
      </c>
      <c r="P995" s="7">
        <v>43259</v>
      </c>
      <c r="Q995" s="6">
        <v>2</v>
      </c>
      <c r="R995" s="6">
        <v>46</v>
      </c>
      <c r="S995" s="6">
        <v>17112821</v>
      </c>
      <c r="T995" s="6" t="e">
        <f>INDEX(医院2县区2人!$D$2:$D$1048576,MATCH(L995,医院2县区2人!$A$2:$A$1048576,0))</f>
        <v>#N/A</v>
      </c>
      <c r="W995" s="6" t="str">
        <f t="shared" si="33"/>
        <v>葡糖糖酸锌口服溶液10ml*12支</v>
      </c>
      <c r="X995" s="6" t="s">
        <v>2893</v>
      </c>
    </row>
    <row r="996" spans="1:24" x14ac:dyDescent="0.15">
      <c r="A996" s="7" t="str">
        <f t="shared" si="34"/>
        <v>201806</v>
      </c>
      <c r="C996" s="6" t="str">
        <f>INDEX(工厂基础数据!$A$2:$A$1024,MATCH(X996,工厂基础数据!$D$2:$D$1024,0))</f>
        <v>02032120</v>
      </c>
      <c r="E996" s="6" t="str">
        <f>INDEX(工厂基础数据!$B$2:$B$1024,MATCH(X996,工厂基础数据!$D$2:$D$1024,0))</f>
        <v>淄博博仁医药有限公司</v>
      </c>
      <c r="F996" s="6" t="e">
        <f>INDEX(商业2转码!$B$2:$B$10000,MATCH(E996,商业2转码!$A$2:$A$10000,0))</f>
        <v>#N/A</v>
      </c>
      <c r="G996" s="6">
        <f>INDEX(品种2编码!$A$2:$A$1048576,MATCH(W996,品种2编码!$D$2:$D$1048576,0))</f>
        <v>0</v>
      </c>
      <c r="H996" s="6" t="s">
        <v>3269</v>
      </c>
      <c r="I996" s="6" t="s">
        <v>1839</v>
      </c>
      <c r="J996" s="6" t="s">
        <v>3279</v>
      </c>
      <c r="L996" s="6" t="s">
        <v>3178</v>
      </c>
      <c r="M996" s="6" t="e">
        <f>INDEX(医院2县区2人!$B$2:$B$1048576,MATCH(L996,医院2县区2人!$A$2:$A$1048576,0))</f>
        <v>#N/A</v>
      </c>
      <c r="N996" s="6" t="e">
        <f>INDEX(医院2县区2人!$C$2:$C$1048576,MATCH(L996,医院2县区2人!$A$2:$A$1048576,0))</f>
        <v>#N/A</v>
      </c>
      <c r="P996" s="7">
        <v>43259</v>
      </c>
      <c r="Q996" s="6">
        <v>5</v>
      </c>
      <c r="R996" s="6">
        <v>40</v>
      </c>
      <c r="S996" s="6">
        <v>180302</v>
      </c>
      <c r="T996" s="6" t="e">
        <f>INDEX(医院2县区2人!$D$2:$D$1048576,MATCH(L996,医院2县区2人!$A$2:$A$1048576,0))</f>
        <v>#N/A</v>
      </c>
      <c r="W996" s="6" t="str">
        <f t="shared" si="33"/>
        <v>乳酸菌素片(精）0.4g*36片</v>
      </c>
      <c r="X996" s="6" t="s">
        <v>2893</v>
      </c>
    </row>
    <row r="997" spans="1:24" x14ac:dyDescent="0.15">
      <c r="A997" s="7" t="str">
        <f t="shared" si="34"/>
        <v>201806</v>
      </c>
      <c r="C997" s="6" t="str">
        <f>INDEX(工厂基础数据!$A$2:$A$1024,MATCH(X997,工厂基础数据!$D$2:$D$1024,0))</f>
        <v>02032120</v>
      </c>
      <c r="E997" s="6" t="str">
        <f>INDEX(工厂基础数据!$B$2:$B$1024,MATCH(X997,工厂基础数据!$D$2:$D$1024,0))</f>
        <v>淄博博仁医药有限公司</v>
      </c>
      <c r="F997" s="6" t="e">
        <f>INDEX(商业2转码!$B$2:$B$10000,MATCH(E997,商业2转码!$A$2:$A$10000,0))</f>
        <v>#N/A</v>
      </c>
      <c r="G997" s="6">
        <f>INDEX(品种2编码!$A$2:$A$1048576,MATCH(W997,品种2编码!$D$2:$D$1048576,0))</f>
        <v>0</v>
      </c>
      <c r="H997" s="6" t="s">
        <v>1857</v>
      </c>
      <c r="I997" s="6" t="s">
        <v>3288</v>
      </c>
      <c r="J997" s="6" t="s">
        <v>3281</v>
      </c>
      <c r="L997" s="6" t="s">
        <v>3118</v>
      </c>
      <c r="M997" s="6" t="e">
        <f>INDEX(医院2县区2人!$B$2:$B$1048576,MATCH(L997,医院2县区2人!$A$2:$A$1048576,0))</f>
        <v>#N/A</v>
      </c>
      <c r="N997" s="6" t="e">
        <f>INDEX(医院2县区2人!$C$2:$C$1048576,MATCH(L997,医院2县区2人!$A$2:$A$1048576,0))</f>
        <v>#N/A</v>
      </c>
      <c r="P997" s="7">
        <v>43259</v>
      </c>
      <c r="Q997" s="6">
        <v>5</v>
      </c>
      <c r="R997" s="6">
        <v>70</v>
      </c>
      <c r="S997" s="6">
        <v>1801404</v>
      </c>
      <c r="T997" s="6" t="e">
        <f>INDEX(医院2县区2人!$D$2:$D$1048576,MATCH(L997,医院2县区2人!$A$2:$A$1048576,0))</f>
        <v>#N/A</v>
      </c>
      <c r="W997" s="6" t="str">
        <f t="shared" si="33"/>
        <v>妇宁栓7粒</v>
      </c>
      <c r="X997" s="6" t="s">
        <v>2893</v>
      </c>
    </row>
    <row r="998" spans="1:24" x14ac:dyDescent="0.15">
      <c r="A998" s="7" t="str">
        <f t="shared" si="34"/>
        <v>201806</v>
      </c>
      <c r="C998" s="6" t="str">
        <f>INDEX(工厂基础数据!$A$2:$A$1024,MATCH(X998,工厂基础数据!$D$2:$D$1024,0))</f>
        <v>02032120</v>
      </c>
      <c r="E998" s="6" t="str">
        <f>INDEX(工厂基础数据!$B$2:$B$1024,MATCH(X998,工厂基础数据!$D$2:$D$1024,0))</f>
        <v>淄博博仁医药有限公司</v>
      </c>
      <c r="F998" s="6" t="e">
        <f>INDEX(商业2转码!$B$2:$B$10000,MATCH(E998,商业2转码!$A$2:$A$10000,0))</f>
        <v>#N/A</v>
      </c>
      <c r="G998" s="6" t="str">
        <f>INDEX(品种2编码!$A$2:$A$1048576,MATCH(W998,品种2编码!$D$2:$D$1048576,0))</f>
        <v>0020050090SJZY0001</v>
      </c>
      <c r="H998" s="6" t="s">
        <v>630</v>
      </c>
      <c r="I998" s="6" t="s">
        <v>1850</v>
      </c>
      <c r="J998" s="6" t="s">
        <v>3285</v>
      </c>
      <c r="L998" s="6" t="s">
        <v>3139</v>
      </c>
      <c r="M998" s="6" t="e">
        <f>INDEX(医院2县区2人!$B$2:$B$1048576,MATCH(L998,医院2县区2人!$A$2:$A$1048576,0))</f>
        <v>#N/A</v>
      </c>
      <c r="N998" s="6" t="e">
        <f>INDEX(医院2县区2人!$C$2:$C$1048576,MATCH(L998,医院2县区2人!$A$2:$A$1048576,0))</f>
        <v>#N/A</v>
      </c>
      <c r="P998" s="7">
        <v>43259</v>
      </c>
      <c r="Q998" s="6">
        <v>10</v>
      </c>
      <c r="R998" s="6">
        <v>165</v>
      </c>
      <c r="S998" s="6">
        <v>17122813</v>
      </c>
      <c r="T998" s="6" t="e">
        <f>INDEX(医院2县区2人!$D$2:$D$1048576,MATCH(L998,医院2县区2人!$A$2:$A$1048576,0))</f>
        <v>#N/A</v>
      </c>
      <c r="W998" s="6" t="str">
        <f t="shared" si="33"/>
        <v>双黄连口服液10ml*10支</v>
      </c>
      <c r="X998" s="6" t="s">
        <v>2893</v>
      </c>
    </row>
    <row r="999" spans="1:24" x14ac:dyDescent="0.15">
      <c r="A999" s="7" t="str">
        <f t="shared" si="34"/>
        <v>201806</v>
      </c>
      <c r="C999" s="6" t="str">
        <f>INDEX(工厂基础数据!$A$2:$A$1024,MATCH(X999,工厂基础数据!$D$2:$D$1024,0))</f>
        <v>02032120</v>
      </c>
      <c r="E999" s="6" t="str">
        <f>INDEX(工厂基础数据!$B$2:$B$1024,MATCH(X999,工厂基础数据!$D$2:$D$1024,0))</f>
        <v>淄博博仁医药有限公司</v>
      </c>
      <c r="F999" s="6" t="e">
        <f>INDEX(商业2转码!$B$2:$B$10000,MATCH(E999,商业2转码!$A$2:$A$10000,0))</f>
        <v>#N/A</v>
      </c>
      <c r="G999" s="6" t="str">
        <f>INDEX(品种2编码!$A$2:$A$1048576,MATCH(W999,品种2编码!$D$2:$D$1048576,0))</f>
        <v>0020030001SJZY0006</v>
      </c>
      <c r="H999" s="6" t="s">
        <v>1833</v>
      </c>
      <c r="I999" s="6" t="s">
        <v>411</v>
      </c>
      <c r="J999" s="6" t="s">
        <v>3280</v>
      </c>
      <c r="L999" s="6" t="s">
        <v>3139</v>
      </c>
      <c r="M999" s="6" t="e">
        <f>INDEX(医院2县区2人!$B$2:$B$1048576,MATCH(L999,医院2县区2人!$A$2:$A$1048576,0))</f>
        <v>#N/A</v>
      </c>
      <c r="N999" s="6" t="e">
        <f>INDEX(医院2县区2人!$C$2:$C$1048576,MATCH(L999,医院2县区2人!$A$2:$A$1048576,0))</f>
        <v>#N/A</v>
      </c>
      <c r="P999" s="7">
        <v>43259</v>
      </c>
      <c r="Q999" s="6">
        <v>10</v>
      </c>
      <c r="R999" s="6">
        <v>220</v>
      </c>
      <c r="S999" s="6">
        <v>17122912</v>
      </c>
      <c r="T999" s="6" t="e">
        <f>INDEX(医院2县区2人!$D$2:$D$1048576,MATCH(L999,医院2县区2人!$A$2:$A$1048576,0))</f>
        <v>#N/A</v>
      </c>
      <c r="W999" s="6" t="str">
        <f t="shared" si="33"/>
        <v>葡萄糖酸钙口服溶液10ml*12支</v>
      </c>
      <c r="X999" s="6" t="s">
        <v>2893</v>
      </c>
    </row>
    <row r="1000" spans="1:24" x14ac:dyDescent="0.15">
      <c r="A1000" s="7" t="str">
        <f t="shared" si="34"/>
        <v>201806</v>
      </c>
      <c r="C1000" s="6" t="str">
        <f>INDEX(工厂基础数据!$A$2:$A$1024,MATCH(X1000,工厂基础数据!$D$2:$D$1024,0))</f>
        <v>02032120</v>
      </c>
      <c r="E1000" s="6" t="str">
        <f>INDEX(工厂基础数据!$B$2:$B$1024,MATCH(X1000,工厂基础数据!$D$2:$D$1024,0))</f>
        <v>淄博博仁医药有限公司</v>
      </c>
      <c r="F1000" s="6" t="e">
        <f>INDEX(商业2转码!$B$2:$B$10000,MATCH(E1000,商业2转码!$A$2:$A$10000,0))</f>
        <v>#N/A</v>
      </c>
      <c r="G1000" s="6" t="str">
        <f>INDEX(品种2编码!$A$2:$A$1048576,MATCH(W1000,品种2编码!$D$2:$D$1048576,0))</f>
        <v>0020030001SJZY0006</v>
      </c>
      <c r="H1000" s="6" t="s">
        <v>1833</v>
      </c>
      <c r="I1000" s="6" t="s">
        <v>411</v>
      </c>
      <c r="J1000" s="6" t="s">
        <v>3280</v>
      </c>
      <c r="L1000" s="6" t="s">
        <v>3179</v>
      </c>
      <c r="M1000" s="6" t="e">
        <f>INDEX(医院2县区2人!$B$2:$B$1048576,MATCH(L1000,医院2县区2人!$A$2:$A$1048576,0))</f>
        <v>#N/A</v>
      </c>
      <c r="N1000" s="6" t="e">
        <f>INDEX(医院2县区2人!$C$2:$C$1048576,MATCH(L1000,医院2县区2人!$A$2:$A$1048576,0))</f>
        <v>#N/A</v>
      </c>
      <c r="P1000" s="7">
        <v>43259</v>
      </c>
      <c r="Q1000" s="6">
        <v>10</v>
      </c>
      <c r="R1000" s="6">
        <v>220</v>
      </c>
      <c r="S1000" s="6">
        <v>17122912</v>
      </c>
      <c r="T1000" s="6" t="e">
        <f>INDEX(医院2县区2人!$D$2:$D$1048576,MATCH(L1000,医院2县区2人!$A$2:$A$1048576,0))</f>
        <v>#N/A</v>
      </c>
      <c r="W1000" s="6" t="str">
        <f t="shared" si="33"/>
        <v>葡萄糖酸钙口服溶液10ml*12支</v>
      </c>
      <c r="X1000" s="6" t="s">
        <v>2893</v>
      </c>
    </row>
    <row r="1001" spans="1:24" x14ac:dyDescent="0.15">
      <c r="A1001" s="7" t="str">
        <f t="shared" si="34"/>
        <v>201806</v>
      </c>
      <c r="C1001" s="6" t="str">
        <f>INDEX(工厂基础数据!$A$2:$A$1024,MATCH(X1001,工厂基础数据!$D$2:$D$1024,0))</f>
        <v>02032120</v>
      </c>
      <c r="E1001" s="6" t="str">
        <f>INDEX(工厂基础数据!$B$2:$B$1024,MATCH(X1001,工厂基础数据!$D$2:$D$1024,0))</f>
        <v>淄博博仁医药有限公司</v>
      </c>
      <c r="F1001" s="6" t="e">
        <f>INDEX(商业2转码!$B$2:$B$10000,MATCH(E1001,商业2转码!$A$2:$A$10000,0))</f>
        <v>#N/A</v>
      </c>
      <c r="G1001" s="6">
        <f>INDEX(品种2编码!$A$2:$A$1048576,MATCH(W1001,品种2编码!$D$2:$D$1048576,0))</f>
        <v>0</v>
      </c>
      <c r="H1001" s="6" t="s">
        <v>3268</v>
      </c>
      <c r="I1001" s="6" t="s">
        <v>411</v>
      </c>
      <c r="J1001" s="6" t="s">
        <v>3040</v>
      </c>
      <c r="L1001" s="6" t="s">
        <v>3139</v>
      </c>
      <c r="M1001" s="6" t="e">
        <f>INDEX(医院2县区2人!$B$2:$B$1048576,MATCH(L1001,医院2县区2人!$A$2:$A$1048576,0))</f>
        <v>#N/A</v>
      </c>
      <c r="N1001" s="6" t="e">
        <f>INDEX(医院2县区2人!$C$2:$C$1048576,MATCH(L1001,医院2县区2人!$A$2:$A$1048576,0))</f>
        <v>#N/A</v>
      </c>
      <c r="P1001" s="7">
        <v>43259</v>
      </c>
      <c r="Q1001" s="6">
        <v>10</v>
      </c>
      <c r="R1001" s="6">
        <v>230</v>
      </c>
      <c r="S1001" s="6">
        <v>17112821</v>
      </c>
      <c r="T1001" s="6" t="e">
        <f>INDEX(医院2县区2人!$D$2:$D$1048576,MATCH(L1001,医院2县区2人!$A$2:$A$1048576,0))</f>
        <v>#N/A</v>
      </c>
      <c r="W1001" s="6" t="str">
        <f t="shared" si="33"/>
        <v>葡糖糖酸锌口服溶液10ml*12支</v>
      </c>
      <c r="X1001" s="6" t="s">
        <v>2893</v>
      </c>
    </row>
    <row r="1002" spans="1:24" x14ac:dyDescent="0.15">
      <c r="A1002" s="7" t="str">
        <f t="shared" si="34"/>
        <v>201806</v>
      </c>
      <c r="C1002" s="6" t="str">
        <f>INDEX(工厂基础数据!$A$2:$A$1024,MATCH(X1002,工厂基础数据!$D$2:$D$1024,0))</f>
        <v>02032120</v>
      </c>
      <c r="E1002" s="6" t="str">
        <f>INDEX(工厂基础数据!$B$2:$B$1024,MATCH(X1002,工厂基础数据!$D$2:$D$1024,0))</f>
        <v>淄博博仁医药有限公司</v>
      </c>
      <c r="F1002" s="6" t="e">
        <f>INDEX(商业2转码!$B$2:$B$10000,MATCH(E1002,商业2转码!$A$2:$A$10000,0))</f>
        <v>#N/A</v>
      </c>
      <c r="G1002" s="6" t="str">
        <f>INDEX(品种2编码!$A$2:$A$1048576,MATCH(W1002,品种2编码!$D$2:$D$1048576,0))</f>
        <v>0020040020SHYT0007</v>
      </c>
      <c r="H1002" s="6" t="s">
        <v>338</v>
      </c>
      <c r="I1002" s="6" t="s">
        <v>1866</v>
      </c>
      <c r="J1002" s="6" t="s">
        <v>3279</v>
      </c>
      <c r="L1002" s="6" t="s">
        <v>3141</v>
      </c>
      <c r="M1002" s="6" t="e">
        <f>INDEX(医院2县区2人!$B$2:$B$1048576,MATCH(L1002,医院2县区2人!$A$2:$A$1048576,0))</f>
        <v>#N/A</v>
      </c>
      <c r="N1002" s="6" t="e">
        <f>INDEX(医院2县区2人!$C$2:$C$1048576,MATCH(L1002,医院2县区2人!$A$2:$A$1048576,0))</f>
        <v>#N/A</v>
      </c>
      <c r="P1002" s="7">
        <v>43259</v>
      </c>
      <c r="Q1002" s="6">
        <v>10</v>
      </c>
      <c r="R1002" s="6">
        <v>162</v>
      </c>
      <c r="S1002" s="6">
        <v>1703505</v>
      </c>
      <c r="T1002" s="6" t="e">
        <f>INDEX(医院2县区2人!$D$2:$D$1048576,MATCH(L1002,医院2县区2人!$A$2:$A$1048576,0))</f>
        <v>#N/A</v>
      </c>
      <c r="W1002" s="6" t="str">
        <f t="shared" si="33"/>
        <v>丹佛胃尔康颗粒10g*6袋</v>
      </c>
      <c r="X1002" s="6" t="s">
        <v>2893</v>
      </c>
    </row>
    <row r="1003" spans="1:24" x14ac:dyDescent="0.15">
      <c r="A1003" s="7" t="str">
        <f t="shared" si="34"/>
        <v>201806</v>
      </c>
      <c r="C1003" s="6" t="str">
        <f>INDEX(工厂基础数据!$A$2:$A$1024,MATCH(X1003,工厂基础数据!$D$2:$D$1024,0))</f>
        <v>02032120</v>
      </c>
      <c r="E1003" s="6" t="str">
        <f>INDEX(工厂基础数据!$B$2:$B$1024,MATCH(X1003,工厂基础数据!$D$2:$D$1024,0))</f>
        <v>淄博博仁医药有限公司</v>
      </c>
      <c r="F1003" s="6" t="e">
        <f>INDEX(商业2转码!$B$2:$B$10000,MATCH(E1003,商业2转码!$A$2:$A$10000,0))</f>
        <v>#N/A</v>
      </c>
      <c r="G1003" s="6">
        <f>INDEX(品种2编码!$A$2:$A$1048576,MATCH(W1003,品种2编码!$D$2:$D$1048576,0))</f>
        <v>0</v>
      </c>
      <c r="H1003" s="6" t="s">
        <v>317</v>
      </c>
      <c r="I1003" s="6" t="s">
        <v>3291</v>
      </c>
      <c r="J1003" s="6" t="s">
        <v>3279</v>
      </c>
      <c r="L1003" s="6" t="s">
        <v>3141</v>
      </c>
      <c r="M1003" s="6" t="e">
        <f>INDEX(医院2县区2人!$B$2:$B$1048576,MATCH(L1003,医院2县区2人!$A$2:$A$1048576,0))</f>
        <v>#N/A</v>
      </c>
      <c r="N1003" s="6" t="e">
        <f>INDEX(医院2县区2人!$C$2:$C$1048576,MATCH(L1003,医院2县区2人!$A$2:$A$1048576,0))</f>
        <v>#N/A</v>
      </c>
      <c r="P1003" s="7">
        <v>43259</v>
      </c>
      <c r="Q1003" s="6">
        <v>10</v>
      </c>
      <c r="R1003" s="6">
        <v>103</v>
      </c>
      <c r="S1003" s="6">
        <v>1803608</v>
      </c>
      <c r="T1003" s="6" t="e">
        <f>INDEX(医院2县区2人!$D$2:$D$1048576,MATCH(L1003,医院2县区2人!$A$2:$A$1048576,0))</f>
        <v>#N/A</v>
      </c>
      <c r="W1003" s="6" t="str">
        <f t="shared" si="33"/>
        <v>布洛芬颗粒0.2g*12包</v>
      </c>
      <c r="X1003" s="6" t="s">
        <v>2893</v>
      </c>
    </row>
    <row r="1004" spans="1:24" x14ac:dyDescent="0.15">
      <c r="A1004" s="7" t="str">
        <f t="shared" si="34"/>
        <v>201806</v>
      </c>
      <c r="C1004" s="6" t="str">
        <f>INDEX(工厂基础数据!$A$2:$A$1024,MATCH(X1004,工厂基础数据!$D$2:$D$1024,0))</f>
        <v>02032120</v>
      </c>
      <c r="E1004" s="6" t="str">
        <f>INDEX(工厂基础数据!$B$2:$B$1024,MATCH(X1004,工厂基础数据!$D$2:$D$1024,0))</f>
        <v>淄博博仁医药有限公司</v>
      </c>
      <c r="F1004" s="6" t="e">
        <f>INDEX(商业2转码!$B$2:$B$10000,MATCH(E1004,商业2转码!$A$2:$A$10000,0))</f>
        <v>#N/A</v>
      </c>
      <c r="G1004" s="6" t="str">
        <f>INDEX(品种2编码!$A$2:$A$1048576,MATCH(W1004,品种2编码!$D$2:$D$1048576,0))</f>
        <v>0020020021ZYLC0012</v>
      </c>
      <c r="H1004" s="6" t="s">
        <v>292</v>
      </c>
      <c r="I1004" s="6" t="s">
        <v>1959</v>
      </c>
      <c r="J1004" s="6" t="s">
        <v>3279</v>
      </c>
      <c r="L1004" s="6" t="s">
        <v>3180</v>
      </c>
      <c r="M1004" s="6" t="e">
        <f>INDEX(医院2县区2人!$B$2:$B$1048576,MATCH(L1004,医院2县区2人!$A$2:$A$1048576,0))</f>
        <v>#N/A</v>
      </c>
      <c r="N1004" s="6" t="e">
        <f>INDEX(医院2县区2人!$C$2:$C$1048576,MATCH(L1004,医院2县区2人!$A$2:$A$1048576,0))</f>
        <v>#N/A</v>
      </c>
      <c r="P1004" s="7">
        <v>43259</v>
      </c>
      <c r="Q1004" s="6">
        <v>10</v>
      </c>
      <c r="R1004" s="6">
        <v>80</v>
      </c>
      <c r="S1004" s="6">
        <v>171101</v>
      </c>
      <c r="T1004" s="6" t="e">
        <f>INDEX(医院2县区2人!$D$2:$D$1048576,MATCH(L1004,医院2县区2人!$A$2:$A$1048576,0))</f>
        <v>#N/A</v>
      </c>
      <c r="W1004" s="6" t="str">
        <f t="shared" si="33"/>
        <v>阿奇霉素分散片0.25g*6片</v>
      </c>
      <c r="X1004" s="6" t="s">
        <v>2893</v>
      </c>
    </row>
    <row r="1005" spans="1:24" x14ac:dyDescent="0.15">
      <c r="A1005" s="7" t="str">
        <f t="shared" si="34"/>
        <v>201806</v>
      </c>
      <c r="C1005" s="6" t="str">
        <f>INDEX(工厂基础数据!$A$2:$A$1024,MATCH(X1005,工厂基础数据!$D$2:$D$1024,0))</f>
        <v>02032120</v>
      </c>
      <c r="E1005" s="6" t="str">
        <f>INDEX(工厂基础数据!$B$2:$B$1024,MATCH(X1005,工厂基础数据!$D$2:$D$1024,0))</f>
        <v>淄博博仁医药有限公司</v>
      </c>
      <c r="F1005" s="6" t="e">
        <f>INDEX(商业2转码!$B$2:$B$10000,MATCH(E1005,商业2转码!$A$2:$A$10000,0))</f>
        <v>#N/A</v>
      </c>
      <c r="G1005" s="6">
        <f>INDEX(品种2编码!$A$2:$A$1048576,MATCH(W1005,品种2编码!$D$2:$D$1048576,0))</f>
        <v>0</v>
      </c>
      <c r="H1005" s="6" t="s">
        <v>672</v>
      </c>
      <c r="I1005" s="6" t="s">
        <v>1843</v>
      </c>
      <c r="J1005" s="6" t="s">
        <v>3279</v>
      </c>
      <c r="L1005" s="6" t="s">
        <v>3139</v>
      </c>
      <c r="M1005" s="6" t="e">
        <f>INDEX(医院2县区2人!$B$2:$B$1048576,MATCH(L1005,医院2县区2人!$A$2:$A$1048576,0))</f>
        <v>#N/A</v>
      </c>
      <c r="N1005" s="6" t="e">
        <f>INDEX(医院2县区2人!$C$2:$C$1048576,MATCH(L1005,医院2县区2人!$A$2:$A$1048576,0))</f>
        <v>#N/A</v>
      </c>
      <c r="P1005" s="7">
        <v>43259</v>
      </c>
      <c r="Q1005" s="6">
        <v>20</v>
      </c>
      <c r="R1005" s="6">
        <v>0.2</v>
      </c>
      <c r="S1005" s="6">
        <v>20180105</v>
      </c>
      <c r="T1005" s="6" t="e">
        <f>INDEX(医院2县区2人!$D$2:$D$1048576,MATCH(L1005,医院2县区2人!$A$2:$A$1048576,0))</f>
        <v>#N/A</v>
      </c>
      <c r="W1005" s="6" t="str">
        <f t="shared" si="33"/>
        <v>退热贴2贴</v>
      </c>
      <c r="X1005" s="6" t="s">
        <v>2893</v>
      </c>
    </row>
    <row r="1006" spans="1:24" x14ac:dyDescent="0.15">
      <c r="A1006" s="7" t="str">
        <f t="shared" si="34"/>
        <v>201806</v>
      </c>
      <c r="C1006" s="6" t="str">
        <f>INDEX(工厂基础数据!$A$2:$A$1024,MATCH(X1006,工厂基础数据!$D$2:$D$1024,0))</f>
        <v>02032120</v>
      </c>
      <c r="E1006" s="6" t="str">
        <f>INDEX(工厂基础数据!$B$2:$B$1024,MATCH(X1006,工厂基础数据!$D$2:$D$1024,0))</f>
        <v>淄博博仁医药有限公司</v>
      </c>
      <c r="F1006" s="6" t="e">
        <f>INDEX(商业2转码!$B$2:$B$10000,MATCH(E1006,商业2转码!$A$2:$A$10000,0))</f>
        <v>#N/A</v>
      </c>
      <c r="G1006" s="6" t="str">
        <f>INDEX(品种2编码!$A$2:$A$1048576,MATCH(W1006,品种2编码!$D$2:$D$1048576,0))</f>
        <v>0020070000ZYLC0003</v>
      </c>
      <c r="H1006" s="6" t="s">
        <v>722</v>
      </c>
      <c r="I1006" s="6" t="s">
        <v>1993</v>
      </c>
      <c r="J1006" s="6" t="s">
        <v>3279</v>
      </c>
      <c r="L1006" s="6" t="s">
        <v>3131</v>
      </c>
      <c r="M1006" s="6" t="e">
        <f>INDEX(医院2县区2人!$B$2:$B$1048576,MATCH(L1006,医院2县区2人!$A$2:$A$1048576,0))</f>
        <v>#N/A</v>
      </c>
      <c r="N1006" s="6" t="e">
        <f>INDEX(医院2县区2人!$C$2:$C$1048576,MATCH(L1006,医院2县区2人!$A$2:$A$1048576,0))</f>
        <v>#N/A</v>
      </c>
      <c r="P1006" s="7">
        <v>43260</v>
      </c>
      <c r="Q1006" s="6">
        <v>1</v>
      </c>
      <c r="R1006" s="6">
        <v>22</v>
      </c>
      <c r="S1006" s="6">
        <v>170702</v>
      </c>
      <c r="T1006" s="6" t="e">
        <f>INDEX(医院2县区2人!$D$2:$D$1048576,MATCH(L1006,医院2县区2人!$A$2:$A$1048576,0))</f>
        <v>#N/A</v>
      </c>
      <c r="W1006" s="6" t="str">
        <f t="shared" si="33"/>
        <v>新盖中盖牌儿童钙片1.75g*36片</v>
      </c>
      <c r="X1006" s="6" t="s">
        <v>2893</v>
      </c>
    </row>
    <row r="1007" spans="1:24" x14ac:dyDescent="0.15">
      <c r="A1007" s="7" t="str">
        <f t="shared" si="34"/>
        <v>201806</v>
      </c>
      <c r="C1007" s="6" t="str">
        <f>INDEX(工厂基础数据!$A$2:$A$1024,MATCH(X1007,工厂基础数据!$D$2:$D$1024,0))</f>
        <v>02032120</v>
      </c>
      <c r="E1007" s="6" t="str">
        <f>INDEX(工厂基础数据!$B$2:$B$1024,MATCH(X1007,工厂基础数据!$D$2:$D$1024,0))</f>
        <v>淄博博仁医药有限公司</v>
      </c>
      <c r="F1007" s="6" t="e">
        <f>INDEX(商业2转码!$B$2:$B$10000,MATCH(E1007,商业2转码!$A$2:$A$10000,0))</f>
        <v>#N/A</v>
      </c>
      <c r="G1007" s="6" t="str">
        <f>INDEX(品种2编码!$A$2:$A$1048576,MATCH(W1007,品种2编码!$D$2:$D$1048576,0))</f>
        <v>0020030040ZYLC0001</v>
      </c>
      <c r="H1007" s="6" t="s">
        <v>1953</v>
      </c>
      <c r="I1007" s="6" t="s">
        <v>1954</v>
      </c>
      <c r="J1007" s="6" t="s">
        <v>3279</v>
      </c>
      <c r="L1007" s="6" t="s">
        <v>3131</v>
      </c>
      <c r="M1007" s="6" t="e">
        <f>INDEX(医院2县区2人!$B$2:$B$1048576,MATCH(L1007,医院2县区2人!$A$2:$A$1048576,0))</f>
        <v>#N/A</v>
      </c>
      <c r="N1007" s="6" t="e">
        <f>INDEX(医院2县区2人!$C$2:$C$1048576,MATCH(L1007,医院2县区2人!$A$2:$A$1048576,0))</f>
        <v>#N/A</v>
      </c>
      <c r="P1007" s="7">
        <v>43260</v>
      </c>
      <c r="Q1007" s="6">
        <v>1</v>
      </c>
      <c r="R1007" s="6">
        <v>9</v>
      </c>
      <c r="S1007" s="6">
        <v>171113</v>
      </c>
      <c r="T1007" s="6" t="e">
        <f>INDEX(医院2县区2人!$D$2:$D$1048576,MATCH(L1007,医院2县区2人!$A$2:$A$1048576,0))</f>
        <v>#N/A</v>
      </c>
      <c r="W1007" s="6" t="str">
        <f t="shared" si="33"/>
        <v>小儿氨酚黄那敏颗粒12袋</v>
      </c>
      <c r="X1007" s="6" t="s">
        <v>2893</v>
      </c>
    </row>
    <row r="1008" spans="1:24" x14ac:dyDescent="0.15">
      <c r="A1008" s="7" t="str">
        <f t="shared" si="34"/>
        <v>201806</v>
      </c>
      <c r="C1008" s="6" t="str">
        <f>INDEX(工厂基础数据!$A$2:$A$1024,MATCH(X1008,工厂基础数据!$D$2:$D$1024,0))</f>
        <v>02032120</v>
      </c>
      <c r="E1008" s="6" t="str">
        <f>INDEX(工厂基础数据!$B$2:$B$1024,MATCH(X1008,工厂基础数据!$D$2:$D$1024,0))</f>
        <v>淄博博仁医药有限公司</v>
      </c>
      <c r="F1008" s="6" t="e">
        <f>INDEX(商业2转码!$B$2:$B$10000,MATCH(E1008,商业2转码!$A$2:$A$10000,0))</f>
        <v>#N/A</v>
      </c>
      <c r="G1008" s="6">
        <f>INDEX(品种2编码!$A$2:$A$1048576,MATCH(W1008,品种2编码!$D$2:$D$1048576,0))</f>
        <v>0</v>
      </c>
      <c r="H1008" s="6" t="s">
        <v>3268</v>
      </c>
      <c r="I1008" s="6" t="s">
        <v>411</v>
      </c>
      <c r="J1008" s="6" t="s">
        <v>3040</v>
      </c>
      <c r="L1008" s="6" t="s">
        <v>3131</v>
      </c>
      <c r="M1008" s="6" t="e">
        <f>INDEX(医院2县区2人!$B$2:$B$1048576,MATCH(L1008,医院2县区2人!$A$2:$A$1048576,0))</f>
        <v>#N/A</v>
      </c>
      <c r="N1008" s="6" t="e">
        <f>INDEX(医院2县区2人!$C$2:$C$1048576,MATCH(L1008,医院2县区2人!$A$2:$A$1048576,0))</f>
        <v>#N/A</v>
      </c>
      <c r="P1008" s="7">
        <v>43260</v>
      </c>
      <c r="Q1008" s="6">
        <v>1</v>
      </c>
      <c r="R1008" s="6">
        <v>23</v>
      </c>
      <c r="S1008" s="6">
        <v>17112821</v>
      </c>
      <c r="T1008" s="6" t="e">
        <f>INDEX(医院2县区2人!$D$2:$D$1048576,MATCH(L1008,医院2县区2人!$A$2:$A$1048576,0))</f>
        <v>#N/A</v>
      </c>
      <c r="W1008" s="6" t="str">
        <f t="shared" si="33"/>
        <v>葡糖糖酸锌口服溶液10ml*12支</v>
      </c>
      <c r="X1008" s="6" t="s">
        <v>2893</v>
      </c>
    </row>
    <row r="1009" spans="1:24" x14ac:dyDescent="0.15">
      <c r="A1009" s="7" t="str">
        <f t="shared" si="34"/>
        <v>201806</v>
      </c>
      <c r="C1009" s="6" t="str">
        <f>INDEX(工厂基础数据!$A$2:$A$1024,MATCH(X1009,工厂基础数据!$D$2:$D$1024,0))</f>
        <v>02032120</v>
      </c>
      <c r="E1009" s="6" t="str">
        <f>INDEX(工厂基础数据!$B$2:$B$1024,MATCH(X1009,工厂基础数据!$D$2:$D$1024,0))</f>
        <v>淄博博仁医药有限公司</v>
      </c>
      <c r="F1009" s="6" t="e">
        <f>INDEX(商业2转码!$B$2:$B$10000,MATCH(E1009,商业2转码!$A$2:$A$10000,0))</f>
        <v>#N/A</v>
      </c>
      <c r="G1009" s="6">
        <f>INDEX(品种2编码!$A$2:$A$1048576,MATCH(W1009,品种2编码!$D$2:$D$1048576,0))</f>
        <v>0</v>
      </c>
      <c r="H1009" s="6" t="s">
        <v>1845</v>
      </c>
      <c r="I1009" s="6" t="s">
        <v>3294</v>
      </c>
      <c r="J1009" s="6" t="s">
        <v>3041</v>
      </c>
      <c r="L1009" s="6" t="s">
        <v>3131</v>
      </c>
      <c r="M1009" s="6" t="e">
        <f>INDEX(医院2县区2人!$B$2:$B$1048576,MATCH(L1009,医院2县区2人!$A$2:$A$1048576,0))</f>
        <v>#N/A</v>
      </c>
      <c r="N1009" s="6" t="e">
        <f>INDEX(医院2县区2人!$C$2:$C$1048576,MATCH(L1009,医院2县区2人!$A$2:$A$1048576,0))</f>
        <v>#N/A</v>
      </c>
      <c r="P1009" s="7">
        <v>43260</v>
      </c>
      <c r="Q1009" s="6">
        <v>1</v>
      </c>
      <c r="R1009" s="6">
        <v>14.5</v>
      </c>
      <c r="S1009" s="6">
        <v>161201</v>
      </c>
      <c r="T1009" s="6" t="e">
        <f>INDEX(医院2县区2人!$D$2:$D$1048576,MATCH(L1009,医院2县区2人!$A$2:$A$1048576,0))</f>
        <v>#N/A</v>
      </c>
      <c r="W1009" s="6" t="str">
        <f t="shared" si="33"/>
        <v>感冒解毒灵颗粒5克*10袋</v>
      </c>
      <c r="X1009" s="6" t="s">
        <v>2893</v>
      </c>
    </row>
    <row r="1010" spans="1:24" x14ac:dyDescent="0.15">
      <c r="A1010" s="7" t="str">
        <f t="shared" si="34"/>
        <v>201806</v>
      </c>
      <c r="C1010" s="6" t="str">
        <f>INDEX(工厂基础数据!$A$2:$A$1024,MATCH(X1010,工厂基础数据!$D$2:$D$1024,0))</f>
        <v>02032120</v>
      </c>
      <c r="E1010" s="6" t="str">
        <f>INDEX(工厂基础数据!$B$2:$B$1024,MATCH(X1010,工厂基础数据!$D$2:$D$1024,0))</f>
        <v>淄博博仁医药有限公司</v>
      </c>
      <c r="F1010" s="6" t="e">
        <f>INDEX(商业2转码!$B$2:$B$10000,MATCH(E1010,商业2转码!$A$2:$A$10000,0))</f>
        <v>#N/A</v>
      </c>
      <c r="G1010" s="6" t="str">
        <f>INDEX(品种2编码!$A$2:$A$1048576,MATCH(W1010,品种2编码!$D$2:$D$1048576,0))</f>
        <v>0020040110SHYT0002</v>
      </c>
      <c r="H1010" s="6" t="s">
        <v>601</v>
      </c>
      <c r="I1010" s="6" t="s">
        <v>1997</v>
      </c>
      <c r="J1010" s="6" t="s">
        <v>3279</v>
      </c>
      <c r="L1010" s="6" t="s">
        <v>3181</v>
      </c>
      <c r="M1010" s="6" t="e">
        <f>INDEX(医院2县区2人!$B$2:$B$1048576,MATCH(L1010,医院2县区2人!$A$2:$A$1048576,0))</f>
        <v>#N/A</v>
      </c>
      <c r="N1010" s="6" t="e">
        <f>INDEX(医院2县区2人!$C$2:$C$1048576,MATCH(L1010,医院2县区2人!$A$2:$A$1048576,0))</f>
        <v>#N/A</v>
      </c>
      <c r="P1010" s="7">
        <v>43260</v>
      </c>
      <c r="Q1010" s="6">
        <v>3</v>
      </c>
      <c r="R1010" s="6">
        <v>52.5</v>
      </c>
      <c r="S1010" s="6">
        <v>161101</v>
      </c>
      <c r="T1010" s="6" t="e">
        <f>INDEX(医院2县区2人!$D$2:$D$1048576,MATCH(L1010,医院2县区2人!$A$2:$A$1048576,0))</f>
        <v>#N/A</v>
      </c>
      <c r="W1010" s="6" t="str">
        <f t="shared" si="33"/>
        <v>麝香接骨胶囊0.3g*40粒</v>
      </c>
      <c r="X1010" s="6" t="s">
        <v>2893</v>
      </c>
    </row>
    <row r="1011" spans="1:24" x14ac:dyDescent="0.15">
      <c r="A1011" s="7" t="str">
        <f t="shared" si="34"/>
        <v>201806</v>
      </c>
      <c r="C1011" s="6" t="str">
        <f>INDEX(工厂基础数据!$A$2:$A$1024,MATCH(X1011,工厂基础数据!$D$2:$D$1024,0))</f>
        <v>02032120</v>
      </c>
      <c r="E1011" s="6" t="str">
        <f>INDEX(工厂基础数据!$B$2:$B$1024,MATCH(X1011,工厂基础数据!$D$2:$D$1024,0))</f>
        <v>淄博博仁医药有限公司</v>
      </c>
      <c r="F1011" s="6" t="e">
        <f>INDEX(商业2转码!$B$2:$B$10000,MATCH(E1011,商业2转码!$A$2:$A$10000,0))</f>
        <v>#N/A</v>
      </c>
      <c r="G1011" s="6">
        <f>INDEX(品种2编码!$A$2:$A$1048576,MATCH(W1011,品种2编码!$D$2:$D$1048576,0))</f>
        <v>0</v>
      </c>
      <c r="H1011" s="6" t="s">
        <v>3268</v>
      </c>
      <c r="I1011" s="6" t="s">
        <v>411</v>
      </c>
      <c r="J1011" s="6" t="s">
        <v>3040</v>
      </c>
      <c r="L1011" s="6" t="s">
        <v>3127</v>
      </c>
      <c r="M1011" s="6" t="e">
        <f>INDEX(医院2县区2人!$B$2:$B$1048576,MATCH(L1011,医院2县区2人!$A$2:$A$1048576,0))</f>
        <v>#N/A</v>
      </c>
      <c r="N1011" s="6" t="e">
        <f>INDEX(医院2县区2人!$C$2:$C$1048576,MATCH(L1011,医院2县区2人!$A$2:$A$1048576,0))</f>
        <v>#N/A</v>
      </c>
      <c r="P1011" s="7">
        <v>43260</v>
      </c>
      <c r="Q1011" s="6">
        <v>5</v>
      </c>
      <c r="R1011" s="6">
        <v>97</v>
      </c>
      <c r="S1011" s="6">
        <v>17112821</v>
      </c>
      <c r="T1011" s="6" t="e">
        <f>INDEX(医院2县区2人!$D$2:$D$1048576,MATCH(L1011,医院2县区2人!$A$2:$A$1048576,0))</f>
        <v>#N/A</v>
      </c>
      <c r="W1011" s="6" t="str">
        <f t="shared" si="33"/>
        <v>葡糖糖酸锌口服溶液10ml*12支</v>
      </c>
      <c r="X1011" s="6" t="s">
        <v>2893</v>
      </c>
    </row>
    <row r="1012" spans="1:24" x14ac:dyDescent="0.15">
      <c r="A1012" s="7" t="str">
        <f t="shared" si="34"/>
        <v>201806</v>
      </c>
      <c r="C1012" s="6" t="str">
        <f>INDEX(工厂基础数据!$A$2:$A$1024,MATCH(X1012,工厂基础数据!$D$2:$D$1024,0))</f>
        <v>02032120</v>
      </c>
      <c r="E1012" s="6" t="str">
        <f>INDEX(工厂基础数据!$B$2:$B$1024,MATCH(X1012,工厂基础数据!$D$2:$D$1024,0))</f>
        <v>淄博博仁医药有限公司</v>
      </c>
      <c r="F1012" s="6" t="e">
        <f>INDEX(商业2转码!$B$2:$B$10000,MATCH(E1012,商业2转码!$A$2:$A$10000,0))</f>
        <v>#N/A</v>
      </c>
      <c r="G1012" s="6">
        <f>INDEX(品种2编码!$A$2:$A$1048576,MATCH(W1012,品种2编码!$D$2:$D$1048576,0))</f>
        <v>0</v>
      </c>
      <c r="H1012" s="6" t="s">
        <v>405</v>
      </c>
      <c r="I1012" s="6" t="s">
        <v>1850</v>
      </c>
      <c r="J1012" s="6" t="s">
        <v>3279</v>
      </c>
      <c r="L1012" s="6" t="s">
        <v>3157</v>
      </c>
      <c r="M1012" s="6" t="e">
        <f>INDEX(医院2县区2人!$B$2:$B$1048576,MATCH(L1012,医院2县区2人!$A$2:$A$1048576,0))</f>
        <v>#N/A</v>
      </c>
      <c r="N1012" s="6" t="e">
        <f>INDEX(医院2县区2人!$C$2:$C$1048576,MATCH(L1012,医院2县区2人!$A$2:$A$1048576,0))</f>
        <v>#N/A</v>
      </c>
      <c r="P1012" s="7">
        <v>43260</v>
      </c>
      <c r="Q1012" s="6">
        <v>5</v>
      </c>
      <c r="R1012" s="6">
        <v>70</v>
      </c>
      <c r="S1012" s="6" t="s">
        <v>3278</v>
      </c>
      <c r="T1012" s="6" t="e">
        <f>INDEX(医院2县区2人!$D$2:$D$1048576,MATCH(L1012,医院2县区2人!$A$2:$A$1048576,0))</f>
        <v>#N/A</v>
      </c>
      <c r="W1012" s="6" t="str">
        <f t="shared" si="33"/>
        <v>钙铁锌口服液10ml*10支</v>
      </c>
      <c r="X1012" s="6" t="s">
        <v>2893</v>
      </c>
    </row>
    <row r="1013" spans="1:24" x14ac:dyDescent="0.15">
      <c r="A1013" s="7" t="str">
        <f t="shared" si="34"/>
        <v>201806</v>
      </c>
      <c r="C1013" s="6" t="str">
        <f>INDEX(工厂基础数据!$A$2:$A$1024,MATCH(X1013,工厂基础数据!$D$2:$D$1024,0))</f>
        <v>02032120</v>
      </c>
      <c r="E1013" s="6" t="str">
        <f>INDEX(工厂基础数据!$B$2:$B$1024,MATCH(X1013,工厂基础数据!$D$2:$D$1024,0))</f>
        <v>淄博博仁医药有限公司</v>
      </c>
      <c r="F1013" s="6" t="e">
        <f>INDEX(商业2转码!$B$2:$B$10000,MATCH(E1013,商业2转码!$A$2:$A$10000,0))</f>
        <v>#N/A</v>
      </c>
      <c r="G1013" s="6" t="str">
        <f>INDEX(品种2编码!$A$2:$A$1048576,MATCH(W1013,品种2编码!$D$2:$D$1048576,0))</f>
        <v>0020050090SJZY0001</v>
      </c>
      <c r="H1013" s="6" t="s">
        <v>630</v>
      </c>
      <c r="I1013" s="6" t="s">
        <v>1850</v>
      </c>
      <c r="J1013" s="6" t="s">
        <v>3285</v>
      </c>
      <c r="L1013" s="6" t="s">
        <v>3157</v>
      </c>
      <c r="M1013" s="6" t="e">
        <f>INDEX(医院2县区2人!$B$2:$B$1048576,MATCH(L1013,医院2县区2人!$A$2:$A$1048576,0))</f>
        <v>#N/A</v>
      </c>
      <c r="N1013" s="6" t="e">
        <f>INDEX(医院2县区2人!$C$2:$C$1048576,MATCH(L1013,医院2县区2人!$A$2:$A$1048576,0))</f>
        <v>#N/A</v>
      </c>
      <c r="P1013" s="7">
        <v>43260</v>
      </c>
      <c r="Q1013" s="6">
        <v>20</v>
      </c>
      <c r="R1013" s="6">
        <v>330</v>
      </c>
      <c r="S1013" s="6">
        <v>18011223</v>
      </c>
      <c r="T1013" s="6" t="e">
        <f>INDEX(医院2县区2人!$D$2:$D$1048576,MATCH(L1013,医院2县区2人!$A$2:$A$1048576,0))</f>
        <v>#N/A</v>
      </c>
      <c r="W1013" s="6" t="str">
        <f t="shared" si="33"/>
        <v>双黄连口服液10ml*10支</v>
      </c>
      <c r="X1013" s="6" t="s">
        <v>2893</v>
      </c>
    </row>
    <row r="1014" spans="1:24" x14ac:dyDescent="0.15">
      <c r="A1014" s="7" t="str">
        <f t="shared" si="34"/>
        <v>201806</v>
      </c>
      <c r="C1014" s="6" t="str">
        <f>INDEX(工厂基础数据!$A$2:$A$1024,MATCH(X1014,工厂基础数据!$D$2:$D$1024,0))</f>
        <v>02032120</v>
      </c>
      <c r="E1014" s="6" t="str">
        <f>INDEX(工厂基础数据!$B$2:$B$1024,MATCH(X1014,工厂基础数据!$D$2:$D$1024,0))</f>
        <v>淄博博仁医药有限公司</v>
      </c>
      <c r="F1014" s="6" t="e">
        <f>INDEX(商业2转码!$B$2:$B$10000,MATCH(E1014,商业2转码!$A$2:$A$10000,0))</f>
        <v>#N/A</v>
      </c>
      <c r="G1014" s="6" t="str">
        <f>INDEX(品种2编码!$A$2:$A$1048576,MATCH(W1014,品种2编码!$D$2:$D$1048576,0))</f>
        <v>0020020021ZYLC0004</v>
      </c>
      <c r="H1014" s="6" t="s">
        <v>1950</v>
      </c>
      <c r="I1014" s="6" t="s">
        <v>1869</v>
      </c>
      <c r="J1014" s="6" t="s">
        <v>3283</v>
      </c>
      <c r="L1014" s="6" t="s">
        <v>3157</v>
      </c>
      <c r="M1014" s="6" t="e">
        <f>INDEX(医院2县区2人!$B$2:$B$1048576,MATCH(L1014,医院2县区2人!$A$2:$A$1048576,0))</f>
        <v>#N/A</v>
      </c>
      <c r="N1014" s="6" t="e">
        <f>INDEX(医院2县区2人!$C$2:$C$1048576,MATCH(L1014,医院2县区2人!$A$2:$A$1048576,0))</f>
        <v>#N/A</v>
      </c>
      <c r="P1014" s="7">
        <v>43260</v>
      </c>
      <c r="Q1014" s="6">
        <v>20</v>
      </c>
      <c r="R1014" s="6">
        <v>160</v>
      </c>
      <c r="S1014" s="6">
        <v>171101</v>
      </c>
      <c r="T1014" s="6" t="e">
        <f>INDEX(医院2县区2人!$D$2:$D$1048576,MATCH(L1014,医院2县区2人!$A$2:$A$1048576,0))</f>
        <v>#N/A</v>
      </c>
      <c r="W1014" s="6" t="str">
        <f t="shared" si="33"/>
        <v>罗红霉素分散片75mg*12片</v>
      </c>
      <c r="X1014" s="6" t="s">
        <v>2893</v>
      </c>
    </row>
    <row r="1015" spans="1:24" x14ac:dyDescent="0.15">
      <c r="A1015" s="7" t="str">
        <f t="shared" si="34"/>
        <v>201806</v>
      </c>
      <c r="C1015" s="6" t="str">
        <f>INDEX(工厂基础数据!$A$2:$A$1024,MATCH(X1015,工厂基础数据!$D$2:$D$1024,0))</f>
        <v>02032120</v>
      </c>
      <c r="E1015" s="6" t="str">
        <f>INDEX(工厂基础数据!$B$2:$B$1024,MATCH(X1015,工厂基础数据!$D$2:$D$1024,0))</f>
        <v>淄博博仁医药有限公司</v>
      </c>
      <c r="F1015" s="6" t="e">
        <f>INDEX(商业2转码!$B$2:$B$10000,MATCH(E1015,商业2转码!$A$2:$A$10000,0))</f>
        <v>#N/A</v>
      </c>
      <c r="G1015" s="6" t="str">
        <f>INDEX(品种2编码!$A$2:$A$1048576,MATCH(W1015,品种2编码!$D$2:$D$1048576,0))</f>
        <v>0020040201ZYEC0001</v>
      </c>
      <c r="H1015" s="6" t="s">
        <v>2031</v>
      </c>
      <c r="I1015" s="6" t="s">
        <v>2032</v>
      </c>
      <c r="J1015" s="6" t="s">
        <v>3287</v>
      </c>
      <c r="L1015" s="6" t="s">
        <v>3182</v>
      </c>
      <c r="M1015" s="6" t="e">
        <f>INDEX(医院2县区2人!$B$2:$B$1048576,MATCH(L1015,医院2县区2人!$A$2:$A$1048576,0))</f>
        <v>#N/A</v>
      </c>
      <c r="N1015" s="6" t="e">
        <f>INDEX(医院2县区2人!$C$2:$C$1048576,MATCH(L1015,医院2县区2人!$A$2:$A$1048576,0))</f>
        <v>#N/A</v>
      </c>
      <c r="P1015" s="7">
        <v>43260</v>
      </c>
      <c r="Q1015" s="6">
        <v>240</v>
      </c>
      <c r="R1015" s="6">
        <v>1440</v>
      </c>
      <c r="S1015" s="6">
        <v>1612601</v>
      </c>
      <c r="T1015" s="6" t="e">
        <f>INDEX(医院2县区2人!$D$2:$D$1048576,MATCH(L1015,医院2县区2人!$A$2:$A$1048576,0))</f>
        <v>#N/A</v>
      </c>
      <c r="W1015" s="6" t="str">
        <f t="shared" si="33"/>
        <v>双黄连粉针剂600mg</v>
      </c>
      <c r="X1015" s="6" t="s">
        <v>2893</v>
      </c>
    </row>
    <row r="1016" spans="1:24" x14ac:dyDescent="0.15">
      <c r="A1016" s="7" t="str">
        <f t="shared" si="34"/>
        <v>201806</v>
      </c>
      <c r="C1016" s="6" t="str">
        <f>INDEX(工厂基础数据!$A$2:$A$1024,MATCH(X1016,工厂基础数据!$D$2:$D$1024,0))</f>
        <v>02032120</v>
      </c>
      <c r="E1016" s="6" t="str">
        <f>INDEX(工厂基础数据!$B$2:$B$1024,MATCH(X1016,工厂基础数据!$D$2:$D$1024,0))</f>
        <v>淄博博仁医药有限公司</v>
      </c>
      <c r="F1016" s="6" t="e">
        <f>INDEX(商业2转码!$B$2:$B$10000,MATCH(E1016,商业2转码!$A$2:$A$10000,0))</f>
        <v>#N/A</v>
      </c>
      <c r="G1016" s="6">
        <f>INDEX(品种2编码!$A$2:$A$1048576,MATCH(W1016,品种2编码!$D$2:$D$1048576,0))</f>
        <v>0</v>
      </c>
      <c r="H1016" s="6" t="s">
        <v>1885</v>
      </c>
      <c r="I1016" s="6" t="s">
        <v>1838</v>
      </c>
      <c r="J1016" s="6" t="s">
        <v>3279</v>
      </c>
      <c r="L1016" s="6" t="s">
        <v>3183</v>
      </c>
      <c r="M1016" s="6" t="e">
        <f>INDEX(医院2县区2人!$B$2:$B$1048576,MATCH(L1016,医院2县区2人!$A$2:$A$1048576,0))</f>
        <v>#N/A</v>
      </c>
      <c r="N1016" s="6" t="e">
        <f>INDEX(医院2县区2人!$C$2:$C$1048576,MATCH(L1016,医院2县区2人!$A$2:$A$1048576,0))</f>
        <v>#N/A</v>
      </c>
      <c r="P1016" s="7">
        <v>43262</v>
      </c>
      <c r="Q1016" s="6">
        <v>2</v>
      </c>
      <c r="R1016" s="6">
        <v>48</v>
      </c>
      <c r="S1016" s="6">
        <v>171251</v>
      </c>
      <c r="T1016" s="6" t="e">
        <f>INDEX(医院2县区2人!$D$2:$D$1048576,MATCH(L1016,医院2县区2人!$A$2:$A$1048576,0))</f>
        <v>#N/A</v>
      </c>
      <c r="W1016" s="6" t="str">
        <f t="shared" si="33"/>
        <v>新盖中盖高钙片2.5g*36片</v>
      </c>
      <c r="X1016" s="6" t="s">
        <v>2893</v>
      </c>
    </row>
    <row r="1017" spans="1:24" x14ac:dyDescent="0.15">
      <c r="A1017" s="7" t="str">
        <f t="shared" si="34"/>
        <v>201806</v>
      </c>
      <c r="C1017" s="6" t="str">
        <f>INDEX(工厂基础数据!$A$2:$A$1024,MATCH(X1017,工厂基础数据!$D$2:$D$1024,0))</f>
        <v>02032120</v>
      </c>
      <c r="E1017" s="6" t="str">
        <f>INDEX(工厂基础数据!$B$2:$B$1024,MATCH(X1017,工厂基础数据!$D$2:$D$1024,0))</f>
        <v>淄博博仁医药有限公司</v>
      </c>
      <c r="F1017" s="6" t="e">
        <f>INDEX(商业2转码!$B$2:$B$10000,MATCH(E1017,商业2转码!$A$2:$A$10000,0))</f>
        <v>#N/A</v>
      </c>
      <c r="G1017" s="6">
        <f>INDEX(品种2编码!$A$2:$A$1048576,MATCH(W1017,品种2编码!$D$2:$D$1048576,0))</f>
        <v>0</v>
      </c>
      <c r="H1017" s="6" t="s">
        <v>1987</v>
      </c>
      <c r="I1017" s="6" t="s">
        <v>411</v>
      </c>
      <c r="J1017" s="6" t="s">
        <v>3279</v>
      </c>
      <c r="L1017" s="6" t="s">
        <v>3163</v>
      </c>
      <c r="M1017" s="6" t="e">
        <f>INDEX(医院2县区2人!$B$2:$B$1048576,MATCH(L1017,医院2县区2人!$A$2:$A$1048576,0))</f>
        <v>#N/A</v>
      </c>
      <c r="N1017" s="6" t="e">
        <f>INDEX(医院2县区2人!$C$2:$C$1048576,MATCH(L1017,医院2县区2人!$A$2:$A$1048576,0))</f>
        <v>#N/A</v>
      </c>
      <c r="P1017" s="7">
        <v>43262</v>
      </c>
      <c r="Q1017" s="6">
        <v>2</v>
      </c>
      <c r="R1017" s="6">
        <v>32</v>
      </c>
      <c r="S1017" s="6">
        <v>170622</v>
      </c>
      <c r="T1017" s="6" t="e">
        <f>INDEX(医院2县区2人!$D$2:$D$1048576,MATCH(L1017,医院2县区2人!$A$2:$A$1048576,0))</f>
        <v>#N/A</v>
      </c>
      <c r="W1017" s="6" t="str">
        <f t="shared" si="33"/>
        <v>乳酸亚铁口服液（朴雪）10ml*12支</v>
      </c>
      <c r="X1017" s="6" t="s">
        <v>2893</v>
      </c>
    </row>
    <row r="1018" spans="1:24" x14ac:dyDescent="0.15">
      <c r="A1018" s="7" t="str">
        <f t="shared" si="34"/>
        <v>201806</v>
      </c>
      <c r="C1018" s="6" t="str">
        <f>INDEX(工厂基础数据!$A$2:$A$1024,MATCH(X1018,工厂基础数据!$D$2:$D$1024,0))</f>
        <v>02032120</v>
      </c>
      <c r="E1018" s="6" t="str">
        <f>INDEX(工厂基础数据!$B$2:$B$1024,MATCH(X1018,工厂基础数据!$D$2:$D$1024,0))</f>
        <v>淄博博仁医药有限公司</v>
      </c>
      <c r="F1018" s="6" t="e">
        <f>INDEX(商业2转码!$B$2:$B$10000,MATCH(E1018,商业2转码!$A$2:$A$10000,0))</f>
        <v>#N/A</v>
      </c>
      <c r="G1018" s="6" t="str">
        <f>INDEX(品种2编码!$A$2:$A$1048576,MATCH(W1018,品种2编码!$D$2:$D$1048576,0))</f>
        <v>0020030001SJZY0006</v>
      </c>
      <c r="H1018" s="6" t="s">
        <v>1833</v>
      </c>
      <c r="I1018" s="6" t="s">
        <v>411</v>
      </c>
      <c r="J1018" s="6" t="s">
        <v>3280</v>
      </c>
      <c r="L1018" s="6" t="s">
        <v>3160</v>
      </c>
      <c r="M1018" s="6" t="e">
        <f>INDEX(医院2县区2人!$B$2:$B$1048576,MATCH(L1018,医院2县区2人!$A$2:$A$1048576,0))</f>
        <v>#N/A</v>
      </c>
      <c r="N1018" s="6" t="e">
        <f>INDEX(医院2县区2人!$C$2:$C$1048576,MATCH(L1018,医院2县区2人!$A$2:$A$1048576,0))</f>
        <v>#N/A</v>
      </c>
      <c r="P1018" s="7">
        <v>43262</v>
      </c>
      <c r="Q1018" s="6">
        <v>2</v>
      </c>
      <c r="R1018" s="6">
        <v>44</v>
      </c>
      <c r="S1018" s="6">
        <v>17122912</v>
      </c>
      <c r="T1018" s="6" t="e">
        <f>INDEX(医院2县区2人!$D$2:$D$1048576,MATCH(L1018,医院2县区2人!$A$2:$A$1048576,0))</f>
        <v>#N/A</v>
      </c>
      <c r="W1018" s="6" t="str">
        <f t="shared" si="33"/>
        <v>葡萄糖酸钙口服溶液10ml*12支</v>
      </c>
      <c r="X1018" s="6" t="s">
        <v>2893</v>
      </c>
    </row>
    <row r="1019" spans="1:24" x14ac:dyDescent="0.15">
      <c r="A1019" s="7" t="str">
        <f t="shared" si="34"/>
        <v>201806</v>
      </c>
      <c r="C1019" s="6" t="str">
        <f>INDEX(工厂基础数据!$A$2:$A$1024,MATCH(X1019,工厂基础数据!$D$2:$D$1024,0))</f>
        <v>02032120</v>
      </c>
      <c r="E1019" s="6" t="str">
        <f>INDEX(工厂基础数据!$B$2:$B$1024,MATCH(X1019,工厂基础数据!$D$2:$D$1024,0))</f>
        <v>淄博博仁医药有限公司</v>
      </c>
      <c r="F1019" s="6" t="e">
        <f>INDEX(商业2转码!$B$2:$B$10000,MATCH(E1019,商业2转码!$A$2:$A$10000,0))</f>
        <v>#N/A</v>
      </c>
      <c r="G1019" s="6">
        <f>INDEX(品种2编码!$A$2:$A$1048576,MATCH(W1019,品种2编码!$D$2:$D$1048576,0))</f>
        <v>0</v>
      </c>
      <c r="H1019" s="6" t="s">
        <v>3268</v>
      </c>
      <c r="I1019" s="6" t="s">
        <v>411</v>
      </c>
      <c r="J1019" s="6" t="s">
        <v>3040</v>
      </c>
      <c r="L1019" s="6" t="s">
        <v>3160</v>
      </c>
      <c r="M1019" s="6" t="e">
        <f>INDEX(医院2县区2人!$B$2:$B$1048576,MATCH(L1019,医院2县区2人!$A$2:$A$1048576,0))</f>
        <v>#N/A</v>
      </c>
      <c r="N1019" s="6" t="e">
        <f>INDEX(医院2县区2人!$C$2:$C$1048576,MATCH(L1019,医院2县区2人!$A$2:$A$1048576,0))</f>
        <v>#N/A</v>
      </c>
      <c r="P1019" s="7">
        <v>43262</v>
      </c>
      <c r="Q1019" s="6">
        <v>2</v>
      </c>
      <c r="R1019" s="6">
        <v>46</v>
      </c>
      <c r="S1019" s="6">
        <v>17112821</v>
      </c>
      <c r="T1019" s="6" t="e">
        <f>INDEX(医院2县区2人!$D$2:$D$1048576,MATCH(L1019,医院2县区2人!$A$2:$A$1048576,0))</f>
        <v>#N/A</v>
      </c>
      <c r="W1019" s="6" t="str">
        <f t="shared" si="33"/>
        <v>葡糖糖酸锌口服溶液10ml*12支</v>
      </c>
      <c r="X1019" s="6" t="s">
        <v>2893</v>
      </c>
    </row>
    <row r="1020" spans="1:24" x14ac:dyDescent="0.15">
      <c r="A1020" s="7" t="str">
        <f t="shared" si="34"/>
        <v>201806</v>
      </c>
      <c r="C1020" s="6" t="str">
        <f>INDEX(工厂基础数据!$A$2:$A$1024,MATCH(X1020,工厂基础数据!$D$2:$D$1024,0))</f>
        <v>02032120</v>
      </c>
      <c r="E1020" s="6" t="str">
        <f>INDEX(工厂基础数据!$B$2:$B$1024,MATCH(X1020,工厂基础数据!$D$2:$D$1024,0))</f>
        <v>淄博博仁医药有限公司</v>
      </c>
      <c r="F1020" s="6" t="e">
        <f>INDEX(商业2转码!$B$2:$B$10000,MATCH(E1020,商业2转码!$A$2:$A$10000,0))</f>
        <v>#N/A</v>
      </c>
      <c r="G1020" s="6">
        <f>INDEX(品种2编码!$A$2:$A$1048576,MATCH(W1020,品种2编码!$D$2:$D$1048576,0))</f>
        <v>0</v>
      </c>
      <c r="H1020" s="6" t="s">
        <v>1857</v>
      </c>
      <c r="I1020" s="6" t="s">
        <v>3288</v>
      </c>
      <c r="J1020" s="6" t="s">
        <v>3281</v>
      </c>
      <c r="L1020" s="6" t="s">
        <v>3144</v>
      </c>
      <c r="M1020" s="6" t="e">
        <f>INDEX(医院2县区2人!$B$2:$B$1048576,MATCH(L1020,医院2县区2人!$A$2:$A$1048576,0))</f>
        <v>#N/A</v>
      </c>
      <c r="N1020" s="6" t="e">
        <f>INDEX(医院2县区2人!$C$2:$C$1048576,MATCH(L1020,医院2县区2人!$A$2:$A$1048576,0))</f>
        <v>#N/A</v>
      </c>
      <c r="P1020" s="7">
        <v>43262</v>
      </c>
      <c r="Q1020" s="6">
        <v>2</v>
      </c>
      <c r="R1020" s="6">
        <v>28</v>
      </c>
      <c r="S1020" s="6">
        <v>1801404</v>
      </c>
      <c r="T1020" s="6" t="e">
        <f>INDEX(医院2县区2人!$D$2:$D$1048576,MATCH(L1020,医院2县区2人!$A$2:$A$1048576,0))</f>
        <v>#N/A</v>
      </c>
      <c r="W1020" s="6" t="str">
        <f t="shared" si="33"/>
        <v>妇宁栓7粒</v>
      </c>
      <c r="X1020" s="6" t="s">
        <v>2893</v>
      </c>
    </row>
    <row r="1021" spans="1:24" x14ac:dyDescent="0.15">
      <c r="A1021" s="7" t="str">
        <f t="shared" si="34"/>
        <v>201806</v>
      </c>
      <c r="C1021" s="6" t="str">
        <f>INDEX(工厂基础数据!$A$2:$A$1024,MATCH(X1021,工厂基础数据!$D$2:$D$1024,0))</f>
        <v>02032120</v>
      </c>
      <c r="E1021" s="6" t="str">
        <f>INDEX(工厂基础数据!$B$2:$B$1024,MATCH(X1021,工厂基础数据!$D$2:$D$1024,0))</f>
        <v>淄博博仁医药有限公司</v>
      </c>
      <c r="F1021" s="6" t="e">
        <f>INDEX(商业2转码!$B$2:$B$10000,MATCH(E1021,商业2转码!$A$2:$A$10000,0))</f>
        <v>#N/A</v>
      </c>
      <c r="G1021" s="6" t="str">
        <f>INDEX(品种2编码!$A$2:$A$1048576,MATCH(W1021,品种2编码!$D$2:$D$1048576,0))</f>
        <v>0020020020ZYLC0003</v>
      </c>
      <c r="H1021" s="6" t="s">
        <v>1855</v>
      </c>
      <c r="I1021" s="6" t="s">
        <v>381</v>
      </c>
      <c r="J1021" s="6" t="s">
        <v>3279</v>
      </c>
      <c r="L1021" s="6" t="s">
        <v>3144</v>
      </c>
      <c r="M1021" s="6" t="e">
        <f>INDEX(医院2县区2人!$B$2:$B$1048576,MATCH(L1021,医院2县区2人!$A$2:$A$1048576,0))</f>
        <v>#N/A</v>
      </c>
      <c r="N1021" s="6" t="e">
        <f>INDEX(医院2县区2人!$C$2:$C$1048576,MATCH(L1021,医院2县区2人!$A$2:$A$1048576,0))</f>
        <v>#N/A</v>
      </c>
      <c r="P1021" s="7">
        <v>43262</v>
      </c>
      <c r="Q1021" s="6">
        <v>2</v>
      </c>
      <c r="R1021" s="6">
        <v>11</v>
      </c>
      <c r="S1021" s="6">
        <v>170706</v>
      </c>
      <c r="T1021" s="6" t="e">
        <f>INDEX(医院2县区2人!$D$2:$D$1048576,MATCH(L1021,医院2县区2人!$A$2:$A$1048576,0))</f>
        <v>#N/A</v>
      </c>
      <c r="W1021" s="6" t="str">
        <f t="shared" si="33"/>
        <v>颠茄磺苄啶片12片</v>
      </c>
      <c r="X1021" s="6" t="s">
        <v>2893</v>
      </c>
    </row>
    <row r="1022" spans="1:24" x14ac:dyDescent="0.15">
      <c r="A1022" s="7" t="str">
        <f t="shared" si="34"/>
        <v>201806</v>
      </c>
      <c r="C1022" s="6" t="str">
        <f>INDEX(工厂基础数据!$A$2:$A$1024,MATCH(X1022,工厂基础数据!$D$2:$D$1024,0))</f>
        <v>02032120</v>
      </c>
      <c r="E1022" s="6" t="str">
        <f>INDEX(工厂基础数据!$B$2:$B$1024,MATCH(X1022,工厂基础数据!$D$2:$D$1024,0))</f>
        <v>淄博博仁医药有限公司</v>
      </c>
      <c r="F1022" s="6" t="e">
        <f>INDEX(商业2转码!$B$2:$B$10000,MATCH(E1022,商业2转码!$A$2:$A$10000,0))</f>
        <v>#N/A</v>
      </c>
      <c r="G1022" s="6">
        <f>INDEX(品种2编码!$A$2:$A$1048576,MATCH(W1022,品种2编码!$D$2:$D$1048576,0))</f>
        <v>0</v>
      </c>
      <c r="H1022" s="6" t="s">
        <v>317</v>
      </c>
      <c r="I1022" s="6" t="s">
        <v>3291</v>
      </c>
      <c r="J1022" s="6" t="s">
        <v>3279</v>
      </c>
      <c r="L1022" s="6" t="s">
        <v>3144</v>
      </c>
      <c r="M1022" s="6" t="e">
        <f>INDEX(医院2县区2人!$B$2:$B$1048576,MATCH(L1022,医院2县区2人!$A$2:$A$1048576,0))</f>
        <v>#N/A</v>
      </c>
      <c r="N1022" s="6" t="e">
        <f>INDEX(医院2县区2人!$C$2:$C$1048576,MATCH(L1022,医院2县区2人!$A$2:$A$1048576,0))</f>
        <v>#N/A</v>
      </c>
      <c r="P1022" s="7">
        <v>43262</v>
      </c>
      <c r="Q1022" s="6">
        <v>2</v>
      </c>
      <c r="R1022" s="6">
        <v>25</v>
      </c>
      <c r="S1022" s="6">
        <v>1803608</v>
      </c>
      <c r="T1022" s="6" t="e">
        <f>INDEX(医院2县区2人!$D$2:$D$1048576,MATCH(L1022,医院2县区2人!$A$2:$A$1048576,0))</f>
        <v>#N/A</v>
      </c>
      <c r="W1022" s="6" t="str">
        <f t="shared" si="33"/>
        <v>布洛芬颗粒0.2g*12包</v>
      </c>
      <c r="X1022" s="6" t="s">
        <v>2893</v>
      </c>
    </row>
    <row r="1023" spans="1:24" x14ac:dyDescent="0.15">
      <c r="A1023" s="7" t="str">
        <f t="shared" si="34"/>
        <v>201806</v>
      </c>
      <c r="C1023" s="6" t="str">
        <f>INDEX(工厂基础数据!$A$2:$A$1024,MATCH(X1023,工厂基础数据!$D$2:$D$1024,0))</f>
        <v>02032120</v>
      </c>
      <c r="E1023" s="6" t="str">
        <f>INDEX(工厂基础数据!$B$2:$B$1024,MATCH(X1023,工厂基础数据!$D$2:$D$1024,0))</f>
        <v>淄博博仁医药有限公司</v>
      </c>
      <c r="F1023" s="6" t="e">
        <f>INDEX(商业2转码!$B$2:$B$10000,MATCH(E1023,商业2转码!$A$2:$A$10000,0))</f>
        <v>#N/A</v>
      </c>
      <c r="G1023" s="6">
        <f>INDEX(品种2编码!$A$2:$A$1048576,MATCH(W1023,品种2编码!$D$2:$D$1048576,0))</f>
        <v>0</v>
      </c>
      <c r="H1023" s="6" t="s">
        <v>1885</v>
      </c>
      <c r="I1023" s="6" t="s">
        <v>1838</v>
      </c>
      <c r="J1023" s="6" t="s">
        <v>3279</v>
      </c>
      <c r="L1023" s="6" t="s">
        <v>3184</v>
      </c>
      <c r="M1023" s="6" t="e">
        <f>INDEX(医院2县区2人!$B$2:$B$1048576,MATCH(L1023,医院2县区2人!$A$2:$A$1048576,0))</f>
        <v>#N/A</v>
      </c>
      <c r="N1023" s="6" t="e">
        <f>INDEX(医院2县区2人!$C$2:$C$1048576,MATCH(L1023,医院2县区2人!$A$2:$A$1048576,0))</f>
        <v>#N/A</v>
      </c>
      <c r="P1023" s="7">
        <v>43262</v>
      </c>
      <c r="Q1023" s="6">
        <v>3</v>
      </c>
      <c r="R1023" s="6">
        <v>72</v>
      </c>
      <c r="S1023" s="6">
        <v>171251</v>
      </c>
      <c r="T1023" s="6" t="e">
        <f>INDEX(医院2县区2人!$D$2:$D$1048576,MATCH(L1023,医院2县区2人!$A$2:$A$1048576,0))</f>
        <v>#N/A</v>
      </c>
      <c r="W1023" s="6" t="str">
        <f t="shared" si="33"/>
        <v>新盖中盖高钙片2.5g*36片</v>
      </c>
      <c r="X1023" s="6" t="s">
        <v>2893</v>
      </c>
    </row>
    <row r="1024" spans="1:24" x14ac:dyDescent="0.15">
      <c r="A1024" s="7" t="str">
        <f t="shared" si="34"/>
        <v>201806</v>
      </c>
      <c r="C1024" s="6" t="str">
        <f>INDEX(工厂基础数据!$A$2:$A$1024,MATCH(X1024,工厂基础数据!$D$2:$D$1024,0))</f>
        <v>02032120</v>
      </c>
      <c r="E1024" s="6" t="str">
        <f>INDEX(工厂基础数据!$B$2:$B$1024,MATCH(X1024,工厂基础数据!$D$2:$D$1024,0))</f>
        <v>淄博博仁医药有限公司</v>
      </c>
      <c r="F1024" s="6" t="e">
        <f>INDEX(商业2转码!$B$2:$B$10000,MATCH(E1024,商业2转码!$A$2:$A$10000,0))</f>
        <v>#N/A</v>
      </c>
      <c r="G1024" s="6">
        <f>INDEX(品种2编码!$A$2:$A$1048576,MATCH(W1024,品种2编码!$D$2:$D$1048576,0))</f>
        <v>0</v>
      </c>
      <c r="H1024" s="6" t="s">
        <v>3269</v>
      </c>
      <c r="I1024" s="6" t="s">
        <v>1839</v>
      </c>
      <c r="J1024" s="6" t="s">
        <v>3279</v>
      </c>
      <c r="L1024" s="6" t="s">
        <v>3144</v>
      </c>
      <c r="M1024" s="6" t="e">
        <f>INDEX(医院2县区2人!$B$2:$B$1048576,MATCH(L1024,医院2县区2人!$A$2:$A$1048576,0))</f>
        <v>#N/A</v>
      </c>
      <c r="N1024" s="6" t="e">
        <f>INDEX(医院2县区2人!$C$2:$C$1048576,MATCH(L1024,医院2县区2人!$A$2:$A$1048576,0))</f>
        <v>#N/A</v>
      </c>
      <c r="P1024" s="7">
        <v>43262</v>
      </c>
      <c r="Q1024" s="6">
        <v>3</v>
      </c>
      <c r="R1024" s="6">
        <v>24</v>
      </c>
      <c r="S1024" s="6">
        <v>180302</v>
      </c>
      <c r="T1024" s="6" t="e">
        <f>INDEX(医院2县区2人!$D$2:$D$1048576,MATCH(L1024,医院2县区2人!$A$2:$A$1048576,0))</f>
        <v>#N/A</v>
      </c>
      <c r="W1024" s="6" t="str">
        <f t="shared" si="33"/>
        <v>乳酸菌素片(精）0.4g*36片</v>
      </c>
      <c r="X1024" s="6" t="s">
        <v>2893</v>
      </c>
    </row>
    <row r="1025" spans="1:24" x14ac:dyDescent="0.15">
      <c r="A1025" s="7" t="str">
        <f t="shared" si="34"/>
        <v>201806</v>
      </c>
      <c r="C1025" s="6" t="str">
        <f>INDEX(工厂基础数据!$A$2:$A$1024,MATCH(X1025,工厂基础数据!$D$2:$D$1024,0))</f>
        <v>02032120</v>
      </c>
      <c r="E1025" s="6" t="str">
        <f>INDEX(工厂基础数据!$B$2:$B$1024,MATCH(X1025,工厂基础数据!$D$2:$D$1024,0))</f>
        <v>淄博博仁医药有限公司</v>
      </c>
      <c r="F1025" s="6" t="e">
        <f>INDEX(商业2转码!$B$2:$B$10000,MATCH(E1025,商业2转码!$A$2:$A$10000,0))</f>
        <v>#N/A</v>
      </c>
      <c r="G1025" s="6">
        <f>INDEX(品种2编码!$A$2:$A$1048576,MATCH(W1025,品种2编码!$D$2:$D$1048576,0))</f>
        <v>0</v>
      </c>
      <c r="H1025" s="6" t="s">
        <v>338</v>
      </c>
      <c r="I1025" s="6" t="s">
        <v>341</v>
      </c>
      <c r="J1025" s="6" t="s">
        <v>3279</v>
      </c>
      <c r="L1025" s="6" t="s">
        <v>3144</v>
      </c>
      <c r="M1025" s="6" t="e">
        <f>INDEX(医院2县区2人!$B$2:$B$1048576,MATCH(L1025,医院2县区2人!$A$2:$A$1048576,0))</f>
        <v>#N/A</v>
      </c>
      <c r="N1025" s="6" t="e">
        <f>INDEX(医院2县区2人!$C$2:$C$1048576,MATCH(L1025,医院2县区2人!$A$2:$A$1048576,0))</f>
        <v>#N/A</v>
      </c>
      <c r="P1025" s="7">
        <v>43262</v>
      </c>
      <c r="Q1025" s="6">
        <v>3</v>
      </c>
      <c r="R1025" s="6">
        <v>55.5</v>
      </c>
      <c r="S1025" s="6">
        <v>1504512</v>
      </c>
      <c r="T1025" s="6" t="e">
        <f>INDEX(医院2县区2人!$D$2:$D$1048576,MATCH(L1025,医院2县区2人!$A$2:$A$1048576,0))</f>
        <v>#N/A</v>
      </c>
      <c r="W1025" s="6" t="str">
        <f t="shared" si="33"/>
        <v>丹佛胃尔康颗粒10g*8袋</v>
      </c>
      <c r="X1025" s="6" t="s">
        <v>2893</v>
      </c>
    </row>
    <row r="1026" spans="1:24" x14ac:dyDescent="0.15">
      <c r="A1026" s="7" t="str">
        <f t="shared" si="34"/>
        <v>201806</v>
      </c>
      <c r="C1026" s="6" t="str">
        <f>INDEX(工厂基础数据!$A$2:$A$1024,MATCH(X1026,工厂基础数据!$D$2:$D$1024,0))</f>
        <v>02032120</v>
      </c>
      <c r="E1026" s="6" t="str">
        <f>INDEX(工厂基础数据!$B$2:$B$1024,MATCH(X1026,工厂基础数据!$D$2:$D$1024,0))</f>
        <v>淄博博仁医药有限公司</v>
      </c>
      <c r="F1026" s="6" t="e">
        <f>INDEX(商业2转码!$B$2:$B$10000,MATCH(E1026,商业2转码!$A$2:$A$10000,0))</f>
        <v>#N/A</v>
      </c>
      <c r="G1026" s="6">
        <f>INDEX(品种2编码!$A$2:$A$1048576,MATCH(W1026,品种2编码!$D$2:$D$1048576,0))</f>
        <v>0</v>
      </c>
      <c r="H1026" s="6" t="s">
        <v>768</v>
      </c>
      <c r="I1026" s="6" t="s">
        <v>3293</v>
      </c>
      <c r="J1026" s="6" t="s">
        <v>3286</v>
      </c>
      <c r="L1026" s="6" t="s">
        <v>3129</v>
      </c>
      <c r="M1026" s="6" t="e">
        <f>INDEX(医院2县区2人!$B$2:$B$1048576,MATCH(L1026,医院2县区2人!$A$2:$A$1048576,0))</f>
        <v>#N/A</v>
      </c>
      <c r="N1026" s="6" t="e">
        <f>INDEX(医院2县区2人!$C$2:$C$1048576,MATCH(L1026,医院2县区2人!$A$2:$A$1048576,0))</f>
        <v>#N/A</v>
      </c>
      <c r="P1026" s="7">
        <v>43262</v>
      </c>
      <c r="Q1026" s="6">
        <v>5</v>
      </c>
      <c r="R1026" s="6">
        <v>23.5</v>
      </c>
      <c r="S1026" s="6">
        <v>20170803</v>
      </c>
      <c r="T1026" s="6" t="e">
        <f>INDEX(医院2县区2人!$D$2:$D$1048576,MATCH(L1026,医院2县区2人!$A$2:$A$1048576,0))</f>
        <v>#N/A</v>
      </c>
      <c r="W1026" s="6" t="str">
        <f t="shared" si="33"/>
        <v>医用退热贴40*110mm*2贴</v>
      </c>
      <c r="X1026" s="6" t="s">
        <v>2893</v>
      </c>
    </row>
    <row r="1027" spans="1:24" x14ac:dyDescent="0.15">
      <c r="A1027" s="7" t="str">
        <f t="shared" si="34"/>
        <v>201806</v>
      </c>
      <c r="C1027" s="6" t="str">
        <f>INDEX(工厂基础数据!$A$2:$A$1024,MATCH(X1027,工厂基础数据!$D$2:$D$1024,0))</f>
        <v>02032120</v>
      </c>
      <c r="E1027" s="6" t="str">
        <f>INDEX(工厂基础数据!$B$2:$B$1024,MATCH(X1027,工厂基础数据!$D$2:$D$1024,0))</f>
        <v>淄博博仁医药有限公司</v>
      </c>
      <c r="F1027" s="6" t="e">
        <f>INDEX(商业2转码!$B$2:$B$10000,MATCH(E1027,商业2转码!$A$2:$A$10000,0))</f>
        <v>#N/A</v>
      </c>
      <c r="G1027" s="6" t="str">
        <f>INDEX(品种2编码!$A$2:$A$1048576,MATCH(W1027,品种2编码!$D$2:$D$1048576,0))</f>
        <v>0020040001SHYT0018</v>
      </c>
      <c r="H1027" s="6" t="s">
        <v>732</v>
      </c>
      <c r="I1027" s="6" t="s">
        <v>444</v>
      </c>
      <c r="J1027" s="6" t="s">
        <v>3279</v>
      </c>
      <c r="L1027" s="6" t="s">
        <v>3185</v>
      </c>
      <c r="M1027" s="6" t="e">
        <f>INDEX(医院2县区2人!$B$2:$B$1048576,MATCH(L1027,医院2县区2人!$A$2:$A$1048576,0))</f>
        <v>#N/A</v>
      </c>
      <c r="N1027" s="6" t="e">
        <f>INDEX(医院2县区2人!$C$2:$C$1048576,MATCH(L1027,医院2县区2人!$A$2:$A$1048576,0))</f>
        <v>#N/A</v>
      </c>
      <c r="P1027" s="7">
        <v>43262</v>
      </c>
      <c r="Q1027" s="6">
        <v>5</v>
      </c>
      <c r="R1027" s="6">
        <v>50</v>
      </c>
      <c r="S1027" s="6">
        <v>1712113</v>
      </c>
      <c r="T1027" s="6" t="e">
        <f>INDEX(医院2县区2人!$D$2:$D$1048576,MATCH(L1027,医院2县区2人!$A$2:$A$1048576,0))</f>
        <v>#N/A</v>
      </c>
      <c r="W1027" s="6" t="str">
        <f t="shared" ref="W1027:W1090" si="35">H1027&amp;I1027</f>
        <v>血府逐瘀丸9g*10丸</v>
      </c>
      <c r="X1027" s="6" t="s">
        <v>2893</v>
      </c>
    </row>
    <row r="1028" spans="1:24" x14ac:dyDescent="0.15">
      <c r="A1028" s="7" t="str">
        <f t="shared" ref="A1028:A1091" si="36">IF(MONTH(P1028)&lt;10,YEAR(P1028)&amp;"0"&amp;MONTH(P1028),YEAR(P1028)&amp;MONTH(P1028))</f>
        <v>201806</v>
      </c>
      <c r="C1028" s="6" t="str">
        <f>INDEX(工厂基础数据!$A$2:$A$1024,MATCH(X1028,工厂基础数据!$D$2:$D$1024,0))</f>
        <v>02032120</v>
      </c>
      <c r="E1028" s="6" t="str">
        <f>INDEX(工厂基础数据!$B$2:$B$1024,MATCH(X1028,工厂基础数据!$D$2:$D$1024,0))</f>
        <v>淄博博仁医药有限公司</v>
      </c>
      <c r="F1028" s="6" t="e">
        <f>INDEX(商业2转码!$B$2:$B$10000,MATCH(E1028,商业2转码!$A$2:$A$10000,0))</f>
        <v>#N/A</v>
      </c>
      <c r="G1028" s="6" t="str">
        <f>INDEX(品种2编码!$A$2:$A$1048576,MATCH(W1028,品种2编码!$D$2:$D$1048576,0))</f>
        <v>0020030001SJZY0006</v>
      </c>
      <c r="H1028" s="6" t="s">
        <v>1833</v>
      </c>
      <c r="I1028" s="6" t="s">
        <v>411</v>
      </c>
      <c r="J1028" s="6" t="s">
        <v>3280</v>
      </c>
      <c r="L1028" s="6" t="s">
        <v>3144</v>
      </c>
      <c r="M1028" s="6" t="e">
        <f>INDEX(医院2县区2人!$B$2:$B$1048576,MATCH(L1028,医院2县区2人!$A$2:$A$1048576,0))</f>
        <v>#N/A</v>
      </c>
      <c r="N1028" s="6" t="e">
        <f>INDEX(医院2县区2人!$C$2:$C$1048576,MATCH(L1028,医院2县区2人!$A$2:$A$1048576,0))</f>
        <v>#N/A</v>
      </c>
      <c r="P1028" s="7">
        <v>43262</v>
      </c>
      <c r="Q1028" s="6">
        <v>5</v>
      </c>
      <c r="R1028" s="6">
        <v>110</v>
      </c>
      <c r="S1028" s="6">
        <v>18030523</v>
      </c>
      <c r="T1028" s="6" t="e">
        <f>INDEX(医院2县区2人!$D$2:$D$1048576,MATCH(L1028,医院2县区2人!$A$2:$A$1048576,0))</f>
        <v>#N/A</v>
      </c>
      <c r="W1028" s="6" t="str">
        <f t="shared" si="35"/>
        <v>葡萄糖酸钙口服溶液10ml*12支</v>
      </c>
      <c r="X1028" s="6" t="s">
        <v>2893</v>
      </c>
    </row>
    <row r="1029" spans="1:24" x14ac:dyDescent="0.15">
      <c r="A1029" s="7" t="str">
        <f t="shared" si="36"/>
        <v>201806</v>
      </c>
      <c r="C1029" s="6" t="str">
        <f>INDEX(工厂基础数据!$A$2:$A$1024,MATCH(X1029,工厂基础数据!$D$2:$D$1024,0))</f>
        <v>02032120</v>
      </c>
      <c r="E1029" s="6" t="str">
        <f>INDEX(工厂基础数据!$B$2:$B$1024,MATCH(X1029,工厂基础数据!$D$2:$D$1024,0))</f>
        <v>淄博博仁医药有限公司</v>
      </c>
      <c r="F1029" s="6" t="e">
        <f>INDEX(商业2转码!$B$2:$B$10000,MATCH(E1029,商业2转码!$A$2:$A$10000,0))</f>
        <v>#N/A</v>
      </c>
      <c r="G1029" s="6">
        <f>INDEX(品种2编码!$A$2:$A$1048576,MATCH(W1029,品种2编码!$D$2:$D$1048576,0))</f>
        <v>0</v>
      </c>
      <c r="H1029" s="6" t="s">
        <v>3268</v>
      </c>
      <c r="I1029" s="6" t="s">
        <v>411</v>
      </c>
      <c r="J1029" s="6" t="s">
        <v>3040</v>
      </c>
      <c r="L1029" s="6" t="s">
        <v>3144</v>
      </c>
      <c r="M1029" s="6" t="e">
        <f>INDEX(医院2县区2人!$B$2:$B$1048576,MATCH(L1029,医院2县区2人!$A$2:$A$1048576,0))</f>
        <v>#N/A</v>
      </c>
      <c r="N1029" s="6" t="e">
        <f>INDEX(医院2县区2人!$C$2:$C$1048576,MATCH(L1029,医院2县区2人!$A$2:$A$1048576,0))</f>
        <v>#N/A</v>
      </c>
      <c r="P1029" s="7">
        <v>43262</v>
      </c>
      <c r="Q1029" s="6">
        <v>5</v>
      </c>
      <c r="R1029" s="6">
        <v>115</v>
      </c>
      <c r="S1029" s="6">
        <v>18031227</v>
      </c>
      <c r="T1029" s="6" t="e">
        <f>INDEX(医院2县区2人!$D$2:$D$1048576,MATCH(L1029,医院2县区2人!$A$2:$A$1048576,0))</f>
        <v>#N/A</v>
      </c>
      <c r="W1029" s="6" t="str">
        <f t="shared" si="35"/>
        <v>葡糖糖酸锌口服溶液10ml*12支</v>
      </c>
      <c r="X1029" s="6" t="s">
        <v>2893</v>
      </c>
    </row>
    <row r="1030" spans="1:24" x14ac:dyDescent="0.15">
      <c r="A1030" s="7" t="str">
        <f t="shared" si="36"/>
        <v>201806</v>
      </c>
      <c r="C1030" s="6" t="str">
        <f>INDEX(工厂基础数据!$A$2:$A$1024,MATCH(X1030,工厂基础数据!$D$2:$D$1024,0))</f>
        <v>02032120</v>
      </c>
      <c r="E1030" s="6" t="str">
        <f>INDEX(工厂基础数据!$B$2:$B$1024,MATCH(X1030,工厂基础数据!$D$2:$D$1024,0))</f>
        <v>淄博博仁医药有限公司</v>
      </c>
      <c r="F1030" s="6" t="e">
        <f>INDEX(商业2转码!$B$2:$B$10000,MATCH(E1030,商业2转码!$A$2:$A$10000,0))</f>
        <v>#N/A</v>
      </c>
      <c r="G1030" s="6" t="str">
        <f>INDEX(品种2编码!$A$2:$A$1048576,MATCH(W1030,品种2编码!$D$2:$D$1048576,0))</f>
        <v>0020070000ZYLC0052</v>
      </c>
      <c r="H1030" s="6" t="s">
        <v>402</v>
      </c>
      <c r="I1030" s="6" t="s">
        <v>411</v>
      </c>
      <c r="J1030" s="6" t="s">
        <v>3279</v>
      </c>
      <c r="L1030" s="6" t="s">
        <v>3186</v>
      </c>
      <c r="M1030" s="6" t="e">
        <f>INDEX(医院2县区2人!$B$2:$B$1048576,MATCH(L1030,医院2县区2人!$A$2:$A$1048576,0))</f>
        <v>#N/A</v>
      </c>
      <c r="N1030" s="6" t="e">
        <f>INDEX(医院2县区2人!$C$2:$C$1048576,MATCH(L1030,医院2县区2人!$A$2:$A$1048576,0))</f>
        <v>#N/A</v>
      </c>
      <c r="P1030" s="7">
        <v>43262</v>
      </c>
      <c r="Q1030" s="6">
        <v>5</v>
      </c>
      <c r="R1030" s="6">
        <v>85</v>
      </c>
      <c r="S1030" s="6">
        <v>170801</v>
      </c>
      <c r="T1030" s="6" t="e">
        <f>INDEX(医院2县区2人!$D$2:$D$1048576,MATCH(L1030,医院2县区2人!$A$2:$A$1048576,0))</f>
        <v>#N/A</v>
      </c>
      <c r="W1030" s="6" t="str">
        <f t="shared" si="35"/>
        <v>钙加锌口服液10ml*12支</v>
      </c>
      <c r="X1030" s="6" t="s">
        <v>2893</v>
      </c>
    </row>
    <row r="1031" spans="1:24" x14ac:dyDescent="0.15">
      <c r="A1031" s="7" t="str">
        <f t="shared" si="36"/>
        <v>201806</v>
      </c>
      <c r="C1031" s="6" t="str">
        <f>INDEX(工厂基础数据!$A$2:$A$1024,MATCH(X1031,工厂基础数据!$D$2:$D$1024,0))</f>
        <v>02032120</v>
      </c>
      <c r="E1031" s="6" t="str">
        <f>INDEX(工厂基础数据!$B$2:$B$1024,MATCH(X1031,工厂基础数据!$D$2:$D$1024,0))</f>
        <v>淄博博仁医药有限公司</v>
      </c>
      <c r="F1031" s="6" t="e">
        <f>INDEX(商业2转码!$B$2:$B$10000,MATCH(E1031,商业2转码!$A$2:$A$10000,0))</f>
        <v>#N/A</v>
      </c>
      <c r="G1031" s="6">
        <f>INDEX(品种2编码!$A$2:$A$1048576,MATCH(W1031,品种2编码!$D$2:$D$1048576,0))</f>
        <v>0</v>
      </c>
      <c r="H1031" s="6" t="s">
        <v>380</v>
      </c>
      <c r="I1031" s="6" t="s">
        <v>3292</v>
      </c>
      <c r="J1031" s="6" t="s">
        <v>3279</v>
      </c>
      <c r="L1031" s="6" t="s">
        <v>3144</v>
      </c>
      <c r="M1031" s="6" t="e">
        <f>INDEX(医院2县区2人!$B$2:$B$1048576,MATCH(L1031,医院2县区2人!$A$2:$A$1048576,0))</f>
        <v>#N/A</v>
      </c>
      <c r="N1031" s="6" t="e">
        <f>INDEX(医院2县区2人!$C$2:$C$1048576,MATCH(L1031,医院2县区2人!$A$2:$A$1048576,0))</f>
        <v>#N/A</v>
      </c>
      <c r="P1031" s="7">
        <v>43262</v>
      </c>
      <c r="Q1031" s="6">
        <v>5</v>
      </c>
      <c r="R1031" s="6">
        <v>18</v>
      </c>
      <c r="S1031" s="6">
        <v>1711002</v>
      </c>
      <c r="T1031" s="6" t="e">
        <f>INDEX(医院2县区2人!$D$2:$D$1048576,MATCH(L1031,医院2县区2人!$A$2:$A$1048576,0))</f>
        <v>#N/A</v>
      </c>
      <c r="W1031" s="6" t="str">
        <f t="shared" si="35"/>
        <v>复方氨酚烷胺片12粒</v>
      </c>
      <c r="X1031" s="6" t="s">
        <v>2893</v>
      </c>
    </row>
    <row r="1032" spans="1:24" x14ac:dyDescent="0.15">
      <c r="A1032" s="7" t="str">
        <f t="shared" si="36"/>
        <v>201806</v>
      </c>
      <c r="C1032" s="6" t="str">
        <f>INDEX(工厂基础数据!$A$2:$A$1024,MATCH(X1032,工厂基础数据!$D$2:$D$1024,0))</f>
        <v>02032120</v>
      </c>
      <c r="E1032" s="6" t="str">
        <f>INDEX(工厂基础数据!$B$2:$B$1024,MATCH(X1032,工厂基础数据!$D$2:$D$1024,0))</f>
        <v>淄博博仁医药有限公司</v>
      </c>
      <c r="F1032" s="6" t="e">
        <f>INDEX(商业2转码!$B$2:$B$10000,MATCH(E1032,商业2转码!$A$2:$A$10000,0))</f>
        <v>#N/A</v>
      </c>
      <c r="G1032" s="6" t="str">
        <f>INDEX(品种2编码!$A$2:$A$1048576,MATCH(W1032,品种2编码!$D$2:$D$1048576,0))</f>
        <v>0020020020ZYLC0003</v>
      </c>
      <c r="H1032" s="6" t="s">
        <v>1855</v>
      </c>
      <c r="I1032" s="6" t="s">
        <v>381</v>
      </c>
      <c r="J1032" s="6" t="s">
        <v>3279</v>
      </c>
      <c r="L1032" s="6" t="s">
        <v>3169</v>
      </c>
      <c r="M1032" s="6" t="e">
        <f>INDEX(医院2县区2人!$B$2:$B$1048576,MATCH(L1032,医院2县区2人!$A$2:$A$1048576,0))</f>
        <v>#N/A</v>
      </c>
      <c r="N1032" s="6" t="e">
        <f>INDEX(医院2县区2人!$C$2:$C$1048576,MATCH(L1032,医院2县区2人!$A$2:$A$1048576,0))</f>
        <v>#N/A</v>
      </c>
      <c r="P1032" s="7">
        <v>43262</v>
      </c>
      <c r="Q1032" s="6">
        <v>5</v>
      </c>
      <c r="R1032" s="6">
        <v>27.5</v>
      </c>
      <c r="S1032" s="6">
        <v>170706</v>
      </c>
      <c r="T1032" s="6" t="e">
        <f>INDEX(医院2县区2人!$D$2:$D$1048576,MATCH(L1032,医院2县区2人!$A$2:$A$1048576,0))</f>
        <v>#N/A</v>
      </c>
      <c r="W1032" s="6" t="str">
        <f t="shared" si="35"/>
        <v>颠茄磺苄啶片12片</v>
      </c>
      <c r="X1032" s="6" t="s">
        <v>2893</v>
      </c>
    </row>
    <row r="1033" spans="1:24" x14ac:dyDescent="0.15">
      <c r="A1033" s="7" t="str">
        <f t="shared" si="36"/>
        <v>201806</v>
      </c>
      <c r="C1033" s="6" t="str">
        <f>INDEX(工厂基础数据!$A$2:$A$1024,MATCH(X1033,工厂基础数据!$D$2:$D$1024,0))</f>
        <v>02032120</v>
      </c>
      <c r="E1033" s="6" t="str">
        <f>INDEX(工厂基础数据!$B$2:$B$1024,MATCH(X1033,工厂基础数据!$D$2:$D$1024,0))</f>
        <v>淄博博仁医药有限公司</v>
      </c>
      <c r="F1033" s="6" t="e">
        <f>INDEX(商业2转码!$B$2:$B$10000,MATCH(E1033,商业2转码!$A$2:$A$10000,0))</f>
        <v>#N/A</v>
      </c>
      <c r="G1033" s="6" t="str">
        <f>INDEX(品种2编码!$A$2:$A$1048576,MATCH(W1033,品种2编码!$D$2:$D$1048576,0))</f>
        <v>0020020020ZYLC0003</v>
      </c>
      <c r="H1033" s="6" t="s">
        <v>1855</v>
      </c>
      <c r="I1033" s="6" t="s">
        <v>381</v>
      </c>
      <c r="J1033" s="6" t="s">
        <v>3279</v>
      </c>
      <c r="L1033" s="6" t="s">
        <v>3136</v>
      </c>
      <c r="M1033" s="6" t="e">
        <f>INDEX(医院2县区2人!$B$2:$B$1048576,MATCH(L1033,医院2县区2人!$A$2:$A$1048576,0))</f>
        <v>#N/A</v>
      </c>
      <c r="N1033" s="6" t="e">
        <f>INDEX(医院2县区2人!$C$2:$C$1048576,MATCH(L1033,医院2县区2人!$A$2:$A$1048576,0))</f>
        <v>#N/A</v>
      </c>
      <c r="P1033" s="7">
        <v>43262</v>
      </c>
      <c r="Q1033" s="6">
        <v>5</v>
      </c>
      <c r="R1033" s="6">
        <v>20.5</v>
      </c>
      <c r="S1033" s="6">
        <v>170706</v>
      </c>
      <c r="T1033" s="6" t="e">
        <f>INDEX(医院2县区2人!$D$2:$D$1048576,MATCH(L1033,医院2县区2人!$A$2:$A$1048576,0))</f>
        <v>#N/A</v>
      </c>
      <c r="W1033" s="6" t="str">
        <f t="shared" si="35"/>
        <v>颠茄磺苄啶片12片</v>
      </c>
      <c r="X1033" s="6" t="s">
        <v>2893</v>
      </c>
    </row>
    <row r="1034" spans="1:24" x14ac:dyDescent="0.15">
      <c r="A1034" s="7" t="str">
        <f t="shared" si="36"/>
        <v>201806</v>
      </c>
      <c r="C1034" s="6" t="str">
        <f>INDEX(工厂基础数据!$A$2:$A$1024,MATCH(X1034,工厂基础数据!$D$2:$D$1024,0))</f>
        <v>02032120</v>
      </c>
      <c r="E1034" s="6" t="str">
        <f>INDEX(工厂基础数据!$B$2:$B$1024,MATCH(X1034,工厂基础数据!$D$2:$D$1024,0))</f>
        <v>淄博博仁医药有限公司</v>
      </c>
      <c r="F1034" s="6" t="e">
        <f>INDEX(商业2转码!$B$2:$B$10000,MATCH(E1034,商业2转码!$A$2:$A$10000,0))</f>
        <v>#N/A</v>
      </c>
      <c r="G1034" s="6" t="str">
        <f>INDEX(品种2编码!$A$2:$A$1048576,MATCH(W1034,品种2编码!$D$2:$D$1048576,0))</f>
        <v>0020020030ZYZC0264</v>
      </c>
      <c r="H1034" s="6" t="s">
        <v>245</v>
      </c>
      <c r="I1034" s="6" t="s">
        <v>254</v>
      </c>
      <c r="J1034" s="6" t="s">
        <v>3279</v>
      </c>
      <c r="L1034" s="6" t="s">
        <v>3127</v>
      </c>
      <c r="M1034" s="6" t="e">
        <f>INDEX(医院2县区2人!$B$2:$B$1048576,MATCH(L1034,医院2县区2人!$A$2:$A$1048576,0))</f>
        <v>#N/A</v>
      </c>
      <c r="N1034" s="6" t="e">
        <f>INDEX(医院2县区2人!$C$2:$C$1048576,MATCH(L1034,医院2县区2人!$A$2:$A$1048576,0))</f>
        <v>#N/A</v>
      </c>
      <c r="P1034" s="7">
        <v>43262</v>
      </c>
      <c r="Q1034" s="6">
        <v>8</v>
      </c>
      <c r="R1034" s="6">
        <v>45.6</v>
      </c>
      <c r="S1034" s="6" t="s">
        <v>3052</v>
      </c>
      <c r="T1034" s="6" t="e">
        <f>INDEX(医院2县区2人!$D$2:$D$1048576,MATCH(L1034,医院2县区2人!$A$2:$A$1048576,0))</f>
        <v>#N/A</v>
      </c>
      <c r="W1034" s="6" t="str">
        <f t="shared" si="35"/>
        <v>阿莫西林胶囊0.5g*20粒</v>
      </c>
      <c r="X1034" s="6" t="s">
        <v>2893</v>
      </c>
    </row>
    <row r="1035" spans="1:24" x14ac:dyDescent="0.15">
      <c r="A1035" s="7" t="str">
        <f t="shared" si="36"/>
        <v>201806</v>
      </c>
      <c r="C1035" s="6" t="str">
        <f>INDEX(工厂基础数据!$A$2:$A$1024,MATCH(X1035,工厂基础数据!$D$2:$D$1024,0))</f>
        <v>02032120</v>
      </c>
      <c r="E1035" s="6" t="str">
        <f>INDEX(工厂基础数据!$B$2:$B$1024,MATCH(X1035,工厂基础数据!$D$2:$D$1024,0))</f>
        <v>淄博博仁医药有限公司</v>
      </c>
      <c r="F1035" s="6" t="e">
        <f>INDEX(商业2转码!$B$2:$B$10000,MATCH(E1035,商业2转码!$A$2:$A$10000,0))</f>
        <v>#N/A</v>
      </c>
      <c r="G1035" s="6" t="str">
        <f>INDEX(品种2编码!$A$2:$A$1048576,MATCH(W1035,品种2编码!$D$2:$D$1048576,0))</f>
        <v>0020020030SJMS0025</v>
      </c>
      <c r="H1035" s="6" t="s">
        <v>586</v>
      </c>
      <c r="I1035" s="6" t="s">
        <v>1937</v>
      </c>
      <c r="J1035" s="6" t="s">
        <v>3282</v>
      </c>
      <c r="L1035" s="6" t="s">
        <v>3121</v>
      </c>
      <c r="M1035" s="6" t="e">
        <f>INDEX(医院2县区2人!$B$2:$B$1048576,MATCH(L1035,医院2县区2人!$A$2:$A$1048576,0))</f>
        <v>#N/A</v>
      </c>
      <c r="N1035" s="6" t="e">
        <f>INDEX(医院2县区2人!$C$2:$C$1048576,MATCH(L1035,医院2县区2人!$A$2:$A$1048576,0))</f>
        <v>#N/A</v>
      </c>
      <c r="P1035" s="7">
        <v>43262</v>
      </c>
      <c r="Q1035" s="6">
        <v>10</v>
      </c>
      <c r="R1035" s="6">
        <v>55</v>
      </c>
      <c r="S1035" s="6">
        <v>1709011</v>
      </c>
      <c r="T1035" s="6" t="e">
        <f>INDEX(医院2县区2人!$D$2:$D$1048576,MATCH(L1035,医院2县区2人!$A$2:$A$1048576,0))</f>
        <v>#N/A</v>
      </c>
      <c r="W1035" s="6" t="str">
        <f t="shared" si="35"/>
        <v>人工牛黄甲硝唑胶囊30粒</v>
      </c>
      <c r="X1035" s="6" t="s">
        <v>2893</v>
      </c>
    </row>
    <row r="1036" spans="1:24" x14ac:dyDescent="0.15">
      <c r="A1036" s="7" t="str">
        <f t="shared" si="36"/>
        <v>201806</v>
      </c>
      <c r="C1036" s="6" t="str">
        <f>INDEX(工厂基础数据!$A$2:$A$1024,MATCH(X1036,工厂基础数据!$D$2:$D$1024,0))</f>
        <v>02032120</v>
      </c>
      <c r="E1036" s="6" t="str">
        <f>INDEX(工厂基础数据!$B$2:$B$1024,MATCH(X1036,工厂基础数据!$D$2:$D$1024,0))</f>
        <v>淄博博仁医药有限公司</v>
      </c>
      <c r="F1036" s="6" t="e">
        <f>INDEX(商业2转码!$B$2:$B$10000,MATCH(E1036,商业2转码!$A$2:$A$10000,0))</f>
        <v>#N/A</v>
      </c>
      <c r="G1036" s="6">
        <f>INDEX(品种2编码!$A$2:$A$1048576,MATCH(W1036,品种2编码!$D$2:$D$1048576,0))</f>
        <v>0</v>
      </c>
      <c r="H1036" s="6" t="s">
        <v>1857</v>
      </c>
      <c r="I1036" s="6" t="s">
        <v>3288</v>
      </c>
      <c r="J1036" s="6" t="s">
        <v>3281</v>
      </c>
      <c r="L1036" s="6" t="s">
        <v>3187</v>
      </c>
      <c r="M1036" s="6" t="e">
        <f>INDEX(医院2县区2人!$B$2:$B$1048576,MATCH(L1036,医院2县区2人!$A$2:$A$1048576,0))</f>
        <v>#N/A</v>
      </c>
      <c r="N1036" s="6" t="e">
        <f>INDEX(医院2县区2人!$C$2:$C$1048576,MATCH(L1036,医院2县区2人!$A$2:$A$1048576,0))</f>
        <v>#N/A</v>
      </c>
      <c r="P1036" s="7">
        <v>43262</v>
      </c>
      <c r="Q1036" s="6">
        <v>10</v>
      </c>
      <c r="R1036" s="6">
        <v>140</v>
      </c>
      <c r="S1036" s="6">
        <v>1801404</v>
      </c>
      <c r="T1036" s="6" t="e">
        <f>INDEX(医院2县区2人!$D$2:$D$1048576,MATCH(L1036,医院2县区2人!$A$2:$A$1048576,0))</f>
        <v>#N/A</v>
      </c>
      <c r="W1036" s="6" t="str">
        <f t="shared" si="35"/>
        <v>妇宁栓7粒</v>
      </c>
      <c r="X1036" s="6" t="s">
        <v>2893</v>
      </c>
    </row>
    <row r="1037" spans="1:24" x14ac:dyDescent="0.15">
      <c r="A1037" s="7" t="str">
        <f t="shared" si="36"/>
        <v>201806</v>
      </c>
      <c r="C1037" s="6" t="str">
        <f>INDEX(工厂基础数据!$A$2:$A$1024,MATCH(X1037,工厂基础数据!$D$2:$D$1024,0))</f>
        <v>02032120</v>
      </c>
      <c r="E1037" s="6" t="str">
        <f>INDEX(工厂基础数据!$B$2:$B$1024,MATCH(X1037,工厂基础数据!$D$2:$D$1024,0))</f>
        <v>淄博博仁医药有限公司</v>
      </c>
      <c r="F1037" s="6" t="e">
        <f>INDEX(商业2转码!$B$2:$B$10000,MATCH(E1037,商业2转码!$A$2:$A$10000,0))</f>
        <v>#N/A</v>
      </c>
      <c r="G1037" s="6">
        <f>INDEX(品种2编码!$A$2:$A$1048576,MATCH(W1037,品种2编码!$D$2:$D$1048576,0))</f>
        <v>0</v>
      </c>
      <c r="H1037" s="6" t="s">
        <v>317</v>
      </c>
      <c r="I1037" s="6" t="s">
        <v>3291</v>
      </c>
      <c r="J1037" s="6" t="s">
        <v>3279</v>
      </c>
      <c r="L1037" s="6" t="s">
        <v>3132</v>
      </c>
      <c r="M1037" s="6" t="e">
        <f>INDEX(医院2县区2人!$B$2:$B$1048576,MATCH(L1037,医院2县区2人!$A$2:$A$1048576,0))</f>
        <v>#N/A</v>
      </c>
      <c r="N1037" s="6" t="e">
        <f>INDEX(医院2县区2人!$C$2:$C$1048576,MATCH(L1037,医院2县区2人!$A$2:$A$1048576,0))</f>
        <v>#N/A</v>
      </c>
      <c r="P1037" s="7">
        <v>43262</v>
      </c>
      <c r="Q1037" s="6">
        <v>10</v>
      </c>
      <c r="R1037" s="6">
        <v>103</v>
      </c>
      <c r="S1037" s="6">
        <v>1803608</v>
      </c>
      <c r="T1037" s="6" t="e">
        <f>INDEX(医院2县区2人!$D$2:$D$1048576,MATCH(L1037,医院2县区2人!$A$2:$A$1048576,0))</f>
        <v>#N/A</v>
      </c>
      <c r="W1037" s="6" t="str">
        <f t="shared" si="35"/>
        <v>布洛芬颗粒0.2g*12包</v>
      </c>
      <c r="X1037" s="6" t="s">
        <v>2893</v>
      </c>
    </row>
    <row r="1038" spans="1:24" x14ac:dyDescent="0.15">
      <c r="A1038" s="7" t="str">
        <f t="shared" si="36"/>
        <v>201806</v>
      </c>
      <c r="C1038" s="6" t="str">
        <f>INDEX(工厂基础数据!$A$2:$A$1024,MATCH(X1038,工厂基础数据!$D$2:$D$1024,0))</f>
        <v>02032120</v>
      </c>
      <c r="E1038" s="6" t="str">
        <f>INDEX(工厂基础数据!$B$2:$B$1024,MATCH(X1038,工厂基础数据!$D$2:$D$1024,0))</f>
        <v>淄博博仁医药有限公司</v>
      </c>
      <c r="F1038" s="6" t="e">
        <f>INDEX(商业2转码!$B$2:$B$10000,MATCH(E1038,商业2转码!$A$2:$A$10000,0))</f>
        <v>#N/A</v>
      </c>
      <c r="G1038" s="6" t="str">
        <f>INDEX(品种2编码!$A$2:$A$1048576,MATCH(W1038,品种2编码!$D$2:$D$1048576,0))</f>
        <v>0020020013ZYZC0491</v>
      </c>
      <c r="H1038" s="6" t="s">
        <v>3266</v>
      </c>
      <c r="I1038" s="6" t="s">
        <v>914</v>
      </c>
      <c r="J1038" s="6" t="s">
        <v>3279</v>
      </c>
      <c r="L1038" s="6" t="s">
        <v>3188</v>
      </c>
      <c r="M1038" s="6" t="e">
        <f>INDEX(医院2县区2人!$B$2:$B$1048576,MATCH(L1038,医院2县区2人!$A$2:$A$1048576,0))</f>
        <v>#N/A</v>
      </c>
      <c r="N1038" s="6" t="e">
        <f>INDEX(医院2县区2人!$C$2:$C$1048576,MATCH(L1038,医院2县区2人!$A$2:$A$1048576,0))</f>
        <v>#N/A</v>
      </c>
      <c r="P1038" s="7">
        <v>43262</v>
      </c>
      <c r="Q1038" s="6">
        <v>10</v>
      </c>
      <c r="R1038" s="6">
        <v>39</v>
      </c>
      <c r="S1038" s="6" t="s">
        <v>3272</v>
      </c>
      <c r="T1038" s="6" t="e">
        <f>INDEX(医院2县区2人!$D$2:$D$1048576,MATCH(L1038,医院2县区2人!$A$2:$A$1048576,0))</f>
        <v>#N/A</v>
      </c>
      <c r="W1038" s="6" t="str">
        <f t="shared" si="35"/>
        <v>*注射用乳糖酸阿奇霉素0.25g</v>
      </c>
      <c r="X1038" s="6" t="s">
        <v>2893</v>
      </c>
    </row>
    <row r="1039" spans="1:24" x14ac:dyDescent="0.15">
      <c r="A1039" s="7" t="str">
        <f t="shared" si="36"/>
        <v>201806</v>
      </c>
      <c r="C1039" s="6" t="str">
        <f>INDEX(工厂基础数据!$A$2:$A$1024,MATCH(X1039,工厂基础数据!$D$2:$D$1024,0))</f>
        <v>02032120</v>
      </c>
      <c r="E1039" s="6" t="str">
        <f>INDEX(工厂基础数据!$B$2:$B$1024,MATCH(X1039,工厂基础数据!$D$2:$D$1024,0))</f>
        <v>淄博博仁医药有限公司</v>
      </c>
      <c r="F1039" s="6" t="e">
        <f>INDEX(商业2转码!$B$2:$B$10000,MATCH(E1039,商业2转码!$A$2:$A$10000,0))</f>
        <v>#N/A</v>
      </c>
      <c r="G1039" s="6">
        <f>INDEX(品种2编码!$A$2:$A$1048576,MATCH(W1039,品种2编码!$D$2:$D$1048576,0))</f>
        <v>0</v>
      </c>
      <c r="H1039" s="6" t="s">
        <v>3269</v>
      </c>
      <c r="I1039" s="6" t="s">
        <v>1839</v>
      </c>
      <c r="J1039" s="6" t="s">
        <v>3279</v>
      </c>
      <c r="L1039" s="6" t="s">
        <v>3189</v>
      </c>
      <c r="M1039" s="6" t="e">
        <f>INDEX(医院2县区2人!$B$2:$B$1048576,MATCH(L1039,医院2县区2人!$A$2:$A$1048576,0))</f>
        <v>#N/A</v>
      </c>
      <c r="N1039" s="6" t="e">
        <f>INDEX(医院2县区2人!$C$2:$C$1048576,MATCH(L1039,医院2县区2人!$A$2:$A$1048576,0))</f>
        <v>#N/A</v>
      </c>
      <c r="P1039" s="7">
        <v>43262</v>
      </c>
      <c r="Q1039" s="6">
        <v>20</v>
      </c>
      <c r="R1039" s="6">
        <v>160</v>
      </c>
      <c r="S1039" s="6">
        <v>180302</v>
      </c>
      <c r="T1039" s="6" t="e">
        <f>INDEX(医院2县区2人!$D$2:$D$1048576,MATCH(L1039,医院2县区2人!$A$2:$A$1048576,0))</f>
        <v>#N/A</v>
      </c>
      <c r="W1039" s="6" t="str">
        <f t="shared" si="35"/>
        <v>乳酸菌素片(精）0.4g*36片</v>
      </c>
      <c r="X1039" s="6" t="s">
        <v>2893</v>
      </c>
    </row>
    <row r="1040" spans="1:24" x14ac:dyDescent="0.15">
      <c r="A1040" s="7" t="str">
        <f t="shared" si="36"/>
        <v>201806</v>
      </c>
      <c r="C1040" s="6" t="str">
        <f>INDEX(工厂基础数据!$A$2:$A$1024,MATCH(X1040,工厂基础数据!$D$2:$D$1024,0))</f>
        <v>02032120</v>
      </c>
      <c r="E1040" s="6" t="str">
        <f>INDEX(工厂基础数据!$B$2:$B$1024,MATCH(X1040,工厂基础数据!$D$2:$D$1024,0))</f>
        <v>淄博博仁医药有限公司</v>
      </c>
      <c r="F1040" s="6" t="e">
        <f>INDEX(商业2转码!$B$2:$B$10000,MATCH(E1040,商业2转码!$A$2:$A$10000,0))</f>
        <v>#N/A</v>
      </c>
      <c r="G1040" s="6" t="str">
        <f>INDEX(品种2编码!$A$2:$A$1048576,MATCH(W1040,品种2编码!$D$2:$D$1048576,0))</f>
        <v>0020020021ZYLC0004</v>
      </c>
      <c r="H1040" s="6" t="s">
        <v>1950</v>
      </c>
      <c r="I1040" s="6" t="s">
        <v>1869</v>
      </c>
      <c r="J1040" s="6" t="s">
        <v>3283</v>
      </c>
      <c r="L1040" s="6" t="s">
        <v>3121</v>
      </c>
      <c r="M1040" s="6" t="e">
        <f>INDEX(医院2县区2人!$B$2:$B$1048576,MATCH(L1040,医院2县区2人!$A$2:$A$1048576,0))</f>
        <v>#N/A</v>
      </c>
      <c r="N1040" s="6" t="e">
        <f>INDEX(医院2县区2人!$C$2:$C$1048576,MATCH(L1040,医院2县区2人!$A$2:$A$1048576,0))</f>
        <v>#N/A</v>
      </c>
      <c r="P1040" s="7">
        <v>43262</v>
      </c>
      <c r="Q1040" s="6">
        <v>20</v>
      </c>
      <c r="R1040" s="6">
        <v>160</v>
      </c>
      <c r="S1040" s="6">
        <v>171101</v>
      </c>
      <c r="T1040" s="6" t="e">
        <f>INDEX(医院2县区2人!$D$2:$D$1048576,MATCH(L1040,医院2县区2人!$A$2:$A$1048576,0))</f>
        <v>#N/A</v>
      </c>
      <c r="W1040" s="6" t="str">
        <f t="shared" si="35"/>
        <v>罗红霉素分散片75mg*12片</v>
      </c>
      <c r="X1040" s="6" t="s">
        <v>2893</v>
      </c>
    </row>
    <row r="1041" spans="1:24" x14ac:dyDescent="0.15">
      <c r="A1041" s="7" t="str">
        <f t="shared" si="36"/>
        <v>201806</v>
      </c>
      <c r="C1041" s="6" t="str">
        <f>INDEX(工厂基础数据!$A$2:$A$1024,MATCH(X1041,工厂基础数据!$D$2:$D$1024,0))</f>
        <v>02032120</v>
      </c>
      <c r="E1041" s="6" t="str">
        <f>INDEX(工厂基础数据!$B$2:$B$1024,MATCH(X1041,工厂基础数据!$D$2:$D$1024,0))</f>
        <v>淄博博仁医药有限公司</v>
      </c>
      <c r="F1041" s="6" t="e">
        <f>INDEX(商业2转码!$B$2:$B$10000,MATCH(E1041,商业2转码!$A$2:$A$10000,0))</f>
        <v>#N/A</v>
      </c>
      <c r="G1041" s="6" t="str">
        <f>INDEX(品种2编码!$A$2:$A$1048576,MATCH(W1041,品种2编码!$D$2:$D$1048576,0))</f>
        <v>0020030001SJZY0006</v>
      </c>
      <c r="H1041" s="6" t="s">
        <v>1833</v>
      </c>
      <c r="I1041" s="6" t="s">
        <v>411</v>
      </c>
      <c r="J1041" s="6" t="s">
        <v>3280</v>
      </c>
      <c r="L1041" s="6" t="s">
        <v>3187</v>
      </c>
      <c r="M1041" s="6" t="e">
        <f>INDEX(医院2县区2人!$B$2:$B$1048576,MATCH(L1041,医院2县区2人!$A$2:$A$1048576,0))</f>
        <v>#N/A</v>
      </c>
      <c r="N1041" s="6" t="e">
        <f>INDEX(医院2县区2人!$C$2:$C$1048576,MATCH(L1041,医院2县区2人!$A$2:$A$1048576,0))</f>
        <v>#N/A</v>
      </c>
      <c r="P1041" s="7">
        <v>43262</v>
      </c>
      <c r="Q1041" s="6">
        <v>30</v>
      </c>
      <c r="R1041" s="6">
        <v>660</v>
      </c>
      <c r="S1041" s="6">
        <v>17122912</v>
      </c>
      <c r="T1041" s="6" t="e">
        <f>INDEX(医院2县区2人!$D$2:$D$1048576,MATCH(L1041,医院2县区2人!$A$2:$A$1048576,0))</f>
        <v>#N/A</v>
      </c>
      <c r="W1041" s="6" t="str">
        <f t="shared" si="35"/>
        <v>葡萄糖酸钙口服溶液10ml*12支</v>
      </c>
      <c r="X1041" s="6" t="s">
        <v>2893</v>
      </c>
    </row>
    <row r="1042" spans="1:24" x14ac:dyDescent="0.15">
      <c r="A1042" s="7" t="str">
        <f t="shared" si="36"/>
        <v>201806</v>
      </c>
      <c r="C1042" s="6" t="str">
        <f>INDEX(工厂基础数据!$A$2:$A$1024,MATCH(X1042,工厂基础数据!$D$2:$D$1024,0))</f>
        <v>02032120</v>
      </c>
      <c r="E1042" s="6" t="str">
        <f>INDEX(工厂基础数据!$B$2:$B$1024,MATCH(X1042,工厂基础数据!$D$2:$D$1024,0))</f>
        <v>淄博博仁医药有限公司</v>
      </c>
      <c r="F1042" s="6" t="e">
        <f>INDEX(商业2转码!$B$2:$B$10000,MATCH(E1042,商业2转码!$A$2:$A$10000,0))</f>
        <v>#N/A</v>
      </c>
      <c r="G1042" s="6">
        <f>INDEX(品种2编码!$A$2:$A$1048576,MATCH(W1042,品种2编码!$D$2:$D$1048576,0))</f>
        <v>0</v>
      </c>
      <c r="H1042" s="6" t="s">
        <v>3268</v>
      </c>
      <c r="I1042" s="6" t="s">
        <v>411</v>
      </c>
      <c r="J1042" s="6" t="s">
        <v>3040</v>
      </c>
      <c r="L1042" s="6" t="s">
        <v>3187</v>
      </c>
      <c r="M1042" s="6" t="e">
        <f>INDEX(医院2县区2人!$B$2:$B$1048576,MATCH(L1042,医院2县区2人!$A$2:$A$1048576,0))</f>
        <v>#N/A</v>
      </c>
      <c r="N1042" s="6" t="e">
        <f>INDEX(医院2县区2人!$C$2:$C$1048576,MATCH(L1042,医院2县区2人!$A$2:$A$1048576,0))</f>
        <v>#N/A</v>
      </c>
      <c r="P1042" s="7">
        <v>43262</v>
      </c>
      <c r="Q1042" s="6">
        <v>30</v>
      </c>
      <c r="R1042" s="6">
        <v>690</v>
      </c>
      <c r="S1042" s="6">
        <v>17112821</v>
      </c>
      <c r="T1042" s="6" t="e">
        <f>INDEX(医院2县区2人!$D$2:$D$1048576,MATCH(L1042,医院2县区2人!$A$2:$A$1048576,0))</f>
        <v>#N/A</v>
      </c>
      <c r="W1042" s="6" t="str">
        <f t="shared" si="35"/>
        <v>葡糖糖酸锌口服溶液10ml*12支</v>
      </c>
      <c r="X1042" s="6" t="s">
        <v>2893</v>
      </c>
    </row>
    <row r="1043" spans="1:24" x14ac:dyDescent="0.15">
      <c r="A1043" s="7" t="str">
        <f t="shared" si="36"/>
        <v>201806</v>
      </c>
      <c r="C1043" s="6" t="str">
        <f>INDEX(工厂基础数据!$A$2:$A$1024,MATCH(X1043,工厂基础数据!$D$2:$D$1024,0))</f>
        <v>02032120</v>
      </c>
      <c r="E1043" s="6" t="str">
        <f>INDEX(工厂基础数据!$B$2:$B$1024,MATCH(X1043,工厂基础数据!$D$2:$D$1024,0))</f>
        <v>淄博博仁医药有限公司</v>
      </c>
      <c r="F1043" s="6" t="e">
        <f>INDEX(商业2转码!$B$2:$B$10000,MATCH(E1043,商业2转码!$A$2:$A$10000,0))</f>
        <v>#N/A</v>
      </c>
      <c r="G1043" s="6" t="str">
        <f>INDEX(品种2编码!$A$2:$A$1048576,MATCH(W1043,品种2编码!$D$2:$D$1048576,0))</f>
        <v>0020040001SHYT0026</v>
      </c>
      <c r="H1043" s="6" t="s">
        <v>715</v>
      </c>
      <c r="I1043" s="6" t="s">
        <v>1867</v>
      </c>
      <c r="J1043" s="6" t="s">
        <v>3279</v>
      </c>
      <c r="L1043" s="6" t="s">
        <v>3120</v>
      </c>
      <c r="M1043" s="6" t="e">
        <f>INDEX(医院2县区2人!$B$2:$B$1048576,MATCH(L1043,医院2县区2人!$A$2:$A$1048576,0))</f>
        <v>#N/A</v>
      </c>
      <c r="N1043" s="6" t="e">
        <f>INDEX(医院2县区2人!$C$2:$C$1048576,MATCH(L1043,医院2县区2人!$A$2:$A$1048576,0))</f>
        <v>#N/A</v>
      </c>
      <c r="P1043" s="7">
        <v>43263</v>
      </c>
      <c r="Q1043" s="6">
        <v>1</v>
      </c>
      <c r="R1043" s="6">
        <v>5</v>
      </c>
      <c r="S1043" s="6">
        <v>1801108</v>
      </c>
      <c r="T1043" s="6" t="e">
        <f>INDEX(医院2县区2人!$D$2:$D$1048576,MATCH(L1043,医院2县区2人!$A$2:$A$1048576,0))</f>
        <v>#N/A</v>
      </c>
      <c r="W1043" s="6" t="str">
        <f t="shared" si="35"/>
        <v>小活络丸3g*10丸</v>
      </c>
      <c r="X1043" s="6" t="s">
        <v>2893</v>
      </c>
    </row>
    <row r="1044" spans="1:24" x14ac:dyDescent="0.15">
      <c r="A1044" s="7" t="str">
        <f t="shared" si="36"/>
        <v>201806</v>
      </c>
      <c r="C1044" s="6" t="str">
        <f>INDEX(工厂基础数据!$A$2:$A$1024,MATCH(X1044,工厂基础数据!$D$2:$D$1024,0))</f>
        <v>02032120</v>
      </c>
      <c r="E1044" s="6" t="str">
        <f>INDEX(工厂基础数据!$B$2:$B$1024,MATCH(X1044,工厂基础数据!$D$2:$D$1024,0))</f>
        <v>淄博博仁医药有限公司</v>
      </c>
      <c r="F1044" s="6" t="e">
        <f>INDEX(商业2转码!$B$2:$B$10000,MATCH(E1044,商业2转码!$A$2:$A$10000,0))</f>
        <v>#N/A</v>
      </c>
      <c r="G1044" s="6">
        <f>INDEX(品种2编码!$A$2:$A$1048576,MATCH(W1044,品种2编码!$D$2:$D$1048576,0))</f>
        <v>0</v>
      </c>
      <c r="H1044" s="6" t="s">
        <v>1845</v>
      </c>
      <c r="I1044" s="6" t="s">
        <v>3294</v>
      </c>
      <c r="J1044" s="6" t="s">
        <v>3041</v>
      </c>
      <c r="L1044" s="6" t="s">
        <v>3123</v>
      </c>
      <c r="M1044" s="6" t="e">
        <f>INDEX(医院2县区2人!$B$2:$B$1048576,MATCH(L1044,医院2县区2人!$A$2:$A$1048576,0))</f>
        <v>#N/A</v>
      </c>
      <c r="N1044" s="6" t="e">
        <f>INDEX(医院2县区2人!$C$2:$C$1048576,MATCH(L1044,医院2县区2人!$A$2:$A$1048576,0))</f>
        <v>#N/A</v>
      </c>
      <c r="P1044" s="7">
        <v>43263</v>
      </c>
      <c r="Q1044" s="6">
        <v>1</v>
      </c>
      <c r="R1044" s="6">
        <v>11.6</v>
      </c>
      <c r="S1044" s="6">
        <v>161201</v>
      </c>
      <c r="T1044" s="6" t="e">
        <f>INDEX(医院2县区2人!$D$2:$D$1048576,MATCH(L1044,医院2县区2人!$A$2:$A$1048576,0))</f>
        <v>#N/A</v>
      </c>
      <c r="W1044" s="6" t="str">
        <f t="shared" si="35"/>
        <v>感冒解毒灵颗粒5克*10袋</v>
      </c>
      <c r="X1044" s="6" t="s">
        <v>2893</v>
      </c>
    </row>
    <row r="1045" spans="1:24" x14ac:dyDescent="0.15">
      <c r="A1045" s="7" t="str">
        <f t="shared" si="36"/>
        <v>201806</v>
      </c>
      <c r="C1045" s="6" t="str">
        <f>INDEX(工厂基础数据!$A$2:$A$1024,MATCH(X1045,工厂基础数据!$D$2:$D$1024,0))</f>
        <v>02032120</v>
      </c>
      <c r="E1045" s="6" t="str">
        <f>INDEX(工厂基础数据!$B$2:$B$1024,MATCH(X1045,工厂基础数据!$D$2:$D$1024,0))</f>
        <v>淄博博仁医药有限公司</v>
      </c>
      <c r="F1045" s="6" t="e">
        <f>INDEX(商业2转码!$B$2:$B$10000,MATCH(E1045,商业2转码!$A$2:$A$10000,0))</f>
        <v>#N/A</v>
      </c>
      <c r="G1045" s="6" t="str">
        <f>INDEX(品种2编码!$A$2:$A$1048576,MATCH(W1045,品种2编码!$D$2:$D$1048576,0))</f>
        <v>0020030020SJSC0004</v>
      </c>
      <c r="H1045" s="6" t="s">
        <v>394</v>
      </c>
      <c r="I1045" s="6" t="s">
        <v>1871</v>
      </c>
      <c r="J1045" s="6" t="s">
        <v>3284</v>
      </c>
      <c r="L1045" s="6" t="s">
        <v>3190</v>
      </c>
      <c r="M1045" s="6" t="e">
        <f>INDEX(医院2县区2人!$B$2:$B$1048576,MATCH(L1045,医院2县区2人!$A$2:$A$1048576,0))</f>
        <v>#N/A</v>
      </c>
      <c r="N1045" s="6" t="e">
        <f>INDEX(医院2县区2人!$C$2:$C$1048576,MATCH(L1045,医院2县区2人!$A$2:$A$1048576,0))</f>
        <v>#N/A</v>
      </c>
      <c r="P1045" s="7">
        <v>43263</v>
      </c>
      <c r="Q1045" s="6">
        <v>2</v>
      </c>
      <c r="R1045" s="6">
        <v>22</v>
      </c>
      <c r="S1045" s="6">
        <v>1709020</v>
      </c>
      <c r="T1045" s="6" t="e">
        <f>INDEX(医院2县区2人!$D$2:$D$1048576,MATCH(L1045,医院2县区2人!$A$2:$A$1048576,0))</f>
        <v>#N/A</v>
      </c>
      <c r="W1045" s="6" t="str">
        <f t="shared" si="35"/>
        <v>复方铝酸铋片50片</v>
      </c>
      <c r="X1045" s="6" t="s">
        <v>2893</v>
      </c>
    </row>
    <row r="1046" spans="1:24" x14ac:dyDescent="0.15">
      <c r="A1046" s="7" t="str">
        <f t="shared" si="36"/>
        <v>201806</v>
      </c>
      <c r="C1046" s="6" t="str">
        <f>INDEX(工厂基础数据!$A$2:$A$1024,MATCH(X1046,工厂基础数据!$D$2:$D$1024,0))</f>
        <v>02032120</v>
      </c>
      <c r="E1046" s="6" t="str">
        <f>INDEX(工厂基础数据!$B$2:$B$1024,MATCH(X1046,工厂基础数据!$D$2:$D$1024,0))</f>
        <v>淄博博仁医药有限公司</v>
      </c>
      <c r="F1046" s="6" t="e">
        <f>INDEX(商业2转码!$B$2:$B$10000,MATCH(E1046,商业2转码!$A$2:$A$10000,0))</f>
        <v>#N/A</v>
      </c>
      <c r="G1046" s="6" t="str">
        <f>INDEX(品种2编码!$A$2:$A$1048576,MATCH(W1046,品种2编码!$D$2:$D$1048576,0))</f>
        <v>0020050020SHYT0016</v>
      </c>
      <c r="H1046" s="6" t="s">
        <v>1864</v>
      </c>
      <c r="I1046" s="6" t="s">
        <v>339</v>
      </c>
      <c r="J1046" s="6" t="s">
        <v>3037</v>
      </c>
      <c r="L1046" s="6" t="s">
        <v>3191</v>
      </c>
      <c r="M1046" s="6" t="e">
        <f>INDEX(医院2县区2人!$B$2:$B$1048576,MATCH(L1046,医院2县区2人!$A$2:$A$1048576,0))</f>
        <v>#N/A</v>
      </c>
      <c r="N1046" s="6" t="e">
        <f>INDEX(医院2县区2人!$C$2:$C$1048576,MATCH(L1046,医院2县区2人!$A$2:$A$1048576,0))</f>
        <v>#N/A</v>
      </c>
      <c r="P1046" s="7">
        <v>43263</v>
      </c>
      <c r="Q1046" s="6">
        <v>2</v>
      </c>
      <c r="R1046" s="6">
        <v>29.8</v>
      </c>
      <c r="S1046" s="6">
        <v>1801504</v>
      </c>
      <c r="T1046" s="6" t="e">
        <f>INDEX(医院2县区2人!$D$2:$D$1048576,MATCH(L1046,医院2县区2人!$A$2:$A$1048576,0))</f>
        <v>#N/A</v>
      </c>
      <c r="W1046" s="6" t="str">
        <f t="shared" si="35"/>
        <v>复方金银花颗粒10g*10袋</v>
      </c>
      <c r="X1046" s="6" t="s">
        <v>2893</v>
      </c>
    </row>
    <row r="1047" spans="1:24" x14ac:dyDescent="0.15">
      <c r="A1047" s="7" t="str">
        <f t="shared" si="36"/>
        <v>201806</v>
      </c>
      <c r="C1047" s="6" t="str">
        <f>INDEX(工厂基础数据!$A$2:$A$1024,MATCH(X1047,工厂基础数据!$D$2:$D$1024,0))</f>
        <v>02032120</v>
      </c>
      <c r="E1047" s="6" t="str">
        <f>INDEX(工厂基础数据!$B$2:$B$1024,MATCH(X1047,工厂基础数据!$D$2:$D$1024,0))</f>
        <v>淄博博仁医药有限公司</v>
      </c>
      <c r="F1047" s="6" t="e">
        <f>INDEX(商业2转码!$B$2:$B$10000,MATCH(E1047,商业2转码!$A$2:$A$10000,0))</f>
        <v>#N/A</v>
      </c>
      <c r="G1047" s="6">
        <f>INDEX(品种2编码!$A$2:$A$1048576,MATCH(W1047,品种2编码!$D$2:$D$1048576,0))</f>
        <v>0</v>
      </c>
      <c r="H1047" s="6" t="s">
        <v>1885</v>
      </c>
      <c r="I1047" s="6" t="s">
        <v>1838</v>
      </c>
      <c r="J1047" s="6" t="s">
        <v>3279</v>
      </c>
      <c r="L1047" s="6" t="s">
        <v>3177</v>
      </c>
      <c r="M1047" s="6" t="e">
        <f>INDEX(医院2县区2人!$B$2:$B$1048576,MATCH(L1047,医院2县区2人!$A$2:$A$1048576,0))</f>
        <v>#N/A</v>
      </c>
      <c r="N1047" s="6" t="e">
        <f>INDEX(医院2县区2人!$C$2:$C$1048576,MATCH(L1047,医院2县区2人!$A$2:$A$1048576,0))</f>
        <v>#N/A</v>
      </c>
      <c r="P1047" s="7">
        <v>43263</v>
      </c>
      <c r="Q1047" s="6">
        <v>3</v>
      </c>
      <c r="R1047" s="6">
        <v>72</v>
      </c>
      <c r="S1047" s="6">
        <v>171251</v>
      </c>
      <c r="T1047" s="6" t="e">
        <f>INDEX(医院2县区2人!$D$2:$D$1048576,MATCH(L1047,医院2县区2人!$A$2:$A$1048576,0))</f>
        <v>#N/A</v>
      </c>
      <c r="W1047" s="6" t="str">
        <f t="shared" si="35"/>
        <v>新盖中盖高钙片2.5g*36片</v>
      </c>
      <c r="X1047" s="6" t="s">
        <v>2893</v>
      </c>
    </row>
    <row r="1048" spans="1:24" x14ac:dyDescent="0.15">
      <c r="A1048" s="7" t="str">
        <f t="shared" si="36"/>
        <v>201806</v>
      </c>
      <c r="C1048" s="6" t="str">
        <f>INDEX(工厂基础数据!$A$2:$A$1024,MATCH(X1048,工厂基础数据!$D$2:$D$1024,0))</f>
        <v>02032120</v>
      </c>
      <c r="E1048" s="6" t="str">
        <f>INDEX(工厂基础数据!$B$2:$B$1024,MATCH(X1048,工厂基础数据!$D$2:$D$1024,0))</f>
        <v>淄博博仁医药有限公司</v>
      </c>
      <c r="F1048" s="6" t="e">
        <f>INDEX(商业2转码!$B$2:$B$10000,MATCH(E1048,商业2转码!$A$2:$A$10000,0))</f>
        <v>#N/A</v>
      </c>
      <c r="G1048" s="6">
        <f>INDEX(品种2编码!$A$2:$A$1048576,MATCH(W1048,品种2编码!$D$2:$D$1048576,0))</f>
        <v>0</v>
      </c>
      <c r="H1048" s="6" t="s">
        <v>1885</v>
      </c>
      <c r="I1048" s="6" t="s">
        <v>1838</v>
      </c>
      <c r="J1048" s="6" t="s">
        <v>3279</v>
      </c>
      <c r="L1048" s="6" t="s">
        <v>3192</v>
      </c>
      <c r="M1048" s="6" t="e">
        <f>INDEX(医院2县区2人!$B$2:$B$1048576,MATCH(L1048,医院2县区2人!$A$2:$A$1048576,0))</f>
        <v>#N/A</v>
      </c>
      <c r="N1048" s="6" t="e">
        <f>INDEX(医院2县区2人!$C$2:$C$1048576,MATCH(L1048,医院2县区2人!$A$2:$A$1048576,0))</f>
        <v>#N/A</v>
      </c>
      <c r="P1048" s="7">
        <v>43263</v>
      </c>
      <c r="Q1048" s="6">
        <v>4</v>
      </c>
      <c r="R1048" s="6">
        <v>96</v>
      </c>
      <c r="S1048" s="6">
        <v>171251</v>
      </c>
      <c r="T1048" s="6" t="e">
        <f>INDEX(医院2县区2人!$D$2:$D$1048576,MATCH(L1048,医院2县区2人!$A$2:$A$1048576,0))</f>
        <v>#N/A</v>
      </c>
      <c r="W1048" s="6" t="str">
        <f t="shared" si="35"/>
        <v>新盖中盖高钙片2.5g*36片</v>
      </c>
      <c r="X1048" s="6" t="s">
        <v>2893</v>
      </c>
    </row>
    <row r="1049" spans="1:24" x14ac:dyDescent="0.15">
      <c r="A1049" s="7" t="str">
        <f t="shared" si="36"/>
        <v>201806</v>
      </c>
      <c r="C1049" s="6" t="str">
        <f>INDEX(工厂基础数据!$A$2:$A$1024,MATCH(X1049,工厂基础数据!$D$2:$D$1024,0))</f>
        <v>02032120</v>
      </c>
      <c r="E1049" s="6" t="str">
        <f>INDEX(工厂基础数据!$B$2:$B$1024,MATCH(X1049,工厂基础数据!$D$2:$D$1024,0))</f>
        <v>淄博博仁医药有限公司</v>
      </c>
      <c r="F1049" s="6" t="e">
        <f>INDEX(商业2转码!$B$2:$B$10000,MATCH(E1049,商业2转码!$A$2:$A$10000,0))</f>
        <v>#N/A</v>
      </c>
      <c r="G1049" s="6">
        <f>INDEX(品种2编码!$A$2:$A$1048576,MATCH(W1049,品种2编码!$D$2:$D$1048576,0))</f>
        <v>0</v>
      </c>
      <c r="H1049" s="6" t="s">
        <v>682</v>
      </c>
      <c r="I1049" s="6" t="s">
        <v>3295</v>
      </c>
      <c r="J1049" s="6" t="s">
        <v>3279</v>
      </c>
      <c r="L1049" s="6" t="s">
        <v>3144</v>
      </c>
      <c r="M1049" s="6" t="e">
        <f>INDEX(医院2县区2人!$B$2:$B$1048576,MATCH(L1049,医院2县区2人!$A$2:$A$1048576,0))</f>
        <v>#N/A</v>
      </c>
      <c r="N1049" s="6" t="e">
        <f>INDEX(医院2县区2人!$C$2:$C$1048576,MATCH(L1049,医院2县区2人!$A$2:$A$1048576,0))</f>
        <v>#N/A</v>
      </c>
      <c r="P1049" s="7">
        <v>43263</v>
      </c>
      <c r="Q1049" s="6">
        <v>5</v>
      </c>
      <c r="R1049" s="6">
        <v>67</v>
      </c>
      <c r="S1049" s="6">
        <v>1803004</v>
      </c>
      <c r="T1049" s="6" t="e">
        <f>INDEX(医院2县区2人!$D$2:$D$1048576,MATCH(L1049,医院2县区2人!$A$2:$A$1048576,0))</f>
        <v>#N/A</v>
      </c>
      <c r="W1049" s="6" t="str">
        <f t="shared" si="35"/>
        <v>维生素C咀嚼片100mg*30片</v>
      </c>
      <c r="X1049" s="6" t="s">
        <v>2893</v>
      </c>
    </row>
    <row r="1050" spans="1:24" x14ac:dyDescent="0.15">
      <c r="A1050" s="7" t="str">
        <f t="shared" si="36"/>
        <v>201806</v>
      </c>
      <c r="C1050" s="6" t="str">
        <f>INDEX(工厂基础数据!$A$2:$A$1024,MATCH(X1050,工厂基础数据!$D$2:$D$1024,0))</f>
        <v>02032120</v>
      </c>
      <c r="E1050" s="6" t="str">
        <f>INDEX(工厂基础数据!$B$2:$B$1024,MATCH(X1050,工厂基础数据!$D$2:$D$1024,0))</f>
        <v>淄博博仁医药有限公司</v>
      </c>
      <c r="F1050" s="6" t="e">
        <f>INDEX(商业2转码!$B$2:$B$10000,MATCH(E1050,商业2转码!$A$2:$A$10000,0))</f>
        <v>#N/A</v>
      </c>
      <c r="G1050" s="6" t="str">
        <f>INDEX(品种2编码!$A$2:$A$1048576,MATCH(W1050,品种2编码!$D$2:$D$1048576,0))</f>
        <v>0020020030ZYZC0283</v>
      </c>
      <c r="H1050" s="6" t="s">
        <v>655</v>
      </c>
      <c r="I1050" s="6" t="s">
        <v>1938</v>
      </c>
      <c r="J1050" s="6" t="s">
        <v>3279</v>
      </c>
      <c r="L1050" s="6" t="s">
        <v>3125</v>
      </c>
      <c r="M1050" s="6" t="e">
        <f>INDEX(医院2县区2人!$B$2:$B$1048576,MATCH(L1050,医院2县区2人!$A$2:$A$1048576,0))</f>
        <v>#N/A</v>
      </c>
      <c r="N1050" s="6" t="e">
        <f>INDEX(医院2县区2人!$C$2:$C$1048576,MATCH(L1050,医院2县区2人!$A$2:$A$1048576,0))</f>
        <v>#N/A</v>
      </c>
      <c r="P1050" s="7">
        <v>43263</v>
      </c>
      <c r="Q1050" s="6">
        <v>5</v>
      </c>
      <c r="R1050" s="6">
        <v>44</v>
      </c>
      <c r="S1050" s="6" t="s">
        <v>3274</v>
      </c>
      <c r="T1050" s="6" t="e">
        <f>INDEX(医院2县区2人!$D$2:$D$1048576,MATCH(L1050,医院2县区2人!$A$2:$A$1048576,0))</f>
        <v>#N/A</v>
      </c>
      <c r="W1050" s="6" t="str">
        <f t="shared" si="35"/>
        <v>头孢拉定胶囊0.25g*24粒</v>
      </c>
      <c r="X1050" s="6" t="s">
        <v>2893</v>
      </c>
    </row>
    <row r="1051" spans="1:24" x14ac:dyDescent="0.15">
      <c r="A1051" s="7" t="str">
        <f t="shared" si="36"/>
        <v>201806</v>
      </c>
      <c r="C1051" s="6" t="str">
        <f>INDEX(工厂基础数据!$A$2:$A$1024,MATCH(X1051,工厂基础数据!$D$2:$D$1024,0))</f>
        <v>02032120</v>
      </c>
      <c r="E1051" s="6" t="str">
        <f>INDEX(工厂基础数据!$B$2:$B$1024,MATCH(X1051,工厂基础数据!$D$2:$D$1024,0))</f>
        <v>淄博博仁医药有限公司</v>
      </c>
      <c r="F1051" s="6" t="e">
        <f>INDEX(商业2转码!$B$2:$B$10000,MATCH(E1051,商业2转码!$A$2:$A$10000,0))</f>
        <v>#N/A</v>
      </c>
      <c r="G1051" s="6" t="str">
        <f>INDEX(品种2编码!$A$2:$A$1048576,MATCH(W1051,品种2编码!$D$2:$D$1048576,0))</f>
        <v>0020050090SJZY0001</v>
      </c>
      <c r="H1051" s="6" t="s">
        <v>630</v>
      </c>
      <c r="I1051" s="6" t="s">
        <v>1850</v>
      </c>
      <c r="J1051" s="6" t="s">
        <v>3285</v>
      </c>
      <c r="L1051" s="6" t="s">
        <v>3193</v>
      </c>
      <c r="M1051" s="6" t="e">
        <f>INDEX(医院2县区2人!$B$2:$B$1048576,MATCH(L1051,医院2县区2人!$A$2:$A$1048576,0))</f>
        <v>#N/A</v>
      </c>
      <c r="N1051" s="6" t="e">
        <f>INDEX(医院2县区2人!$C$2:$C$1048576,MATCH(L1051,医院2县区2人!$A$2:$A$1048576,0))</f>
        <v>#N/A</v>
      </c>
      <c r="P1051" s="7">
        <v>43263</v>
      </c>
      <c r="Q1051" s="6">
        <v>5</v>
      </c>
      <c r="R1051" s="6">
        <v>82.5</v>
      </c>
      <c r="S1051" s="6">
        <v>17122813</v>
      </c>
      <c r="T1051" s="6" t="e">
        <f>INDEX(医院2县区2人!$D$2:$D$1048576,MATCH(L1051,医院2县区2人!$A$2:$A$1048576,0))</f>
        <v>#N/A</v>
      </c>
      <c r="W1051" s="6" t="str">
        <f t="shared" si="35"/>
        <v>双黄连口服液10ml*10支</v>
      </c>
      <c r="X1051" s="6" t="s">
        <v>2893</v>
      </c>
    </row>
    <row r="1052" spans="1:24" x14ac:dyDescent="0.15">
      <c r="A1052" s="7" t="str">
        <f t="shared" si="36"/>
        <v>201806</v>
      </c>
      <c r="C1052" s="6" t="str">
        <f>INDEX(工厂基础数据!$A$2:$A$1024,MATCH(X1052,工厂基础数据!$D$2:$D$1024,0))</f>
        <v>02032120</v>
      </c>
      <c r="E1052" s="6" t="str">
        <f>INDEX(工厂基础数据!$B$2:$B$1024,MATCH(X1052,工厂基础数据!$D$2:$D$1024,0))</f>
        <v>淄博博仁医药有限公司</v>
      </c>
      <c r="F1052" s="6" t="e">
        <f>INDEX(商业2转码!$B$2:$B$10000,MATCH(E1052,商业2转码!$A$2:$A$10000,0))</f>
        <v>#N/A</v>
      </c>
      <c r="G1052" s="6" t="str">
        <f>INDEX(品种2编码!$A$2:$A$1048576,MATCH(W1052,品种2编码!$D$2:$D$1048576,0))</f>
        <v>0020030001SJZY0006</v>
      </c>
      <c r="H1052" s="6" t="s">
        <v>1833</v>
      </c>
      <c r="I1052" s="6" t="s">
        <v>411</v>
      </c>
      <c r="J1052" s="6" t="s">
        <v>3280</v>
      </c>
      <c r="L1052" s="6" t="s">
        <v>3194</v>
      </c>
      <c r="M1052" s="6" t="e">
        <f>INDEX(医院2县区2人!$B$2:$B$1048576,MATCH(L1052,医院2县区2人!$A$2:$A$1048576,0))</f>
        <v>#N/A</v>
      </c>
      <c r="N1052" s="6" t="e">
        <f>INDEX(医院2县区2人!$C$2:$C$1048576,MATCH(L1052,医院2县区2人!$A$2:$A$1048576,0))</f>
        <v>#N/A</v>
      </c>
      <c r="P1052" s="7">
        <v>43263</v>
      </c>
      <c r="Q1052" s="6">
        <v>5</v>
      </c>
      <c r="R1052" s="6">
        <v>110</v>
      </c>
      <c r="S1052" s="6">
        <v>17122912</v>
      </c>
      <c r="T1052" s="6" t="e">
        <f>INDEX(医院2县区2人!$D$2:$D$1048576,MATCH(L1052,医院2县区2人!$A$2:$A$1048576,0))</f>
        <v>#N/A</v>
      </c>
      <c r="W1052" s="6" t="str">
        <f t="shared" si="35"/>
        <v>葡萄糖酸钙口服溶液10ml*12支</v>
      </c>
      <c r="X1052" s="6" t="s">
        <v>2893</v>
      </c>
    </row>
    <row r="1053" spans="1:24" x14ac:dyDescent="0.15">
      <c r="A1053" s="7" t="str">
        <f t="shared" si="36"/>
        <v>201806</v>
      </c>
      <c r="C1053" s="6" t="str">
        <f>INDEX(工厂基础数据!$A$2:$A$1024,MATCH(X1053,工厂基础数据!$D$2:$D$1024,0))</f>
        <v>02032120</v>
      </c>
      <c r="E1053" s="6" t="str">
        <f>INDEX(工厂基础数据!$B$2:$B$1024,MATCH(X1053,工厂基础数据!$D$2:$D$1024,0))</f>
        <v>淄博博仁医药有限公司</v>
      </c>
      <c r="F1053" s="6" t="e">
        <f>INDEX(商业2转码!$B$2:$B$10000,MATCH(E1053,商业2转码!$A$2:$A$10000,0))</f>
        <v>#N/A</v>
      </c>
      <c r="G1053" s="6">
        <f>INDEX(品种2编码!$A$2:$A$1048576,MATCH(W1053,品种2编码!$D$2:$D$1048576,0))</f>
        <v>0</v>
      </c>
      <c r="H1053" s="6" t="s">
        <v>3268</v>
      </c>
      <c r="I1053" s="6" t="s">
        <v>411</v>
      </c>
      <c r="J1053" s="6" t="s">
        <v>3040</v>
      </c>
      <c r="L1053" s="6" t="s">
        <v>3195</v>
      </c>
      <c r="M1053" s="6" t="e">
        <f>INDEX(医院2县区2人!$B$2:$B$1048576,MATCH(L1053,医院2县区2人!$A$2:$A$1048576,0))</f>
        <v>#N/A</v>
      </c>
      <c r="N1053" s="6" t="e">
        <f>INDEX(医院2县区2人!$C$2:$C$1048576,MATCH(L1053,医院2县区2人!$A$2:$A$1048576,0))</f>
        <v>#N/A</v>
      </c>
      <c r="P1053" s="7">
        <v>43263</v>
      </c>
      <c r="Q1053" s="6">
        <v>5</v>
      </c>
      <c r="R1053" s="6">
        <v>115</v>
      </c>
      <c r="S1053" s="6">
        <v>17112821</v>
      </c>
      <c r="T1053" s="6" t="e">
        <f>INDEX(医院2县区2人!$D$2:$D$1048576,MATCH(L1053,医院2县区2人!$A$2:$A$1048576,0))</f>
        <v>#N/A</v>
      </c>
      <c r="W1053" s="6" t="str">
        <f t="shared" si="35"/>
        <v>葡糖糖酸锌口服溶液10ml*12支</v>
      </c>
      <c r="X1053" s="6" t="s">
        <v>2893</v>
      </c>
    </row>
    <row r="1054" spans="1:24" x14ac:dyDescent="0.15">
      <c r="A1054" s="7" t="str">
        <f t="shared" si="36"/>
        <v>201806</v>
      </c>
      <c r="C1054" s="6" t="str">
        <f>INDEX(工厂基础数据!$A$2:$A$1024,MATCH(X1054,工厂基础数据!$D$2:$D$1024,0))</f>
        <v>02032120</v>
      </c>
      <c r="E1054" s="6" t="str">
        <f>INDEX(工厂基础数据!$B$2:$B$1024,MATCH(X1054,工厂基础数据!$D$2:$D$1024,0))</f>
        <v>淄博博仁医药有限公司</v>
      </c>
      <c r="F1054" s="6" t="e">
        <f>INDEX(商业2转码!$B$2:$B$10000,MATCH(E1054,商业2转码!$A$2:$A$10000,0))</f>
        <v>#N/A</v>
      </c>
      <c r="G1054" s="6">
        <f>INDEX(品种2编码!$A$2:$A$1048576,MATCH(W1054,品种2编码!$D$2:$D$1048576,0))</f>
        <v>0</v>
      </c>
      <c r="H1054" s="6" t="s">
        <v>1835</v>
      </c>
      <c r="I1054" s="6" t="s">
        <v>1954</v>
      </c>
      <c r="J1054" s="6" t="s">
        <v>3279</v>
      </c>
      <c r="L1054" s="6" t="s">
        <v>3175</v>
      </c>
      <c r="M1054" s="6" t="e">
        <f>INDEX(医院2县区2人!$B$2:$B$1048576,MATCH(L1054,医院2县区2人!$A$2:$A$1048576,0))</f>
        <v>#N/A</v>
      </c>
      <c r="N1054" s="6" t="e">
        <f>INDEX(医院2县区2人!$C$2:$C$1048576,MATCH(L1054,医院2县区2人!$A$2:$A$1048576,0))</f>
        <v>#N/A</v>
      </c>
      <c r="P1054" s="7">
        <v>43263</v>
      </c>
      <c r="Q1054" s="6">
        <v>5</v>
      </c>
      <c r="R1054" s="6">
        <v>70</v>
      </c>
      <c r="S1054" s="6">
        <v>171201</v>
      </c>
      <c r="T1054" s="6" t="e">
        <f>INDEX(医院2县区2人!$D$2:$D$1048576,MATCH(L1054,医院2县区2人!$A$2:$A$1048576,0))</f>
        <v>#N/A</v>
      </c>
      <c r="W1054" s="6" t="str">
        <f t="shared" si="35"/>
        <v>蒙脱石散12袋</v>
      </c>
      <c r="X1054" s="6" t="s">
        <v>2893</v>
      </c>
    </row>
    <row r="1055" spans="1:24" x14ac:dyDescent="0.15">
      <c r="A1055" s="7" t="str">
        <f t="shared" si="36"/>
        <v>201806</v>
      </c>
      <c r="C1055" s="6" t="str">
        <f>INDEX(工厂基础数据!$A$2:$A$1024,MATCH(X1055,工厂基础数据!$D$2:$D$1024,0))</f>
        <v>02032120</v>
      </c>
      <c r="E1055" s="6" t="str">
        <f>INDEX(工厂基础数据!$B$2:$B$1024,MATCH(X1055,工厂基础数据!$D$2:$D$1024,0))</f>
        <v>淄博博仁医药有限公司</v>
      </c>
      <c r="F1055" s="6" t="e">
        <f>INDEX(商业2转码!$B$2:$B$10000,MATCH(E1055,商业2转码!$A$2:$A$10000,0))</f>
        <v>#N/A</v>
      </c>
      <c r="G1055" s="6">
        <f>INDEX(品种2编码!$A$2:$A$1048576,MATCH(W1055,品种2编码!$D$2:$D$1048576,0))</f>
        <v>0</v>
      </c>
      <c r="H1055" s="6" t="s">
        <v>3270</v>
      </c>
      <c r="I1055" s="6" t="s">
        <v>3296</v>
      </c>
      <c r="J1055" s="6" t="s">
        <v>3285</v>
      </c>
      <c r="L1055" s="6" t="s">
        <v>3144</v>
      </c>
      <c r="M1055" s="6" t="e">
        <f>INDEX(医院2县区2人!$B$2:$B$1048576,MATCH(L1055,医院2县区2人!$A$2:$A$1048576,0))</f>
        <v>#N/A</v>
      </c>
      <c r="N1055" s="6" t="e">
        <f>INDEX(医院2县区2人!$C$2:$C$1048576,MATCH(L1055,医院2县区2人!$A$2:$A$1048576,0))</f>
        <v>#N/A</v>
      </c>
      <c r="P1055" s="7">
        <v>43263</v>
      </c>
      <c r="Q1055" s="6">
        <v>5</v>
      </c>
      <c r="R1055" s="6">
        <v>132.5</v>
      </c>
      <c r="S1055" s="6">
        <v>1706018</v>
      </c>
      <c r="T1055" s="6" t="e">
        <f>INDEX(医院2县区2人!$D$2:$D$1048576,MATCH(L1055,医院2县区2人!$A$2:$A$1048576,0))</f>
        <v>#N/A</v>
      </c>
      <c r="W1055" s="6" t="str">
        <f t="shared" si="35"/>
        <v>拉西地平片（司乐平）4mg*15粒</v>
      </c>
      <c r="X1055" s="6" t="s">
        <v>2893</v>
      </c>
    </row>
    <row r="1056" spans="1:24" x14ac:dyDescent="0.15">
      <c r="A1056" s="7" t="str">
        <f t="shared" si="36"/>
        <v>201806</v>
      </c>
      <c r="C1056" s="6" t="str">
        <f>INDEX(工厂基础数据!$A$2:$A$1024,MATCH(X1056,工厂基础数据!$D$2:$D$1024,0))</f>
        <v>02032120</v>
      </c>
      <c r="E1056" s="6" t="str">
        <f>INDEX(工厂基础数据!$B$2:$B$1024,MATCH(X1056,工厂基础数据!$D$2:$D$1024,0))</f>
        <v>淄博博仁医药有限公司</v>
      </c>
      <c r="F1056" s="6" t="e">
        <f>INDEX(商业2转码!$B$2:$B$10000,MATCH(E1056,商业2转码!$A$2:$A$10000,0))</f>
        <v>#N/A</v>
      </c>
      <c r="G1056" s="6" t="str">
        <f>INDEX(品种2编码!$A$2:$A$1048576,MATCH(W1056,品种2编码!$D$2:$D$1048576,0))</f>
        <v>0020050020SHYT0016</v>
      </c>
      <c r="H1056" s="6" t="s">
        <v>1864</v>
      </c>
      <c r="I1056" s="6" t="s">
        <v>339</v>
      </c>
      <c r="J1056" s="6" t="s">
        <v>3037</v>
      </c>
      <c r="L1056" s="6" t="s">
        <v>3190</v>
      </c>
      <c r="M1056" s="6" t="e">
        <f>INDEX(医院2县区2人!$B$2:$B$1048576,MATCH(L1056,医院2县区2人!$A$2:$A$1048576,0))</f>
        <v>#N/A</v>
      </c>
      <c r="N1056" s="6" t="e">
        <f>INDEX(医院2县区2人!$C$2:$C$1048576,MATCH(L1056,医院2县区2人!$A$2:$A$1048576,0))</f>
        <v>#N/A</v>
      </c>
      <c r="P1056" s="7">
        <v>43263</v>
      </c>
      <c r="Q1056" s="6">
        <v>5</v>
      </c>
      <c r="R1056" s="6">
        <v>74.5</v>
      </c>
      <c r="S1056" s="6">
        <v>1801504</v>
      </c>
      <c r="T1056" s="6" t="e">
        <f>INDEX(医院2县区2人!$D$2:$D$1048576,MATCH(L1056,医院2县区2人!$A$2:$A$1048576,0))</f>
        <v>#N/A</v>
      </c>
      <c r="W1056" s="6" t="str">
        <f t="shared" si="35"/>
        <v>复方金银花颗粒10g*10袋</v>
      </c>
      <c r="X1056" s="6" t="s">
        <v>2893</v>
      </c>
    </row>
    <row r="1057" spans="1:24" x14ac:dyDescent="0.15">
      <c r="A1057" s="7" t="str">
        <f t="shared" si="36"/>
        <v>201806</v>
      </c>
      <c r="C1057" s="6" t="str">
        <f>INDEX(工厂基础数据!$A$2:$A$1024,MATCH(X1057,工厂基础数据!$D$2:$D$1024,0))</f>
        <v>02032120</v>
      </c>
      <c r="E1057" s="6" t="str">
        <f>INDEX(工厂基础数据!$B$2:$B$1024,MATCH(X1057,工厂基础数据!$D$2:$D$1024,0))</f>
        <v>淄博博仁医药有限公司</v>
      </c>
      <c r="F1057" s="6" t="e">
        <f>INDEX(商业2转码!$B$2:$B$10000,MATCH(E1057,商业2转码!$A$2:$A$10000,0))</f>
        <v>#N/A</v>
      </c>
      <c r="G1057" s="6">
        <f>INDEX(品种2编码!$A$2:$A$1048576,MATCH(W1057,品种2编码!$D$2:$D$1048576,0))</f>
        <v>0</v>
      </c>
      <c r="H1057" s="6" t="s">
        <v>317</v>
      </c>
      <c r="I1057" s="6" t="s">
        <v>3291</v>
      </c>
      <c r="J1057" s="6" t="s">
        <v>3279</v>
      </c>
      <c r="L1057" s="6" t="s">
        <v>3190</v>
      </c>
      <c r="M1057" s="6" t="e">
        <f>INDEX(医院2县区2人!$B$2:$B$1048576,MATCH(L1057,医院2县区2人!$A$2:$A$1048576,0))</f>
        <v>#N/A</v>
      </c>
      <c r="N1057" s="6" t="e">
        <f>INDEX(医院2县区2人!$C$2:$C$1048576,MATCH(L1057,医院2县区2人!$A$2:$A$1048576,0))</f>
        <v>#N/A</v>
      </c>
      <c r="P1057" s="7">
        <v>43263</v>
      </c>
      <c r="Q1057" s="6">
        <v>5</v>
      </c>
      <c r="R1057" s="6">
        <v>62.5</v>
      </c>
      <c r="S1057" s="6">
        <v>1803608</v>
      </c>
      <c r="T1057" s="6" t="e">
        <f>INDEX(医院2县区2人!$D$2:$D$1048576,MATCH(L1057,医院2县区2人!$A$2:$A$1048576,0))</f>
        <v>#N/A</v>
      </c>
      <c r="W1057" s="6" t="str">
        <f t="shared" si="35"/>
        <v>布洛芬颗粒0.2g*12包</v>
      </c>
      <c r="X1057" s="6" t="s">
        <v>2893</v>
      </c>
    </row>
    <row r="1058" spans="1:24" x14ac:dyDescent="0.15">
      <c r="A1058" s="7" t="str">
        <f t="shared" si="36"/>
        <v>201806</v>
      </c>
      <c r="C1058" s="6" t="str">
        <f>INDEX(工厂基础数据!$A$2:$A$1024,MATCH(X1058,工厂基础数据!$D$2:$D$1024,0))</f>
        <v>02032120</v>
      </c>
      <c r="E1058" s="6" t="str">
        <f>INDEX(工厂基础数据!$B$2:$B$1024,MATCH(X1058,工厂基础数据!$D$2:$D$1024,0))</f>
        <v>淄博博仁医药有限公司</v>
      </c>
      <c r="F1058" s="6" t="e">
        <f>INDEX(商业2转码!$B$2:$B$10000,MATCH(E1058,商业2转码!$A$2:$A$10000,0))</f>
        <v>#N/A</v>
      </c>
      <c r="G1058" s="6" t="str">
        <f>INDEX(品种2编码!$A$2:$A$1048576,MATCH(W1058,品种2编码!$D$2:$D$1048576,0))</f>
        <v>0020040020SHYT0007</v>
      </c>
      <c r="H1058" s="6" t="s">
        <v>338</v>
      </c>
      <c r="I1058" s="6" t="s">
        <v>1866</v>
      </c>
      <c r="J1058" s="6" t="s">
        <v>3279</v>
      </c>
      <c r="L1058" s="6" t="s">
        <v>3132</v>
      </c>
      <c r="M1058" s="6" t="e">
        <f>INDEX(医院2县区2人!$B$2:$B$1048576,MATCH(L1058,医院2县区2人!$A$2:$A$1048576,0))</f>
        <v>#N/A</v>
      </c>
      <c r="N1058" s="6" t="e">
        <f>INDEX(医院2县区2人!$C$2:$C$1048576,MATCH(L1058,医院2县区2人!$A$2:$A$1048576,0))</f>
        <v>#N/A</v>
      </c>
      <c r="P1058" s="7">
        <v>43263</v>
      </c>
      <c r="Q1058" s="6">
        <v>8</v>
      </c>
      <c r="R1058" s="6">
        <v>129.6</v>
      </c>
      <c r="S1058" s="6">
        <v>1703505</v>
      </c>
      <c r="T1058" s="6" t="e">
        <f>INDEX(医院2县区2人!$D$2:$D$1048576,MATCH(L1058,医院2县区2人!$A$2:$A$1048576,0))</f>
        <v>#N/A</v>
      </c>
      <c r="W1058" s="6" t="str">
        <f t="shared" si="35"/>
        <v>丹佛胃尔康颗粒10g*6袋</v>
      </c>
      <c r="X1058" s="6" t="s">
        <v>2893</v>
      </c>
    </row>
    <row r="1059" spans="1:24" x14ac:dyDescent="0.15">
      <c r="A1059" s="7" t="str">
        <f t="shared" si="36"/>
        <v>201806</v>
      </c>
      <c r="C1059" s="6" t="str">
        <f>INDEX(工厂基础数据!$A$2:$A$1024,MATCH(X1059,工厂基础数据!$D$2:$D$1024,0))</f>
        <v>02032120</v>
      </c>
      <c r="E1059" s="6" t="str">
        <f>INDEX(工厂基础数据!$B$2:$B$1024,MATCH(X1059,工厂基础数据!$D$2:$D$1024,0))</f>
        <v>淄博博仁医药有限公司</v>
      </c>
      <c r="F1059" s="6" t="e">
        <f>INDEX(商业2转码!$B$2:$B$10000,MATCH(E1059,商业2转码!$A$2:$A$10000,0))</f>
        <v>#N/A</v>
      </c>
      <c r="G1059" s="6" t="str">
        <f>INDEX(品种2编码!$A$2:$A$1048576,MATCH(W1059,品种2编码!$D$2:$D$1048576,0))</f>
        <v>0020040001SHYT0026</v>
      </c>
      <c r="H1059" s="6" t="s">
        <v>715</v>
      </c>
      <c r="I1059" s="6" t="s">
        <v>1867</v>
      </c>
      <c r="J1059" s="6" t="s">
        <v>3279</v>
      </c>
      <c r="L1059" s="6" t="s">
        <v>3144</v>
      </c>
      <c r="M1059" s="6" t="e">
        <f>INDEX(医院2县区2人!$B$2:$B$1048576,MATCH(L1059,医院2县区2人!$A$2:$A$1048576,0))</f>
        <v>#N/A</v>
      </c>
      <c r="N1059" s="6" t="e">
        <f>INDEX(医院2县区2人!$C$2:$C$1048576,MATCH(L1059,医院2县区2人!$A$2:$A$1048576,0))</f>
        <v>#N/A</v>
      </c>
      <c r="P1059" s="7">
        <v>43263</v>
      </c>
      <c r="Q1059" s="6">
        <v>10</v>
      </c>
      <c r="R1059" s="6">
        <v>58</v>
      </c>
      <c r="S1059" s="6">
        <v>1801108</v>
      </c>
      <c r="T1059" s="6" t="e">
        <f>INDEX(医院2县区2人!$D$2:$D$1048576,MATCH(L1059,医院2县区2人!$A$2:$A$1048576,0))</f>
        <v>#N/A</v>
      </c>
      <c r="W1059" s="6" t="str">
        <f t="shared" si="35"/>
        <v>小活络丸3g*10丸</v>
      </c>
      <c r="X1059" s="6" t="s">
        <v>2893</v>
      </c>
    </row>
    <row r="1060" spans="1:24" x14ac:dyDescent="0.15">
      <c r="A1060" s="7" t="str">
        <f t="shared" si="36"/>
        <v>201806</v>
      </c>
      <c r="C1060" s="6" t="str">
        <f>INDEX(工厂基础数据!$A$2:$A$1024,MATCH(X1060,工厂基础数据!$D$2:$D$1024,0))</f>
        <v>02032120</v>
      </c>
      <c r="E1060" s="6" t="str">
        <f>INDEX(工厂基础数据!$B$2:$B$1024,MATCH(X1060,工厂基础数据!$D$2:$D$1024,0))</f>
        <v>淄博博仁医药有限公司</v>
      </c>
      <c r="F1060" s="6" t="e">
        <f>INDEX(商业2转码!$B$2:$B$10000,MATCH(E1060,商业2转码!$A$2:$A$10000,0))</f>
        <v>#N/A</v>
      </c>
      <c r="G1060" s="6">
        <f>INDEX(品种2编码!$A$2:$A$1048576,MATCH(W1060,品种2编码!$D$2:$D$1048576,0))</f>
        <v>0</v>
      </c>
      <c r="H1060" s="6" t="s">
        <v>682</v>
      </c>
      <c r="I1060" s="6" t="s">
        <v>3295</v>
      </c>
      <c r="J1060" s="6" t="s">
        <v>3279</v>
      </c>
      <c r="L1060" s="6" t="s">
        <v>3144</v>
      </c>
      <c r="M1060" s="6" t="e">
        <f>INDEX(医院2县区2人!$B$2:$B$1048576,MATCH(L1060,医院2县区2人!$A$2:$A$1048576,0))</f>
        <v>#N/A</v>
      </c>
      <c r="N1060" s="6" t="e">
        <f>INDEX(医院2县区2人!$C$2:$C$1048576,MATCH(L1060,医院2县区2人!$A$2:$A$1048576,0))</f>
        <v>#N/A</v>
      </c>
      <c r="P1060" s="7">
        <v>43263</v>
      </c>
      <c r="Q1060" s="6">
        <v>10</v>
      </c>
      <c r="R1060" s="6">
        <v>134</v>
      </c>
      <c r="S1060" s="6">
        <v>1803004</v>
      </c>
      <c r="T1060" s="6" t="e">
        <f>INDEX(医院2县区2人!$D$2:$D$1048576,MATCH(L1060,医院2县区2人!$A$2:$A$1048576,0))</f>
        <v>#N/A</v>
      </c>
      <c r="W1060" s="6" t="str">
        <f t="shared" si="35"/>
        <v>维生素C咀嚼片100mg*30片</v>
      </c>
      <c r="X1060" s="6" t="s">
        <v>2893</v>
      </c>
    </row>
    <row r="1061" spans="1:24" x14ac:dyDescent="0.15">
      <c r="A1061" s="7" t="str">
        <f t="shared" si="36"/>
        <v>201806</v>
      </c>
      <c r="C1061" s="6" t="str">
        <f>INDEX(工厂基础数据!$A$2:$A$1024,MATCH(X1061,工厂基础数据!$D$2:$D$1024,0))</f>
        <v>02032120</v>
      </c>
      <c r="E1061" s="6" t="str">
        <f>INDEX(工厂基础数据!$B$2:$B$1024,MATCH(X1061,工厂基础数据!$D$2:$D$1024,0))</f>
        <v>淄博博仁医药有限公司</v>
      </c>
      <c r="F1061" s="6" t="e">
        <f>INDEX(商业2转码!$B$2:$B$10000,MATCH(E1061,商业2转码!$A$2:$A$10000,0))</f>
        <v>#N/A</v>
      </c>
      <c r="G1061" s="6">
        <f>INDEX(品种2编码!$A$2:$A$1048576,MATCH(W1061,品种2编码!$D$2:$D$1048576,0))</f>
        <v>0</v>
      </c>
      <c r="H1061" s="6" t="s">
        <v>682</v>
      </c>
      <c r="I1061" s="6" t="s">
        <v>3295</v>
      </c>
      <c r="J1061" s="6" t="s">
        <v>3279</v>
      </c>
      <c r="L1061" s="6" t="s">
        <v>3144</v>
      </c>
      <c r="M1061" s="6" t="e">
        <f>INDEX(医院2县区2人!$B$2:$B$1048576,MATCH(L1061,医院2县区2人!$A$2:$A$1048576,0))</f>
        <v>#N/A</v>
      </c>
      <c r="N1061" s="6" t="e">
        <f>INDEX(医院2县区2人!$C$2:$C$1048576,MATCH(L1061,医院2县区2人!$A$2:$A$1048576,0))</f>
        <v>#N/A</v>
      </c>
      <c r="P1061" s="7">
        <v>43263</v>
      </c>
      <c r="Q1061" s="6">
        <v>10</v>
      </c>
      <c r="R1061" s="6">
        <v>134</v>
      </c>
      <c r="S1061" s="6">
        <v>1803004</v>
      </c>
      <c r="T1061" s="6" t="e">
        <f>INDEX(医院2县区2人!$D$2:$D$1048576,MATCH(L1061,医院2县区2人!$A$2:$A$1048576,0))</f>
        <v>#N/A</v>
      </c>
      <c r="W1061" s="6" t="str">
        <f t="shared" si="35"/>
        <v>维生素C咀嚼片100mg*30片</v>
      </c>
      <c r="X1061" s="6" t="s">
        <v>2893</v>
      </c>
    </row>
    <row r="1062" spans="1:24" x14ac:dyDescent="0.15">
      <c r="A1062" s="7" t="str">
        <f t="shared" si="36"/>
        <v>201806</v>
      </c>
      <c r="C1062" s="6" t="str">
        <f>INDEX(工厂基础数据!$A$2:$A$1024,MATCH(X1062,工厂基础数据!$D$2:$D$1024,0))</f>
        <v>02032120</v>
      </c>
      <c r="E1062" s="6" t="str">
        <f>INDEX(工厂基础数据!$B$2:$B$1024,MATCH(X1062,工厂基础数据!$D$2:$D$1024,0))</f>
        <v>淄博博仁医药有限公司</v>
      </c>
      <c r="F1062" s="6" t="e">
        <f>INDEX(商业2转码!$B$2:$B$10000,MATCH(E1062,商业2转码!$A$2:$A$10000,0))</f>
        <v>#N/A</v>
      </c>
      <c r="G1062" s="6" t="str">
        <f>INDEX(品种2编码!$A$2:$A$1048576,MATCH(W1062,品种2编码!$D$2:$D$1048576,0))</f>
        <v>0020050090SJZY0001</v>
      </c>
      <c r="H1062" s="6" t="s">
        <v>630</v>
      </c>
      <c r="I1062" s="6" t="s">
        <v>1850</v>
      </c>
      <c r="J1062" s="6" t="s">
        <v>3285</v>
      </c>
      <c r="L1062" s="6" t="s">
        <v>3174</v>
      </c>
      <c r="M1062" s="6" t="e">
        <f>INDEX(医院2县区2人!$B$2:$B$1048576,MATCH(L1062,医院2县区2人!$A$2:$A$1048576,0))</f>
        <v>#N/A</v>
      </c>
      <c r="N1062" s="6" t="e">
        <f>INDEX(医院2县区2人!$C$2:$C$1048576,MATCH(L1062,医院2县区2人!$A$2:$A$1048576,0))</f>
        <v>#N/A</v>
      </c>
      <c r="P1062" s="7">
        <v>43263</v>
      </c>
      <c r="Q1062" s="6">
        <v>10</v>
      </c>
      <c r="R1062" s="6">
        <v>165</v>
      </c>
      <c r="S1062" s="6">
        <v>17122813</v>
      </c>
      <c r="T1062" s="6" t="e">
        <f>INDEX(医院2县区2人!$D$2:$D$1048576,MATCH(L1062,医院2县区2人!$A$2:$A$1048576,0))</f>
        <v>#N/A</v>
      </c>
      <c r="W1062" s="6" t="str">
        <f t="shared" si="35"/>
        <v>双黄连口服液10ml*10支</v>
      </c>
      <c r="X1062" s="6" t="s">
        <v>2893</v>
      </c>
    </row>
    <row r="1063" spans="1:24" x14ac:dyDescent="0.15">
      <c r="A1063" s="7" t="str">
        <f t="shared" si="36"/>
        <v>201806</v>
      </c>
      <c r="C1063" s="6" t="str">
        <f>INDEX(工厂基础数据!$A$2:$A$1024,MATCH(X1063,工厂基础数据!$D$2:$D$1024,0))</f>
        <v>02032120</v>
      </c>
      <c r="E1063" s="6" t="str">
        <f>INDEX(工厂基础数据!$B$2:$B$1024,MATCH(X1063,工厂基础数据!$D$2:$D$1024,0))</f>
        <v>淄博博仁医药有限公司</v>
      </c>
      <c r="F1063" s="6" t="e">
        <f>INDEX(商业2转码!$B$2:$B$10000,MATCH(E1063,商业2转码!$A$2:$A$10000,0))</f>
        <v>#N/A</v>
      </c>
      <c r="G1063" s="6" t="str">
        <f>INDEX(品种2编码!$A$2:$A$1048576,MATCH(W1063,品种2编码!$D$2:$D$1048576,0))</f>
        <v>0020050090SJZY0001</v>
      </c>
      <c r="H1063" s="6" t="s">
        <v>630</v>
      </c>
      <c r="I1063" s="6" t="s">
        <v>1850</v>
      </c>
      <c r="J1063" s="6" t="s">
        <v>3285</v>
      </c>
      <c r="L1063" s="6" t="s">
        <v>3190</v>
      </c>
      <c r="M1063" s="6" t="e">
        <f>INDEX(医院2县区2人!$B$2:$B$1048576,MATCH(L1063,医院2县区2人!$A$2:$A$1048576,0))</f>
        <v>#N/A</v>
      </c>
      <c r="N1063" s="6" t="e">
        <f>INDEX(医院2县区2人!$C$2:$C$1048576,MATCH(L1063,医院2县区2人!$A$2:$A$1048576,0))</f>
        <v>#N/A</v>
      </c>
      <c r="P1063" s="7">
        <v>43263</v>
      </c>
      <c r="Q1063" s="6">
        <v>10</v>
      </c>
      <c r="R1063" s="6">
        <v>165</v>
      </c>
      <c r="S1063" s="6">
        <v>17122813</v>
      </c>
      <c r="T1063" s="6" t="e">
        <f>INDEX(医院2县区2人!$D$2:$D$1048576,MATCH(L1063,医院2县区2人!$A$2:$A$1048576,0))</f>
        <v>#N/A</v>
      </c>
      <c r="W1063" s="6" t="str">
        <f t="shared" si="35"/>
        <v>双黄连口服液10ml*10支</v>
      </c>
      <c r="X1063" s="6" t="s">
        <v>2893</v>
      </c>
    </row>
    <row r="1064" spans="1:24" x14ac:dyDescent="0.15">
      <c r="A1064" s="7" t="str">
        <f t="shared" si="36"/>
        <v>201806</v>
      </c>
      <c r="C1064" s="6" t="str">
        <f>INDEX(工厂基础数据!$A$2:$A$1024,MATCH(X1064,工厂基础数据!$D$2:$D$1024,0))</f>
        <v>02032120</v>
      </c>
      <c r="E1064" s="6" t="str">
        <f>INDEX(工厂基础数据!$B$2:$B$1024,MATCH(X1064,工厂基础数据!$D$2:$D$1024,0))</f>
        <v>淄博博仁医药有限公司</v>
      </c>
      <c r="F1064" s="6" t="e">
        <f>INDEX(商业2转码!$B$2:$B$10000,MATCH(E1064,商业2转码!$A$2:$A$10000,0))</f>
        <v>#N/A</v>
      </c>
      <c r="G1064" s="6">
        <f>INDEX(品种2编码!$A$2:$A$1048576,MATCH(W1064,品种2编码!$D$2:$D$1048576,0))</f>
        <v>0</v>
      </c>
      <c r="H1064" s="6" t="s">
        <v>3269</v>
      </c>
      <c r="I1064" s="6" t="s">
        <v>1839</v>
      </c>
      <c r="J1064" s="6" t="s">
        <v>3279</v>
      </c>
      <c r="L1064" s="6" t="s">
        <v>3196</v>
      </c>
      <c r="M1064" s="6" t="e">
        <f>INDEX(医院2县区2人!$B$2:$B$1048576,MATCH(L1064,医院2县区2人!$A$2:$A$1048576,0))</f>
        <v>#N/A</v>
      </c>
      <c r="N1064" s="6" t="e">
        <f>INDEX(医院2县区2人!$C$2:$C$1048576,MATCH(L1064,医院2县区2人!$A$2:$A$1048576,0))</f>
        <v>#N/A</v>
      </c>
      <c r="P1064" s="7">
        <v>43263</v>
      </c>
      <c r="Q1064" s="6">
        <v>10</v>
      </c>
      <c r="R1064" s="6">
        <v>80</v>
      </c>
      <c r="S1064" s="6">
        <v>180302</v>
      </c>
      <c r="T1064" s="6" t="e">
        <f>INDEX(医院2县区2人!$D$2:$D$1048576,MATCH(L1064,医院2县区2人!$A$2:$A$1048576,0))</f>
        <v>#N/A</v>
      </c>
      <c r="W1064" s="6" t="str">
        <f t="shared" si="35"/>
        <v>乳酸菌素片(精）0.4g*36片</v>
      </c>
      <c r="X1064" s="6" t="s">
        <v>2893</v>
      </c>
    </row>
    <row r="1065" spans="1:24" x14ac:dyDescent="0.15">
      <c r="A1065" s="7" t="str">
        <f t="shared" si="36"/>
        <v>201806</v>
      </c>
      <c r="C1065" s="6" t="str">
        <f>INDEX(工厂基础数据!$A$2:$A$1024,MATCH(X1065,工厂基础数据!$D$2:$D$1024,0))</f>
        <v>02032120</v>
      </c>
      <c r="E1065" s="6" t="str">
        <f>INDEX(工厂基础数据!$B$2:$B$1024,MATCH(X1065,工厂基础数据!$D$2:$D$1024,0))</f>
        <v>淄博博仁医药有限公司</v>
      </c>
      <c r="F1065" s="6" t="e">
        <f>INDEX(商业2转码!$B$2:$B$10000,MATCH(E1065,商业2转码!$A$2:$A$10000,0))</f>
        <v>#N/A</v>
      </c>
      <c r="G1065" s="6" t="str">
        <f>INDEX(品种2编码!$A$2:$A$1048576,MATCH(W1065,品种2编码!$D$2:$D$1048576,0))</f>
        <v>0020020030SJMS0025</v>
      </c>
      <c r="H1065" s="6" t="s">
        <v>586</v>
      </c>
      <c r="I1065" s="6" t="s">
        <v>1937</v>
      </c>
      <c r="J1065" s="6" t="s">
        <v>3282</v>
      </c>
      <c r="L1065" s="6" t="s">
        <v>3197</v>
      </c>
      <c r="M1065" s="6" t="e">
        <f>INDEX(医院2县区2人!$B$2:$B$1048576,MATCH(L1065,医院2县区2人!$A$2:$A$1048576,0))</f>
        <v>#N/A</v>
      </c>
      <c r="N1065" s="6" t="e">
        <f>INDEX(医院2县区2人!$C$2:$C$1048576,MATCH(L1065,医院2县区2人!$A$2:$A$1048576,0))</f>
        <v>#N/A</v>
      </c>
      <c r="P1065" s="7">
        <v>43263</v>
      </c>
      <c r="Q1065" s="6">
        <v>10</v>
      </c>
      <c r="R1065" s="6">
        <v>55</v>
      </c>
      <c r="S1065" s="6">
        <v>1709011</v>
      </c>
      <c r="T1065" s="6" t="e">
        <f>INDEX(医院2县区2人!$D$2:$D$1048576,MATCH(L1065,医院2县区2人!$A$2:$A$1048576,0))</f>
        <v>#N/A</v>
      </c>
      <c r="W1065" s="6" t="str">
        <f t="shared" si="35"/>
        <v>人工牛黄甲硝唑胶囊30粒</v>
      </c>
      <c r="X1065" s="6" t="s">
        <v>2893</v>
      </c>
    </row>
    <row r="1066" spans="1:24" x14ac:dyDescent="0.15">
      <c r="A1066" s="7" t="str">
        <f t="shared" si="36"/>
        <v>201806</v>
      </c>
      <c r="C1066" s="6" t="str">
        <f>INDEX(工厂基础数据!$A$2:$A$1024,MATCH(X1066,工厂基础数据!$D$2:$D$1024,0))</f>
        <v>02032120</v>
      </c>
      <c r="E1066" s="6" t="str">
        <f>INDEX(工厂基础数据!$B$2:$B$1024,MATCH(X1066,工厂基础数据!$D$2:$D$1024,0))</f>
        <v>淄博博仁医药有限公司</v>
      </c>
      <c r="F1066" s="6" t="e">
        <f>INDEX(商业2转码!$B$2:$B$10000,MATCH(E1066,商业2转码!$A$2:$A$10000,0))</f>
        <v>#N/A</v>
      </c>
      <c r="G1066" s="6" t="str">
        <f>INDEX(品种2编码!$A$2:$A$1048576,MATCH(W1066,品种2编码!$D$2:$D$1048576,0))</f>
        <v>0020030001SJZY0006</v>
      </c>
      <c r="H1066" s="6" t="s">
        <v>1833</v>
      </c>
      <c r="I1066" s="6" t="s">
        <v>411</v>
      </c>
      <c r="J1066" s="6" t="s">
        <v>3280</v>
      </c>
      <c r="L1066" s="6" t="s">
        <v>3195</v>
      </c>
      <c r="M1066" s="6" t="e">
        <f>INDEX(医院2县区2人!$B$2:$B$1048576,MATCH(L1066,医院2县区2人!$A$2:$A$1048576,0))</f>
        <v>#N/A</v>
      </c>
      <c r="N1066" s="6" t="e">
        <f>INDEX(医院2县区2人!$C$2:$C$1048576,MATCH(L1066,医院2县区2人!$A$2:$A$1048576,0))</f>
        <v>#N/A</v>
      </c>
      <c r="P1066" s="7">
        <v>43263</v>
      </c>
      <c r="Q1066" s="6">
        <v>10</v>
      </c>
      <c r="R1066" s="6">
        <v>220</v>
      </c>
      <c r="S1066" s="6">
        <v>17122912</v>
      </c>
      <c r="T1066" s="6" t="e">
        <f>INDEX(医院2县区2人!$D$2:$D$1048576,MATCH(L1066,医院2县区2人!$A$2:$A$1048576,0))</f>
        <v>#N/A</v>
      </c>
      <c r="W1066" s="6" t="str">
        <f t="shared" si="35"/>
        <v>葡萄糖酸钙口服溶液10ml*12支</v>
      </c>
      <c r="X1066" s="6" t="s">
        <v>2893</v>
      </c>
    </row>
    <row r="1067" spans="1:24" x14ac:dyDescent="0.15">
      <c r="A1067" s="7" t="str">
        <f t="shared" si="36"/>
        <v>201806</v>
      </c>
      <c r="C1067" s="6" t="str">
        <f>INDEX(工厂基础数据!$A$2:$A$1024,MATCH(X1067,工厂基础数据!$D$2:$D$1024,0))</f>
        <v>02032120</v>
      </c>
      <c r="E1067" s="6" t="str">
        <f>INDEX(工厂基础数据!$B$2:$B$1024,MATCH(X1067,工厂基础数据!$D$2:$D$1024,0))</f>
        <v>淄博博仁医药有限公司</v>
      </c>
      <c r="F1067" s="6" t="e">
        <f>INDEX(商业2转码!$B$2:$B$10000,MATCH(E1067,商业2转码!$A$2:$A$10000,0))</f>
        <v>#N/A</v>
      </c>
      <c r="G1067" s="6" t="str">
        <f>INDEX(品种2编码!$A$2:$A$1048576,MATCH(W1067,品种2编码!$D$2:$D$1048576,0))</f>
        <v>0020030001SJZY0006</v>
      </c>
      <c r="H1067" s="6" t="s">
        <v>1833</v>
      </c>
      <c r="I1067" s="6" t="s">
        <v>411</v>
      </c>
      <c r="J1067" s="6" t="s">
        <v>3280</v>
      </c>
      <c r="L1067" s="6" t="s">
        <v>3174</v>
      </c>
      <c r="M1067" s="6" t="e">
        <f>INDEX(医院2县区2人!$B$2:$B$1048576,MATCH(L1067,医院2县区2人!$A$2:$A$1048576,0))</f>
        <v>#N/A</v>
      </c>
      <c r="N1067" s="6" t="e">
        <f>INDEX(医院2县区2人!$C$2:$C$1048576,MATCH(L1067,医院2县区2人!$A$2:$A$1048576,0))</f>
        <v>#N/A</v>
      </c>
      <c r="P1067" s="7">
        <v>43263</v>
      </c>
      <c r="Q1067" s="6">
        <v>10</v>
      </c>
      <c r="R1067" s="6">
        <v>220</v>
      </c>
      <c r="S1067" s="6">
        <v>17122912</v>
      </c>
      <c r="T1067" s="6" t="e">
        <f>INDEX(医院2县区2人!$D$2:$D$1048576,MATCH(L1067,医院2县区2人!$A$2:$A$1048576,0))</f>
        <v>#N/A</v>
      </c>
      <c r="W1067" s="6" t="str">
        <f t="shared" si="35"/>
        <v>葡萄糖酸钙口服溶液10ml*12支</v>
      </c>
      <c r="X1067" s="6" t="s">
        <v>2893</v>
      </c>
    </row>
    <row r="1068" spans="1:24" x14ac:dyDescent="0.15">
      <c r="A1068" s="7" t="str">
        <f t="shared" si="36"/>
        <v>201806</v>
      </c>
      <c r="C1068" s="6" t="str">
        <f>INDEX(工厂基础数据!$A$2:$A$1024,MATCH(X1068,工厂基础数据!$D$2:$D$1024,0))</f>
        <v>02032120</v>
      </c>
      <c r="E1068" s="6" t="str">
        <f>INDEX(工厂基础数据!$B$2:$B$1024,MATCH(X1068,工厂基础数据!$D$2:$D$1024,0))</f>
        <v>淄博博仁医药有限公司</v>
      </c>
      <c r="F1068" s="6" t="e">
        <f>INDEX(商业2转码!$B$2:$B$10000,MATCH(E1068,商业2转码!$A$2:$A$10000,0))</f>
        <v>#N/A</v>
      </c>
      <c r="G1068" s="6" t="str">
        <f>INDEX(品种2编码!$A$2:$A$1048576,MATCH(W1068,品种2编码!$D$2:$D$1048576,0))</f>
        <v>0020030001SJZY0006</v>
      </c>
      <c r="H1068" s="6" t="s">
        <v>1833</v>
      </c>
      <c r="I1068" s="6" t="s">
        <v>411</v>
      </c>
      <c r="J1068" s="6" t="s">
        <v>3280</v>
      </c>
      <c r="L1068" s="6" t="s">
        <v>3118</v>
      </c>
      <c r="M1068" s="6" t="e">
        <f>INDEX(医院2县区2人!$B$2:$B$1048576,MATCH(L1068,医院2县区2人!$A$2:$A$1048576,0))</f>
        <v>#N/A</v>
      </c>
      <c r="N1068" s="6" t="e">
        <f>INDEX(医院2县区2人!$C$2:$C$1048576,MATCH(L1068,医院2县区2人!$A$2:$A$1048576,0))</f>
        <v>#N/A</v>
      </c>
      <c r="P1068" s="7">
        <v>43263</v>
      </c>
      <c r="Q1068" s="6">
        <v>10</v>
      </c>
      <c r="R1068" s="6">
        <v>220</v>
      </c>
      <c r="S1068" s="6">
        <v>17122912</v>
      </c>
      <c r="T1068" s="6" t="e">
        <f>INDEX(医院2县区2人!$D$2:$D$1048576,MATCH(L1068,医院2县区2人!$A$2:$A$1048576,0))</f>
        <v>#N/A</v>
      </c>
      <c r="W1068" s="6" t="str">
        <f t="shared" si="35"/>
        <v>葡萄糖酸钙口服溶液10ml*12支</v>
      </c>
      <c r="X1068" s="6" t="s">
        <v>2893</v>
      </c>
    </row>
    <row r="1069" spans="1:24" x14ac:dyDescent="0.15">
      <c r="A1069" s="7" t="str">
        <f t="shared" si="36"/>
        <v>201806</v>
      </c>
      <c r="C1069" s="6" t="str">
        <f>INDEX(工厂基础数据!$A$2:$A$1024,MATCH(X1069,工厂基础数据!$D$2:$D$1024,0))</f>
        <v>02032120</v>
      </c>
      <c r="E1069" s="6" t="str">
        <f>INDEX(工厂基础数据!$B$2:$B$1024,MATCH(X1069,工厂基础数据!$D$2:$D$1024,0))</f>
        <v>淄博博仁医药有限公司</v>
      </c>
      <c r="F1069" s="6" t="e">
        <f>INDEX(商业2转码!$B$2:$B$10000,MATCH(E1069,商业2转码!$A$2:$A$10000,0))</f>
        <v>#N/A</v>
      </c>
      <c r="G1069" s="6" t="str">
        <f>INDEX(品种2编码!$A$2:$A$1048576,MATCH(W1069,品种2编码!$D$2:$D$1048576,0))</f>
        <v>0020030001SJZY0006</v>
      </c>
      <c r="H1069" s="6" t="s">
        <v>1833</v>
      </c>
      <c r="I1069" s="6" t="s">
        <v>411</v>
      </c>
      <c r="J1069" s="6" t="s">
        <v>3280</v>
      </c>
      <c r="L1069" s="6" t="s">
        <v>3190</v>
      </c>
      <c r="M1069" s="6" t="e">
        <f>INDEX(医院2县区2人!$B$2:$B$1048576,MATCH(L1069,医院2县区2人!$A$2:$A$1048576,0))</f>
        <v>#N/A</v>
      </c>
      <c r="N1069" s="6" t="e">
        <f>INDEX(医院2县区2人!$C$2:$C$1048576,MATCH(L1069,医院2县区2人!$A$2:$A$1048576,0))</f>
        <v>#N/A</v>
      </c>
      <c r="P1069" s="7">
        <v>43263</v>
      </c>
      <c r="Q1069" s="6">
        <v>10</v>
      </c>
      <c r="R1069" s="6">
        <v>220</v>
      </c>
      <c r="S1069" s="6">
        <v>17122912</v>
      </c>
      <c r="T1069" s="6" t="e">
        <f>INDEX(医院2县区2人!$D$2:$D$1048576,MATCH(L1069,医院2县区2人!$A$2:$A$1048576,0))</f>
        <v>#N/A</v>
      </c>
      <c r="W1069" s="6" t="str">
        <f t="shared" si="35"/>
        <v>葡萄糖酸钙口服溶液10ml*12支</v>
      </c>
      <c r="X1069" s="6" t="s">
        <v>2893</v>
      </c>
    </row>
    <row r="1070" spans="1:24" x14ac:dyDescent="0.15">
      <c r="A1070" s="7" t="str">
        <f t="shared" si="36"/>
        <v>201806</v>
      </c>
      <c r="C1070" s="6" t="str">
        <f>INDEX(工厂基础数据!$A$2:$A$1024,MATCH(X1070,工厂基础数据!$D$2:$D$1024,0))</f>
        <v>02032120</v>
      </c>
      <c r="E1070" s="6" t="str">
        <f>INDEX(工厂基础数据!$B$2:$B$1024,MATCH(X1070,工厂基础数据!$D$2:$D$1024,0))</f>
        <v>淄博博仁医药有限公司</v>
      </c>
      <c r="F1070" s="6" t="e">
        <f>INDEX(商业2转码!$B$2:$B$10000,MATCH(E1070,商业2转码!$A$2:$A$10000,0))</f>
        <v>#N/A</v>
      </c>
      <c r="G1070" s="6">
        <f>INDEX(品种2编码!$A$2:$A$1048576,MATCH(W1070,品种2编码!$D$2:$D$1048576,0))</f>
        <v>0</v>
      </c>
      <c r="H1070" s="6" t="s">
        <v>3268</v>
      </c>
      <c r="I1070" s="6" t="s">
        <v>411</v>
      </c>
      <c r="J1070" s="6" t="s">
        <v>3040</v>
      </c>
      <c r="L1070" s="6" t="s">
        <v>3174</v>
      </c>
      <c r="M1070" s="6" t="e">
        <f>INDEX(医院2县区2人!$B$2:$B$1048576,MATCH(L1070,医院2县区2人!$A$2:$A$1048576,0))</f>
        <v>#N/A</v>
      </c>
      <c r="N1070" s="6" t="e">
        <f>INDEX(医院2县区2人!$C$2:$C$1048576,MATCH(L1070,医院2县区2人!$A$2:$A$1048576,0))</f>
        <v>#N/A</v>
      </c>
      <c r="P1070" s="7">
        <v>43263</v>
      </c>
      <c r="Q1070" s="6">
        <v>10</v>
      </c>
      <c r="R1070" s="6">
        <v>230</v>
      </c>
      <c r="S1070" s="6">
        <v>17112821</v>
      </c>
      <c r="T1070" s="6" t="e">
        <f>INDEX(医院2县区2人!$D$2:$D$1048576,MATCH(L1070,医院2县区2人!$A$2:$A$1048576,0))</f>
        <v>#N/A</v>
      </c>
      <c r="W1070" s="6" t="str">
        <f t="shared" si="35"/>
        <v>葡糖糖酸锌口服溶液10ml*12支</v>
      </c>
      <c r="X1070" s="6" t="s">
        <v>2893</v>
      </c>
    </row>
    <row r="1071" spans="1:24" x14ac:dyDescent="0.15">
      <c r="A1071" s="7" t="str">
        <f t="shared" si="36"/>
        <v>201806</v>
      </c>
      <c r="C1071" s="6" t="str">
        <f>INDEX(工厂基础数据!$A$2:$A$1024,MATCH(X1071,工厂基础数据!$D$2:$D$1024,0))</f>
        <v>02032120</v>
      </c>
      <c r="E1071" s="6" t="str">
        <f>INDEX(工厂基础数据!$B$2:$B$1024,MATCH(X1071,工厂基础数据!$D$2:$D$1024,0))</f>
        <v>淄博博仁医药有限公司</v>
      </c>
      <c r="F1071" s="6" t="e">
        <f>INDEX(商业2转码!$B$2:$B$10000,MATCH(E1071,商业2转码!$A$2:$A$10000,0))</f>
        <v>#N/A</v>
      </c>
      <c r="G1071" s="6">
        <f>INDEX(品种2编码!$A$2:$A$1048576,MATCH(W1071,品种2编码!$D$2:$D$1048576,0))</f>
        <v>0</v>
      </c>
      <c r="H1071" s="6" t="s">
        <v>3268</v>
      </c>
      <c r="I1071" s="6" t="s">
        <v>411</v>
      </c>
      <c r="J1071" s="6" t="s">
        <v>3040</v>
      </c>
      <c r="L1071" s="6" t="s">
        <v>3118</v>
      </c>
      <c r="M1071" s="6" t="e">
        <f>INDEX(医院2县区2人!$B$2:$B$1048576,MATCH(L1071,医院2县区2人!$A$2:$A$1048576,0))</f>
        <v>#N/A</v>
      </c>
      <c r="N1071" s="6" t="e">
        <f>INDEX(医院2县区2人!$C$2:$C$1048576,MATCH(L1071,医院2县区2人!$A$2:$A$1048576,0))</f>
        <v>#N/A</v>
      </c>
      <c r="P1071" s="7">
        <v>43263</v>
      </c>
      <c r="Q1071" s="6">
        <v>10</v>
      </c>
      <c r="R1071" s="6">
        <v>230</v>
      </c>
      <c r="S1071" s="6">
        <v>17112821</v>
      </c>
      <c r="T1071" s="6" t="e">
        <f>INDEX(医院2县区2人!$D$2:$D$1048576,MATCH(L1071,医院2县区2人!$A$2:$A$1048576,0))</f>
        <v>#N/A</v>
      </c>
      <c r="W1071" s="6" t="str">
        <f t="shared" si="35"/>
        <v>葡糖糖酸锌口服溶液10ml*12支</v>
      </c>
      <c r="X1071" s="6" t="s">
        <v>2893</v>
      </c>
    </row>
    <row r="1072" spans="1:24" x14ac:dyDescent="0.15">
      <c r="A1072" s="7" t="str">
        <f t="shared" si="36"/>
        <v>201806</v>
      </c>
      <c r="C1072" s="6" t="str">
        <f>INDEX(工厂基础数据!$A$2:$A$1024,MATCH(X1072,工厂基础数据!$D$2:$D$1024,0))</f>
        <v>02032120</v>
      </c>
      <c r="E1072" s="6" t="str">
        <f>INDEX(工厂基础数据!$B$2:$B$1024,MATCH(X1072,工厂基础数据!$D$2:$D$1024,0))</f>
        <v>淄博博仁医药有限公司</v>
      </c>
      <c r="F1072" s="6" t="e">
        <f>INDEX(商业2转码!$B$2:$B$10000,MATCH(E1072,商业2转码!$A$2:$A$10000,0))</f>
        <v>#N/A</v>
      </c>
      <c r="G1072" s="6">
        <f>INDEX(品种2编码!$A$2:$A$1048576,MATCH(W1072,品种2编码!$D$2:$D$1048576,0))</f>
        <v>0</v>
      </c>
      <c r="H1072" s="6" t="s">
        <v>3268</v>
      </c>
      <c r="I1072" s="6" t="s">
        <v>411</v>
      </c>
      <c r="J1072" s="6" t="s">
        <v>3040</v>
      </c>
      <c r="L1072" s="6" t="s">
        <v>3190</v>
      </c>
      <c r="M1072" s="6" t="e">
        <f>INDEX(医院2县区2人!$B$2:$B$1048576,MATCH(L1072,医院2县区2人!$A$2:$A$1048576,0))</f>
        <v>#N/A</v>
      </c>
      <c r="N1072" s="6" t="e">
        <f>INDEX(医院2县区2人!$C$2:$C$1048576,MATCH(L1072,医院2县区2人!$A$2:$A$1048576,0))</f>
        <v>#N/A</v>
      </c>
      <c r="P1072" s="7">
        <v>43263</v>
      </c>
      <c r="Q1072" s="6">
        <v>10</v>
      </c>
      <c r="R1072" s="6">
        <v>230</v>
      </c>
      <c r="S1072" s="6">
        <v>17112821</v>
      </c>
      <c r="T1072" s="6" t="e">
        <f>INDEX(医院2县区2人!$D$2:$D$1048576,MATCH(L1072,医院2县区2人!$A$2:$A$1048576,0))</f>
        <v>#N/A</v>
      </c>
      <c r="W1072" s="6" t="str">
        <f t="shared" si="35"/>
        <v>葡糖糖酸锌口服溶液10ml*12支</v>
      </c>
      <c r="X1072" s="6" t="s">
        <v>2893</v>
      </c>
    </row>
    <row r="1073" spans="1:24" x14ac:dyDescent="0.15">
      <c r="A1073" s="7" t="str">
        <f t="shared" si="36"/>
        <v>201806</v>
      </c>
      <c r="C1073" s="6" t="str">
        <f>INDEX(工厂基础数据!$A$2:$A$1024,MATCH(X1073,工厂基础数据!$D$2:$D$1024,0))</f>
        <v>02032120</v>
      </c>
      <c r="E1073" s="6" t="str">
        <f>INDEX(工厂基础数据!$B$2:$B$1024,MATCH(X1073,工厂基础数据!$D$2:$D$1024,0))</f>
        <v>淄博博仁医药有限公司</v>
      </c>
      <c r="F1073" s="6" t="e">
        <f>INDEX(商业2转码!$B$2:$B$10000,MATCH(E1073,商业2转码!$A$2:$A$10000,0))</f>
        <v>#N/A</v>
      </c>
      <c r="G1073" s="6" t="str">
        <f>INDEX(品种2编码!$A$2:$A$1048576,MATCH(W1073,品种2编码!$D$2:$D$1048576,0))</f>
        <v>0020020021ZYLC0005</v>
      </c>
      <c r="H1073" s="6" t="s">
        <v>1950</v>
      </c>
      <c r="I1073" s="6" t="s">
        <v>1841</v>
      </c>
      <c r="J1073" s="6" t="s">
        <v>3283</v>
      </c>
      <c r="L1073" s="6" t="s">
        <v>3198</v>
      </c>
      <c r="M1073" s="6" t="e">
        <f>INDEX(医院2县区2人!$B$2:$B$1048576,MATCH(L1073,医院2县区2人!$A$2:$A$1048576,0))</f>
        <v>#N/A</v>
      </c>
      <c r="N1073" s="6" t="e">
        <f>INDEX(医院2县区2人!$C$2:$C$1048576,MATCH(L1073,医院2县区2人!$A$2:$A$1048576,0))</f>
        <v>#N/A</v>
      </c>
      <c r="P1073" s="7">
        <v>43263</v>
      </c>
      <c r="Q1073" s="6">
        <v>10</v>
      </c>
      <c r="R1073" s="6">
        <v>40</v>
      </c>
      <c r="S1073" s="6">
        <v>180101</v>
      </c>
      <c r="T1073" s="6" t="e">
        <f>INDEX(医院2县区2人!$D$2:$D$1048576,MATCH(L1073,医院2县区2人!$A$2:$A$1048576,0))</f>
        <v>#N/A</v>
      </c>
      <c r="W1073" s="6" t="str">
        <f t="shared" si="35"/>
        <v>罗红霉素分散片50mg*12片</v>
      </c>
      <c r="X1073" s="6" t="s">
        <v>2893</v>
      </c>
    </row>
    <row r="1074" spans="1:24" x14ac:dyDescent="0.15">
      <c r="A1074" s="7" t="str">
        <f t="shared" si="36"/>
        <v>201806</v>
      </c>
      <c r="C1074" s="6" t="str">
        <f>INDEX(工厂基础数据!$A$2:$A$1024,MATCH(X1074,工厂基础数据!$D$2:$D$1024,0))</f>
        <v>02032120</v>
      </c>
      <c r="E1074" s="6" t="str">
        <f>INDEX(工厂基础数据!$B$2:$B$1024,MATCH(X1074,工厂基础数据!$D$2:$D$1024,0))</f>
        <v>淄博博仁医药有限公司</v>
      </c>
      <c r="F1074" s="6" t="e">
        <f>INDEX(商业2转码!$B$2:$B$10000,MATCH(E1074,商业2转码!$A$2:$A$10000,0))</f>
        <v>#N/A</v>
      </c>
      <c r="G1074" s="6">
        <f>INDEX(品种2编码!$A$2:$A$1048576,MATCH(W1074,品种2编码!$D$2:$D$1048576,0))</f>
        <v>0</v>
      </c>
      <c r="H1074" s="6" t="s">
        <v>405</v>
      </c>
      <c r="I1074" s="6" t="s">
        <v>1850</v>
      </c>
      <c r="J1074" s="6" t="s">
        <v>3279</v>
      </c>
      <c r="L1074" s="6" t="s">
        <v>3157</v>
      </c>
      <c r="M1074" s="6" t="e">
        <f>INDEX(医院2县区2人!$B$2:$B$1048576,MATCH(L1074,医院2县区2人!$A$2:$A$1048576,0))</f>
        <v>#N/A</v>
      </c>
      <c r="N1074" s="6" t="e">
        <f>INDEX(医院2县区2人!$C$2:$C$1048576,MATCH(L1074,医院2县区2人!$A$2:$A$1048576,0))</f>
        <v>#N/A</v>
      </c>
      <c r="P1074" s="7">
        <v>43263</v>
      </c>
      <c r="Q1074" s="6">
        <v>10</v>
      </c>
      <c r="R1074" s="6">
        <v>150</v>
      </c>
      <c r="S1074" s="6">
        <v>1802005</v>
      </c>
      <c r="T1074" s="6" t="e">
        <f>INDEX(医院2县区2人!$D$2:$D$1048576,MATCH(L1074,医院2县区2人!$A$2:$A$1048576,0))</f>
        <v>#N/A</v>
      </c>
      <c r="W1074" s="6" t="str">
        <f t="shared" si="35"/>
        <v>钙铁锌口服液10ml*10支</v>
      </c>
      <c r="X1074" s="6" t="s">
        <v>2893</v>
      </c>
    </row>
    <row r="1075" spans="1:24" x14ac:dyDescent="0.15">
      <c r="A1075" s="7" t="str">
        <f t="shared" si="36"/>
        <v>201806</v>
      </c>
      <c r="C1075" s="6" t="str">
        <f>INDEX(工厂基础数据!$A$2:$A$1024,MATCH(X1075,工厂基础数据!$D$2:$D$1024,0))</f>
        <v>02032120</v>
      </c>
      <c r="E1075" s="6" t="str">
        <f>INDEX(工厂基础数据!$B$2:$B$1024,MATCH(X1075,工厂基础数据!$D$2:$D$1024,0))</f>
        <v>淄博博仁医药有限公司</v>
      </c>
      <c r="F1075" s="6" t="e">
        <f>INDEX(商业2转码!$B$2:$B$10000,MATCH(E1075,商业2转码!$A$2:$A$10000,0))</f>
        <v>#N/A</v>
      </c>
      <c r="G1075" s="6">
        <f>INDEX(品种2编码!$A$2:$A$1048576,MATCH(W1075,品种2编码!$D$2:$D$1048576,0))</f>
        <v>0</v>
      </c>
      <c r="H1075" s="6" t="s">
        <v>405</v>
      </c>
      <c r="I1075" s="6" t="s">
        <v>1850</v>
      </c>
      <c r="J1075" s="6" t="s">
        <v>3279</v>
      </c>
      <c r="L1075" s="6" t="s">
        <v>3199</v>
      </c>
      <c r="M1075" s="6" t="e">
        <f>INDEX(医院2县区2人!$B$2:$B$1048576,MATCH(L1075,医院2县区2人!$A$2:$A$1048576,0))</f>
        <v>#N/A</v>
      </c>
      <c r="N1075" s="6" t="e">
        <f>INDEX(医院2县区2人!$C$2:$C$1048576,MATCH(L1075,医院2县区2人!$A$2:$A$1048576,0))</f>
        <v>#N/A</v>
      </c>
      <c r="P1075" s="7">
        <v>43263</v>
      </c>
      <c r="Q1075" s="6">
        <v>10</v>
      </c>
      <c r="R1075" s="6">
        <v>138.80000000000001</v>
      </c>
      <c r="S1075" s="6">
        <v>1802005</v>
      </c>
      <c r="T1075" s="6" t="e">
        <f>INDEX(医院2县区2人!$D$2:$D$1048576,MATCH(L1075,医院2县区2人!$A$2:$A$1048576,0))</f>
        <v>#N/A</v>
      </c>
      <c r="W1075" s="6" t="str">
        <f t="shared" si="35"/>
        <v>钙铁锌口服液10ml*10支</v>
      </c>
      <c r="X1075" s="6" t="s">
        <v>2893</v>
      </c>
    </row>
    <row r="1076" spans="1:24" x14ac:dyDescent="0.15">
      <c r="A1076" s="7" t="str">
        <f t="shared" si="36"/>
        <v>201806</v>
      </c>
      <c r="C1076" s="6" t="str">
        <f>INDEX(工厂基础数据!$A$2:$A$1024,MATCH(X1076,工厂基础数据!$D$2:$D$1024,0))</f>
        <v>02032120</v>
      </c>
      <c r="E1076" s="6" t="str">
        <f>INDEX(工厂基础数据!$B$2:$B$1024,MATCH(X1076,工厂基础数据!$D$2:$D$1024,0))</f>
        <v>淄博博仁医药有限公司</v>
      </c>
      <c r="F1076" s="6" t="e">
        <f>INDEX(商业2转码!$B$2:$B$10000,MATCH(E1076,商业2转码!$A$2:$A$10000,0))</f>
        <v>#N/A</v>
      </c>
      <c r="G1076" s="6">
        <f>INDEX(品种2编码!$A$2:$A$1048576,MATCH(W1076,品种2编码!$D$2:$D$1048576,0))</f>
        <v>0</v>
      </c>
      <c r="H1076" s="6" t="s">
        <v>380</v>
      </c>
      <c r="I1076" s="6" t="s">
        <v>3292</v>
      </c>
      <c r="J1076" s="6" t="s">
        <v>3279</v>
      </c>
      <c r="L1076" s="6" t="s">
        <v>3190</v>
      </c>
      <c r="M1076" s="6" t="e">
        <f>INDEX(医院2县区2人!$B$2:$B$1048576,MATCH(L1076,医院2县区2人!$A$2:$A$1048576,0))</f>
        <v>#N/A</v>
      </c>
      <c r="N1076" s="6" t="e">
        <f>INDEX(医院2县区2人!$C$2:$C$1048576,MATCH(L1076,医院2县区2人!$A$2:$A$1048576,0))</f>
        <v>#N/A</v>
      </c>
      <c r="P1076" s="7">
        <v>43263</v>
      </c>
      <c r="Q1076" s="6">
        <v>10</v>
      </c>
      <c r="R1076" s="6">
        <v>36</v>
      </c>
      <c r="S1076" s="6">
        <v>1711002</v>
      </c>
      <c r="T1076" s="6" t="e">
        <f>INDEX(医院2县区2人!$D$2:$D$1048576,MATCH(L1076,医院2县区2人!$A$2:$A$1048576,0))</f>
        <v>#N/A</v>
      </c>
      <c r="W1076" s="6" t="str">
        <f t="shared" si="35"/>
        <v>复方氨酚烷胺片12粒</v>
      </c>
      <c r="X1076" s="6" t="s">
        <v>2893</v>
      </c>
    </row>
    <row r="1077" spans="1:24" x14ac:dyDescent="0.15">
      <c r="A1077" s="7" t="str">
        <f t="shared" si="36"/>
        <v>201806</v>
      </c>
      <c r="C1077" s="6" t="str">
        <f>INDEX(工厂基础数据!$A$2:$A$1024,MATCH(X1077,工厂基础数据!$D$2:$D$1024,0))</f>
        <v>02032120</v>
      </c>
      <c r="E1077" s="6" t="str">
        <f>INDEX(工厂基础数据!$B$2:$B$1024,MATCH(X1077,工厂基础数据!$D$2:$D$1024,0))</f>
        <v>淄博博仁医药有限公司</v>
      </c>
      <c r="F1077" s="6" t="e">
        <f>INDEX(商业2转码!$B$2:$B$10000,MATCH(E1077,商业2转码!$A$2:$A$10000,0))</f>
        <v>#N/A</v>
      </c>
      <c r="G1077" s="6" t="str">
        <f>INDEX(品种2编码!$A$2:$A$1048576,MATCH(W1077,品种2编码!$D$2:$D$1048576,0))</f>
        <v>0020020020ZYLC0003</v>
      </c>
      <c r="H1077" s="6" t="s">
        <v>1855</v>
      </c>
      <c r="I1077" s="6" t="s">
        <v>381</v>
      </c>
      <c r="J1077" s="6" t="s">
        <v>3279</v>
      </c>
      <c r="L1077" s="6" t="s">
        <v>3174</v>
      </c>
      <c r="M1077" s="6" t="e">
        <f>INDEX(医院2县区2人!$B$2:$B$1048576,MATCH(L1077,医院2县区2人!$A$2:$A$1048576,0))</f>
        <v>#N/A</v>
      </c>
      <c r="N1077" s="6" t="e">
        <f>INDEX(医院2县区2人!$C$2:$C$1048576,MATCH(L1077,医院2县区2人!$A$2:$A$1048576,0))</f>
        <v>#N/A</v>
      </c>
      <c r="P1077" s="7">
        <v>43263</v>
      </c>
      <c r="Q1077" s="6">
        <v>10</v>
      </c>
      <c r="R1077" s="6">
        <v>55</v>
      </c>
      <c r="S1077" s="6">
        <v>170706</v>
      </c>
      <c r="T1077" s="6" t="e">
        <f>INDEX(医院2县区2人!$D$2:$D$1048576,MATCH(L1077,医院2县区2人!$A$2:$A$1048576,0))</f>
        <v>#N/A</v>
      </c>
      <c r="W1077" s="6" t="str">
        <f t="shared" si="35"/>
        <v>颠茄磺苄啶片12片</v>
      </c>
      <c r="X1077" s="6" t="s">
        <v>2893</v>
      </c>
    </row>
    <row r="1078" spans="1:24" x14ac:dyDescent="0.15">
      <c r="A1078" s="7" t="str">
        <f t="shared" si="36"/>
        <v>201806</v>
      </c>
      <c r="C1078" s="6" t="str">
        <f>INDEX(工厂基础数据!$A$2:$A$1024,MATCH(X1078,工厂基础数据!$D$2:$D$1024,0))</f>
        <v>02032120</v>
      </c>
      <c r="E1078" s="6" t="str">
        <f>INDEX(工厂基础数据!$B$2:$B$1024,MATCH(X1078,工厂基础数据!$D$2:$D$1024,0))</f>
        <v>淄博博仁医药有限公司</v>
      </c>
      <c r="F1078" s="6" t="e">
        <f>INDEX(商业2转码!$B$2:$B$10000,MATCH(E1078,商业2转码!$A$2:$A$10000,0))</f>
        <v>#N/A</v>
      </c>
      <c r="G1078" s="6" t="str">
        <f>INDEX(品种2编码!$A$2:$A$1048576,MATCH(W1078,品种2编码!$D$2:$D$1048576,0))</f>
        <v>0020020030ZYZC0508</v>
      </c>
      <c r="H1078" s="6" t="s">
        <v>245</v>
      </c>
      <c r="I1078" s="6" t="s">
        <v>246</v>
      </c>
      <c r="J1078" s="6" t="s">
        <v>3279</v>
      </c>
      <c r="L1078" s="6" t="s">
        <v>3190</v>
      </c>
      <c r="M1078" s="6" t="e">
        <f>INDEX(医院2县区2人!$B$2:$B$1048576,MATCH(L1078,医院2县区2人!$A$2:$A$1048576,0))</f>
        <v>#N/A</v>
      </c>
      <c r="N1078" s="6" t="e">
        <f>INDEX(医院2县区2人!$C$2:$C$1048576,MATCH(L1078,医院2县区2人!$A$2:$A$1048576,0))</f>
        <v>#N/A</v>
      </c>
      <c r="P1078" s="7">
        <v>43263</v>
      </c>
      <c r="Q1078" s="6">
        <v>10</v>
      </c>
      <c r="R1078" s="6">
        <v>60</v>
      </c>
      <c r="S1078" s="6" t="s">
        <v>3277</v>
      </c>
      <c r="T1078" s="6" t="e">
        <f>INDEX(医院2县区2人!$D$2:$D$1048576,MATCH(L1078,医院2县区2人!$A$2:$A$1048576,0))</f>
        <v>#N/A</v>
      </c>
      <c r="W1078" s="6" t="str">
        <f t="shared" si="35"/>
        <v>阿莫西林胶囊0.25g*20粒</v>
      </c>
      <c r="X1078" s="6" t="s">
        <v>2893</v>
      </c>
    </row>
    <row r="1079" spans="1:24" x14ac:dyDescent="0.15">
      <c r="A1079" s="7" t="str">
        <f t="shared" si="36"/>
        <v>201806</v>
      </c>
      <c r="C1079" s="6" t="str">
        <f>INDEX(工厂基础数据!$A$2:$A$1024,MATCH(X1079,工厂基础数据!$D$2:$D$1024,0))</f>
        <v>02032120</v>
      </c>
      <c r="E1079" s="6" t="str">
        <f>INDEX(工厂基础数据!$B$2:$B$1024,MATCH(X1079,工厂基础数据!$D$2:$D$1024,0))</f>
        <v>淄博博仁医药有限公司</v>
      </c>
      <c r="F1079" s="6" t="e">
        <f>INDEX(商业2转码!$B$2:$B$10000,MATCH(E1079,商业2转码!$A$2:$A$10000,0))</f>
        <v>#N/A</v>
      </c>
      <c r="G1079" s="6" t="str">
        <f>INDEX(品种2编码!$A$2:$A$1048576,MATCH(W1079,品种2编码!$D$2:$D$1048576,0))</f>
        <v>0020040001SHYT0026</v>
      </c>
      <c r="H1079" s="6" t="s">
        <v>715</v>
      </c>
      <c r="I1079" s="6" t="s">
        <v>1867</v>
      </c>
      <c r="J1079" s="6" t="s">
        <v>3279</v>
      </c>
      <c r="L1079" s="6" t="s">
        <v>3132</v>
      </c>
      <c r="M1079" s="6" t="e">
        <f>INDEX(医院2县区2人!$B$2:$B$1048576,MATCH(L1079,医院2县区2人!$A$2:$A$1048576,0))</f>
        <v>#N/A</v>
      </c>
      <c r="N1079" s="6" t="e">
        <f>INDEX(医院2县区2人!$C$2:$C$1048576,MATCH(L1079,医院2县区2人!$A$2:$A$1048576,0))</f>
        <v>#N/A</v>
      </c>
      <c r="P1079" s="7">
        <v>43263</v>
      </c>
      <c r="Q1079" s="6">
        <v>14</v>
      </c>
      <c r="R1079" s="6">
        <v>70</v>
      </c>
      <c r="S1079" s="6">
        <v>1801108</v>
      </c>
      <c r="T1079" s="6" t="e">
        <f>INDEX(医院2县区2人!$D$2:$D$1048576,MATCH(L1079,医院2县区2人!$A$2:$A$1048576,0))</f>
        <v>#N/A</v>
      </c>
      <c r="W1079" s="6" t="str">
        <f t="shared" si="35"/>
        <v>小活络丸3g*10丸</v>
      </c>
      <c r="X1079" s="6" t="s">
        <v>2893</v>
      </c>
    </row>
    <row r="1080" spans="1:24" x14ac:dyDescent="0.15">
      <c r="A1080" s="7" t="str">
        <f t="shared" si="36"/>
        <v>201806</v>
      </c>
      <c r="C1080" s="6" t="str">
        <f>INDEX(工厂基础数据!$A$2:$A$1024,MATCH(X1080,工厂基础数据!$D$2:$D$1024,0))</f>
        <v>02032120</v>
      </c>
      <c r="E1080" s="6" t="str">
        <f>INDEX(工厂基础数据!$B$2:$B$1024,MATCH(X1080,工厂基础数据!$D$2:$D$1024,0))</f>
        <v>淄博博仁医药有限公司</v>
      </c>
      <c r="F1080" s="6" t="e">
        <f>INDEX(商业2转码!$B$2:$B$10000,MATCH(E1080,商业2转码!$A$2:$A$10000,0))</f>
        <v>#N/A</v>
      </c>
      <c r="G1080" s="6">
        <f>INDEX(品种2编码!$A$2:$A$1048576,MATCH(W1080,品种2编码!$D$2:$D$1048576,0))</f>
        <v>0</v>
      </c>
      <c r="H1080" s="6" t="s">
        <v>672</v>
      </c>
      <c r="I1080" s="6" t="s">
        <v>1843</v>
      </c>
      <c r="J1080" s="6" t="s">
        <v>3279</v>
      </c>
      <c r="L1080" s="6" t="s">
        <v>3174</v>
      </c>
      <c r="M1080" s="6" t="e">
        <f>INDEX(医院2县区2人!$B$2:$B$1048576,MATCH(L1080,医院2县区2人!$A$2:$A$1048576,0))</f>
        <v>#N/A</v>
      </c>
      <c r="N1080" s="6" t="e">
        <f>INDEX(医院2县区2人!$C$2:$C$1048576,MATCH(L1080,医院2县区2人!$A$2:$A$1048576,0))</f>
        <v>#N/A</v>
      </c>
      <c r="P1080" s="7">
        <v>43263</v>
      </c>
      <c r="Q1080" s="6">
        <v>20</v>
      </c>
      <c r="R1080" s="6">
        <v>0.2</v>
      </c>
      <c r="S1080" s="6">
        <v>20180105</v>
      </c>
      <c r="T1080" s="6" t="e">
        <f>INDEX(医院2县区2人!$D$2:$D$1048576,MATCH(L1080,医院2县区2人!$A$2:$A$1048576,0))</f>
        <v>#N/A</v>
      </c>
      <c r="W1080" s="6" t="str">
        <f t="shared" si="35"/>
        <v>退热贴2贴</v>
      </c>
      <c r="X1080" s="6" t="s">
        <v>2893</v>
      </c>
    </row>
    <row r="1081" spans="1:24" x14ac:dyDescent="0.15">
      <c r="A1081" s="7" t="str">
        <f t="shared" si="36"/>
        <v>201806</v>
      </c>
      <c r="C1081" s="6" t="str">
        <f>INDEX(工厂基础数据!$A$2:$A$1024,MATCH(X1081,工厂基础数据!$D$2:$D$1024,0))</f>
        <v>02032120</v>
      </c>
      <c r="E1081" s="6" t="str">
        <f>INDEX(工厂基础数据!$B$2:$B$1024,MATCH(X1081,工厂基础数据!$D$2:$D$1024,0))</f>
        <v>淄博博仁医药有限公司</v>
      </c>
      <c r="F1081" s="6" t="e">
        <f>INDEX(商业2转码!$B$2:$B$10000,MATCH(E1081,商业2转码!$A$2:$A$10000,0))</f>
        <v>#N/A</v>
      </c>
      <c r="G1081" s="6">
        <f>INDEX(品种2编码!$A$2:$A$1048576,MATCH(W1081,品种2编码!$D$2:$D$1048576,0))</f>
        <v>0</v>
      </c>
      <c r="H1081" s="6" t="s">
        <v>672</v>
      </c>
      <c r="I1081" s="6" t="s">
        <v>1843</v>
      </c>
      <c r="J1081" s="6" t="s">
        <v>3279</v>
      </c>
      <c r="L1081" s="6" t="s">
        <v>3190</v>
      </c>
      <c r="M1081" s="6" t="e">
        <f>INDEX(医院2县区2人!$B$2:$B$1048576,MATCH(L1081,医院2县区2人!$A$2:$A$1048576,0))</f>
        <v>#N/A</v>
      </c>
      <c r="N1081" s="6" t="e">
        <f>INDEX(医院2县区2人!$C$2:$C$1048576,MATCH(L1081,医院2县区2人!$A$2:$A$1048576,0))</f>
        <v>#N/A</v>
      </c>
      <c r="P1081" s="7">
        <v>43263</v>
      </c>
      <c r="Q1081" s="6">
        <v>20</v>
      </c>
      <c r="R1081" s="6">
        <v>0.2</v>
      </c>
      <c r="S1081" s="6">
        <v>20180105</v>
      </c>
      <c r="T1081" s="6" t="e">
        <f>INDEX(医院2县区2人!$D$2:$D$1048576,MATCH(L1081,医院2县区2人!$A$2:$A$1048576,0))</f>
        <v>#N/A</v>
      </c>
      <c r="W1081" s="6" t="str">
        <f t="shared" si="35"/>
        <v>退热贴2贴</v>
      </c>
      <c r="X1081" s="6" t="s">
        <v>2893</v>
      </c>
    </row>
    <row r="1082" spans="1:24" x14ac:dyDescent="0.15">
      <c r="A1082" s="7" t="str">
        <f t="shared" si="36"/>
        <v>201806</v>
      </c>
      <c r="C1082" s="6" t="str">
        <f>INDEX(工厂基础数据!$A$2:$A$1024,MATCH(X1082,工厂基础数据!$D$2:$D$1024,0))</f>
        <v>02032120</v>
      </c>
      <c r="E1082" s="6" t="str">
        <f>INDEX(工厂基础数据!$B$2:$B$1024,MATCH(X1082,工厂基础数据!$D$2:$D$1024,0))</f>
        <v>淄博博仁医药有限公司</v>
      </c>
      <c r="F1082" s="6" t="e">
        <f>INDEX(商业2转码!$B$2:$B$10000,MATCH(E1082,商业2转码!$A$2:$A$10000,0))</f>
        <v>#N/A</v>
      </c>
      <c r="G1082" s="6">
        <f>INDEX(品种2编码!$A$2:$A$1048576,MATCH(W1082,品种2编码!$D$2:$D$1048576,0))</f>
        <v>0</v>
      </c>
      <c r="H1082" s="6" t="s">
        <v>3269</v>
      </c>
      <c r="I1082" s="6" t="s">
        <v>1839</v>
      </c>
      <c r="J1082" s="6" t="s">
        <v>3279</v>
      </c>
      <c r="L1082" s="6" t="s">
        <v>3132</v>
      </c>
      <c r="M1082" s="6" t="e">
        <f>INDEX(医院2县区2人!$B$2:$B$1048576,MATCH(L1082,医院2县区2人!$A$2:$A$1048576,0))</f>
        <v>#N/A</v>
      </c>
      <c r="N1082" s="6" t="e">
        <f>INDEX(医院2县区2人!$C$2:$C$1048576,MATCH(L1082,医院2县区2人!$A$2:$A$1048576,0))</f>
        <v>#N/A</v>
      </c>
      <c r="P1082" s="7">
        <v>43263</v>
      </c>
      <c r="Q1082" s="6">
        <v>20</v>
      </c>
      <c r="R1082" s="6">
        <v>126</v>
      </c>
      <c r="S1082" s="6">
        <v>180111</v>
      </c>
      <c r="T1082" s="6" t="e">
        <f>INDEX(医院2县区2人!$D$2:$D$1048576,MATCH(L1082,医院2县区2人!$A$2:$A$1048576,0))</f>
        <v>#N/A</v>
      </c>
      <c r="W1082" s="6" t="str">
        <f t="shared" si="35"/>
        <v>乳酸菌素片(精）0.4g*36片</v>
      </c>
      <c r="X1082" s="6" t="s">
        <v>2893</v>
      </c>
    </row>
    <row r="1083" spans="1:24" x14ac:dyDescent="0.15">
      <c r="A1083" s="7" t="str">
        <f t="shared" si="36"/>
        <v>201806</v>
      </c>
      <c r="C1083" s="6" t="str">
        <f>INDEX(工厂基础数据!$A$2:$A$1024,MATCH(X1083,工厂基础数据!$D$2:$D$1024,0))</f>
        <v>02032120</v>
      </c>
      <c r="E1083" s="6" t="str">
        <f>INDEX(工厂基础数据!$B$2:$B$1024,MATCH(X1083,工厂基础数据!$D$2:$D$1024,0))</f>
        <v>淄博博仁医药有限公司</v>
      </c>
      <c r="F1083" s="6" t="e">
        <f>INDEX(商业2转码!$B$2:$B$10000,MATCH(E1083,商业2转码!$A$2:$A$10000,0))</f>
        <v>#N/A</v>
      </c>
      <c r="G1083" s="6" t="str">
        <f>INDEX(品种2编码!$A$2:$A$1048576,MATCH(W1083,品种2编码!$D$2:$D$1048576,0))</f>
        <v>0020020020ZYLC0003</v>
      </c>
      <c r="H1083" s="6" t="s">
        <v>1855</v>
      </c>
      <c r="I1083" s="6" t="s">
        <v>381</v>
      </c>
      <c r="J1083" s="6" t="s">
        <v>3279</v>
      </c>
      <c r="L1083" s="6" t="s">
        <v>3193</v>
      </c>
      <c r="M1083" s="6" t="e">
        <f>INDEX(医院2县区2人!$B$2:$B$1048576,MATCH(L1083,医院2县区2人!$A$2:$A$1048576,0))</f>
        <v>#N/A</v>
      </c>
      <c r="N1083" s="6" t="e">
        <f>INDEX(医院2县区2人!$C$2:$C$1048576,MATCH(L1083,医院2县区2人!$A$2:$A$1048576,0))</f>
        <v>#N/A</v>
      </c>
      <c r="P1083" s="7">
        <v>43263</v>
      </c>
      <c r="Q1083" s="6">
        <v>20</v>
      </c>
      <c r="R1083" s="6">
        <v>110</v>
      </c>
      <c r="S1083" s="6">
        <v>170706</v>
      </c>
      <c r="T1083" s="6" t="e">
        <f>INDEX(医院2县区2人!$D$2:$D$1048576,MATCH(L1083,医院2县区2人!$A$2:$A$1048576,0))</f>
        <v>#N/A</v>
      </c>
      <c r="W1083" s="6" t="str">
        <f t="shared" si="35"/>
        <v>颠茄磺苄啶片12片</v>
      </c>
      <c r="X1083" s="6" t="s">
        <v>2893</v>
      </c>
    </row>
    <row r="1084" spans="1:24" x14ac:dyDescent="0.15">
      <c r="A1084" s="7" t="str">
        <f t="shared" si="36"/>
        <v>201806</v>
      </c>
      <c r="C1084" s="6" t="str">
        <f>INDEX(工厂基础数据!$A$2:$A$1024,MATCH(X1084,工厂基础数据!$D$2:$D$1024,0))</f>
        <v>02032120</v>
      </c>
      <c r="E1084" s="6" t="str">
        <f>INDEX(工厂基础数据!$B$2:$B$1024,MATCH(X1084,工厂基础数据!$D$2:$D$1024,0))</f>
        <v>淄博博仁医药有限公司</v>
      </c>
      <c r="F1084" s="6" t="e">
        <f>INDEX(商业2转码!$B$2:$B$10000,MATCH(E1084,商业2转码!$A$2:$A$10000,0))</f>
        <v>#N/A</v>
      </c>
      <c r="G1084" s="6" t="str">
        <f>INDEX(品种2编码!$A$2:$A$1048576,MATCH(W1084,品种2编码!$D$2:$D$1048576,0))</f>
        <v>0020040001SHYT0026</v>
      </c>
      <c r="H1084" s="6" t="s">
        <v>715</v>
      </c>
      <c r="I1084" s="6" t="s">
        <v>1867</v>
      </c>
      <c r="J1084" s="6" t="s">
        <v>3279</v>
      </c>
      <c r="L1084" s="6" t="s">
        <v>3132</v>
      </c>
      <c r="M1084" s="6" t="e">
        <f>INDEX(医院2县区2人!$B$2:$B$1048576,MATCH(L1084,医院2县区2人!$A$2:$A$1048576,0))</f>
        <v>#N/A</v>
      </c>
      <c r="N1084" s="6" t="e">
        <f>INDEX(医院2县区2人!$C$2:$C$1048576,MATCH(L1084,医院2县区2人!$A$2:$A$1048576,0))</f>
        <v>#N/A</v>
      </c>
      <c r="P1084" s="7">
        <v>43263</v>
      </c>
      <c r="Q1084" s="6">
        <v>36</v>
      </c>
      <c r="R1084" s="6">
        <v>180</v>
      </c>
      <c r="S1084" s="6">
        <v>1801108</v>
      </c>
      <c r="T1084" s="6" t="e">
        <f>INDEX(医院2县区2人!$D$2:$D$1048576,MATCH(L1084,医院2县区2人!$A$2:$A$1048576,0))</f>
        <v>#N/A</v>
      </c>
      <c r="W1084" s="6" t="str">
        <f t="shared" si="35"/>
        <v>小活络丸3g*10丸</v>
      </c>
      <c r="X1084" s="6" t="s">
        <v>2893</v>
      </c>
    </row>
    <row r="1085" spans="1:24" x14ac:dyDescent="0.15">
      <c r="A1085" s="7" t="str">
        <f t="shared" si="36"/>
        <v>201806</v>
      </c>
      <c r="C1085" s="6" t="str">
        <f>INDEX(工厂基础数据!$A$2:$A$1024,MATCH(X1085,工厂基础数据!$D$2:$D$1024,0))</f>
        <v>02032120</v>
      </c>
      <c r="E1085" s="6" t="str">
        <f>INDEX(工厂基础数据!$B$2:$B$1024,MATCH(X1085,工厂基础数据!$D$2:$D$1024,0))</f>
        <v>淄博博仁医药有限公司</v>
      </c>
      <c r="F1085" s="6" t="e">
        <f>INDEX(商业2转码!$B$2:$B$10000,MATCH(E1085,商业2转码!$A$2:$A$10000,0))</f>
        <v>#N/A</v>
      </c>
      <c r="G1085" s="6" t="str">
        <f>INDEX(品种2编码!$A$2:$A$1048576,MATCH(W1085,品种2编码!$D$2:$D$1048576,0))</f>
        <v>0020040110SHYT0002</v>
      </c>
      <c r="H1085" s="6" t="s">
        <v>601</v>
      </c>
      <c r="I1085" s="6" t="s">
        <v>1997</v>
      </c>
      <c r="J1085" s="6" t="s">
        <v>3279</v>
      </c>
      <c r="L1085" s="6" t="s">
        <v>3141</v>
      </c>
      <c r="M1085" s="6" t="e">
        <f>INDEX(医院2县区2人!$B$2:$B$1048576,MATCH(L1085,医院2县区2人!$A$2:$A$1048576,0))</f>
        <v>#N/A</v>
      </c>
      <c r="N1085" s="6" t="e">
        <f>INDEX(医院2县区2人!$C$2:$C$1048576,MATCH(L1085,医院2县区2人!$A$2:$A$1048576,0))</f>
        <v>#N/A</v>
      </c>
      <c r="P1085" s="7">
        <v>43264</v>
      </c>
      <c r="Q1085" s="6">
        <v>2</v>
      </c>
      <c r="R1085" s="6">
        <v>22.8</v>
      </c>
      <c r="S1085" s="6">
        <v>161101</v>
      </c>
      <c r="T1085" s="6" t="e">
        <f>INDEX(医院2县区2人!$D$2:$D$1048576,MATCH(L1085,医院2县区2人!$A$2:$A$1048576,0))</f>
        <v>#N/A</v>
      </c>
      <c r="W1085" s="6" t="str">
        <f t="shared" si="35"/>
        <v>麝香接骨胶囊0.3g*40粒</v>
      </c>
      <c r="X1085" s="6" t="s">
        <v>2893</v>
      </c>
    </row>
    <row r="1086" spans="1:24" x14ac:dyDescent="0.15">
      <c r="A1086" s="7" t="str">
        <f t="shared" si="36"/>
        <v>201806</v>
      </c>
      <c r="C1086" s="6" t="str">
        <f>INDEX(工厂基础数据!$A$2:$A$1024,MATCH(X1086,工厂基础数据!$D$2:$D$1024,0))</f>
        <v>02032120</v>
      </c>
      <c r="E1086" s="6" t="str">
        <f>INDEX(工厂基础数据!$B$2:$B$1024,MATCH(X1086,工厂基础数据!$D$2:$D$1024,0))</f>
        <v>淄博博仁医药有限公司</v>
      </c>
      <c r="F1086" s="6" t="e">
        <f>INDEX(商业2转码!$B$2:$B$10000,MATCH(E1086,商业2转码!$A$2:$A$10000,0))</f>
        <v>#N/A</v>
      </c>
      <c r="G1086" s="6" t="str">
        <f>INDEX(品种2编码!$A$2:$A$1048576,MATCH(W1086,品种2编码!$D$2:$D$1048576,0))</f>
        <v>0020030001SJZY0006</v>
      </c>
      <c r="H1086" s="6" t="s">
        <v>1833</v>
      </c>
      <c r="I1086" s="6" t="s">
        <v>411</v>
      </c>
      <c r="J1086" s="6" t="s">
        <v>3280</v>
      </c>
      <c r="L1086" s="6" t="s">
        <v>3200</v>
      </c>
      <c r="M1086" s="6" t="e">
        <f>INDEX(医院2县区2人!$B$2:$B$1048576,MATCH(L1086,医院2县区2人!$A$2:$A$1048576,0))</f>
        <v>#N/A</v>
      </c>
      <c r="N1086" s="6" t="e">
        <f>INDEX(医院2县区2人!$C$2:$C$1048576,MATCH(L1086,医院2县区2人!$A$2:$A$1048576,0))</f>
        <v>#N/A</v>
      </c>
      <c r="P1086" s="7">
        <v>43264</v>
      </c>
      <c r="Q1086" s="6">
        <v>2</v>
      </c>
      <c r="R1086" s="6">
        <v>44</v>
      </c>
      <c r="S1086" s="6">
        <v>17122912</v>
      </c>
      <c r="T1086" s="6" t="e">
        <f>INDEX(医院2县区2人!$D$2:$D$1048576,MATCH(L1086,医院2县区2人!$A$2:$A$1048576,0))</f>
        <v>#N/A</v>
      </c>
      <c r="W1086" s="6" t="str">
        <f t="shared" si="35"/>
        <v>葡萄糖酸钙口服溶液10ml*12支</v>
      </c>
      <c r="X1086" s="6" t="s">
        <v>2893</v>
      </c>
    </row>
    <row r="1087" spans="1:24" x14ac:dyDescent="0.15">
      <c r="A1087" s="7" t="str">
        <f t="shared" si="36"/>
        <v>201806</v>
      </c>
      <c r="C1087" s="6" t="str">
        <f>INDEX(工厂基础数据!$A$2:$A$1024,MATCH(X1087,工厂基础数据!$D$2:$D$1024,0))</f>
        <v>02032120</v>
      </c>
      <c r="E1087" s="6" t="str">
        <f>INDEX(工厂基础数据!$B$2:$B$1024,MATCH(X1087,工厂基础数据!$D$2:$D$1024,0))</f>
        <v>淄博博仁医药有限公司</v>
      </c>
      <c r="F1087" s="6" t="e">
        <f>INDEX(商业2转码!$B$2:$B$10000,MATCH(E1087,商业2转码!$A$2:$A$10000,0))</f>
        <v>#N/A</v>
      </c>
      <c r="G1087" s="6">
        <f>INDEX(品种2编码!$A$2:$A$1048576,MATCH(W1087,品种2编码!$D$2:$D$1048576,0))</f>
        <v>0</v>
      </c>
      <c r="H1087" s="6" t="s">
        <v>3268</v>
      </c>
      <c r="I1087" s="6" t="s">
        <v>411</v>
      </c>
      <c r="J1087" s="6" t="s">
        <v>3040</v>
      </c>
      <c r="L1087" s="6" t="s">
        <v>3161</v>
      </c>
      <c r="M1087" s="6" t="e">
        <f>INDEX(医院2县区2人!$B$2:$B$1048576,MATCH(L1087,医院2县区2人!$A$2:$A$1048576,0))</f>
        <v>#N/A</v>
      </c>
      <c r="N1087" s="6" t="e">
        <f>INDEX(医院2县区2人!$C$2:$C$1048576,MATCH(L1087,医院2县区2人!$A$2:$A$1048576,0))</f>
        <v>#N/A</v>
      </c>
      <c r="P1087" s="7">
        <v>43264</v>
      </c>
      <c r="Q1087" s="6">
        <v>2</v>
      </c>
      <c r="R1087" s="6">
        <v>46</v>
      </c>
      <c r="S1087" s="6">
        <v>17112821</v>
      </c>
      <c r="T1087" s="6" t="e">
        <f>INDEX(医院2县区2人!$D$2:$D$1048576,MATCH(L1087,医院2县区2人!$A$2:$A$1048576,0))</f>
        <v>#N/A</v>
      </c>
      <c r="W1087" s="6" t="str">
        <f t="shared" si="35"/>
        <v>葡糖糖酸锌口服溶液10ml*12支</v>
      </c>
      <c r="X1087" s="6" t="s">
        <v>2893</v>
      </c>
    </row>
    <row r="1088" spans="1:24" x14ac:dyDescent="0.15">
      <c r="A1088" s="7" t="str">
        <f t="shared" si="36"/>
        <v>201806</v>
      </c>
      <c r="C1088" s="6" t="str">
        <f>INDEX(工厂基础数据!$A$2:$A$1024,MATCH(X1088,工厂基础数据!$D$2:$D$1024,0))</f>
        <v>02032120</v>
      </c>
      <c r="E1088" s="6" t="str">
        <f>INDEX(工厂基础数据!$B$2:$B$1024,MATCH(X1088,工厂基础数据!$D$2:$D$1024,0))</f>
        <v>淄博博仁医药有限公司</v>
      </c>
      <c r="F1088" s="6" t="e">
        <f>INDEX(商业2转码!$B$2:$B$10000,MATCH(E1088,商业2转码!$A$2:$A$10000,0))</f>
        <v>#N/A</v>
      </c>
      <c r="G1088" s="6" t="str">
        <f>INDEX(品种2编码!$A$2:$A$1048576,MATCH(W1088,品种2编码!$D$2:$D$1048576,0))</f>
        <v>0020030020SJSC0004</v>
      </c>
      <c r="H1088" s="6" t="s">
        <v>394</v>
      </c>
      <c r="I1088" s="6" t="s">
        <v>1871</v>
      </c>
      <c r="J1088" s="6" t="s">
        <v>3284</v>
      </c>
      <c r="L1088" s="6" t="s">
        <v>3201</v>
      </c>
      <c r="M1088" s="6" t="e">
        <f>INDEX(医院2县区2人!$B$2:$B$1048576,MATCH(L1088,医院2县区2人!$A$2:$A$1048576,0))</f>
        <v>#N/A</v>
      </c>
      <c r="N1088" s="6" t="e">
        <f>INDEX(医院2县区2人!$C$2:$C$1048576,MATCH(L1088,医院2县区2人!$A$2:$A$1048576,0))</f>
        <v>#N/A</v>
      </c>
      <c r="P1088" s="7">
        <v>43264</v>
      </c>
      <c r="Q1088" s="6">
        <v>3</v>
      </c>
      <c r="R1088" s="6">
        <v>33</v>
      </c>
      <c r="S1088" s="6">
        <v>1709020</v>
      </c>
      <c r="T1088" s="6" t="e">
        <f>INDEX(医院2县区2人!$D$2:$D$1048576,MATCH(L1088,医院2县区2人!$A$2:$A$1048576,0))</f>
        <v>#N/A</v>
      </c>
      <c r="W1088" s="6" t="str">
        <f t="shared" si="35"/>
        <v>复方铝酸铋片50片</v>
      </c>
      <c r="X1088" s="6" t="s">
        <v>2893</v>
      </c>
    </row>
    <row r="1089" spans="1:24" x14ac:dyDescent="0.15">
      <c r="A1089" s="7" t="str">
        <f t="shared" si="36"/>
        <v>201806</v>
      </c>
      <c r="C1089" s="6" t="str">
        <f>INDEX(工厂基础数据!$A$2:$A$1024,MATCH(X1089,工厂基础数据!$D$2:$D$1024,0))</f>
        <v>02032120</v>
      </c>
      <c r="E1089" s="6" t="str">
        <f>INDEX(工厂基础数据!$B$2:$B$1024,MATCH(X1089,工厂基础数据!$D$2:$D$1024,0))</f>
        <v>淄博博仁医药有限公司</v>
      </c>
      <c r="F1089" s="6" t="e">
        <f>INDEX(商业2转码!$B$2:$B$10000,MATCH(E1089,商业2转码!$A$2:$A$10000,0))</f>
        <v>#N/A</v>
      </c>
      <c r="G1089" s="6" t="str">
        <f>INDEX(品种2编码!$A$2:$A$1048576,MATCH(W1089,品种2编码!$D$2:$D$1048576,0))</f>
        <v>0020030001SJZY0006</v>
      </c>
      <c r="H1089" s="6" t="s">
        <v>1833</v>
      </c>
      <c r="I1089" s="6" t="s">
        <v>411</v>
      </c>
      <c r="J1089" s="6" t="s">
        <v>3280</v>
      </c>
      <c r="L1089" s="6" t="s">
        <v>3161</v>
      </c>
      <c r="M1089" s="6" t="e">
        <f>INDEX(医院2县区2人!$B$2:$B$1048576,MATCH(L1089,医院2县区2人!$A$2:$A$1048576,0))</f>
        <v>#N/A</v>
      </c>
      <c r="N1089" s="6" t="e">
        <f>INDEX(医院2县区2人!$C$2:$C$1048576,MATCH(L1089,医院2县区2人!$A$2:$A$1048576,0))</f>
        <v>#N/A</v>
      </c>
      <c r="P1089" s="7">
        <v>43264</v>
      </c>
      <c r="Q1089" s="6">
        <v>5</v>
      </c>
      <c r="R1089" s="6">
        <v>110</v>
      </c>
      <c r="S1089" s="6">
        <v>17122912</v>
      </c>
      <c r="T1089" s="6" t="e">
        <f>INDEX(医院2县区2人!$D$2:$D$1048576,MATCH(L1089,医院2县区2人!$A$2:$A$1048576,0))</f>
        <v>#N/A</v>
      </c>
      <c r="W1089" s="6" t="str">
        <f t="shared" si="35"/>
        <v>葡萄糖酸钙口服溶液10ml*12支</v>
      </c>
      <c r="X1089" s="6" t="s">
        <v>2893</v>
      </c>
    </row>
    <row r="1090" spans="1:24" x14ac:dyDescent="0.15">
      <c r="A1090" s="7" t="str">
        <f t="shared" si="36"/>
        <v>201806</v>
      </c>
      <c r="C1090" s="6" t="str">
        <f>INDEX(工厂基础数据!$A$2:$A$1024,MATCH(X1090,工厂基础数据!$D$2:$D$1024,0))</f>
        <v>02032120</v>
      </c>
      <c r="E1090" s="6" t="str">
        <f>INDEX(工厂基础数据!$B$2:$B$1024,MATCH(X1090,工厂基础数据!$D$2:$D$1024,0))</f>
        <v>淄博博仁医药有限公司</v>
      </c>
      <c r="F1090" s="6" t="e">
        <f>INDEX(商业2转码!$B$2:$B$10000,MATCH(E1090,商业2转码!$A$2:$A$10000,0))</f>
        <v>#N/A</v>
      </c>
      <c r="G1090" s="6" t="str">
        <f>INDEX(品种2编码!$A$2:$A$1048576,MATCH(W1090,品种2编码!$D$2:$D$1048576,0))</f>
        <v>0020030020SJSC0004</v>
      </c>
      <c r="H1090" s="6" t="s">
        <v>394</v>
      </c>
      <c r="I1090" s="6" t="s">
        <v>1871</v>
      </c>
      <c r="J1090" s="6" t="s">
        <v>3284</v>
      </c>
      <c r="L1090" s="6" t="s">
        <v>3202</v>
      </c>
      <c r="M1090" s="6" t="e">
        <f>INDEX(医院2县区2人!$B$2:$B$1048576,MATCH(L1090,医院2县区2人!$A$2:$A$1048576,0))</f>
        <v>#N/A</v>
      </c>
      <c r="N1090" s="6" t="e">
        <f>INDEX(医院2县区2人!$C$2:$C$1048576,MATCH(L1090,医院2县区2人!$A$2:$A$1048576,0))</f>
        <v>#N/A</v>
      </c>
      <c r="P1090" s="7">
        <v>43264</v>
      </c>
      <c r="Q1090" s="6">
        <v>5</v>
      </c>
      <c r="R1090" s="6">
        <v>55</v>
      </c>
      <c r="S1090" s="6">
        <v>1709020</v>
      </c>
      <c r="T1090" s="6" t="e">
        <f>INDEX(医院2县区2人!$D$2:$D$1048576,MATCH(L1090,医院2县区2人!$A$2:$A$1048576,0))</f>
        <v>#N/A</v>
      </c>
      <c r="W1090" s="6" t="str">
        <f t="shared" si="35"/>
        <v>复方铝酸铋片50片</v>
      </c>
      <c r="X1090" s="6" t="s">
        <v>2893</v>
      </c>
    </row>
    <row r="1091" spans="1:24" x14ac:dyDescent="0.15">
      <c r="A1091" s="7" t="str">
        <f t="shared" si="36"/>
        <v>201806</v>
      </c>
      <c r="C1091" s="6" t="str">
        <f>INDEX(工厂基础数据!$A$2:$A$1024,MATCH(X1091,工厂基础数据!$D$2:$D$1024,0))</f>
        <v>02032120</v>
      </c>
      <c r="E1091" s="6" t="str">
        <f>INDEX(工厂基础数据!$B$2:$B$1024,MATCH(X1091,工厂基础数据!$D$2:$D$1024,0))</f>
        <v>淄博博仁医药有限公司</v>
      </c>
      <c r="F1091" s="6" t="e">
        <f>INDEX(商业2转码!$B$2:$B$10000,MATCH(E1091,商业2转码!$A$2:$A$10000,0))</f>
        <v>#N/A</v>
      </c>
      <c r="G1091" s="6">
        <f>INDEX(品种2编码!$A$2:$A$1048576,MATCH(W1091,品种2编码!$D$2:$D$1048576,0))</f>
        <v>0</v>
      </c>
      <c r="H1091" s="6" t="s">
        <v>2020</v>
      </c>
      <c r="I1091" s="6" t="s">
        <v>3290</v>
      </c>
      <c r="J1091" s="6" t="s">
        <v>3036</v>
      </c>
      <c r="L1091" s="6" t="s">
        <v>3203</v>
      </c>
      <c r="M1091" s="6" t="e">
        <f>INDEX(医院2县区2人!$B$2:$B$1048576,MATCH(L1091,医院2县区2人!$A$2:$A$1048576,0))</f>
        <v>#N/A</v>
      </c>
      <c r="N1091" s="6" t="e">
        <f>INDEX(医院2县区2人!$C$2:$C$1048576,MATCH(L1091,医院2县区2人!$A$2:$A$1048576,0))</f>
        <v>#N/A</v>
      </c>
      <c r="P1091" s="7">
        <v>43264</v>
      </c>
      <c r="Q1091" s="6">
        <v>10</v>
      </c>
      <c r="R1091" s="6">
        <v>40</v>
      </c>
      <c r="S1091" s="6">
        <v>170601</v>
      </c>
      <c r="T1091" s="6" t="e">
        <f>INDEX(医院2县区2人!$D$2:$D$1048576,MATCH(L1091,医院2县区2人!$A$2:$A$1048576,0))</f>
        <v>#N/A</v>
      </c>
      <c r="W1091" s="6" t="str">
        <f t="shared" ref="W1091:W1154" si="37">H1091&amp;I1091</f>
        <v>盐酸氟桂利嗪片5mg*20片</v>
      </c>
      <c r="X1091" s="6" t="s">
        <v>2893</v>
      </c>
    </row>
    <row r="1092" spans="1:24" x14ac:dyDescent="0.15">
      <c r="A1092" s="7" t="str">
        <f t="shared" ref="A1092:A1155" si="38">IF(MONTH(P1092)&lt;10,YEAR(P1092)&amp;"0"&amp;MONTH(P1092),YEAR(P1092)&amp;MONTH(P1092))</f>
        <v>201806</v>
      </c>
      <c r="C1092" s="6" t="str">
        <f>INDEX(工厂基础数据!$A$2:$A$1024,MATCH(X1092,工厂基础数据!$D$2:$D$1024,0))</f>
        <v>02032120</v>
      </c>
      <c r="E1092" s="6" t="str">
        <f>INDEX(工厂基础数据!$B$2:$B$1024,MATCH(X1092,工厂基础数据!$D$2:$D$1024,0))</f>
        <v>淄博博仁医药有限公司</v>
      </c>
      <c r="F1092" s="6" t="e">
        <f>INDEX(商业2转码!$B$2:$B$10000,MATCH(E1092,商业2转码!$A$2:$A$10000,0))</f>
        <v>#N/A</v>
      </c>
      <c r="G1092" s="6">
        <f>INDEX(品种2编码!$A$2:$A$1048576,MATCH(W1092,品种2编码!$D$2:$D$1048576,0))</f>
        <v>0</v>
      </c>
      <c r="H1092" s="6" t="s">
        <v>1885</v>
      </c>
      <c r="I1092" s="6" t="s">
        <v>1838</v>
      </c>
      <c r="J1092" s="6" t="s">
        <v>3279</v>
      </c>
      <c r="L1092" s="6" t="s">
        <v>3204</v>
      </c>
      <c r="M1092" s="6" t="e">
        <f>INDEX(医院2县区2人!$B$2:$B$1048576,MATCH(L1092,医院2县区2人!$A$2:$A$1048576,0))</f>
        <v>#N/A</v>
      </c>
      <c r="N1092" s="6" t="e">
        <f>INDEX(医院2县区2人!$C$2:$C$1048576,MATCH(L1092,医院2县区2人!$A$2:$A$1048576,0))</f>
        <v>#N/A</v>
      </c>
      <c r="P1092" s="7">
        <v>43264</v>
      </c>
      <c r="Q1092" s="6">
        <v>10</v>
      </c>
      <c r="R1092" s="6">
        <v>240</v>
      </c>
      <c r="S1092" s="6">
        <v>171251</v>
      </c>
      <c r="T1092" s="6" t="e">
        <f>INDEX(医院2县区2人!$D$2:$D$1048576,MATCH(L1092,医院2县区2人!$A$2:$A$1048576,0))</f>
        <v>#N/A</v>
      </c>
      <c r="W1092" s="6" t="str">
        <f t="shared" si="37"/>
        <v>新盖中盖高钙片2.5g*36片</v>
      </c>
      <c r="X1092" s="6" t="s">
        <v>2893</v>
      </c>
    </row>
    <row r="1093" spans="1:24" x14ac:dyDescent="0.15">
      <c r="A1093" s="7" t="str">
        <f t="shared" si="38"/>
        <v>201806</v>
      </c>
      <c r="C1093" s="6" t="str">
        <f>INDEX(工厂基础数据!$A$2:$A$1024,MATCH(X1093,工厂基础数据!$D$2:$D$1024,0))</f>
        <v>02032120</v>
      </c>
      <c r="E1093" s="6" t="str">
        <f>INDEX(工厂基础数据!$B$2:$B$1024,MATCH(X1093,工厂基础数据!$D$2:$D$1024,0))</f>
        <v>淄博博仁医药有限公司</v>
      </c>
      <c r="F1093" s="6" t="e">
        <f>INDEX(商业2转码!$B$2:$B$10000,MATCH(E1093,商业2转码!$A$2:$A$10000,0))</f>
        <v>#N/A</v>
      </c>
      <c r="G1093" s="6" t="str">
        <f>INDEX(品种2编码!$A$2:$A$1048576,MATCH(W1093,品种2编码!$D$2:$D$1048576,0))</f>
        <v>0020020013ZYZC0491</v>
      </c>
      <c r="H1093" s="6" t="s">
        <v>3266</v>
      </c>
      <c r="I1093" s="6" t="s">
        <v>914</v>
      </c>
      <c r="J1093" s="6" t="s">
        <v>3279</v>
      </c>
      <c r="L1093" s="6" t="s">
        <v>3205</v>
      </c>
      <c r="M1093" s="6" t="e">
        <f>INDEX(医院2县区2人!$B$2:$B$1048576,MATCH(L1093,医院2县区2人!$A$2:$A$1048576,0))</f>
        <v>#N/A</v>
      </c>
      <c r="N1093" s="6" t="e">
        <f>INDEX(医院2县区2人!$C$2:$C$1048576,MATCH(L1093,医院2县区2人!$A$2:$A$1048576,0))</f>
        <v>#N/A</v>
      </c>
      <c r="P1093" s="7">
        <v>43264</v>
      </c>
      <c r="Q1093" s="6">
        <v>20</v>
      </c>
      <c r="R1093" s="6">
        <v>78</v>
      </c>
      <c r="S1093" s="6" t="s">
        <v>3272</v>
      </c>
      <c r="T1093" s="6" t="e">
        <f>INDEX(医院2县区2人!$D$2:$D$1048576,MATCH(L1093,医院2县区2人!$A$2:$A$1048576,0))</f>
        <v>#N/A</v>
      </c>
      <c r="W1093" s="6" t="str">
        <f t="shared" si="37"/>
        <v>*注射用乳糖酸阿奇霉素0.25g</v>
      </c>
      <c r="X1093" s="6" t="s">
        <v>2893</v>
      </c>
    </row>
    <row r="1094" spans="1:24" x14ac:dyDescent="0.15">
      <c r="A1094" s="7" t="str">
        <f t="shared" si="38"/>
        <v>201806</v>
      </c>
      <c r="C1094" s="6" t="str">
        <f>INDEX(工厂基础数据!$A$2:$A$1024,MATCH(X1094,工厂基础数据!$D$2:$D$1024,0))</f>
        <v>02032120</v>
      </c>
      <c r="E1094" s="6" t="str">
        <f>INDEX(工厂基础数据!$B$2:$B$1024,MATCH(X1094,工厂基础数据!$D$2:$D$1024,0))</f>
        <v>淄博博仁医药有限公司</v>
      </c>
      <c r="F1094" s="6" t="e">
        <f>INDEX(商业2转码!$B$2:$B$10000,MATCH(E1094,商业2转码!$A$2:$A$10000,0))</f>
        <v>#N/A</v>
      </c>
      <c r="G1094" s="6" t="str">
        <f>INDEX(品种2编码!$A$2:$A$1048576,MATCH(W1094,品种2编码!$D$2:$D$1048576,0))</f>
        <v>0020020013ZYZC0491</v>
      </c>
      <c r="H1094" s="6" t="s">
        <v>3266</v>
      </c>
      <c r="I1094" s="6" t="s">
        <v>914</v>
      </c>
      <c r="J1094" s="6" t="s">
        <v>3279</v>
      </c>
      <c r="L1094" s="6" t="s">
        <v>3206</v>
      </c>
      <c r="M1094" s="6" t="e">
        <f>INDEX(医院2县区2人!$B$2:$B$1048576,MATCH(L1094,医院2县区2人!$A$2:$A$1048576,0))</f>
        <v>#N/A</v>
      </c>
      <c r="N1094" s="6" t="e">
        <f>INDEX(医院2县区2人!$C$2:$C$1048576,MATCH(L1094,医院2县区2人!$A$2:$A$1048576,0))</f>
        <v>#N/A</v>
      </c>
      <c r="P1094" s="7">
        <v>43264</v>
      </c>
      <c r="Q1094" s="6">
        <v>20</v>
      </c>
      <c r="R1094" s="6">
        <v>78</v>
      </c>
      <c r="S1094" s="6" t="s">
        <v>3272</v>
      </c>
      <c r="T1094" s="6" t="e">
        <f>INDEX(医院2县区2人!$D$2:$D$1048576,MATCH(L1094,医院2县区2人!$A$2:$A$1048576,0))</f>
        <v>#N/A</v>
      </c>
      <c r="W1094" s="6" t="str">
        <f t="shared" si="37"/>
        <v>*注射用乳糖酸阿奇霉素0.25g</v>
      </c>
      <c r="X1094" s="6" t="s">
        <v>2893</v>
      </c>
    </row>
    <row r="1095" spans="1:24" x14ac:dyDescent="0.15">
      <c r="A1095" s="7" t="str">
        <f t="shared" si="38"/>
        <v>201806</v>
      </c>
      <c r="C1095" s="6" t="str">
        <f>INDEX(工厂基础数据!$A$2:$A$1024,MATCH(X1095,工厂基础数据!$D$2:$D$1024,0))</f>
        <v>02032120</v>
      </c>
      <c r="E1095" s="6" t="str">
        <f>INDEX(工厂基础数据!$B$2:$B$1024,MATCH(X1095,工厂基础数据!$D$2:$D$1024,0))</f>
        <v>淄博博仁医药有限公司</v>
      </c>
      <c r="F1095" s="6" t="e">
        <f>INDEX(商业2转码!$B$2:$B$10000,MATCH(E1095,商业2转码!$A$2:$A$10000,0))</f>
        <v>#N/A</v>
      </c>
      <c r="G1095" s="6" t="str">
        <f>INDEX(品种2编码!$A$2:$A$1048576,MATCH(W1095,品种2编码!$D$2:$D$1048576,0))</f>
        <v>0020050020SHYT0016</v>
      </c>
      <c r="H1095" s="6" t="s">
        <v>1864</v>
      </c>
      <c r="I1095" s="6" t="s">
        <v>339</v>
      </c>
      <c r="J1095" s="6" t="s">
        <v>3037</v>
      </c>
      <c r="L1095" s="6" t="s">
        <v>3132</v>
      </c>
      <c r="M1095" s="6" t="e">
        <f>INDEX(医院2县区2人!$B$2:$B$1048576,MATCH(L1095,医院2县区2人!$A$2:$A$1048576,0))</f>
        <v>#N/A</v>
      </c>
      <c r="N1095" s="6" t="e">
        <f>INDEX(医院2县区2人!$C$2:$C$1048576,MATCH(L1095,医院2县区2人!$A$2:$A$1048576,0))</f>
        <v>#N/A</v>
      </c>
      <c r="P1095" s="7">
        <v>43264</v>
      </c>
      <c r="Q1095" s="6">
        <v>30</v>
      </c>
      <c r="R1095" s="6">
        <v>393</v>
      </c>
      <c r="S1095" s="6">
        <v>1801504</v>
      </c>
      <c r="T1095" s="6" t="e">
        <f>INDEX(医院2县区2人!$D$2:$D$1048576,MATCH(L1095,医院2县区2人!$A$2:$A$1048576,0))</f>
        <v>#N/A</v>
      </c>
      <c r="W1095" s="6" t="str">
        <f t="shared" si="37"/>
        <v>复方金银花颗粒10g*10袋</v>
      </c>
      <c r="X1095" s="6" t="s">
        <v>2893</v>
      </c>
    </row>
    <row r="1096" spans="1:24" x14ac:dyDescent="0.15">
      <c r="A1096" s="7" t="str">
        <f t="shared" si="38"/>
        <v>201806</v>
      </c>
      <c r="C1096" s="6" t="str">
        <f>INDEX(工厂基础数据!$A$2:$A$1024,MATCH(X1096,工厂基础数据!$D$2:$D$1024,0))</f>
        <v>02032120</v>
      </c>
      <c r="E1096" s="6" t="str">
        <f>INDEX(工厂基础数据!$B$2:$B$1024,MATCH(X1096,工厂基础数据!$D$2:$D$1024,0))</f>
        <v>淄博博仁医药有限公司</v>
      </c>
      <c r="F1096" s="6" t="e">
        <f>INDEX(商业2转码!$B$2:$B$10000,MATCH(E1096,商业2转码!$A$2:$A$10000,0))</f>
        <v>#N/A</v>
      </c>
      <c r="G1096" s="6" t="str">
        <f>INDEX(品种2编码!$A$2:$A$1048576,MATCH(W1096,品种2编码!$D$2:$D$1048576,0))</f>
        <v>0020030001SJZY0006</v>
      </c>
      <c r="H1096" s="6" t="s">
        <v>1833</v>
      </c>
      <c r="I1096" s="6" t="s">
        <v>411</v>
      </c>
      <c r="J1096" s="6" t="s">
        <v>3280</v>
      </c>
      <c r="L1096" s="6" t="s">
        <v>3134</v>
      </c>
      <c r="M1096" s="6" t="e">
        <f>INDEX(医院2县区2人!$B$2:$B$1048576,MATCH(L1096,医院2县区2人!$A$2:$A$1048576,0))</f>
        <v>#N/A</v>
      </c>
      <c r="N1096" s="6" t="e">
        <f>INDEX(医院2县区2人!$C$2:$C$1048576,MATCH(L1096,医院2县区2人!$A$2:$A$1048576,0))</f>
        <v>#N/A</v>
      </c>
      <c r="P1096" s="7">
        <v>43265</v>
      </c>
      <c r="Q1096" s="6">
        <v>1</v>
      </c>
      <c r="R1096" s="6">
        <v>22</v>
      </c>
      <c r="S1096" s="6">
        <v>17122912</v>
      </c>
      <c r="T1096" s="6" t="e">
        <f>INDEX(医院2县区2人!$D$2:$D$1048576,MATCH(L1096,医院2县区2人!$A$2:$A$1048576,0))</f>
        <v>#N/A</v>
      </c>
      <c r="W1096" s="6" t="str">
        <f t="shared" si="37"/>
        <v>葡萄糖酸钙口服溶液10ml*12支</v>
      </c>
      <c r="X1096" s="6" t="s">
        <v>2893</v>
      </c>
    </row>
    <row r="1097" spans="1:24" x14ac:dyDescent="0.15">
      <c r="A1097" s="7" t="str">
        <f t="shared" si="38"/>
        <v>201806</v>
      </c>
      <c r="C1097" s="6" t="str">
        <f>INDEX(工厂基础数据!$A$2:$A$1024,MATCH(X1097,工厂基础数据!$D$2:$D$1024,0))</f>
        <v>02032120</v>
      </c>
      <c r="E1097" s="6" t="str">
        <f>INDEX(工厂基础数据!$B$2:$B$1024,MATCH(X1097,工厂基础数据!$D$2:$D$1024,0))</f>
        <v>淄博博仁医药有限公司</v>
      </c>
      <c r="F1097" s="6" t="e">
        <f>INDEX(商业2转码!$B$2:$B$10000,MATCH(E1097,商业2转码!$A$2:$A$10000,0))</f>
        <v>#N/A</v>
      </c>
      <c r="G1097" s="6">
        <f>INDEX(品种2编码!$A$2:$A$1048576,MATCH(W1097,品种2编码!$D$2:$D$1048576,0))</f>
        <v>0</v>
      </c>
      <c r="H1097" s="6" t="s">
        <v>3268</v>
      </c>
      <c r="I1097" s="6" t="s">
        <v>411</v>
      </c>
      <c r="J1097" s="6" t="s">
        <v>3040</v>
      </c>
      <c r="L1097" s="6" t="s">
        <v>3134</v>
      </c>
      <c r="M1097" s="6" t="e">
        <f>INDEX(医院2县区2人!$B$2:$B$1048576,MATCH(L1097,医院2县区2人!$A$2:$A$1048576,0))</f>
        <v>#N/A</v>
      </c>
      <c r="N1097" s="6" t="e">
        <f>INDEX(医院2县区2人!$C$2:$C$1048576,MATCH(L1097,医院2县区2人!$A$2:$A$1048576,0))</f>
        <v>#N/A</v>
      </c>
      <c r="P1097" s="7">
        <v>43265</v>
      </c>
      <c r="Q1097" s="6">
        <v>1</v>
      </c>
      <c r="R1097" s="6">
        <v>23</v>
      </c>
      <c r="S1097" s="6">
        <v>17112821</v>
      </c>
      <c r="T1097" s="6" t="e">
        <f>INDEX(医院2县区2人!$D$2:$D$1048576,MATCH(L1097,医院2县区2人!$A$2:$A$1048576,0))</f>
        <v>#N/A</v>
      </c>
      <c r="W1097" s="6" t="str">
        <f t="shared" si="37"/>
        <v>葡糖糖酸锌口服溶液10ml*12支</v>
      </c>
      <c r="X1097" s="6" t="s">
        <v>2893</v>
      </c>
    </row>
    <row r="1098" spans="1:24" x14ac:dyDescent="0.15">
      <c r="A1098" s="7" t="str">
        <f t="shared" si="38"/>
        <v>201806</v>
      </c>
      <c r="C1098" s="6" t="str">
        <f>INDEX(工厂基础数据!$A$2:$A$1024,MATCH(X1098,工厂基础数据!$D$2:$D$1024,0))</f>
        <v>02032120</v>
      </c>
      <c r="E1098" s="6" t="str">
        <f>INDEX(工厂基础数据!$B$2:$B$1024,MATCH(X1098,工厂基础数据!$D$2:$D$1024,0))</f>
        <v>淄博博仁医药有限公司</v>
      </c>
      <c r="F1098" s="6" t="e">
        <f>INDEX(商业2转码!$B$2:$B$10000,MATCH(E1098,商业2转码!$A$2:$A$10000,0))</f>
        <v>#N/A</v>
      </c>
      <c r="G1098" s="6">
        <f>INDEX(品种2编码!$A$2:$A$1048576,MATCH(W1098,品种2编码!$D$2:$D$1048576,0))</f>
        <v>0</v>
      </c>
      <c r="H1098" s="6" t="s">
        <v>3269</v>
      </c>
      <c r="I1098" s="6" t="s">
        <v>1839</v>
      </c>
      <c r="J1098" s="6" t="s">
        <v>3279</v>
      </c>
      <c r="L1098" s="6" t="s">
        <v>3207</v>
      </c>
      <c r="M1098" s="6" t="e">
        <f>INDEX(医院2县区2人!$B$2:$B$1048576,MATCH(L1098,医院2县区2人!$A$2:$A$1048576,0))</f>
        <v>#N/A</v>
      </c>
      <c r="N1098" s="6" t="e">
        <f>INDEX(医院2县区2人!$C$2:$C$1048576,MATCH(L1098,医院2县区2人!$A$2:$A$1048576,0))</f>
        <v>#N/A</v>
      </c>
      <c r="P1098" s="7">
        <v>43265</v>
      </c>
      <c r="Q1098" s="6">
        <v>2</v>
      </c>
      <c r="R1098" s="6">
        <v>16</v>
      </c>
      <c r="S1098" s="6">
        <v>180111</v>
      </c>
      <c r="T1098" s="6" t="e">
        <f>INDEX(医院2县区2人!$D$2:$D$1048576,MATCH(L1098,医院2县区2人!$A$2:$A$1048576,0))</f>
        <v>#N/A</v>
      </c>
      <c r="W1098" s="6" t="str">
        <f t="shared" si="37"/>
        <v>乳酸菌素片(精）0.4g*36片</v>
      </c>
      <c r="X1098" s="6" t="s">
        <v>2893</v>
      </c>
    </row>
    <row r="1099" spans="1:24" x14ac:dyDescent="0.15">
      <c r="A1099" s="7" t="str">
        <f t="shared" si="38"/>
        <v>201806</v>
      </c>
      <c r="C1099" s="6" t="str">
        <f>INDEX(工厂基础数据!$A$2:$A$1024,MATCH(X1099,工厂基础数据!$D$2:$D$1024,0))</f>
        <v>02032120</v>
      </c>
      <c r="E1099" s="6" t="str">
        <f>INDEX(工厂基础数据!$B$2:$B$1024,MATCH(X1099,工厂基础数据!$D$2:$D$1024,0))</f>
        <v>淄博博仁医药有限公司</v>
      </c>
      <c r="F1099" s="6" t="e">
        <f>INDEX(商业2转码!$B$2:$B$10000,MATCH(E1099,商业2转码!$A$2:$A$10000,0))</f>
        <v>#N/A</v>
      </c>
      <c r="G1099" s="6" t="str">
        <f>INDEX(品种2编码!$A$2:$A$1048576,MATCH(W1099,品种2编码!$D$2:$D$1048576,0))</f>
        <v>0020030001SJZY0006</v>
      </c>
      <c r="H1099" s="6" t="s">
        <v>1833</v>
      </c>
      <c r="I1099" s="6" t="s">
        <v>411</v>
      </c>
      <c r="J1099" s="6" t="s">
        <v>3280</v>
      </c>
      <c r="L1099" s="6" t="s">
        <v>3123</v>
      </c>
      <c r="M1099" s="6" t="e">
        <f>INDEX(医院2县区2人!$B$2:$B$1048576,MATCH(L1099,医院2县区2人!$A$2:$A$1048576,0))</f>
        <v>#N/A</v>
      </c>
      <c r="N1099" s="6" t="e">
        <f>INDEX(医院2县区2人!$C$2:$C$1048576,MATCH(L1099,医院2县区2人!$A$2:$A$1048576,0))</f>
        <v>#N/A</v>
      </c>
      <c r="P1099" s="7">
        <v>43265</v>
      </c>
      <c r="Q1099" s="6">
        <v>2</v>
      </c>
      <c r="R1099" s="6">
        <v>37.200000000000003</v>
      </c>
      <c r="S1099" s="6">
        <v>17122912</v>
      </c>
      <c r="T1099" s="6" t="e">
        <f>INDEX(医院2县区2人!$D$2:$D$1048576,MATCH(L1099,医院2县区2人!$A$2:$A$1048576,0))</f>
        <v>#N/A</v>
      </c>
      <c r="W1099" s="6" t="str">
        <f t="shared" si="37"/>
        <v>葡萄糖酸钙口服溶液10ml*12支</v>
      </c>
      <c r="X1099" s="6" t="s">
        <v>2893</v>
      </c>
    </row>
    <row r="1100" spans="1:24" x14ac:dyDescent="0.15">
      <c r="A1100" s="7" t="str">
        <f t="shared" si="38"/>
        <v>201806</v>
      </c>
      <c r="C1100" s="6" t="str">
        <f>INDEX(工厂基础数据!$A$2:$A$1024,MATCH(X1100,工厂基础数据!$D$2:$D$1024,0))</f>
        <v>02032120</v>
      </c>
      <c r="E1100" s="6" t="str">
        <f>INDEX(工厂基础数据!$B$2:$B$1024,MATCH(X1100,工厂基础数据!$D$2:$D$1024,0))</f>
        <v>淄博博仁医药有限公司</v>
      </c>
      <c r="F1100" s="6" t="e">
        <f>INDEX(商业2转码!$B$2:$B$10000,MATCH(E1100,商业2转码!$A$2:$A$10000,0))</f>
        <v>#N/A</v>
      </c>
      <c r="G1100" s="6">
        <f>INDEX(品种2编码!$A$2:$A$1048576,MATCH(W1100,品种2编码!$D$2:$D$1048576,0))</f>
        <v>0</v>
      </c>
      <c r="H1100" s="6" t="s">
        <v>3268</v>
      </c>
      <c r="I1100" s="6" t="s">
        <v>411</v>
      </c>
      <c r="J1100" s="6" t="s">
        <v>3040</v>
      </c>
      <c r="L1100" s="6" t="s">
        <v>3123</v>
      </c>
      <c r="M1100" s="6" t="e">
        <f>INDEX(医院2县区2人!$B$2:$B$1048576,MATCH(L1100,医院2县区2人!$A$2:$A$1048576,0))</f>
        <v>#N/A</v>
      </c>
      <c r="N1100" s="6" t="e">
        <f>INDEX(医院2县区2人!$C$2:$C$1048576,MATCH(L1100,医院2县区2人!$A$2:$A$1048576,0))</f>
        <v>#N/A</v>
      </c>
      <c r="P1100" s="7">
        <v>43265</v>
      </c>
      <c r="Q1100" s="6">
        <v>2</v>
      </c>
      <c r="R1100" s="6">
        <v>38.799999999999997</v>
      </c>
      <c r="S1100" s="6">
        <v>17112821</v>
      </c>
      <c r="T1100" s="6" t="e">
        <f>INDEX(医院2县区2人!$D$2:$D$1048576,MATCH(L1100,医院2县区2人!$A$2:$A$1048576,0))</f>
        <v>#N/A</v>
      </c>
      <c r="W1100" s="6" t="str">
        <f t="shared" si="37"/>
        <v>葡糖糖酸锌口服溶液10ml*12支</v>
      </c>
      <c r="X1100" s="6" t="s">
        <v>2893</v>
      </c>
    </row>
    <row r="1101" spans="1:24" x14ac:dyDescent="0.15">
      <c r="A1101" s="7" t="str">
        <f t="shared" si="38"/>
        <v>201806</v>
      </c>
      <c r="C1101" s="6" t="str">
        <f>INDEX(工厂基础数据!$A$2:$A$1024,MATCH(X1101,工厂基础数据!$D$2:$D$1024,0))</f>
        <v>02032120</v>
      </c>
      <c r="E1101" s="6" t="str">
        <f>INDEX(工厂基础数据!$B$2:$B$1024,MATCH(X1101,工厂基础数据!$D$2:$D$1024,0))</f>
        <v>淄博博仁医药有限公司</v>
      </c>
      <c r="F1101" s="6" t="e">
        <f>INDEX(商业2转码!$B$2:$B$10000,MATCH(E1101,商业2转码!$A$2:$A$10000,0))</f>
        <v>#N/A</v>
      </c>
      <c r="G1101" s="6" t="str">
        <f>INDEX(品种2编码!$A$2:$A$1048576,MATCH(W1101,品种2编码!$D$2:$D$1048576,0))</f>
        <v>0020030001SJZY0006</v>
      </c>
      <c r="H1101" s="6" t="s">
        <v>1833</v>
      </c>
      <c r="I1101" s="6" t="s">
        <v>411</v>
      </c>
      <c r="J1101" s="6" t="s">
        <v>3280</v>
      </c>
      <c r="L1101" s="6" t="s">
        <v>3208</v>
      </c>
      <c r="M1101" s="6" t="e">
        <f>INDEX(医院2县区2人!$B$2:$B$1048576,MATCH(L1101,医院2县区2人!$A$2:$A$1048576,0))</f>
        <v>#N/A</v>
      </c>
      <c r="N1101" s="6" t="e">
        <f>INDEX(医院2县区2人!$C$2:$C$1048576,MATCH(L1101,医院2县区2人!$A$2:$A$1048576,0))</f>
        <v>#N/A</v>
      </c>
      <c r="P1101" s="7">
        <v>43265</v>
      </c>
      <c r="Q1101" s="6">
        <v>3</v>
      </c>
      <c r="R1101" s="6">
        <v>66</v>
      </c>
      <c r="S1101" s="6">
        <v>17122912</v>
      </c>
      <c r="T1101" s="6" t="e">
        <f>INDEX(医院2县区2人!$D$2:$D$1048576,MATCH(L1101,医院2县区2人!$A$2:$A$1048576,0))</f>
        <v>#N/A</v>
      </c>
      <c r="W1101" s="6" t="str">
        <f t="shared" si="37"/>
        <v>葡萄糖酸钙口服溶液10ml*12支</v>
      </c>
      <c r="X1101" s="6" t="s">
        <v>2893</v>
      </c>
    </row>
    <row r="1102" spans="1:24" x14ac:dyDescent="0.15">
      <c r="A1102" s="7" t="str">
        <f t="shared" si="38"/>
        <v>201806</v>
      </c>
      <c r="C1102" s="6" t="str">
        <f>INDEX(工厂基础数据!$A$2:$A$1024,MATCH(X1102,工厂基础数据!$D$2:$D$1024,0))</f>
        <v>02032120</v>
      </c>
      <c r="E1102" s="6" t="str">
        <f>INDEX(工厂基础数据!$B$2:$B$1024,MATCH(X1102,工厂基础数据!$D$2:$D$1024,0))</f>
        <v>淄博博仁医药有限公司</v>
      </c>
      <c r="F1102" s="6" t="e">
        <f>INDEX(商业2转码!$B$2:$B$10000,MATCH(E1102,商业2转码!$A$2:$A$10000,0))</f>
        <v>#N/A</v>
      </c>
      <c r="G1102" s="6">
        <f>INDEX(品种2编码!$A$2:$A$1048576,MATCH(W1102,品种2编码!$D$2:$D$1048576,0))</f>
        <v>0</v>
      </c>
      <c r="H1102" s="6" t="s">
        <v>3270</v>
      </c>
      <c r="I1102" s="6" t="s">
        <v>3296</v>
      </c>
      <c r="J1102" s="6" t="s">
        <v>3285</v>
      </c>
      <c r="L1102" s="6" t="s">
        <v>3120</v>
      </c>
      <c r="M1102" s="6" t="e">
        <f>INDEX(医院2县区2人!$B$2:$B$1048576,MATCH(L1102,医院2县区2人!$A$2:$A$1048576,0))</f>
        <v>#N/A</v>
      </c>
      <c r="N1102" s="6" t="e">
        <f>INDEX(医院2县区2人!$C$2:$C$1048576,MATCH(L1102,医院2县区2人!$A$2:$A$1048576,0))</f>
        <v>#N/A</v>
      </c>
      <c r="P1102" s="7">
        <v>43265</v>
      </c>
      <c r="Q1102" s="6">
        <v>4</v>
      </c>
      <c r="R1102" s="6">
        <v>96.4</v>
      </c>
      <c r="S1102" s="6">
        <v>1706018</v>
      </c>
      <c r="T1102" s="6" t="e">
        <f>INDEX(医院2县区2人!$D$2:$D$1048576,MATCH(L1102,医院2县区2人!$A$2:$A$1048576,0))</f>
        <v>#N/A</v>
      </c>
      <c r="W1102" s="6" t="str">
        <f t="shared" si="37"/>
        <v>拉西地平片（司乐平）4mg*15粒</v>
      </c>
      <c r="X1102" s="6" t="s">
        <v>2893</v>
      </c>
    </row>
    <row r="1103" spans="1:24" x14ac:dyDescent="0.15">
      <c r="A1103" s="7" t="str">
        <f t="shared" si="38"/>
        <v>201806</v>
      </c>
      <c r="C1103" s="6" t="str">
        <f>INDEX(工厂基础数据!$A$2:$A$1024,MATCH(X1103,工厂基础数据!$D$2:$D$1024,0))</f>
        <v>02032120</v>
      </c>
      <c r="E1103" s="6" t="str">
        <f>INDEX(工厂基础数据!$B$2:$B$1024,MATCH(X1103,工厂基础数据!$D$2:$D$1024,0))</f>
        <v>淄博博仁医药有限公司</v>
      </c>
      <c r="F1103" s="6" t="e">
        <f>INDEX(商业2转码!$B$2:$B$10000,MATCH(E1103,商业2转码!$A$2:$A$10000,0))</f>
        <v>#N/A</v>
      </c>
      <c r="G1103" s="6" t="str">
        <f>INDEX(品种2编码!$A$2:$A$1048576,MATCH(W1103,品种2编码!$D$2:$D$1048576,0))</f>
        <v>0020050090SJZY0001</v>
      </c>
      <c r="H1103" s="6" t="s">
        <v>630</v>
      </c>
      <c r="I1103" s="6" t="s">
        <v>1850</v>
      </c>
      <c r="J1103" s="6" t="s">
        <v>3285</v>
      </c>
      <c r="L1103" s="6" t="s">
        <v>3120</v>
      </c>
      <c r="M1103" s="6" t="e">
        <f>INDEX(医院2县区2人!$B$2:$B$1048576,MATCH(L1103,医院2县区2人!$A$2:$A$1048576,0))</f>
        <v>#N/A</v>
      </c>
      <c r="N1103" s="6" t="e">
        <f>INDEX(医院2县区2人!$C$2:$C$1048576,MATCH(L1103,医院2县区2人!$A$2:$A$1048576,0))</f>
        <v>#N/A</v>
      </c>
      <c r="P1103" s="7">
        <v>43265</v>
      </c>
      <c r="Q1103" s="6">
        <v>5</v>
      </c>
      <c r="R1103" s="6">
        <v>74</v>
      </c>
      <c r="S1103" s="6">
        <v>17122813</v>
      </c>
      <c r="T1103" s="6" t="e">
        <f>INDEX(医院2县区2人!$D$2:$D$1048576,MATCH(L1103,医院2县区2人!$A$2:$A$1048576,0))</f>
        <v>#N/A</v>
      </c>
      <c r="W1103" s="6" t="str">
        <f t="shared" si="37"/>
        <v>双黄连口服液10ml*10支</v>
      </c>
      <c r="X1103" s="6" t="s">
        <v>2893</v>
      </c>
    </row>
    <row r="1104" spans="1:24" x14ac:dyDescent="0.15">
      <c r="A1104" s="7" t="str">
        <f t="shared" si="38"/>
        <v>201806</v>
      </c>
      <c r="C1104" s="6" t="str">
        <f>INDEX(工厂基础数据!$A$2:$A$1024,MATCH(X1104,工厂基础数据!$D$2:$D$1024,0))</f>
        <v>02032120</v>
      </c>
      <c r="E1104" s="6" t="str">
        <f>INDEX(工厂基础数据!$B$2:$B$1024,MATCH(X1104,工厂基础数据!$D$2:$D$1024,0))</f>
        <v>淄博博仁医药有限公司</v>
      </c>
      <c r="F1104" s="6" t="e">
        <f>INDEX(商业2转码!$B$2:$B$10000,MATCH(E1104,商业2转码!$A$2:$A$10000,0))</f>
        <v>#N/A</v>
      </c>
      <c r="G1104" s="6">
        <f>INDEX(品种2编码!$A$2:$A$1048576,MATCH(W1104,品种2编码!$D$2:$D$1048576,0))</f>
        <v>0</v>
      </c>
      <c r="H1104" s="6" t="s">
        <v>3269</v>
      </c>
      <c r="I1104" s="6" t="s">
        <v>1839</v>
      </c>
      <c r="J1104" s="6" t="s">
        <v>3279</v>
      </c>
      <c r="L1104" s="6" t="s">
        <v>3167</v>
      </c>
      <c r="M1104" s="6" t="e">
        <f>INDEX(医院2县区2人!$B$2:$B$1048576,MATCH(L1104,医院2县区2人!$A$2:$A$1048576,0))</f>
        <v>#N/A</v>
      </c>
      <c r="N1104" s="6" t="e">
        <f>INDEX(医院2县区2人!$C$2:$C$1048576,MATCH(L1104,医院2县区2人!$A$2:$A$1048576,0))</f>
        <v>#N/A</v>
      </c>
      <c r="P1104" s="7">
        <v>43265</v>
      </c>
      <c r="Q1104" s="6">
        <v>5</v>
      </c>
      <c r="R1104" s="6">
        <v>40</v>
      </c>
      <c r="S1104" s="6">
        <v>180111</v>
      </c>
      <c r="T1104" s="6" t="e">
        <f>INDEX(医院2县区2人!$D$2:$D$1048576,MATCH(L1104,医院2县区2人!$A$2:$A$1048576,0))</f>
        <v>#N/A</v>
      </c>
      <c r="W1104" s="6" t="str">
        <f t="shared" si="37"/>
        <v>乳酸菌素片(精）0.4g*36片</v>
      </c>
      <c r="X1104" s="6" t="s">
        <v>2893</v>
      </c>
    </row>
    <row r="1105" spans="1:24" x14ac:dyDescent="0.15">
      <c r="A1105" s="7" t="str">
        <f t="shared" si="38"/>
        <v>201806</v>
      </c>
      <c r="C1105" s="6" t="str">
        <f>INDEX(工厂基础数据!$A$2:$A$1024,MATCH(X1105,工厂基础数据!$D$2:$D$1024,0))</f>
        <v>02032120</v>
      </c>
      <c r="E1105" s="6" t="str">
        <f>INDEX(工厂基础数据!$B$2:$B$1024,MATCH(X1105,工厂基础数据!$D$2:$D$1024,0))</f>
        <v>淄博博仁医药有限公司</v>
      </c>
      <c r="F1105" s="6" t="e">
        <f>INDEX(商业2转码!$B$2:$B$10000,MATCH(E1105,商业2转码!$A$2:$A$10000,0))</f>
        <v>#N/A</v>
      </c>
      <c r="G1105" s="6" t="str">
        <f>INDEX(品种2编码!$A$2:$A$1048576,MATCH(W1105,品种2编码!$D$2:$D$1048576,0))</f>
        <v>0020030001SJZY0006</v>
      </c>
      <c r="H1105" s="6" t="s">
        <v>1833</v>
      </c>
      <c r="I1105" s="6" t="s">
        <v>411</v>
      </c>
      <c r="J1105" s="6" t="s">
        <v>3280</v>
      </c>
      <c r="L1105" s="6" t="s">
        <v>3209</v>
      </c>
      <c r="M1105" s="6" t="e">
        <f>INDEX(医院2县区2人!$B$2:$B$1048576,MATCH(L1105,医院2县区2人!$A$2:$A$1048576,0))</f>
        <v>#N/A</v>
      </c>
      <c r="N1105" s="6" t="e">
        <f>INDEX(医院2县区2人!$C$2:$C$1048576,MATCH(L1105,医院2县区2人!$A$2:$A$1048576,0))</f>
        <v>#N/A</v>
      </c>
      <c r="P1105" s="7">
        <v>43265</v>
      </c>
      <c r="Q1105" s="6">
        <v>5</v>
      </c>
      <c r="R1105" s="6">
        <v>110</v>
      </c>
      <c r="S1105" s="6">
        <v>17122912</v>
      </c>
      <c r="T1105" s="6" t="e">
        <f>INDEX(医院2县区2人!$D$2:$D$1048576,MATCH(L1105,医院2县区2人!$A$2:$A$1048576,0))</f>
        <v>#N/A</v>
      </c>
      <c r="W1105" s="6" t="str">
        <f t="shared" si="37"/>
        <v>葡萄糖酸钙口服溶液10ml*12支</v>
      </c>
      <c r="X1105" s="6" t="s">
        <v>2893</v>
      </c>
    </row>
    <row r="1106" spans="1:24" x14ac:dyDescent="0.15">
      <c r="A1106" s="7" t="str">
        <f t="shared" si="38"/>
        <v>201806</v>
      </c>
      <c r="C1106" s="6" t="str">
        <f>INDEX(工厂基础数据!$A$2:$A$1024,MATCH(X1106,工厂基础数据!$D$2:$D$1024,0))</f>
        <v>02032120</v>
      </c>
      <c r="E1106" s="6" t="str">
        <f>INDEX(工厂基础数据!$B$2:$B$1024,MATCH(X1106,工厂基础数据!$D$2:$D$1024,0))</f>
        <v>淄博博仁医药有限公司</v>
      </c>
      <c r="F1106" s="6" t="e">
        <f>INDEX(商业2转码!$B$2:$B$10000,MATCH(E1106,商业2转码!$A$2:$A$10000,0))</f>
        <v>#N/A</v>
      </c>
      <c r="G1106" s="6" t="str">
        <f>INDEX(品种2编码!$A$2:$A$1048576,MATCH(W1106,品种2编码!$D$2:$D$1048576,0))</f>
        <v>0020030001SJZY0006</v>
      </c>
      <c r="H1106" s="6" t="s">
        <v>1833</v>
      </c>
      <c r="I1106" s="6" t="s">
        <v>411</v>
      </c>
      <c r="J1106" s="6" t="s">
        <v>3280</v>
      </c>
      <c r="L1106" s="6" t="s">
        <v>3123</v>
      </c>
      <c r="M1106" s="6" t="e">
        <f>INDEX(医院2县区2人!$B$2:$B$1048576,MATCH(L1106,医院2县区2人!$A$2:$A$1048576,0))</f>
        <v>#N/A</v>
      </c>
      <c r="N1106" s="6" t="e">
        <f>INDEX(医院2县区2人!$C$2:$C$1048576,MATCH(L1106,医院2县区2人!$A$2:$A$1048576,0))</f>
        <v>#N/A</v>
      </c>
      <c r="P1106" s="7">
        <v>43265</v>
      </c>
      <c r="Q1106" s="6">
        <v>5</v>
      </c>
      <c r="R1106" s="6">
        <v>95</v>
      </c>
      <c r="S1106" s="6">
        <v>17122912</v>
      </c>
      <c r="T1106" s="6" t="e">
        <f>INDEX(医院2县区2人!$D$2:$D$1048576,MATCH(L1106,医院2县区2人!$A$2:$A$1048576,0))</f>
        <v>#N/A</v>
      </c>
      <c r="W1106" s="6" t="str">
        <f t="shared" si="37"/>
        <v>葡萄糖酸钙口服溶液10ml*12支</v>
      </c>
      <c r="X1106" s="6" t="s">
        <v>2893</v>
      </c>
    </row>
    <row r="1107" spans="1:24" x14ac:dyDescent="0.15">
      <c r="A1107" s="7" t="str">
        <f t="shared" si="38"/>
        <v>201806</v>
      </c>
      <c r="C1107" s="6" t="str">
        <f>INDEX(工厂基础数据!$A$2:$A$1024,MATCH(X1107,工厂基础数据!$D$2:$D$1024,0))</f>
        <v>02032120</v>
      </c>
      <c r="E1107" s="6" t="str">
        <f>INDEX(工厂基础数据!$B$2:$B$1024,MATCH(X1107,工厂基础数据!$D$2:$D$1024,0))</f>
        <v>淄博博仁医药有限公司</v>
      </c>
      <c r="F1107" s="6" t="e">
        <f>INDEX(商业2转码!$B$2:$B$10000,MATCH(E1107,商业2转码!$A$2:$A$10000,0))</f>
        <v>#N/A</v>
      </c>
      <c r="G1107" s="6">
        <f>INDEX(品种2编码!$A$2:$A$1048576,MATCH(W1107,品种2编码!$D$2:$D$1048576,0))</f>
        <v>0</v>
      </c>
      <c r="H1107" s="6" t="s">
        <v>3268</v>
      </c>
      <c r="I1107" s="6" t="s">
        <v>411</v>
      </c>
      <c r="J1107" s="6" t="s">
        <v>3040</v>
      </c>
      <c r="L1107" s="6" t="s">
        <v>3209</v>
      </c>
      <c r="M1107" s="6" t="e">
        <f>INDEX(医院2县区2人!$B$2:$B$1048576,MATCH(L1107,医院2县区2人!$A$2:$A$1048576,0))</f>
        <v>#N/A</v>
      </c>
      <c r="N1107" s="6" t="e">
        <f>INDEX(医院2县区2人!$C$2:$C$1048576,MATCH(L1107,医院2县区2人!$A$2:$A$1048576,0))</f>
        <v>#N/A</v>
      </c>
      <c r="P1107" s="7">
        <v>43265</v>
      </c>
      <c r="Q1107" s="6">
        <v>5</v>
      </c>
      <c r="R1107" s="6">
        <v>115</v>
      </c>
      <c r="S1107" s="6">
        <v>17112821</v>
      </c>
      <c r="T1107" s="6" t="e">
        <f>INDEX(医院2县区2人!$D$2:$D$1048576,MATCH(L1107,医院2县区2人!$A$2:$A$1048576,0))</f>
        <v>#N/A</v>
      </c>
      <c r="W1107" s="6" t="str">
        <f t="shared" si="37"/>
        <v>葡糖糖酸锌口服溶液10ml*12支</v>
      </c>
      <c r="X1107" s="6" t="s">
        <v>2893</v>
      </c>
    </row>
    <row r="1108" spans="1:24" x14ac:dyDescent="0.15">
      <c r="A1108" s="7" t="str">
        <f t="shared" si="38"/>
        <v>201806</v>
      </c>
      <c r="C1108" s="6" t="str">
        <f>INDEX(工厂基础数据!$A$2:$A$1024,MATCH(X1108,工厂基础数据!$D$2:$D$1024,0))</f>
        <v>02032120</v>
      </c>
      <c r="E1108" s="6" t="str">
        <f>INDEX(工厂基础数据!$B$2:$B$1024,MATCH(X1108,工厂基础数据!$D$2:$D$1024,0))</f>
        <v>淄博博仁医药有限公司</v>
      </c>
      <c r="F1108" s="6" t="e">
        <f>INDEX(商业2转码!$B$2:$B$10000,MATCH(E1108,商业2转码!$A$2:$A$10000,0))</f>
        <v>#N/A</v>
      </c>
      <c r="G1108" s="6">
        <f>INDEX(品种2编码!$A$2:$A$1048576,MATCH(W1108,品种2编码!$D$2:$D$1048576,0))</f>
        <v>0</v>
      </c>
      <c r="H1108" s="6" t="s">
        <v>3268</v>
      </c>
      <c r="I1108" s="6" t="s">
        <v>411</v>
      </c>
      <c r="J1108" s="6" t="s">
        <v>3040</v>
      </c>
      <c r="L1108" s="6" t="s">
        <v>3123</v>
      </c>
      <c r="M1108" s="6" t="e">
        <f>INDEX(医院2县区2人!$B$2:$B$1048576,MATCH(L1108,医院2县区2人!$A$2:$A$1048576,0))</f>
        <v>#N/A</v>
      </c>
      <c r="N1108" s="6" t="e">
        <f>INDEX(医院2县区2人!$C$2:$C$1048576,MATCH(L1108,医院2县区2人!$A$2:$A$1048576,0))</f>
        <v>#N/A</v>
      </c>
      <c r="P1108" s="7">
        <v>43265</v>
      </c>
      <c r="Q1108" s="6">
        <v>5</v>
      </c>
      <c r="R1108" s="6">
        <v>100</v>
      </c>
      <c r="S1108" s="6">
        <v>17112821</v>
      </c>
      <c r="T1108" s="6" t="e">
        <f>INDEX(医院2县区2人!$D$2:$D$1048576,MATCH(L1108,医院2县区2人!$A$2:$A$1048576,0))</f>
        <v>#N/A</v>
      </c>
      <c r="W1108" s="6" t="str">
        <f t="shared" si="37"/>
        <v>葡糖糖酸锌口服溶液10ml*12支</v>
      </c>
      <c r="X1108" s="6" t="s">
        <v>2893</v>
      </c>
    </row>
    <row r="1109" spans="1:24" x14ac:dyDescent="0.15">
      <c r="A1109" s="7" t="str">
        <f t="shared" si="38"/>
        <v>201806</v>
      </c>
      <c r="C1109" s="6" t="str">
        <f>INDEX(工厂基础数据!$A$2:$A$1024,MATCH(X1109,工厂基础数据!$D$2:$D$1024,0))</f>
        <v>02032120</v>
      </c>
      <c r="E1109" s="6" t="str">
        <f>INDEX(工厂基础数据!$B$2:$B$1024,MATCH(X1109,工厂基础数据!$D$2:$D$1024,0))</f>
        <v>淄博博仁医药有限公司</v>
      </c>
      <c r="F1109" s="6" t="e">
        <f>INDEX(商业2转码!$B$2:$B$10000,MATCH(E1109,商业2转码!$A$2:$A$10000,0))</f>
        <v>#N/A</v>
      </c>
      <c r="G1109" s="6">
        <f>INDEX(品种2编码!$A$2:$A$1048576,MATCH(W1109,品种2编码!$D$2:$D$1048576,0))</f>
        <v>0</v>
      </c>
      <c r="H1109" s="6" t="s">
        <v>3270</v>
      </c>
      <c r="I1109" s="6" t="s">
        <v>3296</v>
      </c>
      <c r="J1109" s="6" t="s">
        <v>3285</v>
      </c>
      <c r="L1109" s="6" t="s">
        <v>3167</v>
      </c>
      <c r="M1109" s="6" t="e">
        <f>INDEX(医院2县区2人!$B$2:$B$1048576,MATCH(L1109,医院2县区2人!$A$2:$A$1048576,0))</f>
        <v>#N/A</v>
      </c>
      <c r="N1109" s="6" t="e">
        <f>INDEX(医院2县区2人!$C$2:$C$1048576,MATCH(L1109,医院2县区2人!$A$2:$A$1048576,0))</f>
        <v>#N/A</v>
      </c>
      <c r="P1109" s="7">
        <v>43265</v>
      </c>
      <c r="Q1109" s="6">
        <v>5</v>
      </c>
      <c r="R1109" s="6">
        <v>132.5</v>
      </c>
      <c r="S1109" s="6">
        <v>1706018</v>
      </c>
      <c r="T1109" s="6" t="e">
        <f>INDEX(医院2县区2人!$D$2:$D$1048576,MATCH(L1109,医院2县区2人!$A$2:$A$1048576,0))</f>
        <v>#N/A</v>
      </c>
      <c r="W1109" s="6" t="str">
        <f t="shared" si="37"/>
        <v>拉西地平片（司乐平）4mg*15粒</v>
      </c>
      <c r="X1109" s="6" t="s">
        <v>2893</v>
      </c>
    </row>
    <row r="1110" spans="1:24" x14ac:dyDescent="0.15">
      <c r="A1110" s="7" t="str">
        <f t="shared" si="38"/>
        <v>201806</v>
      </c>
      <c r="C1110" s="6" t="str">
        <f>INDEX(工厂基础数据!$A$2:$A$1024,MATCH(X1110,工厂基础数据!$D$2:$D$1024,0))</f>
        <v>02032120</v>
      </c>
      <c r="E1110" s="6" t="str">
        <f>INDEX(工厂基础数据!$B$2:$B$1024,MATCH(X1110,工厂基础数据!$D$2:$D$1024,0))</f>
        <v>淄博博仁医药有限公司</v>
      </c>
      <c r="F1110" s="6" t="e">
        <f>INDEX(商业2转码!$B$2:$B$10000,MATCH(E1110,商业2转码!$A$2:$A$10000,0))</f>
        <v>#N/A</v>
      </c>
      <c r="G1110" s="6">
        <f>INDEX(品种2编码!$A$2:$A$1048576,MATCH(W1110,品种2编码!$D$2:$D$1048576,0))</f>
        <v>0</v>
      </c>
      <c r="H1110" s="6" t="s">
        <v>3269</v>
      </c>
      <c r="I1110" s="6" t="s">
        <v>1839</v>
      </c>
      <c r="J1110" s="6" t="s">
        <v>3279</v>
      </c>
      <c r="L1110" s="6" t="s">
        <v>3207</v>
      </c>
      <c r="M1110" s="6" t="e">
        <f>INDEX(医院2县区2人!$B$2:$B$1048576,MATCH(L1110,医院2县区2人!$A$2:$A$1048576,0))</f>
        <v>#N/A</v>
      </c>
      <c r="N1110" s="6" t="e">
        <f>INDEX(医院2县区2人!$C$2:$C$1048576,MATCH(L1110,医院2县区2人!$A$2:$A$1048576,0))</f>
        <v>#N/A</v>
      </c>
      <c r="P1110" s="7">
        <v>43265</v>
      </c>
      <c r="Q1110" s="6">
        <v>8</v>
      </c>
      <c r="R1110" s="6">
        <v>64</v>
      </c>
      <c r="S1110" s="6">
        <v>180302</v>
      </c>
      <c r="T1110" s="6" t="e">
        <f>INDEX(医院2县区2人!$D$2:$D$1048576,MATCH(L1110,医院2县区2人!$A$2:$A$1048576,0))</f>
        <v>#N/A</v>
      </c>
      <c r="W1110" s="6" t="str">
        <f t="shared" si="37"/>
        <v>乳酸菌素片(精）0.4g*36片</v>
      </c>
      <c r="X1110" s="6" t="s">
        <v>2893</v>
      </c>
    </row>
    <row r="1111" spans="1:24" x14ac:dyDescent="0.15">
      <c r="A1111" s="7" t="str">
        <f t="shared" si="38"/>
        <v>201806</v>
      </c>
      <c r="C1111" s="6" t="str">
        <f>INDEX(工厂基础数据!$A$2:$A$1024,MATCH(X1111,工厂基础数据!$D$2:$D$1024,0))</f>
        <v>02032120</v>
      </c>
      <c r="E1111" s="6" t="str">
        <f>INDEX(工厂基础数据!$B$2:$B$1024,MATCH(X1111,工厂基础数据!$D$2:$D$1024,0))</f>
        <v>淄博博仁医药有限公司</v>
      </c>
      <c r="F1111" s="6" t="e">
        <f>INDEX(商业2转码!$B$2:$B$10000,MATCH(E1111,商业2转码!$A$2:$A$10000,0))</f>
        <v>#N/A</v>
      </c>
      <c r="G1111" s="6" t="str">
        <f>INDEX(品种2编码!$A$2:$A$1048576,MATCH(W1111,品种2编码!$D$2:$D$1048576,0))</f>
        <v>0020030001SJZY0006</v>
      </c>
      <c r="H1111" s="6" t="s">
        <v>1833</v>
      </c>
      <c r="I1111" s="6" t="s">
        <v>411</v>
      </c>
      <c r="J1111" s="6" t="s">
        <v>3280</v>
      </c>
      <c r="L1111" s="6" t="s">
        <v>3210</v>
      </c>
      <c r="M1111" s="6" t="e">
        <f>INDEX(医院2县区2人!$B$2:$B$1048576,MATCH(L1111,医院2县区2人!$A$2:$A$1048576,0))</f>
        <v>#N/A</v>
      </c>
      <c r="N1111" s="6" t="e">
        <f>INDEX(医院2县区2人!$C$2:$C$1048576,MATCH(L1111,医院2县区2人!$A$2:$A$1048576,0))</f>
        <v>#N/A</v>
      </c>
      <c r="P1111" s="7">
        <v>43265</v>
      </c>
      <c r="Q1111" s="6">
        <v>10</v>
      </c>
      <c r="R1111" s="6">
        <v>220</v>
      </c>
      <c r="S1111" s="6">
        <v>17122912</v>
      </c>
      <c r="T1111" s="6" t="e">
        <f>INDEX(医院2县区2人!$D$2:$D$1048576,MATCH(L1111,医院2县区2人!$A$2:$A$1048576,0))</f>
        <v>#N/A</v>
      </c>
      <c r="W1111" s="6" t="str">
        <f t="shared" si="37"/>
        <v>葡萄糖酸钙口服溶液10ml*12支</v>
      </c>
      <c r="X1111" s="6" t="s">
        <v>2893</v>
      </c>
    </row>
    <row r="1112" spans="1:24" x14ac:dyDescent="0.15">
      <c r="A1112" s="7" t="str">
        <f t="shared" si="38"/>
        <v>201806</v>
      </c>
      <c r="C1112" s="6" t="str">
        <f>INDEX(工厂基础数据!$A$2:$A$1024,MATCH(X1112,工厂基础数据!$D$2:$D$1024,0))</f>
        <v>02032120</v>
      </c>
      <c r="E1112" s="6" t="str">
        <f>INDEX(工厂基础数据!$B$2:$B$1024,MATCH(X1112,工厂基础数据!$D$2:$D$1024,0))</f>
        <v>淄博博仁医药有限公司</v>
      </c>
      <c r="F1112" s="6" t="e">
        <f>INDEX(商业2转码!$B$2:$B$10000,MATCH(E1112,商业2转码!$A$2:$A$10000,0))</f>
        <v>#N/A</v>
      </c>
      <c r="G1112" s="6" t="str">
        <f>INDEX(品种2编码!$A$2:$A$1048576,MATCH(W1112,品种2编码!$D$2:$D$1048576,0))</f>
        <v>0020030001SJZY0006</v>
      </c>
      <c r="H1112" s="6" t="s">
        <v>1833</v>
      </c>
      <c r="I1112" s="6" t="s">
        <v>411</v>
      </c>
      <c r="J1112" s="6" t="s">
        <v>3280</v>
      </c>
      <c r="L1112" s="6" t="s">
        <v>3177</v>
      </c>
      <c r="M1112" s="6" t="e">
        <f>INDEX(医院2县区2人!$B$2:$B$1048576,MATCH(L1112,医院2县区2人!$A$2:$A$1048576,0))</f>
        <v>#N/A</v>
      </c>
      <c r="N1112" s="6" t="e">
        <f>INDEX(医院2县区2人!$C$2:$C$1048576,MATCH(L1112,医院2县区2人!$A$2:$A$1048576,0))</f>
        <v>#N/A</v>
      </c>
      <c r="P1112" s="7">
        <v>43265</v>
      </c>
      <c r="Q1112" s="6">
        <v>10</v>
      </c>
      <c r="R1112" s="6">
        <v>220</v>
      </c>
      <c r="S1112" s="6">
        <v>17122912</v>
      </c>
      <c r="T1112" s="6" t="e">
        <f>INDEX(医院2县区2人!$D$2:$D$1048576,MATCH(L1112,医院2县区2人!$A$2:$A$1048576,0))</f>
        <v>#N/A</v>
      </c>
      <c r="W1112" s="6" t="str">
        <f t="shared" si="37"/>
        <v>葡萄糖酸钙口服溶液10ml*12支</v>
      </c>
      <c r="X1112" s="6" t="s">
        <v>2893</v>
      </c>
    </row>
    <row r="1113" spans="1:24" x14ac:dyDescent="0.15">
      <c r="A1113" s="7" t="str">
        <f t="shared" si="38"/>
        <v>201806</v>
      </c>
      <c r="C1113" s="6" t="str">
        <f>INDEX(工厂基础数据!$A$2:$A$1024,MATCH(X1113,工厂基础数据!$D$2:$D$1024,0))</f>
        <v>02032120</v>
      </c>
      <c r="E1113" s="6" t="str">
        <f>INDEX(工厂基础数据!$B$2:$B$1024,MATCH(X1113,工厂基础数据!$D$2:$D$1024,0))</f>
        <v>淄博博仁医药有限公司</v>
      </c>
      <c r="F1113" s="6" t="e">
        <f>INDEX(商业2转码!$B$2:$B$10000,MATCH(E1113,商业2转码!$A$2:$A$10000,0))</f>
        <v>#N/A</v>
      </c>
      <c r="G1113" s="6">
        <f>INDEX(品种2编码!$A$2:$A$1048576,MATCH(W1113,品种2编码!$D$2:$D$1048576,0))</f>
        <v>0</v>
      </c>
      <c r="H1113" s="6" t="s">
        <v>3268</v>
      </c>
      <c r="I1113" s="6" t="s">
        <v>411</v>
      </c>
      <c r="J1113" s="6" t="s">
        <v>3040</v>
      </c>
      <c r="L1113" s="6" t="s">
        <v>3210</v>
      </c>
      <c r="M1113" s="6" t="e">
        <f>INDEX(医院2县区2人!$B$2:$B$1048576,MATCH(L1113,医院2县区2人!$A$2:$A$1048576,0))</f>
        <v>#N/A</v>
      </c>
      <c r="N1113" s="6" t="e">
        <f>INDEX(医院2县区2人!$C$2:$C$1048576,MATCH(L1113,医院2县区2人!$A$2:$A$1048576,0))</f>
        <v>#N/A</v>
      </c>
      <c r="P1113" s="7">
        <v>43265</v>
      </c>
      <c r="Q1113" s="6">
        <v>10</v>
      </c>
      <c r="R1113" s="6">
        <v>230</v>
      </c>
      <c r="S1113" s="6">
        <v>17112821</v>
      </c>
      <c r="T1113" s="6" t="e">
        <f>INDEX(医院2县区2人!$D$2:$D$1048576,MATCH(L1113,医院2县区2人!$A$2:$A$1048576,0))</f>
        <v>#N/A</v>
      </c>
      <c r="W1113" s="6" t="str">
        <f t="shared" si="37"/>
        <v>葡糖糖酸锌口服溶液10ml*12支</v>
      </c>
      <c r="X1113" s="6" t="s">
        <v>2893</v>
      </c>
    </row>
    <row r="1114" spans="1:24" x14ac:dyDescent="0.15">
      <c r="A1114" s="7" t="str">
        <f t="shared" si="38"/>
        <v>201806</v>
      </c>
      <c r="C1114" s="6" t="str">
        <f>INDEX(工厂基础数据!$A$2:$A$1024,MATCH(X1114,工厂基础数据!$D$2:$D$1024,0))</f>
        <v>02032120</v>
      </c>
      <c r="E1114" s="6" t="str">
        <f>INDEX(工厂基础数据!$B$2:$B$1024,MATCH(X1114,工厂基础数据!$D$2:$D$1024,0))</f>
        <v>淄博博仁医药有限公司</v>
      </c>
      <c r="F1114" s="6" t="e">
        <f>INDEX(商业2转码!$B$2:$B$10000,MATCH(E1114,商业2转码!$A$2:$A$10000,0))</f>
        <v>#N/A</v>
      </c>
      <c r="G1114" s="6" t="str">
        <f>INDEX(品种2编码!$A$2:$A$1048576,MATCH(W1114,品种2编码!$D$2:$D$1048576,0))</f>
        <v>0020020021ZYLC0004</v>
      </c>
      <c r="H1114" s="6" t="s">
        <v>1950</v>
      </c>
      <c r="I1114" s="6" t="s">
        <v>1869</v>
      </c>
      <c r="J1114" s="6" t="s">
        <v>3283</v>
      </c>
      <c r="L1114" s="6" t="s">
        <v>3207</v>
      </c>
      <c r="M1114" s="6" t="e">
        <f>INDEX(医院2县区2人!$B$2:$B$1048576,MATCH(L1114,医院2县区2人!$A$2:$A$1048576,0))</f>
        <v>#N/A</v>
      </c>
      <c r="N1114" s="6" t="e">
        <f>INDEX(医院2县区2人!$C$2:$C$1048576,MATCH(L1114,医院2县区2人!$A$2:$A$1048576,0))</f>
        <v>#N/A</v>
      </c>
      <c r="P1114" s="7">
        <v>43265</v>
      </c>
      <c r="Q1114" s="6">
        <v>10</v>
      </c>
      <c r="R1114" s="6">
        <v>80</v>
      </c>
      <c r="S1114" s="6">
        <v>171101</v>
      </c>
      <c r="T1114" s="6" t="e">
        <f>INDEX(医院2县区2人!$D$2:$D$1048576,MATCH(L1114,医院2县区2人!$A$2:$A$1048576,0))</f>
        <v>#N/A</v>
      </c>
      <c r="W1114" s="6" t="str">
        <f t="shared" si="37"/>
        <v>罗红霉素分散片75mg*12片</v>
      </c>
      <c r="X1114" s="6" t="s">
        <v>2893</v>
      </c>
    </row>
    <row r="1115" spans="1:24" x14ac:dyDescent="0.15">
      <c r="A1115" s="7" t="str">
        <f t="shared" si="38"/>
        <v>201806</v>
      </c>
      <c r="C1115" s="6" t="str">
        <f>INDEX(工厂基础数据!$A$2:$A$1024,MATCH(X1115,工厂基础数据!$D$2:$D$1024,0))</f>
        <v>02032120</v>
      </c>
      <c r="E1115" s="6" t="str">
        <f>INDEX(工厂基础数据!$B$2:$B$1024,MATCH(X1115,工厂基础数据!$D$2:$D$1024,0))</f>
        <v>淄博博仁医药有限公司</v>
      </c>
      <c r="F1115" s="6" t="e">
        <f>INDEX(商业2转码!$B$2:$B$10000,MATCH(E1115,商业2转码!$A$2:$A$10000,0))</f>
        <v>#N/A</v>
      </c>
      <c r="G1115" s="6" t="str">
        <f>INDEX(品种2编码!$A$2:$A$1048576,MATCH(W1115,品种2编码!$D$2:$D$1048576,0))</f>
        <v>0020040030SJSC0009</v>
      </c>
      <c r="H1115" s="6" t="s">
        <v>436</v>
      </c>
      <c r="I1115" s="6" t="s">
        <v>1925</v>
      </c>
      <c r="J1115" s="6" t="s">
        <v>3045</v>
      </c>
      <c r="L1115" s="6" t="s">
        <v>3144</v>
      </c>
      <c r="M1115" s="6" t="e">
        <f>INDEX(医院2县区2人!$B$2:$B$1048576,MATCH(L1115,医院2县区2人!$A$2:$A$1048576,0))</f>
        <v>#N/A</v>
      </c>
      <c r="N1115" s="6" t="e">
        <f>INDEX(医院2县区2人!$C$2:$C$1048576,MATCH(L1115,医院2县区2人!$A$2:$A$1048576,0))</f>
        <v>#N/A</v>
      </c>
      <c r="P1115" s="7">
        <v>43265</v>
      </c>
      <c r="Q1115" s="6">
        <v>10</v>
      </c>
      <c r="R1115" s="6">
        <v>210</v>
      </c>
      <c r="S1115" s="6">
        <v>1802001</v>
      </c>
      <c r="T1115" s="6" t="e">
        <f>INDEX(医院2县区2人!$D$2:$D$1048576,MATCH(L1115,医院2县区2人!$A$2:$A$1048576,0))</f>
        <v>#N/A</v>
      </c>
      <c r="W1115" s="6" t="str">
        <f t="shared" si="37"/>
        <v>护肝片0.36g*100片</v>
      </c>
      <c r="X1115" s="6" t="s">
        <v>2893</v>
      </c>
    </row>
    <row r="1116" spans="1:24" x14ac:dyDescent="0.15">
      <c r="A1116" s="7" t="str">
        <f t="shared" si="38"/>
        <v>201806</v>
      </c>
      <c r="C1116" s="6" t="str">
        <f>INDEX(工厂基础数据!$A$2:$A$1024,MATCH(X1116,工厂基础数据!$D$2:$D$1024,0))</f>
        <v>02032120</v>
      </c>
      <c r="E1116" s="6" t="str">
        <f>INDEX(工厂基础数据!$B$2:$B$1024,MATCH(X1116,工厂基础数据!$D$2:$D$1024,0))</f>
        <v>淄博博仁医药有限公司</v>
      </c>
      <c r="F1116" s="6" t="e">
        <f>INDEX(商业2转码!$B$2:$B$10000,MATCH(E1116,商业2转码!$A$2:$A$10000,0))</f>
        <v>#N/A</v>
      </c>
      <c r="G1116" s="6" t="str">
        <f>INDEX(品种2编码!$A$2:$A$1048576,MATCH(W1116,品种2编码!$D$2:$D$1048576,0))</f>
        <v>0020020030SJMS0025</v>
      </c>
      <c r="H1116" s="6" t="s">
        <v>586</v>
      </c>
      <c r="I1116" s="6" t="s">
        <v>1937</v>
      </c>
      <c r="J1116" s="6" t="s">
        <v>3282</v>
      </c>
      <c r="L1116" s="6" t="s">
        <v>3136</v>
      </c>
      <c r="M1116" s="6" t="e">
        <f>INDEX(医院2县区2人!$B$2:$B$1048576,MATCH(L1116,医院2县区2人!$A$2:$A$1048576,0))</f>
        <v>#N/A</v>
      </c>
      <c r="N1116" s="6" t="e">
        <f>INDEX(医院2县区2人!$C$2:$C$1048576,MATCH(L1116,医院2县区2人!$A$2:$A$1048576,0))</f>
        <v>#N/A</v>
      </c>
      <c r="P1116" s="7">
        <v>43265</v>
      </c>
      <c r="Q1116" s="6">
        <v>20</v>
      </c>
      <c r="R1116" s="6">
        <v>64</v>
      </c>
      <c r="S1116" s="6">
        <v>1709011</v>
      </c>
      <c r="T1116" s="6" t="e">
        <f>INDEX(医院2县区2人!$D$2:$D$1048576,MATCH(L1116,医院2县区2人!$A$2:$A$1048576,0))</f>
        <v>#N/A</v>
      </c>
      <c r="W1116" s="6" t="str">
        <f t="shared" si="37"/>
        <v>人工牛黄甲硝唑胶囊30粒</v>
      </c>
      <c r="X1116" s="6" t="s">
        <v>2893</v>
      </c>
    </row>
    <row r="1117" spans="1:24" x14ac:dyDescent="0.15">
      <c r="A1117" s="7" t="str">
        <f t="shared" si="38"/>
        <v>201806</v>
      </c>
      <c r="C1117" s="6" t="str">
        <f>INDEX(工厂基础数据!$A$2:$A$1024,MATCH(X1117,工厂基础数据!$D$2:$D$1024,0))</f>
        <v>02032120</v>
      </c>
      <c r="E1117" s="6" t="str">
        <f>INDEX(工厂基础数据!$B$2:$B$1024,MATCH(X1117,工厂基础数据!$D$2:$D$1024,0))</f>
        <v>淄博博仁医药有限公司</v>
      </c>
      <c r="F1117" s="6" t="e">
        <f>INDEX(商业2转码!$B$2:$B$10000,MATCH(E1117,商业2转码!$A$2:$A$10000,0))</f>
        <v>#N/A</v>
      </c>
      <c r="G1117" s="6">
        <f>INDEX(品种2编码!$A$2:$A$1048576,MATCH(W1117,品种2编码!$D$2:$D$1048576,0))</f>
        <v>0</v>
      </c>
      <c r="H1117" s="6" t="s">
        <v>405</v>
      </c>
      <c r="I1117" s="6" t="s">
        <v>1850</v>
      </c>
      <c r="J1117" s="6" t="s">
        <v>3279</v>
      </c>
      <c r="L1117" s="6" t="s">
        <v>3211</v>
      </c>
      <c r="M1117" s="6" t="e">
        <f>INDEX(医院2县区2人!$B$2:$B$1048576,MATCH(L1117,医院2县区2人!$A$2:$A$1048576,0))</f>
        <v>#N/A</v>
      </c>
      <c r="N1117" s="6" t="e">
        <f>INDEX(医院2县区2人!$C$2:$C$1048576,MATCH(L1117,医院2县区2人!$A$2:$A$1048576,0))</f>
        <v>#N/A</v>
      </c>
      <c r="P1117" s="7">
        <v>43265</v>
      </c>
      <c r="Q1117" s="6">
        <v>20</v>
      </c>
      <c r="R1117" s="6">
        <v>300</v>
      </c>
      <c r="S1117" s="6">
        <v>1802005</v>
      </c>
      <c r="T1117" s="6" t="e">
        <f>INDEX(医院2县区2人!$D$2:$D$1048576,MATCH(L1117,医院2县区2人!$A$2:$A$1048576,0))</f>
        <v>#N/A</v>
      </c>
      <c r="W1117" s="6" t="str">
        <f t="shared" si="37"/>
        <v>钙铁锌口服液10ml*10支</v>
      </c>
      <c r="X1117" s="6" t="s">
        <v>2893</v>
      </c>
    </row>
    <row r="1118" spans="1:24" x14ac:dyDescent="0.15">
      <c r="A1118" s="7" t="str">
        <f t="shared" si="38"/>
        <v>201806</v>
      </c>
      <c r="C1118" s="6" t="str">
        <f>INDEX(工厂基础数据!$A$2:$A$1024,MATCH(X1118,工厂基础数据!$D$2:$D$1024,0))</f>
        <v>02032120</v>
      </c>
      <c r="E1118" s="6" t="str">
        <f>INDEX(工厂基础数据!$B$2:$B$1024,MATCH(X1118,工厂基础数据!$D$2:$D$1024,0))</f>
        <v>淄博博仁医药有限公司</v>
      </c>
      <c r="F1118" s="6" t="e">
        <f>INDEX(商业2转码!$B$2:$B$10000,MATCH(E1118,商业2转码!$A$2:$A$10000,0))</f>
        <v>#N/A</v>
      </c>
      <c r="G1118" s="6" t="str">
        <f>INDEX(品种2编码!$A$2:$A$1048576,MATCH(W1118,品种2编码!$D$2:$D$1048576,0))</f>
        <v>0020030001SJZY0006</v>
      </c>
      <c r="H1118" s="6" t="s">
        <v>1833</v>
      </c>
      <c r="I1118" s="6" t="s">
        <v>411</v>
      </c>
      <c r="J1118" s="6" t="s">
        <v>3280</v>
      </c>
      <c r="L1118" s="6" t="s">
        <v>3210</v>
      </c>
      <c r="M1118" s="6" t="e">
        <f>INDEX(医院2县区2人!$B$2:$B$1048576,MATCH(L1118,医院2县区2人!$A$2:$A$1048576,0))</f>
        <v>#N/A</v>
      </c>
      <c r="N1118" s="6" t="e">
        <f>INDEX(医院2县区2人!$C$2:$C$1048576,MATCH(L1118,医院2县区2人!$A$2:$A$1048576,0))</f>
        <v>#N/A</v>
      </c>
      <c r="P1118" s="7">
        <v>43266</v>
      </c>
      <c r="Q1118" s="6">
        <v>-10</v>
      </c>
      <c r="R1118" s="6">
        <v>-220</v>
      </c>
      <c r="S1118" s="6">
        <v>17122912</v>
      </c>
      <c r="T1118" s="6" t="e">
        <f>INDEX(医院2县区2人!$D$2:$D$1048576,MATCH(L1118,医院2县区2人!$A$2:$A$1048576,0))</f>
        <v>#N/A</v>
      </c>
      <c r="W1118" s="6" t="str">
        <f t="shared" si="37"/>
        <v>葡萄糖酸钙口服溶液10ml*12支</v>
      </c>
      <c r="X1118" s="6" t="s">
        <v>2893</v>
      </c>
    </row>
    <row r="1119" spans="1:24" x14ac:dyDescent="0.15">
      <c r="A1119" s="7" t="str">
        <f t="shared" si="38"/>
        <v>201806</v>
      </c>
      <c r="C1119" s="6" t="str">
        <f>INDEX(工厂基础数据!$A$2:$A$1024,MATCH(X1119,工厂基础数据!$D$2:$D$1024,0))</f>
        <v>02032120</v>
      </c>
      <c r="E1119" s="6" t="str">
        <f>INDEX(工厂基础数据!$B$2:$B$1024,MATCH(X1119,工厂基础数据!$D$2:$D$1024,0))</f>
        <v>淄博博仁医药有限公司</v>
      </c>
      <c r="F1119" s="6" t="e">
        <f>INDEX(商业2转码!$B$2:$B$10000,MATCH(E1119,商业2转码!$A$2:$A$10000,0))</f>
        <v>#N/A</v>
      </c>
      <c r="G1119" s="6">
        <f>INDEX(品种2编码!$A$2:$A$1048576,MATCH(W1119,品种2编码!$D$2:$D$1048576,0))</f>
        <v>0</v>
      </c>
      <c r="H1119" s="6" t="s">
        <v>3268</v>
      </c>
      <c r="I1119" s="6" t="s">
        <v>411</v>
      </c>
      <c r="J1119" s="6" t="s">
        <v>3040</v>
      </c>
      <c r="L1119" s="6" t="s">
        <v>3210</v>
      </c>
      <c r="M1119" s="6" t="e">
        <f>INDEX(医院2县区2人!$B$2:$B$1048576,MATCH(L1119,医院2县区2人!$A$2:$A$1048576,0))</f>
        <v>#N/A</v>
      </c>
      <c r="N1119" s="6" t="e">
        <f>INDEX(医院2县区2人!$C$2:$C$1048576,MATCH(L1119,医院2县区2人!$A$2:$A$1048576,0))</f>
        <v>#N/A</v>
      </c>
      <c r="P1119" s="7">
        <v>43266</v>
      </c>
      <c r="Q1119" s="6">
        <v>-10</v>
      </c>
      <c r="R1119" s="6">
        <v>-230</v>
      </c>
      <c r="S1119" s="6">
        <v>17112821</v>
      </c>
      <c r="T1119" s="6" t="e">
        <f>INDEX(医院2县区2人!$D$2:$D$1048576,MATCH(L1119,医院2县区2人!$A$2:$A$1048576,0))</f>
        <v>#N/A</v>
      </c>
      <c r="W1119" s="6" t="str">
        <f t="shared" si="37"/>
        <v>葡糖糖酸锌口服溶液10ml*12支</v>
      </c>
      <c r="X1119" s="6" t="s">
        <v>2893</v>
      </c>
    </row>
    <row r="1120" spans="1:24" x14ac:dyDescent="0.15">
      <c r="A1120" s="7" t="str">
        <f t="shared" si="38"/>
        <v>201806</v>
      </c>
      <c r="C1120" s="6" t="str">
        <f>INDEX(工厂基础数据!$A$2:$A$1024,MATCH(X1120,工厂基础数据!$D$2:$D$1024,0))</f>
        <v>02032120</v>
      </c>
      <c r="E1120" s="6" t="str">
        <f>INDEX(工厂基础数据!$B$2:$B$1024,MATCH(X1120,工厂基础数据!$D$2:$D$1024,0))</f>
        <v>淄博博仁医药有限公司</v>
      </c>
      <c r="F1120" s="6" t="e">
        <f>INDEX(商业2转码!$B$2:$B$10000,MATCH(E1120,商业2转码!$A$2:$A$10000,0))</f>
        <v>#N/A</v>
      </c>
      <c r="G1120" s="6">
        <f>INDEX(品种2编码!$A$2:$A$1048576,MATCH(W1120,品种2编码!$D$2:$D$1048576,0))</f>
        <v>0</v>
      </c>
      <c r="H1120" s="6" t="s">
        <v>3268</v>
      </c>
      <c r="I1120" s="6" t="s">
        <v>411</v>
      </c>
      <c r="J1120" s="6" t="s">
        <v>3040</v>
      </c>
      <c r="L1120" s="6" t="s">
        <v>3188</v>
      </c>
      <c r="M1120" s="6" t="e">
        <f>INDEX(医院2县区2人!$B$2:$B$1048576,MATCH(L1120,医院2县区2人!$A$2:$A$1048576,0))</f>
        <v>#N/A</v>
      </c>
      <c r="N1120" s="6" t="e">
        <f>INDEX(医院2县区2人!$C$2:$C$1048576,MATCH(L1120,医院2县区2人!$A$2:$A$1048576,0))</f>
        <v>#N/A</v>
      </c>
      <c r="P1120" s="7">
        <v>43266</v>
      </c>
      <c r="Q1120" s="6">
        <v>2</v>
      </c>
      <c r="R1120" s="6">
        <v>46</v>
      </c>
      <c r="S1120" s="6">
        <v>17112821</v>
      </c>
      <c r="T1120" s="6" t="e">
        <f>INDEX(医院2县区2人!$D$2:$D$1048576,MATCH(L1120,医院2县区2人!$A$2:$A$1048576,0))</f>
        <v>#N/A</v>
      </c>
      <c r="W1120" s="6" t="str">
        <f t="shared" si="37"/>
        <v>葡糖糖酸锌口服溶液10ml*12支</v>
      </c>
      <c r="X1120" s="6" t="s">
        <v>2893</v>
      </c>
    </row>
    <row r="1121" spans="1:24" x14ac:dyDescent="0.15">
      <c r="A1121" s="7" t="str">
        <f t="shared" si="38"/>
        <v>201806</v>
      </c>
      <c r="C1121" s="6" t="str">
        <f>INDEX(工厂基础数据!$A$2:$A$1024,MATCH(X1121,工厂基础数据!$D$2:$D$1024,0))</f>
        <v>02032120</v>
      </c>
      <c r="E1121" s="6" t="str">
        <f>INDEX(工厂基础数据!$B$2:$B$1024,MATCH(X1121,工厂基础数据!$D$2:$D$1024,0))</f>
        <v>淄博博仁医药有限公司</v>
      </c>
      <c r="F1121" s="6" t="e">
        <f>INDEX(商业2转码!$B$2:$B$10000,MATCH(E1121,商业2转码!$A$2:$A$10000,0))</f>
        <v>#N/A</v>
      </c>
      <c r="G1121" s="6" t="str">
        <f>INDEX(品种2编码!$A$2:$A$1048576,MATCH(W1121,品种2编码!$D$2:$D$1048576,0))</f>
        <v>0020020021ZYLC0005</v>
      </c>
      <c r="H1121" s="6" t="s">
        <v>1950</v>
      </c>
      <c r="I1121" s="6" t="s">
        <v>1841</v>
      </c>
      <c r="J1121" s="6" t="s">
        <v>3283</v>
      </c>
      <c r="L1121" s="6" t="s">
        <v>3117</v>
      </c>
      <c r="M1121" s="6" t="e">
        <f>INDEX(医院2县区2人!$B$2:$B$1048576,MATCH(L1121,医院2县区2人!$A$2:$A$1048576,0))</f>
        <v>#N/A</v>
      </c>
      <c r="N1121" s="6" t="e">
        <f>INDEX(医院2县区2人!$C$2:$C$1048576,MATCH(L1121,医院2县区2人!$A$2:$A$1048576,0))</f>
        <v>#N/A</v>
      </c>
      <c r="P1121" s="7">
        <v>43266</v>
      </c>
      <c r="Q1121" s="6">
        <v>2</v>
      </c>
      <c r="R1121" s="6">
        <v>8</v>
      </c>
      <c r="S1121" s="6">
        <v>180101</v>
      </c>
      <c r="T1121" s="6" t="e">
        <f>INDEX(医院2县区2人!$D$2:$D$1048576,MATCH(L1121,医院2县区2人!$A$2:$A$1048576,0))</f>
        <v>#N/A</v>
      </c>
      <c r="W1121" s="6" t="str">
        <f t="shared" si="37"/>
        <v>罗红霉素分散片50mg*12片</v>
      </c>
      <c r="X1121" s="6" t="s">
        <v>2893</v>
      </c>
    </row>
    <row r="1122" spans="1:24" x14ac:dyDescent="0.15">
      <c r="A1122" s="7" t="str">
        <f t="shared" si="38"/>
        <v>201806</v>
      </c>
      <c r="C1122" s="6" t="str">
        <f>INDEX(工厂基础数据!$A$2:$A$1024,MATCH(X1122,工厂基础数据!$D$2:$D$1024,0))</f>
        <v>02032120</v>
      </c>
      <c r="E1122" s="6" t="str">
        <f>INDEX(工厂基础数据!$B$2:$B$1024,MATCH(X1122,工厂基础数据!$D$2:$D$1024,0))</f>
        <v>淄博博仁医药有限公司</v>
      </c>
      <c r="F1122" s="6" t="e">
        <f>INDEX(商业2转码!$B$2:$B$10000,MATCH(E1122,商业2转码!$A$2:$A$10000,0))</f>
        <v>#N/A</v>
      </c>
      <c r="G1122" s="6">
        <f>INDEX(品种2编码!$A$2:$A$1048576,MATCH(W1122,品种2编码!$D$2:$D$1048576,0))</f>
        <v>0</v>
      </c>
      <c r="H1122" s="6" t="s">
        <v>405</v>
      </c>
      <c r="I1122" s="6" t="s">
        <v>1850</v>
      </c>
      <c r="J1122" s="6" t="s">
        <v>3279</v>
      </c>
      <c r="L1122" s="6" t="s">
        <v>3148</v>
      </c>
      <c r="M1122" s="6" t="e">
        <f>INDEX(医院2县区2人!$B$2:$B$1048576,MATCH(L1122,医院2县区2人!$A$2:$A$1048576,0))</f>
        <v>#N/A</v>
      </c>
      <c r="N1122" s="6" t="e">
        <f>INDEX(医院2县区2人!$C$2:$C$1048576,MATCH(L1122,医院2县区2人!$A$2:$A$1048576,0))</f>
        <v>#N/A</v>
      </c>
      <c r="P1122" s="7">
        <v>43266</v>
      </c>
      <c r="Q1122" s="6">
        <v>2</v>
      </c>
      <c r="R1122" s="6">
        <v>30</v>
      </c>
      <c r="S1122" s="6">
        <v>1802005</v>
      </c>
      <c r="T1122" s="6" t="e">
        <f>INDEX(医院2县区2人!$D$2:$D$1048576,MATCH(L1122,医院2县区2人!$A$2:$A$1048576,0))</f>
        <v>#N/A</v>
      </c>
      <c r="W1122" s="6" t="str">
        <f t="shared" si="37"/>
        <v>钙铁锌口服液10ml*10支</v>
      </c>
      <c r="X1122" s="6" t="s">
        <v>2893</v>
      </c>
    </row>
    <row r="1123" spans="1:24" x14ac:dyDescent="0.15">
      <c r="A1123" s="7" t="str">
        <f t="shared" si="38"/>
        <v>201806</v>
      </c>
      <c r="C1123" s="6" t="str">
        <f>INDEX(工厂基础数据!$A$2:$A$1024,MATCH(X1123,工厂基础数据!$D$2:$D$1024,0))</f>
        <v>02032120</v>
      </c>
      <c r="E1123" s="6" t="str">
        <f>INDEX(工厂基础数据!$B$2:$B$1024,MATCH(X1123,工厂基础数据!$D$2:$D$1024,0))</f>
        <v>淄博博仁医药有限公司</v>
      </c>
      <c r="F1123" s="6" t="e">
        <f>INDEX(商业2转码!$B$2:$B$10000,MATCH(E1123,商业2转码!$A$2:$A$10000,0))</f>
        <v>#N/A</v>
      </c>
      <c r="G1123" s="6" t="str">
        <f>INDEX(品种2编码!$A$2:$A$1048576,MATCH(W1123,品种2编码!$D$2:$D$1048576,0))</f>
        <v>0020070000ZYLC0052</v>
      </c>
      <c r="H1123" s="6" t="s">
        <v>402</v>
      </c>
      <c r="I1123" s="6" t="s">
        <v>411</v>
      </c>
      <c r="J1123" s="6" t="s">
        <v>3279</v>
      </c>
      <c r="L1123" s="6" t="s">
        <v>3125</v>
      </c>
      <c r="M1123" s="6" t="e">
        <f>INDEX(医院2县区2人!$B$2:$B$1048576,MATCH(L1123,医院2县区2人!$A$2:$A$1048576,0))</f>
        <v>#N/A</v>
      </c>
      <c r="N1123" s="6" t="e">
        <f>INDEX(医院2县区2人!$C$2:$C$1048576,MATCH(L1123,医院2县区2人!$A$2:$A$1048576,0))</f>
        <v>#N/A</v>
      </c>
      <c r="P1123" s="7">
        <v>43266</v>
      </c>
      <c r="Q1123" s="6">
        <v>2</v>
      </c>
      <c r="R1123" s="6">
        <v>34</v>
      </c>
      <c r="S1123" s="6">
        <v>170801</v>
      </c>
      <c r="T1123" s="6" t="e">
        <f>INDEX(医院2县区2人!$D$2:$D$1048576,MATCH(L1123,医院2县区2人!$A$2:$A$1048576,0))</f>
        <v>#N/A</v>
      </c>
      <c r="W1123" s="6" t="str">
        <f t="shared" si="37"/>
        <v>钙加锌口服液10ml*12支</v>
      </c>
      <c r="X1123" s="6" t="s">
        <v>2893</v>
      </c>
    </row>
    <row r="1124" spans="1:24" x14ac:dyDescent="0.15">
      <c r="A1124" s="7" t="str">
        <f t="shared" si="38"/>
        <v>201806</v>
      </c>
      <c r="C1124" s="6" t="str">
        <f>INDEX(工厂基础数据!$A$2:$A$1024,MATCH(X1124,工厂基础数据!$D$2:$D$1024,0))</f>
        <v>02032120</v>
      </c>
      <c r="E1124" s="6" t="str">
        <f>INDEX(工厂基础数据!$B$2:$B$1024,MATCH(X1124,工厂基础数据!$D$2:$D$1024,0))</f>
        <v>淄博博仁医药有限公司</v>
      </c>
      <c r="F1124" s="6" t="e">
        <f>INDEX(商业2转码!$B$2:$B$10000,MATCH(E1124,商业2转码!$A$2:$A$10000,0))</f>
        <v>#N/A</v>
      </c>
      <c r="G1124" s="6" t="str">
        <f>INDEX(品种2编码!$A$2:$A$1048576,MATCH(W1124,品种2编码!$D$2:$D$1048576,0))</f>
        <v>0020030020SJSC0004</v>
      </c>
      <c r="H1124" s="6" t="s">
        <v>394</v>
      </c>
      <c r="I1124" s="6" t="s">
        <v>1871</v>
      </c>
      <c r="J1124" s="6" t="s">
        <v>3284</v>
      </c>
      <c r="L1124" s="6" t="s">
        <v>3165</v>
      </c>
      <c r="M1124" s="6" t="e">
        <f>INDEX(医院2县区2人!$B$2:$B$1048576,MATCH(L1124,医院2县区2人!$A$2:$A$1048576,0))</f>
        <v>#N/A</v>
      </c>
      <c r="N1124" s="6" t="e">
        <f>INDEX(医院2县区2人!$C$2:$C$1048576,MATCH(L1124,医院2县区2人!$A$2:$A$1048576,0))</f>
        <v>#N/A</v>
      </c>
      <c r="P1124" s="7">
        <v>43266</v>
      </c>
      <c r="Q1124" s="6">
        <v>2</v>
      </c>
      <c r="R1124" s="6">
        <v>22</v>
      </c>
      <c r="S1124" s="6">
        <v>1709020</v>
      </c>
      <c r="T1124" s="6" t="e">
        <f>INDEX(医院2县区2人!$D$2:$D$1048576,MATCH(L1124,医院2县区2人!$A$2:$A$1048576,0))</f>
        <v>#N/A</v>
      </c>
      <c r="W1124" s="6" t="str">
        <f t="shared" si="37"/>
        <v>复方铝酸铋片50片</v>
      </c>
      <c r="X1124" s="6" t="s">
        <v>2893</v>
      </c>
    </row>
    <row r="1125" spans="1:24" x14ac:dyDescent="0.15">
      <c r="A1125" s="7" t="str">
        <f t="shared" si="38"/>
        <v>201806</v>
      </c>
      <c r="C1125" s="6" t="str">
        <f>INDEX(工厂基础数据!$A$2:$A$1024,MATCH(X1125,工厂基础数据!$D$2:$D$1024,0))</f>
        <v>02032120</v>
      </c>
      <c r="E1125" s="6" t="str">
        <f>INDEX(工厂基础数据!$B$2:$B$1024,MATCH(X1125,工厂基础数据!$D$2:$D$1024,0))</f>
        <v>淄博博仁医药有限公司</v>
      </c>
      <c r="F1125" s="6" t="e">
        <f>INDEX(商业2转码!$B$2:$B$10000,MATCH(E1125,商业2转码!$A$2:$A$10000,0))</f>
        <v>#N/A</v>
      </c>
      <c r="G1125" s="6">
        <f>INDEX(品种2编码!$A$2:$A$1048576,MATCH(W1125,品种2编码!$D$2:$D$1048576,0))</f>
        <v>0</v>
      </c>
      <c r="H1125" s="6" t="s">
        <v>317</v>
      </c>
      <c r="I1125" s="6" t="s">
        <v>3291</v>
      </c>
      <c r="J1125" s="6" t="s">
        <v>3279</v>
      </c>
      <c r="L1125" s="6" t="s">
        <v>3136</v>
      </c>
      <c r="M1125" s="6" t="e">
        <f>INDEX(医院2县区2人!$B$2:$B$1048576,MATCH(L1125,医院2县区2人!$A$2:$A$1048576,0))</f>
        <v>#N/A</v>
      </c>
      <c r="N1125" s="6" t="e">
        <f>INDEX(医院2县区2人!$C$2:$C$1048576,MATCH(L1125,医院2县区2人!$A$2:$A$1048576,0))</f>
        <v>#N/A</v>
      </c>
      <c r="P1125" s="7">
        <v>43266</v>
      </c>
      <c r="Q1125" s="6">
        <v>3</v>
      </c>
      <c r="R1125" s="6">
        <v>30.9</v>
      </c>
      <c r="S1125" s="6">
        <v>1803608</v>
      </c>
      <c r="T1125" s="6" t="e">
        <f>INDEX(医院2县区2人!$D$2:$D$1048576,MATCH(L1125,医院2县区2人!$A$2:$A$1048576,0))</f>
        <v>#N/A</v>
      </c>
      <c r="W1125" s="6" t="str">
        <f t="shared" si="37"/>
        <v>布洛芬颗粒0.2g*12包</v>
      </c>
      <c r="X1125" s="6" t="s">
        <v>2893</v>
      </c>
    </row>
    <row r="1126" spans="1:24" x14ac:dyDescent="0.15">
      <c r="A1126" s="7" t="str">
        <f t="shared" si="38"/>
        <v>201806</v>
      </c>
      <c r="C1126" s="6" t="str">
        <f>INDEX(工厂基础数据!$A$2:$A$1024,MATCH(X1126,工厂基础数据!$D$2:$D$1024,0))</f>
        <v>02032120</v>
      </c>
      <c r="E1126" s="6" t="str">
        <f>INDEX(工厂基础数据!$B$2:$B$1024,MATCH(X1126,工厂基础数据!$D$2:$D$1024,0))</f>
        <v>淄博博仁医药有限公司</v>
      </c>
      <c r="F1126" s="6" t="e">
        <f>INDEX(商业2转码!$B$2:$B$10000,MATCH(E1126,商业2转码!$A$2:$A$10000,0))</f>
        <v>#N/A</v>
      </c>
      <c r="G1126" s="6" t="str">
        <f>INDEX(品种2编码!$A$2:$A$1048576,MATCH(W1126,品种2编码!$D$2:$D$1048576,0))</f>
        <v>0020040110SHYT0002</v>
      </c>
      <c r="H1126" s="6" t="s">
        <v>601</v>
      </c>
      <c r="I1126" s="6" t="s">
        <v>1997</v>
      </c>
      <c r="J1126" s="6" t="s">
        <v>3279</v>
      </c>
      <c r="L1126" s="6" t="s">
        <v>3118</v>
      </c>
      <c r="M1126" s="6" t="e">
        <f>INDEX(医院2县区2人!$B$2:$B$1048576,MATCH(L1126,医院2县区2人!$A$2:$A$1048576,0))</f>
        <v>#N/A</v>
      </c>
      <c r="N1126" s="6" t="e">
        <f>INDEX(医院2县区2人!$C$2:$C$1048576,MATCH(L1126,医院2县区2人!$A$2:$A$1048576,0))</f>
        <v>#N/A</v>
      </c>
      <c r="P1126" s="7">
        <v>43266</v>
      </c>
      <c r="Q1126" s="6">
        <v>5</v>
      </c>
      <c r="R1126" s="6">
        <v>87.5</v>
      </c>
      <c r="S1126" s="6">
        <v>161101</v>
      </c>
      <c r="T1126" s="6" t="e">
        <f>INDEX(医院2县区2人!$D$2:$D$1048576,MATCH(L1126,医院2县区2人!$A$2:$A$1048576,0))</f>
        <v>#N/A</v>
      </c>
      <c r="W1126" s="6" t="str">
        <f t="shared" si="37"/>
        <v>麝香接骨胶囊0.3g*40粒</v>
      </c>
      <c r="X1126" s="6" t="s">
        <v>2893</v>
      </c>
    </row>
    <row r="1127" spans="1:24" x14ac:dyDescent="0.15">
      <c r="A1127" s="7" t="str">
        <f t="shared" si="38"/>
        <v>201806</v>
      </c>
      <c r="C1127" s="6" t="str">
        <f>INDEX(工厂基础数据!$A$2:$A$1024,MATCH(X1127,工厂基础数据!$D$2:$D$1024,0))</f>
        <v>02032120</v>
      </c>
      <c r="E1127" s="6" t="str">
        <f>INDEX(工厂基础数据!$B$2:$B$1024,MATCH(X1127,工厂基础数据!$D$2:$D$1024,0))</f>
        <v>淄博博仁医药有限公司</v>
      </c>
      <c r="F1127" s="6" t="e">
        <f>INDEX(商业2转码!$B$2:$B$10000,MATCH(E1127,商业2转码!$A$2:$A$10000,0))</f>
        <v>#N/A</v>
      </c>
      <c r="G1127" s="6" t="str">
        <f>INDEX(品种2编码!$A$2:$A$1048576,MATCH(W1127,品种2编码!$D$2:$D$1048576,0))</f>
        <v>0020030001SJZY0006</v>
      </c>
      <c r="H1127" s="6" t="s">
        <v>1833</v>
      </c>
      <c r="I1127" s="6" t="s">
        <v>411</v>
      </c>
      <c r="J1127" s="6" t="s">
        <v>3280</v>
      </c>
      <c r="L1127" s="6" t="s">
        <v>3141</v>
      </c>
      <c r="M1127" s="6" t="e">
        <f>INDEX(医院2县区2人!$B$2:$B$1048576,MATCH(L1127,医院2县区2人!$A$2:$A$1048576,0))</f>
        <v>#N/A</v>
      </c>
      <c r="N1127" s="6" t="e">
        <f>INDEX(医院2县区2人!$C$2:$C$1048576,MATCH(L1127,医院2县区2人!$A$2:$A$1048576,0))</f>
        <v>#N/A</v>
      </c>
      <c r="P1127" s="7">
        <v>43266</v>
      </c>
      <c r="Q1127" s="6">
        <v>5</v>
      </c>
      <c r="R1127" s="6">
        <v>93</v>
      </c>
      <c r="S1127" s="6">
        <v>17122912</v>
      </c>
      <c r="T1127" s="6" t="e">
        <f>INDEX(医院2县区2人!$D$2:$D$1048576,MATCH(L1127,医院2县区2人!$A$2:$A$1048576,0))</f>
        <v>#N/A</v>
      </c>
      <c r="W1127" s="6" t="str">
        <f t="shared" si="37"/>
        <v>葡萄糖酸钙口服溶液10ml*12支</v>
      </c>
      <c r="X1127" s="6" t="s">
        <v>2893</v>
      </c>
    </row>
    <row r="1128" spans="1:24" x14ac:dyDescent="0.15">
      <c r="A1128" s="7" t="str">
        <f t="shared" si="38"/>
        <v>201806</v>
      </c>
      <c r="C1128" s="6" t="str">
        <f>INDEX(工厂基础数据!$A$2:$A$1024,MATCH(X1128,工厂基础数据!$D$2:$D$1024,0))</f>
        <v>02032120</v>
      </c>
      <c r="E1128" s="6" t="str">
        <f>INDEX(工厂基础数据!$B$2:$B$1024,MATCH(X1128,工厂基础数据!$D$2:$D$1024,0))</f>
        <v>淄博博仁医药有限公司</v>
      </c>
      <c r="F1128" s="6" t="e">
        <f>INDEX(商业2转码!$B$2:$B$10000,MATCH(E1128,商业2转码!$A$2:$A$10000,0))</f>
        <v>#N/A</v>
      </c>
      <c r="G1128" s="6" t="str">
        <f>INDEX(品种2编码!$A$2:$A$1048576,MATCH(W1128,品种2编码!$D$2:$D$1048576,0))</f>
        <v>0020020021ZYLC0005</v>
      </c>
      <c r="H1128" s="6" t="s">
        <v>1950</v>
      </c>
      <c r="I1128" s="6" t="s">
        <v>1841</v>
      </c>
      <c r="J1128" s="6" t="s">
        <v>3283</v>
      </c>
      <c r="L1128" s="6" t="s">
        <v>3117</v>
      </c>
      <c r="M1128" s="6" t="e">
        <f>INDEX(医院2县区2人!$B$2:$B$1048576,MATCH(L1128,医院2县区2人!$A$2:$A$1048576,0))</f>
        <v>#N/A</v>
      </c>
      <c r="N1128" s="6" t="e">
        <f>INDEX(医院2县区2人!$C$2:$C$1048576,MATCH(L1128,医院2县区2人!$A$2:$A$1048576,0))</f>
        <v>#N/A</v>
      </c>
      <c r="P1128" s="7">
        <v>43266</v>
      </c>
      <c r="Q1128" s="6">
        <v>8</v>
      </c>
      <c r="R1128" s="6">
        <v>32</v>
      </c>
      <c r="S1128" s="6">
        <v>180201</v>
      </c>
      <c r="T1128" s="6" t="e">
        <f>INDEX(医院2县区2人!$D$2:$D$1048576,MATCH(L1128,医院2县区2人!$A$2:$A$1048576,0))</f>
        <v>#N/A</v>
      </c>
      <c r="W1128" s="6" t="str">
        <f t="shared" si="37"/>
        <v>罗红霉素分散片50mg*12片</v>
      </c>
      <c r="X1128" s="6" t="s">
        <v>2893</v>
      </c>
    </row>
    <row r="1129" spans="1:24" x14ac:dyDescent="0.15">
      <c r="A1129" s="7" t="str">
        <f t="shared" si="38"/>
        <v>201806</v>
      </c>
      <c r="C1129" s="6" t="str">
        <f>INDEX(工厂基础数据!$A$2:$A$1024,MATCH(X1129,工厂基础数据!$D$2:$D$1024,0))</f>
        <v>02032120</v>
      </c>
      <c r="E1129" s="6" t="str">
        <f>INDEX(工厂基础数据!$B$2:$B$1024,MATCH(X1129,工厂基础数据!$D$2:$D$1024,0))</f>
        <v>淄博博仁医药有限公司</v>
      </c>
      <c r="F1129" s="6" t="e">
        <f>INDEX(商业2转码!$B$2:$B$10000,MATCH(E1129,商业2转码!$A$2:$A$10000,0))</f>
        <v>#N/A</v>
      </c>
      <c r="G1129" s="6">
        <f>INDEX(品种2编码!$A$2:$A$1048576,MATCH(W1129,品种2编码!$D$2:$D$1048576,0))</f>
        <v>0</v>
      </c>
      <c r="H1129" s="6" t="s">
        <v>3269</v>
      </c>
      <c r="I1129" s="6" t="s">
        <v>1839</v>
      </c>
      <c r="J1129" s="6" t="s">
        <v>3279</v>
      </c>
      <c r="L1129" s="6" t="s">
        <v>3163</v>
      </c>
      <c r="M1129" s="6" t="e">
        <f>INDEX(医院2县区2人!$B$2:$B$1048576,MATCH(L1129,医院2县区2人!$A$2:$A$1048576,0))</f>
        <v>#N/A</v>
      </c>
      <c r="N1129" s="6" t="e">
        <f>INDEX(医院2县区2人!$C$2:$C$1048576,MATCH(L1129,医院2县区2人!$A$2:$A$1048576,0))</f>
        <v>#N/A</v>
      </c>
      <c r="P1129" s="7">
        <v>43266</v>
      </c>
      <c r="Q1129" s="6">
        <v>10</v>
      </c>
      <c r="R1129" s="6">
        <v>80</v>
      </c>
      <c r="S1129" s="6">
        <v>180111</v>
      </c>
      <c r="T1129" s="6" t="e">
        <f>INDEX(医院2县区2人!$D$2:$D$1048576,MATCH(L1129,医院2县区2人!$A$2:$A$1048576,0))</f>
        <v>#N/A</v>
      </c>
      <c r="W1129" s="6" t="str">
        <f t="shared" si="37"/>
        <v>乳酸菌素片(精）0.4g*36片</v>
      </c>
      <c r="X1129" s="6" t="s">
        <v>2893</v>
      </c>
    </row>
    <row r="1130" spans="1:24" x14ac:dyDescent="0.15">
      <c r="A1130" s="7" t="str">
        <f t="shared" si="38"/>
        <v>201806</v>
      </c>
      <c r="C1130" s="6" t="str">
        <f>INDEX(工厂基础数据!$A$2:$A$1024,MATCH(X1130,工厂基础数据!$D$2:$D$1024,0))</f>
        <v>02032120</v>
      </c>
      <c r="E1130" s="6" t="str">
        <f>INDEX(工厂基础数据!$B$2:$B$1024,MATCH(X1130,工厂基础数据!$D$2:$D$1024,0))</f>
        <v>淄博博仁医药有限公司</v>
      </c>
      <c r="F1130" s="6" t="e">
        <f>INDEX(商业2转码!$B$2:$B$10000,MATCH(E1130,商业2转码!$A$2:$A$10000,0))</f>
        <v>#N/A</v>
      </c>
      <c r="G1130" s="6" t="str">
        <f>INDEX(品种2编码!$A$2:$A$1048576,MATCH(W1130,品种2编码!$D$2:$D$1048576,0))</f>
        <v>0020020030SJMS0025</v>
      </c>
      <c r="H1130" s="6" t="s">
        <v>586</v>
      </c>
      <c r="I1130" s="6" t="s">
        <v>1937</v>
      </c>
      <c r="J1130" s="6" t="s">
        <v>3282</v>
      </c>
      <c r="L1130" s="6" t="s">
        <v>3212</v>
      </c>
      <c r="M1130" s="6" t="e">
        <f>INDEX(医院2县区2人!$B$2:$B$1048576,MATCH(L1130,医院2县区2人!$A$2:$A$1048576,0))</f>
        <v>#N/A</v>
      </c>
      <c r="N1130" s="6" t="e">
        <f>INDEX(医院2县区2人!$C$2:$C$1048576,MATCH(L1130,医院2县区2人!$A$2:$A$1048576,0))</f>
        <v>#N/A</v>
      </c>
      <c r="P1130" s="7">
        <v>43266</v>
      </c>
      <c r="Q1130" s="6">
        <v>10</v>
      </c>
      <c r="R1130" s="6">
        <v>55</v>
      </c>
      <c r="S1130" s="6">
        <v>1709011</v>
      </c>
      <c r="T1130" s="6" t="e">
        <f>INDEX(医院2县区2人!$D$2:$D$1048576,MATCH(L1130,医院2县区2人!$A$2:$A$1048576,0))</f>
        <v>#N/A</v>
      </c>
      <c r="W1130" s="6" t="str">
        <f t="shared" si="37"/>
        <v>人工牛黄甲硝唑胶囊30粒</v>
      </c>
      <c r="X1130" s="6" t="s">
        <v>2893</v>
      </c>
    </row>
    <row r="1131" spans="1:24" x14ac:dyDescent="0.15">
      <c r="A1131" s="7" t="str">
        <f t="shared" si="38"/>
        <v>201806</v>
      </c>
      <c r="C1131" s="6" t="str">
        <f>INDEX(工厂基础数据!$A$2:$A$1024,MATCH(X1131,工厂基础数据!$D$2:$D$1024,0))</f>
        <v>02032120</v>
      </c>
      <c r="E1131" s="6" t="str">
        <f>INDEX(工厂基础数据!$B$2:$B$1024,MATCH(X1131,工厂基础数据!$D$2:$D$1024,0))</f>
        <v>淄博博仁医药有限公司</v>
      </c>
      <c r="F1131" s="6" t="e">
        <f>INDEX(商业2转码!$B$2:$B$10000,MATCH(E1131,商业2转码!$A$2:$A$10000,0))</f>
        <v>#N/A</v>
      </c>
      <c r="G1131" s="6" t="str">
        <f>INDEX(品种2编码!$A$2:$A$1048576,MATCH(W1131,品种2编码!$D$2:$D$1048576,0))</f>
        <v>0020030001SJZY0006</v>
      </c>
      <c r="H1131" s="6" t="s">
        <v>1833</v>
      </c>
      <c r="I1131" s="6" t="s">
        <v>411</v>
      </c>
      <c r="J1131" s="6" t="s">
        <v>3280</v>
      </c>
      <c r="L1131" s="6" t="s">
        <v>3213</v>
      </c>
      <c r="M1131" s="6" t="e">
        <f>INDEX(医院2县区2人!$B$2:$B$1048576,MATCH(L1131,医院2县区2人!$A$2:$A$1048576,0))</f>
        <v>#N/A</v>
      </c>
      <c r="N1131" s="6" t="e">
        <f>INDEX(医院2县区2人!$C$2:$C$1048576,MATCH(L1131,医院2县区2人!$A$2:$A$1048576,0))</f>
        <v>#N/A</v>
      </c>
      <c r="P1131" s="7">
        <v>43266</v>
      </c>
      <c r="Q1131" s="6">
        <v>10</v>
      </c>
      <c r="R1131" s="6">
        <v>220</v>
      </c>
      <c r="S1131" s="6">
        <v>17122912</v>
      </c>
      <c r="T1131" s="6" t="e">
        <f>INDEX(医院2县区2人!$D$2:$D$1048576,MATCH(L1131,医院2县区2人!$A$2:$A$1048576,0))</f>
        <v>#N/A</v>
      </c>
      <c r="W1131" s="6" t="str">
        <f t="shared" si="37"/>
        <v>葡萄糖酸钙口服溶液10ml*12支</v>
      </c>
      <c r="X1131" s="6" t="s">
        <v>2893</v>
      </c>
    </row>
    <row r="1132" spans="1:24" x14ac:dyDescent="0.15">
      <c r="A1132" s="7" t="str">
        <f t="shared" si="38"/>
        <v>201806</v>
      </c>
      <c r="C1132" s="6" t="str">
        <f>INDEX(工厂基础数据!$A$2:$A$1024,MATCH(X1132,工厂基础数据!$D$2:$D$1024,0))</f>
        <v>02032120</v>
      </c>
      <c r="E1132" s="6" t="str">
        <f>INDEX(工厂基础数据!$B$2:$B$1024,MATCH(X1132,工厂基础数据!$D$2:$D$1024,0))</f>
        <v>淄博博仁医药有限公司</v>
      </c>
      <c r="F1132" s="6" t="e">
        <f>INDEX(商业2转码!$B$2:$B$10000,MATCH(E1132,商业2转码!$A$2:$A$10000,0))</f>
        <v>#N/A</v>
      </c>
      <c r="G1132" s="6">
        <f>INDEX(品种2编码!$A$2:$A$1048576,MATCH(W1132,品种2编码!$D$2:$D$1048576,0))</f>
        <v>0</v>
      </c>
      <c r="H1132" s="6" t="s">
        <v>3268</v>
      </c>
      <c r="I1132" s="6" t="s">
        <v>411</v>
      </c>
      <c r="J1132" s="6" t="s">
        <v>3040</v>
      </c>
      <c r="L1132" s="6" t="s">
        <v>3213</v>
      </c>
      <c r="M1132" s="6" t="e">
        <f>INDEX(医院2县区2人!$B$2:$B$1048576,MATCH(L1132,医院2县区2人!$A$2:$A$1048576,0))</f>
        <v>#N/A</v>
      </c>
      <c r="N1132" s="6" t="e">
        <f>INDEX(医院2县区2人!$C$2:$C$1048576,MATCH(L1132,医院2县区2人!$A$2:$A$1048576,0))</f>
        <v>#N/A</v>
      </c>
      <c r="P1132" s="7">
        <v>43266</v>
      </c>
      <c r="Q1132" s="6">
        <v>10</v>
      </c>
      <c r="R1132" s="6">
        <v>230</v>
      </c>
      <c r="S1132" s="6">
        <v>17112821</v>
      </c>
      <c r="T1132" s="6" t="e">
        <f>INDEX(医院2县区2人!$D$2:$D$1048576,MATCH(L1132,医院2县区2人!$A$2:$A$1048576,0))</f>
        <v>#N/A</v>
      </c>
      <c r="W1132" s="6" t="str">
        <f t="shared" si="37"/>
        <v>葡糖糖酸锌口服溶液10ml*12支</v>
      </c>
      <c r="X1132" s="6" t="s">
        <v>2893</v>
      </c>
    </row>
    <row r="1133" spans="1:24" x14ac:dyDescent="0.15">
      <c r="A1133" s="7" t="str">
        <f t="shared" si="38"/>
        <v>201806</v>
      </c>
      <c r="C1133" s="6" t="str">
        <f>INDEX(工厂基础数据!$A$2:$A$1024,MATCH(X1133,工厂基础数据!$D$2:$D$1024,0))</f>
        <v>02032120</v>
      </c>
      <c r="E1133" s="6" t="str">
        <f>INDEX(工厂基础数据!$B$2:$B$1024,MATCH(X1133,工厂基础数据!$D$2:$D$1024,0))</f>
        <v>淄博博仁医药有限公司</v>
      </c>
      <c r="F1133" s="6" t="e">
        <f>INDEX(商业2转码!$B$2:$B$10000,MATCH(E1133,商业2转码!$A$2:$A$10000,0))</f>
        <v>#N/A</v>
      </c>
      <c r="G1133" s="6">
        <f>INDEX(品种2编码!$A$2:$A$1048576,MATCH(W1133,品种2编码!$D$2:$D$1048576,0))</f>
        <v>0</v>
      </c>
      <c r="H1133" s="6" t="s">
        <v>1857</v>
      </c>
      <c r="I1133" s="6" t="s">
        <v>3288</v>
      </c>
      <c r="J1133" s="6" t="s">
        <v>3281</v>
      </c>
      <c r="L1133" s="6" t="s">
        <v>3132</v>
      </c>
      <c r="M1133" s="6" t="e">
        <f>INDEX(医院2县区2人!$B$2:$B$1048576,MATCH(L1133,医院2县区2人!$A$2:$A$1048576,0))</f>
        <v>#N/A</v>
      </c>
      <c r="N1133" s="6" t="e">
        <f>INDEX(医院2县区2人!$C$2:$C$1048576,MATCH(L1133,医院2县区2人!$A$2:$A$1048576,0))</f>
        <v>#N/A</v>
      </c>
      <c r="P1133" s="7">
        <v>43266</v>
      </c>
      <c r="Q1133" s="6">
        <v>10</v>
      </c>
      <c r="R1133" s="6">
        <v>106</v>
      </c>
      <c r="S1133" s="6">
        <v>1801404</v>
      </c>
      <c r="T1133" s="6" t="e">
        <f>INDEX(医院2县区2人!$D$2:$D$1048576,MATCH(L1133,医院2县区2人!$A$2:$A$1048576,0))</f>
        <v>#N/A</v>
      </c>
      <c r="W1133" s="6" t="str">
        <f t="shared" si="37"/>
        <v>妇宁栓7粒</v>
      </c>
      <c r="X1133" s="6" t="s">
        <v>2893</v>
      </c>
    </row>
    <row r="1134" spans="1:24" x14ac:dyDescent="0.15">
      <c r="A1134" s="7" t="str">
        <f t="shared" si="38"/>
        <v>201806</v>
      </c>
      <c r="C1134" s="6" t="str">
        <f>INDEX(工厂基础数据!$A$2:$A$1024,MATCH(X1134,工厂基础数据!$D$2:$D$1024,0))</f>
        <v>02032120</v>
      </c>
      <c r="E1134" s="6" t="str">
        <f>INDEX(工厂基础数据!$B$2:$B$1024,MATCH(X1134,工厂基础数据!$D$2:$D$1024,0))</f>
        <v>淄博博仁医药有限公司</v>
      </c>
      <c r="F1134" s="6" t="e">
        <f>INDEX(商业2转码!$B$2:$B$10000,MATCH(E1134,商业2转码!$A$2:$A$10000,0))</f>
        <v>#N/A</v>
      </c>
      <c r="G1134" s="6" t="str">
        <f>INDEX(品种2编码!$A$2:$A$1048576,MATCH(W1134,品种2编码!$D$2:$D$1048576,0))</f>
        <v>0020020020ZYLC0003</v>
      </c>
      <c r="H1134" s="6" t="s">
        <v>1855</v>
      </c>
      <c r="I1134" s="6" t="s">
        <v>381</v>
      </c>
      <c r="J1134" s="6" t="s">
        <v>3279</v>
      </c>
      <c r="L1134" s="6" t="s">
        <v>3214</v>
      </c>
      <c r="M1134" s="6" t="e">
        <f>INDEX(医院2县区2人!$B$2:$B$1048576,MATCH(L1134,医院2县区2人!$A$2:$A$1048576,0))</f>
        <v>#N/A</v>
      </c>
      <c r="N1134" s="6" t="e">
        <f>INDEX(医院2县区2人!$C$2:$C$1048576,MATCH(L1134,医院2县区2人!$A$2:$A$1048576,0))</f>
        <v>#N/A</v>
      </c>
      <c r="P1134" s="7">
        <v>43266</v>
      </c>
      <c r="Q1134" s="6">
        <v>10</v>
      </c>
      <c r="R1134" s="6">
        <v>55</v>
      </c>
      <c r="S1134" s="6">
        <v>170706</v>
      </c>
      <c r="T1134" s="6" t="e">
        <f>INDEX(医院2县区2人!$D$2:$D$1048576,MATCH(L1134,医院2县区2人!$A$2:$A$1048576,0))</f>
        <v>#N/A</v>
      </c>
      <c r="W1134" s="6" t="str">
        <f t="shared" si="37"/>
        <v>颠茄磺苄啶片12片</v>
      </c>
      <c r="X1134" s="6" t="s">
        <v>2893</v>
      </c>
    </row>
    <row r="1135" spans="1:24" x14ac:dyDescent="0.15">
      <c r="A1135" s="7" t="str">
        <f t="shared" si="38"/>
        <v>201806</v>
      </c>
      <c r="C1135" s="6" t="str">
        <f>INDEX(工厂基础数据!$A$2:$A$1024,MATCH(X1135,工厂基础数据!$D$2:$D$1024,0))</f>
        <v>02032120</v>
      </c>
      <c r="E1135" s="6" t="str">
        <f>INDEX(工厂基础数据!$B$2:$B$1024,MATCH(X1135,工厂基础数据!$D$2:$D$1024,0))</f>
        <v>淄博博仁医药有限公司</v>
      </c>
      <c r="F1135" s="6" t="e">
        <f>INDEX(商业2转码!$B$2:$B$10000,MATCH(E1135,商业2转码!$A$2:$A$10000,0))</f>
        <v>#N/A</v>
      </c>
      <c r="G1135" s="6" t="str">
        <f>INDEX(品种2编码!$A$2:$A$1048576,MATCH(W1135,品种2编码!$D$2:$D$1048576,0))</f>
        <v>0020020021ZYZC0341</v>
      </c>
      <c r="H1135" s="6" t="s">
        <v>1936</v>
      </c>
      <c r="I1135" s="6" t="s">
        <v>279</v>
      </c>
      <c r="J1135" s="6" t="s">
        <v>3279</v>
      </c>
      <c r="L1135" s="6" t="s">
        <v>3132</v>
      </c>
      <c r="M1135" s="6" t="e">
        <f>INDEX(医院2县区2人!$B$2:$B$1048576,MATCH(L1135,医院2县区2人!$A$2:$A$1048576,0))</f>
        <v>#N/A</v>
      </c>
      <c r="N1135" s="6" t="e">
        <f>INDEX(医院2县区2人!$C$2:$C$1048576,MATCH(L1135,医院2县区2人!$A$2:$A$1048576,0))</f>
        <v>#N/A</v>
      </c>
      <c r="P1135" s="7">
        <v>43266</v>
      </c>
      <c r="Q1135" s="6">
        <v>10</v>
      </c>
      <c r="R1135" s="6">
        <v>68</v>
      </c>
      <c r="S1135" s="6" t="s">
        <v>3275</v>
      </c>
      <c r="T1135" s="6" t="e">
        <f>INDEX(医院2县区2人!$D$2:$D$1048576,MATCH(L1135,医院2县区2人!$A$2:$A$1048576,0))</f>
        <v>#N/A</v>
      </c>
      <c r="W1135" s="6" t="str">
        <f t="shared" si="37"/>
        <v>阿莫西林克拉维酸钾分散片0.2285g*12片</v>
      </c>
      <c r="X1135" s="6" t="s">
        <v>2893</v>
      </c>
    </row>
    <row r="1136" spans="1:24" x14ac:dyDescent="0.15">
      <c r="A1136" s="7" t="str">
        <f t="shared" si="38"/>
        <v>201806</v>
      </c>
      <c r="C1136" s="6" t="str">
        <f>INDEX(工厂基础数据!$A$2:$A$1024,MATCH(X1136,工厂基础数据!$D$2:$D$1024,0))</f>
        <v>02032120</v>
      </c>
      <c r="E1136" s="6" t="str">
        <f>INDEX(工厂基础数据!$B$2:$B$1024,MATCH(X1136,工厂基础数据!$D$2:$D$1024,0))</f>
        <v>淄博博仁医药有限公司</v>
      </c>
      <c r="F1136" s="6" t="e">
        <f>INDEX(商业2转码!$B$2:$B$10000,MATCH(E1136,商业2转码!$A$2:$A$10000,0))</f>
        <v>#N/A</v>
      </c>
      <c r="G1136" s="6" t="str">
        <f>INDEX(品种2编码!$A$2:$A$1048576,MATCH(W1136,品种2编码!$D$2:$D$1048576,0))</f>
        <v>0020020013ZYZC0491</v>
      </c>
      <c r="H1136" s="6" t="s">
        <v>3266</v>
      </c>
      <c r="I1136" s="6" t="s">
        <v>914</v>
      </c>
      <c r="J1136" s="6" t="s">
        <v>3279</v>
      </c>
      <c r="L1136" s="6" t="s">
        <v>3126</v>
      </c>
      <c r="M1136" s="6" t="e">
        <f>INDEX(医院2县区2人!$B$2:$B$1048576,MATCH(L1136,医院2县区2人!$A$2:$A$1048576,0))</f>
        <v>#N/A</v>
      </c>
      <c r="N1136" s="6" t="e">
        <f>INDEX(医院2县区2人!$C$2:$C$1048576,MATCH(L1136,医院2县区2人!$A$2:$A$1048576,0))</f>
        <v>#N/A</v>
      </c>
      <c r="P1136" s="7">
        <v>43266</v>
      </c>
      <c r="Q1136" s="6">
        <v>10</v>
      </c>
      <c r="R1136" s="6">
        <v>39</v>
      </c>
      <c r="S1136" s="6" t="s">
        <v>3272</v>
      </c>
      <c r="T1136" s="6" t="e">
        <f>INDEX(医院2县区2人!$D$2:$D$1048576,MATCH(L1136,医院2县区2人!$A$2:$A$1048576,0))</f>
        <v>#N/A</v>
      </c>
      <c r="W1136" s="6" t="str">
        <f t="shared" si="37"/>
        <v>*注射用乳糖酸阿奇霉素0.25g</v>
      </c>
      <c r="X1136" s="6" t="s">
        <v>2893</v>
      </c>
    </row>
    <row r="1137" spans="1:24" x14ac:dyDescent="0.15">
      <c r="A1137" s="7" t="str">
        <f t="shared" si="38"/>
        <v>201806</v>
      </c>
      <c r="C1137" s="6" t="str">
        <f>INDEX(工厂基础数据!$A$2:$A$1024,MATCH(X1137,工厂基础数据!$D$2:$D$1024,0))</f>
        <v>02032120</v>
      </c>
      <c r="E1137" s="6" t="str">
        <f>INDEX(工厂基础数据!$B$2:$B$1024,MATCH(X1137,工厂基础数据!$D$2:$D$1024,0))</f>
        <v>淄博博仁医药有限公司</v>
      </c>
      <c r="F1137" s="6" t="e">
        <f>INDEX(商业2转码!$B$2:$B$10000,MATCH(E1137,商业2转码!$A$2:$A$10000,0))</f>
        <v>#N/A</v>
      </c>
      <c r="G1137" s="6" t="str">
        <f>INDEX(品种2编码!$A$2:$A$1048576,MATCH(W1137,品种2编码!$D$2:$D$1048576,0))</f>
        <v>0020020030SJMS0025</v>
      </c>
      <c r="H1137" s="6" t="s">
        <v>586</v>
      </c>
      <c r="I1137" s="6" t="s">
        <v>1937</v>
      </c>
      <c r="J1137" s="6" t="s">
        <v>3282</v>
      </c>
      <c r="L1137" s="6" t="s">
        <v>3132</v>
      </c>
      <c r="M1137" s="6" t="e">
        <f>INDEX(医院2县区2人!$B$2:$B$1048576,MATCH(L1137,医院2县区2人!$A$2:$A$1048576,0))</f>
        <v>#N/A</v>
      </c>
      <c r="N1137" s="6" t="e">
        <f>INDEX(医院2县区2人!$C$2:$C$1048576,MATCH(L1137,医院2县区2人!$A$2:$A$1048576,0))</f>
        <v>#N/A</v>
      </c>
      <c r="P1137" s="7">
        <v>43266</v>
      </c>
      <c r="Q1137" s="6">
        <v>20</v>
      </c>
      <c r="R1137" s="6">
        <v>64</v>
      </c>
      <c r="S1137" s="6">
        <v>1709011</v>
      </c>
      <c r="T1137" s="6" t="e">
        <f>INDEX(医院2县区2人!$D$2:$D$1048576,MATCH(L1137,医院2县区2人!$A$2:$A$1048576,0))</f>
        <v>#N/A</v>
      </c>
      <c r="W1137" s="6" t="str">
        <f t="shared" si="37"/>
        <v>人工牛黄甲硝唑胶囊30粒</v>
      </c>
      <c r="X1137" s="6" t="s">
        <v>2893</v>
      </c>
    </row>
    <row r="1138" spans="1:24" x14ac:dyDescent="0.15">
      <c r="A1138" s="7" t="str">
        <f t="shared" si="38"/>
        <v>201806</v>
      </c>
      <c r="C1138" s="6" t="str">
        <f>INDEX(工厂基础数据!$A$2:$A$1024,MATCH(X1138,工厂基础数据!$D$2:$D$1024,0))</f>
        <v>02032120</v>
      </c>
      <c r="E1138" s="6" t="str">
        <f>INDEX(工厂基础数据!$B$2:$B$1024,MATCH(X1138,工厂基础数据!$D$2:$D$1024,0))</f>
        <v>淄博博仁医药有限公司</v>
      </c>
      <c r="F1138" s="6" t="e">
        <f>INDEX(商业2转码!$B$2:$B$10000,MATCH(E1138,商业2转码!$A$2:$A$10000,0))</f>
        <v>#N/A</v>
      </c>
      <c r="G1138" s="6">
        <f>INDEX(品种2编码!$A$2:$A$1048576,MATCH(W1138,品种2编码!$D$2:$D$1048576,0))</f>
        <v>0</v>
      </c>
      <c r="H1138" s="6" t="s">
        <v>1885</v>
      </c>
      <c r="I1138" s="6" t="s">
        <v>1838</v>
      </c>
      <c r="J1138" s="6" t="s">
        <v>3279</v>
      </c>
      <c r="L1138" s="6" t="s">
        <v>3208</v>
      </c>
      <c r="M1138" s="6" t="e">
        <f>INDEX(医院2县区2人!$B$2:$B$1048576,MATCH(L1138,医院2县区2人!$A$2:$A$1048576,0))</f>
        <v>#N/A</v>
      </c>
      <c r="N1138" s="6" t="e">
        <f>INDEX(医院2县区2人!$C$2:$C$1048576,MATCH(L1138,医院2县区2人!$A$2:$A$1048576,0))</f>
        <v>#N/A</v>
      </c>
      <c r="P1138" s="7">
        <v>43267</v>
      </c>
      <c r="Q1138" s="6">
        <v>2</v>
      </c>
      <c r="R1138" s="6">
        <v>48</v>
      </c>
      <c r="S1138" s="6">
        <v>171251</v>
      </c>
      <c r="T1138" s="6" t="e">
        <f>INDEX(医院2县区2人!$D$2:$D$1048576,MATCH(L1138,医院2县区2人!$A$2:$A$1048576,0))</f>
        <v>#N/A</v>
      </c>
      <c r="W1138" s="6" t="str">
        <f t="shared" si="37"/>
        <v>新盖中盖高钙片2.5g*36片</v>
      </c>
      <c r="X1138" s="6" t="s">
        <v>2893</v>
      </c>
    </row>
    <row r="1139" spans="1:24" x14ac:dyDescent="0.15">
      <c r="A1139" s="7" t="str">
        <f t="shared" si="38"/>
        <v>201806</v>
      </c>
      <c r="C1139" s="6" t="str">
        <f>INDEX(工厂基础数据!$A$2:$A$1024,MATCH(X1139,工厂基础数据!$D$2:$D$1024,0))</f>
        <v>02032120</v>
      </c>
      <c r="E1139" s="6" t="str">
        <f>INDEX(工厂基础数据!$B$2:$B$1024,MATCH(X1139,工厂基础数据!$D$2:$D$1024,0))</f>
        <v>淄博博仁医药有限公司</v>
      </c>
      <c r="F1139" s="6" t="e">
        <f>INDEX(商业2转码!$B$2:$B$10000,MATCH(E1139,商业2转码!$A$2:$A$10000,0))</f>
        <v>#N/A</v>
      </c>
      <c r="G1139" s="6">
        <f>INDEX(品种2编码!$A$2:$A$1048576,MATCH(W1139,品种2编码!$D$2:$D$1048576,0))</f>
        <v>0</v>
      </c>
      <c r="H1139" s="6" t="s">
        <v>1857</v>
      </c>
      <c r="I1139" s="6" t="s">
        <v>3288</v>
      </c>
      <c r="J1139" s="6" t="s">
        <v>3281</v>
      </c>
      <c r="L1139" s="6" t="s">
        <v>3116</v>
      </c>
      <c r="M1139" s="6" t="e">
        <f>INDEX(医院2县区2人!$B$2:$B$1048576,MATCH(L1139,医院2县区2人!$A$2:$A$1048576,0))</f>
        <v>#N/A</v>
      </c>
      <c r="N1139" s="6" t="e">
        <f>INDEX(医院2县区2人!$C$2:$C$1048576,MATCH(L1139,医院2县区2人!$A$2:$A$1048576,0))</f>
        <v>#N/A</v>
      </c>
      <c r="P1139" s="7">
        <v>43267</v>
      </c>
      <c r="Q1139" s="6">
        <v>2</v>
      </c>
      <c r="R1139" s="6">
        <v>28</v>
      </c>
      <c r="S1139" s="6">
        <v>1801404</v>
      </c>
      <c r="T1139" s="6" t="e">
        <f>INDEX(医院2县区2人!$D$2:$D$1048576,MATCH(L1139,医院2县区2人!$A$2:$A$1048576,0))</f>
        <v>#N/A</v>
      </c>
      <c r="W1139" s="6" t="str">
        <f t="shared" si="37"/>
        <v>妇宁栓7粒</v>
      </c>
      <c r="X1139" s="6" t="s">
        <v>2893</v>
      </c>
    </row>
    <row r="1140" spans="1:24" x14ac:dyDescent="0.15">
      <c r="A1140" s="7" t="str">
        <f t="shared" si="38"/>
        <v>201806</v>
      </c>
      <c r="C1140" s="6" t="str">
        <f>INDEX(工厂基础数据!$A$2:$A$1024,MATCH(X1140,工厂基础数据!$D$2:$D$1024,0))</f>
        <v>02032120</v>
      </c>
      <c r="E1140" s="6" t="str">
        <f>INDEX(工厂基础数据!$B$2:$B$1024,MATCH(X1140,工厂基础数据!$D$2:$D$1024,0))</f>
        <v>淄博博仁医药有限公司</v>
      </c>
      <c r="F1140" s="6" t="e">
        <f>INDEX(商业2转码!$B$2:$B$10000,MATCH(E1140,商业2转码!$A$2:$A$10000,0))</f>
        <v>#N/A</v>
      </c>
      <c r="G1140" s="6" t="str">
        <f>INDEX(品种2编码!$A$2:$A$1048576,MATCH(W1140,品种2编码!$D$2:$D$1048576,0))</f>
        <v>0020030001SJZY0006</v>
      </c>
      <c r="H1140" s="6" t="s">
        <v>1833</v>
      </c>
      <c r="I1140" s="6" t="s">
        <v>411</v>
      </c>
      <c r="J1140" s="6" t="s">
        <v>3280</v>
      </c>
      <c r="L1140" s="6" t="s">
        <v>3215</v>
      </c>
      <c r="M1140" s="6" t="e">
        <f>INDEX(医院2县区2人!$B$2:$B$1048576,MATCH(L1140,医院2县区2人!$A$2:$A$1048576,0))</f>
        <v>#N/A</v>
      </c>
      <c r="N1140" s="6" t="e">
        <f>INDEX(医院2县区2人!$C$2:$C$1048576,MATCH(L1140,医院2县区2人!$A$2:$A$1048576,0))</f>
        <v>#N/A</v>
      </c>
      <c r="P1140" s="7">
        <v>43267</v>
      </c>
      <c r="Q1140" s="6">
        <v>5</v>
      </c>
      <c r="R1140" s="6">
        <v>110</v>
      </c>
      <c r="S1140" s="6">
        <v>17122912</v>
      </c>
      <c r="T1140" s="6" t="e">
        <f>INDEX(医院2县区2人!$D$2:$D$1048576,MATCH(L1140,医院2县区2人!$A$2:$A$1048576,0))</f>
        <v>#N/A</v>
      </c>
      <c r="W1140" s="6" t="str">
        <f t="shared" si="37"/>
        <v>葡萄糖酸钙口服溶液10ml*12支</v>
      </c>
      <c r="X1140" s="6" t="s">
        <v>2893</v>
      </c>
    </row>
    <row r="1141" spans="1:24" x14ac:dyDescent="0.15">
      <c r="A1141" s="7" t="str">
        <f t="shared" si="38"/>
        <v>201806</v>
      </c>
      <c r="C1141" s="6" t="str">
        <f>INDEX(工厂基础数据!$A$2:$A$1024,MATCH(X1141,工厂基础数据!$D$2:$D$1024,0))</f>
        <v>02032120</v>
      </c>
      <c r="E1141" s="6" t="str">
        <f>INDEX(工厂基础数据!$B$2:$B$1024,MATCH(X1141,工厂基础数据!$D$2:$D$1024,0))</f>
        <v>淄博博仁医药有限公司</v>
      </c>
      <c r="F1141" s="6" t="e">
        <f>INDEX(商业2转码!$B$2:$B$10000,MATCH(E1141,商业2转码!$A$2:$A$10000,0))</f>
        <v>#N/A</v>
      </c>
      <c r="G1141" s="6" t="str">
        <f>INDEX(品种2编码!$A$2:$A$1048576,MATCH(W1141,品种2编码!$D$2:$D$1048576,0))</f>
        <v>0020030001SJZY0006</v>
      </c>
      <c r="H1141" s="6" t="s">
        <v>1833</v>
      </c>
      <c r="I1141" s="6" t="s">
        <v>411</v>
      </c>
      <c r="J1141" s="6" t="s">
        <v>3280</v>
      </c>
      <c r="L1141" s="6" t="s">
        <v>3172</v>
      </c>
      <c r="M1141" s="6" t="e">
        <f>INDEX(医院2县区2人!$B$2:$B$1048576,MATCH(L1141,医院2县区2人!$A$2:$A$1048576,0))</f>
        <v>#N/A</v>
      </c>
      <c r="N1141" s="6" t="e">
        <f>INDEX(医院2县区2人!$C$2:$C$1048576,MATCH(L1141,医院2县区2人!$A$2:$A$1048576,0))</f>
        <v>#N/A</v>
      </c>
      <c r="P1141" s="7">
        <v>43267</v>
      </c>
      <c r="Q1141" s="6">
        <v>5</v>
      </c>
      <c r="R1141" s="6">
        <v>110</v>
      </c>
      <c r="S1141" s="6">
        <v>17122912</v>
      </c>
      <c r="T1141" s="6" t="e">
        <f>INDEX(医院2县区2人!$D$2:$D$1048576,MATCH(L1141,医院2县区2人!$A$2:$A$1048576,0))</f>
        <v>#N/A</v>
      </c>
      <c r="W1141" s="6" t="str">
        <f t="shared" si="37"/>
        <v>葡萄糖酸钙口服溶液10ml*12支</v>
      </c>
      <c r="X1141" s="6" t="s">
        <v>2893</v>
      </c>
    </row>
    <row r="1142" spans="1:24" x14ac:dyDescent="0.15">
      <c r="A1142" s="7" t="str">
        <f t="shared" si="38"/>
        <v>201806</v>
      </c>
      <c r="C1142" s="6" t="str">
        <f>INDEX(工厂基础数据!$A$2:$A$1024,MATCH(X1142,工厂基础数据!$D$2:$D$1024,0))</f>
        <v>02032120</v>
      </c>
      <c r="E1142" s="6" t="str">
        <f>INDEX(工厂基础数据!$B$2:$B$1024,MATCH(X1142,工厂基础数据!$D$2:$D$1024,0))</f>
        <v>淄博博仁医药有限公司</v>
      </c>
      <c r="F1142" s="6" t="e">
        <f>INDEX(商业2转码!$B$2:$B$10000,MATCH(E1142,商业2转码!$A$2:$A$10000,0))</f>
        <v>#N/A</v>
      </c>
      <c r="G1142" s="6">
        <f>INDEX(品种2编码!$A$2:$A$1048576,MATCH(W1142,品种2编码!$D$2:$D$1048576,0))</f>
        <v>0</v>
      </c>
      <c r="H1142" s="6" t="s">
        <v>3268</v>
      </c>
      <c r="I1142" s="6" t="s">
        <v>411</v>
      </c>
      <c r="J1142" s="6" t="s">
        <v>3040</v>
      </c>
      <c r="L1142" s="6" t="s">
        <v>3172</v>
      </c>
      <c r="M1142" s="6" t="e">
        <f>INDEX(医院2县区2人!$B$2:$B$1048576,MATCH(L1142,医院2县区2人!$A$2:$A$1048576,0))</f>
        <v>#N/A</v>
      </c>
      <c r="N1142" s="6" t="e">
        <f>INDEX(医院2县区2人!$C$2:$C$1048576,MATCH(L1142,医院2县区2人!$A$2:$A$1048576,0))</f>
        <v>#N/A</v>
      </c>
      <c r="P1142" s="7">
        <v>43267</v>
      </c>
      <c r="Q1142" s="6">
        <v>5</v>
      </c>
      <c r="R1142" s="6">
        <v>115</v>
      </c>
      <c r="S1142" s="6">
        <v>17112821</v>
      </c>
      <c r="T1142" s="6" t="e">
        <f>INDEX(医院2县区2人!$D$2:$D$1048576,MATCH(L1142,医院2县区2人!$A$2:$A$1048576,0))</f>
        <v>#N/A</v>
      </c>
      <c r="W1142" s="6" t="str">
        <f t="shared" si="37"/>
        <v>葡糖糖酸锌口服溶液10ml*12支</v>
      </c>
      <c r="X1142" s="6" t="s">
        <v>2893</v>
      </c>
    </row>
    <row r="1143" spans="1:24" x14ac:dyDescent="0.15">
      <c r="A1143" s="7" t="str">
        <f t="shared" si="38"/>
        <v>201806</v>
      </c>
      <c r="C1143" s="6" t="str">
        <f>INDEX(工厂基础数据!$A$2:$A$1024,MATCH(X1143,工厂基础数据!$D$2:$D$1024,0))</f>
        <v>02032120</v>
      </c>
      <c r="E1143" s="6" t="str">
        <f>INDEX(工厂基础数据!$B$2:$B$1024,MATCH(X1143,工厂基础数据!$D$2:$D$1024,0))</f>
        <v>淄博博仁医药有限公司</v>
      </c>
      <c r="F1143" s="6" t="e">
        <f>INDEX(商业2转码!$B$2:$B$10000,MATCH(E1143,商业2转码!$A$2:$A$10000,0))</f>
        <v>#N/A</v>
      </c>
      <c r="G1143" s="6" t="str">
        <f>INDEX(品种2编码!$A$2:$A$1048576,MATCH(W1143,品种2编码!$D$2:$D$1048576,0))</f>
        <v>0020020020ZYLC0003</v>
      </c>
      <c r="H1143" s="6" t="s">
        <v>1855</v>
      </c>
      <c r="I1143" s="6" t="s">
        <v>381</v>
      </c>
      <c r="J1143" s="6" t="s">
        <v>3279</v>
      </c>
      <c r="L1143" s="6" t="s">
        <v>3216</v>
      </c>
      <c r="M1143" s="6" t="e">
        <f>INDEX(医院2县区2人!$B$2:$B$1048576,MATCH(L1143,医院2县区2人!$A$2:$A$1048576,0))</f>
        <v>#N/A</v>
      </c>
      <c r="N1143" s="6" t="e">
        <f>INDEX(医院2县区2人!$C$2:$C$1048576,MATCH(L1143,医院2县区2人!$A$2:$A$1048576,0))</f>
        <v>#N/A</v>
      </c>
      <c r="P1143" s="7">
        <v>43267</v>
      </c>
      <c r="Q1143" s="6">
        <v>5</v>
      </c>
      <c r="R1143" s="6">
        <v>27.5</v>
      </c>
      <c r="S1143" s="6">
        <v>170706</v>
      </c>
      <c r="T1143" s="6" t="e">
        <f>INDEX(医院2县区2人!$D$2:$D$1048576,MATCH(L1143,医院2县区2人!$A$2:$A$1048576,0))</f>
        <v>#N/A</v>
      </c>
      <c r="W1143" s="6" t="str">
        <f t="shared" si="37"/>
        <v>颠茄磺苄啶片12片</v>
      </c>
      <c r="X1143" s="6" t="s">
        <v>2893</v>
      </c>
    </row>
    <row r="1144" spans="1:24" x14ac:dyDescent="0.15">
      <c r="A1144" s="7" t="str">
        <f t="shared" si="38"/>
        <v>201806</v>
      </c>
      <c r="C1144" s="6" t="str">
        <f>INDEX(工厂基础数据!$A$2:$A$1024,MATCH(X1144,工厂基础数据!$D$2:$D$1024,0))</f>
        <v>02032120</v>
      </c>
      <c r="E1144" s="6" t="str">
        <f>INDEX(工厂基础数据!$B$2:$B$1024,MATCH(X1144,工厂基础数据!$D$2:$D$1024,0))</f>
        <v>淄博博仁医药有限公司</v>
      </c>
      <c r="F1144" s="6" t="e">
        <f>INDEX(商业2转码!$B$2:$B$10000,MATCH(E1144,商业2转码!$A$2:$A$10000,0))</f>
        <v>#N/A</v>
      </c>
      <c r="G1144" s="6" t="str">
        <f>INDEX(品种2编码!$A$2:$A$1048576,MATCH(W1144,品种2编码!$D$2:$D$1048576,0))</f>
        <v>0020020021ZYLC0004</v>
      </c>
      <c r="H1144" s="6" t="s">
        <v>1950</v>
      </c>
      <c r="I1144" s="6" t="s">
        <v>1869</v>
      </c>
      <c r="J1144" s="6" t="s">
        <v>3283</v>
      </c>
      <c r="L1144" s="6" t="s">
        <v>3134</v>
      </c>
      <c r="M1144" s="6" t="e">
        <f>INDEX(医院2县区2人!$B$2:$B$1048576,MATCH(L1144,医院2县区2人!$A$2:$A$1048576,0))</f>
        <v>#N/A</v>
      </c>
      <c r="N1144" s="6" t="e">
        <f>INDEX(医院2县区2人!$C$2:$C$1048576,MATCH(L1144,医院2县区2人!$A$2:$A$1048576,0))</f>
        <v>#N/A</v>
      </c>
      <c r="P1144" s="7">
        <v>43267</v>
      </c>
      <c r="Q1144" s="6">
        <v>10</v>
      </c>
      <c r="R1144" s="6">
        <v>80</v>
      </c>
      <c r="S1144" s="6">
        <v>171101</v>
      </c>
      <c r="T1144" s="6" t="e">
        <f>INDEX(医院2县区2人!$D$2:$D$1048576,MATCH(L1144,医院2县区2人!$A$2:$A$1048576,0))</f>
        <v>#N/A</v>
      </c>
      <c r="W1144" s="6" t="str">
        <f t="shared" si="37"/>
        <v>罗红霉素分散片75mg*12片</v>
      </c>
      <c r="X1144" s="6" t="s">
        <v>2893</v>
      </c>
    </row>
    <row r="1145" spans="1:24" x14ac:dyDescent="0.15">
      <c r="A1145" s="7" t="str">
        <f t="shared" si="38"/>
        <v>201806</v>
      </c>
      <c r="C1145" s="6" t="str">
        <f>INDEX(工厂基础数据!$A$2:$A$1024,MATCH(X1145,工厂基础数据!$D$2:$D$1024,0))</f>
        <v>02032120</v>
      </c>
      <c r="E1145" s="6" t="str">
        <f>INDEX(工厂基础数据!$B$2:$B$1024,MATCH(X1145,工厂基础数据!$D$2:$D$1024,0))</f>
        <v>淄博博仁医药有限公司</v>
      </c>
      <c r="F1145" s="6" t="e">
        <f>INDEX(商业2转码!$B$2:$B$10000,MATCH(E1145,商业2转码!$A$2:$A$10000,0))</f>
        <v>#N/A</v>
      </c>
      <c r="G1145" s="6">
        <f>INDEX(品种2编码!$A$2:$A$1048576,MATCH(W1145,品种2编码!$D$2:$D$1048576,0))</f>
        <v>0</v>
      </c>
      <c r="H1145" s="6" t="s">
        <v>3270</v>
      </c>
      <c r="I1145" s="6" t="s">
        <v>3296</v>
      </c>
      <c r="J1145" s="6" t="s">
        <v>3285</v>
      </c>
      <c r="L1145" s="6" t="s">
        <v>3120</v>
      </c>
      <c r="M1145" s="6" t="e">
        <f>INDEX(医院2县区2人!$B$2:$B$1048576,MATCH(L1145,医院2县区2人!$A$2:$A$1048576,0))</f>
        <v>#N/A</v>
      </c>
      <c r="N1145" s="6" t="e">
        <f>INDEX(医院2县区2人!$C$2:$C$1048576,MATCH(L1145,医院2县区2人!$A$2:$A$1048576,0))</f>
        <v>#N/A</v>
      </c>
      <c r="P1145" s="7">
        <v>43267</v>
      </c>
      <c r="Q1145" s="6">
        <v>10</v>
      </c>
      <c r="R1145" s="6">
        <v>241</v>
      </c>
      <c r="S1145" s="6">
        <v>1706018</v>
      </c>
      <c r="T1145" s="6" t="e">
        <f>INDEX(医院2县区2人!$D$2:$D$1048576,MATCH(L1145,医院2县区2人!$A$2:$A$1048576,0))</f>
        <v>#N/A</v>
      </c>
      <c r="W1145" s="6" t="str">
        <f t="shared" si="37"/>
        <v>拉西地平片（司乐平）4mg*15粒</v>
      </c>
      <c r="X1145" s="6" t="s">
        <v>2893</v>
      </c>
    </row>
    <row r="1146" spans="1:24" x14ac:dyDescent="0.15">
      <c r="A1146" s="7" t="str">
        <f t="shared" si="38"/>
        <v>201806</v>
      </c>
      <c r="C1146" s="6" t="str">
        <f>INDEX(工厂基础数据!$A$2:$A$1024,MATCH(X1146,工厂基础数据!$D$2:$D$1024,0))</f>
        <v>02032120</v>
      </c>
      <c r="E1146" s="6" t="str">
        <f>INDEX(工厂基础数据!$B$2:$B$1024,MATCH(X1146,工厂基础数据!$D$2:$D$1024,0))</f>
        <v>淄博博仁医药有限公司</v>
      </c>
      <c r="F1146" s="6" t="e">
        <f>INDEX(商业2转码!$B$2:$B$10000,MATCH(E1146,商业2转码!$A$2:$A$10000,0))</f>
        <v>#N/A</v>
      </c>
      <c r="G1146" s="6" t="str">
        <f>INDEX(品种2编码!$A$2:$A$1048576,MATCH(W1146,品种2编码!$D$2:$D$1048576,0))</f>
        <v>0020050020SHYT0016</v>
      </c>
      <c r="H1146" s="6" t="s">
        <v>1864</v>
      </c>
      <c r="I1146" s="6" t="s">
        <v>339</v>
      </c>
      <c r="J1146" s="6" t="s">
        <v>3037</v>
      </c>
      <c r="L1146" s="6" t="s">
        <v>3217</v>
      </c>
      <c r="M1146" s="6" t="e">
        <f>INDEX(医院2县区2人!$B$2:$B$1048576,MATCH(L1146,医院2县区2人!$A$2:$A$1048576,0))</f>
        <v>#N/A</v>
      </c>
      <c r="N1146" s="6" t="e">
        <f>INDEX(医院2县区2人!$C$2:$C$1048576,MATCH(L1146,医院2县区2人!$A$2:$A$1048576,0))</f>
        <v>#N/A</v>
      </c>
      <c r="P1146" s="7">
        <v>43267</v>
      </c>
      <c r="Q1146" s="6">
        <v>10</v>
      </c>
      <c r="R1146" s="6">
        <v>149</v>
      </c>
      <c r="S1146" s="6">
        <v>1801504</v>
      </c>
      <c r="T1146" s="6" t="e">
        <f>INDEX(医院2县区2人!$D$2:$D$1048576,MATCH(L1146,医院2县区2人!$A$2:$A$1048576,0))</f>
        <v>#N/A</v>
      </c>
      <c r="W1146" s="6" t="str">
        <f t="shared" si="37"/>
        <v>复方金银花颗粒10g*10袋</v>
      </c>
      <c r="X1146" s="6" t="s">
        <v>2893</v>
      </c>
    </row>
    <row r="1147" spans="1:24" x14ac:dyDescent="0.15">
      <c r="A1147" s="7" t="str">
        <f t="shared" si="38"/>
        <v>201806</v>
      </c>
      <c r="C1147" s="6" t="str">
        <f>INDEX(工厂基础数据!$A$2:$A$1024,MATCH(X1147,工厂基础数据!$D$2:$D$1024,0))</f>
        <v>02032120</v>
      </c>
      <c r="E1147" s="6" t="str">
        <f>INDEX(工厂基础数据!$B$2:$B$1024,MATCH(X1147,工厂基础数据!$D$2:$D$1024,0))</f>
        <v>淄博博仁医药有限公司</v>
      </c>
      <c r="F1147" s="6" t="e">
        <f>INDEX(商业2转码!$B$2:$B$10000,MATCH(E1147,商业2转码!$A$2:$A$10000,0))</f>
        <v>#N/A</v>
      </c>
      <c r="G1147" s="6">
        <f>INDEX(品种2编码!$A$2:$A$1048576,MATCH(W1147,品种2编码!$D$2:$D$1048576,0))</f>
        <v>0</v>
      </c>
      <c r="H1147" s="6" t="s">
        <v>1885</v>
      </c>
      <c r="I1147" s="6" t="s">
        <v>1838</v>
      </c>
      <c r="J1147" s="6" t="s">
        <v>3279</v>
      </c>
      <c r="L1147" s="6" t="s">
        <v>3218</v>
      </c>
      <c r="M1147" s="6" t="e">
        <f>INDEX(医院2县区2人!$B$2:$B$1048576,MATCH(L1147,医院2县区2人!$A$2:$A$1048576,0))</f>
        <v>#N/A</v>
      </c>
      <c r="N1147" s="6" t="e">
        <f>INDEX(医院2县区2人!$C$2:$C$1048576,MATCH(L1147,医院2县区2人!$A$2:$A$1048576,0))</f>
        <v>#N/A</v>
      </c>
      <c r="P1147" s="7">
        <v>43267</v>
      </c>
      <c r="Q1147" s="6">
        <v>20</v>
      </c>
      <c r="R1147" s="6">
        <v>480</v>
      </c>
      <c r="S1147" s="6">
        <v>171251</v>
      </c>
      <c r="T1147" s="6" t="e">
        <f>INDEX(医院2县区2人!$D$2:$D$1048576,MATCH(L1147,医院2县区2人!$A$2:$A$1048576,0))</f>
        <v>#N/A</v>
      </c>
      <c r="W1147" s="6" t="str">
        <f t="shared" si="37"/>
        <v>新盖中盖高钙片2.5g*36片</v>
      </c>
      <c r="X1147" s="6" t="s">
        <v>2893</v>
      </c>
    </row>
    <row r="1148" spans="1:24" x14ac:dyDescent="0.15">
      <c r="A1148" s="7" t="str">
        <f t="shared" si="38"/>
        <v>201806</v>
      </c>
      <c r="C1148" s="6" t="str">
        <f>INDEX(工厂基础数据!$A$2:$A$1024,MATCH(X1148,工厂基础数据!$D$2:$D$1024,0))</f>
        <v>02032120</v>
      </c>
      <c r="E1148" s="6" t="str">
        <f>INDEX(工厂基础数据!$B$2:$B$1024,MATCH(X1148,工厂基础数据!$D$2:$D$1024,0))</f>
        <v>淄博博仁医药有限公司</v>
      </c>
      <c r="F1148" s="6" t="e">
        <f>INDEX(商业2转码!$B$2:$B$10000,MATCH(E1148,商业2转码!$A$2:$A$10000,0))</f>
        <v>#N/A</v>
      </c>
      <c r="G1148" s="6">
        <f>INDEX(品种2编码!$A$2:$A$1048576,MATCH(W1148,品种2编码!$D$2:$D$1048576,0))</f>
        <v>0</v>
      </c>
      <c r="H1148" s="6" t="s">
        <v>672</v>
      </c>
      <c r="I1148" s="6" t="s">
        <v>1843</v>
      </c>
      <c r="J1148" s="6" t="s">
        <v>3279</v>
      </c>
      <c r="L1148" s="6" t="s">
        <v>3219</v>
      </c>
      <c r="M1148" s="6" t="e">
        <f>INDEX(医院2县区2人!$B$2:$B$1048576,MATCH(L1148,医院2县区2人!$A$2:$A$1048576,0))</f>
        <v>#N/A</v>
      </c>
      <c r="N1148" s="6" t="e">
        <f>INDEX(医院2县区2人!$C$2:$C$1048576,MATCH(L1148,医院2县区2人!$A$2:$A$1048576,0))</f>
        <v>#N/A</v>
      </c>
      <c r="P1148" s="7">
        <v>43267</v>
      </c>
      <c r="Q1148" s="6">
        <v>20</v>
      </c>
      <c r="R1148" s="6">
        <v>0.2</v>
      </c>
      <c r="S1148" s="6">
        <v>20180105</v>
      </c>
      <c r="T1148" s="6" t="e">
        <f>INDEX(医院2县区2人!$D$2:$D$1048576,MATCH(L1148,医院2县区2人!$A$2:$A$1048576,0))</f>
        <v>#N/A</v>
      </c>
      <c r="W1148" s="6" t="str">
        <f t="shared" si="37"/>
        <v>退热贴2贴</v>
      </c>
      <c r="X1148" s="6" t="s">
        <v>2893</v>
      </c>
    </row>
    <row r="1149" spans="1:24" x14ac:dyDescent="0.15">
      <c r="A1149" s="7" t="str">
        <f t="shared" si="38"/>
        <v>201806</v>
      </c>
      <c r="C1149" s="6" t="str">
        <f>INDEX(工厂基础数据!$A$2:$A$1024,MATCH(X1149,工厂基础数据!$D$2:$D$1024,0))</f>
        <v>02032120</v>
      </c>
      <c r="E1149" s="6" t="str">
        <f>INDEX(工厂基础数据!$B$2:$B$1024,MATCH(X1149,工厂基础数据!$D$2:$D$1024,0))</f>
        <v>淄博博仁医药有限公司</v>
      </c>
      <c r="F1149" s="6" t="e">
        <f>INDEX(商业2转码!$B$2:$B$10000,MATCH(E1149,商业2转码!$A$2:$A$10000,0))</f>
        <v>#N/A</v>
      </c>
      <c r="G1149" s="6" t="str">
        <f>INDEX(品种2编码!$A$2:$A$1048576,MATCH(W1149,品种2编码!$D$2:$D$1048576,0))</f>
        <v>0020050020SHYT0016</v>
      </c>
      <c r="H1149" s="6" t="s">
        <v>1864</v>
      </c>
      <c r="I1149" s="6" t="s">
        <v>339</v>
      </c>
      <c r="J1149" s="6" t="s">
        <v>3037</v>
      </c>
      <c r="L1149" s="6" t="s">
        <v>3192</v>
      </c>
      <c r="M1149" s="6" t="e">
        <f>INDEX(医院2县区2人!$B$2:$B$1048576,MATCH(L1149,医院2县区2人!$A$2:$A$1048576,0))</f>
        <v>#N/A</v>
      </c>
      <c r="N1149" s="6" t="e">
        <f>INDEX(医院2县区2人!$C$2:$C$1048576,MATCH(L1149,医院2县区2人!$A$2:$A$1048576,0))</f>
        <v>#N/A</v>
      </c>
      <c r="P1149" s="7">
        <v>43267</v>
      </c>
      <c r="Q1149" s="6">
        <v>20</v>
      </c>
      <c r="R1149" s="6">
        <v>0.2</v>
      </c>
      <c r="S1149" s="6">
        <v>1801504</v>
      </c>
      <c r="T1149" s="6" t="e">
        <f>INDEX(医院2县区2人!$D$2:$D$1048576,MATCH(L1149,医院2县区2人!$A$2:$A$1048576,0))</f>
        <v>#N/A</v>
      </c>
      <c r="W1149" s="6" t="str">
        <f t="shared" si="37"/>
        <v>复方金银花颗粒10g*10袋</v>
      </c>
      <c r="X1149" s="6" t="s">
        <v>2893</v>
      </c>
    </row>
    <row r="1150" spans="1:24" x14ac:dyDescent="0.15">
      <c r="A1150" s="7" t="str">
        <f t="shared" si="38"/>
        <v>201806</v>
      </c>
      <c r="C1150" s="6" t="str">
        <f>INDEX(工厂基础数据!$A$2:$A$1024,MATCH(X1150,工厂基础数据!$D$2:$D$1024,0))</f>
        <v>02032120</v>
      </c>
      <c r="E1150" s="6" t="str">
        <f>INDEX(工厂基础数据!$B$2:$B$1024,MATCH(X1150,工厂基础数据!$D$2:$D$1024,0))</f>
        <v>淄博博仁医药有限公司</v>
      </c>
      <c r="F1150" s="6" t="e">
        <f>INDEX(商业2转码!$B$2:$B$10000,MATCH(E1150,商业2转码!$A$2:$A$10000,0))</f>
        <v>#N/A</v>
      </c>
      <c r="G1150" s="6" t="str">
        <f>INDEX(品种2编码!$A$2:$A$1048576,MATCH(W1150,品种2编码!$D$2:$D$1048576,0))</f>
        <v>0020020013ZYZC0491</v>
      </c>
      <c r="H1150" s="6" t="s">
        <v>3266</v>
      </c>
      <c r="I1150" s="6" t="s">
        <v>914</v>
      </c>
      <c r="J1150" s="6" t="s">
        <v>3279</v>
      </c>
      <c r="L1150" s="6" t="s">
        <v>3126</v>
      </c>
      <c r="M1150" s="6" t="e">
        <f>INDEX(医院2县区2人!$B$2:$B$1048576,MATCH(L1150,医院2县区2人!$A$2:$A$1048576,0))</f>
        <v>#N/A</v>
      </c>
      <c r="N1150" s="6" t="e">
        <f>INDEX(医院2县区2人!$C$2:$C$1048576,MATCH(L1150,医院2县区2人!$A$2:$A$1048576,0))</f>
        <v>#N/A</v>
      </c>
      <c r="P1150" s="7">
        <v>43267</v>
      </c>
      <c r="Q1150" s="6">
        <v>20</v>
      </c>
      <c r="R1150" s="6">
        <v>78</v>
      </c>
      <c r="S1150" s="6" t="s">
        <v>3272</v>
      </c>
      <c r="T1150" s="6" t="e">
        <f>INDEX(医院2县区2人!$D$2:$D$1048576,MATCH(L1150,医院2县区2人!$A$2:$A$1048576,0))</f>
        <v>#N/A</v>
      </c>
      <c r="W1150" s="6" t="str">
        <f t="shared" si="37"/>
        <v>*注射用乳糖酸阿奇霉素0.25g</v>
      </c>
      <c r="X1150" s="6" t="s">
        <v>2893</v>
      </c>
    </row>
    <row r="1151" spans="1:24" x14ac:dyDescent="0.15">
      <c r="A1151" s="7" t="str">
        <f t="shared" si="38"/>
        <v>201806</v>
      </c>
      <c r="C1151" s="6" t="str">
        <f>INDEX(工厂基础数据!$A$2:$A$1024,MATCH(X1151,工厂基础数据!$D$2:$D$1024,0))</f>
        <v>02032120</v>
      </c>
      <c r="E1151" s="6" t="str">
        <f>INDEX(工厂基础数据!$B$2:$B$1024,MATCH(X1151,工厂基础数据!$D$2:$D$1024,0))</f>
        <v>淄博博仁医药有限公司</v>
      </c>
      <c r="F1151" s="6" t="e">
        <f>INDEX(商业2转码!$B$2:$B$10000,MATCH(E1151,商业2转码!$A$2:$A$10000,0))</f>
        <v>#N/A</v>
      </c>
      <c r="G1151" s="6" t="str">
        <f>INDEX(品种2编码!$A$2:$A$1048576,MATCH(W1151,品种2编码!$D$2:$D$1048576,0))</f>
        <v>0020030001SJZY0006</v>
      </c>
      <c r="H1151" s="6" t="s">
        <v>1833</v>
      </c>
      <c r="I1151" s="6" t="s">
        <v>411</v>
      </c>
      <c r="J1151" s="6" t="s">
        <v>3280</v>
      </c>
      <c r="L1151" s="6" t="s">
        <v>3220</v>
      </c>
      <c r="M1151" s="6" t="e">
        <f>INDEX(医院2县区2人!$B$2:$B$1048576,MATCH(L1151,医院2县区2人!$A$2:$A$1048576,0))</f>
        <v>#N/A</v>
      </c>
      <c r="N1151" s="6" t="e">
        <f>INDEX(医院2县区2人!$C$2:$C$1048576,MATCH(L1151,医院2县区2人!$A$2:$A$1048576,0))</f>
        <v>#N/A</v>
      </c>
      <c r="P1151" s="7">
        <v>43270</v>
      </c>
      <c r="Q1151" s="6">
        <v>2</v>
      </c>
      <c r="R1151" s="6">
        <v>44</v>
      </c>
      <c r="S1151" s="6">
        <v>17122912</v>
      </c>
      <c r="T1151" s="6" t="e">
        <f>INDEX(医院2县区2人!$D$2:$D$1048576,MATCH(L1151,医院2县区2人!$A$2:$A$1048576,0))</f>
        <v>#N/A</v>
      </c>
      <c r="W1151" s="6" t="str">
        <f t="shared" si="37"/>
        <v>葡萄糖酸钙口服溶液10ml*12支</v>
      </c>
      <c r="X1151" s="6" t="s">
        <v>2893</v>
      </c>
    </row>
    <row r="1152" spans="1:24" x14ac:dyDescent="0.15">
      <c r="A1152" s="7" t="str">
        <f t="shared" si="38"/>
        <v>201806</v>
      </c>
      <c r="C1152" s="6" t="str">
        <f>INDEX(工厂基础数据!$A$2:$A$1024,MATCH(X1152,工厂基础数据!$D$2:$D$1024,0))</f>
        <v>02032120</v>
      </c>
      <c r="E1152" s="6" t="str">
        <f>INDEX(工厂基础数据!$B$2:$B$1024,MATCH(X1152,工厂基础数据!$D$2:$D$1024,0))</f>
        <v>淄博博仁医药有限公司</v>
      </c>
      <c r="F1152" s="6" t="e">
        <f>INDEX(商业2转码!$B$2:$B$10000,MATCH(E1152,商业2转码!$A$2:$A$10000,0))</f>
        <v>#N/A</v>
      </c>
      <c r="G1152" s="6" t="str">
        <f>INDEX(品种2编码!$A$2:$A$1048576,MATCH(W1152,品种2编码!$D$2:$D$1048576,0))</f>
        <v>0020030001SJZY0006</v>
      </c>
      <c r="H1152" s="6" t="s">
        <v>1833</v>
      </c>
      <c r="I1152" s="6" t="s">
        <v>411</v>
      </c>
      <c r="J1152" s="6" t="s">
        <v>3280</v>
      </c>
      <c r="L1152" s="6" t="s">
        <v>3150</v>
      </c>
      <c r="M1152" s="6" t="e">
        <f>INDEX(医院2县区2人!$B$2:$B$1048576,MATCH(L1152,医院2县区2人!$A$2:$A$1048576,0))</f>
        <v>#N/A</v>
      </c>
      <c r="N1152" s="6" t="e">
        <f>INDEX(医院2县区2人!$C$2:$C$1048576,MATCH(L1152,医院2县区2人!$A$2:$A$1048576,0))</f>
        <v>#N/A</v>
      </c>
      <c r="P1152" s="7">
        <v>43270</v>
      </c>
      <c r="Q1152" s="6">
        <v>2</v>
      </c>
      <c r="R1152" s="6">
        <v>37.200000000000003</v>
      </c>
      <c r="S1152" s="6">
        <v>17122912</v>
      </c>
      <c r="T1152" s="6" t="e">
        <f>INDEX(医院2县区2人!$D$2:$D$1048576,MATCH(L1152,医院2县区2人!$A$2:$A$1048576,0))</f>
        <v>#N/A</v>
      </c>
      <c r="W1152" s="6" t="str">
        <f t="shared" si="37"/>
        <v>葡萄糖酸钙口服溶液10ml*12支</v>
      </c>
      <c r="X1152" s="6" t="s">
        <v>2893</v>
      </c>
    </row>
    <row r="1153" spans="1:24" x14ac:dyDescent="0.15">
      <c r="A1153" s="7" t="str">
        <f t="shared" si="38"/>
        <v>201806</v>
      </c>
      <c r="C1153" s="6" t="str">
        <f>INDEX(工厂基础数据!$A$2:$A$1024,MATCH(X1153,工厂基础数据!$D$2:$D$1024,0))</f>
        <v>02032120</v>
      </c>
      <c r="E1153" s="6" t="str">
        <f>INDEX(工厂基础数据!$B$2:$B$1024,MATCH(X1153,工厂基础数据!$D$2:$D$1024,0))</f>
        <v>淄博博仁医药有限公司</v>
      </c>
      <c r="F1153" s="6" t="e">
        <f>INDEX(商业2转码!$B$2:$B$10000,MATCH(E1153,商业2转码!$A$2:$A$10000,0))</f>
        <v>#N/A</v>
      </c>
      <c r="G1153" s="6">
        <f>INDEX(品种2编码!$A$2:$A$1048576,MATCH(W1153,品种2编码!$D$2:$D$1048576,0))</f>
        <v>0</v>
      </c>
      <c r="H1153" s="6" t="s">
        <v>3268</v>
      </c>
      <c r="I1153" s="6" t="s">
        <v>411</v>
      </c>
      <c r="J1153" s="6" t="s">
        <v>3040</v>
      </c>
      <c r="L1153" s="6" t="s">
        <v>3220</v>
      </c>
      <c r="M1153" s="6" t="e">
        <f>INDEX(医院2县区2人!$B$2:$B$1048576,MATCH(L1153,医院2县区2人!$A$2:$A$1048576,0))</f>
        <v>#N/A</v>
      </c>
      <c r="N1153" s="6" t="e">
        <f>INDEX(医院2县区2人!$C$2:$C$1048576,MATCH(L1153,医院2县区2人!$A$2:$A$1048576,0))</f>
        <v>#N/A</v>
      </c>
      <c r="P1153" s="7">
        <v>43270</v>
      </c>
      <c r="Q1153" s="6">
        <v>2</v>
      </c>
      <c r="R1153" s="6">
        <v>46</v>
      </c>
      <c r="S1153" s="6">
        <v>17112821</v>
      </c>
      <c r="T1153" s="6" t="e">
        <f>INDEX(医院2县区2人!$D$2:$D$1048576,MATCH(L1153,医院2县区2人!$A$2:$A$1048576,0))</f>
        <v>#N/A</v>
      </c>
      <c r="W1153" s="6" t="str">
        <f t="shared" si="37"/>
        <v>葡糖糖酸锌口服溶液10ml*12支</v>
      </c>
      <c r="X1153" s="6" t="s">
        <v>2893</v>
      </c>
    </row>
    <row r="1154" spans="1:24" x14ac:dyDescent="0.15">
      <c r="A1154" s="7" t="str">
        <f t="shared" si="38"/>
        <v>201806</v>
      </c>
      <c r="C1154" s="6" t="str">
        <f>INDEX(工厂基础数据!$A$2:$A$1024,MATCH(X1154,工厂基础数据!$D$2:$D$1024,0))</f>
        <v>02032120</v>
      </c>
      <c r="E1154" s="6" t="str">
        <f>INDEX(工厂基础数据!$B$2:$B$1024,MATCH(X1154,工厂基础数据!$D$2:$D$1024,0))</f>
        <v>淄博博仁医药有限公司</v>
      </c>
      <c r="F1154" s="6" t="e">
        <f>INDEX(商业2转码!$B$2:$B$10000,MATCH(E1154,商业2转码!$A$2:$A$10000,0))</f>
        <v>#N/A</v>
      </c>
      <c r="G1154" s="6">
        <f>INDEX(品种2编码!$A$2:$A$1048576,MATCH(W1154,品种2编码!$D$2:$D$1048576,0))</f>
        <v>0</v>
      </c>
      <c r="H1154" s="6" t="s">
        <v>405</v>
      </c>
      <c r="I1154" s="6" t="s">
        <v>1850</v>
      </c>
      <c r="J1154" s="6" t="s">
        <v>3279</v>
      </c>
      <c r="L1154" s="6" t="s">
        <v>3221</v>
      </c>
      <c r="M1154" s="6" t="e">
        <f>INDEX(医院2县区2人!$B$2:$B$1048576,MATCH(L1154,医院2县区2人!$A$2:$A$1048576,0))</f>
        <v>#N/A</v>
      </c>
      <c r="N1154" s="6" t="e">
        <f>INDEX(医院2县区2人!$C$2:$C$1048576,MATCH(L1154,医院2县区2人!$A$2:$A$1048576,0))</f>
        <v>#N/A</v>
      </c>
      <c r="P1154" s="7">
        <v>43270</v>
      </c>
      <c r="Q1154" s="6">
        <v>2</v>
      </c>
      <c r="R1154" s="6">
        <v>30</v>
      </c>
      <c r="S1154" s="6">
        <v>1802005</v>
      </c>
      <c r="T1154" s="6" t="e">
        <f>INDEX(医院2县区2人!$D$2:$D$1048576,MATCH(L1154,医院2县区2人!$A$2:$A$1048576,0))</f>
        <v>#N/A</v>
      </c>
      <c r="W1154" s="6" t="str">
        <f t="shared" si="37"/>
        <v>钙铁锌口服液10ml*10支</v>
      </c>
      <c r="X1154" s="6" t="s">
        <v>2893</v>
      </c>
    </row>
    <row r="1155" spans="1:24" x14ac:dyDescent="0.15">
      <c r="A1155" s="7" t="str">
        <f t="shared" si="38"/>
        <v>201806</v>
      </c>
      <c r="C1155" s="6" t="str">
        <f>INDEX(工厂基础数据!$A$2:$A$1024,MATCH(X1155,工厂基础数据!$D$2:$D$1024,0))</f>
        <v>02032120</v>
      </c>
      <c r="E1155" s="6" t="str">
        <f>INDEX(工厂基础数据!$B$2:$B$1024,MATCH(X1155,工厂基础数据!$D$2:$D$1024,0))</f>
        <v>淄博博仁医药有限公司</v>
      </c>
      <c r="F1155" s="6" t="e">
        <f>INDEX(商业2转码!$B$2:$B$10000,MATCH(E1155,商业2转码!$A$2:$A$10000,0))</f>
        <v>#N/A</v>
      </c>
      <c r="G1155" s="6" t="str">
        <f>INDEX(品种2编码!$A$2:$A$1048576,MATCH(W1155,品种2编码!$D$2:$D$1048576,0))</f>
        <v>0020030020SJSC0004</v>
      </c>
      <c r="H1155" s="6" t="s">
        <v>394</v>
      </c>
      <c r="I1155" s="6" t="s">
        <v>1871</v>
      </c>
      <c r="J1155" s="6" t="s">
        <v>3284</v>
      </c>
      <c r="L1155" s="6" t="s">
        <v>3163</v>
      </c>
      <c r="M1155" s="6" t="e">
        <f>INDEX(医院2县区2人!$B$2:$B$1048576,MATCH(L1155,医院2县区2人!$A$2:$A$1048576,0))</f>
        <v>#N/A</v>
      </c>
      <c r="N1155" s="6" t="e">
        <f>INDEX(医院2县区2人!$C$2:$C$1048576,MATCH(L1155,医院2县区2人!$A$2:$A$1048576,0))</f>
        <v>#N/A</v>
      </c>
      <c r="P1155" s="7">
        <v>43270</v>
      </c>
      <c r="Q1155" s="6">
        <v>2</v>
      </c>
      <c r="R1155" s="6">
        <v>22</v>
      </c>
      <c r="S1155" s="6">
        <v>1709020</v>
      </c>
      <c r="T1155" s="6" t="e">
        <f>INDEX(医院2县区2人!$D$2:$D$1048576,MATCH(L1155,医院2县区2人!$A$2:$A$1048576,0))</f>
        <v>#N/A</v>
      </c>
      <c r="W1155" s="6" t="str">
        <f t="shared" ref="W1155:W1218" si="39">H1155&amp;I1155</f>
        <v>复方铝酸铋片50片</v>
      </c>
      <c r="X1155" s="6" t="s">
        <v>2893</v>
      </c>
    </row>
    <row r="1156" spans="1:24" x14ac:dyDescent="0.15">
      <c r="A1156" s="7" t="str">
        <f t="shared" ref="A1156:A1219" si="40">IF(MONTH(P1156)&lt;10,YEAR(P1156)&amp;"0"&amp;MONTH(P1156),YEAR(P1156)&amp;MONTH(P1156))</f>
        <v>201806</v>
      </c>
      <c r="C1156" s="6" t="str">
        <f>INDEX(工厂基础数据!$A$2:$A$1024,MATCH(X1156,工厂基础数据!$D$2:$D$1024,0))</f>
        <v>02032120</v>
      </c>
      <c r="E1156" s="6" t="str">
        <f>INDEX(工厂基础数据!$B$2:$B$1024,MATCH(X1156,工厂基础数据!$D$2:$D$1024,0))</f>
        <v>淄博博仁医药有限公司</v>
      </c>
      <c r="F1156" s="6" t="e">
        <f>INDEX(商业2转码!$B$2:$B$10000,MATCH(E1156,商业2转码!$A$2:$A$10000,0))</f>
        <v>#N/A</v>
      </c>
      <c r="G1156" s="6" t="str">
        <f>INDEX(品种2编码!$A$2:$A$1048576,MATCH(W1156,品种2编码!$D$2:$D$1048576,0))</f>
        <v>0020020020ZYLC0003</v>
      </c>
      <c r="H1156" s="6" t="s">
        <v>1855</v>
      </c>
      <c r="I1156" s="6" t="s">
        <v>381</v>
      </c>
      <c r="J1156" s="6" t="s">
        <v>3279</v>
      </c>
      <c r="L1156" s="6" t="s">
        <v>3154</v>
      </c>
      <c r="M1156" s="6" t="e">
        <f>INDEX(医院2县区2人!$B$2:$B$1048576,MATCH(L1156,医院2县区2人!$A$2:$A$1048576,0))</f>
        <v>#N/A</v>
      </c>
      <c r="N1156" s="6" t="e">
        <f>INDEX(医院2县区2人!$C$2:$C$1048576,MATCH(L1156,医院2县区2人!$A$2:$A$1048576,0))</f>
        <v>#N/A</v>
      </c>
      <c r="P1156" s="7">
        <v>43270</v>
      </c>
      <c r="Q1156" s="6">
        <v>2</v>
      </c>
      <c r="R1156" s="6">
        <v>11</v>
      </c>
      <c r="S1156" s="6">
        <v>170706</v>
      </c>
      <c r="T1156" s="6" t="e">
        <f>INDEX(医院2县区2人!$D$2:$D$1048576,MATCH(L1156,医院2县区2人!$A$2:$A$1048576,0))</f>
        <v>#N/A</v>
      </c>
      <c r="W1156" s="6" t="str">
        <f t="shared" si="39"/>
        <v>颠茄磺苄啶片12片</v>
      </c>
      <c r="X1156" s="6" t="s">
        <v>2893</v>
      </c>
    </row>
    <row r="1157" spans="1:24" x14ac:dyDescent="0.15">
      <c r="A1157" s="7" t="str">
        <f t="shared" si="40"/>
        <v>201806</v>
      </c>
      <c r="C1157" s="6" t="str">
        <f>INDEX(工厂基础数据!$A$2:$A$1024,MATCH(X1157,工厂基础数据!$D$2:$D$1024,0))</f>
        <v>02032120</v>
      </c>
      <c r="E1157" s="6" t="str">
        <f>INDEX(工厂基础数据!$B$2:$B$1024,MATCH(X1157,工厂基础数据!$D$2:$D$1024,0))</f>
        <v>淄博博仁医药有限公司</v>
      </c>
      <c r="F1157" s="6" t="e">
        <f>INDEX(商业2转码!$B$2:$B$10000,MATCH(E1157,商业2转码!$A$2:$A$10000,0))</f>
        <v>#N/A</v>
      </c>
      <c r="G1157" s="6">
        <f>INDEX(品种2编码!$A$2:$A$1048576,MATCH(W1157,品种2编码!$D$2:$D$1048576,0))</f>
        <v>0</v>
      </c>
      <c r="H1157" s="6" t="s">
        <v>306</v>
      </c>
      <c r="I1157" s="6" t="s">
        <v>3289</v>
      </c>
      <c r="J1157" s="6" t="s">
        <v>3279</v>
      </c>
      <c r="L1157" s="6" t="s">
        <v>3144</v>
      </c>
      <c r="M1157" s="6" t="e">
        <f>INDEX(医院2县区2人!$B$2:$B$1048576,MATCH(L1157,医院2县区2人!$A$2:$A$1048576,0))</f>
        <v>#N/A</v>
      </c>
      <c r="N1157" s="6" t="e">
        <f>INDEX(医院2县区2人!$C$2:$C$1048576,MATCH(L1157,医院2县区2人!$A$2:$A$1048576,0))</f>
        <v>#N/A</v>
      </c>
      <c r="P1157" s="7">
        <v>43270</v>
      </c>
      <c r="Q1157" s="6">
        <v>2</v>
      </c>
      <c r="R1157" s="6">
        <v>18</v>
      </c>
      <c r="S1157" s="6">
        <v>180118</v>
      </c>
      <c r="T1157" s="6" t="e">
        <f>INDEX(医院2县区2人!$D$2:$D$1048576,MATCH(L1157,医院2县区2人!$A$2:$A$1048576,0))</f>
        <v>#N/A</v>
      </c>
      <c r="W1157" s="6" t="str">
        <f t="shared" si="39"/>
        <v>氨金黄敏颗粒10袋</v>
      </c>
      <c r="X1157" s="6" t="s">
        <v>2893</v>
      </c>
    </row>
    <row r="1158" spans="1:24" x14ac:dyDescent="0.15">
      <c r="A1158" s="7" t="str">
        <f t="shared" si="40"/>
        <v>201806</v>
      </c>
      <c r="C1158" s="6" t="str">
        <f>INDEX(工厂基础数据!$A$2:$A$1024,MATCH(X1158,工厂基础数据!$D$2:$D$1024,0))</f>
        <v>02032120</v>
      </c>
      <c r="E1158" s="6" t="str">
        <f>INDEX(工厂基础数据!$B$2:$B$1024,MATCH(X1158,工厂基础数据!$D$2:$D$1024,0))</f>
        <v>淄博博仁医药有限公司</v>
      </c>
      <c r="F1158" s="6" t="e">
        <f>INDEX(商业2转码!$B$2:$B$10000,MATCH(E1158,商业2转码!$A$2:$A$10000,0))</f>
        <v>#N/A</v>
      </c>
      <c r="G1158" s="6">
        <f>INDEX(品种2编码!$A$2:$A$1048576,MATCH(W1158,品种2编码!$D$2:$D$1048576,0))</f>
        <v>0</v>
      </c>
      <c r="H1158" s="6" t="s">
        <v>1987</v>
      </c>
      <c r="I1158" s="6" t="s">
        <v>411</v>
      </c>
      <c r="J1158" s="6" t="s">
        <v>3279</v>
      </c>
      <c r="L1158" s="6" t="s">
        <v>3222</v>
      </c>
      <c r="M1158" s="6" t="e">
        <f>INDEX(医院2县区2人!$B$2:$B$1048576,MATCH(L1158,医院2县区2人!$A$2:$A$1048576,0))</f>
        <v>#N/A</v>
      </c>
      <c r="N1158" s="6" t="e">
        <f>INDEX(医院2县区2人!$C$2:$C$1048576,MATCH(L1158,医院2县区2人!$A$2:$A$1048576,0))</f>
        <v>#N/A</v>
      </c>
      <c r="P1158" s="7">
        <v>43270</v>
      </c>
      <c r="Q1158" s="6">
        <v>3</v>
      </c>
      <c r="R1158" s="6">
        <v>48</v>
      </c>
      <c r="S1158" s="6">
        <v>170622</v>
      </c>
      <c r="T1158" s="6" t="e">
        <f>INDEX(医院2县区2人!$D$2:$D$1048576,MATCH(L1158,医院2县区2人!$A$2:$A$1048576,0))</f>
        <v>#N/A</v>
      </c>
      <c r="W1158" s="6" t="str">
        <f t="shared" si="39"/>
        <v>乳酸亚铁口服液（朴雪）10ml*12支</v>
      </c>
      <c r="X1158" s="6" t="s">
        <v>2893</v>
      </c>
    </row>
    <row r="1159" spans="1:24" x14ac:dyDescent="0.15">
      <c r="A1159" s="7" t="str">
        <f t="shared" si="40"/>
        <v>201806</v>
      </c>
      <c r="C1159" s="6" t="str">
        <f>INDEX(工厂基础数据!$A$2:$A$1024,MATCH(X1159,工厂基础数据!$D$2:$D$1024,0))</f>
        <v>02032120</v>
      </c>
      <c r="E1159" s="6" t="str">
        <f>INDEX(工厂基础数据!$B$2:$B$1024,MATCH(X1159,工厂基础数据!$D$2:$D$1024,0))</f>
        <v>淄博博仁医药有限公司</v>
      </c>
      <c r="F1159" s="6" t="e">
        <f>INDEX(商业2转码!$B$2:$B$10000,MATCH(E1159,商业2转码!$A$2:$A$10000,0))</f>
        <v>#N/A</v>
      </c>
      <c r="G1159" s="6" t="str">
        <f>INDEX(品种2编码!$A$2:$A$1048576,MATCH(W1159,品种2编码!$D$2:$D$1048576,0))</f>
        <v>0020020020ZYZC0359</v>
      </c>
      <c r="H1159" s="6" t="s">
        <v>575</v>
      </c>
      <c r="I1159" s="6" t="s">
        <v>1860</v>
      </c>
      <c r="J1159" s="6" t="s">
        <v>3279</v>
      </c>
      <c r="L1159" s="6" t="s">
        <v>3136</v>
      </c>
      <c r="M1159" s="6" t="e">
        <f>INDEX(医院2县区2人!$B$2:$B$1048576,MATCH(L1159,医院2县区2人!$A$2:$A$1048576,0))</f>
        <v>#N/A</v>
      </c>
      <c r="N1159" s="6" t="e">
        <f>INDEX(医院2县区2人!$C$2:$C$1048576,MATCH(L1159,医院2县区2人!$A$2:$A$1048576,0))</f>
        <v>#N/A</v>
      </c>
      <c r="P1159" s="7">
        <v>43270</v>
      </c>
      <c r="Q1159" s="6">
        <v>3</v>
      </c>
      <c r="R1159" s="6">
        <v>10.5</v>
      </c>
      <c r="S1159" s="6" t="s">
        <v>3273</v>
      </c>
      <c r="T1159" s="6" t="e">
        <f>INDEX(医院2县区2人!$D$2:$D$1048576,MATCH(L1159,医院2县区2人!$A$2:$A$1048576,0))</f>
        <v>#N/A</v>
      </c>
      <c r="W1159" s="6" t="str">
        <f t="shared" si="39"/>
        <v>青霉素V钾片0.236g*24片</v>
      </c>
      <c r="X1159" s="6" t="s">
        <v>2893</v>
      </c>
    </row>
    <row r="1160" spans="1:24" x14ac:dyDescent="0.15">
      <c r="A1160" s="7" t="str">
        <f t="shared" si="40"/>
        <v>201806</v>
      </c>
      <c r="C1160" s="6" t="str">
        <f>INDEX(工厂基础数据!$A$2:$A$1024,MATCH(X1160,工厂基础数据!$D$2:$D$1024,0))</f>
        <v>02032120</v>
      </c>
      <c r="E1160" s="6" t="str">
        <f>INDEX(工厂基础数据!$B$2:$B$1024,MATCH(X1160,工厂基础数据!$D$2:$D$1024,0))</f>
        <v>淄博博仁医药有限公司</v>
      </c>
      <c r="F1160" s="6" t="e">
        <f>INDEX(商业2转码!$B$2:$B$10000,MATCH(E1160,商业2转码!$A$2:$A$10000,0))</f>
        <v>#N/A</v>
      </c>
      <c r="G1160" s="6">
        <f>INDEX(品种2编码!$A$2:$A$1048576,MATCH(W1160,品种2编码!$D$2:$D$1048576,0))</f>
        <v>0</v>
      </c>
      <c r="H1160" s="6" t="s">
        <v>1857</v>
      </c>
      <c r="I1160" s="6" t="s">
        <v>3288</v>
      </c>
      <c r="J1160" s="6" t="s">
        <v>3281</v>
      </c>
      <c r="L1160" s="6" t="s">
        <v>3130</v>
      </c>
      <c r="M1160" s="6" t="e">
        <f>INDEX(医院2县区2人!$B$2:$B$1048576,MATCH(L1160,医院2县区2人!$A$2:$A$1048576,0))</f>
        <v>#N/A</v>
      </c>
      <c r="N1160" s="6" t="e">
        <f>INDEX(医院2县区2人!$C$2:$C$1048576,MATCH(L1160,医院2县区2人!$A$2:$A$1048576,0))</f>
        <v>#N/A</v>
      </c>
      <c r="P1160" s="7">
        <v>43270</v>
      </c>
      <c r="Q1160" s="6">
        <v>3</v>
      </c>
      <c r="R1160" s="6">
        <v>42</v>
      </c>
      <c r="S1160" s="6">
        <v>1801404</v>
      </c>
      <c r="T1160" s="6" t="e">
        <f>INDEX(医院2县区2人!$D$2:$D$1048576,MATCH(L1160,医院2县区2人!$A$2:$A$1048576,0))</f>
        <v>#N/A</v>
      </c>
      <c r="W1160" s="6" t="str">
        <f t="shared" si="39"/>
        <v>妇宁栓7粒</v>
      </c>
      <c r="X1160" s="6" t="s">
        <v>2893</v>
      </c>
    </row>
    <row r="1161" spans="1:24" x14ac:dyDescent="0.15">
      <c r="A1161" s="7" t="str">
        <f t="shared" si="40"/>
        <v>201806</v>
      </c>
      <c r="C1161" s="6" t="str">
        <f>INDEX(工厂基础数据!$A$2:$A$1024,MATCH(X1161,工厂基础数据!$D$2:$D$1024,0))</f>
        <v>02032120</v>
      </c>
      <c r="E1161" s="6" t="str">
        <f>INDEX(工厂基础数据!$B$2:$B$1024,MATCH(X1161,工厂基础数据!$D$2:$D$1024,0))</f>
        <v>淄博博仁医药有限公司</v>
      </c>
      <c r="F1161" s="6" t="e">
        <f>INDEX(商业2转码!$B$2:$B$10000,MATCH(E1161,商业2转码!$A$2:$A$10000,0))</f>
        <v>#N/A</v>
      </c>
      <c r="G1161" s="6">
        <f>INDEX(品种2编码!$A$2:$A$1048576,MATCH(W1161,品种2编码!$D$2:$D$1048576,0))</f>
        <v>0</v>
      </c>
      <c r="H1161" s="6" t="s">
        <v>306</v>
      </c>
      <c r="I1161" s="6" t="s">
        <v>3289</v>
      </c>
      <c r="J1161" s="6" t="s">
        <v>3279</v>
      </c>
      <c r="L1161" s="6" t="s">
        <v>3144</v>
      </c>
      <c r="M1161" s="6" t="e">
        <f>INDEX(医院2县区2人!$B$2:$B$1048576,MATCH(L1161,医院2县区2人!$A$2:$A$1048576,0))</f>
        <v>#N/A</v>
      </c>
      <c r="N1161" s="6" t="e">
        <f>INDEX(医院2县区2人!$C$2:$C$1048576,MATCH(L1161,医院2县区2人!$A$2:$A$1048576,0))</f>
        <v>#N/A</v>
      </c>
      <c r="P1161" s="7">
        <v>43270</v>
      </c>
      <c r="Q1161" s="6">
        <v>3</v>
      </c>
      <c r="R1161" s="6">
        <v>27</v>
      </c>
      <c r="S1161" s="6">
        <v>180117</v>
      </c>
      <c r="T1161" s="6" t="e">
        <f>INDEX(医院2县区2人!$D$2:$D$1048576,MATCH(L1161,医院2县区2人!$A$2:$A$1048576,0))</f>
        <v>#N/A</v>
      </c>
      <c r="W1161" s="6" t="str">
        <f t="shared" si="39"/>
        <v>氨金黄敏颗粒10袋</v>
      </c>
      <c r="X1161" s="6" t="s">
        <v>2893</v>
      </c>
    </row>
    <row r="1162" spans="1:24" x14ac:dyDescent="0.15">
      <c r="A1162" s="7" t="str">
        <f t="shared" si="40"/>
        <v>201806</v>
      </c>
      <c r="C1162" s="6" t="str">
        <f>INDEX(工厂基础数据!$A$2:$A$1024,MATCH(X1162,工厂基础数据!$D$2:$D$1024,0))</f>
        <v>02032120</v>
      </c>
      <c r="E1162" s="6" t="str">
        <f>INDEX(工厂基础数据!$B$2:$B$1024,MATCH(X1162,工厂基础数据!$D$2:$D$1024,0))</f>
        <v>淄博博仁医药有限公司</v>
      </c>
      <c r="F1162" s="6" t="e">
        <f>INDEX(商业2转码!$B$2:$B$10000,MATCH(E1162,商业2转码!$A$2:$A$10000,0))</f>
        <v>#N/A</v>
      </c>
      <c r="G1162" s="6" t="str">
        <f>INDEX(品种2编码!$A$2:$A$1048576,MATCH(W1162,品种2编码!$D$2:$D$1048576,0))</f>
        <v>0020020020ZYZC0473</v>
      </c>
      <c r="H1162" s="6" t="s">
        <v>745</v>
      </c>
      <c r="I1162" s="6" t="s">
        <v>290</v>
      </c>
      <c r="J1162" s="6" t="s">
        <v>3038</v>
      </c>
      <c r="L1162" s="6" t="s">
        <v>3223</v>
      </c>
      <c r="M1162" s="6" t="e">
        <f>INDEX(医院2县区2人!$B$2:$B$1048576,MATCH(L1162,医院2县区2人!$A$2:$A$1048576,0))</f>
        <v>#N/A</v>
      </c>
      <c r="N1162" s="6" t="e">
        <f>INDEX(医院2县区2人!$C$2:$C$1048576,MATCH(L1162,医院2县区2人!$A$2:$A$1048576,0))</f>
        <v>#N/A</v>
      </c>
      <c r="P1162" s="7">
        <v>43270</v>
      </c>
      <c r="Q1162" s="6">
        <v>5</v>
      </c>
      <c r="R1162" s="6">
        <v>21.5</v>
      </c>
      <c r="S1162" s="6" t="s">
        <v>3276</v>
      </c>
      <c r="T1162" s="6" t="e">
        <f>INDEX(医院2县区2人!$D$2:$D$1048576,MATCH(L1162,医院2县区2人!$A$2:$A$1048576,0))</f>
        <v>#N/A</v>
      </c>
      <c r="W1162" s="6" t="str">
        <f t="shared" si="39"/>
        <v>盐酸环丙沙星片0.25g*12片</v>
      </c>
      <c r="X1162" s="6" t="s">
        <v>2893</v>
      </c>
    </row>
    <row r="1163" spans="1:24" x14ac:dyDescent="0.15">
      <c r="A1163" s="7" t="str">
        <f t="shared" si="40"/>
        <v>201806</v>
      </c>
      <c r="C1163" s="6" t="str">
        <f>INDEX(工厂基础数据!$A$2:$A$1024,MATCH(X1163,工厂基础数据!$D$2:$D$1024,0))</f>
        <v>02032120</v>
      </c>
      <c r="E1163" s="6" t="str">
        <f>INDEX(工厂基础数据!$B$2:$B$1024,MATCH(X1163,工厂基础数据!$D$2:$D$1024,0))</f>
        <v>淄博博仁医药有限公司</v>
      </c>
      <c r="F1163" s="6" t="e">
        <f>INDEX(商业2转码!$B$2:$B$10000,MATCH(E1163,商业2转码!$A$2:$A$10000,0))</f>
        <v>#N/A</v>
      </c>
      <c r="G1163" s="6" t="str">
        <f>INDEX(品种2编码!$A$2:$A$1048576,MATCH(W1163,品种2编码!$D$2:$D$1048576,0))</f>
        <v>0020020020ZYZC0473</v>
      </c>
      <c r="H1163" s="6" t="s">
        <v>745</v>
      </c>
      <c r="I1163" s="6" t="s">
        <v>290</v>
      </c>
      <c r="J1163" s="6" t="s">
        <v>3038</v>
      </c>
      <c r="L1163" s="6" t="s">
        <v>3144</v>
      </c>
      <c r="M1163" s="6" t="e">
        <f>INDEX(医院2县区2人!$B$2:$B$1048576,MATCH(L1163,医院2县区2人!$A$2:$A$1048576,0))</f>
        <v>#N/A</v>
      </c>
      <c r="N1163" s="6" t="e">
        <f>INDEX(医院2县区2人!$C$2:$C$1048576,MATCH(L1163,医院2县区2人!$A$2:$A$1048576,0))</f>
        <v>#N/A</v>
      </c>
      <c r="P1163" s="7">
        <v>43270</v>
      </c>
      <c r="Q1163" s="6">
        <v>5</v>
      </c>
      <c r="R1163" s="6">
        <v>21.5</v>
      </c>
      <c r="S1163" s="6" t="s">
        <v>3276</v>
      </c>
      <c r="T1163" s="6" t="e">
        <f>INDEX(医院2县区2人!$D$2:$D$1048576,MATCH(L1163,医院2县区2人!$A$2:$A$1048576,0))</f>
        <v>#N/A</v>
      </c>
      <c r="W1163" s="6" t="str">
        <f t="shared" si="39"/>
        <v>盐酸环丙沙星片0.25g*12片</v>
      </c>
      <c r="X1163" s="6" t="s">
        <v>2893</v>
      </c>
    </row>
    <row r="1164" spans="1:24" x14ac:dyDescent="0.15">
      <c r="A1164" s="7" t="str">
        <f t="shared" si="40"/>
        <v>201806</v>
      </c>
      <c r="C1164" s="6" t="str">
        <f>INDEX(工厂基础数据!$A$2:$A$1024,MATCH(X1164,工厂基础数据!$D$2:$D$1024,0))</f>
        <v>02032120</v>
      </c>
      <c r="E1164" s="6" t="str">
        <f>INDEX(工厂基础数据!$B$2:$B$1024,MATCH(X1164,工厂基础数据!$D$2:$D$1024,0))</f>
        <v>淄博博仁医药有限公司</v>
      </c>
      <c r="F1164" s="6" t="e">
        <f>INDEX(商业2转码!$B$2:$B$10000,MATCH(E1164,商业2转码!$A$2:$A$10000,0))</f>
        <v>#N/A</v>
      </c>
      <c r="G1164" s="6" t="str">
        <f>INDEX(品种2编码!$A$2:$A$1048576,MATCH(W1164,品种2编码!$D$2:$D$1048576,0))</f>
        <v>0020020020ZYZC0473</v>
      </c>
      <c r="H1164" s="6" t="s">
        <v>745</v>
      </c>
      <c r="I1164" s="6" t="s">
        <v>290</v>
      </c>
      <c r="J1164" s="6" t="s">
        <v>3038</v>
      </c>
      <c r="L1164" s="6" t="s">
        <v>3144</v>
      </c>
      <c r="M1164" s="6" t="e">
        <f>INDEX(医院2县区2人!$B$2:$B$1048576,MATCH(L1164,医院2县区2人!$A$2:$A$1048576,0))</f>
        <v>#N/A</v>
      </c>
      <c r="N1164" s="6" t="e">
        <f>INDEX(医院2县区2人!$C$2:$C$1048576,MATCH(L1164,医院2县区2人!$A$2:$A$1048576,0))</f>
        <v>#N/A</v>
      </c>
      <c r="P1164" s="7">
        <v>43270</v>
      </c>
      <c r="Q1164" s="6">
        <v>5</v>
      </c>
      <c r="R1164" s="6">
        <v>21.5</v>
      </c>
      <c r="S1164" s="6" t="s">
        <v>3276</v>
      </c>
      <c r="T1164" s="6" t="e">
        <f>INDEX(医院2县区2人!$D$2:$D$1048576,MATCH(L1164,医院2县区2人!$A$2:$A$1048576,0))</f>
        <v>#N/A</v>
      </c>
      <c r="W1164" s="6" t="str">
        <f t="shared" si="39"/>
        <v>盐酸环丙沙星片0.25g*12片</v>
      </c>
      <c r="X1164" s="6" t="s">
        <v>2893</v>
      </c>
    </row>
    <row r="1165" spans="1:24" x14ac:dyDescent="0.15">
      <c r="A1165" s="7" t="str">
        <f t="shared" si="40"/>
        <v>201806</v>
      </c>
      <c r="C1165" s="6" t="str">
        <f>INDEX(工厂基础数据!$A$2:$A$1024,MATCH(X1165,工厂基础数据!$D$2:$D$1024,0))</f>
        <v>02032120</v>
      </c>
      <c r="E1165" s="6" t="str">
        <f>INDEX(工厂基础数据!$B$2:$B$1024,MATCH(X1165,工厂基础数据!$D$2:$D$1024,0))</f>
        <v>淄博博仁医药有限公司</v>
      </c>
      <c r="F1165" s="6" t="e">
        <f>INDEX(商业2转码!$B$2:$B$10000,MATCH(E1165,商业2转码!$A$2:$A$10000,0))</f>
        <v>#N/A</v>
      </c>
      <c r="G1165" s="6">
        <f>INDEX(品种2编码!$A$2:$A$1048576,MATCH(W1165,品种2编码!$D$2:$D$1048576,0))</f>
        <v>0</v>
      </c>
      <c r="H1165" s="6" t="s">
        <v>2020</v>
      </c>
      <c r="I1165" s="6" t="s">
        <v>3290</v>
      </c>
      <c r="J1165" s="6" t="s">
        <v>3036</v>
      </c>
      <c r="L1165" s="6" t="s">
        <v>3144</v>
      </c>
      <c r="M1165" s="6" t="e">
        <f>INDEX(医院2县区2人!$B$2:$B$1048576,MATCH(L1165,医院2县区2人!$A$2:$A$1048576,0))</f>
        <v>#N/A</v>
      </c>
      <c r="N1165" s="6" t="e">
        <f>INDEX(医院2县区2人!$C$2:$C$1048576,MATCH(L1165,医院2县区2人!$A$2:$A$1048576,0))</f>
        <v>#N/A</v>
      </c>
      <c r="P1165" s="7">
        <v>43270</v>
      </c>
      <c r="Q1165" s="6">
        <v>5</v>
      </c>
      <c r="R1165" s="6">
        <v>20</v>
      </c>
      <c r="S1165" s="6">
        <v>170601</v>
      </c>
      <c r="T1165" s="6" t="e">
        <f>INDEX(医院2县区2人!$D$2:$D$1048576,MATCH(L1165,医院2县区2人!$A$2:$A$1048576,0))</f>
        <v>#N/A</v>
      </c>
      <c r="W1165" s="6" t="str">
        <f t="shared" si="39"/>
        <v>盐酸氟桂利嗪片5mg*20片</v>
      </c>
      <c r="X1165" s="6" t="s">
        <v>2893</v>
      </c>
    </row>
    <row r="1166" spans="1:24" x14ac:dyDescent="0.15">
      <c r="A1166" s="7" t="str">
        <f t="shared" si="40"/>
        <v>201806</v>
      </c>
      <c r="C1166" s="6" t="str">
        <f>INDEX(工厂基础数据!$A$2:$A$1024,MATCH(X1166,工厂基础数据!$D$2:$D$1024,0))</f>
        <v>02032120</v>
      </c>
      <c r="E1166" s="6" t="str">
        <f>INDEX(工厂基础数据!$B$2:$B$1024,MATCH(X1166,工厂基础数据!$D$2:$D$1024,0))</f>
        <v>淄博博仁医药有限公司</v>
      </c>
      <c r="F1166" s="6" t="e">
        <f>INDEX(商业2转码!$B$2:$B$10000,MATCH(E1166,商业2转码!$A$2:$A$10000,0))</f>
        <v>#N/A</v>
      </c>
      <c r="G1166" s="6">
        <f>INDEX(品种2编码!$A$2:$A$1048576,MATCH(W1166,品种2编码!$D$2:$D$1048576,0))</f>
        <v>0</v>
      </c>
      <c r="H1166" s="6" t="s">
        <v>1885</v>
      </c>
      <c r="I1166" s="6" t="s">
        <v>1838</v>
      </c>
      <c r="J1166" s="6" t="s">
        <v>3279</v>
      </c>
      <c r="L1166" s="6" t="s">
        <v>3144</v>
      </c>
      <c r="M1166" s="6" t="e">
        <f>INDEX(医院2县区2人!$B$2:$B$1048576,MATCH(L1166,医院2县区2人!$A$2:$A$1048576,0))</f>
        <v>#N/A</v>
      </c>
      <c r="N1166" s="6" t="e">
        <f>INDEX(医院2县区2人!$C$2:$C$1048576,MATCH(L1166,医院2县区2人!$A$2:$A$1048576,0))</f>
        <v>#N/A</v>
      </c>
      <c r="P1166" s="7">
        <v>43270</v>
      </c>
      <c r="Q1166" s="6">
        <v>5</v>
      </c>
      <c r="R1166" s="6">
        <v>120</v>
      </c>
      <c r="S1166" s="6">
        <v>171251</v>
      </c>
      <c r="T1166" s="6" t="e">
        <f>INDEX(医院2县区2人!$D$2:$D$1048576,MATCH(L1166,医院2县区2人!$A$2:$A$1048576,0))</f>
        <v>#N/A</v>
      </c>
      <c r="W1166" s="6" t="str">
        <f t="shared" si="39"/>
        <v>新盖中盖高钙片2.5g*36片</v>
      </c>
      <c r="X1166" s="6" t="s">
        <v>2893</v>
      </c>
    </row>
    <row r="1167" spans="1:24" x14ac:dyDescent="0.15">
      <c r="A1167" s="7" t="str">
        <f t="shared" si="40"/>
        <v>201806</v>
      </c>
      <c r="C1167" s="6" t="str">
        <f>INDEX(工厂基础数据!$A$2:$A$1024,MATCH(X1167,工厂基础数据!$D$2:$D$1024,0))</f>
        <v>02032120</v>
      </c>
      <c r="E1167" s="6" t="str">
        <f>INDEX(工厂基础数据!$B$2:$B$1024,MATCH(X1167,工厂基础数据!$D$2:$D$1024,0))</f>
        <v>淄博博仁医药有限公司</v>
      </c>
      <c r="F1167" s="6" t="e">
        <f>INDEX(商业2转码!$B$2:$B$10000,MATCH(E1167,商业2转码!$A$2:$A$10000,0))</f>
        <v>#N/A</v>
      </c>
      <c r="G1167" s="6" t="str">
        <f>INDEX(品种2编码!$A$2:$A$1048576,MATCH(W1167,品种2编码!$D$2:$D$1048576,0))</f>
        <v>0020040001SHYT0026</v>
      </c>
      <c r="H1167" s="6" t="s">
        <v>715</v>
      </c>
      <c r="I1167" s="6" t="s">
        <v>1867</v>
      </c>
      <c r="J1167" s="6" t="s">
        <v>3279</v>
      </c>
      <c r="L1167" s="6" t="s">
        <v>3144</v>
      </c>
      <c r="M1167" s="6" t="e">
        <f>INDEX(医院2县区2人!$B$2:$B$1048576,MATCH(L1167,医院2县区2人!$A$2:$A$1048576,0))</f>
        <v>#N/A</v>
      </c>
      <c r="N1167" s="6" t="e">
        <f>INDEX(医院2县区2人!$C$2:$C$1048576,MATCH(L1167,医院2县区2人!$A$2:$A$1048576,0))</f>
        <v>#N/A</v>
      </c>
      <c r="P1167" s="7">
        <v>43270</v>
      </c>
      <c r="Q1167" s="6">
        <v>5</v>
      </c>
      <c r="R1167" s="6">
        <v>29</v>
      </c>
      <c r="S1167" s="6">
        <v>1801108</v>
      </c>
      <c r="T1167" s="6" t="e">
        <f>INDEX(医院2县区2人!$D$2:$D$1048576,MATCH(L1167,医院2县区2人!$A$2:$A$1048576,0))</f>
        <v>#N/A</v>
      </c>
      <c r="W1167" s="6" t="str">
        <f t="shared" si="39"/>
        <v>小活络丸3g*10丸</v>
      </c>
      <c r="X1167" s="6" t="s">
        <v>2893</v>
      </c>
    </row>
    <row r="1168" spans="1:24" x14ac:dyDescent="0.15">
      <c r="A1168" s="7" t="str">
        <f t="shared" si="40"/>
        <v>201806</v>
      </c>
      <c r="C1168" s="6" t="str">
        <f>INDEX(工厂基础数据!$A$2:$A$1024,MATCH(X1168,工厂基础数据!$D$2:$D$1024,0))</f>
        <v>02032120</v>
      </c>
      <c r="E1168" s="6" t="str">
        <f>INDEX(工厂基础数据!$B$2:$B$1024,MATCH(X1168,工厂基础数据!$D$2:$D$1024,0))</f>
        <v>淄博博仁医药有限公司</v>
      </c>
      <c r="F1168" s="6" t="e">
        <f>INDEX(商业2转码!$B$2:$B$10000,MATCH(E1168,商业2转码!$A$2:$A$10000,0))</f>
        <v>#N/A</v>
      </c>
      <c r="G1168" s="6" t="str">
        <f>INDEX(品种2编码!$A$2:$A$1048576,MATCH(W1168,品种2编码!$D$2:$D$1048576,0))</f>
        <v>0020040070ZYEC0005</v>
      </c>
      <c r="H1168" s="6" t="s">
        <v>708</v>
      </c>
      <c r="I1168" s="6" t="s">
        <v>1851</v>
      </c>
      <c r="J1168" s="6" t="s">
        <v>3279</v>
      </c>
      <c r="L1168" s="6" t="s">
        <v>3144</v>
      </c>
      <c r="M1168" s="6" t="e">
        <f>INDEX(医院2县区2人!$B$2:$B$1048576,MATCH(L1168,医院2县区2人!$A$2:$A$1048576,0))</f>
        <v>#N/A</v>
      </c>
      <c r="N1168" s="6" t="e">
        <f>INDEX(医院2县区2人!$C$2:$C$1048576,MATCH(L1168,医院2县区2人!$A$2:$A$1048576,0))</f>
        <v>#N/A</v>
      </c>
      <c r="P1168" s="7">
        <v>43270</v>
      </c>
      <c r="Q1168" s="6">
        <v>5</v>
      </c>
      <c r="R1168" s="6">
        <v>60</v>
      </c>
      <c r="S1168" s="6">
        <v>180301</v>
      </c>
      <c r="T1168" s="6" t="e">
        <f>INDEX(医院2县区2人!$D$2:$D$1048576,MATCH(L1168,医院2县区2人!$A$2:$A$1048576,0))</f>
        <v>#N/A</v>
      </c>
      <c r="W1168" s="6" t="str">
        <f t="shared" si="39"/>
        <v>小儿百部止咳糖浆100ml</v>
      </c>
      <c r="X1168" s="6" t="s">
        <v>2893</v>
      </c>
    </row>
    <row r="1169" spans="1:24" x14ac:dyDescent="0.15">
      <c r="A1169" s="7" t="str">
        <f t="shared" si="40"/>
        <v>201806</v>
      </c>
      <c r="C1169" s="6" t="str">
        <f>INDEX(工厂基础数据!$A$2:$A$1024,MATCH(X1169,工厂基础数据!$D$2:$D$1024,0))</f>
        <v>02032120</v>
      </c>
      <c r="E1169" s="6" t="str">
        <f>INDEX(工厂基础数据!$B$2:$B$1024,MATCH(X1169,工厂基础数据!$D$2:$D$1024,0))</f>
        <v>淄博博仁医药有限公司</v>
      </c>
      <c r="F1169" s="6" t="e">
        <f>INDEX(商业2转码!$B$2:$B$10000,MATCH(E1169,商业2转码!$A$2:$A$10000,0))</f>
        <v>#N/A</v>
      </c>
      <c r="G1169" s="6" t="str">
        <f>INDEX(品种2编码!$A$2:$A$1048576,MATCH(W1169,品种2编码!$D$2:$D$1048576,0))</f>
        <v>0020050090SJZY0001</v>
      </c>
      <c r="H1169" s="6" t="s">
        <v>630</v>
      </c>
      <c r="I1169" s="6" t="s">
        <v>1850</v>
      </c>
      <c r="J1169" s="6" t="s">
        <v>3285</v>
      </c>
      <c r="L1169" s="6" t="s">
        <v>3144</v>
      </c>
      <c r="M1169" s="6" t="e">
        <f>INDEX(医院2县区2人!$B$2:$B$1048576,MATCH(L1169,医院2县区2人!$A$2:$A$1048576,0))</f>
        <v>#N/A</v>
      </c>
      <c r="N1169" s="6" t="e">
        <f>INDEX(医院2县区2人!$C$2:$C$1048576,MATCH(L1169,医院2县区2人!$A$2:$A$1048576,0))</f>
        <v>#N/A</v>
      </c>
      <c r="P1169" s="7">
        <v>43270</v>
      </c>
      <c r="Q1169" s="6">
        <v>5</v>
      </c>
      <c r="R1169" s="6">
        <v>82.5</v>
      </c>
      <c r="S1169" s="6">
        <v>17122813</v>
      </c>
      <c r="T1169" s="6" t="e">
        <f>INDEX(医院2县区2人!$D$2:$D$1048576,MATCH(L1169,医院2县区2人!$A$2:$A$1048576,0))</f>
        <v>#N/A</v>
      </c>
      <c r="W1169" s="6" t="str">
        <f t="shared" si="39"/>
        <v>双黄连口服液10ml*10支</v>
      </c>
      <c r="X1169" s="6" t="s">
        <v>2893</v>
      </c>
    </row>
    <row r="1170" spans="1:24" x14ac:dyDescent="0.15">
      <c r="A1170" s="7" t="str">
        <f t="shared" si="40"/>
        <v>201806</v>
      </c>
      <c r="C1170" s="6" t="str">
        <f>INDEX(工厂基础数据!$A$2:$A$1024,MATCH(X1170,工厂基础数据!$D$2:$D$1024,0))</f>
        <v>02032120</v>
      </c>
      <c r="E1170" s="6" t="str">
        <f>INDEX(工厂基础数据!$B$2:$B$1024,MATCH(X1170,工厂基础数据!$D$2:$D$1024,0))</f>
        <v>淄博博仁医药有限公司</v>
      </c>
      <c r="F1170" s="6" t="e">
        <f>INDEX(商业2转码!$B$2:$B$10000,MATCH(E1170,商业2转码!$A$2:$A$10000,0))</f>
        <v>#N/A</v>
      </c>
      <c r="G1170" s="6">
        <f>INDEX(品种2编码!$A$2:$A$1048576,MATCH(W1170,品种2编码!$D$2:$D$1048576,0))</f>
        <v>0</v>
      </c>
      <c r="H1170" s="6" t="s">
        <v>3268</v>
      </c>
      <c r="I1170" s="6" t="s">
        <v>411</v>
      </c>
      <c r="J1170" s="6" t="s">
        <v>3040</v>
      </c>
      <c r="L1170" s="6" t="s">
        <v>3224</v>
      </c>
      <c r="M1170" s="6" t="e">
        <f>INDEX(医院2县区2人!$B$2:$B$1048576,MATCH(L1170,医院2县区2人!$A$2:$A$1048576,0))</f>
        <v>#N/A</v>
      </c>
      <c r="N1170" s="6" t="e">
        <f>INDEX(医院2县区2人!$C$2:$C$1048576,MATCH(L1170,医院2县区2人!$A$2:$A$1048576,0))</f>
        <v>#N/A</v>
      </c>
      <c r="P1170" s="7">
        <v>43270</v>
      </c>
      <c r="Q1170" s="6">
        <v>5</v>
      </c>
      <c r="R1170" s="6">
        <v>115</v>
      </c>
      <c r="S1170" s="6">
        <v>17112821</v>
      </c>
      <c r="T1170" s="6" t="e">
        <f>INDEX(医院2县区2人!$D$2:$D$1048576,MATCH(L1170,医院2县区2人!$A$2:$A$1048576,0))</f>
        <v>#N/A</v>
      </c>
      <c r="W1170" s="6" t="str">
        <f t="shared" si="39"/>
        <v>葡糖糖酸锌口服溶液10ml*12支</v>
      </c>
      <c r="X1170" s="6" t="s">
        <v>2893</v>
      </c>
    </row>
    <row r="1171" spans="1:24" x14ac:dyDescent="0.15">
      <c r="A1171" s="7" t="str">
        <f t="shared" si="40"/>
        <v>201806</v>
      </c>
      <c r="C1171" s="6" t="str">
        <f>INDEX(工厂基础数据!$A$2:$A$1024,MATCH(X1171,工厂基础数据!$D$2:$D$1024,0))</f>
        <v>02032120</v>
      </c>
      <c r="E1171" s="6" t="str">
        <f>INDEX(工厂基础数据!$B$2:$B$1024,MATCH(X1171,工厂基础数据!$D$2:$D$1024,0))</f>
        <v>淄博博仁医药有限公司</v>
      </c>
      <c r="F1171" s="6" t="e">
        <f>INDEX(商业2转码!$B$2:$B$10000,MATCH(E1171,商业2转码!$A$2:$A$10000,0))</f>
        <v>#N/A</v>
      </c>
      <c r="G1171" s="6">
        <f>INDEX(品种2编码!$A$2:$A$1048576,MATCH(W1171,品种2编码!$D$2:$D$1048576,0))</f>
        <v>0</v>
      </c>
      <c r="H1171" s="6" t="s">
        <v>3268</v>
      </c>
      <c r="I1171" s="6" t="s">
        <v>411</v>
      </c>
      <c r="J1171" s="6" t="s">
        <v>3040</v>
      </c>
      <c r="L1171" s="6" t="s">
        <v>3178</v>
      </c>
      <c r="M1171" s="6" t="e">
        <f>INDEX(医院2县区2人!$B$2:$B$1048576,MATCH(L1171,医院2县区2人!$A$2:$A$1048576,0))</f>
        <v>#N/A</v>
      </c>
      <c r="N1171" s="6" t="e">
        <f>INDEX(医院2县区2人!$C$2:$C$1048576,MATCH(L1171,医院2县区2人!$A$2:$A$1048576,0))</f>
        <v>#N/A</v>
      </c>
      <c r="P1171" s="7">
        <v>43270</v>
      </c>
      <c r="Q1171" s="6">
        <v>5</v>
      </c>
      <c r="R1171" s="6">
        <v>115</v>
      </c>
      <c r="S1171" s="6">
        <v>17112821</v>
      </c>
      <c r="T1171" s="6" t="e">
        <f>INDEX(医院2县区2人!$D$2:$D$1048576,MATCH(L1171,医院2县区2人!$A$2:$A$1048576,0))</f>
        <v>#N/A</v>
      </c>
      <c r="W1171" s="6" t="str">
        <f t="shared" si="39"/>
        <v>葡糖糖酸锌口服溶液10ml*12支</v>
      </c>
      <c r="X1171" s="6" t="s">
        <v>2893</v>
      </c>
    </row>
    <row r="1172" spans="1:24" x14ac:dyDescent="0.15">
      <c r="A1172" s="7" t="str">
        <f t="shared" si="40"/>
        <v>201806</v>
      </c>
      <c r="C1172" s="6" t="str">
        <f>INDEX(工厂基础数据!$A$2:$A$1024,MATCH(X1172,工厂基础数据!$D$2:$D$1024,0))</f>
        <v>02032120</v>
      </c>
      <c r="E1172" s="6" t="str">
        <f>INDEX(工厂基础数据!$B$2:$B$1024,MATCH(X1172,工厂基础数据!$D$2:$D$1024,0))</f>
        <v>淄博博仁医药有限公司</v>
      </c>
      <c r="F1172" s="6" t="e">
        <f>INDEX(商业2转码!$B$2:$B$10000,MATCH(E1172,商业2转码!$A$2:$A$10000,0))</f>
        <v>#N/A</v>
      </c>
      <c r="G1172" s="6">
        <f>INDEX(品种2编码!$A$2:$A$1048576,MATCH(W1172,品种2编码!$D$2:$D$1048576,0))</f>
        <v>0</v>
      </c>
      <c r="H1172" s="6" t="s">
        <v>3270</v>
      </c>
      <c r="I1172" s="6" t="s">
        <v>3296</v>
      </c>
      <c r="J1172" s="6" t="s">
        <v>3285</v>
      </c>
      <c r="L1172" s="6" t="s">
        <v>3144</v>
      </c>
      <c r="M1172" s="6" t="e">
        <f>INDEX(医院2县区2人!$B$2:$B$1048576,MATCH(L1172,医院2县区2人!$A$2:$A$1048576,0))</f>
        <v>#N/A</v>
      </c>
      <c r="N1172" s="6" t="e">
        <f>INDEX(医院2县区2人!$C$2:$C$1048576,MATCH(L1172,医院2县区2人!$A$2:$A$1048576,0))</f>
        <v>#N/A</v>
      </c>
      <c r="P1172" s="7">
        <v>43270</v>
      </c>
      <c r="Q1172" s="6">
        <v>5</v>
      </c>
      <c r="R1172" s="6">
        <v>132.5</v>
      </c>
      <c r="S1172" s="6">
        <v>1706018</v>
      </c>
      <c r="T1172" s="6" t="e">
        <f>INDEX(医院2县区2人!$D$2:$D$1048576,MATCH(L1172,医院2县区2人!$A$2:$A$1048576,0))</f>
        <v>#N/A</v>
      </c>
      <c r="W1172" s="6" t="str">
        <f t="shared" si="39"/>
        <v>拉西地平片（司乐平）4mg*15粒</v>
      </c>
      <c r="X1172" s="6" t="s">
        <v>2893</v>
      </c>
    </row>
    <row r="1173" spans="1:24" x14ac:dyDescent="0.15">
      <c r="A1173" s="7" t="str">
        <f t="shared" si="40"/>
        <v>201806</v>
      </c>
      <c r="C1173" s="6" t="str">
        <f>INDEX(工厂基础数据!$A$2:$A$1024,MATCH(X1173,工厂基础数据!$D$2:$D$1024,0))</f>
        <v>02032120</v>
      </c>
      <c r="E1173" s="6" t="str">
        <f>INDEX(工厂基础数据!$B$2:$B$1024,MATCH(X1173,工厂基础数据!$D$2:$D$1024,0))</f>
        <v>淄博博仁医药有限公司</v>
      </c>
      <c r="F1173" s="6" t="e">
        <f>INDEX(商业2转码!$B$2:$B$10000,MATCH(E1173,商业2转码!$A$2:$A$10000,0))</f>
        <v>#N/A</v>
      </c>
      <c r="G1173" s="6" t="str">
        <f>INDEX(品种2编码!$A$2:$A$1048576,MATCH(W1173,品种2编码!$D$2:$D$1048576,0))</f>
        <v>0020030020SJSC0004</v>
      </c>
      <c r="H1173" s="6" t="s">
        <v>394</v>
      </c>
      <c r="I1173" s="6" t="s">
        <v>1871</v>
      </c>
      <c r="J1173" s="6" t="s">
        <v>3284</v>
      </c>
      <c r="L1173" s="6" t="s">
        <v>3144</v>
      </c>
      <c r="M1173" s="6" t="e">
        <f>INDEX(医院2县区2人!$B$2:$B$1048576,MATCH(L1173,医院2县区2人!$A$2:$A$1048576,0))</f>
        <v>#N/A</v>
      </c>
      <c r="N1173" s="6" t="e">
        <f>INDEX(医院2县区2人!$C$2:$C$1048576,MATCH(L1173,医院2县区2人!$A$2:$A$1048576,0))</f>
        <v>#N/A</v>
      </c>
      <c r="P1173" s="7">
        <v>43270</v>
      </c>
      <c r="Q1173" s="6">
        <v>5</v>
      </c>
      <c r="R1173" s="6">
        <v>55</v>
      </c>
      <c r="S1173" s="6">
        <v>1709020</v>
      </c>
      <c r="T1173" s="6" t="e">
        <f>INDEX(医院2县区2人!$D$2:$D$1048576,MATCH(L1173,医院2县区2人!$A$2:$A$1048576,0))</f>
        <v>#N/A</v>
      </c>
      <c r="W1173" s="6" t="str">
        <f t="shared" si="39"/>
        <v>复方铝酸铋片50片</v>
      </c>
      <c r="X1173" s="6" t="s">
        <v>2893</v>
      </c>
    </row>
    <row r="1174" spans="1:24" x14ac:dyDescent="0.15">
      <c r="A1174" s="7" t="str">
        <f t="shared" si="40"/>
        <v>201806</v>
      </c>
      <c r="C1174" s="6" t="str">
        <f>INDEX(工厂基础数据!$A$2:$A$1024,MATCH(X1174,工厂基础数据!$D$2:$D$1024,0))</f>
        <v>02032120</v>
      </c>
      <c r="E1174" s="6" t="str">
        <f>INDEX(工厂基础数据!$B$2:$B$1024,MATCH(X1174,工厂基础数据!$D$2:$D$1024,0))</f>
        <v>淄博博仁医药有限公司</v>
      </c>
      <c r="F1174" s="6" t="e">
        <f>INDEX(商业2转码!$B$2:$B$10000,MATCH(E1174,商业2转码!$A$2:$A$10000,0))</f>
        <v>#N/A</v>
      </c>
      <c r="G1174" s="6" t="str">
        <f>INDEX(品种2编码!$A$2:$A$1048576,MATCH(W1174,品种2编码!$D$2:$D$1048576,0))</f>
        <v>0020040001SHYT0026</v>
      </c>
      <c r="H1174" s="6" t="s">
        <v>715</v>
      </c>
      <c r="I1174" s="6" t="s">
        <v>1867</v>
      </c>
      <c r="J1174" s="6" t="s">
        <v>3279</v>
      </c>
      <c r="L1174" s="6" t="s">
        <v>3144</v>
      </c>
      <c r="M1174" s="6" t="e">
        <f>INDEX(医院2县区2人!$B$2:$B$1048576,MATCH(L1174,医院2县区2人!$A$2:$A$1048576,0))</f>
        <v>#N/A</v>
      </c>
      <c r="N1174" s="6" t="e">
        <f>INDEX(医院2县区2人!$C$2:$C$1048576,MATCH(L1174,医院2县区2人!$A$2:$A$1048576,0))</f>
        <v>#N/A</v>
      </c>
      <c r="P1174" s="7">
        <v>43270</v>
      </c>
      <c r="Q1174" s="6">
        <v>10</v>
      </c>
      <c r="R1174" s="6">
        <v>58</v>
      </c>
      <c r="S1174" s="6">
        <v>1801108</v>
      </c>
      <c r="T1174" s="6" t="e">
        <f>INDEX(医院2县区2人!$D$2:$D$1048576,MATCH(L1174,医院2县区2人!$A$2:$A$1048576,0))</f>
        <v>#N/A</v>
      </c>
      <c r="W1174" s="6" t="str">
        <f t="shared" si="39"/>
        <v>小活络丸3g*10丸</v>
      </c>
      <c r="X1174" s="6" t="s">
        <v>2893</v>
      </c>
    </row>
    <row r="1175" spans="1:24" x14ac:dyDescent="0.15">
      <c r="A1175" s="7" t="str">
        <f t="shared" si="40"/>
        <v>201806</v>
      </c>
      <c r="C1175" s="6" t="str">
        <f>INDEX(工厂基础数据!$A$2:$A$1024,MATCH(X1175,工厂基础数据!$D$2:$D$1024,0))</f>
        <v>02032120</v>
      </c>
      <c r="E1175" s="6" t="str">
        <f>INDEX(工厂基础数据!$B$2:$B$1024,MATCH(X1175,工厂基础数据!$D$2:$D$1024,0))</f>
        <v>淄博博仁医药有限公司</v>
      </c>
      <c r="F1175" s="6" t="e">
        <f>INDEX(商业2转码!$B$2:$B$10000,MATCH(E1175,商业2转码!$A$2:$A$10000,0))</f>
        <v>#N/A</v>
      </c>
      <c r="G1175" s="6">
        <f>INDEX(品种2编码!$A$2:$A$1048576,MATCH(W1175,品种2编码!$D$2:$D$1048576,0))</f>
        <v>0</v>
      </c>
      <c r="H1175" s="6" t="s">
        <v>682</v>
      </c>
      <c r="I1175" s="6" t="s">
        <v>3295</v>
      </c>
      <c r="J1175" s="6" t="s">
        <v>3279</v>
      </c>
      <c r="L1175" s="6" t="s">
        <v>3144</v>
      </c>
      <c r="M1175" s="6" t="e">
        <f>INDEX(医院2县区2人!$B$2:$B$1048576,MATCH(L1175,医院2县区2人!$A$2:$A$1048576,0))</f>
        <v>#N/A</v>
      </c>
      <c r="N1175" s="6" t="e">
        <f>INDEX(医院2县区2人!$C$2:$C$1048576,MATCH(L1175,医院2县区2人!$A$2:$A$1048576,0))</f>
        <v>#N/A</v>
      </c>
      <c r="P1175" s="7">
        <v>43270</v>
      </c>
      <c r="Q1175" s="6">
        <v>10</v>
      </c>
      <c r="R1175" s="6">
        <v>134</v>
      </c>
      <c r="S1175" s="6">
        <v>1803004</v>
      </c>
      <c r="T1175" s="6" t="e">
        <f>INDEX(医院2县区2人!$D$2:$D$1048576,MATCH(L1175,医院2县区2人!$A$2:$A$1048576,0))</f>
        <v>#N/A</v>
      </c>
      <c r="W1175" s="6" t="str">
        <f t="shared" si="39"/>
        <v>维生素C咀嚼片100mg*30片</v>
      </c>
      <c r="X1175" s="6" t="s">
        <v>2893</v>
      </c>
    </row>
    <row r="1176" spans="1:24" x14ac:dyDescent="0.15">
      <c r="A1176" s="7" t="str">
        <f t="shared" si="40"/>
        <v>201806</v>
      </c>
      <c r="C1176" s="6" t="str">
        <f>INDEX(工厂基础数据!$A$2:$A$1024,MATCH(X1176,工厂基础数据!$D$2:$D$1024,0))</f>
        <v>02032120</v>
      </c>
      <c r="E1176" s="6" t="str">
        <f>INDEX(工厂基础数据!$B$2:$B$1024,MATCH(X1176,工厂基础数据!$D$2:$D$1024,0))</f>
        <v>淄博博仁医药有限公司</v>
      </c>
      <c r="F1176" s="6" t="e">
        <f>INDEX(商业2转码!$B$2:$B$10000,MATCH(E1176,商业2转码!$A$2:$A$10000,0))</f>
        <v>#N/A</v>
      </c>
      <c r="G1176" s="6">
        <f>INDEX(品种2编码!$A$2:$A$1048576,MATCH(W1176,品种2编码!$D$2:$D$1048576,0))</f>
        <v>0</v>
      </c>
      <c r="H1176" s="6" t="s">
        <v>3269</v>
      </c>
      <c r="I1176" s="6" t="s">
        <v>1839</v>
      </c>
      <c r="J1176" s="6" t="s">
        <v>3279</v>
      </c>
      <c r="L1176" s="6" t="s">
        <v>3225</v>
      </c>
      <c r="M1176" s="6" t="e">
        <f>INDEX(医院2县区2人!$B$2:$B$1048576,MATCH(L1176,医院2县区2人!$A$2:$A$1048576,0))</f>
        <v>#N/A</v>
      </c>
      <c r="N1176" s="6" t="e">
        <f>INDEX(医院2县区2人!$C$2:$C$1048576,MATCH(L1176,医院2县区2人!$A$2:$A$1048576,0))</f>
        <v>#N/A</v>
      </c>
      <c r="P1176" s="7">
        <v>43270</v>
      </c>
      <c r="Q1176" s="6">
        <v>10</v>
      </c>
      <c r="R1176" s="6">
        <v>80</v>
      </c>
      <c r="S1176" s="6">
        <v>180111</v>
      </c>
      <c r="T1176" s="6" t="e">
        <f>INDEX(医院2县区2人!$D$2:$D$1048576,MATCH(L1176,医院2县区2人!$A$2:$A$1048576,0))</f>
        <v>#N/A</v>
      </c>
      <c r="W1176" s="6" t="str">
        <f t="shared" si="39"/>
        <v>乳酸菌素片(精）0.4g*36片</v>
      </c>
      <c r="X1176" s="6" t="s">
        <v>2893</v>
      </c>
    </row>
    <row r="1177" spans="1:24" x14ac:dyDescent="0.15">
      <c r="A1177" s="7" t="str">
        <f t="shared" si="40"/>
        <v>201806</v>
      </c>
      <c r="C1177" s="6" t="str">
        <f>INDEX(工厂基础数据!$A$2:$A$1024,MATCH(X1177,工厂基础数据!$D$2:$D$1024,0))</f>
        <v>02032120</v>
      </c>
      <c r="E1177" s="6" t="str">
        <f>INDEX(工厂基础数据!$B$2:$B$1024,MATCH(X1177,工厂基础数据!$D$2:$D$1024,0))</f>
        <v>淄博博仁医药有限公司</v>
      </c>
      <c r="F1177" s="6" t="e">
        <f>INDEX(商业2转码!$B$2:$B$10000,MATCH(E1177,商业2转码!$A$2:$A$10000,0))</f>
        <v>#N/A</v>
      </c>
      <c r="G1177" s="6">
        <f>INDEX(品种2编码!$A$2:$A$1048576,MATCH(W1177,品种2编码!$D$2:$D$1048576,0))</f>
        <v>0</v>
      </c>
      <c r="H1177" s="6" t="s">
        <v>3269</v>
      </c>
      <c r="I1177" s="6" t="s">
        <v>1839</v>
      </c>
      <c r="J1177" s="6" t="s">
        <v>3279</v>
      </c>
      <c r="L1177" s="6" t="s">
        <v>3144</v>
      </c>
      <c r="M1177" s="6" t="e">
        <f>INDEX(医院2县区2人!$B$2:$B$1048576,MATCH(L1177,医院2县区2人!$A$2:$A$1048576,0))</f>
        <v>#N/A</v>
      </c>
      <c r="N1177" s="6" t="e">
        <f>INDEX(医院2县区2人!$C$2:$C$1048576,MATCH(L1177,医院2县区2人!$A$2:$A$1048576,0))</f>
        <v>#N/A</v>
      </c>
      <c r="P1177" s="7">
        <v>43270</v>
      </c>
      <c r="Q1177" s="6">
        <v>10</v>
      </c>
      <c r="R1177" s="6">
        <v>80</v>
      </c>
      <c r="S1177" s="6">
        <v>180111</v>
      </c>
      <c r="T1177" s="6" t="e">
        <f>INDEX(医院2县区2人!$D$2:$D$1048576,MATCH(L1177,医院2县区2人!$A$2:$A$1048576,0))</f>
        <v>#N/A</v>
      </c>
      <c r="W1177" s="6" t="str">
        <f t="shared" si="39"/>
        <v>乳酸菌素片(精）0.4g*36片</v>
      </c>
      <c r="X1177" s="6" t="s">
        <v>2893</v>
      </c>
    </row>
    <row r="1178" spans="1:24" x14ac:dyDescent="0.15">
      <c r="A1178" s="7" t="str">
        <f t="shared" si="40"/>
        <v>201806</v>
      </c>
      <c r="C1178" s="6" t="str">
        <f>INDEX(工厂基础数据!$A$2:$A$1024,MATCH(X1178,工厂基础数据!$D$2:$D$1024,0))</f>
        <v>02032120</v>
      </c>
      <c r="E1178" s="6" t="str">
        <f>INDEX(工厂基础数据!$B$2:$B$1024,MATCH(X1178,工厂基础数据!$D$2:$D$1024,0))</f>
        <v>淄博博仁医药有限公司</v>
      </c>
      <c r="F1178" s="6" t="e">
        <f>INDEX(商业2转码!$B$2:$B$10000,MATCH(E1178,商业2转码!$A$2:$A$10000,0))</f>
        <v>#N/A</v>
      </c>
      <c r="G1178" s="6">
        <f>INDEX(品种2编码!$A$2:$A$1048576,MATCH(W1178,品种2编码!$D$2:$D$1048576,0))</f>
        <v>0</v>
      </c>
      <c r="H1178" s="6" t="s">
        <v>3269</v>
      </c>
      <c r="I1178" s="6" t="s">
        <v>1839</v>
      </c>
      <c r="J1178" s="6" t="s">
        <v>3279</v>
      </c>
      <c r="L1178" s="6" t="s">
        <v>3144</v>
      </c>
      <c r="M1178" s="6" t="e">
        <f>INDEX(医院2县区2人!$B$2:$B$1048576,MATCH(L1178,医院2县区2人!$A$2:$A$1048576,0))</f>
        <v>#N/A</v>
      </c>
      <c r="N1178" s="6" t="e">
        <f>INDEX(医院2县区2人!$C$2:$C$1048576,MATCH(L1178,医院2县区2人!$A$2:$A$1048576,0))</f>
        <v>#N/A</v>
      </c>
      <c r="P1178" s="7">
        <v>43270</v>
      </c>
      <c r="Q1178" s="6">
        <v>10</v>
      </c>
      <c r="R1178" s="6">
        <v>80</v>
      </c>
      <c r="S1178" s="6">
        <v>180111</v>
      </c>
      <c r="T1178" s="6" t="e">
        <f>INDEX(医院2县区2人!$D$2:$D$1048576,MATCH(L1178,医院2县区2人!$A$2:$A$1048576,0))</f>
        <v>#N/A</v>
      </c>
      <c r="W1178" s="6" t="str">
        <f t="shared" si="39"/>
        <v>乳酸菌素片(精）0.4g*36片</v>
      </c>
      <c r="X1178" s="6" t="s">
        <v>2893</v>
      </c>
    </row>
    <row r="1179" spans="1:24" x14ac:dyDescent="0.15">
      <c r="A1179" s="7" t="str">
        <f t="shared" si="40"/>
        <v>201806</v>
      </c>
      <c r="C1179" s="6" t="str">
        <f>INDEX(工厂基础数据!$A$2:$A$1024,MATCH(X1179,工厂基础数据!$D$2:$D$1024,0))</f>
        <v>02032120</v>
      </c>
      <c r="E1179" s="6" t="str">
        <f>INDEX(工厂基础数据!$B$2:$B$1024,MATCH(X1179,工厂基础数据!$D$2:$D$1024,0))</f>
        <v>淄博博仁医药有限公司</v>
      </c>
      <c r="F1179" s="6" t="e">
        <f>INDEX(商业2转码!$B$2:$B$10000,MATCH(E1179,商业2转码!$A$2:$A$10000,0))</f>
        <v>#N/A</v>
      </c>
      <c r="G1179" s="6" t="str">
        <f>INDEX(品种2编码!$A$2:$A$1048576,MATCH(W1179,品种2编码!$D$2:$D$1048576,0))</f>
        <v>0020020030SJMS0025</v>
      </c>
      <c r="H1179" s="6" t="s">
        <v>586</v>
      </c>
      <c r="I1179" s="6" t="s">
        <v>1937</v>
      </c>
      <c r="J1179" s="6" t="s">
        <v>3282</v>
      </c>
      <c r="L1179" s="6" t="s">
        <v>3223</v>
      </c>
      <c r="M1179" s="6" t="e">
        <f>INDEX(医院2县区2人!$B$2:$B$1048576,MATCH(L1179,医院2县区2人!$A$2:$A$1048576,0))</f>
        <v>#N/A</v>
      </c>
      <c r="N1179" s="6" t="e">
        <f>INDEX(医院2县区2人!$C$2:$C$1048576,MATCH(L1179,医院2县区2人!$A$2:$A$1048576,0))</f>
        <v>#N/A</v>
      </c>
      <c r="P1179" s="7">
        <v>43270</v>
      </c>
      <c r="Q1179" s="6">
        <v>10</v>
      </c>
      <c r="R1179" s="6">
        <v>55</v>
      </c>
      <c r="S1179" s="6">
        <v>1709011</v>
      </c>
      <c r="T1179" s="6" t="e">
        <f>INDEX(医院2县区2人!$D$2:$D$1048576,MATCH(L1179,医院2县区2人!$A$2:$A$1048576,0))</f>
        <v>#N/A</v>
      </c>
      <c r="W1179" s="6" t="str">
        <f t="shared" si="39"/>
        <v>人工牛黄甲硝唑胶囊30粒</v>
      </c>
      <c r="X1179" s="6" t="s">
        <v>2893</v>
      </c>
    </row>
    <row r="1180" spans="1:24" x14ac:dyDescent="0.15">
      <c r="A1180" s="7" t="str">
        <f t="shared" si="40"/>
        <v>201806</v>
      </c>
      <c r="C1180" s="6" t="str">
        <f>INDEX(工厂基础数据!$A$2:$A$1024,MATCH(X1180,工厂基础数据!$D$2:$D$1024,0))</f>
        <v>02032120</v>
      </c>
      <c r="E1180" s="6" t="str">
        <f>INDEX(工厂基础数据!$B$2:$B$1024,MATCH(X1180,工厂基础数据!$D$2:$D$1024,0))</f>
        <v>淄博博仁医药有限公司</v>
      </c>
      <c r="F1180" s="6" t="e">
        <f>INDEX(商业2转码!$B$2:$B$10000,MATCH(E1180,商业2转码!$A$2:$A$10000,0))</f>
        <v>#N/A</v>
      </c>
      <c r="G1180" s="6" t="str">
        <f>INDEX(品种2编码!$A$2:$A$1048576,MATCH(W1180,品种2编码!$D$2:$D$1048576,0))</f>
        <v>0020020030SJMS0025</v>
      </c>
      <c r="H1180" s="6" t="s">
        <v>586</v>
      </c>
      <c r="I1180" s="6" t="s">
        <v>1937</v>
      </c>
      <c r="J1180" s="6" t="s">
        <v>3282</v>
      </c>
      <c r="L1180" s="6" t="s">
        <v>3144</v>
      </c>
      <c r="M1180" s="6" t="e">
        <f>INDEX(医院2县区2人!$B$2:$B$1048576,MATCH(L1180,医院2县区2人!$A$2:$A$1048576,0))</f>
        <v>#N/A</v>
      </c>
      <c r="N1180" s="6" t="e">
        <f>INDEX(医院2县区2人!$C$2:$C$1048576,MATCH(L1180,医院2县区2人!$A$2:$A$1048576,0))</f>
        <v>#N/A</v>
      </c>
      <c r="P1180" s="7">
        <v>43270</v>
      </c>
      <c r="Q1180" s="6">
        <v>10</v>
      </c>
      <c r="R1180" s="6">
        <v>55</v>
      </c>
      <c r="S1180" s="6">
        <v>1709011</v>
      </c>
      <c r="T1180" s="6" t="e">
        <f>INDEX(医院2县区2人!$D$2:$D$1048576,MATCH(L1180,医院2县区2人!$A$2:$A$1048576,0))</f>
        <v>#N/A</v>
      </c>
      <c r="W1180" s="6" t="str">
        <f t="shared" si="39"/>
        <v>人工牛黄甲硝唑胶囊30粒</v>
      </c>
      <c r="X1180" s="6" t="s">
        <v>2893</v>
      </c>
    </row>
    <row r="1181" spans="1:24" x14ac:dyDescent="0.15">
      <c r="A1181" s="7" t="str">
        <f t="shared" si="40"/>
        <v>201806</v>
      </c>
      <c r="C1181" s="6" t="str">
        <f>INDEX(工厂基础数据!$A$2:$A$1024,MATCH(X1181,工厂基础数据!$D$2:$D$1024,0))</f>
        <v>02032120</v>
      </c>
      <c r="E1181" s="6" t="str">
        <f>INDEX(工厂基础数据!$B$2:$B$1024,MATCH(X1181,工厂基础数据!$D$2:$D$1024,0))</f>
        <v>淄博博仁医药有限公司</v>
      </c>
      <c r="F1181" s="6" t="e">
        <f>INDEX(商业2转码!$B$2:$B$10000,MATCH(E1181,商业2转码!$A$2:$A$10000,0))</f>
        <v>#N/A</v>
      </c>
      <c r="G1181" s="6" t="str">
        <f>INDEX(品种2编码!$A$2:$A$1048576,MATCH(W1181,品种2编码!$D$2:$D$1048576,0))</f>
        <v>0020020030SJMS0025</v>
      </c>
      <c r="H1181" s="6" t="s">
        <v>586</v>
      </c>
      <c r="I1181" s="6" t="s">
        <v>1937</v>
      </c>
      <c r="J1181" s="6" t="s">
        <v>3282</v>
      </c>
      <c r="L1181" s="6" t="s">
        <v>3144</v>
      </c>
      <c r="M1181" s="6" t="e">
        <f>INDEX(医院2县区2人!$B$2:$B$1048576,MATCH(L1181,医院2县区2人!$A$2:$A$1048576,0))</f>
        <v>#N/A</v>
      </c>
      <c r="N1181" s="6" t="e">
        <f>INDEX(医院2县区2人!$C$2:$C$1048576,MATCH(L1181,医院2县区2人!$A$2:$A$1048576,0))</f>
        <v>#N/A</v>
      </c>
      <c r="P1181" s="7">
        <v>43270</v>
      </c>
      <c r="Q1181" s="6">
        <v>10</v>
      </c>
      <c r="R1181" s="6">
        <v>55</v>
      </c>
      <c r="S1181" s="6">
        <v>1709011</v>
      </c>
      <c r="T1181" s="6" t="e">
        <f>INDEX(医院2县区2人!$D$2:$D$1048576,MATCH(L1181,医院2县区2人!$A$2:$A$1048576,0))</f>
        <v>#N/A</v>
      </c>
      <c r="W1181" s="6" t="str">
        <f t="shared" si="39"/>
        <v>人工牛黄甲硝唑胶囊30粒</v>
      </c>
      <c r="X1181" s="6" t="s">
        <v>2893</v>
      </c>
    </row>
    <row r="1182" spans="1:24" x14ac:dyDescent="0.15">
      <c r="A1182" s="7" t="str">
        <f t="shared" si="40"/>
        <v>201806</v>
      </c>
      <c r="C1182" s="6" t="str">
        <f>INDEX(工厂基础数据!$A$2:$A$1024,MATCH(X1182,工厂基础数据!$D$2:$D$1024,0))</f>
        <v>02032120</v>
      </c>
      <c r="E1182" s="6" t="str">
        <f>INDEX(工厂基础数据!$B$2:$B$1024,MATCH(X1182,工厂基础数据!$D$2:$D$1024,0))</f>
        <v>淄博博仁医药有限公司</v>
      </c>
      <c r="F1182" s="6" t="e">
        <f>INDEX(商业2转码!$B$2:$B$10000,MATCH(E1182,商业2转码!$A$2:$A$10000,0))</f>
        <v>#N/A</v>
      </c>
      <c r="G1182" s="6" t="str">
        <f>INDEX(品种2编码!$A$2:$A$1048576,MATCH(W1182,品种2编码!$D$2:$D$1048576,0))</f>
        <v>0020040030SHYT0002</v>
      </c>
      <c r="H1182" s="6" t="s">
        <v>537</v>
      </c>
      <c r="I1182" s="6" t="s">
        <v>1910</v>
      </c>
      <c r="J1182" s="6" t="s">
        <v>3281</v>
      </c>
      <c r="L1182" s="6" t="s">
        <v>3144</v>
      </c>
      <c r="M1182" s="6" t="e">
        <f>INDEX(医院2县区2人!$B$2:$B$1048576,MATCH(L1182,医院2县区2人!$A$2:$A$1048576,0))</f>
        <v>#N/A</v>
      </c>
      <c r="N1182" s="6" t="e">
        <f>INDEX(医院2县区2人!$C$2:$C$1048576,MATCH(L1182,医院2县区2人!$A$2:$A$1048576,0))</f>
        <v>#N/A</v>
      </c>
      <c r="P1182" s="7">
        <v>43270</v>
      </c>
      <c r="Q1182" s="6">
        <v>10</v>
      </c>
      <c r="R1182" s="6">
        <v>52</v>
      </c>
      <c r="S1182" s="6">
        <v>1711301</v>
      </c>
      <c r="T1182" s="6" t="e">
        <f>INDEX(医院2县区2人!$D$2:$D$1048576,MATCH(L1182,医院2县区2人!$A$2:$A$1048576,0))</f>
        <v>#N/A</v>
      </c>
      <c r="W1182" s="6" t="str">
        <f t="shared" si="39"/>
        <v>牛黄消炎片24片</v>
      </c>
      <c r="X1182" s="6" t="s">
        <v>2893</v>
      </c>
    </row>
    <row r="1183" spans="1:24" x14ac:dyDescent="0.15">
      <c r="A1183" s="7" t="str">
        <f t="shared" si="40"/>
        <v>201806</v>
      </c>
      <c r="C1183" s="6" t="str">
        <f>INDEX(工厂基础数据!$A$2:$A$1024,MATCH(X1183,工厂基础数据!$D$2:$D$1024,0))</f>
        <v>02032120</v>
      </c>
      <c r="E1183" s="6" t="str">
        <f>INDEX(工厂基础数据!$B$2:$B$1024,MATCH(X1183,工厂基础数据!$D$2:$D$1024,0))</f>
        <v>淄博博仁医药有限公司</v>
      </c>
      <c r="F1183" s="6" t="e">
        <f>INDEX(商业2转码!$B$2:$B$10000,MATCH(E1183,商业2转码!$A$2:$A$10000,0))</f>
        <v>#N/A</v>
      </c>
      <c r="G1183" s="6" t="str">
        <f>INDEX(品种2编码!$A$2:$A$1048576,MATCH(W1183,品种2编码!$D$2:$D$1048576,0))</f>
        <v>0020040030SHYT0002</v>
      </c>
      <c r="H1183" s="6" t="s">
        <v>537</v>
      </c>
      <c r="I1183" s="6" t="s">
        <v>1910</v>
      </c>
      <c r="J1183" s="6" t="s">
        <v>3281</v>
      </c>
      <c r="L1183" s="6" t="s">
        <v>3144</v>
      </c>
      <c r="M1183" s="6" t="e">
        <f>INDEX(医院2县区2人!$B$2:$B$1048576,MATCH(L1183,医院2县区2人!$A$2:$A$1048576,0))</f>
        <v>#N/A</v>
      </c>
      <c r="N1183" s="6" t="e">
        <f>INDEX(医院2县区2人!$C$2:$C$1048576,MATCH(L1183,医院2县区2人!$A$2:$A$1048576,0))</f>
        <v>#N/A</v>
      </c>
      <c r="P1183" s="7">
        <v>43270</v>
      </c>
      <c r="Q1183" s="6">
        <v>10</v>
      </c>
      <c r="R1183" s="6">
        <v>52</v>
      </c>
      <c r="S1183" s="6">
        <v>1711301</v>
      </c>
      <c r="T1183" s="6" t="e">
        <f>INDEX(医院2县区2人!$D$2:$D$1048576,MATCH(L1183,医院2县区2人!$A$2:$A$1048576,0))</f>
        <v>#N/A</v>
      </c>
      <c r="W1183" s="6" t="str">
        <f t="shared" si="39"/>
        <v>牛黄消炎片24片</v>
      </c>
      <c r="X1183" s="6" t="s">
        <v>2893</v>
      </c>
    </row>
    <row r="1184" spans="1:24" x14ac:dyDescent="0.15">
      <c r="A1184" s="7" t="str">
        <f t="shared" si="40"/>
        <v>201806</v>
      </c>
      <c r="C1184" s="6" t="str">
        <f>INDEX(工厂基础数据!$A$2:$A$1024,MATCH(X1184,工厂基础数据!$D$2:$D$1024,0))</f>
        <v>02032120</v>
      </c>
      <c r="E1184" s="6" t="str">
        <f>INDEX(工厂基础数据!$B$2:$B$1024,MATCH(X1184,工厂基础数据!$D$2:$D$1024,0))</f>
        <v>淄博博仁医药有限公司</v>
      </c>
      <c r="F1184" s="6" t="e">
        <f>INDEX(商业2转码!$B$2:$B$10000,MATCH(E1184,商业2转码!$A$2:$A$10000,0))</f>
        <v>#N/A</v>
      </c>
      <c r="G1184" s="6" t="str">
        <f>INDEX(品种2编码!$A$2:$A$1048576,MATCH(W1184,品种2编码!$D$2:$D$1048576,0))</f>
        <v>0020050020SHYT0016</v>
      </c>
      <c r="H1184" s="6" t="s">
        <v>1864</v>
      </c>
      <c r="I1184" s="6" t="s">
        <v>339</v>
      </c>
      <c r="J1184" s="6" t="s">
        <v>3037</v>
      </c>
      <c r="L1184" s="6" t="s">
        <v>3144</v>
      </c>
      <c r="M1184" s="6" t="e">
        <f>INDEX(医院2县区2人!$B$2:$B$1048576,MATCH(L1184,医院2县区2人!$A$2:$A$1048576,0))</f>
        <v>#N/A</v>
      </c>
      <c r="N1184" s="6" t="e">
        <f>INDEX(医院2县区2人!$C$2:$C$1048576,MATCH(L1184,医院2县区2人!$A$2:$A$1048576,0))</f>
        <v>#N/A</v>
      </c>
      <c r="P1184" s="7">
        <v>43270</v>
      </c>
      <c r="Q1184" s="6">
        <v>10</v>
      </c>
      <c r="R1184" s="6">
        <v>149</v>
      </c>
      <c r="S1184" s="6">
        <v>1801504</v>
      </c>
      <c r="T1184" s="6" t="e">
        <f>INDEX(医院2县区2人!$D$2:$D$1048576,MATCH(L1184,医院2县区2人!$A$2:$A$1048576,0))</f>
        <v>#N/A</v>
      </c>
      <c r="W1184" s="6" t="str">
        <f t="shared" si="39"/>
        <v>复方金银花颗粒10g*10袋</v>
      </c>
      <c r="X1184" s="6" t="s">
        <v>2893</v>
      </c>
    </row>
    <row r="1185" spans="1:24" x14ac:dyDescent="0.15">
      <c r="A1185" s="7" t="str">
        <f t="shared" si="40"/>
        <v>201806</v>
      </c>
      <c r="C1185" s="6" t="str">
        <f>INDEX(工厂基础数据!$A$2:$A$1024,MATCH(X1185,工厂基础数据!$D$2:$D$1024,0))</f>
        <v>02032120</v>
      </c>
      <c r="E1185" s="6" t="str">
        <f>INDEX(工厂基础数据!$B$2:$B$1024,MATCH(X1185,工厂基础数据!$D$2:$D$1024,0))</f>
        <v>淄博博仁医药有限公司</v>
      </c>
      <c r="F1185" s="6" t="e">
        <f>INDEX(商业2转码!$B$2:$B$10000,MATCH(E1185,商业2转码!$A$2:$A$10000,0))</f>
        <v>#N/A</v>
      </c>
      <c r="G1185" s="6" t="str">
        <f>INDEX(品种2编码!$A$2:$A$1048576,MATCH(W1185,品种2编码!$D$2:$D$1048576,0))</f>
        <v>0020020020ZYLC0003</v>
      </c>
      <c r="H1185" s="6" t="s">
        <v>1855</v>
      </c>
      <c r="I1185" s="6" t="s">
        <v>381</v>
      </c>
      <c r="J1185" s="6" t="s">
        <v>3279</v>
      </c>
      <c r="L1185" s="6" t="s">
        <v>3115</v>
      </c>
      <c r="M1185" s="6" t="e">
        <f>INDEX(医院2县区2人!$B$2:$B$1048576,MATCH(L1185,医院2县区2人!$A$2:$A$1048576,0))</f>
        <v>#N/A</v>
      </c>
      <c r="N1185" s="6" t="e">
        <f>INDEX(医院2县区2人!$C$2:$C$1048576,MATCH(L1185,医院2县区2人!$A$2:$A$1048576,0))</f>
        <v>#N/A</v>
      </c>
      <c r="P1185" s="7">
        <v>43270</v>
      </c>
      <c r="Q1185" s="6">
        <v>10</v>
      </c>
      <c r="R1185" s="6">
        <v>55</v>
      </c>
      <c r="S1185" s="6">
        <v>170706</v>
      </c>
      <c r="T1185" s="6" t="e">
        <f>INDEX(医院2县区2人!$D$2:$D$1048576,MATCH(L1185,医院2县区2人!$A$2:$A$1048576,0))</f>
        <v>#N/A</v>
      </c>
      <c r="W1185" s="6" t="str">
        <f t="shared" si="39"/>
        <v>颠茄磺苄啶片12片</v>
      </c>
      <c r="X1185" s="6" t="s">
        <v>2893</v>
      </c>
    </row>
    <row r="1186" spans="1:24" x14ac:dyDescent="0.15">
      <c r="A1186" s="7" t="str">
        <f t="shared" si="40"/>
        <v>201806</v>
      </c>
      <c r="C1186" s="6" t="str">
        <f>INDEX(工厂基础数据!$A$2:$A$1024,MATCH(X1186,工厂基础数据!$D$2:$D$1024,0))</f>
        <v>02032120</v>
      </c>
      <c r="E1186" s="6" t="str">
        <f>INDEX(工厂基础数据!$B$2:$B$1024,MATCH(X1186,工厂基础数据!$D$2:$D$1024,0))</f>
        <v>淄博博仁医药有限公司</v>
      </c>
      <c r="F1186" s="6" t="e">
        <f>INDEX(商业2转码!$B$2:$B$10000,MATCH(E1186,商业2转码!$A$2:$A$10000,0))</f>
        <v>#N/A</v>
      </c>
      <c r="G1186" s="6" t="str">
        <f>INDEX(品种2编码!$A$2:$A$1048576,MATCH(W1186,品种2编码!$D$2:$D$1048576,0))</f>
        <v>0020020020ZYLC0003</v>
      </c>
      <c r="H1186" s="6" t="s">
        <v>1855</v>
      </c>
      <c r="I1186" s="6" t="s">
        <v>381</v>
      </c>
      <c r="J1186" s="6" t="s">
        <v>3279</v>
      </c>
      <c r="L1186" s="6" t="s">
        <v>3226</v>
      </c>
      <c r="M1186" s="6" t="e">
        <f>INDEX(医院2县区2人!$B$2:$B$1048576,MATCH(L1186,医院2县区2人!$A$2:$A$1048576,0))</f>
        <v>#N/A</v>
      </c>
      <c r="N1186" s="6" t="e">
        <f>INDEX(医院2县区2人!$C$2:$C$1048576,MATCH(L1186,医院2县区2人!$A$2:$A$1048576,0))</f>
        <v>#N/A</v>
      </c>
      <c r="P1186" s="7">
        <v>43270</v>
      </c>
      <c r="Q1186" s="6">
        <v>10</v>
      </c>
      <c r="R1186" s="6">
        <v>55</v>
      </c>
      <c r="S1186" s="6">
        <v>170706</v>
      </c>
      <c r="T1186" s="6" t="e">
        <f>INDEX(医院2县区2人!$D$2:$D$1048576,MATCH(L1186,医院2县区2人!$A$2:$A$1048576,0))</f>
        <v>#N/A</v>
      </c>
      <c r="W1186" s="6" t="str">
        <f t="shared" si="39"/>
        <v>颠茄磺苄啶片12片</v>
      </c>
      <c r="X1186" s="6" t="s">
        <v>2893</v>
      </c>
    </row>
    <row r="1187" spans="1:24" x14ac:dyDescent="0.15">
      <c r="A1187" s="7" t="str">
        <f t="shared" si="40"/>
        <v>201806</v>
      </c>
      <c r="C1187" s="6" t="str">
        <f>INDEX(工厂基础数据!$A$2:$A$1024,MATCH(X1187,工厂基础数据!$D$2:$D$1024,0))</f>
        <v>02032120</v>
      </c>
      <c r="E1187" s="6" t="str">
        <f>INDEX(工厂基础数据!$B$2:$B$1024,MATCH(X1187,工厂基础数据!$D$2:$D$1024,0))</f>
        <v>淄博博仁医药有限公司</v>
      </c>
      <c r="F1187" s="6" t="e">
        <f>INDEX(商业2转码!$B$2:$B$10000,MATCH(E1187,商业2转码!$A$2:$A$10000,0))</f>
        <v>#N/A</v>
      </c>
      <c r="G1187" s="6" t="str">
        <f>INDEX(品种2编码!$A$2:$A$1048576,MATCH(W1187,品种2编码!$D$2:$D$1048576,0))</f>
        <v>0020020020ZYLC0003</v>
      </c>
      <c r="H1187" s="6" t="s">
        <v>1855</v>
      </c>
      <c r="I1187" s="6" t="s">
        <v>381</v>
      </c>
      <c r="J1187" s="6" t="s">
        <v>3279</v>
      </c>
      <c r="L1187" s="6" t="s">
        <v>3146</v>
      </c>
      <c r="M1187" s="6" t="e">
        <f>INDEX(医院2县区2人!$B$2:$B$1048576,MATCH(L1187,医院2县区2人!$A$2:$A$1048576,0))</f>
        <v>#N/A</v>
      </c>
      <c r="N1187" s="6" t="e">
        <f>INDEX(医院2县区2人!$C$2:$C$1048576,MATCH(L1187,医院2县区2人!$A$2:$A$1048576,0))</f>
        <v>#N/A</v>
      </c>
      <c r="P1187" s="7">
        <v>43270</v>
      </c>
      <c r="Q1187" s="6">
        <v>10</v>
      </c>
      <c r="R1187" s="6">
        <v>55</v>
      </c>
      <c r="S1187" s="6">
        <v>170706</v>
      </c>
      <c r="T1187" s="6" t="e">
        <f>INDEX(医院2县区2人!$D$2:$D$1048576,MATCH(L1187,医院2县区2人!$A$2:$A$1048576,0))</f>
        <v>#N/A</v>
      </c>
      <c r="W1187" s="6" t="str">
        <f t="shared" si="39"/>
        <v>颠茄磺苄啶片12片</v>
      </c>
      <c r="X1187" s="6" t="s">
        <v>2893</v>
      </c>
    </row>
    <row r="1188" spans="1:24" x14ac:dyDescent="0.15">
      <c r="A1188" s="7" t="str">
        <f t="shared" si="40"/>
        <v>201806</v>
      </c>
      <c r="C1188" s="6" t="str">
        <f>INDEX(工厂基础数据!$A$2:$A$1024,MATCH(X1188,工厂基础数据!$D$2:$D$1024,0))</f>
        <v>02032120</v>
      </c>
      <c r="E1188" s="6" t="str">
        <f>INDEX(工厂基础数据!$B$2:$B$1024,MATCH(X1188,工厂基础数据!$D$2:$D$1024,0))</f>
        <v>淄博博仁医药有限公司</v>
      </c>
      <c r="F1188" s="6" t="e">
        <f>INDEX(商业2转码!$B$2:$B$10000,MATCH(E1188,商业2转码!$A$2:$A$10000,0))</f>
        <v>#N/A</v>
      </c>
      <c r="G1188" s="6">
        <f>INDEX(品种2编码!$A$2:$A$1048576,MATCH(W1188,品种2编码!$D$2:$D$1048576,0))</f>
        <v>0</v>
      </c>
      <c r="H1188" s="6" t="s">
        <v>338</v>
      </c>
      <c r="I1188" s="6" t="s">
        <v>341</v>
      </c>
      <c r="J1188" s="6" t="s">
        <v>3279</v>
      </c>
      <c r="L1188" s="6" t="s">
        <v>3144</v>
      </c>
      <c r="M1188" s="6" t="e">
        <f>INDEX(医院2县区2人!$B$2:$B$1048576,MATCH(L1188,医院2县区2人!$A$2:$A$1048576,0))</f>
        <v>#N/A</v>
      </c>
      <c r="N1188" s="6" t="e">
        <f>INDEX(医院2县区2人!$C$2:$C$1048576,MATCH(L1188,医院2县区2人!$A$2:$A$1048576,0))</f>
        <v>#N/A</v>
      </c>
      <c r="P1188" s="7">
        <v>43270</v>
      </c>
      <c r="Q1188" s="6">
        <v>10</v>
      </c>
      <c r="R1188" s="6">
        <v>185</v>
      </c>
      <c r="S1188" s="6">
        <v>1504512</v>
      </c>
      <c r="T1188" s="6" t="e">
        <f>INDEX(医院2县区2人!$D$2:$D$1048576,MATCH(L1188,医院2县区2人!$A$2:$A$1048576,0))</f>
        <v>#N/A</v>
      </c>
      <c r="W1188" s="6" t="str">
        <f t="shared" si="39"/>
        <v>丹佛胃尔康颗粒10g*8袋</v>
      </c>
      <c r="X1188" s="6" t="s">
        <v>2893</v>
      </c>
    </row>
    <row r="1189" spans="1:24" x14ac:dyDescent="0.15">
      <c r="A1189" s="7" t="str">
        <f t="shared" si="40"/>
        <v>201806</v>
      </c>
      <c r="C1189" s="6" t="str">
        <f>INDEX(工厂基础数据!$A$2:$A$1024,MATCH(X1189,工厂基础数据!$D$2:$D$1024,0))</f>
        <v>02032120</v>
      </c>
      <c r="E1189" s="6" t="str">
        <f>INDEX(工厂基础数据!$B$2:$B$1024,MATCH(X1189,工厂基础数据!$D$2:$D$1024,0))</f>
        <v>淄博博仁医药有限公司</v>
      </c>
      <c r="F1189" s="6" t="e">
        <f>INDEX(商业2转码!$B$2:$B$10000,MATCH(E1189,商业2转码!$A$2:$A$10000,0))</f>
        <v>#N/A</v>
      </c>
      <c r="G1189" s="6" t="str">
        <f>INDEX(品种2编码!$A$2:$A$1048576,MATCH(W1189,品种2编码!$D$2:$D$1048576,0))</f>
        <v>0020030001SJZY0006</v>
      </c>
      <c r="H1189" s="6" t="s">
        <v>1833</v>
      </c>
      <c r="I1189" s="6" t="s">
        <v>411</v>
      </c>
      <c r="J1189" s="6" t="s">
        <v>3280</v>
      </c>
      <c r="L1189" s="6" t="s">
        <v>3132</v>
      </c>
      <c r="M1189" s="6" t="e">
        <f>INDEX(医院2县区2人!$B$2:$B$1048576,MATCH(L1189,医院2县区2人!$A$2:$A$1048576,0))</f>
        <v>#N/A</v>
      </c>
      <c r="N1189" s="6" t="e">
        <f>INDEX(医院2县区2人!$C$2:$C$1048576,MATCH(L1189,医院2县区2人!$A$2:$A$1048576,0))</f>
        <v>#N/A</v>
      </c>
      <c r="P1189" s="7">
        <v>43270</v>
      </c>
      <c r="Q1189" s="6">
        <v>19</v>
      </c>
      <c r="R1189" s="6">
        <v>353.4</v>
      </c>
      <c r="S1189" s="6">
        <v>17122912</v>
      </c>
      <c r="T1189" s="6" t="e">
        <f>INDEX(医院2县区2人!$D$2:$D$1048576,MATCH(L1189,医院2县区2人!$A$2:$A$1048576,0))</f>
        <v>#N/A</v>
      </c>
      <c r="W1189" s="6" t="str">
        <f t="shared" si="39"/>
        <v>葡萄糖酸钙口服溶液10ml*12支</v>
      </c>
      <c r="X1189" s="6" t="s">
        <v>2893</v>
      </c>
    </row>
    <row r="1190" spans="1:24" x14ac:dyDescent="0.15">
      <c r="A1190" s="7" t="str">
        <f t="shared" si="40"/>
        <v>201806</v>
      </c>
      <c r="C1190" s="6" t="str">
        <f>INDEX(工厂基础数据!$A$2:$A$1024,MATCH(X1190,工厂基础数据!$D$2:$D$1024,0))</f>
        <v>02032120</v>
      </c>
      <c r="E1190" s="6" t="str">
        <f>INDEX(工厂基础数据!$B$2:$B$1024,MATCH(X1190,工厂基础数据!$D$2:$D$1024,0))</f>
        <v>淄博博仁医药有限公司</v>
      </c>
      <c r="F1190" s="6" t="e">
        <f>INDEX(商业2转码!$B$2:$B$10000,MATCH(E1190,商业2转码!$A$2:$A$10000,0))</f>
        <v>#N/A</v>
      </c>
      <c r="G1190" s="6">
        <f>INDEX(品种2编码!$A$2:$A$1048576,MATCH(W1190,品种2编码!$D$2:$D$1048576,0))</f>
        <v>0</v>
      </c>
      <c r="H1190" s="6" t="s">
        <v>3268</v>
      </c>
      <c r="I1190" s="6" t="s">
        <v>411</v>
      </c>
      <c r="J1190" s="6" t="s">
        <v>3040</v>
      </c>
      <c r="L1190" s="6" t="s">
        <v>3166</v>
      </c>
      <c r="M1190" s="6" t="e">
        <f>INDEX(医院2县区2人!$B$2:$B$1048576,MATCH(L1190,医院2县区2人!$A$2:$A$1048576,0))</f>
        <v>#N/A</v>
      </c>
      <c r="N1190" s="6" t="e">
        <f>INDEX(医院2县区2人!$C$2:$C$1048576,MATCH(L1190,医院2县区2人!$A$2:$A$1048576,0))</f>
        <v>#N/A</v>
      </c>
      <c r="P1190" s="7">
        <v>43270</v>
      </c>
      <c r="Q1190" s="6">
        <v>20</v>
      </c>
      <c r="R1190" s="6">
        <v>460</v>
      </c>
      <c r="S1190" s="6">
        <v>17112821</v>
      </c>
      <c r="T1190" s="6" t="e">
        <f>INDEX(医院2县区2人!$D$2:$D$1048576,MATCH(L1190,医院2县区2人!$A$2:$A$1048576,0))</f>
        <v>#N/A</v>
      </c>
      <c r="W1190" s="6" t="str">
        <f t="shared" si="39"/>
        <v>葡糖糖酸锌口服溶液10ml*12支</v>
      </c>
      <c r="X1190" s="6" t="s">
        <v>2893</v>
      </c>
    </row>
    <row r="1191" spans="1:24" x14ac:dyDescent="0.15">
      <c r="A1191" s="7" t="str">
        <f t="shared" si="40"/>
        <v>201806</v>
      </c>
      <c r="C1191" s="6" t="str">
        <f>INDEX(工厂基础数据!$A$2:$A$1024,MATCH(X1191,工厂基础数据!$D$2:$D$1024,0))</f>
        <v>02032120</v>
      </c>
      <c r="E1191" s="6" t="str">
        <f>INDEX(工厂基础数据!$B$2:$B$1024,MATCH(X1191,工厂基础数据!$D$2:$D$1024,0))</f>
        <v>淄博博仁医药有限公司</v>
      </c>
      <c r="F1191" s="6" t="e">
        <f>INDEX(商业2转码!$B$2:$B$10000,MATCH(E1191,商业2转码!$A$2:$A$10000,0))</f>
        <v>#N/A</v>
      </c>
      <c r="G1191" s="6" t="str">
        <f>INDEX(品种2编码!$A$2:$A$1048576,MATCH(W1191,品种2编码!$D$2:$D$1048576,0))</f>
        <v>0020020021ZYLC0004</v>
      </c>
      <c r="H1191" s="6" t="s">
        <v>1950</v>
      </c>
      <c r="I1191" s="6" t="s">
        <v>1869</v>
      </c>
      <c r="J1191" s="6" t="s">
        <v>3283</v>
      </c>
      <c r="L1191" s="6" t="s">
        <v>3227</v>
      </c>
      <c r="M1191" s="6" t="e">
        <f>INDEX(医院2县区2人!$B$2:$B$1048576,MATCH(L1191,医院2县区2人!$A$2:$A$1048576,0))</f>
        <v>#N/A</v>
      </c>
      <c r="N1191" s="6" t="e">
        <f>INDEX(医院2县区2人!$C$2:$C$1048576,MATCH(L1191,医院2县区2人!$A$2:$A$1048576,0))</f>
        <v>#N/A</v>
      </c>
      <c r="P1191" s="7">
        <v>43270</v>
      </c>
      <c r="Q1191" s="6">
        <v>20</v>
      </c>
      <c r="R1191" s="6">
        <v>160</v>
      </c>
      <c r="S1191" s="6">
        <v>171101</v>
      </c>
      <c r="T1191" s="6" t="e">
        <f>INDEX(医院2县区2人!$D$2:$D$1048576,MATCH(L1191,医院2县区2人!$A$2:$A$1048576,0))</f>
        <v>#N/A</v>
      </c>
      <c r="W1191" s="6" t="str">
        <f t="shared" si="39"/>
        <v>罗红霉素分散片75mg*12片</v>
      </c>
      <c r="X1191" s="6" t="s">
        <v>2893</v>
      </c>
    </row>
    <row r="1192" spans="1:24" x14ac:dyDescent="0.15">
      <c r="A1192" s="7" t="str">
        <f t="shared" si="40"/>
        <v>201806</v>
      </c>
      <c r="C1192" s="6" t="str">
        <f>INDEX(工厂基础数据!$A$2:$A$1024,MATCH(X1192,工厂基础数据!$D$2:$D$1024,0))</f>
        <v>02032120</v>
      </c>
      <c r="E1192" s="6" t="str">
        <f>INDEX(工厂基础数据!$B$2:$B$1024,MATCH(X1192,工厂基础数据!$D$2:$D$1024,0))</f>
        <v>淄博博仁医药有限公司</v>
      </c>
      <c r="F1192" s="6" t="e">
        <f>INDEX(商业2转码!$B$2:$B$10000,MATCH(E1192,商业2转码!$A$2:$A$10000,0))</f>
        <v>#N/A</v>
      </c>
      <c r="G1192" s="6" t="str">
        <f>INDEX(品种2编码!$A$2:$A$1048576,MATCH(W1192,品种2编码!$D$2:$D$1048576,0))</f>
        <v>0020020013ZYZC0491</v>
      </c>
      <c r="H1192" s="6" t="s">
        <v>3266</v>
      </c>
      <c r="I1192" s="6" t="s">
        <v>914</v>
      </c>
      <c r="J1192" s="6" t="s">
        <v>3279</v>
      </c>
      <c r="L1192" s="6" t="s">
        <v>3146</v>
      </c>
      <c r="M1192" s="6" t="e">
        <f>INDEX(医院2县区2人!$B$2:$B$1048576,MATCH(L1192,医院2县区2人!$A$2:$A$1048576,0))</f>
        <v>#N/A</v>
      </c>
      <c r="N1192" s="6" t="e">
        <f>INDEX(医院2县区2人!$C$2:$C$1048576,MATCH(L1192,医院2县区2人!$A$2:$A$1048576,0))</f>
        <v>#N/A</v>
      </c>
      <c r="P1192" s="7">
        <v>43270</v>
      </c>
      <c r="Q1192" s="6">
        <v>20</v>
      </c>
      <c r="R1192" s="6">
        <v>78</v>
      </c>
      <c r="S1192" s="6" t="s">
        <v>3272</v>
      </c>
      <c r="T1192" s="6" t="e">
        <f>INDEX(医院2县区2人!$D$2:$D$1048576,MATCH(L1192,医院2县区2人!$A$2:$A$1048576,0))</f>
        <v>#N/A</v>
      </c>
      <c r="W1192" s="6" t="str">
        <f t="shared" si="39"/>
        <v>*注射用乳糖酸阿奇霉素0.25g</v>
      </c>
      <c r="X1192" s="6" t="s">
        <v>2893</v>
      </c>
    </row>
    <row r="1193" spans="1:24" x14ac:dyDescent="0.15">
      <c r="A1193" s="7" t="str">
        <f t="shared" si="40"/>
        <v>201806</v>
      </c>
      <c r="C1193" s="6" t="str">
        <f>INDEX(工厂基础数据!$A$2:$A$1024,MATCH(X1193,工厂基础数据!$D$2:$D$1024,0))</f>
        <v>02032120</v>
      </c>
      <c r="E1193" s="6" t="str">
        <f>INDEX(工厂基础数据!$B$2:$B$1024,MATCH(X1193,工厂基础数据!$D$2:$D$1024,0))</f>
        <v>淄博博仁医药有限公司</v>
      </c>
      <c r="F1193" s="6" t="e">
        <f>INDEX(商业2转码!$B$2:$B$10000,MATCH(E1193,商业2转码!$A$2:$A$10000,0))</f>
        <v>#N/A</v>
      </c>
      <c r="G1193" s="6">
        <f>INDEX(品种2编码!$A$2:$A$1048576,MATCH(W1193,品种2编码!$D$2:$D$1048576,0))</f>
        <v>0</v>
      </c>
      <c r="H1193" s="6" t="s">
        <v>405</v>
      </c>
      <c r="I1193" s="6" t="s">
        <v>1850</v>
      </c>
      <c r="J1193" s="6" t="s">
        <v>3279</v>
      </c>
      <c r="L1193" s="6" t="s">
        <v>3160</v>
      </c>
      <c r="M1193" s="6" t="e">
        <f>INDEX(医院2县区2人!$B$2:$B$1048576,MATCH(L1193,医院2县区2人!$A$2:$A$1048576,0))</f>
        <v>#N/A</v>
      </c>
      <c r="N1193" s="6" t="e">
        <f>INDEX(医院2县区2人!$C$2:$C$1048576,MATCH(L1193,医院2县区2人!$A$2:$A$1048576,0))</f>
        <v>#N/A</v>
      </c>
      <c r="P1193" s="7">
        <v>43271</v>
      </c>
      <c r="Q1193" s="6">
        <v>2</v>
      </c>
      <c r="R1193" s="6">
        <v>30</v>
      </c>
      <c r="S1193" s="6">
        <v>1802005</v>
      </c>
      <c r="T1193" s="6" t="e">
        <f>INDEX(医院2县区2人!$D$2:$D$1048576,MATCH(L1193,医院2县区2人!$A$2:$A$1048576,0))</f>
        <v>#N/A</v>
      </c>
      <c r="W1193" s="6" t="str">
        <f t="shared" si="39"/>
        <v>钙铁锌口服液10ml*10支</v>
      </c>
      <c r="X1193" s="6" t="s">
        <v>2893</v>
      </c>
    </row>
    <row r="1194" spans="1:24" x14ac:dyDescent="0.15">
      <c r="A1194" s="7" t="str">
        <f t="shared" si="40"/>
        <v>201806</v>
      </c>
      <c r="C1194" s="6" t="str">
        <f>INDEX(工厂基础数据!$A$2:$A$1024,MATCH(X1194,工厂基础数据!$D$2:$D$1024,0))</f>
        <v>02032120</v>
      </c>
      <c r="E1194" s="6" t="str">
        <f>INDEX(工厂基础数据!$B$2:$B$1024,MATCH(X1194,工厂基础数据!$D$2:$D$1024,0))</f>
        <v>淄博博仁医药有限公司</v>
      </c>
      <c r="F1194" s="6" t="e">
        <f>INDEX(商业2转码!$B$2:$B$10000,MATCH(E1194,商业2转码!$A$2:$A$10000,0))</f>
        <v>#N/A</v>
      </c>
      <c r="G1194" s="6">
        <f>INDEX(品种2编码!$A$2:$A$1048576,MATCH(W1194,品种2编码!$D$2:$D$1048576,0))</f>
        <v>0</v>
      </c>
      <c r="H1194" s="6" t="s">
        <v>1885</v>
      </c>
      <c r="I1194" s="6" t="s">
        <v>1838</v>
      </c>
      <c r="J1194" s="6" t="s">
        <v>3279</v>
      </c>
      <c r="L1194" s="6" t="s">
        <v>3183</v>
      </c>
      <c r="M1194" s="6" t="e">
        <f>INDEX(医院2县区2人!$B$2:$B$1048576,MATCH(L1194,医院2县区2人!$A$2:$A$1048576,0))</f>
        <v>#N/A</v>
      </c>
      <c r="N1194" s="6" t="e">
        <f>INDEX(医院2县区2人!$C$2:$C$1048576,MATCH(L1194,医院2县区2人!$A$2:$A$1048576,0))</f>
        <v>#N/A</v>
      </c>
      <c r="P1194" s="7">
        <v>43271</v>
      </c>
      <c r="Q1194" s="6">
        <v>3</v>
      </c>
      <c r="R1194" s="6">
        <v>72</v>
      </c>
      <c r="S1194" s="6">
        <v>171251</v>
      </c>
      <c r="T1194" s="6" t="e">
        <f>INDEX(医院2县区2人!$D$2:$D$1048576,MATCH(L1194,医院2县区2人!$A$2:$A$1048576,0))</f>
        <v>#N/A</v>
      </c>
      <c r="W1194" s="6" t="str">
        <f t="shared" si="39"/>
        <v>新盖中盖高钙片2.5g*36片</v>
      </c>
      <c r="X1194" s="6" t="s">
        <v>2893</v>
      </c>
    </row>
    <row r="1195" spans="1:24" x14ac:dyDescent="0.15">
      <c r="A1195" s="7" t="str">
        <f t="shared" si="40"/>
        <v>201806</v>
      </c>
      <c r="C1195" s="6" t="str">
        <f>INDEX(工厂基础数据!$A$2:$A$1024,MATCH(X1195,工厂基础数据!$D$2:$D$1024,0))</f>
        <v>02032120</v>
      </c>
      <c r="E1195" s="6" t="str">
        <f>INDEX(工厂基础数据!$B$2:$B$1024,MATCH(X1195,工厂基础数据!$D$2:$D$1024,0))</f>
        <v>淄博博仁医药有限公司</v>
      </c>
      <c r="F1195" s="6" t="e">
        <f>INDEX(商业2转码!$B$2:$B$10000,MATCH(E1195,商业2转码!$A$2:$A$10000,0))</f>
        <v>#N/A</v>
      </c>
      <c r="G1195" s="6">
        <f>INDEX(品种2编码!$A$2:$A$1048576,MATCH(W1195,品种2编码!$D$2:$D$1048576,0))</f>
        <v>0</v>
      </c>
      <c r="H1195" s="6" t="s">
        <v>1885</v>
      </c>
      <c r="I1195" s="6" t="s">
        <v>1838</v>
      </c>
      <c r="J1195" s="6" t="s">
        <v>3279</v>
      </c>
      <c r="L1195" s="6" t="s">
        <v>3129</v>
      </c>
      <c r="M1195" s="6" t="e">
        <f>INDEX(医院2县区2人!$B$2:$B$1048576,MATCH(L1195,医院2县区2人!$A$2:$A$1048576,0))</f>
        <v>#N/A</v>
      </c>
      <c r="N1195" s="6" t="e">
        <f>INDEX(医院2县区2人!$C$2:$C$1048576,MATCH(L1195,医院2县区2人!$A$2:$A$1048576,0))</f>
        <v>#N/A</v>
      </c>
      <c r="P1195" s="7">
        <v>43271</v>
      </c>
      <c r="Q1195" s="6">
        <v>3</v>
      </c>
      <c r="R1195" s="6">
        <v>60.6</v>
      </c>
      <c r="S1195" s="6">
        <v>171251</v>
      </c>
      <c r="T1195" s="6" t="e">
        <f>INDEX(医院2县区2人!$D$2:$D$1048576,MATCH(L1195,医院2县区2人!$A$2:$A$1048576,0))</f>
        <v>#N/A</v>
      </c>
      <c r="W1195" s="6" t="str">
        <f t="shared" si="39"/>
        <v>新盖中盖高钙片2.5g*36片</v>
      </c>
      <c r="X1195" s="6" t="s">
        <v>2893</v>
      </c>
    </row>
    <row r="1196" spans="1:24" x14ac:dyDescent="0.15">
      <c r="A1196" s="7" t="str">
        <f t="shared" si="40"/>
        <v>201806</v>
      </c>
      <c r="C1196" s="6" t="str">
        <f>INDEX(工厂基础数据!$A$2:$A$1024,MATCH(X1196,工厂基础数据!$D$2:$D$1024,0))</f>
        <v>02032120</v>
      </c>
      <c r="E1196" s="6" t="str">
        <f>INDEX(工厂基础数据!$B$2:$B$1024,MATCH(X1196,工厂基础数据!$D$2:$D$1024,0))</f>
        <v>淄博博仁医药有限公司</v>
      </c>
      <c r="F1196" s="6" t="e">
        <f>INDEX(商业2转码!$B$2:$B$10000,MATCH(E1196,商业2转码!$A$2:$A$10000,0))</f>
        <v>#N/A</v>
      </c>
      <c r="G1196" s="6">
        <f>INDEX(品种2编码!$A$2:$A$1048576,MATCH(W1196,品种2编码!$D$2:$D$1048576,0))</f>
        <v>0</v>
      </c>
      <c r="H1196" s="6" t="s">
        <v>1857</v>
      </c>
      <c r="I1196" s="6" t="s">
        <v>3288</v>
      </c>
      <c r="J1196" s="6" t="s">
        <v>3281</v>
      </c>
      <c r="L1196" s="6" t="s">
        <v>3163</v>
      </c>
      <c r="M1196" s="6" t="e">
        <f>INDEX(医院2县区2人!$B$2:$B$1048576,MATCH(L1196,医院2县区2人!$A$2:$A$1048576,0))</f>
        <v>#N/A</v>
      </c>
      <c r="N1196" s="6" t="e">
        <f>INDEX(医院2县区2人!$C$2:$C$1048576,MATCH(L1196,医院2县区2人!$A$2:$A$1048576,0))</f>
        <v>#N/A</v>
      </c>
      <c r="P1196" s="7">
        <v>43271</v>
      </c>
      <c r="Q1196" s="6">
        <v>3</v>
      </c>
      <c r="R1196" s="6">
        <v>42</v>
      </c>
      <c r="S1196" s="6">
        <v>1801404</v>
      </c>
      <c r="T1196" s="6" t="e">
        <f>INDEX(医院2县区2人!$D$2:$D$1048576,MATCH(L1196,医院2县区2人!$A$2:$A$1048576,0))</f>
        <v>#N/A</v>
      </c>
      <c r="W1196" s="6" t="str">
        <f t="shared" si="39"/>
        <v>妇宁栓7粒</v>
      </c>
      <c r="X1196" s="6" t="s">
        <v>2893</v>
      </c>
    </row>
    <row r="1197" spans="1:24" x14ac:dyDescent="0.15">
      <c r="A1197" s="7" t="str">
        <f t="shared" si="40"/>
        <v>201806</v>
      </c>
      <c r="C1197" s="6" t="str">
        <f>INDEX(工厂基础数据!$A$2:$A$1024,MATCH(X1197,工厂基础数据!$D$2:$D$1024,0))</f>
        <v>02032120</v>
      </c>
      <c r="E1197" s="6" t="str">
        <f>INDEX(工厂基础数据!$B$2:$B$1024,MATCH(X1197,工厂基础数据!$D$2:$D$1024,0))</f>
        <v>淄博博仁医药有限公司</v>
      </c>
      <c r="F1197" s="6" t="e">
        <f>INDEX(商业2转码!$B$2:$B$10000,MATCH(E1197,商业2转码!$A$2:$A$10000,0))</f>
        <v>#N/A</v>
      </c>
      <c r="G1197" s="6" t="str">
        <f>INDEX(品种2编码!$A$2:$A$1048576,MATCH(W1197,品种2编码!$D$2:$D$1048576,0))</f>
        <v>0020040110SHYT0002</v>
      </c>
      <c r="H1197" s="6" t="s">
        <v>601</v>
      </c>
      <c r="I1197" s="6" t="s">
        <v>1997</v>
      </c>
      <c r="J1197" s="6" t="s">
        <v>3279</v>
      </c>
      <c r="L1197" s="6" t="s">
        <v>3181</v>
      </c>
      <c r="M1197" s="6" t="e">
        <f>INDEX(医院2县区2人!$B$2:$B$1048576,MATCH(L1197,医院2县区2人!$A$2:$A$1048576,0))</f>
        <v>#N/A</v>
      </c>
      <c r="N1197" s="6" t="e">
        <f>INDEX(医院2县区2人!$C$2:$C$1048576,MATCH(L1197,医院2县区2人!$A$2:$A$1048576,0))</f>
        <v>#N/A</v>
      </c>
      <c r="P1197" s="7">
        <v>43271</v>
      </c>
      <c r="Q1197" s="6">
        <v>5</v>
      </c>
      <c r="R1197" s="6">
        <v>87.5</v>
      </c>
      <c r="S1197" s="6">
        <v>161101</v>
      </c>
      <c r="T1197" s="6" t="e">
        <f>INDEX(医院2县区2人!$D$2:$D$1048576,MATCH(L1197,医院2县区2人!$A$2:$A$1048576,0))</f>
        <v>#N/A</v>
      </c>
      <c r="W1197" s="6" t="str">
        <f t="shared" si="39"/>
        <v>麝香接骨胶囊0.3g*40粒</v>
      </c>
      <c r="X1197" s="6" t="s">
        <v>2893</v>
      </c>
    </row>
    <row r="1198" spans="1:24" x14ac:dyDescent="0.15">
      <c r="A1198" s="7" t="str">
        <f t="shared" si="40"/>
        <v>201806</v>
      </c>
      <c r="C1198" s="6" t="str">
        <f>INDEX(工厂基础数据!$A$2:$A$1024,MATCH(X1198,工厂基础数据!$D$2:$D$1024,0))</f>
        <v>02032120</v>
      </c>
      <c r="E1198" s="6" t="str">
        <f>INDEX(工厂基础数据!$B$2:$B$1024,MATCH(X1198,工厂基础数据!$D$2:$D$1024,0))</f>
        <v>淄博博仁医药有限公司</v>
      </c>
      <c r="F1198" s="6" t="e">
        <f>INDEX(商业2转码!$B$2:$B$10000,MATCH(E1198,商业2转码!$A$2:$A$10000,0))</f>
        <v>#N/A</v>
      </c>
      <c r="G1198" s="6">
        <f>INDEX(品种2编码!$A$2:$A$1048576,MATCH(W1198,品种2编码!$D$2:$D$1048576,0))</f>
        <v>0</v>
      </c>
      <c r="H1198" s="6" t="s">
        <v>1987</v>
      </c>
      <c r="I1198" s="6" t="s">
        <v>411</v>
      </c>
      <c r="J1198" s="6" t="s">
        <v>3279</v>
      </c>
      <c r="L1198" s="6" t="s">
        <v>3160</v>
      </c>
      <c r="M1198" s="6" t="e">
        <f>INDEX(医院2县区2人!$B$2:$B$1048576,MATCH(L1198,医院2县区2人!$A$2:$A$1048576,0))</f>
        <v>#N/A</v>
      </c>
      <c r="N1198" s="6" t="e">
        <f>INDEX(医院2县区2人!$C$2:$C$1048576,MATCH(L1198,医院2县区2人!$A$2:$A$1048576,0))</f>
        <v>#N/A</v>
      </c>
      <c r="P1198" s="7">
        <v>43271</v>
      </c>
      <c r="Q1198" s="6">
        <v>5</v>
      </c>
      <c r="R1198" s="6">
        <v>80</v>
      </c>
      <c r="S1198" s="6">
        <v>170622</v>
      </c>
      <c r="T1198" s="6" t="e">
        <f>INDEX(医院2县区2人!$D$2:$D$1048576,MATCH(L1198,医院2县区2人!$A$2:$A$1048576,0))</f>
        <v>#N/A</v>
      </c>
      <c r="W1198" s="6" t="str">
        <f t="shared" si="39"/>
        <v>乳酸亚铁口服液（朴雪）10ml*12支</v>
      </c>
      <c r="X1198" s="6" t="s">
        <v>2893</v>
      </c>
    </row>
    <row r="1199" spans="1:24" x14ac:dyDescent="0.15">
      <c r="A1199" s="7" t="str">
        <f t="shared" si="40"/>
        <v>201806</v>
      </c>
      <c r="C1199" s="6" t="str">
        <f>INDEX(工厂基础数据!$A$2:$A$1024,MATCH(X1199,工厂基础数据!$D$2:$D$1024,0))</f>
        <v>02032120</v>
      </c>
      <c r="E1199" s="6" t="str">
        <f>INDEX(工厂基础数据!$B$2:$B$1024,MATCH(X1199,工厂基础数据!$D$2:$D$1024,0))</f>
        <v>淄博博仁医药有限公司</v>
      </c>
      <c r="F1199" s="6" t="e">
        <f>INDEX(商业2转码!$B$2:$B$10000,MATCH(E1199,商业2转码!$A$2:$A$10000,0))</f>
        <v>#N/A</v>
      </c>
      <c r="G1199" s="6" t="str">
        <f>INDEX(品种2编码!$A$2:$A$1048576,MATCH(W1199,品种2编码!$D$2:$D$1048576,0))</f>
        <v>0020030001SJZY0006</v>
      </c>
      <c r="H1199" s="6" t="s">
        <v>1833</v>
      </c>
      <c r="I1199" s="6" t="s">
        <v>411</v>
      </c>
      <c r="J1199" s="6" t="s">
        <v>3280</v>
      </c>
      <c r="L1199" s="6" t="s">
        <v>3228</v>
      </c>
      <c r="M1199" s="6" t="e">
        <f>INDEX(医院2县区2人!$B$2:$B$1048576,MATCH(L1199,医院2县区2人!$A$2:$A$1048576,0))</f>
        <v>#N/A</v>
      </c>
      <c r="N1199" s="6" t="e">
        <f>INDEX(医院2县区2人!$C$2:$C$1048576,MATCH(L1199,医院2县区2人!$A$2:$A$1048576,0))</f>
        <v>#N/A</v>
      </c>
      <c r="P1199" s="7">
        <v>43271</v>
      </c>
      <c r="Q1199" s="6">
        <v>5</v>
      </c>
      <c r="R1199" s="6">
        <v>110</v>
      </c>
      <c r="S1199" s="6">
        <v>18030523</v>
      </c>
      <c r="T1199" s="6" t="e">
        <f>INDEX(医院2县区2人!$D$2:$D$1048576,MATCH(L1199,医院2县区2人!$A$2:$A$1048576,0))</f>
        <v>#N/A</v>
      </c>
      <c r="W1199" s="6" t="str">
        <f t="shared" si="39"/>
        <v>葡萄糖酸钙口服溶液10ml*12支</v>
      </c>
      <c r="X1199" s="6" t="s">
        <v>2893</v>
      </c>
    </row>
    <row r="1200" spans="1:24" x14ac:dyDescent="0.15">
      <c r="A1200" s="7" t="str">
        <f t="shared" si="40"/>
        <v>201806</v>
      </c>
      <c r="C1200" s="6" t="str">
        <f>INDEX(工厂基础数据!$A$2:$A$1024,MATCH(X1200,工厂基础数据!$D$2:$D$1024,0))</f>
        <v>02032120</v>
      </c>
      <c r="E1200" s="6" t="str">
        <f>INDEX(工厂基础数据!$B$2:$B$1024,MATCH(X1200,工厂基础数据!$D$2:$D$1024,0))</f>
        <v>淄博博仁医药有限公司</v>
      </c>
      <c r="F1200" s="6" t="e">
        <f>INDEX(商业2转码!$B$2:$B$10000,MATCH(E1200,商业2转码!$A$2:$A$10000,0))</f>
        <v>#N/A</v>
      </c>
      <c r="G1200" s="6">
        <f>INDEX(品种2编码!$A$2:$A$1048576,MATCH(W1200,品种2编码!$D$2:$D$1048576,0))</f>
        <v>0</v>
      </c>
      <c r="H1200" s="6" t="s">
        <v>3268</v>
      </c>
      <c r="I1200" s="6" t="s">
        <v>411</v>
      </c>
      <c r="J1200" s="6" t="s">
        <v>3040</v>
      </c>
      <c r="L1200" s="6" t="s">
        <v>3228</v>
      </c>
      <c r="M1200" s="6" t="e">
        <f>INDEX(医院2县区2人!$B$2:$B$1048576,MATCH(L1200,医院2县区2人!$A$2:$A$1048576,0))</f>
        <v>#N/A</v>
      </c>
      <c r="N1200" s="6" t="e">
        <f>INDEX(医院2县区2人!$C$2:$C$1048576,MATCH(L1200,医院2县区2人!$A$2:$A$1048576,0))</f>
        <v>#N/A</v>
      </c>
      <c r="P1200" s="7">
        <v>43271</v>
      </c>
      <c r="Q1200" s="6">
        <v>5</v>
      </c>
      <c r="R1200" s="6">
        <v>115</v>
      </c>
      <c r="S1200" s="6">
        <v>17112821</v>
      </c>
      <c r="T1200" s="6" t="e">
        <f>INDEX(医院2县区2人!$D$2:$D$1048576,MATCH(L1200,医院2县区2人!$A$2:$A$1048576,0))</f>
        <v>#N/A</v>
      </c>
      <c r="W1200" s="6" t="str">
        <f t="shared" si="39"/>
        <v>葡糖糖酸锌口服溶液10ml*12支</v>
      </c>
      <c r="X1200" s="6" t="s">
        <v>2893</v>
      </c>
    </row>
    <row r="1201" spans="1:24" x14ac:dyDescent="0.15">
      <c r="A1201" s="7" t="str">
        <f t="shared" si="40"/>
        <v>201806</v>
      </c>
      <c r="C1201" s="6" t="str">
        <f>INDEX(工厂基础数据!$A$2:$A$1024,MATCH(X1201,工厂基础数据!$D$2:$D$1024,0))</f>
        <v>02032120</v>
      </c>
      <c r="E1201" s="6" t="str">
        <f>INDEX(工厂基础数据!$B$2:$B$1024,MATCH(X1201,工厂基础数据!$D$2:$D$1024,0))</f>
        <v>淄博博仁医药有限公司</v>
      </c>
      <c r="F1201" s="6" t="e">
        <f>INDEX(商业2转码!$B$2:$B$10000,MATCH(E1201,商业2转码!$A$2:$A$10000,0))</f>
        <v>#N/A</v>
      </c>
      <c r="G1201" s="6">
        <f>INDEX(品种2编码!$A$2:$A$1048576,MATCH(W1201,品种2编码!$D$2:$D$1048576,0))</f>
        <v>0</v>
      </c>
      <c r="H1201" s="6" t="s">
        <v>405</v>
      </c>
      <c r="I1201" s="6" t="s">
        <v>1850</v>
      </c>
      <c r="J1201" s="6" t="s">
        <v>3279</v>
      </c>
      <c r="L1201" s="6" t="s">
        <v>3229</v>
      </c>
      <c r="M1201" s="6" t="e">
        <f>INDEX(医院2县区2人!$B$2:$B$1048576,MATCH(L1201,医院2县区2人!$A$2:$A$1048576,0))</f>
        <v>#N/A</v>
      </c>
      <c r="N1201" s="6" t="e">
        <f>INDEX(医院2县区2人!$C$2:$C$1048576,MATCH(L1201,医院2县区2人!$A$2:$A$1048576,0))</f>
        <v>#N/A</v>
      </c>
      <c r="P1201" s="7">
        <v>43271</v>
      </c>
      <c r="Q1201" s="6">
        <v>5</v>
      </c>
      <c r="R1201" s="6">
        <v>75</v>
      </c>
      <c r="S1201" s="6">
        <v>1802005</v>
      </c>
      <c r="T1201" s="6" t="e">
        <f>INDEX(医院2县区2人!$D$2:$D$1048576,MATCH(L1201,医院2县区2人!$A$2:$A$1048576,0))</f>
        <v>#N/A</v>
      </c>
      <c r="W1201" s="6" t="str">
        <f t="shared" si="39"/>
        <v>钙铁锌口服液10ml*10支</v>
      </c>
      <c r="X1201" s="6" t="s">
        <v>2893</v>
      </c>
    </row>
    <row r="1202" spans="1:24" x14ac:dyDescent="0.15">
      <c r="A1202" s="7" t="str">
        <f t="shared" si="40"/>
        <v>201806</v>
      </c>
      <c r="C1202" s="6" t="str">
        <f>INDEX(工厂基础数据!$A$2:$A$1024,MATCH(X1202,工厂基础数据!$D$2:$D$1024,0))</f>
        <v>02032120</v>
      </c>
      <c r="E1202" s="6" t="str">
        <f>INDEX(工厂基础数据!$B$2:$B$1024,MATCH(X1202,工厂基础数据!$D$2:$D$1024,0))</f>
        <v>淄博博仁医药有限公司</v>
      </c>
      <c r="F1202" s="6" t="e">
        <f>INDEX(商业2转码!$B$2:$B$10000,MATCH(E1202,商业2转码!$A$2:$A$10000,0))</f>
        <v>#N/A</v>
      </c>
      <c r="G1202" s="6" t="str">
        <f>INDEX(品种2编码!$A$2:$A$1048576,MATCH(W1202,品种2编码!$D$2:$D$1048576,0))</f>
        <v>0020070000ZYLC0052</v>
      </c>
      <c r="H1202" s="6" t="s">
        <v>402</v>
      </c>
      <c r="I1202" s="6" t="s">
        <v>411</v>
      </c>
      <c r="J1202" s="6" t="s">
        <v>3279</v>
      </c>
      <c r="L1202" s="6" t="s">
        <v>3160</v>
      </c>
      <c r="M1202" s="6" t="e">
        <f>INDEX(医院2县区2人!$B$2:$B$1048576,MATCH(L1202,医院2县区2人!$A$2:$A$1048576,0))</f>
        <v>#N/A</v>
      </c>
      <c r="N1202" s="6" t="e">
        <f>INDEX(医院2县区2人!$C$2:$C$1048576,MATCH(L1202,医院2县区2人!$A$2:$A$1048576,0))</f>
        <v>#N/A</v>
      </c>
      <c r="P1202" s="7">
        <v>43271</v>
      </c>
      <c r="Q1202" s="6">
        <v>5</v>
      </c>
      <c r="R1202" s="6">
        <v>85</v>
      </c>
      <c r="S1202" s="6">
        <v>170801</v>
      </c>
      <c r="T1202" s="6" t="e">
        <f>INDEX(医院2县区2人!$D$2:$D$1048576,MATCH(L1202,医院2县区2人!$A$2:$A$1048576,0))</f>
        <v>#N/A</v>
      </c>
      <c r="W1202" s="6" t="str">
        <f t="shared" si="39"/>
        <v>钙加锌口服液10ml*12支</v>
      </c>
      <c r="X1202" s="6" t="s">
        <v>2893</v>
      </c>
    </row>
    <row r="1203" spans="1:24" x14ac:dyDescent="0.15">
      <c r="A1203" s="7" t="str">
        <f t="shared" si="40"/>
        <v>201806</v>
      </c>
      <c r="C1203" s="6" t="str">
        <f>INDEX(工厂基础数据!$A$2:$A$1024,MATCH(X1203,工厂基础数据!$D$2:$D$1024,0))</f>
        <v>02032120</v>
      </c>
      <c r="E1203" s="6" t="str">
        <f>INDEX(工厂基础数据!$B$2:$B$1024,MATCH(X1203,工厂基础数据!$D$2:$D$1024,0))</f>
        <v>淄博博仁医药有限公司</v>
      </c>
      <c r="F1203" s="6" t="e">
        <f>INDEX(商业2转码!$B$2:$B$10000,MATCH(E1203,商业2转码!$A$2:$A$10000,0))</f>
        <v>#N/A</v>
      </c>
      <c r="G1203" s="6" t="str">
        <f>INDEX(品种2编码!$A$2:$A$1048576,MATCH(W1203,品种2编码!$D$2:$D$1048576,0))</f>
        <v>0020020020ZYLC0003</v>
      </c>
      <c r="H1203" s="6" t="s">
        <v>1855</v>
      </c>
      <c r="I1203" s="6" t="s">
        <v>381</v>
      </c>
      <c r="J1203" s="6" t="s">
        <v>3279</v>
      </c>
      <c r="L1203" s="6" t="s">
        <v>3230</v>
      </c>
      <c r="M1203" s="6" t="e">
        <f>INDEX(医院2县区2人!$B$2:$B$1048576,MATCH(L1203,医院2县区2人!$A$2:$A$1048576,0))</f>
        <v>#N/A</v>
      </c>
      <c r="N1203" s="6" t="e">
        <f>INDEX(医院2县区2人!$C$2:$C$1048576,MATCH(L1203,医院2县区2人!$A$2:$A$1048576,0))</f>
        <v>#N/A</v>
      </c>
      <c r="P1203" s="7">
        <v>43271</v>
      </c>
      <c r="Q1203" s="6">
        <v>5</v>
      </c>
      <c r="R1203" s="6">
        <v>27.5</v>
      </c>
      <c r="S1203" s="6">
        <v>170706</v>
      </c>
      <c r="T1203" s="6" t="e">
        <f>INDEX(医院2县区2人!$D$2:$D$1048576,MATCH(L1203,医院2县区2人!$A$2:$A$1048576,0))</f>
        <v>#N/A</v>
      </c>
      <c r="W1203" s="6" t="str">
        <f t="shared" si="39"/>
        <v>颠茄磺苄啶片12片</v>
      </c>
      <c r="X1203" s="6" t="s">
        <v>2893</v>
      </c>
    </row>
    <row r="1204" spans="1:24" x14ac:dyDescent="0.15">
      <c r="A1204" s="7" t="str">
        <f t="shared" si="40"/>
        <v>201806</v>
      </c>
      <c r="C1204" s="6" t="str">
        <f>INDEX(工厂基础数据!$A$2:$A$1024,MATCH(X1204,工厂基础数据!$D$2:$D$1024,0))</f>
        <v>02032120</v>
      </c>
      <c r="E1204" s="6" t="str">
        <f>INDEX(工厂基础数据!$B$2:$B$1024,MATCH(X1204,工厂基础数据!$D$2:$D$1024,0))</f>
        <v>淄博博仁医药有限公司</v>
      </c>
      <c r="F1204" s="6" t="e">
        <f>INDEX(商业2转码!$B$2:$B$10000,MATCH(E1204,商业2转码!$A$2:$A$10000,0))</f>
        <v>#N/A</v>
      </c>
      <c r="G1204" s="6">
        <f>INDEX(品种2编码!$A$2:$A$1048576,MATCH(W1204,品种2编码!$D$2:$D$1048576,0))</f>
        <v>0</v>
      </c>
      <c r="H1204" s="6" t="s">
        <v>1885</v>
      </c>
      <c r="I1204" s="6" t="s">
        <v>1838</v>
      </c>
      <c r="J1204" s="6" t="s">
        <v>3279</v>
      </c>
      <c r="L1204" s="6" t="s">
        <v>3229</v>
      </c>
      <c r="M1204" s="6" t="e">
        <f>INDEX(医院2县区2人!$B$2:$B$1048576,MATCH(L1204,医院2县区2人!$A$2:$A$1048576,0))</f>
        <v>#N/A</v>
      </c>
      <c r="N1204" s="6" t="e">
        <f>INDEX(医院2县区2人!$C$2:$C$1048576,MATCH(L1204,医院2县区2人!$A$2:$A$1048576,0))</f>
        <v>#N/A</v>
      </c>
      <c r="P1204" s="7">
        <v>43271</v>
      </c>
      <c r="Q1204" s="6">
        <v>10</v>
      </c>
      <c r="R1204" s="6">
        <v>240</v>
      </c>
      <c r="S1204" s="6">
        <v>171124</v>
      </c>
      <c r="T1204" s="6" t="e">
        <f>INDEX(医院2县区2人!$D$2:$D$1048576,MATCH(L1204,医院2县区2人!$A$2:$A$1048576,0))</f>
        <v>#N/A</v>
      </c>
      <c r="W1204" s="6" t="str">
        <f t="shared" si="39"/>
        <v>新盖中盖高钙片2.5g*36片</v>
      </c>
      <c r="X1204" s="6" t="s">
        <v>2893</v>
      </c>
    </row>
    <row r="1205" spans="1:24" x14ac:dyDescent="0.15">
      <c r="A1205" s="7" t="str">
        <f t="shared" si="40"/>
        <v>201806</v>
      </c>
      <c r="C1205" s="6" t="str">
        <f>INDEX(工厂基础数据!$A$2:$A$1024,MATCH(X1205,工厂基础数据!$D$2:$D$1024,0))</f>
        <v>02032120</v>
      </c>
      <c r="E1205" s="6" t="str">
        <f>INDEX(工厂基础数据!$B$2:$B$1024,MATCH(X1205,工厂基础数据!$D$2:$D$1024,0))</f>
        <v>淄博博仁医药有限公司</v>
      </c>
      <c r="F1205" s="6" t="e">
        <f>INDEX(商业2转码!$B$2:$B$10000,MATCH(E1205,商业2转码!$A$2:$A$10000,0))</f>
        <v>#N/A</v>
      </c>
      <c r="G1205" s="6" t="str">
        <f>INDEX(品种2编码!$A$2:$A$1048576,MATCH(W1205,品种2编码!$D$2:$D$1048576,0))</f>
        <v>0020050020SHYT0016</v>
      </c>
      <c r="H1205" s="6" t="s">
        <v>1864</v>
      </c>
      <c r="I1205" s="6" t="s">
        <v>339</v>
      </c>
      <c r="J1205" s="6" t="s">
        <v>3037</v>
      </c>
      <c r="L1205" s="6" t="s">
        <v>3231</v>
      </c>
      <c r="M1205" s="6" t="e">
        <f>INDEX(医院2县区2人!$B$2:$B$1048576,MATCH(L1205,医院2县区2人!$A$2:$A$1048576,0))</f>
        <v>#N/A</v>
      </c>
      <c r="N1205" s="6" t="e">
        <f>INDEX(医院2县区2人!$C$2:$C$1048576,MATCH(L1205,医院2县区2人!$A$2:$A$1048576,0))</f>
        <v>#N/A</v>
      </c>
      <c r="P1205" s="7">
        <v>43271</v>
      </c>
      <c r="Q1205" s="6">
        <v>20</v>
      </c>
      <c r="R1205" s="6">
        <v>0.2</v>
      </c>
      <c r="S1205" s="6">
        <v>1801504</v>
      </c>
      <c r="T1205" s="6" t="e">
        <f>INDEX(医院2县区2人!$D$2:$D$1048576,MATCH(L1205,医院2县区2人!$A$2:$A$1048576,0))</f>
        <v>#N/A</v>
      </c>
      <c r="W1205" s="6" t="str">
        <f t="shared" si="39"/>
        <v>复方金银花颗粒10g*10袋</v>
      </c>
      <c r="X1205" s="6" t="s">
        <v>2893</v>
      </c>
    </row>
    <row r="1206" spans="1:24" x14ac:dyDescent="0.15">
      <c r="A1206" s="7" t="str">
        <f t="shared" si="40"/>
        <v>201806</v>
      </c>
      <c r="C1206" s="6" t="str">
        <f>INDEX(工厂基础数据!$A$2:$A$1024,MATCH(X1206,工厂基础数据!$D$2:$D$1024,0))</f>
        <v>02032120</v>
      </c>
      <c r="E1206" s="6" t="str">
        <f>INDEX(工厂基础数据!$B$2:$B$1024,MATCH(X1206,工厂基础数据!$D$2:$D$1024,0))</f>
        <v>淄博博仁医药有限公司</v>
      </c>
      <c r="F1206" s="6" t="e">
        <f>INDEX(商业2转码!$B$2:$B$10000,MATCH(E1206,商业2转码!$A$2:$A$10000,0))</f>
        <v>#N/A</v>
      </c>
      <c r="G1206" s="6" t="str">
        <f>INDEX(品种2编码!$A$2:$A$1048576,MATCH(W1206,品种2编码!$D$2:$D$1048576,0))</f>
        <v>0020050090SJZY0001</v>
      </c>
      <c r="H1206" s="6" t="s">
        <v>630</v>
      </c>
      <c r="I1206" s="6" t="s">
        <v>1850</v>
      </c>
      <c r="J1206" s="6" t="s">
        <v>3285</v>
      </c>
      <c r="L1206" s="6" t="s">
        <v>3169</v>
      </c>
      <c r="M1206" s="6" t="e">
        <f>INDEX(医院2县区2人!$B$2:$B$1048576,MATCH(L1206,医院2县区2人!$A$2:$A$1048576,0))</f>
        <v>#N/A</v>
      </c>
      <c r="N1206" s="6" t="e">
        <f>INDEX(医院2县区2人!$C$2:$C$1048576,MATCH(L1206,医院2县区2人!$A$2:$A$1048576,0))</f>
        <v>#N/A</v>
      </c>
      <c r="P1206" s="7">
        <v>43271</v>
      </c>
      <c r="Q1206" s="6">
        <v>30</v>
      </c>
      <c r="R1206" s="6">
        <v>495</v>
      </c>
      <c r="S1206" s="6">
        <v>17122813</v>
      </c>
      <c r="T1206" s="6" t="e">
        <f>INDEX(医院2县区2人!$D$2:$D$1048576,MATCH(L1206,医院2县区2人!$A$2:$A$1048576,0))</f>
        <v>#N/A</v>
      </c>
      <c r="W1206" s="6" t="str">
        <f t="shared" si="39"/>
        <v>双黄连口服液10ml*10支</v>
      </c>
      <c r="X1206" s="6" t="s">
        <v>2893</v>
      </c>
    </row>
    <row r="1207" spans="1:24" x14ac:dyDescent="0.15">
      <c r="A1207" s="7" t="str">
        <f t="shared" si="40"/>
        <v>201806</v>
      </c>
      <c r="C1207" s="6" t="str">
        <f>INDEX(工厂基础数据!$A$2:$A$1024,MATCH(X1207,工厂基础数据!$D$2:$D$1024,0))</f>
        <v>02032120</v>
      </c>
      <c r="E1207" s="6" t="str">
        <f>INDEX(工厂基础数据!$B$2:$B$1024,MATCH(X1207,工厂基础数据!$D$2:$D$1024,0))</f>
        <v>淄博博仁医药有限公司</v>
      </c>
      <c r="F1207" s="6" t="e">
        <f>INDEX(商业2转码!$B$2:$B$10000,MATCH(E1207,商业2转码!$A$2:$A$10000,0))</f>
        <v>#N/A</v>
      </c>
      <c r="G1207" s="6" t="str">
        <f>INDEX(品种2编码!$A$2:$A$1048576,MATCH(W1207,品种2编码!$D$2:$D$1048576,0))</f>
        <v>0020050090SJZY0001</v>
      </c>
      <c r="H1207" s="6" t="s">
        <v>630</v>
      </c>
      <c r="I1207" s="6" t="s">
        <v>1850</v>
      </c>
      <c r="J1207" s="6" t="s">
        <v>3285</v>
      </c>
      <c r="L1207" s="6" t="s">
        <v>3231</v>
      </c>
      <c r="M1207" s="6" t="e">
        <f>INDEX(医院2县区2人!$B$2:$B$1048576,MATCH(L1207,医院2县区2人!$A$2:$A$1048576,0))</f>
        <v>#N/A</v>
      </c>
      <c r="N1207" s="6" t="e">
        <f>INDEX(医院2县区2人!$C$2:$C$1048576,MATCH(L1207,医院2县区2人!$A$2:$A$1048576,0))</f>
        <v>#N/A</v>
      </c>
      <c r="P1207" s="7">
        <v>43271</v>
      </c>
      <c r="Q1207" s="6">
        <v>30</v>
      </c>
      <c r="R1207" s="6">
        <v>495</v>
      </c>
      <c r="S1207" s="6">
        <v>17122813</v>
      </c>
      <c r="T1207" s="6" t="e">
        <f>INDEX(医院2县区2人!$D$2:$D$1048576,MATCH(L1207,医院2县区2人!$A$2:$A$1048576,0))</f>
        <v>#N/A</v>
      </c>
      <c r="W1207" s="6" t="str">
        <f t="shared" si="39"/>
        <v>双黄连口服液10ml*10支</v>
      </c>
      <c r="X1207" s="6" t="s">
        <v>2893</v>
      </c>
    </row>
    <row r="1208" spans="1:24" x14ac:dyDescent="0.15">
      <c r="A1208" s="7" t="str">
        <f t="shared" si="40"/>
        <v>201806</v>
      </c>
      <c r="C1208" s="6" t="str">
        <f>INDEX(工厂基础数据!$A$2:$A$1024,MATCH(X1208,工厂基础数据!$D$2:$D$1024,0))</f>
        <v>02032120</v>
      </c>
      <c r="E1208" s="6" t="str">
        <f>INDEX(工厂基础数据!$B$2:$B$1024,MATCH(X1208,工厂基础数据!$D$2:$D$1024,0))</f>
        <v>淄博博仁医药有限公司</v>
      </c>
      <c r="F1208" s="6" t="e">
        <f>INDEX(商业2转码!$B$2:$B$10000,MATCH(E1208,商业2转码!$A$2:$A$10000,0))</f>
        <v>#N/A</v>
      </c>
      <c r="G1208" s="6" t="str">
        <f>INDEX(品种2编码!$A$2:$A$1048576,MATCH(W1208,品种2编码!$D$2:$D$1048576,0))</f>
        <v>0020030001SJZY0006</v>
      </c>
      <c r="H1208" s="6" t="s">
        <v>1833</v>
      </c>
      <c r="I1208" s="6" t="s">
        <v>411</v>
      </c>
      <c r="J1208" s="6" t="s">
        <v>3280</v>
      </c>
      <c r="L1208" s="6" t="s">
        <v>3193</v>
      </c>
      <c r="M1208" s="6" t="e">
        <f>INDEX(医院2县区2人!$B$2:$B$1048576,MATCH(L1208,医院2县区2人!$A$2:$A$1048576,0))</f>
        <v>#N/A</v>
      </c>
      <c r="N1208" s="6" t="e">
        <f>INDEX(医院2县区2人!$C$2:$C$1048576,MATCH(L1208,医院2县区2人!$A$2:$A$1048576,0))</f>
        <v>#N/A</v>
      </c>
      <c r="P1208" s="7">
        <v>43272</v>
      </c>
      <c r="Q1208" s="6">
        <v>3</v>
      </c>
      <c r="R1208" s="6">
        <v>66</v>
      </c>
      <c r="S1208" s="6">
        <v>18030523</v>
      </c>
      <c r="T1208" s="6" t="e">
        <f>INDEX(医院2县区2人!$D$2:$D$1048576,MATCH(L1208,医院2县区2人!$A$2:$A$1048576,0))</f>
        <v>#N/A</v>
      </c>
      <c r="W1208" s="6" t="str">
        <f t="shared" si="39"/>
        <v>葡萄糖酸钙口服溶液10ml*12支</v>
      </c>
      <c r="X1208" s="6" t="s">
        <v>2893</v>
      </c>
    </row>
    <row r="1209" spans="1:24" x14ac:dyDescent="0.15">
      <c r="A1209" s="7" t="str">
        <f t="shared" si="40"/>
        <v>201806</v>
      </c>
      <c r="C1209" s="6" t="str">
        <f>INDEX(工厂基础数据!$A$2:$A$1024,MATCH(X1209,工厂基础数据!$D$2:$D$1024,0))</f>
        <v>02032120</v>
      </c>
      <c r="E1209" s="6" t="str">
        <f>INDEX(工厂基础数据!$B$2:$B$1024,MATCH(X1209,工厂基础数据!$D$2:$D$1024,0))</f>
        <v>淄博博仁医药有限公司</v>
      </c>
      <c r="F1209" s="6" t="e">
        <f>INDEX(商业2转码!$B$2:$B$10000,MATCH(E1209,商业2转码!$A$2:$A$10000,0))</f>
        <v>#N/A</v>
      </c>
      <c r="G1209" s="6">
        <f>INDEX(品种2编码!$A$2:$A$1048576,MATCH(W1209,品种2编码!$D$2:$D$1048576,0))</f>
        <v>0</v>
      </c>
      <c r="H1209" s="6" t="s">
        <v>3268</v>
      </c>
      <c r="I1209" s="6" t="s">
        <v>411</v>
      </c>
      <c r="J1209" s="6" t="s">
        <v>3040</v>
      </c>
      <c r="L1209" s="6" t="s">
        <v>3232</v>
      </c>
      <c r="M1209" s="6" t="e">
        <f>INDEX(医院2县区2人!$B$2:$B$1048576,MATCH(L1209,医院2县区2人!$A$2:$A$1048576,0))</f>
        <v>#N/A</v>
      </c>
      <c r="N1209" s="6" t="e">
        <f>INDEX(医院2县区2人!$C$2:$C$1048576,MATCH(L1209,医院2县区2人!$A$2:$A$1048576,0))</f>
        <v>#N/A</v>
      </c>
      <c r="P1209" s="7">
        <v>43272</v>
      </c>
      <c r="Q1209" s="6">
        <v>3</v>
      </c>
      <c r="R1209" s="6">
        <v>69</v>
      </c>
      <c r="S1209" s="6">
        <v>17112821</v>
      </c>
      <c r="T1209" s="6" t="e">
        <f>INDEX(医院2县区2人!$D$2:$D$1048576,MATCH(L1209,医院2县区2人!$A$2:$A$1048576,0))</f>
        <v>#N/A</v>
      </c>
      <c r="W1209" s="6" t="str">
        <f t="shared" si="39"/>
        <v>葡糖糖酸锌口服溶液10ml*12支</v>
      </c>
      <c r="X1209" s="6" t="s">
        <v>2893</v>
      </c>
    </row>
    <row r="1210" spans="1:24" x14ac:dyDescent="0.15">
      <c r="A1210" s="7" t="str">
        <f t="shared" si="40"/>
        <v>201806</v>
      </c>
      <c r="C1210" s="6" t="str">
        <f>INDEX(工厂基础数据!$A$2:$A$1024,MATCH(X1210,工厂基础数据!$D$2:$D$1024,0))</f>
        <v>02032120</v>
      </c>
      <c r="E1210" s="6" t="str">
        <f>INDEX(工厂基础数据!$B$2:$B$1024,MATCH(X1210,工厂基础数据!$D$2:$D$1024,0))</f>
        <v>淄博博仁医药有限公司</v>
      </c>
      <c r="F1210" s="6" t="e">
        <f>INDEX(商业2转码!$B$2:$B$10000,MATCH(E1210,商业2转码!$A$2:$A$10000,0))</f>
        <v>#N/A</v>
      </c>
      <c r="G1210" s="6" t="str">
        <f>INDEX(品种2编码!$A$2:$A$1048576,MATCH(W1210,品种2编码!$D$2:$D$1048576,0))</f>
        <v>0020030020SJSC0004</v>
      </c>
      <c r="H1210" s="6" t="s">
        <v>394</v>
      </c>
      <c r="I1210" s="6" t="s">
        <v>1871</v>
      </c>
      <c r="J1210" s="6" t="s">
        <v>3284</v>
      </c>
      <c r="L1210" s="6" t="s">
        <v>3154</v>
      </c>
      <c r="M1210" s="6" t="e">
        <f>INDEX(医院2县区2人!$B$2:$B$1048576,MATCH(L1210,医院2县区2人!$A$2:$A$1048576,0))</f>
        <v>#N/A</v>
      </c>
      <c r="N1210" s="6" t="e">
        <f>INDEX(医院2县区2人!$C$2:$C$1048576,MATCH(L1210,医院2县区2人!$A$2:$A$1048576,0))</f>
        <v>#N/A</v>
      </c>
      <c r="P1210" s="7">
        <v>43272</v>
      </c>
      <c r="Q1210" s="6">
        <v>3</v>
      </c>
      <c r="R1210" s="6">
        <v>33</v>
      </c>
      <c r="S1210" s="6">
        <v>1709020</v>
      </c>
      <c r="T1210" s="6" t="e">
        <f>INDEX(医院2县区2人!$D$2:$D$1048576,MATCH(L1210,医院2县区2人!$A$2:$A$1048576,0))</f>
        <v>#N/A</v>
      </c>
      <c r="W1210" s="6" t="str">
        <f t="shared" si="39"/>
        <v>复方铝酸铋片50片</v>
      </c>
      <c r="X1210" s="6" t="s">
        <v>2893</v>
      </c>
    </row>
    <row r="1211" spans="1:24" x14ac:dyDescent="0.15">
      <c r="A1211" s="7" t="str">
        <f t="shared" si="40"/>
        <v>201806</v>
      </c>
      <c r="C1211" s="6" t="str">
        <f>INDEX(工厂基础数据!$A$2:$A$1024,MATCH(X1211,工厂基础数据!$D$2:$D$1024,0))</f>
        <v>02032120</v>
      </c>
      <c r="E1211" s="6" t="str">
        <f>INDEX(工厂基础数据!$B$2:$B$1024,MATCH(X1211,工厂基础数据!$D$2:$D$1024,0))</f>
        <v>淄博博仁医药有限公司</v>
      </c>
      <c r="F1211" s="6" t="e">
        <f>INDEX(商业2转码!$B$2:$B$10000,MATCH(E1211,商业2转码!$A$2:$A$10000,0))</f>
        <v>#N/A</v>
      </c>
      <c r="G1211" s="6" t="str">
        <f>INDEX(品种2编码!$A$2:$A$1048576,MATCH(W1211,品种2编码!$D$2:$D$1048576,0))</f>
        <v>0020020030SJMS0025</v>
      </c>
      <c r="H1211" s="6" t="s">
        <v>586</v>
      </c>
      <c r="I1211" s="6" t="s">
        <v>1937</v>
      </c>
      <c r="J1211" s="6" t="s">
        <v>3282</v>
      </c>
      <c r="L1211" s="6" t="s">
        <v>3233</v>
      </c>
      <c r="M1211" s="6" t="e">
        <f>INDEX(医院2县区2人!$B$2:$B$1048576,MATCH(L1211,医院2县区2人!$A$2:$A$1048576,0))</f>
        <v>#N/A</v>
      </c>
      <c r="N1211" s="6" t="e">
        <f>INDEX(医院2县区2人!$C$2:$C$1048576,MATCH(L1211,医院2县区2人!$A$2:$A$1048576,0))</f>
        <v>#N/A</v>
      </c>
      <c r="P1211" s="7">
        <v>43272</v>
      </c>
      <c r="Q1211" s="6">
        <v>5</v>
      </c>
      <c r="R1211" s="6">
        <v>27.5</v>
      </c>
      <c r="S1211" s="6">
        <v>1709011</v>
      </c>
      <c r="T1211" s="6" t="e">
        <f>INDEX(医院2县区2人!$D$2:$D$1048576,MATCH(L1211,医院2县区2人!$A$2:$A$1048576,0))</f>
        <v>#N/A</v>
      </c>
      <c r="W1211" s="6" t="str">
        <f t="shared" si="39"/>
        <v>人工牛黄甲硝唑胶囊30粒</v>
      </c>
      <c r="X1211" s="6" t="s">
        <v>2893</v>
      </c>
    </row>
    <row r="1212" spans="1:24" x14ac:dyDescent="0.15">
      <c r="A1212" s="7" t="str">
        <f t="shared" si="40"/>
        <v>201806</v>
      </c>
      <c r="C1212" s="6" t="str">
        <f>INDEX(工厂基础数据!$A$2:$A$1024,MATCH(X1212,工厂基础数据!$D$2:$D$1024,0))</f>
        <v>02032120</v>
      </c>
      <c r="E1212" s="6" t="str">
        <f>INDEX(工厂基础数据!$B$2:$B$1024,MATCH(X1212,工厂基础数据!$D$2:$D$1024,0))</f>
        <v>淄博博仁医药有限公司</v>
      </c>
      <c r="F1212" s="6" t="e">
        <f>INDEX(商业2转码!$B$2:$B$10000,MATCH(E1212,商业2转码!$A$2:$A$10000,0))</f>
        <v>#N/A</v>
      </c>
      <c r="G1212" s="6" t="str">
        <f>INDEX(品种2编码!$A$2:$A$1048576,MATCH(W1212,品种2编码!$D$2:$D$1048576,0))</f>
        <v>0020030001SJZY0006</v>
      </c>
      <c r="H1212" s="6" t="s">
        <v>1833</v>
      </c>
      <c r="I1212" s="6" t="s">
        <v>411</v>
      </c>
      <c r="J1212" s="6" t="s">
        <v>3280</v>
      </c>
      <c r="L1212" s="6" t="s">
        <v>3234</v>
      </c>
      <c r="M1212" s="6" t="e">
        <f>INDEX(医院2县区2人!$B$2:$B$1048576,MATCH(L1212,医院2县区2人!$A$2:$A$1048576,0))</f>
        <v>#N/A</v>
      </c>
      <c r="N1212" s="6" t="e">
        <f>INDEX(医院2县区2人!$C$2:$C$1048576,MATCH(L1212,医院2县区2人!$A$2:$A$1048576,0))</f>
        <v>#N/A</v>
      </c>
      <c r="P1212" s="7">
        <v>43272</v>
      </c>
      <c r="Q1212" s="6">
        <v>5</v>
      </c>
      <c r="R1212" s="6">
        <v>110</v>
      </c>
      <c r="S1212" s="6">
        <v>18030523</v>
      </c>
      <c r="T1212" s="6" t="e">
        <f>INDEX(医院2县区2人!$D$2:$D$1048576,MATCH(L1212,医院2县区2人!$A$2:$A$1048576,0))</f>
        <v>#N/A</v>
      </c>
      <c r="W1212" s="6" t="str">
        <f t="shared" si="39"/>
        <v>葡萄糖酸钙口服溶液10ml*12支</v>
      </c>
      <c r="X1212" s="6" t="s">
        <v>2893</v>
      </c>
    </row>
    <row r="1213" spans="1:24" x14ac:dyDescent="0.15">
      <c r="A1213" s="7" t="str">
        <f t="shared" si="40"/>
        <v>201806</v>
      </c>
      <c r="C1213" s="6" t="str">
        <f>INDEX(工厂基础数据!$A$2:$A$1024,MATCH(X1213,工厂基础数据!$D$2:$D$1024,0))</f>
        <v>02032120</v>
      </c>
      <c r="E1213" s="6" t="str">
        <f>INDEX(工厂基础数据!$B$2:$B$1024,MATCH(X1213,工厂基础数据!$D$2:$D$1024,0))</f>
        <v>淄博博仁医药有限公司</v>
      </c>
      <c r="F1213" s="6" t="e">
        <f>INDEX(商业2转码!$B$2:$B$10000,MATCH(E1213,商业2转码!$A$2:$A$10000,0))</f>
        <v>#N/A</v>
      </c>
      <c r="G1213" s="6">
        <f>INDEX(品种2编码!$A$2:$A$1048576,MATCH(W1213,品种2编码!$D$2:$D$1048576,0))</f>
        <v>0</v>
      </c>
      <c r="H1213" s="6" t="s">
        <v>3268</v>
      </c>
      <c r="I1213" s="6" t="s">
        <v>411</v>
      </c>
      <c r="J1213" s="6" t="s">
        <v>3040</v>
      </c>
      <c r="L1213" s="6" t="s">
        <v>3234</v>
      </c>
      <c r="M1213" s="6" t="e">
        <f>INDEX(医院2县区2人!$B$2:$B$1048576,MATCH(L1213,医院2县区2人!$A$2:$A$1048576,0))</f>
        <v>#N/A</v>
      </c>
      <c r="N1213" s="6" t="e">
        <f>INDEX(医院2县区2人!$C$2:$C$1048576,MATCH(L1213,医院2县区2人!$A$2:$A$1048576,0))</f>
        <v>#N/A</v>
      </c>
      <c r="P1213" s="7">
        <v>43272</v>
      </c>
      <c r="Q1213" s="6">
        <v>5</v>
      </c>
      <c r="R1213" s="6">
        <v>115</v>
      </c>
      <c r="S1213" s="6">
        <v>17112821</v>
      </c>
      <c r="T1213" s="6" t="e">
        <f>INDEX(医院2县区2人!$D$2:$D$1048576,MATCH(L1213,医院2县区2人!$A$2:$A$1048576,0))</f>
        <v>#N/A</v>
      </c>
      <c r="W1213" s="6" t="str">
        <f t="shared" si="39"/>
        <v>葡糖糖酸锌口服溶液10ml*12支</v>
      </c>
      <c r="X1213" s="6" t="s">
        <v>2893</v>
      </c>
    </row>
    <row r="1214" spans="1:24" x14ac:dyDescent="0.15">
      <c r="A1214" s="7" t="str">
        <f t="shared" si="40"/>
        <v>201806</v>
      </c>
      <c r="C1214" s="6" t="str">
        <f>INDEX(工厂基础数据!$A$2:$A$1024,MATCH(X1214,工厂基础数据!$D$2:$D$1024,0))</f>
        <v>02032120</v>
      </c>
      <c r="E1214" s="6" t="str">
        <f>INDEX(工厂基础数据!$B$2:$B$1024,MATCH(X1214,工厂基础数据!$D$2:$D$1024,0))</f>
        <v>淄博博仁医药有限公司</v>
      </c>
      <c r="F1214" s="6" t="e">
        <f>INDEX(商业2转码!$B$2:$B$10000,MATCH(E1214,商业2转码!$A$2:$A$10000,0))</f>
        <v>#N/A</v>
      </c>
      <c r="G1214" s="6">
        <f>INDEX(品种2编码!$A$2:$A$1048576,MATCH(W1214,品种2编码!$D$2:$D$1048576,0))</f>
        <v>0</v>
      </c>
      <c r="H1214" s="6" t="s">
        <v>405</v>
      </c>
      <c r="I1214" s="6" t="s">
        <v>1850</v>
      </c>
      <c r="J1214" s="6" t="s">
        <v>3279</v>
      </c>
      <c r="L1214" s="6" t="s">
        <v>3235</v>
      </c>
      <c r="M1214" s="6" t="e">
        <f>INDEX(医院2县区2人!$B$2:$B$1048576,MATCH(L1214,医院2县区2人!$A$2:$A$1048576,0))</f>
        <v>#N/A</v>
      </c>
      <c r="N1214" s="6" t="e">
        <f>INDEX(医院2县区2人!$C$2:$C$1048576,MATCH(L1214,医院2县区2人!$A$2:$A$1048576,0))</f>
        <v>#N/A</v>
      </c>
      <c r="P1214" s="7">
        <v>43272</v>
      </c>
      <c r="Q1214" s="6">
        <v>5</v>
      </c>
      <c r="R1214" s="6">
        <v>75</v>
      </c>
      <c r="S1214" s="6">
        <v>1802005</v>
      </c>
      <c r="T1214" s="6" t="e">
        <f>INDEX(医院2县区2人!$D$2:$D$1048576,MATCH(L1214,医院2县区2人!$A$2:$A$1048576,0))</f>
        <v>#N/A</v>
      </c>
      <c r="W1214" s="6" t="str">
        <f t="shared" si="39"/>
        <v>钙铁锌口服液10ml*10支</v>
      </c>
      <c r="X1214" s="6" t="s">
        <v>2893</v>
      </c>
    </row>
    <row r="1215" spans="1:24" x14ac:dyDescent="0.15">
      <c r="A1215" s="7" t="str">
        <f t="shared" si="40"/>
        <v>201806</v>
      </c>
      <c r="C1215" s="6" t="str">
        <f>INDEX(工厂基础数据!$A$2:$A$1024,MATCH(X1215,工厂基础数据!$D$2:$D$1024,0))</f>
        <v>02032120</v>
      </c>
      <c r="E1215" s="6" t="str">
        <f>INDEX(工厂基础数据!$B$2:$B$1024,MATCH(X1215,工厂基础数据!$D$2:$D$1024,0))</f>
        <v>淄博博仁医药有限公司</v>
      </c>
      <c r="F1215" s="6" t="e">
        <f>INDEX(商业2转码!$B$2:$B$10000,MATCH(E1215,商业2转码!$A$2:$A$10000,0))</f>
        <v>#N/A</v>
      </c>
      <c r="G1215" s="6">
        <f>INDEX(品种2编码!$A$2:$A$1048576,MATCH(W1215,品种2编码!$D$2:$D$1048576,0))</f>
        <v>0</v>
      </c>
      <c r="H1215" s="6" t="s">
        <v>405</v>
      </c>
      <c r="I1215" s="6" t="s">
        <v>1850</v>
      </c>
      <c r="J1215" s="6" t="s">
        <v>3279</v>
      </c>
      <c r="L1215" s="6" t="s">
        <v>3163</v>
      </c>
      <c r="M1215" s="6" t="e">
        <f>INDEX(医院2县区2人!$B$2:$B$1048576,MATCH(L1215,医院2县区2人!$A$2:$A$1048576,0))</f>
        <v>#N/A</v>
      </c>
      <c r="N1215" s="6" t="e">
        <f>INDEX(医院2县区2人!$C$2:$C$1048576,MATCH(L1215,医院2县区2人!$A$2:$A$1048576,0))</f>
        <v>#N/A</v>
      </c>
      <c r="P1215" s="7">
        <v>43272</v>
      </c>
      <c r="Q1215" s="6">
        <v>5</v>
      </c>
      <c r="R1215" s="6">
        <v>75</v>
      </c>
      <c r="S1215" s="6">
        <v>1802005</v>
      </c>
      <c r="T1215" s="6" t="e">
        <f>INDEX(医院2县区2人!$D$2:$D$1048576,MATCH(L1215,医院2县区2人!$A$2:$A$1048576,0))</f>
        <v>#N/A</v>
      </c>
      <c r="W1215" s="6" t="str">
        <f t="shared" si="39"/>
        <v>钙铁锌口服液10ml*10支</v>
      </c>
      <c r="X1215" s="6" t="s">
        <v>2893</v>
      </c>
    </row>
    <row r="1216" spans="1:24" x14ac:dyDescent="0.15">
      <c r="A1216" s="7" t="str">
        <f t="shared" si="40"/>
        <v>201806</v>
      </c>
      <c r="C1216" s="6" t="str">
        <f>INDEX(工厂基础数据!$A$2:$A$1024,MATCH(X1216,工厂基础数据!$D$2:$D$1024,0))</f>
        <v>02032120</v>
      </c>
      <c r="E1216" s="6" t="str">
        <f>INDEX(工厂基础数据!$B$2:$B$1024,MATCH(X1216,工厂基础数据!$D$2:$D$1024,0))</f>
        <v>淄博博仁医药有限公司</v>
      </c>
      <c r="F1216" s="6" t="e">
        <f>INDEX(商业2转码!$B$2:$B$10000,MATCH(E1216,商业2转码!$A$2:$A$10000,0))</f>
        <v>#N/A</v>
      </c>
      <c r="G1216" s="6" t="str">
        <f>INDEX(品种2编码!$A$2:$A$1048576,MATCH(W1216,品种2编码!$D$2:$D$1048576,0))</f>
        <v>0020050090SJZY0001</v>
      </c>
      <c r="H1216" s="6" t="s">
        <v>630</v>
      </c>
      <c r="I1216" s="6" t="s">
        <v>1850</v>
      </c>
      <c r="J1216" s="6" t="s">
        <v>3285</v>
      </c>
      <c r="L1216" s="6" t="s">
        <v>3180</v>
      </c>
      <c r="M1216" s="6" t="e">
        <f>INDEX(医院2县区2人!$B$2:$B$1048576,MATCH(L1216,医院2县区2人!$A$2:$A$1048576,0))</f>
        <v>#N/A</v>
      </c>
      <c r="N1216" s="6" t="e">
        <f>INDEX(医院2县区2人!$C$2:$C$1048576,MATCH(L1216,医院2县区2人!$A$2:$A$1048576,0))</f>
        <v>#N/A</v>
      </c>
      <c r="P1216" s="7">
        <v>43272</v>
      </c>
      <c r="Q1216" s="6">
        <v>10</v>
      </c>
      <c r="R1216" s="6">
        <v>165</v>
      </c>
      <c r="S1216" s="6">
        <v>17122813</v>
      </c>
      <c r="T1216" s="6" t="e">
        <f>INDEX(医院2县区2人!$D$2:$D$1048576,MATCH(L1216,医院2县区2人!$A$2:$A$1048576,0))</f>
        <v>#N/A</v>
      </c>
      <c r="W1216" s="6" t="str">
        <f t="shared" si="39"/>
        <v>双黄连口服液10ml*10支</v>
      </c>
      <c r="X1216" s="6" t="s">
        <v>2893</v>
      </c>
    </row>
    <row r="1217" spans="1:24" x14ac:dyDescent="0.15">
      <c r="A1217" s="7" t="str">
        <f t="shared" si="40"/>
        <v>201806</v>
      </c>
      <c r="C1217" s="6" t="str">
        <f>INDEX(工厂基础数据!$A$2:$A$1024,MATCH(X1217,工厂基础数据!$D$2:$D$1024,0))</f>
        <v>02032120</v>
      </c>
      <c r="E1217" s="6" t="str">
        <f>INDEX(工厂基础数据!$B$2:$B$1024,MATCH(X1217,工厂基础数据!$D$2:$D$1024,0))</f>
        <v>淄博博仁医药有限公司</v>
      </c>
      <c r="F1217" s="6" t="e">
        <f>INDEX(商业2转码!$B$2:$B$10000,MATCH(E1217,商业2转码!$A$2:$A$10000,0))</f>
        <v>#N/A</v>
      </c>
      <c r="G1217" s="6" t="str">
        <f>INDEX(品种2编码!$A$2:$A$1048576,MATCH(W1217,品种2编码!$D$2:$D$1048576,0))</f>
        <v>0020020030SJMS0025</v>
      </c>
      <c r="H1217" s="6" t="s">
        <v>586</v>
      </c>
      <c r="I1217" s="6" t="s">
        <v>1937</v>
      </c>
      <c r="J1217" s="6" t="s">
        <v>3282</v>
      </c>
      <c r="L1217" s="6" t="s">
        <v>3193</v>
      </c>
      <c r="M1217" s="6" t="e">
        <f>INDEX(医院2县区2人!$B$2:$B$1048576,MATCH(L1217,医院2县区2人!$A$2:$A$1048576,0))</f>
        <v>#N/A</v>
      </c>
      <c r="N1217" s="6" t="e">
        <f>INDEX(医院2县区2人!$C$2:$C$1048576,MATCH(L1217,医院2县区2人!$A$2:$A$1048576,0))</f>
        <v>#N/A</v>
      </c>
      <c r="P1217" s="7">
        <v>43272</v>
      </c>
      <c r="Q1217" s="6">
        <v>10</v>
      </c>
      <c r="R1217" s="6">
        <v>55</v>
      </c>
      <c r="S1217" s="6">
        <v>1709011</v>
      </c>
      <c r="T1217" s="6" t="e">
        <f>INDEX(医院2县区2人!$D$2:$D$1048576,MATCH(L1217,医院2县区2人!$A$2:$A$1048576,0))</f>
        <v>#N/A</v>
      </c>
      <c r="W1217" s="6" t="str">
        <f t="shared" si="39"/>
        <v>人工牛黄甲硝唑胶囊30粒</v>
      </c>
      <c r="X1217" s="6" t="s">
        <v>2893</v>
      </c>
    </row>
    <row r="1218" spans="1:24" x14ac:dyDescent="0.15">
      <c r="A1218" s="7" t="str">
        <f t="shared" si="40"/>
        <v>201806</v>
      </c>
      <c r="C1218" s="6" t="str">
        <f>INDEX(工厂基础数据!$A$2:$A$1024,MATCH(X1218,工厂基础数据!$D$2:$D$1024,0))</f>
        <v>02032120</v>
      </c>
      <c r="E1218" s="6" t="str">
        <f>INDEX(工厂基础数据!$B$2:$B$1024,MATCH(X1218,工厂基础数据!$D$2:$D$1024,0))</f>
        <v>淄博博仁医药有限公司</v>
      </c>
      <c r="F1218" s="6" t="e">
        <f>INDEX(商业2转码!$B$2:$B$10000,MATCH(E1218,商业2转码!$A$2:$A$10000,0))</f>
        <v>#N/A</v>
      </c>
      <c r="G1218" s="6" t="str">
        <f>INDEX(品种2编码!$A$2:$A$1048576,MATCH(W1218,品种2编码!$D$2:$D$1048576,0))</f>
        <v>0020030001SJZY0006</v>
      </c>
      <c r="H1218" s="6" t="s">
        <v>1833</v>
      </c>
      <c r="I1218" s="6" t="s">
        <v>411</v>
      </c>
      <c r="J1218" s="6" t="s">
        <v>3280</v>
      </c>
      <c r="L1218" s="6" t="s">
        <v>3236</v>
      </c>
      <c r="M1218" s="6" t="e">
        <f>INDEX(医院2县区2人!$B$2:$B$1048576,MATCH(L1218,医院2县区2人!$A$2:$A$1048576,0))</f>
        <v>#N/A</v>
      </c>
      <c r="N1218" s="6" t="e">
        <f>INDEX(医院2县区2人!$C$2:$C$1048576,MATCH(L1218,医院2县区2人!$A$2:$A$1048576,0))</f>
        <v>#N/A</v>
      </c>
      <c r="P1218" s="7">
        <v>43272</v>
      </c>
      <c r="Q1218" s="6">
        <v>10</v>
      </c>
      <c r="R1218" s="6">
        <v>220</v>
      </c>
      <c r="S1218" s="6">
        <v>18030523</v>
      </c>
      <c r="T1218" s="6" t="e">
        <f>INDEX(医院2县区2人!$D$2:$D$1048576,MATCH(L1218,医院2县区2人!$A$2:$A$1048576,0))</f>
        <v>#N/A</v>
      </c>
      <c r="W1218" s="6" t="str">
        <f t="shared" si="39"/>
        <v>葡萄糖酸钙口服溶液10ml*12支</v>
      </c>
      <c r="X1218" s="6" t="s">
        <v>2893</v>
      </c>
    </row>
    <row r="1219" spans="1:24" x14ac:dyDescent="0.15">
      <c r="A1219" s="7" t="str">
        <f t="shared" si="40"/>
        <v>201806</v>
      </c>
      <c r="C1219" s="6" t="str">
        <f>INDEX(工厂基础数据!$A$2:$A$1024,MATCH(X1219,工厂基础数据!$D$2:$D$1024,0))</f>
        <v>02032120</v>
      </c>
      <c r="E1219" s="6" t="str">
        <f>INDEX(工厂基础数据!$B$2:$B$1024,MATCH(X1219,工厂基础数据!$D$2:$D$1024,0))</f>
        <v>淄博博仁医药有限公司</v>
      </c>
      <c r="F1219" s="6" t="e">
        <f>INDEX(商业2转码!$B$2:$B$10000,MATCH(E1219,商业2转码!$A$2:$A$10000,0))</f>
        <v>#N/A</v>
      </c>
      <c r="G1219" s="6" t="str">
        <f>INDEX(品种2编码!$A$2:$A$1048576,MATCH(W1219,品种2编码!$D$2:$D$1048576,0))</f>
        <v>0020030001SJZY0006</v>
      </c>
      <c r="H1219" s="6" t="s">
        <v>1833</v>
      </c>
      <c r="I1219" s="6" t="s">
        <v>411</v>
      </c>
      <c r="J1219" s="6" t="s">
        <v>3280</v>
      </c>
      <c r="L1219" s="6" t="s">
        <v>3237</v>
      </c>
      <c r="M1219" s="6" t="e">
        <f>INDEX(医院2县区2人!$B$2:$B$1048576,MATCH(L1219,医院2县区2人!$A$2:$A$1048576,0))</f>
        <v>#N/A</v>
      </c>
      <c r="N1219" s="6" t="e">
        <f>INDEX(医院2县区2人!$C$2:$C$1048576,MATCH(L1219,医院2县区2人!$A$2:$A$1048576,0))</f>
        <v>#N/A</v>
      </c>
      <c r="P1219" s="7">
        <v>43272</v>
      </c>
      <c r="Q1219" s="6">
        <v>10</v>
      </c>
      <c r="R1219" s="6">
        <v>220</v>
      </c>
      <c r="S1219" s="6">
        <v>18030523</v>
      </c>
      <c r="T1219" s="6" t="e">
        <f>INDEX(医院2县区2人!$D$2:$D$1048576,MATCH(L1219,医院2县区2人!$A$2:$A$1048576,0))</f>
        <v>#N/A</v>
      </c>
      <c r="W1219" s="6" t="str">
        <f t="shared" ref="W1219:W1282" si="41">H1219&amp;I1219</f>
        <v>葡萄糖酸钙口服溶液10ml*12支</v>
      </c>
      <c r="X1219" s="6" t="s">
        <v>2893</v>
      </c>
    </row>
    <row r="1220" spans="1:24" x14ac:dyDescent="0.15">
      <c r="A1220" s="7" t="str">
        <f t="shared" ref="A1220:A1283" si="42">IF(MONTH(P1220)&lt;10,YEAR(P1220)&amp;"0"&amp;MONTH(P1220),YEAR(P1220)&amp;MONTH(P1220))</f>
        <v>201806</v>
      </c>
      <c r="C1220" s="6" t="str">
        <f>INDEX(工厂基础数据!$A$2:$A$1024,MATCH(X1220,工厂基础数据!$D$2:$D$1024,0))</f>
        <v>02032120</v>
      </c>
      <c r="E1220" s="6" t="str">
        <f>INDEX(工厂基础数据!$B$2:$B$1024,MATCH(X1220,工厂基础数据!$D$2:$D$1024,0))</f>
        <v>淄博博仁医药有限公司</v>
      </c>
      <c r="F1220" s="6" t="e">
        <f>INDEX(商业2转码!$B$2:$B$10000,MATCH(E1220,商业2转码!$A$2:$A$10000,0))</f>
        <v>#N/A</v>
      </c>
      <c r="G1220" s="6">
        <f>INDEX(品种2编码!$A$2:$A$1048576,MATCH(W1220,品种2编码!$D$2:$D$1048576,0))</f>
        <v>0</v>
      </c>
      <c r="H1220" s="6" t="s">
        <v>3268</v>
      </c>
      <c r="I1220" s="6" t="s">
        <v>411</v>
      </c>
      <c r="J1220" s="6" t="s">
        <v>3040</v>
      </c>
      <c r="L1220" s="6" t="s">
        <v>3173</v>
      </c>
      <c r="M1220" s="6" t="e">
        <f>INDEX(医院2县区2人!$B$2:$B$1048576,MATCH(L1220,医院2县区2人!$A$2:$A$1048576,0))</f>
        <v>#N/A</v>
      </c>
      <c r="N1220" s="6" t="e">
        <f>INDEX(医院2县区2人!$C$2:$C$1048576,MATCH(L1220,医院2县区2人!$A$2:$A$1048576,0))</f>
        <v>#N/A</v>
      </c>
      <c r="P1220" s="7">
        <v>43272</v>
      </c>
      <c r="Q1220" s="6">
        <v>10</v>
      </c>
      <c r="R1220" s="6">
        <v>220</v>
      </c>
      <c r="S1220" s="6">
        <v>17112821</v>
      </c>
      <c r="T1220" s="6" t="e">
        <f>INDEX(医院2县区2人!$D$2:$D$1048576,MATCH(L1220,医院2县区2人!$A$2:$A$1048576,0))</f>
        <v>#N/A</v>
      </c>
      <c r="W1220" s="6" t="str">
        <f t="shared" si="41"/>
        <v>葡糖糖酸锌口服溶液10ml*12支</v>
      </c>
      <c r="X1220" s="6" t="s">
        <v>2893</v>
      </c>
    </row>
    <row r="1221" spans="1:24" x14ac:dyDescent="0.15">
      <c r="A1221" s="7" t="str">
        <f t="shared" si="42"/>
        <v>201806</v>
      </c>
      <c r="C1221" s="6" t="str">
        <f>INDEX(工厂基础数据!$A$2:$A$1024,MATCH(X1221,工厂基础数据!$D$2:$D$1024,0))</f>
        <v>02032120</v>
      </c>
      <c r="E1221" s="6" t="str">
        <f>INDEX(工厂基础数据!$B$2:$B$1024,MATCH(X1221,工厂基础数据!$D$2:$D$1024,0))</f>
        <v>淄博博仁医药有限公司</v>
      </c>
      <c r="F1221" s="6" t="e">
        <f>INDEX(商业2转码!$B$2:$B$10000,MATCH(E1221,商业2转码!$A$2:$A$10000,0))</f>
        <v>#N/A</v>
      </c>
      <c r="G1221" s="6">
        <f>INDEX(品种2编码!$A$2:$A$1048576,MATCH(W1221,品种2编码!$D$2:$D$1048576,0))</f>
        <v>0</v>
      </c>
      <c r="H1221" s="6" t="s">
        <v>3268</v>
      </c>
      <c r="I1221" s="6" t="s">
        <v>411</v>
      </c>
      <c r="J1221" s="6" t="s">
        <v>3040</v>
      </c>
      <c r="L1221" s="6" t="s">
        <v>3180</v>
      </c>
      <c r="M1221" s="6" t="e">
        <f>INDEX(医院2县区2人!$B$2:$B$1048576,MATCH(L1221,医院2县区2人!$A$2:$A$1048576,0))</f>
        <v>#N/A</v>
      </c>
      <c r="N1221" s="6" t="e">
        <f>INDEX(医院2县区2人!$C$2:$C$1048576,MATCH(L1221,医院2县区2人!$A$2:$A$1048576,0))</f>
        <v>#N/A</v>
      </c>
      <c r="P1221" s="7">
        <v>43272</v>
      </c>
      <c r="Q1221" s="6">
        <v>10</v>
      </c>
      <c r="R1221" s="6">
        <v>230</v>
      </c>
      <c r="S1221" s="6">
        <v>17112821</v>
      </c>
      <c r="T1221" s="6" t="e">
        <f>INDEX(医院2县区2人!$D$2:$D$1048576,MATCH(L1221,医院2县区2人!$A$2:$A$1048576,0))</f>
        <v>#N/A</v>
      </c>
      <c r="W1221" s="6" t="str">
        <f t="shared" si="41"/>
        <v>葡糖糖酸锌口服溶液10ml*12支</v>
      </c>
      <c r="X1221" s="6" t="s">
        <v>2893</v>
      </c>
    </row>
    <row r="1222" spans="1:24" x14ac:dyDescent="0.15">
      <c r="A1222" s="7" t="str">
        <f t="shared" si="42"/>
        <v>201806</v>
      </c>
      <c r="C1222" s="6" t="str">
        <f>INDEX(工厂基础数据!$A$2:$A$1024,MATCH(X1222,工厂基础数据!$D$2:$D$1024,0))</f>
        <v>02032120</v>
      </c>
      <c r="E1222" s="6" t="str">
        <f>INDEX(工厂基础数据!$B$2:$B$1024,MATCH(X1222,工厂基础数据!$D$2:$D$1024,0))</f>
        <v>淄博博仁医药有限公司</v>
      </c>
      <c r="F1222" s="6" t="e">
        <f>INDEX(商业2转码!$B$2:$B$10000,MATCH(E1222,商业2转码!$A$2:$A$10000,0))</f>
        <v>#N/A</v>
      </c>
      <c r="G1222" s="6">
        <f>INDEX(品种2编码!$A$2:$A$1048576,MATCH(W1222,品种2编码!$D$2:$D$1048576,0))</f>
        <v>0</v>
      </c>
      <c r="H1222" s="6" t="s">
        <v>3268</v>
      </c>
      <c r="I1222" s="6" t="s">
        <v>411</v>
      </c>
      <c r="J1222" s="6" t="s">
        <v>3040</v>
      </c>
      <c r="L1222" s="6" t="s">
        <v>3236</v>
      </c>
      <c r="M1222" s="6" t="e">
        <f>INDEX(医院2县区2人!$B$2:$B$1048576,MATCH(L1222,医院2县区2人!$A$2:$A$1048576,0))</f>
        <v>#N/A</v>
      </c>
      <c r="N1222" s="6" t="e">
        <f>INDEX(医院2县区2人!$C$2:$C$1048576,MATCH(L1222,医院2县区2人!$A$2:$A$1048576,0))</f>
        <v>#N/A</v>
      </c>
      <c r="P1222" s="7">
        <v>43272</v>
      </c>
      <c r="Q1222" s="6">
        <v>10</v>
      </c>
      <c r="R1222" s="6">
        <v>230</v>
      </c>
      <c r="S1222" s="6">
        <v>17112821</v>
      </c>
      <c r="T1222" s="6" t="e">
        <f>INDEX(医院2县区2人!$D$2:$D$1048576,MATCH(L1222,医院2县区2人!$A$2:$A$1048576,0))</f>
        <v>#N/A</v>
      </c>
      <c r="W1222" s="6" t="str">
        <f t="shared" si="41"/>
        <v>葡糖糖酸锌口服溶液10ml*12支</v>
      </c>
      <c r="X1222" s="6" t="s">
        <v>2893</v>
      </c>
    </row>
    <row r="1223" spans="1:24" x14ac:dyDescent="0.15">
      <c r="A1223" s="7" t="str">
        <f t="shared" si="42"/>
        <v>201806</v>
      </c>
      <c r="C1223" s="6" t="str">
        <f>INDEX(工厂基础数据!$A$2:$A$1024,MATCH(X1223,工厂基础数据!$D$2:$D$1024,0))</f>
        <v>02032120</v>
      </c>
      <c r="E1223" s="6" t="str">
        <f>INDEX(工厂基础数据!$B$2:$B$1024,MATCH(X1223,工厂基础数据!$D$2:$D$1024,0))</f>
        <v>淄博博仁医药有限公司</v>
      </c>
      <c r="F1223" s="6" t="e">
        <f>INDEX(商业2转码!$B$2:$B$10000,MATCH(E1223,商业2转码!$A$2:$A$10000,0))</f>
        <v>#N/A</v>
      </c>
      <c r="G1223" s="6" t="str">
        <f>INDEX(品种2编码!$A$2:$A$1048576,MATCH(W1223,品种2编码!$D$2:$D$1048576,0))</f>
        <v>0020020020ZYLC0003</v>
      </c>
      <c r="H1223" s="6" t="s">
        <v>1855</v>
      </c>
      <c r="I1223" s="6" t="s">
        <v>381</v>
      </c>
      <c r="J1223" s="6" t="s">
        <v>3279</v>
      </c>
      <c r="L1223" s="6" t="s">
        <v>3209</v>
      </c>
      <c r="M1223" s="6" t="e">
        <f>INDEX(医院2县区2人!$B$2:$B$1048576,MATCH(L1223,医院2县区2人!$A$2:$A$1048576,0))</f>
        <v>#N/A</v>
      </c>
      <c r="N1223" s="6" t="e">
        <f>INDEX(医院2县区2人!$C$2:$C$1048576,MATCH(L1223,医院2县区2人!$A$2:$A$1048576,0))</f>
        <v>#N/A</v>
      </c>
      <c r="P1223" s="7">
        <v>43272</v>
      </c>
      <c r="Q1223" s="6">
        <v>10</v>
      </c>
      <c r="R1223" s="6">
        <v>55</v>
      </c>
      <c r="S1223" s="6">
        <v>170706</v>
      </c>
      <c r="T1223" s="6" t="e">
        <f>INDEX(医院2县区2人!$D$2:$D$1048576,MATCH(L1223,医院2县区2人!$A$2:$A$1048576,0))</f>
        <v>#N/A</v>
      </c>
      <c r="W1223" s="6" t="str">
        <f t="shared" si="41"/>
        <v>颠茄磺苄啶片12片</v>
      </c>
      <c r="X1223" s="6" t="s">
        <v>2893</v>
      </c>
    </row>
    <row r="1224" spans="1:24" x14ac:dyDescent="0.15">
      <c r="A1224" s="7" t="str">
        <f t="shared" si="42"/>
        <v>201806</v>
      </c>
      <c r="C1224" s="6" t="str">
        <f>INDEX(工厂基础数据!$A$2:$A$1024,MATCH(X1224,工厂基础数据!$D$2:$D$1024,0))</f>
        <v>02032120</v>
      </c>
      <c r="E1224" s="6" t="str">
        <f>INDEX(工厂基础数据!$B$2:$B$1024,MATCH(X1224,工厂基础数据!$D$2:$D$1024,0))</f>
        <v>淄博博仁医药有限公司</v>
      </c>
      <c r="F1224" s="6" t="e">
        <f>INDEX(商业2转码!$B$2:$B$10000,MATCH(E1224,商业2转码!$A$2:$A$10000,0))</f>
        <v>#N/A</v>
      </c>
      <c r="G1224" s="6" t="str">
        <f>INDEX(品种2编码!$A$2:$A$1048576,MATCH(W1224,品种2编码!$D$2:$D$1048576,0))</f>
        <v>0020030001SJZY0006</v>
      </c>
      <c r="H1224" s="6" t="s">
        <v>1833</v>
      </c>
      <c r="I1224" s="6" t="s">
        <v>411</v>
      </c>
      <c r="J1224" s="6" t="s">
        <v>3280</v>
      </c>
      <c r="L1224" s="6" t="s">
        <v>3180</v>
      </c>
      <c r="M1224" s="6" t="e">
        <f>INDEX(医院2县区2人!$B$2:$B$1048576,MATCH(L1224,医院2县区2人!$A$2:$A$1048576,0))</f>
        <v>#N/A</v>
      </c>
      <c r="N1224" s="6" t="e">
        <f>INDEX(医院2县区2人!$C$2:$C$1048576,MATCH(L1224,医院2县区2人!$A$2:$A$1048576,0))</f>
        <v>#N/A</v>
      </c>
      <c r="P1224" s="7">
        <v>43272</v>
      </c>
      <c r="Q1224" s="6">
        <v>12</v>
      </c>
      <c r="R1224" s="6">
        <v>264</v>
      </c>
      <c r="S1224" s="6">
        <v>18030523</v>
      </c>
      <c r="T1224" s="6" t="e">
        <f>INDEX(医院2县区2人!$D$2:$D$1048576,MATCH(L1224,医院2县区2人!$A$2:$A$1048576,0))</f>
        <v>#N/A</v>
      </c>
      <c r="W1224" s="6" t="str">
        <f t="shared" si="41"/>
        <v>葡萄糖酸钙口服溶液10ml*12支</v>
      </c>
      <c r="X1224" s="6" t="s">
        <v>2893</v>
      </c>
    </row>
    <row r="1225" spans="1:24" x14ac:dyDescent="0.15">
      <c r="A1225" s="7" t="str">
        <f t="shared" si="42"/>
        <v>201806</v>
      </c>
      <c r="C1225" s="6" t="str">
        <f>INDEX(工厂基础数据!$A$2:$A$1024,MATCH(X1225,工厂基础数据!$D$2:$D$1024,0))</f>
        <v>02032120</v>
      </c>
      <c r="E1225" s="6" t="str">
        <f>INDEX(工厂基础数据!$B$2:$B$1024,MATCH(X1225,工厂基础数据!$D$2:$D$1024,0))</f>
        <v>淄博博仁医药有限公司</v>
      </c>
      <c r="F1225" s="6" t="e">
        <f>INDEX(商业2转码!$B$2:$B$10000,MATCH(E1225,商业2转码!$A$2:$A$10000,0))</f>
        <v>#N/A</v>
      </c>
      <c r="G1225" s="6">
        <f>INDEX(品种2编码!$A$2:$A$1048576,MATCH(W1225,品种2编码!$D$2:$D$1048576,0))</f>
        <v>0</v>
      </c>
      <c r="H1225" s="6" t="s">
        <v>672</v>
      </c>
      <c r="I1225" s="6" t="s">
        <v>1843</v>
      </c>
      <c r="J1225" s="6" t="s">
        <v>3279</v>
      </c>
      <c r="L1225" s="6" t="s">
        <v>3180</v>
      </c>
      <c r="M1225" s="6" t="e">
        <f>INDEX(医院2县区2人!$B$2:$B$1048576,MATCH(L1225,医院2县区2人!$A$2:$A$1048576,0))</f>
        <v>#N/A</v>
      </c>
      <c r="N1225" s="6" t="e">
        <f>INDEX(医院2县区2人!$C$2:$C$1048576,MATCH(L1225,医院2县区2人!$A$2:$A$1048576,0))</f>
        <v>#N/A</v>
      </c>
      <c r="P1225" s="7">
        <v>43272</v>
      </c>
      <c r="Q1225" s="6">
        <v>20</v>
      </c>
      <c r="R1225" s="6">
        <v>0.2</v>
      </c>
      <c r="S1225" s="6">
        <v>20180105</v>
      </c>
      <c r="T1225" s="6" t="e">
        <f>INDEX(医院2县区2人!$D$2:$D$1048576,MATCH(L1225,医院2县区2人!$A$2:$A$1048576,0))</f>
        <v>#N/A</v>
      </c>
      <c r="W1225" s="6" t="str">
        <f t="shared" si="41"/>
        <v>退热贴2贴</v>
      </c>
      <c r="X1225" s="6" t="s">
        <v>2893</v>
      </c>
    </row>
    <row r="1226" spans="1:24" x14ac:dyDescent="0.15">
      <c r="A1226" s="7" t="str">
        <f t="shared" si="42"/>
        <v>201806</v>
      </c>
      <c r="C1226" s="6" t="str">
        <f>INDEX(工厂基础数据!$A$2:$A$1024,MATCH(X1226,工厂基础数据!$D$2:$D$1024,0))</f>
        <v>02032120</v>
      </c>
      <c r="E1226" s="6" t="str">
        <f>INDEX(工厂基础数据!$B$2:$B$1024,MATCH(X1226,工厂基础数据!$D$2:$D$1024,0))</f>
        <v>淄博博仁医药有限公司</v>
      </c>
      <c r="F1226" s="6" t="e">
        <f>INDEX(商业2转码!$B$2:$B$10000,MATCH(E1226,商业2转码!$A$2:$A$10000,0))</f>
        <v>#N/A</v>
      </c>
      <c r="G1226" s="6" t="str">
        <f>INDEX(品种2编码!$A$2:$A$1048576,MATCH(W1226,品种2编码!$D$2:$D$1048576,0))</f>
        <v>0020050090SJZY0001</v>
      </c>
      <c r="H1226" s="6" t="s">
        <v>630</v>
      </c>
      <c r="I1226" s="6" t="s">
        <v>1850</v>
      </c>
      <c r="J1226" s="6" t="s">
        <v>3285</v>
      </c>
      <c r="L1226" s="6" t="s">
        <v>3164</v>
      </c>
      <c r="M1226" s="6" t="e">
        <f>INDEX(医院2县区2人!$B$2:$B$1048576,MATCH(L1226,医院2县区2人!$A$2:$A$1048576,0))</f>
        <v>#N/A</v>
      </c>
      <c r="N1226" s="6" t="e">
        <f>INDEX(医院2县区2人!$C$2:$C$1048576,MATCH(L1226,医院2县区2人!$A$2:$A$1048576,0))</f>
        <v>#N/A</v>
      </c>
      <c r="P1226" s="7">
        <v>43272</v>
      </c>
      <c r="Q1226" s="6">
        <v>20</v>
      </c>
      <c r="R1226" s="6">
        <v>330</v>
      </c>
      <c r="S1226" s="6">
        <v>17122813</v>
      </c>
      <c r="T1226" s="6" t="e">
        <f>INDEX(医院2县区2人!$D$2:$D$1048576,MATCH(L1226,医院2县区2人!$A$2:$A$1048576,0))</f>
        <v>#N/A</v>
      </c>
      <c r="W1226" s="6" t="str">
        <f t="shared" si="41"/>
        <v>双黄连口服液10ml*10支</v>
      </c>
      <c r="X1226" s="6" t="s">
        <v>2893</v>
      </c>
    </row>
    <row r="1227" spans="1:24" x14ac:dyDescent="0.15">
      <c r="A1227" s="7" t="str">
        <f t="shared" si="42"/>
        <v>201806</v>
      </c>
      <c r="C1227" s="6" t="str">
        <f>INDEX(工厂基础数据!$A$2:$A$1024,MATCH(X1227,工厂基础数据!$D$2:$D$1024,0))</f>
        <v>02032120</v>
      </c>
      <c r="E1227" s="6" t="str">
        <f>INDEX(工厂基础数据!$B$2:$B$1024,MATCH(X1227,工厂基础数据!$D$2:$D$1024,0))</f>
        <v>淄博博仁医药有限公司</v>
      </c>
      <c r="F1227" s="6" t="e">
        <f>INDEX(商业2转码!$B$2:$B$10000,MATCH(E1227,商业2转码!$A$2:$A$10000,0))</f>
        <v>#N/A</v>
      </c>
      <c r="G1227" s="6">
        <f>INDEX(品种2编码!$A$2:$A$1048576,MATCH(W1227,品种2编码!$D$2:$D$1048576,0))</f>
        <v>0</v>
      </c>
      <c r="H1227" s="6" t="s">
        <v>3269</v>
      </c>
      <c r="I1227" s="6" t="s">
        <v>1839</v>
      </c>
      <c r="J1227" s="6" t="s">
        <v>3279</v>
      </c>
      <c r="L1227" s="6" t="s">
        <v>3238</v>
      </c>
      <c r="M1227" s="6" t="e">
        <f>INDEX(医院2县区2人!$B$2:$B$1048576,MATCH(L1227,医院2县区2人!$A$2:$A$1048576,0))</f>
        <v>#N/A</v>
      </c>
      <c r="N1227" s="6" t="e">
        <f>INDEX(医院2县区2人!$C$2:$C$1048576,MATCH(L1227,医院2县区2人!$A$2:$A$1048576,0))</f>
        <v>#N/A</v>
      </c>
      <c r="P1227" s="7">
        <v>43273</v>
      </c>
      <c r="Q1227" s="6">
        <v>1</v>
      </c>
      <c r="R1227" s="6">
        <v>8</v>
      </c>
      <c r="S1227" s="6">
        <v>180111</v>
      </c>
      <c r="T1227" s="6" t="e">
        <f>INDEX(医院2县区2人!$D$2:$D$1048576,MATCH(L1227,医院2县区2人!$A$2:$A$1048576,0))</f>
        <v>#N/A</v>
      </c>
      <c r="W1227" s="6" t="str">
        <f t="shared" si="41"/>
        <v>乳酸菌素片(精）0.4g*36片</v>
      </c>
      <c r="X1227" s="6" t="s">
        <v>2893</v>
      </c>
    </row>
    <row r="1228" spans="1:24" x14ac:dyDescent="0.15">
      <c r="A1228" s="7" t="str">
        <f t="shared" si="42"/>
        <v>201806</v>
      </c>
      <c r="C1228" s="6" t="str">
        <f>INDEX(工厂基础数据!$A$2:$A$1024,MATCH(X1228,工厂基础数据!$D$2:$D$1024,0))</f>
        <v>02032120</v>
      </c>
      <c r="E1228" s="6" t="str">
        <f>INDEX(工厂基础数据!$B$2:$B$1024,MATCH(X1228,工厂基础数据!$D$2:$D$1024,0))</f>
        <v>淄博博仁医药有限公司</v>
      </c>
      <c r="F1228" s="6" t="e">
        <f>INDEX(商业2转码!$B$2:$B$10000,MATCH(E1228,商业2转码!$A$2:$A$10000,0))</f>
        <v>#N/A</v>
      </c>
      <c r="G1228" s="6" t="str">
        <f>INDEX(品种2编码!$A$2:$A$1048576,MATCH(W1228,品种2编码!$D$2:$D$1048576,0))</f>
        <v>0020030020SJSC0004</v>
      </c>
      <c r="H1228" s="6" t="s">
        <v>394</v>
      </c>
      <c r="I1228" s="6" t="s">
        <v>1871</v>
      </c>
      <c r="J1228" s="6" t="s">
        <v>3284</v>
      </c>
      <c r="L1228" s="6" t="s">
        <v>3119</v>
      </c>
      <c r="M1228" s="6" t="e">
        <f>INDEX(医院2县区2人!$B$2:$B$1048576,MATCH(L1228,医院2县区2人!$A$2:$A$1048576,0))</f>
        <v>#N/A</v>
      </c>
      <c r="N1228" s="6" t="e">
        <f>INDEX(医院2县区2人!$C$2:$C$1048576,MATCH(L1228,医院2县区2人!$A$2:$A$1048576,0))</f>
        <v>#N/A</v>
      </c>
      <c r="P1228" s="7">
        <v>43273</v>
      </c>
      <c r="Q1228" s="6">
        <v>2</v>
      </c>
      <c r="R1228" s="6">
        <v>22</v>
      </c>
      <c r="S1228" s="6">
        <v>1709020</v>
      </c>
      <c r="T1228" s="6" t="e">
        <f>INDEX(医院2县区2人!$D$2:$D$1048576,MATCH(L1228,医院2县区2人!$A$2:$A$1048576,0))</f>
        <v>#N/A</v>
      </c>
      <c r="W1228" s="6" t="str">
        <f t="shared" si="41"/>
        <v>复方铝酸铋片50片</v>
      </c>
      <c r="X1228" s="6" t="s">
        <v>2893</v>
      </c>
    </row>
    <row r="1229" spans="1:24" x14ac:dyDescent="0.15">
      <c r="A1229" s="7" t="str">
        <f t="shared" si="42"/>
        <v>201806</v>
      </c>
      <c r="C1229" s="6" t="str">
        <f>INDEX(工厂基础数据!$A$2:$A$1024,MATCH(X1229,工厂基础数据!$D$2:$D$1024,0))</f>
        <v>02032120</v>
      </c>
      <c r="E1229" s="6" t="str">
        <f>INDEX(工厂基础数据!$B$2:$B$1024,MATCH(X1229,工厂基础数据!$D$2:$D$1024,0))</f>
        <v>淄博博仁医药有限公司</v>
      </c>
      <c r="F1229" s="6" t="e">
        <f>INDEX(商业2转码!$B$2:$B$10000,MATCH(E1229,商业2转码!$A$2:$A$10000,0))</f>
        <v>#N/A</v>
      </c>
      <c r="G1229" s="6">
        <f>INDEX(品种2编码!$A$2:$A$1048576,MATCH(W1229,品种2编码!$D$2:$D$1048576,0))</f>
        <v>0</v>
      </c>
      <c r="H1229" s="6" t="s">
        <v>3268</v>
      </c>
      <c r="I1229" s="6" t="s">
        <v>411</v>
      </c>
      <c r="J1229" s="6" t="s">
        <v>3040</v>
      </c>
      <c r="L1229" s="6" t="s">
        <v>3200</v>
      </c>
      <c r="M1229" s="6" t="e">
        <f>INDEX(医院2县区2人!$B$2:$B$1048576,MATCH(L1229,医院2县区2人!$A$2:$A$1048576,0))</f>
        <v>#N/A</v>
      </c>
      <c r="N1229" s="6" t="e">
        <f>INDEX(医院2县区2人!$C$2:$C$1048576,MATCH(L1229,医院2县区2人!$A$2:$A$1048576,0))</f>
        <v>#N/A</v>
      </c>
      <c r="P1229" s="7">
        <v>43273</v>
      </c>
      <c r="Q1229" s="6">
        <v>3</v>
      </c>
      <c r="R1229" s="6">
        <v>69</v>
      </c>
      <c r="S1229" s="6">
        <v>17112821</v>
      </c>
      <c r="T1229" s="6" t="e">
        <f>INDEX(医院2县区2人!$D$2:$D$1048576,MATCH(L1229,医院2县区2人!$A$2:$A$1048576,0))</f>
        <v>#N/A</v>
      </c>
      <c r="W1229" s="6" t="str">
        <f t="shared" si="41"/>
        <v>葡糖糖酸锌口服溶液10ml*12支</v>
      </c>
      <c r="X1229" s="6" t="s">
        <v>2893</v>
      </c>
    </row>
    <row r="1230" spans="1:24" x14ac:dyDescent="0.15">
      <c r="A1230" s="7" t="str">
        <f t="shared" si="42"/>
        <v>201806</v>
      </c>
      <c r="C1230" s="6" t="str">
        <f>INDEX(工厂基础数据!$A$2:$A$1024,MATCH(X1230,工厂基础数据!$D$2:$D$1024,0))</f>
        <v>02032120</v>
      </c>
      <c r="E1230" s="6" t="str">
        <f>INDEX(工厂基础数据!$B$2:$B$1024,MATCH(X1230,工厂基础数据!$D$2:$D$1024,0))</f>
        <v>淄博博仁医药有限公司</v>
      </c>
      <c r="F1230" s="6" t="e">
        <f>INDEX(商业2转码!$B$2:$B$10000,MATCH(E1230,商业2转码!$A$2:$A$10000,0))</f>
        <v>#N/A</v>
      </c>
      <c r="G1230" s="6">
        <f>INDEX(品种2编码!$A$2:$A$1048576,MATCH(W1230,品种2编码!$D$2:$D$1048576,0))</f>
        <v>0</v>
      </c>
      <c r="H1230" s="6" t="s">
        <v>1885</v>
      </c>
      <c r="I1230" s="6" t="s">
        <v>1838</v>
      </c>
      <c r="J1230" s="6" t="s">
        <v>3279</v>
      </c>
      <c r="L1230" s="6" t="s">
        <v>3189</v>
      </c>
      <c r="M1230" s="6" t="e">
        <f>INDEX(医院2县区2人!$B$2:$B$1048576,MATCH(L1230,医院2县区2人!$A$2:$A$1048576,0))</f>
        <v>#N/A</v>
      </c>
      <c r="N1230" s="6" t="e">
        <f>INDEX(医院2县区2人!$C$2:$C$1048576,MATCH(L1230,医院2县区2人!$A$2:$A$1048576,0))</f>
        <v>#N/A</v>
      </c>
      <c r="P1230" s="7">
        <v>43273</v>
      </c>
      <c r="Q1230" s="6">
        <v>5</v>
      </c>
      <c r="R1230" s="6">
        <v>120</v>
      </c>
      <c r="S1230" s="6">
        <v>171251</v>
      </c>
      <c r="T1230" s="6" t="e">
        <f>INDEX(医院2县区2人!$D$2:$D$1048576,MATCH(L1230,医院2县区2人!$A$2:$A$1048576,0))</f>
        <v>#N/A</v>
      </c>
      <c r="W1230" s="6" t="str">
        <f t="shared" si="41"/>
        <v>新盖中盖高钙片2.5g*36片</v>
      </c>
      <c r="X1230" s="6" t="s">
        <v>2893</v>
      </c>
    </row>
    <row r="1231" spans="1:24" x14ac:dyDescent="0.15">
      <c r="A1231" s="7" t="str">
        <f t="shared" si="42"/>
        <v>201806</v>
      </c>
      <c r="C1231" s="6" t="str">
        <f>INDEX(工厂基础数据!$A$2:$A$1024,MATCH(X1231,工厂基础数据!$D$2:$D$1024,0))</f>
        <v>02032120</v>
      </c>
      <c r="E1231" s="6" t="str">
        <f>INDEX(工厂基础数据!$B$2:$B$1024,MATCH(X1231,工厂基础数据!$D$2:$D$1024,0))</f>
        <v>淄博博仁医药有限公司</v>
      </c>
      <c r="F1231" s="6" t="e">
        <f>INDEX(商业2转码!$B$2:$B$10000,MATCH(E1231,商业2转码!$A$2:$A$10000,0))</f>
        <v>#N/A</v>
      </c>
      <c r="G1231" s="6" t="str">
        <f>INDEX(品种2编码!$A$2:$A$1048576,MATCH(W1231,品种2编码!$D$2:$D$1048576,0))</f>
        <v>0020030001SJZY0006</v>
      </c>
      <c r="H1231" s="6" t="s">
        <v>1833</v>
      </c>
      <c r="I1231" s="6" t="s">
        <v>411</v>
      </c>
      <c r="J1231" s="6" t="s">
        <v>3280</v>
      </c>
      <c r="L1231" s="6" t="s">
        <v>3184</v>
      </c>
      <c r="M1231" s="6" t="e">
        <f>INDEX(医院2县区2人!$B$2:$B$1048576,MATCH(L1231,医院2县区2人!$A$2:$A$1048576,0))</f>
        <v>#N/A</v>
      </c>
      <c r="N1231" s="6" t="e">
        <f>INDEX(医院2县区2人!$C$2:$C$1048576,MATCH(L1231,医院2县区2人!$A$2:$A$1048576,0))</f>
        <v>#N/A</v>
      </c>
      <c r="P1231" s="7">
        <v>43273</v>
      </c>
      <c r="Q1231" s="6">
        <v>5</v>
      </c>
      <c r="R1231" s="6">
        <v>110</v>
      </c>
      <c r="S1231" s="6">
        <v>18030523</v>
      </c>
      <c r="T1231" s="6" t="e">
        <f>INDEX(医院2县区2人!$D$2:$D$1048576,MATCH(L1231,医院2县区2人!$A$2:$A$1048576,0))</f>
        <v>#N/A</v>
      </c>
      <c r="W1231" s="6" t="str">
        <f t="shared" si="41"/>
        <v>葡萄糖酸钙口服溶液10ml*12支</v>
      </c>
      <c r="X1231" s="6" t="s">
        <v>2893</v>
      </c>
    </row>
    <row r="1232" spans="1:24" x14ac:dyDescent="0.15">
      <c r="A1232" s="7" t="str">
        <f t="shared" si="42"/>
        <v>201806</v>
      </c>
      <c r="C1232" s="6" t="str">
        <f>INDEX(工厂基础数据!$A$2:$A$1024,MATCH(X1232,工厂基础数据!$D$2:$D$1024,0))</f>
        <v>02032120</v>
      </c>
      <c r="E1232" s="6" t="str">
        <f>INDEX(工厂基础数据!$B$2:$B$1024,MATCH(X1232,工厂基础数据!$D$2:$D$1024,0))</f>
        <v>淄博博仁医药有限公司</v>
      </c>
      <c r="F1232" s="6" t="e">
        <f>INDEX(商业2转码!$B$2:$B$10000,MATCH(E1232,商业2转码!$A$2:$A$10000,0))</f>
        <v>#N/A</v>
      </c>
      <c r="G1232" s="6" t="str">
        <f>INDEX(品种2编码!$A$2:$A$1048576,MATCH(W1232,品种2编码!$D$2:$D$1048576,0))</f>
        <v>0020030001SJZY0006</v>
      </c>
      <c r="H1232" s="6" t="s">
        <v>1833</v>
      </c>
      <c r="I1232" s="6" t="s">
        <v>411</v>
      </c>
      <c r="J1232" s="6" t="s">
        <v>3280</v>
      </c>
      <c r="L1232" s="6" t="s">
        <v>3239</v>
      </c>
      <c r="M1232" s="6" t="e">
        <f>INDEX(医院2县区2人!$B$2:$B$1048576,MATCH(L1232,医院2县区2人!$A$2:$A$1048576,0))</f>
        <v>#N/A</v>
      </c>
      <c r="N1232" s="6" t="e">
        <f>INDEX(医院2县区2人!$C$2:$C$1048576,MATCH(L1232,医院2县区2人!$A$2:$A$1048576,0))</f>
        <v>#N/A</v>
      </c>
      <c r="P1232" s="7">
        <v>43273</v>
      </c>
      <c r="Q1232" s="6">
        <v>5</v>
      </c>
      <c r="R1232" s="6">
        <v>110</v>
      </c>
      <c r="S1232" s="6">
        <v>18030523</v>
      </c>
      <c r="T1232" s="6" t="e">
        <f>INDEX(医院2县区2人!$D$2:$D$1048576,MATCH(L1232,医院2县区2人!$A$2:$A$1048576,0))</f>
        <v>#N/A</v>
      </c>
      <c r="W1232" s="6" t="str">
        <f t="shared" si="41"/>
        <v>葡萄糖酸钙口服溶液10ml*12支</v>
      </c>
      <c r="X1232" s="6" t="s">
        <v>2893</v>
      </c>
    </row>
    <row r="1233" spans="1:24" x14ac:dyDescent="0.15">
      <c r="A1233" s="7" t="str">
        <f t="shared" si="42"/>
        <v>201806</v>
      </c>
      <c r="C1233" s="6" t="str">
        <f>INDEX(工厂基础数据!$A$2:$A$1024,MATCH(X1233,工厂基础数据!$D$2:$D$1024,0))</f>
        <v>02032120</v>
      </c>
      <c r="E1233" s="6" t="str">
        <f>INDEX(工厂基础数据!$B$2:$B$1024,MATCH(X1233,工厂基础数据!$D$2:$D$1024,0))</f>
        <v>淄博博仁医药有限公司</v>
      </c>
      <c r="F1233" s="6" t="e">
        <f>INDEX(商业2转码!$B$2:$B$10000,MATCH(E1233,商业2转码!$A$2:$A$10000,0))</f>
        <v>#N/A</v>
      </c>
      <c r="G1233" s="6">
        <f>INDEX(品种2编码!$A$2:$A$1048576,MATCH(W1233,品种2编码!$D$2:$D$1048576,0))</f>
        <v>0</v>
      </c>
      <c r="H1233" s="6" t="s">
        <v>3268</v>
      </c>
      <c r="I1233" s="6" t="s">
        <v>411</v>
      </c>
      <c r="J1233" s="6" t="s">
        <v>3040</v>
      </c>
      <c r="L1233" s="6" t="s">
        <v>3236</v>
      </c>
      <c r="M1233" s="6" t="e">
        <f>INDEX(医院2县区2人!$B$2:$B$1048576,MATCH(L1233,医院2县区2人!$A$2:$A$1048576,0))</f>
        <v>#N/A</v>
      </c>
      <c r="N1233" s="6" t="e">
        <f>INDEX(医院2县区2人!$C$2:$C$1048576,MATCH(L1233,医院2县区2人!$A$2:$A$1048576,0))</f>
        <v>#N/A</v>
      </c>
      <c r="P1233" s="7">
        <v>43273</v>
      </c>
      <c r="Q1233" s="6">
        <v>5</v>
      </c>
      <c r="R1233" s="6">
        <v>115</v>
      </c>
      <c r="S1233" s="6">
        <v>17112821</v>
      </c>
      <c r="T1233" s="6" t="e">
        <f>INDEX(医院2县区2人!$D$2:$D$1048576,MATCH(L1233,医院2县区2人!$A$2:$A$1048576,0))</f>
        <v>#N/A</v>
      </c>
      <c r="W1233" s="6" t="str">
        <f t="shared" si="41"/>
        <v>葡糖糖酸锌口服溶液10ml*12支</v>
      </c>
      <c r="X1233" s="6" t="s">
        <v>2893</v>
      </c>
    </row>
    <row r="1234" spans="1:24" x14ac:dyDescent="0.15">
      <c r="A1234" s="7" t="str">
        <f t="shared" si="42"/>
        <v>201806</v>
      </c>
      <c r="C1234" s="6" t="str">
        <f>INDEX(工厂基础数据!$A$2:$A$1024,MATCH(X1234,工厂基础数据!$D$2:$D$1024,0))</f>
        <v>02032120</v>
      </c>
      <c r="E1234" s="6" t="str">
        <f>INDEX(工厂基础数据!$B$2:$B$1024,MATCH(X1234,工厂基础数据!$D$2:$D$1024,0))</f>
        <v>淄博博仁医药有限公司</v>
      </c>
      <c r="F1234" s="6" t="e">
        <f>INDEX(商业2转码!$B$2:$B$10000,MATCH(E1234,商业2转码!$A$2:$A$10000,0))</f>
        <v>#N/A</v>
      </c>
      <c r="G1234" s="6">
        <f>INDEX(品种2编码!$A$2:$A$1048576,MATCH(W1234,品种2编码!$D$2:$D$1048576,0))</f>
        <v>0</v>
      </c>
      <c r="H1234" s="6" t="s">
        <v>3268</v>
      </c>
      <c r="I1234" s="6" t="s">
        <v>411</v>
      </c>
      <c r="J1234" s="6" t="s">
        <v>3040</v>
      </c>
      <c r="L1234" s="6" t="s">
        <v>3239</v>
      </c>
      <c r="M1234" s="6" t="e">
        <f>INDEX(医院2县区2人!$B$2:$B$1048576,MATCH(L1234,医院2县区2人!$A$2:$A$1048576,0))</f>
        <v>#N/A</v>
      </c>
      <c r="N1234" s="6" t="e">
        <f>INDEX(医院2县区2人!$C$2:$C$1048576,MATCH(L1234,医院2县区2人!$A$2:$A$1048576,0))</f>
        <v>#N/A</v>
      </c>
      <c r="P1234" s="7">
        <v>43273</v>
      </c>
      <c r="Q1234" s="6">
        <v>5</v>
      </c>
      <c r="R1234" s="6">
        <v>115</v>
      </c>
      <c r="S1234" s="6">
        <v>17112821</v>
      </c>
      <c r="T1234" s="6" t="e">
        <f>INDEX(医院2县区2人!$D$2:$D$1048576,MATCH(L1234,医院2县区2人!$A$2:$A$1048576,0))</f>
        <v>#N/A</v>
      </c>
      <c r="W1234" s="6" t="str">
        <f t="shared" si="41"/>
        <v>葡糖糖酸锌口服溶液10ml*12支</v>
      </c>
      <c r="X1234" s="6" t="s">
        <v>2893</v>
      </c>
    </row>
    <row r="1235" spans="1:24" x14ac:dyDescent="0.15">
      <c r="A1235" s="7" t="str">
        <f t="shared" si="42"/>
        <v>201806</v>
      </c>
      <c r="C1235" s="6" t="str">
        <f>INDEX(工厂基础数据!$A$2:$A$1024,MATCH(X1235,工厂基础数据!$D$2:$D$1024,0))</f>
        <v>02032120</v>
      </c>
      <c r="E1235" s="6" t="str">
        <f>INDEX(工厂基础数据!$B$2:$B$1024,MATCH(X1235,工厂基础数据!$D$2:$D$1024,0))</f>
        <v>淄博博仁医药有限公司</v>
      </c>
      <c r="F1235" s="6" t="e">
        <f>INDEX(商业2转码!$B$2:$B$10000,MATCH(E1235,商业2转码!$A$2:$A$10000,0))</f>
        <v>#N/A</v>
      </c>
      <c r="G1235" s="6" t="str">
        <f>INDEX(品种2编码!$A$2:$A$1048576,MATCH(W1235,品种2编码!$D$2:$D$1048576,0))</f>
        <v>0020020021ZYLC0004</v>
      </c>
      <c r="H1235" s="6" t="s">
        <v>1950</v>
      </c>
      <c r="I1235" s="6" t="s">
        <v>1869</v>
      </c>
      <c r="J1235" s="6" t="s">
        <v>3283</v>
      </c>
      <c r="L1235" s="6" t="s">
        <v>3240</v>
      </c>
      <c r="M1235" s="6" t="e">
        <f>INDEX(医院2县区2人!$B$2:$B$1048576,MATCH(L1235,医院2县区2人!$A$2:$A$1048576,0))</f>
        <v>#N/A</v>
      </c>
      <c r="N1235" s="6" t="e">
        <f>INDEX(医院2县区2人!$C$2:$C$1048576,MATCH(L1235,医院2县区2人!$A$2:$A$1048576,0))</f>
        <v>#N/A</v>
      </c>
      <c r="P1235" s="7">
        <v>43273</v>
      </c>
      <c r="Q1235" s="6">
        <v>5</v>
      </c>
      <c r="R1235" s="6">
        <v>40</v>
      </c>
      <c r="S1235" s="6">
        <v>171101</v>
      </c>
      <c r="T1235" s="6" t="e">
        <f>INDEX(医院2县区2人!$D$2:$D$1048576,MATCH(L1235,医院2县区2人!$A$2:$A$1048576,0))</f>
        <v>#N/A</v>
      </c>
      <c r="W1235" s="6" t="str">
        <f t="shared" si="41"/>
        <v>罗红霉素分散片75mg*12片</v>
      </c>
      <c r="X1235" s="6" t="s">
        <v>2893</v>
      </c>
    </row>
    <row r="1236" spans="1:24" x14ac:dyDescent="0.15">
      <c r="A1236" s="7" t="str">
        <f t="shared" si="42"/>
        <v>201806</v>
      </c>
      <c r="C1236" s="6" t="str">
        <f>INDEX(工厂基础数据!$A$2:$A$1024,MATCH(X1236,工厂基础数据!$D$2:$D$1024,0))</f>
        <v>02032120</v>
      </c>
      <c r="E1236" s="6" t="str">
        <f>INDEX(工厂基础数据!$B$2:$B$1024,MATCH(X1236,工厂基础数据!$D$2:$D$1024,0))</f>
        <v>淄博博仁医药有限公司</v>
      </c>
      <c r="F1236" s="6" t="e">
        <f>INDEX(商业2转码!$B$2:$B$10000,MATCH(E1236,商业2转码!$A$2:$A$10000,0))</f>
        <v>#N/A</v>
      </c>
      <c r="G1236" s="6" t="str">
        <f>INDEX(品种2编码!$A$2:$A$1048576,MATCH(W1236,品种2编码!$D$2:$D$1048576,0))</f>
        <v>0020020020ZYLC0003</v>
      </c>
      <c r="H1236" s="6" t="s">
        <v>1855</v>
      </c>
      <c r="I1236" s="6" t="s">
        <v>381</v>
      </c>
      <c r="J1236" s="6" t="s">
        <v>3279</v>
      </c>
      <c r="L1236" s="6" t="s">
        <v>3241</v>
      </c>
      <c r="M1236" s="6" t="e">
        <f>INDEX(医院2县区2人!$B$2:$B$1048576,MATCH(L1236,医院2县区2人!$A$2:$A$1048576,0))</f>
        <v>#N/A</v>
      </c>
      <c r="N1236" s="6" t="e">
        <f>INDEX(医院2县区2人!$C$2:$C$1048576,MATCH(L1236,医院2县区2人!$A$2:$A$1048576,0))</f>
        <v>#N/A</v>
      </c>
      <c r="P1236" s="7">
        <v>43273</v>
      </c>
      <c r="Q1236" s="6">
        <v>5</v>
      </c>
      <c r="R1236" s="6">
        <v>27.5</v>
      </c>
      <c r="S1236" s="6">
        <v>170706</v>
      </c>
      <c r="T1236" s="6" t="e">
        <f>INDEX(医院2县区2人!$D$2:$D$1048576,MATCH(L1236,医院2县区2人!$A$2:$A$1048576,0))</f>
        <v>#N/A</v>
      </c>
      <c r="W1236" s="6" t="str">
        <f t="shared" si="41"/>
        <v>颠茄磺苄啶片12片</v>
      </c>
      <c r="X1236" s="6" t="s">
        <v>2893</v>
      </c>
    </row>
    <row r="1237" spans="1:24" x14ac:dyDescent="0.15">
      <c r="A1237" s="7" t="str">
        <f t="shared" si="42"/>
        <v>201806</v>
      </c>
      <c r="C1237" s="6" t="str">
        <f>INDEX(工厂基础数据!$A$2:$A$1024,MATCH(X1237,工厂基础数据!$D$2:$D$1024,0))</f>
        <v>02032120</v>
      </c>
      <c r="E1237" s="6" t="str">
        <f>INDEX(工厂基础数据!$B$2:$B$1024,MATCH(X1237,工厂基础数据!$D$2:$D$1024,0))</f>
        <v>淄博博仁医药有限公司</v>
      </c>
      <c r="F1237" s="6" t="e">
        <f>INDEX(商业2转码!$B$2:$B$10000,MATCH(E1237,商业2转码!$A$2:$A$10000,0))</f>
        <v>#N/A</v>
      </c>
      <c r="G1237" s="6">
        <f>INDEX(品种2编码!$A$2:$A$1048576,MATCH(W1237,品种2编码!$D$2:$D$1048576,0))</f>
        <v>0</v>
      </c>
      <c r="H1237" s="6" t="s">
        <v>3271</v>
      </c>
      <c r="I1237" s="6" t="s">
        <v>3297</v>
      </c>
      <c r="J1237" s="6" t="s">
        <v>3038</v>
      </c>
      <c r="L1237" s="6" t="s">
        <v>3129</v>
      </c>
      <c r="M1237" s="6" t="e">
        <f>INDEX(医院2县区2人!$B$2:$B$1048576,MATCH(L1237,医院2县区2人!$A$2:$A$1048576,0))</f>
        <v>#N/A</v>
      </c>
      <c r="N1237" s="6" t="e">
        <f>INDEX(医院2县区2人!$C$2:$C$1048576,MATCH(L1237,医院2县区2人!$A$2:$A$1048576,0))</f>
        <v>#N/A</v>
      </c>
      <c r="P1237" s="7">
        <v>43273</v>
      </c>
      <c r="Q1237" s="6">
        <v>5</v>
      </c>
      <c r="R1237" s="6">
        <v>90</v>
      </c>
      <c r="S1237" s="6">
        <v>180101</v>
      </c>
      <c r="T1237" s="6" t="e">
        <f>INDEX(医院2县区2人!$D$2:$D$1048576,MATCH(L1237,医院2县区2人!$A$2:$A$1048576,0))</f>
        <v>#N/A</v>
      </c>
      <c r="W1237" s="6" t="str">
        <f t="shared" si="41"/>
        <v>*新贝增盖牌硒加钙咀嚼片1.75g*30片</v>
      </c>
      <c r="X1237" s="6" t="s">
        <v>2893</v>
      </c>
    </row>
    <row r="1238" spans="1:24" x14ac:dyDescent="0.15">
      <c r="A1238" s="7" t="str">
        <f t="shared" si="42"/>
        <v>201806</v>
      </c>
      <c r="C1238" s="6" t="str">
        <f>INDEX(工厂基础数据!$A$2:$A$1024,MATCH(X1238,工厂基础数据!$D$2:$D$1024,0))</f>
        <v>02032120</v>
      </c>
      <c r="E1238" s="6" t="str">
        <f>INDEX(工厂基础数据!$B$2:$B$1024,MATCH(X1238,工厂基础数据!$D$2:$D$1024,0))</f>
        <v>淄博博仁医药有限公司</v>
      </c>
      <c r="F1238" s="6" t="e">
        <f>INDEX(商业2转码!$B$2:$B$10000,MATCH(E1238,商业2转码!$A$2:$A$10000,0))</f>
        <v>#N/A</v>
      </c>
      <c r="G1238" s="6">
        <f>INDEX(品种2编码!$A$2:$A$1048576,MATCH(W1238,品种2编码!$D$2:$D$1048576,0))</f>
        <v>0</v>
      </c>
      <c r="H1238" s="6" t="s">
        <v>3271</v>
      </c>
      <c r="I1238" s="6" t="s">
        <v>3298</v>
      </c>
      <c r="J1238" s="6" t="s">
        <v>3038</v>
      </c>
      <c r="L1238" s="6" t="s">
        <v>3129</v>
      </c>
      <c r="M1238" s="6" t="e">
        <f>INDEX(医院2县区2人!$B$2:$B$1048576,MATCH(L1238,医院2县区2人!$A$2:$A$1048576,0))</f>
        <v>#N/A</v>
      </c>
      <c r="N1238" s="6" t="e">
        <f>INDEX(医院2县区2人!$C$2:$C$1048576,MATCH(L1238,医院2县区2人!$A$2:$A$1048576,0))</f>
        <v>#N/A</v>
      </c>
      <c r="P1238" s="7">
        <v>43273</v>
      </c>
      <c r="Q1238" s="6">
        <v>5</v>
      </c>
      <c r="R1238" s="6">
        <v>175</v>
      </c>
      <c r="S1238" s="6">
        <v>180501</v>
      </c>
      <c r="T1238" s="6" t="e">
        <f>INDEX(医院2县区2人!$D$2:$D$1048576,MATCH(L1238,医院2县区2人!$A$2:$A$1048576,0))</f>
        <v>#N/A</v>
      </c>
      <c r="W1238" s="6" t="str">
        <f t="shared" si="41"/>
        <v>*新贝增盖牌硒加钙咀嚼片1.75g*60片</v>
      </c>
      <c r="X1238" s="6" t="s">
        <v>2893</v>
      </c>
    </row>
    <row r="1239" spans="1:24" x14ac:dyDescent="0.15">
      <c r="A1239" s="7" t="str">
        <f t="shared" si="42"/>
        <v>201806</v>
      </c>
      <c r="C1239" s="6" t="str">
        <f>INDEX(工厂基础数据!$A$2:$A$1024,MATCH(X1239,工厂基础数据!$D$2:$D$1024,0))</f>
        <v>02032120</v>
      </c>
      <c r="E1239" s="6" t="str">
        <f>INDEX(工厂基础数据!$B$2:$B$1024,MATCH(X1239,工厂基础数据!$D$2:$D$1024,0))</f>
        <v>淄博博仁医药有限公司</v>
      </c>
      <c r="F1239" s="6" t="e">
        <f>INDEX(商业2转码!$B$2:$B$10000,MATCH(E1239,商业2转码!$A$2:$A$10000,0))</f>
        <v>#N/A</v>
      </c>
      <c r="G1239" s="6">
        <f>INDEX(品种2编码!$A$2:$A$1048576,MATCH(W1239,品种2编码!$D$2:$D$1048576,0))</f>
        <v>0</v>
      </c>
      <c r="H1239" s="6" t="s">
        <v>3271</v>
      </c>
      <c r="I1239" s="6" t="s">
        <v>3297</v>
      </c>
      <c r="J1239" s="6" t="s">
        <v>3038</v>
      </c>
      <c r="L1239" s="6" t="s">
        <v>3199</v>
      </c>
      <c r="M1239" s="6" t="e">
        <f>INDEX(医院2县区2人!$B$2:$B$1048576,MATCH(L1239,医院2县区2人!$A$2:$A$1048576,0))</f>
        <v>#N/A</v>
      </c>
      <c r="N1239" s="6" t="e">
        <f>INDEX(医院2县区2人!$C$2:$C$1048576,MATCH(L1239,医院2县区2人!$A$2:$A$1048576,0))</f>
        <v>#N/A</v>
      </c>
      <c r="P1239" s="7">
        <v>43273</v>
      </c>
      <c r="Q1239" s="6">
        <v>5</v>
      </c>
      <c r="R1239" s="6">
        <v>90</v>
      </c>
      <c r="S1239" s="6">
        <v>180101</v>
      </c>
      <c r="T1239" s="6" t="e">
        <f>INDEX(医院2县区2人!$D$2:$D$1048576,MATCH(L1239,医院2县区2人!$A$2:$A$1048576,0))</f>
        <v>#N/A</v>
      </c>
      <c r="W1239" s="6" t="str">
        <f t="shared" si="41"/>
        <v>*新贝增盖牌硒加钙咀嚼片1.75g*30片</v>
      </c>
      <c r="X1239" s="6" t="s">
        <v>2893</v>
      </c>
    </row>
    <row r="1240" spans="1:24" x14ac:dyDescent="0.15">
      <c r="A1240" s="7" t="str">
        <f t="shared" si="42"/>
        <v>201806</v>
      </c>
      <c r="C1240" s="6" t="str">
        <f>INDEX(工厂基础数据!$A$2:$A$1024,MATCH(X1240,工厂基础数据!$D$2:$D$1024,0))</f>
        <v>02032120</v>
      </c>
      <c r="E1240" s="6" t="str">
        <f>INDEX(工厂基础数据!$B$2:$B$1024,MATCH(X1240,工厂基础数据!$D$2:$D$1024,0))</f>
        <v>淄博博仁医药有限公司</v>
      </c>
      <c r="F1240" s="6" t="e">
        <f>INDEX(商业2转码!$B$2:$B$10000,MATCH(E1240,商业2转码!$A$2:$A$10000,0))</f>
        <v>#N/A</v>
      </c>
      <c r="G1240" s="6">
        <f>INDEX(品种2编码!$A$2:$A$1048576,MATCH(W1240,品种2编码!$D$2:$D$1048576,0))</f>
        <v>0</v>
      </c>
      <c r="H1240" s="6" t="s">
        <v>3271</v>
      </c>
      <c r="I1240" s="6" t="s">
        <v>3298</v>
      </c>
      <c r="J1240" s="6" t="s">
        <v>3038</v>
      </c>
      <c r="L1240" s="6" t="s">
        <v>3199</v>
      </c>
      <c r="M1240" s="6" t="e">
        <f>INDEX(医院2县区2人!$B$2:$B$1048576,MATCH(L1240,医院2县区2人!$A$2:$A$1048576,0))</f>
        <v>#N/A</v>
      </c>
      <c r="N1240" s="6" t="e">
        <f>INDEX(医院2县区2人!$C$2:$C$1048576,MATCH(L1240,医院2县区2人!$A$2:$A$1048576,0))</f>
        <v>#N/A</v>
      </c>
      <c r="P1240" s="7">
        <v>43273</v>
      </c>
      <c r="Q1240" s="6">
        <v>5</v>
      </c>
      <c r="R1240" s="6">
        <v>175</v>
      </c>
      <c r="S1240" s="6">
        <v>180501</v>
      </c>
      <c r="T1240" s="6" t="e">
        <f>INDEX(医院2县区2人!$D$2:$D$1048576,MATCH(L1240,医院2县区2人!$A$2:$A$1048576,0))</f>
        <v>#N/A</v>
      </c>
      <c r="W1240" s="6" t="str">
        <f t="shared" si="41"/>
        <v>*新贝增盖牌硒加钙咀嚼片1.75g*60片</v>
      </c>
      <c r="X1240" s="6" t="s">
        <v>2893</v>
      </c>
    </row>
    <row r="1241" spans="1:24" x14ac:dyDescent="0.15">
      <c r="A1241" s="7" t="str">
        <f t="shared" si="42"/>
        <v>201806</v>
      </c>
      <c r="C1241" s="6" t="str">
        <f>INDEX(工厂基础数据!$A$2:$A$1024,MATCH(X1241,工厂基础数据!$D$2:$D$1024,0))</f>
        <v>02032120</v>
      </c>
      <c r="E1241" s="6" t="str">
        <f>INDEX(工厂基础数据!$B$2:$B$1024,MATCH(X1241,工厂基础数据!$D$2:$D$1024,0))</f>
        <v>淄博博仁医药有限公司</v>
      </c>
      <c r="F1241" s="6" t="e">
        <f>INDEX(商业2转码!$B$2:$B$10000,MATCH(E1241,商业2转码!$A$2:$A$10000,0))</f>
        <v>#N/A</v>
      </c>
      <c r="G1241" s="6">
        <f>INDEX(品种2编码!$A$2:$A$1048576,MATCH(W1241,品种2编码!$D$2:$D$1048576,0))</f>
        <v>0</v>
      </c>
      <c r="H1241" s="6" t="s">
        <v>3271</v>
      </c>
      <c r="I1241" s="6" t="s">
        <v>3297</v>
      </c>
      <c r="J1241" s="6" t="s">
        <v>3038</v>
      </c>
      <c r="L1241" s="6" t="s">
        <v>3144</v>
      </c>
      <c r="M1241" s="6" t="e">
        <f>INDEX(医院2县区2人!$B$2:$B$1048576,MATCH(L1241,医院2县区2人!$A$2:$A$1048576,0))</f>
        <v>#N/A</v>
      </c>
      <c r="N1241" s="6" t="e">
        <f>INDEX(医院2县区2人!$C$2:$C$1048576,MATCH(L1241,医院2县区2人!$A$2:$A$1048576,0))</f>
        <v>#N/A</v>
      </c>
      <c r="P1241" s="7">
        <v>43273</v>
      </c>
      <c r="Q1241" s="6">
        <v>5</v>
      </c>
      <c r="R1241" s="6">
        <v>90</v>
      </c>
      <c r="S1241" s="6">
        <v>180101</v>
      </c>
      <c r="T1241" s="6" t="e">
        <f>INDEX(医院2县区2人!$D$2:$D$1048576,MATCH(L1241,医院2县区2人!$A$2:$A$1048576,0))</f>
        <v>#N/A</v>
      </c>
      <c r="W1241" s="6" t="str">
        <f t="shared" si="41"/>
        <v>*新贝增盖牌硒加钙咀嚼片1.75g*30片</v>
      </c>
      <c r="X1241" s="6" t="s">
        <v>2893</v>
      </c>
    </row>
    <row r="1242" spans="1:24" x14ac:dyDescent="0.15">
      <c r="A1242" s="7" t="str">
        <f t="shared" si="42"/>
        <v>201806</v>
      </c>
      <c r="C1242" s="6" t="str">
        <f>INDEX(工厂基础数据!$A$2:$A$1024,MATCH(X1242,工厂基础数据!$D$2:$D$1024,0))</f>
        <v>02032120</v>
      </c>
      <c r="E1242" s="6" t="str">
        <f>INDEX(工厂基础数据!$B$2:$B$1024,MATCH(X1242,工厂基础数据!$D$2:$D$1024,0))</f>
        <v>淄博博仁医药有限公司</v>
      </c>
      <c r="F1242" s="6" t="e">
        <f>INDEX(商业2转码!$B$2:$B$10000,MATCH(E1242,商业2转码!$A$2:$A$10000,0))</f>
        <v>#N/A</v>
      </c>
      <c r="G1242" s="6">
        <f>INDEX(品种2编码!$A$2:$A$1048576,MATCH(W1242,品种2编码!$D$2:$D$1048576,0))</f>
        <v>0</v>
      </c>
      <c r="H1242" s="6" t="s">
        <v>3271</v>
      </c>
      <c r="I1242" s="6" t="s">
        <v>3298</v>
      </c>
      <c r="J1242" s="6" t="s">
        <v>3038</v>
      </c>
      <c r="L1242" s="6" t="s">
        <v>3144</v>
      </c>
      <c r="M1242" s="6" t="e">
        <f>INDEX(医院2县区2人!$B$2:$B$1048576,MATCH(L1242,医院2县区2人!$A$2:$A$1048576,0))</f>
        <v>#N/A</v>
      </c>
      <c r="N1242" s="6" t="e">
        <f>INDEX(医院2县区2人!$C$2:$C$1048576,MATCH(L1242,医院2县区2人!$A$2:$A$1048576,0))</f>
        <v>#N/A</v>
      </c>
      <c r="P1242" s="7">
        <v>43273</v>
      </c>
      <c r="Q1242" s="6">
        <v>5</v>
      </c>
      <c r="R1242" s="6">
        <v>175</v>
      </c>
      <c r="S1242" s="6">
        <v>180501</v>
      </c>
      <c r="T1242" s="6" t="e">
        <f>INDEX(医院2县区2人!$D$2:$D$1048576,MATCH(L1242,医院2县区2人!$A$2:$A$1048576,0))</f>
        <v>#N/A</v>
      </c>
      <c r="W1242" s="6" t="str">
        <f t="shared" si="41"/>
        <v>*新贝增盖牌硒加钙咀嚼片1.75g*60片</v>
      </c>
      <c r="X1242" s="6" t="s">
        <v>2893</v>
      </c>
    </row>
    <row r="1243" spans="1:24" x14ac:dyDescent="0.15">
      <c r="A1243" s="7" t="str">
        <f t="shared" si="42"/>
        <v>201806</v>
      </c>
      <c r="C1243" s="6" t="str">
        <f>INDEX(工厂基础数据!$A$2:$A$1024,MATCH(X1243,工厂基础数据!$D$2:$D$1024,0))</f>
        <v>02032120</v>
      </c>
      <c r="E1243" s="6" t="str">
        <f>INDEX(工厂基础数据!$B$2:$B$1024,MATCH(X1243,工厂基础数据!$D$2:$D$1024,0))</f>
        <v>淄博博仁医药有限公司</v>
      </c>
      <c r="F1243" s="6" t="e">
        <f>INDEX(商业2转码!$B$2:$B$10000,MATCH(E1243,商业2转码!$A$2:$A$10000,0))</f>
        <v>#N/A</v>
      </c>
      <c r="G1243" s="6">
        <f>INDEX(品种2编码!$A$2:$A$1048576,MATCH(W1243,品种2编码!$D$2:$D$1048576,0))</f>
        <v>0</v>
      </c>
      <c r="H1243" s="6" t="s">
        <v>3271</v>
      </c>
      <c r="I1243" s="6" t="s">
        <v>3297</v>
      </c>
      <c r="J1243" s="6" t="s">
        <v>3038</v>
      </c>
      <c r="L1243" s="6" t="s">
        <v>3144</v>
      </c>
      <c r="M1243" s="6" t="e">
        <f>INDEX(医院2县区2人!$B$2:$B$1048576,MATCH(L1243,医院2县区2人!$A$2:$A$1048576,0))</f>
        <v>#N/A</v>
      </c>
      <c r="N1243" s="6" t="e">
        <f>INDEX(医院2县区2人!$C$2:$C$1048576,MATCH(L1243,医院2县区2人!$A$2:$A$1048576,0))</f>
        <v>#N/A</v>
      </c>
      <c r="P1243" s="7">
        <v>43273</v>
      </c>
      <c r="Q1243" s="6">
        <v>5</v>
      </c>
      <c r="R1243" s="6">
        <v>90</v>
      </c>
      <c r="S1243" s="6">
        <v>180101</v>
      </c>
      <c r="T1243" s="6" t="e">
        <f>INDEX(医院2县区2人!$D$2:$D$1048576,MATCH(L1243,医院2县区2人!$A$2:$A$1048576,0))</f>
        <v>#N/A</v>
      </c>
      <c r="W1243" s="6" t="str">
        <f t="shared" si="41"/>
        <v>*新贝增盖牌硒加钙咀嚼片1.75g*30片</v>
      </c>
      <c r="X1243" s="6" t="s">
        <v>2893</v>
      </c>
    </row>
    <row r="1244" spans="1:24" x14ac:dyDescent="0.15">
      <c r="A1244" s="7" t="str">
        <f t="shared" si="42"/>
        <v>201806</v>
      </c>
      <c r="C1244" s="6" t="str">
        <f>INDEX(工厂基础数据!$A$2:$A$1024,MATCH(X1244,工厂基础数据!$D$2:$D$1024,0))</f>
        <v>02032120</v>
      </c>
      <c r="E1244" s="6" t="str">
        <f>INDEX(工厂基础数据!$B$2:$B$1024,MATCH(X1244,工厂基础数据!$D$2:$D$1024,0))</f>
        <v>淄博博仁医药有限公司</v>
      </c>
      <c r="F1244" s="6" t="e">
        <f>INDEX(商业2转码!$B$2:$B$10000,MATCH(E1244,商业2转码!$A$2:$A$10000,0))</f>
        <v>#N/A</v>
      </c>
      <c r="G1244" s="6">
        <f>INDEX(品种2编码!$A$2:$A$1048576,MATCH(W1244,品种2编码!$D$2:$D$1048576,0))</f>
        <v>0</v>
      </c>
      <c r="H1244" s="6" t="s">
        <v>3271</v>
      </c>
      <c r="I1244" s="6" t="s">
        <v>3298</v>
      </c>
      <c r="J1244" s="6" t="s">
        <v>3038</v>
      </c>
      <c r="L1244" s="6" t="s">
        <v>3144</v>
      </c>
      <c r="M1244" s="6" t="e">
        <f>INDEX(医院2县区2人!$B$2:$B$1048576,MATCH(L1244,医院2县区2人!$A$2:$A$1048576,0))</f>
        <v>#N/A</v>
      </c>
      <c r="N1244" s="6" t="e">
        <f>INDEX(医院2县区2人!$C$2:$C$1048576,MATCH(L1244,医院2县区2人!$A$2:$A$1048576,0))</f>
        <v>#N/A</v>
      </c>
      <c r="P1244" s="7">
        <v>43273</v>
      </c>
      <c r="Q1244" s="6">
        <v>5</v>
      </c>
      <c r="R1244" s="6">
        <v>175</v>
      </c>
      <c r="S1244" s="6">
        <v>180501</v>
      </c>
      <c r="T1244" s="6" t="e">
        <f>INDEX(医院2县区2人!$D$2:$D$1048576,MATCH(L1244,医院2县区2人!$A$2:$A$1048576,0))</f>
        <v>#N/A</v>
      </c>
      <c r="W1244" s="6" t="str">
        <f t="shared" si="41"/>
        <v>*新贝增盖牌硒加钙咀嚼片1.75g*60片</v>
      </c>
      <c r="X1244" s="6" t="s">
        <v>2893</v>
      </c>
    </row>
    <row r="1245" spans="1:24" x14ac:dyDescent="0.15">
      <c r="A1245" s="7" t="str">
        <f t="shared" si="42"/>
        <v>201806</v>
      </c>
      <c r="C1245" s="6" t="str">
        <f>INDEX(工厂基础数据!$A$2:$A$1024,MATCH(X1245,工厂基础数据!$D$2:$D$1024,0))</f>
        <v>02032120</v>
      </c>
      <c r="E1245" s="6" t="str">
        <f>INDEX(工厂基础数据!$B$2:$B$1024,MATCH(X1245,工厂基础数据!$D$2:$D$1024,0))</f>
        <v>淄博博仁医药有限公司</v>
      </c>
      <c r="F1245" s="6" t="e">
        <f>INDEX(商业2转码!$B$2:$B$10000,MATCH(E1245,商业2转码!$A$2:$A$10000,0))</f>
        <v>#N/A</v>
      </c>
      <c r="G1245" s="6">
        <f>INDEX(品种2编码!$A$2:$A$1048576,MATCH(W1245,品种2编码!$D$2:$D$1048576,0))</f>
        <v>0</v>
      </c>
      <c r="H1245" s="6" t="s">
        <v>3271</v>
      </c>
      <c r="I1245" s="6" t="s">
        <v>3297</v>
      </c>
      <c r="J1245" s="6" t="s">
        <v>3038</v>
      </c>
      <c r="L1245" s="6" t="s">
        <v>3144</v>
      </c>
      <c r="M1245" s="6" t="e">
        <f>INDEX(医院2县区2人!$B$2:$B$1048576,MATCH(L1245,医院2县区2人!$A$2:$A$1048576,0))</f>
        <v>#N/A</v>
      </c>
      <c r="N1245" s="6" t="e">
        <f>INDEX(医院2县区2人!$C$2:$C$1048576,MATCH(L1245,医院2县区2人!$A$2:$A$1048576,0))</f>
        <v>#N/A</v>
      </c>
      <c r="P1245" s="7">
        <v>43273</v>
      </c>
      <c r="Q1245" s="6">
        <v>5</v>
      </c>
      <c r="R1245" s="6">
        <v>90</v>
      </c>
      <c r="S1245" s="6">
        <v>180101</v>
      </c>
      <c r="T1245" s="6" t="e">
        <f>INDEX(医院2县区2人!$D$2:$D$1048576,MATCH(L1245,医院2县区2人!$A$2:$A$1048576,0))</f>
        <v>#N/A</v>
      </c>
      <c r="W1245" s="6" t="str">
        <f t="shared" si="41"/>
        <v>*新贝增盖牌硒加钙咀嚼片1.75g*30片</v>
      </c>
      <c r="X1245" s="6" t="s">
        <v>2893</v>
      </c>
    </row>
    <row r="1246" spans="1:24" x14ac:dyDescent="0.15">
      <c r="A1246" s="7" t="str">
        <f t="shared" si="42"/>
        <v>201806</v>
      </c>
      <c r="C1246" s="6" t="str">
        <f>INDEX(工厂基础数据!$A$2:$A$1024,MATCH(X1246,工厂基础数据!$D$2:$D$1024,0))</f>
        <v>02032120</v>
      </c>
      <c r="E1246" s="6" t="str">
        <f>INDEX(工厂基础数据!$B$2:$B$1024,MATCH(X1246,工厂基础数据!$D$2:$D$1024,0))</f>
        <v>淄博博仁医药有限公司</v>
      </c>
      <c r="F1246" s="6" t="e">
        <f>INDEX(商业2转码!$B$2:$B$10000,MATCH(E1246,商业2转码!$A$2:$A$10000,0))</f>
        <v>#N/A</v>
      </c>
      <c r="G1246" s="6">
        <f>INDEX(品种2编码!$A$2:$A$1048576,MATCH(W1246,品种2编码!$D$2:$D$1048576,0))</f>
        <v>0</v>
      </c>
      <c r="H1246" s="6" t="s">
        <v>3271</v>
      </c>
      <c r="I1246" s="6" t="s">
        <v>3298</v>
      </c>
      <c r="J1246" s="6" t="s">
        <v>3038</v>
      </c>
      <c r="L1246" s="6" t="s">
        <v>3144</v>
      </c>
      <c r="M1246" s="6" t="e">
        <f>INDEX(医院2县区2人!$B$2:$B$1048576,MATCH(L1246,医院2县区2人!$A$2:$A$1048576,0))</f>
        <v>#N/A</v>
      </c>
      <c r="N1246" s="6" t="e">
        <f>INDEX(医院2县区2人!$C$2:$C$1048576,MATCH(L1246,医院2县区2人!$A$2:$A$1048576,0))</f>
        <v>#N/A</v>
      </c>
      <c r="P1246" s="7">
        <v>43273</v>
      </c>
      <c r="Q1246" s="6">
        <v>5</v>
      </c>
      <c r="R1246" s="6">
        <v>175</v>
      </c>
      <c r="S1246" s="6">
        <v>180501</v>
      </c>
      <c r="T1246" s="6" t="e">
        <f>INDEX(医院2县区2人!$D$2:$D$1048576,MATCH(L1246,医院2县区2人!$A$2:$A$1048576,0))</f>
        <v>#N/A</v>
      </c>
      <c r="W1246" s="6" t="str">
        <f t="shared" si="41"/>
        <v>*新贝增盖牌硒加钙咀嚼片1.75g*60片</v>
      </c>
      <c r="X1246" s="6" t="s">
        <v>2893</v>
      </c>
    </row>
    <row r="1247" spans="1:24" x14ac:dyDescent="0.15">
      <c r="A1247" s="7" t="str">
        <f t="shared" si="42"/>
        <v>201806</v>
      </c>
      <c r="C1247" s="6" t="str">
        <f>INDEX(工厂基础数据!$A$2:$A$1024,MATCH(X1247,工厂基础数据!$D$2:$D$1024,0))</f>
        <v>02032120</v>
      </c>
      <c r="E1247" s="6" t="str">
        <f>INDEX(工厂基础数据!$B$2:$B$1024,MATCH(X1247,工厂基础数据!$D$2:$D$1024,0))</f>
        <v>淄博博仁医药有限公司</v>
      </c>
      <c r="F1247" s="6" t="e">
        <f>INDEX(商业2转码!$B$2:$B$10000,MATCH(E1247,商业2转码!$A$2:$A$10000,0))</f>
        <v>#N/A</v>
      </c>
      <c r="G1247" s="6">
        <f>INDEX(品种2编码!$A$2:$A$1048576,MATCH(W1247,品种2编码!$D$2:$D$1048576,0))</f>
        <v>0</v>
      </c>
      <c r="H1247" s="6" t="s">
        <v>3271</v>
      </c>
      <c r="I1247" s="6" t="s">
        <v>3297</v>
      </c>
      <c r="J1247" s="6" t="s">
        <v>3038</v>
      </c>
      <c r="L1247" s="6" t="s">
        <v>3144</v>
      </c>
      <c r="M1247" s="6" t="e">
        <f>INDEX(医院2县区2人!$B$2:$B$1048576,MATCH(L1247,医院2县区2人!$A$2:$A$1048576,0))</f>
        <v>#N/A</v>
      </c>
      <c r="N1247" s="6" t="e">
        <f>INDEX(医院2县区2人!$C$2:$C$1048576,MATCH(L1247,医院2县区2人!$A$2:$A$1048576,0))</f>
        <v>#N/A</v>
      </c>
      <c r="P1247" s="7">
        <v>43273</v>
      </c>
      <c r="Q1247" s="6">
        <v>5</v>
      </c>
      <c r="R1247" s="6">
        <v>90</v>
      </c>
      <c r="S1247" s="6">
        <v>180101</v>
      </c>
      <c r="T1247" s="6" t="e">
        <f>INDEX(医院2县区2人!$D$2:$D$1048576,MATCH(L1247,医院2县区2人!$A$2:$A$1048576,0))</f>
        <v>#N/A</v>
      </c>
      <c r="W1247" s="6" t="str">
        <f t="shared" si="41"/>
        <v>*新贝增盖牌硒加钙咀嚼片1.75g*30片</v>
      </c>
      <c r="X1247" s="6" t="s">
        <v>2893</v>
      </c>
    </row>
    <row r="1248" spans="1:24" x14ac:dyDescent="0.15">
      <c r="A1248" s="7" t="str">
        <f t="shared" si="42"/>
        <v>201806</v>
      </c>
      <c r="C1248" s="6" t="str">
        <f>INDEX(工厂基础数据!$A$2:$A$1024,MATCH(X1248,工厂基础数据!$D$2:$D$1024,0))</f>
        <v>02032120</v>
      </c>
      <c r="E1248" s="6" t="str">
        <f>INDEX(工厂基础数据!$B$2:$B$1024,MATCH(X1248,工厂基础数据!$D$2:$D$1024,0))</f>
        <v>淄博博仁医药有限公司</v>
      </c>
      <c r="F1248" s="6" t="e">
        <f>INDEX(商业2转码!$B$2:$B$10000,MATCH(E1248,商业2转码!$A$2:$A$10000,0))</f>
        <v>#N/A</v>
      </c>
      <c r="G1248" s="6">
        <f>INDEX(品种2编码!$A$2:$A$1048576,MATCH(W1248,品种2编码!$D$2:$D$1048576,0))</f>
        <v>0</v>
      </c>
      <c r="H1248" s="6" t="s">
        <v>3271</v>
      </c>
      <c r="I1248" s="6" t="s">
        <v>3298</v>
      </c>
      <c r="J1248" s="6" t="s">
        <v>3038</v>
      </c>
      <c r="L1248" s="6" t="s">
        <v>3144</v>
      </c>
      <c r="M1248" s="6" t="e">
        <f>INDEX(医院2县区2人!$B$2:$B$1048576,MATCH(L1248,医院2县区2人!$A$2:$A$1048576,0))</f>
        <v>#N/A</v>
      </c>
      <c r="N1248" s="6" t="e">
        <f>INDEX(医院2县区2人!$C$2:$C$1048576,MATCH(L1248,医院2县区2人!$A$2:$A$1048576,0))</f>
        <v>#N/A</v>
      </c>
      <c r="P1248" s="7">
        <v>43273</v>
      </c>
      <c r="Q1248" s="6">
        <v>5</v>
      </c>
      <c r="R1248" s="6">
        <v>175</v>
      </c>
      <c r="S1248" s="6">
        <v>180501</v>
      </c>
      <c r="T1248" s="6" t="e">
        <f>INDEX(医院2县区2人!$D$2:$D$1048576,MATCH(L1248,医院2县区2人!$A$2:$A$1048576,0))</f>
        <v>#N/A</v>
      </c>
      <c r="W1248" s="6" t="str">
        <f t="shared" si="41"/>
        <v>*新贝增盖牌硒加钙咀嚼片1.75g*60片</v>
      </c>
      <c r="X1248" s="6" t="s">
        <v>2893</v>
      </c>
    </row>
    <row r="1249" spans="1:24" x14ac:dyDescent="0.15">
      <c r="A1249" s="7" t="str">
        <f t="shared" si="42"/>
        <v>201806</v>
      </c>
      <c r="C1249" s="6" t="str">
        <f>INDEX(工厂基础数据!$A$2:$A$1024,MATCH(X1249,工厂基础数据!$D$2:$D$1024,0))</f>
        <v>02032120</v>
      </c>
      <c r="E1249" s="6" t="str">
        <f>INDEX(工厂基础数据!$B$2:$B$1024,MATCH(X1249,工厂基础数据!$D$2:$D$1024,0))</f>
        <v>淄博博仁医药有限公司</v>
      </c>
      <c r="F1249" s="6" t="e">
        <f>INDEX(商业2转码!$B$2:$B$10000,MATCH(E1249,商业2转码!$A$2:$A$10000,0))</f>
        <v>#N/A</v>
      </c>
      <c r="G1249" s="6">
        <f>INDEX(品种2编码!$A$2:$A$1048576,MATCH(W1249,品种2编码!$D$2:$D$1048576,0))</f>
        <v>0</v>
      </c>
      <c r="H1249" s="6" t="s">
        <v>3271</v>
      </c>
      <c r="I1249" s="6" t="s">
        <v>3297</v>
      </c>
      <c r="J1249" s="6" t="s">
        <v>3038</v>
      </c>
      <c r="L1249" s="6" t="s">
        <v>3144</v>
      </c>
      <c r="M1249" s="6" t="e">
        <f>INDEX(医院2县区2人!$B$2:$B$1048576,MATCH(L1249,医院2县区2人!$A$2:$A$1048576,0))</f>
        <v>#N/A</v>
      </c>
      <c r="N1249" s="6" t="e">
        <f>INDEX(医院2县区2人!$C$2:$C$1048576,MATCH(L1249,医院2县区2人!$A$2:$A$1048576,0))</f>
        <v>#N/A</v>
      </c>
      <c r="P1249" s="7">
        <v>43273</v>
      </c>
      <c r="Q1249" s="6">
        <v>5</v>
      </c>
      <c r="R1249" s="6">
        <v>90</v>
      </c>
      <c r="S1249" s="6">
        <v>180101</v>
      </c>
      <c r="T1249" s="6" t="e">
        <f>INDEX(医院2县区2人!$D$2:$D$1048576,MATCH(L1249,医院2县区2人!$A$2:$A$1048576,0))</f>
        <v>#N/A</v>
      </c>
      <c r="W1249" s="6" t="str">
        <f t="shared" si="41"/>
        <v>*新贝增盖牌硒加钙咀嚼片1.75g*30片</v>
      </c>
      <c r="X1249" s="6" t="s">
        <v>2893</v>
      </c>
    </row>
    <row r="1250" spans="1:24" x14ac:dyDescent="0.15">
      <c r="A1250" s="7" t="str">
        <f t="shared" si="42"/>
        <v>201806</v>
      </c>
      <c r="C1250" s="6" t="str">
        <f>INDEX(工厂基础数据!$A$2:$A$1024,MATCH(X1250,工厂基础数据!$D$2:$D$1024,0))</f>
        <v>02032120</v>
      </c>
      <c r="E1250" s="6" t="str">
        <f>INDEX(工厂基础数据!$B$2:$B$1024,MATCH(X1250,工厂基础数据!$D$2:$D$1024,0))</f>
        <v>淄博博仁医药有限公司</v>
      </c>
      <c r="F1250" s="6" t="e">
        <f>INDEX(商业2转码!$B$2:$B$10000,MATCH(E1250,商业2转码!$A$2:$A$10000,0))</f>
        <v>#N/A</v>
      </c>
      <c r="G1250" s="6">
        <f>INDEX(品种2编码!$A$2:$A$1048576,MATCH(W1250,品种2编码!$D$2:$D$1048576,0))</f>
        <v>0</v>
      </c>
      <c r="H1250" s="6" t="s">
        <v>3271</v>
      </c>
      <c r="I1250" s="6" t="s">
        <v>3298</v>
      </c>
      <c r="J1250" s="6" t="s">
        <v>3038</v>
      </c>
      <c r="L1250" s="6" t="s">
        <v>3144</v>
      </c>
      <c r="M1250" s="6" t="e">
        <f>INDEX(医院2县区2人!$B$2:$B$1048576,MATCH(L1250,医院2县区2人!$A$2:$A$1048576,0))</f>
        <v>#N/A</v>
      </c>
      <c r="N1250" s="6" t="e">
        <f>INDEX(医院2县区2人!$C$2:$C$1048576,MATCH(L1250,医院2县区2人!$A$2:$A$1048576,0))</f>
        <v>#N/A</v>
      </c>
      <c r="P1250" s="7">
        <v>43273</v>
      </c>
      <c r="Q1250" s="6">
        <v>5</v>
      </c>
      <c r="R1250" s="6">
        <v>175</v>
      </c>
      <c r="S1250" s="6">
        <v>180501</v>
      </c>
      <c r="T1250" s="6" t="e">
        <f>INDEX(医院2县区2人!$D$2:$D$1048576,MATCH(L1250,医院2县区2人!$A$2:$A$1048576,0))</f>
        <v>#N/A</v>
      </c>
      <c r="W1250" s="6" t="str">
        <f t="shared" si="41"/>
        <v>*新贝增盖牌硒加钙咀嚼片1.75g*60片</v>
      </c>
      <c r="X1250" s="6" t="s">
        <v>2893</v>
      </c>
    </row>
    <row r="1251" spans="1:24" x14ac:dyDescent="0.15">
      <c r="A1251" s="7" t="str">
        <f t="shared" si="42"/>
        <v>201806</v>
      </c>
      <c r="C1251" s="6" t="str">
        <f>INDEX(工厂基础数据!$A$2:$A$1024,MATCH(X1251,工厂基础数据!$D$2:$D$1024,0))</f>
        <v>02032120</v>
      </c>
      <c r="E1251" s="6" t="str">
        <f>INDEX(工厂基础数据!$B$2:$B$1024,MATCH(X1251,工厂基础数据!$D$2:$D$1024,0))</f>
        <v>淄博博仁医药有限公司</v>
      </c>
      <c r="F1251" s="6" t="e">
        <f>INDEX(商业2转码!$B$2:$B$10000,MATCH(E1251,商业2转码!$A$2:$A$10000,0))</f>
        <v>#N/A</v>
      </c>
      <c r="G1251" s="6">
        <f>INDEX(品种2编码!$A$2:$A$1048576,MATCH(W1251,品种2编码!$D$2:$D$1048576,0))</f>
        <v>0</v>
      </c>
      <c r="H1251" s="6" t="s">
        <v>3271</v>
      </c>
      <c r="I1251" s="6" t="s">
        <v>3297</v>
      </c>
      <c r="J1251" s="6" t="s">
        <v>3038</v>
      </c>
      <c r="L1251" s="6" t="s">
        <v>3144</v>
      </c>
      <c r="M1251" s="6" t="e">
        <f>INDEX(医院2县区2人!$B$2:$B$1048576,MATCH(L1251,医院2县区2人!$A$2:$A$1048576,0))</f>
        <v>#N/A</v>
      </c>
      <c r="N1251" s="6" t="e">
        <f>INDEX(医院2县区2人!$C$2:$C$1048576,MATCH(L1251,医院2县区2人!$A$2:$A$1048576,0))</f>
        <v>#N/A</v>
      </c>
      <c r="P1251" s="7">
        <v>43273</v>
      </c>
      <c r="Q1251" s="6">
        <v>5</v>
      </c>
      <c r="R1251" s="6">
        <v>90</v>
      </c>
      <c r="S1251" s="6">
        <v>180101</v>
      </c>
      <c r="T1251" s="6" t="e">
        <f>INDEX(医院2县区2人!$D$2:$D$1048576,MATCH(L1251,医院2县区2人!$A$2:$A$1048576,0))</f>
        <v>#N/A</v>
      </c>
      <c r="W1251" s="6" t="str">
        <f t="shared" si="41"/>
        <v>*新贝增盖牌硒加钙咀嚼片1.75g*30片</v>
      </c>
      <c r="X1251" s="6" t="s">
        <v>2893</v>
      </c>
    </row>
    <row r="1252" spans="1:24" x14ac:dyDescent="0.15">
      <c r="A1252" s="7" t="str">
        <f t="shared" si="42"/>
        <v>201806</v>
      </c>
      <c r="C1252" s="6" t="str">
        <f>INDEX(工厂基础数据!$A$2:$A$1024,MATCH(X1252,工厂基础数据!$D$2:$D$1024,0))</f>
        <v>02032120</v>
      </c>
      <c r="E1252" s="6" t="str">
        <f>INDEX(工厂基础数据!$B$2:$B$1024,MATCH(X1252,工厂基础数据!$D$2:$D$1024,0))</f>
        <v>淄博博仁医药有限公司</v>
      </c>
      <c r="F1252" s="6" t="e">
        <f>INDEX(商业2转码!$B$2:$B$10000,MATCH(E1252,商业2转码!$A$2:$A$10000,0))</f>
        <v>#N/A</v>
      </c>
      <c r="G1252" s="6">
        <f>INDEX(品种2编码!$A$2:$A$1048576,MATCH(W1252,品种2编码!$D$2:$D$1048576,0))</f>
        <v>0</v>
      </c>
      <c r="H1252" s="6" t="s">
        <v>3271</v>
      </c>
      <c r="I1252" s="6" t="s">
        <v>3298</v>
      </c>
      <c r="J1252" s="6" t="s">
        <v>3038</v>
      </c>
      <c r="L1252" s="6" t="s">
        <v>3144</v>
      </c>
      <c r="M1252" s="6" t="e">
        <f>INDEX(医院2县区2人!$B$2:$B$1048576,MATCH(L1252,医院2县区2人!$A$2:$A$1048576,0))</f>
        <v>#N/A</v>
      </c>
      <c r="N1252" s="6" t="e">
        <f>INDEX(医院2县区2人!$C$2:$C$1048576,MATCH(L1252,医院2县区2人!$A$2:$A$1048576,0))</f>
        <v>#N/A</v>
      </c>
      <c r="P1252" s="7">
        <v>43273</v>
      </c>
      <c r="Q1252" s="6">
        <v>5</v>
      </c>
      <c r="R1252" s="6">
        <v>175</v>
      </c>
      <c r="S1252" s="6">
        <v>180501</v>
      </c>
      <c r="T1252" s="6" t="e">
        <f>INDEX(医院2县区2人!$D$2:$D$1048576,MATCH(L1252,医院2县区2人!$A$2:$A$1048576,0))</f>
        <v>#N/A</v>
      </c>
      <c r="W1252" s="6" t="str">
        <f t="shared" si="41"/>
        <v>*新贝增盖牌硒加钙咀嚼片1.75g*60片</v>
      </c>
      <c r="X1252" s="6" t="s">
        <v>2893</v>
      </c>
    </row>
    <row r="1253" spans="1:24" x14ac:dyDescent="0.15">
      <c r="A1253" s="7" t="str">
        <f t="shared" si="42"/>
        <v>201806</v>
      </c>
      <c r="C1253" s="6" t="str">
        <f>INDEX(工厂基础数据!$A$2:$A$1024,MATCH(X1253,工厂基础数据!$D$2:$D$1024,0))</f>
        <v>02032120</v>
      </c>
      <c r="E1253" s="6" t="str">
        <f>INDEX(工厂基础数据!$B$2:$B$1024,MATCH(X1253,工厂基础数据!$D$2:$D$1024,0))</f>
        <v>淄博博仁医药有限公司</v>
      </c>
      <c r="F1253" s="6" t="e">
        <f>INDEX(商业2转码!$B$2:$B$10000,MATCH(E1253,商业2转码!$A$2:$A$10000,0))</f>
        <v>#N/A</v>
      </c>
      <c r="G1253" s="6" t="str">
        <f>INDEX(品种2编码!$A$2:$A$1048576,MATCH(W1253,品种2编码!$D$2:$D$1048576,0))</f>
        <v>0020020021ZYLC0004</v>
      </c>
      <c r="H1253" s="6" t="s">
        <v>1950</v>
      </c>
      <c r="I1253" s="6" t="s">
        <v>1869</v>
      </c>
      <c r="J1253" s="6" t="s">
        <v>3283</v>
      </c>
      <c r="L1253" s="6" t="s">
        <v>3177</v>
      </c>
      <c r="M1253" s="6" t="e">
        <f>INDEX(医院2县区2人!$B$2:$B$1048576,MATCH(L1253,医院2县区2人!$A$2:$A$1048576,0))</f>
        <v>#N/A</v>
      </c>
      <c r="N1253" s="6" t="e">
        <f>INDEX(医院2县区2人!$C$2:$C$1048576,MATCH(L1253,医院2县区2人!$A$2:$A$1048576,0))</f>
        <v>#N/A</v>
      </c>
      <c r="P1253" s="7">
        <v>43273</v>
      </c>
      <c r="Q1253" s="6">
        <v>10</v>
      </c>
      <c r="R1253" s="6">
        <v>80</v>
      </c>
      <c r="S1253" s="6">
        <v>171101</v>
      </c>
      <c r="T1253" s="6" t="e">
        <f>INDEX(医院2县区2人!$D$2:$D$1048576,MATCH(L1253,医院2县区2人!$A$2:$A$1048576,0))</f>
        <v>#N/A</v>
      </c>
      <c r="W1253" s="6" t="str">
        <f t="shared" si="41"/>
        <v>罗红霉素分散片75mg*12片</v>
      </c>
      <c r="X1253" s="6" t="s">
        <v>2893</v>
      </c>
    </row>
    <row r="1254" spans="1:24" x14ac:dyDescent="0.15">
      <c r="A1254" s="7" t="str">
        <f t="shared" si="42"/>
        <v>201806</v>
      </c>
      <c r="C1254" s="6" t="str">
        <f>INDEX(工厂基础数据!$A$2:$A$1024,MATCH(X1254,工厂基础数据!$D$2:$D$1024,0))</f>
        <v>02032120</v>
      </c>
      <c r="E1254" s="6" t="str">
        <f>INDEX(工厂基础数据!$B$2:$B$1024,MATCH(X1254,工厂基础数据!$D$2:$D$1024,0))</f>
        <v>淄博博仁医药有限公司</v>
      </c>
      <c r="F1254" s="6" t="e">
        <f>INDEX(商业2转码!$B$2:$B$10000,MATCH(E1254,商业2转码!$A$2:$A$10000,0))</f>
        <v>#N/A</v>
      </c>
      <c r="G1254" s="6" t="str">
        <f>INDEX(品种2编码!$A$2:$A$1048576,MATCH(W1254,品种2编码!$D$2:$D$1048576,0))</f>
        <v>0020020021ZYLC0015</v>
      </c>
      <c r="H1254" s="6" t="s">
        <v>469</v>
      </c>
      <c r="I1254" s="6" t="s">
        <v>1958</v>
      </c>
      <c r="J1254" s="6" t="s">
        <v>3279</v>
      </c>
      <c r="L1254" s="6" t="s">
        <v>3132</v>
      </c>
      <c r="M1254" s="6" t="e">
        <f>INDEX(医院2县区2人!$B$2:$B$1048576,MATCH(L1254,医院2县区2人!$A$2:$A$1048576,0))</f>
        <v>#N/A</v>
      </c>
      <c r="N1254" s="6" t="e">
        <f>INDEX(医院2县区2人!$C$2:$C$1048576,MATCH(L1254,医院2县区2人!$A$2:$A$1048576,0))</f>
        <v>#N/A</v>
      </c>
      <c r="P1254" s="7">
        <v>43273</v>
      </c>
      <c r="Q1254" s="6">
        <v>10</v>
      </c>
      <c r="R1254" s="6">
        <v>56</v>
      </c>
      <c r="S1254" s="6">
        <v>170601</v>
      </c>
      <c r="T1254" s="6" t="e">
        <f>INDEX(医院2县区2人!$D$2:$D$1048576,MATCH(L1254,医院2县区2人!$A$2:$A$1048576,0))</f>
        <v>#N/A</v>
      </c>
      <c r="W1254" s="6" t="str">
        <f t="shared" si="41"/>
        <v>克拉霉素分散片0.125g*24片</v>
      </c>
      <c r="X1254" s="6" t="s">
        <v>2893</v>
      </c>
    </row>
    <row r="1255" spans="1:24" x14ac:dyDescent="0.15">
      <c r="A1255" s="7" t="str">
        <f t="shared" si="42"/>
        <v>201806</v>
      </c>
      <c r="C1255" s="6" t="str">
        <f>INDEX(工厂基础数据!$A$2:$A$1024,MATCH(X1255,工厂基础数据!$D$2:$D$1024,0))</f>
        <v>02032120</v>
      </c>
      <c r="E1255" s="6" t="str">
        <f>INDEX(工厂基础数据!$B$2:$B$1024,MATCH(X1255,工厂基础数据!$D$2:$D$1024,0))</f>
        <v>淄博博仁医药有限公司</v>
      </c>
      <c r="F1255" s="6" t="e">
        <f>INDEX(商业2转码!$B$2:$B$10000,MATCH(E1255,商业2转码!$A$2:$A$10000,0))</f>
        <v>#N/A</v>
      </c>
      <c r="G1255" s="6" t="str">
        <f>INDEX(品种2编码!$A$2:$A$1048576,MATCH(W1255,品种2编码!$D$2:$D$1048576,0))</f>
        <v>0020020020ZYLC0003</v>
      </c>
      <c r="H1255" s="6" t="s">
        <v>1855</v>
      </c>
      <c r="I1255" s="6" t="s">
        <v>381</v>
      </c>
      <c r="J1255" s="6" t="s">
        <v>3279</v>
      </c>
      <c r="L1255" s="6" t="s">
        <v>3163</v>
      </c>
      <c r="M1255" s="6" t="e">
        <f>INDEX(医院2县区2人!$B$2:$B$1048576,MATCH(L1255,医院2县区2人!$A$2:$A$1048576,0))</f>
        <v>#N/A</v>
      </c>
      <c r="N1255" s="6" t="e">
        <f>INDEX(医院2县区2人!$C$2:$C$1048576,MATCH(L1255,医院2县区2人!$A$2:$A$1048576,0))</f>
        <v>#N/A</v>
      </c>
      <c r="P1255" s="7">
        <v>43273</v>
      </c>
      <c r="Q1255" s="6">
        <v>10</v>
      </c>
      <c r="R1255" s="6">
        <v>55</v>
      </c>
      <c r="S1255" s="6">
        <v>170706</v>
      </c>
      <c r="T1255" s="6" t="e">
        <f>INDEX(医院2县区2人!$D$2:$D$1048576,MATCH(L1255,医院2县区2人!$A$2:$A$1048576,0))</f>
        <v>#N/A</v>
      </c>
      <c r="W1255" s="6" t="str">
        <f t="shared" si="41"/>
        <v>颠茄磺苄啶片12片</v>
      </c>
      <c r="X1255" s="6" t="s">
        <v>2893</v>
      </c>
    </row>
    <row r="1256" spans="1:24" x14ac:dyDescent="0.15">
      <c r="A1256" s="7" t="str">
        <f t="shared" si="42"/>
        <v>201806</v>
      </c>
      <c r="C1256" s="6" t="str">
        <f>INDEX(工厂基础数据!$A$2:$A$1024,MATCH(X1256,工厂基础数据!$D$2:$D$1024,0))</f>
        <v>02032120</v>
      </c>
      <c r="E1256" s="6" t="str">
        <f>INDEX(工厂基础数据!$B$2:$B$1024,MATCH(X1256,工厂基础数据!$D$2:$D$1024,0))</f>
        <v>淄博博仁医药有限公司</v>
      </c>
      <c r="F1256" s="6" t="e">
        <f>INDEX(商业2转码!$B$2:$B$10000,MATCH(E1256,商业2转码!$A$2:$A$10000,0))</f>
        <v>#N/A</v>
      </c>
      <c r="G1256" s="6">
        <f>INDEX(品种2编码!$A$2:$A$1048576,MATCH(W1256,品种2编码!$D$2:$D$1048576,0))</f>
        <v>0</v>
      </c>
      <c r="H1256" s="6" t="s">
        <v>317</v>
      </c>
      <c r="I1256" s="6" t="s">
        <v>3291</v>
      </c>
      <c r="J1256" s="6" t="s">
        <v>3279</v>
      </c>
      <c r="L1256" s="6" t="s">
        <v>3132</v>
      </c>
      <c r="M1256" s="6" t="e">
        <f>INDEX(医院2县区2人!$B$2:$B$1048576,MATCH(L1256,医院2县区2人!$A$2:$A$1048576,0))</f>
        <v>#N/A</v>
      </c>
      <c r="N1256" s="6" t="e">
        <f>INDEX(医院2县区2人!$C$2:$C$1048576,MATCH(L1256,医院2县区2人!$A$2:$A$1048576,0))</f>
        <v>#N/A</v>
      </c>
      <c r="P1256" s="7">
        <v>43273</v>
      </c>
      <c r="Q1256" s="6">
        <v>10</v>
      </c>
      <c r="R1256" s="6">
        <v>103</v>
      </c>
      <c r="S1256" s="6">
        <v>1803608</v>
      </c>
      <c r="T1256" s="6" t="e">
        <f>INDEX(医院2县区2人!$D$2:$D$1048576,MATCH(L1256,医院2县区2人!$A$2:$A$1048576,0))</f>
        <v>#N/A</v>
      </c>
      <c r="W1256" s="6" t="str">
        <f t="shared" si="41"/>
        <v>布洛芬颗粒0.2g*12包</v>
      </c>
      <c r="X1256" s="6" t="s">
        <v>2893</v>
      </c>
    </row>
    <row r="1257" spans="1:24" x14ac:dyDescent="0.15">
      <c r="A1257" s="7" t="str">
        <f t="shared" si="42"/>
        <v>201806</v>
      </c>
      <c r="C1257" s="6" t="str">
        <f>INDEX(工厂基础数据!$A$2:$A$1024,MATCH(X1257,工厂基础数据!$D$2:$D$1024,0))</f>
        <v>02032120</v>
      </c>
      <c r="E1257" s="6" t="str">
        <f>INDEX(工厂基础数据!$B$2:$B$1024,MATCH(X1257,工厂基础数据!$D$2:$D$1024,0))</f>
        <v>淄博博仁医药有限公司</v>
      </c>
      <c r="F1257" s="6" t="e">
        <f>INDEX(商业2转码!$B$2:$B$10000,MATCH(E1257,商业2转码!$A$2:$A$10000,0))</f>
        <v>#N/A</v>
      </c>
      <c r="G1257" s="6" t="str">
        <f>INDEX(品种2编码!$A$2:$A$1048576,MATCH(W1257,品种2编码!$D$2:$D$1048576,0))</f>
        <v>0020020013ZYZC0491</v>
      </c>
      <c r="H1257" s="6" t="s">
        <v>3266</v>
      </c>
      <c r="I1257" s="6" t="s">
        <v>914</v>
      </c>
      <c r="J1257" s="6" t="s">
        <v>3279</v>
      </c>
      <c r="L1257" s="6" t="s">
        <v>3242</v>
      </c>
      <c r="M1257" s="6" t="e">
        <f>INDEX(医院2县区2人!$B$2:$B$1048576,MATCH(L1257,医院2县区2人!$A$2:$A$1048576,0))</f>
        <v>#N/A</v>
      </c>
      <c r="N1257" s="6" t="e">
        <f>INDEX(医院2县区2人!$C$2:$C$1048576,MATCH(L1257,医院2县区2人!$A$2:$A$1048576,0))</f>
        <v>#N/A</v>
      </c>
      <c r="P1257" s="7">
        <v>43273</v>
      </c>
      <c r="Q1257" s="6">
        <v>10</v>
      </c>
      <c r="R1257" s="6">
        <v>39</v>
      </c>
      <c r="S1257" s="6" t="s">
        <v>3272</v>
      </c>
      <c r="T1257" s="6" t="e">
        <f>INDEX(医院2县区2人!$D$2:$D$1048576,MATCH(L1257,医院2县区2人!$A$2:$A$1048576,0))</f>
        <v>#N/A</v>
      </c>
      <c r="W1257" s="6" t="str">
        <f t="shared" si="41"/>
        <v>*注射用乳糖酸阿奇霉素0.25g</v>
      </c>
      <c r="X1257" s="6" t="s">
        <v>2893</v>
      </c>
    </row>
    <row r="1258" spans="1:24" x14ac:dyDescent="0.15">
      <c r="A1258" s="7" t="str">
        <f t="shared" si="42"/>
        <v>201806</v>
      </c>
      <c r="C1258" s="6" t="str">
        <f>INDEX(工厂基础数据!$A$2:$A$1024,MATCH(X1258,工厂基础数据!$D$2:$D$1024,0))</f>
        <v>02032120</v>
      </c>
      <c r="E1258" s="6" t="str">
        <f>INDEX(工厂基础数据!$B$2:$B$1024,MATCH(X1258,工厂基础数据!$D$2:$D$1024,0))</f>
        <v>淄博博仁医药有限公司</v>
      </c>
      <c r="F1258" s="6" t="e">
        <f>INDEX(商业2转码!$B$2:$B$10000,MATCH(E1258,商业2转码!$A$2:$A$10000,0))</f>
        <v>#N/A</v>
      </c>
      <c r="G1258" s="6" t="str">
        <f>INDEX(品种2编码!$A$2:$A$1048576,MATCH(W1258,品种2编码!$D$2:$D$1048576,0))</f>
        <v>0020030001SJZY0006</v>
      </c>
      <c r="H1258" s="6" t="s">
        <v>1833</v>
      </c>
      <c r="I1258" s="6" t="s">
        <v>411</v>
      </c>
      <c r="J1258" s="6" t="s">
        <v>3280</v>
      </c>
      <c r="L1258" s="6" t="s">
        <v>3165</v>
      </c>
      <c r="M1258" s="6" t="e">
        <f>INDEX(医院2县区2人!$B$2:$B$1048576,MATCH(L1258,医院2县区2人!$A$2:$A$1048576,0))</f>
        <v>#N/A</v>
      </c>
      <c r="N1258" s="6" t="e">
        <f>INDEX(医院2县区2人!$C$2:$C$1048576,MATCH(L1258,医院2县区2人!$A$2:$A$1048576,0))</f>
        <v>#N/A</v>
      </c>
      <c r="P1258" s="7">
        <v>43273</v>
      </c>
      <c r="Q1258" s="6">
        <v>20</v>
      </c>
      <c r="R1258" s="6">
        <v>440</v>
      </c>
      <c r="S1258" s="6">
        <v>18030523</v>
      </c>
      <c r="T1258" s="6" t="e">
        <f>INDEX(医院2县区2人!$D$2:$D$1048576,MATCH(L1258,医院2县区2人!$A$2:$A$1048576,0))</f>
        <v>#N/A</v>
      </c>
      <c r="W1258" s="6" t="str">
        <f t="shared" si="41"/>
        <v>葡萄糖酸钙口服溶液10ml*12支</v>
      </c>
      <c r="X1258" s="6" t="s">
        <v>2893</v>
      </c>
    </row>
    <row r="1259" spans="1:24" x14ac:dyDescent="0.15">
      <c r="A1259" s="7" t="str">
        <f t="shared" si="42"/>
        <v>201806</v>
      </c>
      <c r="C1259" s="6" t="str">
        <f>INDEX(工厂基础数据!$A$2:$A$1024,MATCH(X1259,工厂基础数据!$D$2:$D$1024,0))</f>
        <v>02032120</v>
      </c>
      <c r="E1259" s="6" t="str">
        <f>INDEX(工厂基础数据!$B$2:$B$1024,MATCH(X1259,工厂基础数据!$D$2:$D$1024,0))</f>
        <v>淄博博仁医药有限公司</v>
      </c>
      <c r="F1259" s="6" t="e">
        <f>INDEX(商业2转码!$B$2:$B$10000,MATCH(E1259,商业2转码!$A$2:$A$10000,0))</f>
        <v>#N/A</v>
      </c>
      <c r="G1259" s="6" t="str">
        <f>INDEX(品种2编码!$A$2:$A$1048576,MATCH(W1259,品种2编码!$D$2:$D$1048576,0))</f>
        <v>0020020021ZYZC0341</v>
      </c>
      <c r="H1259" s="6" t="s">
        <v>1936</v>
      </c>
      <c r="I1259" s="6" t="s">
        <v>279</v>
      </c>
      <c r="J1259" s="6" t="s">
        <v>3279</v>
      </c>
      <c r="L1259" s="6" t="s">
        <v>3132</v>
      </c>
      <c r="M1259" s="6" t="e">
        <f>INDEX(医院2县区2人!$B$2:$B$1048576,MATCH(L1259,医院2县区2人!$A$2:$A$1048576,0))</f>
        <v>#N/A</v>
      </c>
      <c r="N1259" s="6" t="e">
        <f>INDEX(医院2县区2人!$C$2:$C$1048576,MATCH(L1259,医院2县区2人!$A$2:$A$1048576,0))</f>
        <v>#N/A</v>
      </c>
      <c r="P1259" s="7">
        <v>43273</v>
      </c>
      <c r="Q1259" s="6">
        <v>20</v>
      </c>
      <c r="R1259" s="6">
        <v>136</v>
      </c>
      <c r="S1259" s="6" t="s">
        <v>3275</v>
      </c>
      <c r="T1259" s="6" t="e">
        <f>INDEX(医院2县区2人!$D$2:$D$1048576,MATCH(L1259,医院2县区2人!$A$2:$A$1048576,0))</f>
        <v>#N/A</v>
      </c>
      <c r="W1259" s="6" t="str">
        <f t="shared" si="41"/>
        <v>阿莫西林克拉维酸钾分散片0.2285g*12片</v>
      </c>
      <c r="X1259" s="6" t="s">
        <v>2893</v>
      </c>
    </row>
    <row r="1260" spans="1:24" x14ac:dyDescent="0.15">
      <c r="A1260" s="7" t="str">
        <f t="shared" si="42"/>
        <v>201806</v>
      </c>
      <c r="C1260" s="6" t="str">
        <f>INDEX(工厂基础数据!$A$2:$A$1024,MATCH(X1260,工厂基础数据!$D$2:$D$1024,0))</f>
        <v>02032120</v>
      </c>
      <c r="E1260" s="6" t="str">
        <f>INDEX(工厂基础数据!$B$2:$B$1024,MATCH(X1260,工厂基础数据!$D$2:$D$1024,0))</f>
        <v>淄博博仁医药有限公司</v>
      </c>
      <c r="F1260" s="6" t="e">
        <f>INDEX(商业2转码!$B$2:$B$10000,MATCH(E1260,商业2转码!$A$2:$A$10000,0))</f>
        <v>#N/A</v>
      </c>
      <c r="G1260" s="6">
        <f>INDEX(品种2编码!$A$2:$A$1048576,MATCH(W1260,品种2编码!$D$2:$D$1048576,0))</f>
        <v>0</v>
      </c>
      <c r="H1260" s="6" t="s">
        <v>3268</v>
      </c>
      <c r="I1260" s="6" t="s">
        <v>411</v>
      </c>
      <c r="J1260" s="6" t="s">
        <v>3040</v>
      </c>
      <c r="L1260" s="6" t="s">
        <v>3165</v>
      </c>
      <c r="M1260" s="6" t="e">
        <f>INDEX(医院2县区2人!$B$2:$B$1048576,MATCH(L1260,医院2县区2人!$A$2:$A$1048576,0))</f>
        <v>#N/A</v>
      </c>
      <c r="N1260" s="6" t="e">
        <f>INDEX(医院2县区2人!$C$2:$C$1048576,MATCH(L1260,医院2县区2人!$A$2:$A$1048576,0))</f>
        <v>#N/A</v>
      </c>
      <c r="P1260" s="7">
        <v>43273</v>
      </c>
      <c r="Q1260" s="6">
        <v>30</v>
      </c>
      <c r="R1260" s="6">
        <v>690</v>
      </c>
      <c r="S1260" s="6">
        <v>17112821</v>
      </c>
      <c r="T1260" s="6" t="e">
        <f>INDEX(医院2县区2人!$D$2:$D$1048576,MATCH(L1260,医院2县区2人!$A$2:$A$1048576,0))</f>
        <v>#N/A</v>
      </c>
      <c r="W1260" s="6" t="str">
        <f t="shared" si="41"/>
        <v>葡糖糖酸锌口服溶液10ml*12支</v>
      </c>
      <c r="X1260" s="6" t="s">
        <v>2893</v>
      </c>
    </row>
    <row r="1261" spans="1:24" x14ac:dyDescent="0.15">
      <c r="A1261" s="7" t="str">
        <f t="shared" si="42"/>
        <v>201806</v>
      </c>
      <c r="C1261" s="6" t="str">
        <f>INDEX(工厂基础数据!$A$2:$A$1024,MATCH(X1261,工厂基础数据!$D$2:$D$1024,0))</f>
        <v>02032120</v>
      </c>
      <c r="E1261" s="6" t="str">
        <f>INDEX(工厂基础数据!$B$2:$B$1024,MATCH(X1261,工厂基础数据!$D$2:$D$1024,0))</f>
        <v>淄博博仁医药有限公司</v>
      </c>
      <c r="F1261" s="6" t="e">
        <f>INDEX(商业2转码!$B$2:$B$10000,MATCH(E1261,商业2转码!$A$2:$A$10000,0))</f>
        <v>#N/A</v>
      </c>
      <c r="G1261" s="6" t="str">
        <f>INDEX(品种2编码!$A$2:$A$1048576,MATCH(W1261,品种2编码!$D$2:$D$1048576,0))</f>
        <v>0020020013ZYZC0491</v>
      </c>
      <c r="H1261" s="6" t="s">
        <v>3266</v>
      </c>
      <c r="I1261" s="6" t="s">
        <v>914</v>
      </c>
      <c r="J1261" s="6" t="s">
        <v>3279</v>
      </c>
      <c r="L1261" s="6" t="s">
        <v>3205</v>
      </c>
      <c r="M1261" s="6" t="e">
        <f>INDEX(医院2县区2人!$B$2:$B$1048576,MATCH(L1261,医院2县区2人!$A$2:$A$1048576,0))</f>
        <v>#N/A</v>
      </c>
      <c r="N1261" s="6" t="e">
        <f>INDEX(医院2县区2人!$C$2:$C$1048576,MATCH(L1261,医院2县区2人!$A$2:$A$1048576,0))</f>
        <v>#N/A</v>
      </c>
      <c r="P1261" s="7">
        <v>43273</v>
      </c>
      <c r="Q1261" s="6">
        <v>30</v>
      </c>
      <c r="R1261" s="6">
        <v>117</v>
      </c>
      <c r="S1261" s="6" t="s">
        <v>3272</v>
      </c>
      <c r="T1261" s="6" t="e">
        <f>INDEX(医院2县区2人!$D$2:$D$1048576,MATCH(L1261,医院2县区2人!$A$2:$A$1048576,0))</f>
        <v>#N/A</v>
      </c>
      <c r="W1261" s="6" t="str">
        <f t="shared" si="41"/>
        <v>*注射用乳糖酸阿奇霉素0.25g</v>
      </c>
      <c r="X1261" s="6" t="s">
        <v>2893</v>
      </c>
    </row>
    <row r="1262" spans="1:24" x14ac:dyDescent="0.15">
      <c r="A1262" s="7" t="str">
        <f t="shared" si="42"/>
        <v>201806</v>
      </c>
      <c r="C1262" s="6" t="str">
        <f>INDEX(工厂基础数据!$A$2:$A$1024,MATCH(X1262,工厂基础数据!$D$2:$D$1024,0))</f>
        <v>02032120</v>
      </c>
      <c r="E1262" s="6" t="str">
        <f>INDEX(工厂基础数据!$B$2:$B$1024,MATCH(X1262,工厂基础数据!$D$2:$D$1024,0))</f>
        <v>淄博博仁医药有限公司</v>
      </c>
      <c r="F1262" s="6" t="e">
        <f>INDEX(商业2转码!$B$2:$B$10000,MATCH(E1262,商业2转码!$A$2:$A$10000,0))</f>
        <v>#N/A</v>
      </c>
      <c r="G1262" s="6">
        <f>INDEX(品种2编码!$A$2:$A$1048576,MATCH(W1262,品种2编码!$D$2:$D$1048576,0))</f>
        <v>0</v>
      </c>
      <c r="H1262" s="6" t="s">
        <v>1987</v>
      </c>
      <c r="I1262" s="6" t="s">
        <v>411</v>
      </c>
      <c r="J1262" s="6" t="s">
        <v>3279</v>
      </c>
      <c r="L1262" s="6" t="s">
        <v>3243</v>
      </c>
      <c r="M1262" s="6" t="e">
        <f>INDEX(医院2县区2人!$B$2:$B$1048576,MATCH(L1262,医院2县区2人!$A$2:$A$1048576,0))</f>
        <v>#N/A</v>
      </c>
      <c r="N1262" s="6" t="e">
        <f>INDEX(医院2县区2人!$C$2:$C$1048576,MATCH(L1262,医院2县区2人!$A$2:$A$1048576,0))</f>
        <v>#N/A</v>
      </c>
      <c r="P1262" s="7">
        <v>43274</v>
      </c>
      <c r="Q1262" s="6">
        <v>2</v>
      </c>
      <c r="R1262" s="6">
        <v>32</v>
      </c>
      <c r="S1262" s="6">
        <v>170622</v>
      </c>
      <c r="T1262" s="6" t="e">
        <f>INDEX(医院2县区2人!$D$2:$D$1048576,MATCH(L1262,医院2县区2人!$A$2:$A$1048576,0))</f>
        <v>#N/A</v>
      </c>
      <c r="W1262" s="6" t="str">
        <f t="shared" si="41"/>
        <v>乳酸亚铁口服液（朴雪）10ml*12支</v>
      </c>
      <c r="X1262" s="6" t="s">
        <v>2893</v>
      </c>
    </row>
    <row r="1263" spans="1:24" x14ac:dyDescent="0.15">
      <c r="A1263" s="7" t="str">
        <f t="shared" si="42"/>
        <v>201806</v>
      </c>
      <c r="C1263" s="6" t="str">
        <f>INDEX(工厂基础数据!$A$2:$A$1024,MATCH(X1263,工厂基础数据!$D$2:$D$1024,0))</f>
        <v>02032120</v>
      </c>
      <c r="E1263" s="6" t="str">
        <f>INDEX(工厂基础数据!$B$2:$B$1024,MATCH(X1263,工厂基础数据!$D$2:$D$1024,0))</f>
        <v>淄博博仁医药有限公司</v>
      </c>
      <c r="F1263" s="6" t="e">
        <f>INDEX(商业2转码!$B$2:$B$10000,MATCH(E1263,商业2转码!$A$2:$A$10000,0))</f>
        <v>#N/A</v>
      </c>
      <c r="G1263" s="6" t="str">
        <f>INDEX(品种2编码!$A$2:$A$1048576,MATCH(W1263,品种2编码!$D$2:$D$1048576,0))</f>
        <v>0020070000ZYLC0052</v>
      </c>
      <c r="H1263" s="6" t="s">
        <v>402</v>
      </c>
      <c r="I1263" s="6" t="s">
        <v>411</v>
      </c>
      <c r="J1263" s="6" t="s">
        <v>3279</v>
      </c>
      <c r="L1263" s="6" t="s">
        <v>3244</v>
      </c>
      <c r="M1263" s="6" t="e">
        <f>INDEX(医院2县区2人!$B$2:$B$1048576,MATCH(L1263,医院2县区2人!$A$2:$A$1048576,0))</f>
        <v>#N/A</v>
      </c>
      <c r="N1263" s="6" t="e">
        <f>INDEX(医院2县区2人!$C$2:$C$1048576,MATCH(L1263,医院2县区2人!$A$2:$A$1048576,0))</f>
        <v>#N/A</v>
      </c>
      <c r="P1263" s="7">
        <v>43274</v>
      </c>
      <c r="Q1263" s="6">
        <v>2</v>
      </c>
      <c r="R1263" s="6">
        <v>34</v>
      </c>
      <c r="S1263" s="6">
        <v>170801</v>
      </c>
      <c r="T1263" s="6" t="e">
        <f>INDEX(医院2县区2人!$D$2:$D$1048576,MATCH(L1263,医院2县区2人!$A$2:$A$1048576,0))</f>
        <v>#N/A</v>
      </c>
      <c r="W1263" s="6" t="str">
        <f t="shared" si="41"/>
        <v>钙加锌口服液10ml*12支</v>
      </c>
      <c r="X1263" s="6" t="s">
        <v>2893</v>
      </c>
    </row>
    <row r="1264" spans="1:24" x14ac:dyDescent="0.15">
      <c r="A1264" s="7" t="str">
        <f t="shared" si="42"/>
        <v>201806</v>
      </c>
      <c r="C1264" s="6" t="str">
        <f>INDEX(工厂基础数据!$A$2:$A$1024,MATCH(X1264,工厂基础数据!$D$2:$D$1024,0))</f>
        <v>02032120</v>
      </c>
      <c r="E1264" s="6" t="str">
        <f>INDEX(工厂基础数据!$B$2:$B$1024,MATCH(X1264,工厂基础数据!$D$2:$D$1024,0))</f>
        <v>淄博博仁医药有限公司</v>
      </c>
      <c r="F1264" s="6" t="e">
        <f>INDEX(商业2转码!$B$2:$B$10000,MATCH(E1264,商业2转码!$A$2:$A$10000,0))</f>
        <v>#N/A</v>
      </c>
      <c r="G1264" s="6" t="str">
        <f>INDEX(品种2编码!$A$2:$A$1048576,MATCH(W1264,品种2编码!$D$2:$D$1048576,0))</f>
        <v>0020030020SJSC0004</v>
      </c>
      <c r="H1264" s="6" t="s">
        <v>394</v>
      </c>
      <c r="I1264" s="6" t="s">
        <v>1871</v>
      </c>
      <c r="J1264" s="6" t="s">
        <v>3284</v>
      </c>
      <c r="L1264" s="6" t="s">
        <v>3163</v>
      </c>
      <c r="M1264" s="6" t="e">
        <f>INDEX(医院2县区2人!$B$2:$B$1048576,MATCH(L1264,医院2县区2人!$A$2:$A$1048576,0))</f>
        <v>#N/A</v>
      </c>
      <c r="N1264" s="6" t="e">
        <f>INDEX(医院2县区2人!$C$2:$C$1048576,MATCH(L1264,医院2县区2人!$A$2:$A$1048576,0))</f>
        <v>#N/A</v>
      </c>
      <c r="P1264" s="7">
        <v>43274</v>
      </c>
      <c r="Q1264" s="6">
        <v>2</v>
      </c>
      <c r="R1264" s="6">
        <v>22</v>
      </c>
      <c r="S1264" s="6">
        <v>1709020</v>
      </c>
      <c r="T1264" s="6" t="e">
        <f>INDEX(医院2县区2人!$D$2:$D$1048576,MATCH(L1264,医院2县区2人!$A$2:$A$1048576,0))</f>
        <v>#N/A</v>
      </c>
      <c r="W1264" s="6" t="str">
        <f t="shared" si="41"/>
        <v>复方铝酸铋片50片</v>
      </c>
      <c r="X1264" s="6" t="s">
        <v>2893</v>
      </c>
    </row>
    <row r="1265" spans="1:24" x14ac:dyDescent="0.15">
      <c r="A1265" s="7" t="str">
        <f t="shared" si="42"/>
        <v>201806</v>
      </c>
      <c r="C1265" s="6" t="str">
        <f>INDEX(工厂基础数据!$A$2:$A$1024,MATCH(X1265,工厂基础数据!$D$2:$D$1024,0))</f>
        <v>02032120</v>
      </c>
      <c r="E1265" s="6" t="str">
        <f>INDEX(工厂基础数据!$B$2:$B$1024,MATCH(X1265,工厂基础数据!$D$2:$D$1024,0))</f>
        <v>淄博博仁医药有限公司</v>
      </c>
      <c r="F1265" s="6" t="e">
        <f>INDEX(商业2转码!$B$2:$B$10000,MATCH(E1265,商业2转码!$A$2:$A$10000,0))</f>
        <v>#N/A</v>
      </c>
      <c r="G1265" s="6">
        <f>INDEX(品种2编码!$A$2:$A$1048576,MATCH(W1265,品种2编码!$D$2:$D$1048576,0))</f>
        <v>0</v>
      </c>
      <c r="H1265" s="6" t="s">
        <v>1885</v>
      </c>
      <c r="I1265" s="6" t="s">
        <v>1838</v>
      </c>
      <c r="J1265" s="6" t="s">
        <v>3279</v>
      </c>
      <c r="L1265" s="6" t="s">
        <v>3245</v>
      </c>
      <c r="M1265" s="6" t="e">
        <f>INDEX(医院2县区2人!$B$2:$B$1048576,MATCH(L1265,医院2县区2人!$A$2:$A$1048576,0))</f>
        <v>#N/A</v>
      </c>
      <c r="N1265" s="6" t="e">
        <f>INDEX(医院2县区2人!$C$2:$C$1048576,MATCH(L1265,医院2县区2人!$A$2:$A$1048576,0))</f>
        <v>#N/A</v>
      </c>
      <c r="P1265" s="7">
        <v>43274</v>
      </c>
      <c r="Q1265" s="6">
        <v>3</v>
      </c>
      <c r="R1265" s="6">
        <v>72</v>
      </c>
      <c r="S1265" s="6">
        <v>171251</v>
      </c>
      <c r="T1265" s="6" t="e">
        <f>INDEX(医院2县区2人!$D$2:$D$1048576,MATCH(L1265,医院2县区2人!$A$2:$A$1048576,0))</f>
        <v>#N/A</v>
      </c>
      <c r="W1265" s="6" t="str">
        <f t="shared" si="41"/>
        <v>新盖中盖高钙片2.5g*36片</v>
      </c>
      <c r="X1265" s="6" t="s">
        <v>2893</v>
      </c>
    </row>
    <row r="1266" spans="1:24" x14ac:dyDescent="0.15">
      <c r="A1266" s="7" t="str">
        <f t="shared" si="42"/>
        <v>201806</v>
      </c>
      <c r="C1266" s="6" t="str">
        <f>INDEX(工厂基础数据!$A$2:$A$1024,MATCH(X1266,工厂基础数据!$D$2:$D$1024,0))</f>
        <v>02032120</v>
      </c>
      <c r="E1266" s="6" t="str">
        <f>INDEX(工厂基础数据!$B$2:$B$1024,MATCH(X1266,工厂基础数据!$D$2:$D$1024,0))</f>
        <v>淄博博仁医药有限公司</v>
      </c>
      <c r="F1266" s="6" t="e">
        <f>INDEX(商业2转码!$B$2:$B$10000,MATCH(E1266,商业2转码!$A$2:$A$10000,0))</f>
        <v>#N/A</v>
      </c>
      <c r="G1266" s="6">
        <f>INDEX(品种2编码!$A$2:$A$1048576,MATCH(W1266,品种2编码!$D$2:$D$1048576,0))</f>
        <v>0</v>
      </c>
      <c r="H1266" s="6" t="s">
        <v>1885</v>
      </c>
      <c r="I1266" s="6" t="s">
        <v>1838</v>
      </c>
      <c r="J1266" s="6" t="s">
        <v>3279</v>
      </c>
      <c r="L1266" s="6" t="s">
        <v>3150</v>
      </c>
      <c r="M1266" s="6" t="e">
        <f>INDEX(医院2县区2人!$B$2:$B$1048576,MATCH(L1266,医院2县区2人!$A$2:$A$1048576,0))</f>
        <v>#N/A</v>
      </c>
      <c r="N1266" s="6" t="e">
        <f>INDEX(医院2县区2人!$C$2:$C$1048576,MATCH(L1266,医院2县区2人!$A$2:$A$1048576,0))</f>
        <v>#N/A</v>
      </c>
      <c r="P1266" s="7">
        <v>43274</v>
      </c>
      <c r="Q1266" s="6">
        <v>3</v>
      </c>
      <c r="R1266" s="6">
        <v>60.6</v>
      </c>
      <c r="S1266" s="6">
        <v>171124</v>
      </c>
      <c r="T1266" s="6" t="e">
        <f>INDEX(医院2县区2人!$D$2:$D$1048576,MATCH(L1266,医院2县区2人!$A$2:$A$1048576,0))</f>
        <v>#N/A</v>
      </c>
      <c r="W1266" s="6" t="str">
        <f t="shared" si="41"/>
        <v>新盖中盖高钙片2.5g*36片</v>
      </c>
      <c r="X1266" s="6" t="s">
        <v>2893</v>
      </c>
    </row>
    <row r="1267" spans="1:24" x14ac:dyDescent="0.15">
      <c r="A1267" s="7" t="str">
        <f t="shared" si="42"/>
        <v>201806</v>
      </c>
      <c r="C1267" s="6" t="str">
        <f>INDEX(工厂基础数据!$A$2:$A$1024,MATCH(X1267,工厂基础数据!$D$2:$D$1024,0))</f>
        <v>02032120</v>
      </c>
      <c r="E1267" s="6" t="str">
        <f>INDEX(工厂基础数据!$B$2:$B$1024,MATCH(X1267,工厂基础数据!$D$2:$D$1024,0))</f>
        <v>淄博博仁医药有限公司</v>
      </c>
      <c r="F1267" s="6" t="e">
        <f>INDEX(商业2转码!$B$2:$B$10000,MATCH(E1267,商业2转码!$A$2:$A$10000,0))</f>
        <v>#N/A</v>
      </c>
      <c r="G1267" s="6" t="str">
        <f>INDEX(品种2编码!$A$2:$A$1048576,MATCH(W1267,品种2编码!$D$2:$D$1048576,0))</f>
        <v>0020030020SJSC0004</v>
      </c>
      <c r="H1267" s="6" t="s">
        <v>394</v>
      </c>
      <c r="I1267" s="6" t="s">
        <v>1871</v>
      </c>
      <c r="J1267" s="6" t="s">
        <v>3284</v>
      </c>
      <c r="L1267" s="6" t="s">
        <v>3246</v>
      </c>
      <c r="M1267" s="6" t="e">
        <f>INDEX(医院2县区2人!$B$2:$B$1048576,MATCH(L1267,医院2县区2人!$A$2:$A$1048576,0))</f>
        <v>#N/A</v>
      </c>
      <c r="N1267" s="6" t="e">
        <f>INDEX(医院2县区2人!$C$2:$C$1048576,MATCH(L1267,医院2县区2人!$A$2:$A$1048576,0))</f>
        <v>#N/A</v>
      </c>
      <c r="P1267" s="7">
        <v>43274</v>
      </c>
      <c r="Q1267" s="6">
        <v>3</v>
      </c>
      <c r="R1267" s="6">
        <v>33</v>
      </c>
      <c r="S1267" s="6">
        <v>1709020</v>
      </c>
      <c r="T1267" s="6" t="e">
        <f>INDEX(医院2县区2人!$D$2:$D$1048576,MATCH(L1267,医院2县区2人!$A$2:$A$1048576,0))</f>
        <v>#N/A</v>
      </c>
      <c r="W1267" s="6" t="str">
        <f t="shared" si="41"/>
        <v>复方铝酸铋片50片</v>
      </c>
      <c r="X1267" s="6" t="s">
        <v>2893</v>
      </c>
    </row>
    <row r="1268" spans="1:24" x14ac:dyDescent="0.15">
      <c r="A1268" s="7" t="str">
        <f t="shared" si="42"/>
        <v>201806</v>
      </c>
      <c r="C1268" s="6" t="str">
        <f>INDEX(工厂基础数据!$A$2:$A$1024,MATCH(X1268,工厂基础数据!$D$2:$D$1024,0))</f>
        <v>02032120</v>
      </c>
      <c r="E1268" s="6" t="str">
        <f>INDEX(工厂基础数据!$B$2:$B$1024,MATCH(X1268,工厂基础数据!$D$2:$D$1024,0))</f>
        <v>淄博博仁医药有限公司</v>
      </c>
      <c r="F1268" s="6" t="e">
        <f>INDEX(商业2转码!$B$2:$B$10000,MATCH(E1268,商业2转码!$A$2:$A$10000,0))</f>
        <v>#N/A</v>
      </c>
      <c r="G1268" s="6">
        <f>INDEX(品种2编码!$A$2:$A$1048576,MATCH(W1268,品种2编码!$D$2:$D$1048576,0))</f>
        <v>0</v>
      </c>
      <c r="H1268" s="6" t="s">
        <v>768</v>
      </c>
      <c r="I1268" s="6" t="s">
        <v>3293</v>
      </c>
      <c r="J1268" s="6" t="s">
        <v>3286</v>
      </c>
      <c r="L1268" s="6" t="s">
        <v>3129</v>
      </c>
      <c r="M1268" s="6" t="e">
        <f>INDEX(医院2县区2人!$B$2:$B$1048576,MATCH(L1268,医院2县区2人!$A$2:$A$1048576,0))</f>
        <v>#N/A</v>
      </c>
      <c r="N1268" s="6" t="e">
        <f>INDEX(医院2县区2人!$C$2:$C$1048576,MATCH(L1268,医院2县区2人!$A$2:$A$1048576,0))</f>
        <v>#N/A</v>
      </c>
      <c r="P1268" s="7">
        <v>43274</v>
      </c>
      <c r="Q1268" s="6">
        <v>4</v>
      </c>
      <c r="R1268" s="6">
        <v>18.8</v>
      </c>
      <c r="S1268" s="6">
        <v>20170803</v>
      </c>
      <c r="T1268" s="6" t="e">
        <f>INDEX(医院2县区2人!$D$2:$D$1048576,MATCH(L1268,医院2县区2人!$A$2:$A$1048576,0))</f>
        <v>#N/A</v>
      </c>
      <c r="W1268" s="6" t="str">
        <f t="shared" si="41"/>
        <v>医用退热贴40*110mm*2贴</v>
      </c>
      <c r="X1268" s="6" t="s">
        <v>2893</v>
      </c>
    </row>
    <row r="1269" spans="1:24" x14ac:dyDescent="0.15">
      <c r="A1269" s="7" t="str">
        <f t="shared" si="42"/>
        <v>201806</v>
      </c>
      <c r="C1269" s="6" t="str">
        <f>INDEX(工厂基础数据!$A$2:$A$1024,MATCH(X1269,工厂基础数据!$D$2:$D$1024,0))</f>
        <v>02032120</v>
      </c>
      <c r="E1269" s="6" t="str">
        <f>INDEX(工厂基础数据!$B$2:$B$1024,MATCH(X1269,工厂基础数据!$D$2:$D$1024,0))</f>
        <v>淄博博仁医药有限公司</v>
      </c>
      <c r="F1269" s="6" t="e">
        <f>INDEX(商业2转码!$B$2:$B$10000,MATCH(E1269,商业2转码!$A$2:$A$10000,0))</f>
        <v>#N/A</v>
      </c>
      <c r="G1269" s="6" t="str">
        <f>INDEX(品种2编码!$A$2:$A$1048576,MATCH(W1269,品种2编码!$D$2:$D$1048576,0))</f>
        <v>0020030040ZYLC0001</v>
      </c>
      <c r="H1269" s="6" t="s">
        <v>1953</v>
      </c>
      <c r="I1269" s="6" t="s">
        <v>1954</v>
      </c>
      <c r="J1269" s="6" t="s">
        <v>3279</v>
      </c>
      <c r="L1269" s="6" t="s">
        <v>3153</v>
      </c>
      <c r="M1269" s="6" t="e">
        <f>INDEX(医院2县区2人!$B$2:$B$1048576,MATCH(L1269,医院2县区2人!$A$2:$A$1048576,0))</f>
        <v>#N/A</v>
      </c>
      <c r="N1269" s="6" t="e">
        <f>INDEX(医院2县区2人!$C$2:$C$1048576,MATCH(L1269,医院2县区2人!$A$2:$A$1048576,0))</f>
        <v>#N/A</v>
      </c>
      <c r="P1269" s="7">
        <v>43274</v>
      </c>
      <c r="Q1269" s="6">
        <v>5</v>
      </c>
      <c r="R1269" s="6">
        <v>45</v>
      </c>
      <c r="S1269" s="6">
        <v>171113</v>
      </c>
      <c r="T1269" s="6" t="e">
        <f>INDEX(医院2县区2人!$D$2:$D$1048576,MATCH(L1269,医院2县区2人!$A$2:$A$1048576,0))</f>
        <v>#N/A</v>
      </c>
      <c r="W1269" s="6" t="str">
        <f t="shared" si="41"/>
        <v>小儿氨酚黄那敏颗粒12袋</v>
      </c>
      <c r="X1269" s="6" t="s">
        <v>2893</v>
      </c>
    </row>
    <row r="1270" spans="1:24" x14ac:dyDescent="0.15">
      <c r="A1270" s="7" t="str">
        <f t="shared" si="42"/>
        <v>201806</v>
      </c>
      <c r="C1270" s="6" t="str">
        <f>INDEX(工厂基础数据!$A$2:$A$1024,MATCH(X1270,工厂基础数据!$D$2:$D$1024,0))</f>
        <v>02032120</v>
      </c>
      <c r="E1270" s="6" t="str">
        <f>INDEX(工厂基础数据!$B$2:$B$1024,MATCH(X1270,工厂基础数据!$D$2:$D$1024,0))</f>
        <v>淄博博仁医药有限公司</v>
      </c>
      <c r="F1270" s="6" t="e">
        <f>INDEX(商业2转码!$B$2:$B$10000,MATCH(E1270,商业2转码!$A$2:$A$10000,0))</f>
        <v>#N/A</v>
      </c>
      <c r="G1270" s="6">
        <f>INDEX(品种2编码!$A$2:$A$1048576,MATCH(W1270,品种2编码!$D$2:$D$1048576,0))</f>
        <v>0</v>
      </c>
      <c r="H1270" s="6" t="s">
        <v>1835</v>
      </c>
      <c r="I1270" s="6" t="s">
        <v>1954</v>
      </c>
      <c r="J1270" s="6" t="s">
        <v>3279</v>
      </c>
      <c r="L1270" s="6" t="s">
        <v>3164</v>
      </c>
      <c r="M1270" s="6" t="e">
        <f>INDEX(医院2县区2人!$B$2:$B$1048576,MATCH(L1270,医院2县区2人!$A$2:$A$1048576,0))</f>
        <v>#N/A</v>
      </c>
      <c r="N1270" s="6" t="e">
        <f>INDEX(医院2县区2人!$C$2:$C$1048576,MATCH(L1270,医院2县区2人!$A$2:$A$1048576,0))</f>
        <v>#N/A</v>
      </c>
      <c r="P1270" s="7">
        <v>43274</v>
      </c>
      <c r="Q1270" s="6">
        <v>5</v>
      </c>
      <c r="R1270" s="6">
        <v>70</v>
      </c>
      <c r="S1270" s="6">
        <v>171201</v>
      </c>
      <c r="T1270" s="6" t="e">
        <f>INDEX(医院2县区2人!$D$2:$D$1048576,MATCH(L1270,医院2县区2人!$A$2:$A$1048576,0))</f>
        <v>#N/A</v>
      </c>
      <c r="W1270" s="6" t="str">
        <f t="shared" si="41"/>
        <v>蒙脱石散12袋</v>
      </c>
      <c r="X1270" s="6" t="s">
        <v>2893</v>
      </c>
    </row>
    <row r="1271" spans="1:24" x14ac:dyDescent="0.15">
      <c r="A1271" s="7" t="str">
        <f t="shared" si="42"/>
        <v>201806</v>
      </c>
      <c r="C1271" s="6" t="str">
        <f>INDEX(工厂基础数据!$A$2:$A$1024,MATCH(X1271,工厂基础数据!$D$2:$D$1024,0))</f>
        <v>02032120</v>
      </c>
      <c r="E1271" s="6" t="str">
        <f>INDEX(工厂基础数据!$B$2:$B$1024,MATCH(X1271,工厂基础数据!$D$2:$D$1024,0))</f>
        <v>淄博博仁医药有限公司</v>
      </c>
      <c r="F1271" s="6" t="e">
        <f>INDEX(商业2转码!$B$2:$B$10000,MATCH(E1271,商业2转码!$A$2:$A$10000,0))</f>
        <v>#N/A</v>
      </c>
      <c r="G1271" s="6" t="str">
        <f>INDEX(品种2编码!$A$2:$A$1048576,MATCH(W1271,品种2编码!$D$2:$D$1048576,0))</f>
        <v>0020040030SJSC0009</v>
      </c>
      <c r="H1271" s="6" t="s">
        <v>436</v>
      </c>
      <c r="I1271" s="6" t="s">
        <v>1925</v>
      </c>
      <c r="J1271" s="6" t="s">
        <v>3045</v>
      </c>
      <c r="L1271" s="6" t="s">
        <v>3132</v>
      </c>
      <c r="M1271" s="6" t="e">
        <f>INDEX(医院2县区2人!$B$2:$B$1048576,MATCH(L1271,医院2县区2人!$A$2:$A$1048576,0))</f>
        <v>#N/A</v>
      </c>
      <c r="N1271" s="6" t="e">
        <f>INDEX(医院2县区2人!$C$2:$C$1048576,MATCH(L1271,医院2县区2人!$A$2:$A$1048576,0))</f>
        <v>#N/A</v>
      </c>
      <c r="P1271" s="7">
        <v>43274</v>
      </c>
      <c r="Q1271" s="6">
        <v>5</v>
      </c>
      <c r="R1271" s="6">
        <v>97.15</v>
      </c>
      <c r="S1271" s="6">
        <v>1802001</v>
      </c>
      <c r="T1271" s="6" t="e">
        <f>INDEX(医院2县区2人!$D$2:$D$1048576,MATCH(L1271,医院2县区2人!$A$2:$A$1048576,0))</f>
        <v>#N/A</v>
      </c>
      <c r="W1271" s="6" t="str">
        <f t="shared" si="41"/>
        <v>护肝片0.36g*100片</v>
      </c>
      <c r="X1271" s="6" t="s">
        <v>2893</v>
      </c>
    </row>
    <row r="1272" spans="1:24" x14ac:dyDescent="0.15">
      <c r="A1272" s="7" t="str">
        <f t="shared" si="42"/>
        <v>201806</v>
      </c>
      <c r="C1272" s="6" t="str">
        <f>INDEX(工厂基础数据!$A$2:$A$1024,MATCH(X1272,工厂基础数据!$D$2:$D$1024,0))</f>
        <v>02032120</v>
      </c>
      <c r="E1272" s="6" t="str">
        <f>INDEX(工厂基础数据!$B$2:$B$1024,MATCH(X1272,工厂基础数据!$D$2:$D$1024,0))</f>
        <v>淄博博仁医药有限公司</v>
      </c>
      <c r="F1272" s="6" t="e">
        <f>INDEX(商业2转码!$B$2:$B$10000,MATCH(E1272,商业2转码!$A$2:$A$10000,0))</f>
        <v>#N/A</v>
      </c>
      <c r="G1272" s="6">
        <f>INDEX(品种2编码!$A$2:$A$1048576,MATCH(W1272,品种2编码!$D$2:$D$1048576,0))</f>
        <v>0</v>
      </c>
      <c r="H1272" s="6" t="s">
        <v>405</v>
      </c>
      <c r="I1272" s="6" t="s">
        <v>1850</v>
      </c>
      <c r="J1272" s="6" t="s">
        <v>3279</v>
      </c>
      <c r="L1272" s="6" t="s">
        <v>3140</v>
      </c>
      <c r="M1272" s="6" t="e">
        <f>INDEX(医院2县区2人!$B$2:$B$1048576,MATCH(L1272,医院2县区2人!$A$2:$A$1048576,0))</f>
        <v>#N/A</v>
      </c>
      <c r="N1272" s="6" t="e">
        <f>INDEX(医院2县区2人!$C$2:$C$1048576,MATCH(L1272,医院2县区2人!$A$2:$A$1048576,0))</f>
        <v>#N/A</v>
      </c>
      <c r="P1272" s="7">
        <v>43274</v>
      </c>
      <c r="Q1272" s="6">
        <v>5</v>
      </c>
      <c r="R1272" s="6">
        <v>75</v>
      </c>
      <c r="S1272" s="6">
        <v>1802005</v>
      </c>
      <c r="T1272" s="6" t="e">
        <f>INDEX(医院2县区2人!$D$2:$D$1048576,MATCH(L1272,医院2县区2人!$A$2:$A$1048576,0))</f>
        <v>#N/A</v>
      </c>
      <c r="W1272" s="6" t="str">
        <f t="shared" si="41"/>
        <v>钙铁锌口服液10ml*10支</v>
      </c>
      <c r="X1272" s="6" t="s">
        <v>2893</v>
      </c>
    </row>
    <row r="1273" spans="1:24" x14ac:dyDescent="0.15">
      <c r="A1273" s="7" t="str">
        <f t="shared" si="42"/>
        <v>201806</v>
      </c>
      <c r="C1273" s="6" t="str">
        <f>INDEX(工厂基础数据!$A$2:$A$1024,MATCH(X1273,工厂基础数据!$D$2:$D$1024,0))</f>
        <v>02032120</v>
      </c>
      <c r="E1273" s="6" t="str">
        <f>INDEX(工厂基础数据!$B$2:$B$1024,MATCH(X1273,工厂基础数据!$D$2:$D$1024,0))</f>
        <v>淄博博仁医药有限公司</v>
      </c>
      <c r="F1273" s="6" t="e">
        <f>INDEX(商业2转码!$B$2:$B$10000,MATCH(E1273,商业2转码!$A$2:$A$10000,0))</f>
        <v>#N/A</v>
      </c>
      <c r="G1273" s="6" t="str">
        <f>INDEX(品种2编码!$A$2:$A$1048576,MATCH(W1273,品种2编码!$D$2:$D$1048576,0))</f>
        <v>0020030020SJSC0004</v>
      </c>
      <c r="H1273" s="6" t="s">
        <v>394</v>
      </c>
      <c r="I1273" s="6" t="s">
        <v>1871</v>
      </c>
      <c r="J1273" s="6" t="s">
        <v>3284</v>
      </c>
      <c r="L1273" s="6" t="s">
        <v>3132</v>
      </c>
      <c r="M1273" s="6" t="e">
        <f>INDEX(医院2县区2人!$B$2:$B$1048576,MATCH(L1273,医院2县区2人!$A$2:$A$1048576,0))</f>
        <v>#N/A</v>
      </c>
      <c r="N1273" s="6" t="e">
        <f>INDEX(医院2县区2人!$C$2:$C$1048576,MATCH(L1273,医院2县区2人!$A$2:$A$1048576,0))</f>
        <v>#N/A</v>
      </c>
      <c r="P1273" s="7">
        <v>43274</v>
      </c>
      <c r="Q1273" s="6">
        <v>5</v>
      </c>
      <c r="R1273" s="6">
        <v>47</v>
      </c>
      <c r="S1273" s="6">
        <v>1709020</v>
      </c>
      <c r="T1273" s="6" t="e">
        <f>INDEX(医院2县区2人!$D$2:$D$1048576,MATCH(L1273,医院2县区2人!$A$2:$A$1048576,0))</f>
        <v>#N/A</v>
      </c>
      <c r="W1273" s="6" t="str">
        <f t="shared" si="41"/>
        <v>复方铝酸铋片50片</v>
      </c>
      <c r="X1273" s="6" t="s">
        <v>2893</v>
      </c>
    </row>
    <row r="1274" spans="1:24" x14ac:dyDescent="0.15">
      <c r="A1274" s="7" t="str">
        <f t="shared" si="42"/>
        <v>201806</v>
      </c>
      <c r="C1274" s="6" t="str">
        <f>INDEX(工厂基础数据!$A$2:$A$1024,MATCH(X1274,工厂基础数据!$D$2:$D$1024,0))</f>
        <v>02032120</v>
      </c>
      <c r="E1274" s="6" t="str">
        <f>INDEX(工厂基础数据!$B$2:$B$1024,MATCH(X1274,工厂基础数据!$D$2:$D$1024,0))</f>
        <v>淄博博仁医药有限公司</v>
      </c>
      <c r="F1274" s="6" t="e">
        <f>INDEX(商业2转码!$B$2:$B$10000,MATCH(E1274,商业2转码!$A$2:$A$10000,0))</f>
        <v>#N/A</v>
      </c>
      <c r="G1274" s="6">
        <f>INDEX(品种2编码!$A$2:$A$1048576,MATCH(W1274,品种2编码!$D$2:$D$1048576,0))</f>
        <v>0</v>
      </c>
      <c r="H1274" s="6" t="s">
        <v>317</v>
      </c>
      <c r="I1274" s="6" t="s">
        <v>3291</v>
      </c>
      <c r="J1274" s="6" t="s">
        <v>3279</v>
      </c>
      <c r="L1274" s="6" t="s">
        <v>3153</v>
      </c>
      <c r="M1274" s="6" t="e">
        <f>INDEX(医院2县区2人!$B$2:$B$1048576,MATCH(L1274,医院2县区2人!$A$2:$A$1048576,0))</f>
        <v>#N/A</v>
      </c>
      <c r="N1274" s="6" t="e">
        <f>INDEX(医院2县区2人!$C$2:$C$1048576,MATCH(L1274,医院2县区2人!$A$2:$A$1048576,0))</f>
        <v>#N/A</v>
      </c>
      <c r="P1274" s="7">
        <v>43274</v>
      </c>
      <c r="Q1274" s="6">
        <v>5</v>
      </c>
      <c r="R1274" s="6">
        <v>62.5</v>
      </c>
      <c r="S1274" s="6">
        <v>1803608</v>
      </c>
      <c r="T1274" s="6" t="e">
        <f>INDEX(医院2县区2人!$D$2:$D$1048576,MATCH(L1274,医院2县区2人!$A$2:$A$1048576,0))</f>
        <v>#N/A</v>
      </c>
      <c r="W1274" s="6" t="str">
        <f t="shared" si="41"/>
        <v>布洛芬颗粒0.2g*12包</v>
      </c>
      <c r="X1274" s="6" t="s">
        <v>2893</v>
      </c>
    </row>
    <row r="1275" spans="1:24" x14ac:dyDescent="0.15">
      <c r="A1275" s="7" t="str">
        <f t="shared" si="42"/>
        <v>201806</v>
      </c>
      <c r="C1275" s="6" t="str">
        <f>INDEX(工厂基础数据!$A$2:$A$1024,MATCH(X1275,工厂基础数据!$D$2:$D$1024,0))</f>
        <v>02032120</v>
      </c>
      <c r="E1275" s="6" t="str">
        <f>INDEX(工厂基础数据!$B$2:$B$1024,MATCH(X1275,工厂基础数据!$D$2:$D$1024,0))</f>
        <v>淄博博仁医药有限公司</v>
      </c>
      <c r="F1275" s="6" t="e">
        <f>INDEX(商业2转码!$B$2:$B$10000,MATCH(E1275,商业2转码!$A$2:$A$10000,0))</f>
        <v>#N/A</v>
      </c>
      <c r="G1275" s="6">
        <f>INDEX(品种2编码!$A$2:$A$1048576,MATCH(W1275,品种2编码!$D$2:$D$1048576,0))</f>
        <v>0</v>
      </c>
      <c r="H1275" s="6" t="s">
        <v>1885</v>
      </c>
      <c r="I1275" s="6" t="s">
        <v>1838</v>
      </c>
      <c r="J1275" s="6" t="s">
        <v>3279</v>
      </c>
      <c r="L1275" s="6" t="s">
        <v>3245</v>
      </c>
      <c r="M1275" s="6" t="e">
        <f>INDEX(医院2县区2人!$B$2:$B$1048576,MATCH(L1275,医院2县区2人!$A$2:$A$1048576,0))</f>
        <v>#N/A</v>
      </c>
      <c r="N1275" s="6" t="e">
        <f>INDEX(医院2县区2人!$C$2:$C$1048576,MATCH(L1275,医院2县区2人!$A$2:$A$1048576,0))</f>
        <v>#N/A</v>
      </c>
      <c r="P1275" s="7">
        <v>43274</v>
      </c>
      <c r="Q1275" s="6">
        <v>7</v>
      </c>
      <c r="R1275" s="6">
        <v>168</v>
      </c>
      <c r="S1275" s="6">
        <v>171124</v>
      </c>
      <c r="T1275" s="6" t="e">
        <f>INDEX(医院2县区2人!$D$2:$D$1048576,MATCH(L1275,医院2县区2人!$A$2:$A$1048576,0))</f>
        <v>#N/A</v>
      </c>
      <c r="W1275" s="6" t="str">
        <f t="shared" si="41"/>
        <v>新盖中盖高钙片2.5g*36片</v>
      </c>
      <c r="X1275" s="6" t="s">
        <v>2893</v>
      </c>
    </row>
    <row r="1276" spans="1:24" x14ac:dyDescent="0.15">
      <c r="A1276" s="7" t="str">
        <f t="shared" si="42"/>
        <v>201806</v>
      </c>
      <c r="C1276" s="6" t="str">
        <f>INDEX(工厂基础数据!$A$2:$A$1024,MATCH(X1276,工厂基础数据!$D$2:$D$1024,0))</f>
        <v>02032120</v>
      </c>
      <c r="E1276" s="6" t="str">
        <f>INDEX(工厂基础数据!$B$2:$B$1024,MATCH(X1276,工厂基础数据!$D$2:$D$1024,0))</f>
        <v>淄博博仁医药有限公司</v>
      </c>
      <c r="F1276" s="6" t="e">
        <f>INDEX(商业2转码!$B$2:$B$10000,MATCH(E1276,商业2转码!$A$2:$A$10000,0))</f>
        <v>#N/A</v>
      </c>
      <c r="G1276" s="6" t="str">
        <f>INDEX(品种2编码!$A$2:$A$1048576,MATCH(W1276,品种2编码!$D$2:$D$1048576,0))</f>
        <v>0020050090SJZY0001</v>
      </c>
      <c r="H1276" s="6" t="s">
        <v>630</v>
      </c>
      <c r="I1276" s="6" t="s">
        <v>1850</v>
      </c>
      <c r="J1276" s="6" t="s">
        <v>3285</v>
      </c>
      <c r="L1276" s="6" t="s">
        <v>3177</v>
      </c>
      <c r="M1276" s="6" t="e">
        <f>INDEX(医院2县区2人!$B$2:$B$1048576,MATCH(L1276,医院2县区2人!$A$2:$A$1048576,0))</f>
        <v>#N/A</v>
      </c>
      <c r="N1276" s="6" t="e">
        <f>INDEX(医院2县区2人!$C$2:$C$1048576,MATCH(L1276,医院2县区2人!$A$2:$A$1048576,0))</f>
        <v>#N/A</v>
      </c>
      <c r="P1276" s="7">
        <v>43274</v>
      </c>
      <c r="Q1276" s="6">
        <v>10</v>
      </c>
      <c r="R1276" s="6">
        <v>165</v>
      </c>
      <c r="S1276" s="6">
        <v>17122813</v>
      </c>
      <c r="T1276" s="6" t="e">
        <f>INDEX(医院2县区2人!$D$2:$D$1048576,MATCH(L1276,医院2县区2人!$A$2:$A$1048576,0))</f>
        <v>#N/A</v>
      </c>
      <c r="W1276" s="6" t="str">
        <f t="shared" si="41"/>
        <v>双黄连口服液10ml*10支</v>
      </c>
      <c r="X1276" s="6" t="s">
        <v>2893</v>
      </c>
    </row>
    <row r="1277" spans="1:24" x14ac:dyDescent="0.15">
      <c r="A1277" s="7" t="str">
        <f t="shared" si="42"/>
        <v>201806</v>
      </c>
      <c r="C1277" s="6" t="str">
        <f>INDEX(工厂基础数据!$A$2:$A$1024,MATCH(X1277,工厂基础数据!$D$2:$D$1024,0))</f>
        <v>02032120</v>
      </c>
      <c r="E1277" s="6" t="str">
        <f>INDEX(工厂基础数据!$B$2:$B$1024,MATCH(X1277,工厂基础数据!$D$2:$D$1024,0))</f>
        <v>淄博博仁医药有限公司</v>
      </c>
      <c r="F1277" s="6" t="e">
        <f>INDEX(商业2转码!$B$2:$B$10000,MATCH(E1277,商业2转码!$A$2:$A$10000,0))</f>
        <v>#N/A</v>
      </c>
      <c r="G1277" s="6">
        <f>INDEX(品种2编码!$A$2:$A$1048576,MATCH(W1277,品种2编码!$D$2:$D$1048576,0))</f>
        <v>0</v>
      </c>
      <c r="H1277" s="6" t="s">
        <v>3269</v>
      </c>
      <c r="I1277" s="6" t="s">
        <v>1839</v>
      </c>
      <c r="J1277" s="6" t="s">
        <v>3279</v>
      </c>
      <c r="L1277" s="6" t="s">
        <v>3123</v>
      </c>
      <c r="M1277" s="6" t="e">
        <f>INDEX(医院2县区2人!$B$2:$B$1048576,MATCH(L1277,医院2县区2人!$A$2:$A$1048576,0))</f>
        <v>#N/A</v>
      </c>
      <c r="N1277" s="6" t="e">
        <f>INDEX(医院2县区2人!$C$2:$C$1048576,MATCH(L1277,医院2县区2人!$A$2:$A$1048576,0))</f>
        <v>#N/A</v>
      </c>
      <c r="P1277" s="7">
        <v>43274</v>
      </c>
      <c r="Q1277" s="6">
        <v>10</v>
      </c>
      <c r="R1277" s="6">
        <v>63</v>
      </c>
      <c r="S1277" s="6">
        <v>180111</v>
      </c>
      <c r="T1277" s="6" t="e">
        <f>INDEX(医院2县区2人!$D$2:$D$1048576,MATCH(L1277,医院2县区2人!$A$2:$A$1048576,0))</f>
        <v>#N/A</v>
      </c>
      <c r="W1277" s="6" t="str">
        <f t="shared" si="41"/>
        <v>乳酸菌素片(精）0.4g*36片</v>
      </c>
      <c r="X1277" s="6" t="s">
        <v>2893</v>
      </c>
    </row>
    <row r="1278" spans="1:24" x14ac:dyDescent="0.15">
      <c r="A1278" s="7" t="str">
        <f t="shared" si="42"/>
        <v>201806</v>
      </c>
      <c r="C1278" s="6" t="str">
        <f>INDEX(工厂基础数据!$A$2:$A$1024,MATCH(X1278,工厂基础数据!$D$2:$D$1024,0))</f>
        <v>02032120</v>
      </c>
      <c r="E1278" s="6" t="str">
        <f>INDEX(工厂基础数据!$B$2:$B$1024,MATCH(X1278,工厂基础数据!$D$2:$D$1024,0))</f>
        <v>淄博博仁医药有限公司</v>
      </c>
      <c r="F1278" s="6" t="e">
        <f>INDEX(商业2转码!$B$2:$B$10000,MATCH(E1278,商业2转码!$A$2:$A$10000,0))</f>
        <v>#N/A</v>
      </c>
      <c r="G1278" s="6" t="str">
        <f>INDEX(品种2编码!$A$2:$A$1048576,MATCH(W1278,品种2编码!$D$2:$D$1048576,0))</f>
        <v>0020020030SJMS0025</v>
      </c>
      <c r="H1278" s="6" t="s">
        <v>586</v>
      </c>
      <c r="I1278" s="6" t="s">
        <v>1937</v>
      </c>
      <c r="J1278" s="6" t="s">
        <v>3282</v>
      </c>
      <c r="L1278" s="6" t="s">
        <v>3243</v>
      </c>
      <c r="M1278" s="6" t="e">
        <f>INDEX(医院2县区2人!$B$2:$B$1048576,MATCH(L1278,医院2县区2人!$A$2:$A$1048576,0))</f>
        <v>#N/A</v>
      </c>
      <c r="N1278" s="6" t="e">
        <f>INDEX(医院2县区2人!$C$2:$C$1048576,MATCH(L1278,医院2县区2人!$A$2:$A$1048576,0))</f>
        <v>#N/A</v>
      </c>
      <c r="P1278" s="7">
        <v>43274</v>
      </c>
      <c r="Q1278" s="6">
        <v>10</v>
      </c>
      <c r="R1278" s="6">
        <v>55</v>
      </c>
      <c r="S1278" s="6">
        <v>1709011</v>
      </c>
      <c r="T1278" s="6" t="e">
        <f>INDEX(医院2县区2人!$D$2:$D$1048576,MATCH(L1278,医院2县区2人!$A$2:$A$1048576,0))</f>
        <v>#N/A</v>
      </c>
      <c r="W1278" s="6" t="str">
        <f t="shared" si="41"/>
        <v>人工牛黄甲硝唑胶囊30粒</v>
      </c>
      <c r="X1278" s="6" t="s">
        <v>2893</v>
      </c>
    </row>
    <row r="1279" spans="1:24" x14ac:dyDescent="0.15">
      <c r="A1279" s="7" t="str">
        <f t="shared" si="42"/>
        <v>201806</v>
      </c>
      <c r="C1279" s="6" t="str">
        <f>INDEX(工厂基础数据!$A$2:$A$1024,MATCH(X1279,工厂基础数据!$D$2:$D$1024,0))</f>
        <v>02032120</v>
      </c>
      <c r="E1279" s="6" t="str">
        <f>INDEX(工厂基础数据!$B$2:$B$1024,MATCH(X1279,工厂基础数据!$D$2:$D$1024,0))</f>
        <v>淄博博仁医药有限公司</v>
      </c>
      <c r="F1279" s="6" t="e">
        <f>INDEX(商业2转码!$B$2:$B$10000,MATCH(E1279,商业2转码!$A$2:$A$10000,0))</f>
        <v>#N/A</v>
      </c>
      <c r="G1279" s="6" t="str">
        <f>INDEX(品种2编码!$A$2:$A$1048576,MATCH(W1279,品种2编码!$D$2:$D$1048576,0))</f>
        <v>0020030001SJZY0006</v>
      </c>
      <c r="H1279" s="6" t="s">
        <v>1833</v>
      </c>
      <c r="I1279" s="6" t="s">
        <v>411</v>
      </c>
      <c r="J1279" s="6" t="s">
        <v>3280</v>
      </c>
      <c r="L1279" s="6" t="s">
        <v>3177</v>
      </c>
      <c r="M1279" s="6" t="e">
        <f>INDEX(医院2县区2人!$B$2:$B$1048576,MATCH(L1279,医院2县区2人!$A$2:$A$1048576,0))</f>
        <v>#N/A</v>
      </c>
      <c r="N1279" s="6" t="e">
        <f>INDEX(医院2县区2人!$C$2:$C$1048576,MATCH(L1279,医院2县区2人!$A$2:$A$1048576,0))</f>
        <v>#N/A</v>
      </c>
      <c r="P1279" s="7">
        <v>43274</v>
      </c>
      <c r="Q1279" s="6">
        <v>10</v>
      </c>
      <c r="R1279" s="6">
        <v>220</v>
      </c>
      <c r="S1279" s="6">
        <v>18030523</v>
      </c>
      <c r="T1279" s="6" t="e">
        <f>INDEX(医院2县区2人!$D$2:$D$1048576,MATCH(L1279,医院2县区2人!$A$2:$A$1048576,0))</f>
        <v>#N/A</v>
      </c>
      <c r="W1279" s="6" t="str">
        <f t="shared" si="41"/>
        <v>葡萄糖酸钙口服溶液10ml*12支</v>
      </c>
      <c r="X1279" s="6" t="s">
        <v>2893</v>
      </c>
    </row>
    <row r="1280" spans="1:24" x14ac:dyDescent="0.15">
      <c r="A1280" s="7" t="str">
        <f t="shared" si="42"/>
        <v>201806</v>
      </c>
      <c r="C1280" s="6" t="str">
        <f>INDEX(工厂基础数据!$A$2:$A$1024,MATCH(X1280,工厂基础数据!$D$2:$D$1024,0))</f>
        <v>02032120</v>
      </c>
      <c r="E1280" s="6" t="str">
        <f>INDEX(工厂基础数据!$B$2:$B$1024,MATCH(X1280,工厂基础数据!$D$2:$D$1024,0))</f>
        <v>淄博博仁医药有限公司</v>
      </c>
      <c r="F1280" s="6" t="e">
        <f>INDEX(商业2转码!$B$2:$B$10000,MATCH(E1280,商业2转码!$A$2:$A$10000,0))</f>
        <v>#N/A</v>
      </c>
      <c r="G1280" s="6">
        <f>INDEX(品种2编码!$A$2:$A$1048576,MATCH(W1280,品种2编码!$D$2:$D$1048576,0))</f>
        <v>0</v>
      </c>
      <c r="H1280" s="6" t="s">
        <v>3268</v>
      </c>
      <c r="I1280" s="6" t="s">
        <v>411</v>
      </c>
      <c r="J1280" s="6" t="s">
        <v>3040</v>
      </c>
      <c r="L1280" s="6" t="s">
        <v>3177</v>
      </c>
      <c r="M1280" s="6" t="e">
        <f>INDEX(医院2县区2人!$B$2:$B$1048576,MATCH(L1280,医院2县区2人!$A$2:$A$1048576,0))</f>
        <v>#N/A</v>
      </c>
      <c r="N1280" s="6" t="e">
        <f>INDEX(医院2县区2人!$C$2:$C$1048576,MATCH(L1280,医院2县区2人!$A$2:$A$1048576,0))</f>
        <v>#N/A</v>
      </c>
      <c r="P1280" s="7">
        <v>43274</v>
      </c>
      <c r="Q1280" s="6">
        <v>10</v>
      </c>
      <c r="R1280" s="6">
        <v>230</v>
      </c>
      <c r="S1280" s="6">
        <v>17112821</v>
      </c>
      <c r="T1280" s="6" t="e">
        <f>INDEX(医院2县区2人!$D$2:$D$1048576,MATCH(L1280,医院2县区2人!$A$2:$A$1048576,0))</f>
        <v>#N/A</v>
      </c>
      <c r="W1280" s="6" t="str">
        <f t="shared" si="41"/>
        <v>葡糖糖酸锌口服溶液10ml*12支</v>
      </c>
      <c r="X1280" s="6" t="s">
        <v>2893</v>
      </c>
    </row>
    <row r="1281" spans="1:24" x14ac:dyDescent="0.15">
      <c r="A1281" s="7" t="str">
        <f t="shared" si="42"/>
        <v>201806</v>
      </c>
      <c r="C1281" s="6" t="str">
        <f>INDEX(工厂基础数据!$A$2:$A$1024,MATCH(X1281,工厂基础数据!$D$2:$D$1024,0))</f>
        <v>02032120</v>
      </c>
      <c r="E1281" s="6" t="str">
        <f>INDEX(工厂基础数据!$B$2:$B$1024,MATCH(X1281,工厂基础数据!$D$2:$D$1024,0))</f>
        <v>淄博博仁医药有限公司</v>
      </c>
      <c r="F1281" s="6" t="e">
        <f>INDEX(商业2转码!$B$2:$B$10000,MATCH(E1281,商业2转码!$A$2:$A$10000,0))</f>
        <v>#N/A</v>
      </c>
      <c r="G1281" s="6" t="str">
        <f>INDEX(品种2编码!$A$2:$A$1048576,MATCH(W1281,品种2编码!$D$2:$D$1048576,0))</f>
        <v>0020020020ZYLC0003</v>
      </c>
      <c r="H1281" s="6" t="s">
        <v>1855</v>
      </c>
      <c r="I1281" s="6" t="s">
        <v>381</v>
      </c>
      <c r="J1281" s="6" t="s">
        <v>3279</v>
      </c>
      <c r="L1281" s="6" t="s">
        <v>3244</v>
      </c>
      <c r="M1281" s="6" t="e">
        <f>INDEX(医院2县区2人!$B$2:$B$1048576,MATCH(L1281,医院2县区2人!$A$2:$A$1048576,0))</f>
        <v>#N/A</v>
      </c>
      <c r="N1281" s="6" t="e">
        <f>INDEX(医院2县区2人!$C$2:$C$1048576,MATCH(L1281,医院2县区2人!$A$2:$A$1048576,0))</f>
        <v>#N/A</v>
      </c>
      <c r="P1281" s="7">
        <v>43274</v>
      </c>
      <c r="Q1281" s="6">
        <v>10</v>
      </c>
      <c r="R1281" s="6">
        <v>55</v>
      </c>
      <c r="S1281" s="6">
        <v>170706</v>
      </c>
      <c r="T1281" s="6" t="e">
        <f>INDEX(医院2县区2人!$D$2:$D$1048576,MATCH(L1281,医院2县区2人!$A$2:$A$1048576,0))</f>
        <v>#N/A</v>
      </c>
      <c r="W1281" s="6" t="str">
        <f t="shared" si="41"/>
        <v>颠茄磺苄啶片12片</v>
      </c>
      <c r="X1281" s="6" t="s">
        <v>2893</v>
      </c>
    </row>
    <row r="1282" spans="1:24" x14ac:dyDescent="0.15">
      <c r="A1282" s="7" t="str">
        <f t="shared" si="42"/>
        <v>201806</v>
      </c>
      <c r="C1282" s="6" t="str">
        <f>INDEX(工厂基础数据!$A$2:$A$1024,MATCH(X1282,工厂基础数据!$D$2:$D$1024,0))</f>
        <v>02032120</v>
      </c>
      <c r="E1282" s="6" t="str">
        <f>INDEX(工厂基础数据!$B$2:$B$1024,MATCH(X1282,工厂基础数据!$D$2:$D$1024,0))</f>
        <v>淄博博仁医药有限公司</v>
      </c>
      <c r="F1282" s="6" t="e">
        <f>INDEX(商业2转码!$B$2:$B$10000,MATCH(E1282,商业2转码!$A$2:$A$10000,0))</f>
        <v>#N/A</v>
      </c>
      <c r="G1282" s="6">
        <f>INDEX(品种2编码!$A$2:$A$1048576,MATCH(W1282,品种2编码!$D$2:$D$1048576,0))</f>
        <v>0</v>
      </c>
      <c r="H1282" s="6" t="s">
        <v>672</v>
      </c>
      <c r="I1282" s="6" t="s">
        <v>1843</v>
      </c>
      <c r="J1282" s="6" t="s">
        <v>3279</v>
      </c>
      <c r="L1282" s="6" t="s">
        <v>3177</v>
      </c>
      <c r="M1282" s="6" t="e">
        <f>INDEX(医院2县区2人!$B$2:$B$1048576,MATCH(L1282,医院2县区2人!$A$2:$A$1048576,0))</f>
        <v>#N/A</v>
      </c>
      <c r="N1282" s="6" t="e">
        <f>INDEX(医院2县区2人!$C$2:$C$1048576,MATCH(L1282,医院2县区2人!$A$2:$A$1048576,0))</f>
        <v>#N/A</v>
      </c>
      <c r="P1282" s="7">
        <v>43274</v>
      </c>
      <c r="Q1282" s="6">
        <v>20</v>
      </c>
      <c r="R1282" s="6">
        <v>0.2</v>
      </c>
      <c r="S1282" s="6">
        <v>20180105</v>
      </c>
      <c r="T1282" s="6" t="e">
        <f>INDEX(医院2县区2人!$D$2:$D$1048576,MATCH(L1282,医院2县区2人!$A$2:$A$1048576,0))</f>
        <v>#N/A</v>
      </c>
      <c r="W1282" s="6" t="str">
        <f t="shared" si="41"/>
        <v>退热贴2贴</v>
      </c>
      <c r="X1282" s="6" t="s">
        <v>2893</v>
      </c>
    </row>
    <row r="1283" spans="1:24" x14ac:dyDescent="0.15">
      <c r="A1283" s="7" t="str">
        <f t="shared" si="42"/>
        <v>201806</v>
      </c>
      <c r="C1283" s="6" t="str">
        <f>INDEX(工厂基础数据!$A$2:$A$1024,MATCH(X1283,工厂基础数据!$D$2:$D$1024,0))</f>
        <v>02032120</v>
      </c>
      <c r="E1283" s="6" t="str">
        <f>INDEX(工厂基础数据!$B$2:$B$1024,MATCH(X1283,工厂基础数据!$D$2:$D$1024,0))</f>
        <v>淄博博仁医药有限公司</v>
      </c>
      <c r="F1283" s="6" t="e">
        <f>INDEX(商业2转码!$B$2:$B$10000,MATCH(E1283,商业2转码!$A$2:$A$10000,0))</f>
        <v>#N/A</v>
      </c>
      <c r="G1283" s="6" t="str">
        <f>INDEX(品种2编码!$A$2:$A$1048576,MATCH(W1283,品种2编码!$D$2:$D$1048576,0))</f>
        <v>0020040001SHYT0026</v>
      </c>
      <c r="H1283" s="6" t="s">
        <v>715</v>
      </c>
      <c r="I1283" s="6" t="s">
        <v>1867</v>
      </c>
      <c r="J1283" s="6" t="s">
        <v>3279</v>
      </c>
      <c r="L1283" s="6" t="s">
        <v>3123</v>
      </c>
      <c r="M1283" s="6" t="e">
        <f>INDEX(医院2县区2人!$B$2:$B$1048576,MATCH(L1283,医院2县区2人!$A$2:$A$1048576,0))</f>
        <v>#N/A</v>
      </c>
      <c r="N1283" s="6" t="e">
        <f>INDEX(医院2县区2人!$C$2:$C$1048576,MATCH(L1283,医院2县区2人!$A$2:$A$1048576,0))</f>
        <v>#N/A</v>
      </c>
      <c r="P1283" s="7">
        <v>43276</v>
      </c>
      <c r="Q1283" s="6">
        <v>-7</v>
      </c>
      <c r="R1283" s="6">
        <v>-35</v>
      </c>
      <c r="S1283" s="6">
        <v>1801108</v>
      </c>
      <c r="T1283" s="6" t="e">
        <f>INDEX(医院2县区2人!$D$2:$D$1048576,MATCH(L1283,医院2县区2人!$A$2:$A$1048576,0))</f>
        <v>#N/A</v>
      </c>
      <c r="W1283" s="6" t="str">
        <f t="shared" ref="W1283:W1346" si="43">H1283&amp;I1283</f>
        <v>小活络丸3g*10丸</v>
      </c>
      <c r="X1283" s="6" t="s">
        <v>2893</v>
      </c>
    </row>
    <row r="1284" spans="1:24" x14ac:dyDescent="0.15">
      <c r="A1284" s="7" t="str">
        <f t="shared" ref="A1284:A1347" si="44">IF(MONTH(P1284)&lt;10,YEAR(P1284)&amp;"0"&amp;MONTH(P1284),YEAR(P1284)&amp;MONTH(P1284))</f>
        <v>201806</v>
      </c>
      <c r="C1284" s="6" t="str">
        <f>INDEX(工厂基础数据!$A$2:$A$1024,MATCH(X1284,工厂基础数据!$D$2:$D$1024,0))</f>
        <v>02032120</v>
      </c>
      <c r="E1284" s="6" t="str">
        <f>INDEX(工厂基础数据!$B$2:$B$1024,MATCH(X1284,工厂基础数据!$D$2:$D$1024,0))</f>
        <v>淄博博仁医药有限公司</v>
      </c>
      <c r="F1284" s="6" t="e">
        <f>INDEX(商业2转码!$B$2:$B$10000,MATCH(E1284,商业2转码!$A$2:$A$10000,0))</f>
        <v>#N/A</v>
      </c>
      <c r="G1284" s="6" t="str">
        <f>INDEX(品种2编码!$A$2:$A$1048576,MATCH(W1284,品种2编码!$D$2:$D$1048576,0))</f>
        <v>0020040001SHYT0018</v>
      </c>
      <c r="H1284" s="6" t="s">
        <v>732</v>
      </c>
      <c r="I1284" s="6" t="s">
        <v>444</v>
      </c>
      <c r="J1284" s="6" t="s">
        <v>3279</v>
      </c>
      <c r="L1284" s="6" t="s">
        <v>3123</v>
      </c>
      <c r="M1284" s="6" t="e">
        <f>INDEX(医院2县区2人!$B$2:$B$1048576,MATCH(L1284,医院2县区2人!$A$2:$A$1048576,0))</f>
        <v>#N/A</v>
      </c>
      <c r="N1284" s="6" t="e">
        <f>INDEX(医院2县区2人!$C$2:$C$1048576,MATCH(L1284,医院2县区2人!$A$2:$A$1048576,0))</f>
        <v>#N/A</v>
      </c>
      <c r="P1284" s="7">
        <v>43276</v>
      </c>
      <c r="Q1284" s="6">
        <v>-3</v>
      </c>
      <c r="R1284" s="6">
        <v>-25.5</v>
      </c>
      <c r="S1284" s="6">
        <v>1712113</v>
      </c>
      <c r="T1284" s="6" t="e">
        <f>INDEX(医院2县区2人!$D$2:$D$1048576,MATCH(L1284,医院2县区2人!$A$2:$A$1048576,0))</f>
        <v>#N/A</v>
      </c>
      <c r="W1284" s="6" t="str">
        <f t="shared" si="43"/>
        <v>血府逐瘀丸9g*10丸</v>
      </c>
      <c r="X1284" s="6" t="s">
        <v>2893</v>
      </c>
    </row>
    <row r="1285" spans="1:24" x14ac:dyDescent="0.15">
      <c r="A1285" s="7" t="str">
        <f t="shared" si="44"/>
        <v>201806</v>
      </c>
      <c r="C1285" s="6" t="str">
        <f>INDEX(工厂基础数据!$A$2:$A$1024,MATCH(X1285,工厂基础数据!$D$2:$D$1024,0))</f>
        <v>02032120</v>
      </c>
      <c r="E1285" s="6" t="str">
        <f>INDEX(工厂基础数据!$B$2:$B$1024,MATCH(X1285,工厂基础数据!$D$2:$D$1024,0))</f>
        <v>淄博博仁医药有限公司</v>
      </c>
      <c r="F1285" s="6" t="e">
        <f>INDEX(商业2转码!$B$2:$B$10000,MATCH(E1285,商业2转码!$A$2:$A$10000,0))</f>
        <v>#N/A</v>
      </c>
      <c r="G1285" s="6" t="str">
        <f>INDEX(品种2编码!$A$2:$A$1048576,MATCH(W1285,品种2编码!$D$2:$D$1048576,0))</f>
        <v>0020070000ZYLC0052</v>
      </c>
      <c r="H1285" s="6" t="s">
        <v>402</v>
      </c>
      <c r="I1285" s="6" t="s">
        <v>411</v>
      </c>
      <c r="J1285" s="6" t="s">
        <v>3279</v>
      </c>
      <c r="L1285" s="6" t="s">
        <v>3186</v>
      </c>
      <c r="M1285" s="6" t="e">
        <f>INDEX(医院2县区2人!$B$2:$B$1048576,MATCH(L1285,医院2县区2人!$A$2:$A$1048576,0))</f>
        <v>#N/A</v>
      </c>
      <c r="N1285" s="6" t="e">
        <f>INDEX(医院2县区2人!$C$2:$C$1048576,MATCH(L1285,医院2县区2人!$A$2:$A$1048576,0))</f>
        <v>#N/A</v>
      </c>
      <c r="P1285" s="7">
        <v>43276</v>
      </c>
      <c r="Q1285" s="6">
        <v>1</v>
      </c>
      <c r="R1285" s="6">
        <v>17</v>
      </c>
      <c r="S1285" s="6">
        <v>170801</v>
      </c>
      <c r="T1285" s="6" t="e">
        <f>INDEX(医院2县区2人!$D$2:$D$1048576,MATCH(L1285,医院2县区2人!$A$2:$A$1048576,0))</f>
        <v>#N/A</v>
      </c>
      <c r="W1285" s="6" t="str">
        <f t="shared" si="43"/>
        <v>钙加锌口服液10ml*12支</v>
      </c>
      <c r="X1285" s="6" t="s">
        <v>2893</v>
      </c>
    </row>
    <row r="1286" spans="1:24" x14ac:dyDescent="0.15">
      <c r="A1286" s="7" t="str">
        <f t="shared" si="44"/>
        <v>201806</v>
      </c>
      <c r="C1286" s="6" t="str">
        <f>INDEX(工厂基础数据!$A$2:$A$1024,MATCH(X1286,工厂基础数据!$D$2:$D$1024,0))</f>
        <v>02032120</v>
      </c>
      <c r="E1286" s="6" t="str">
        <f>INDEX(工厂基础数据!$B$2:$B$1024,MATCH(X1286,工厂基础数据!$D$2:$D$1024,0))</f>
        <v>淄博博仁医药有限公司</v>
      </c>
      <c r="F1286" s="6" t="e">
        <f>INDEX(商业2转码!$B$2:$B$10000,MATCH(E1286,商业2转码!$A$2:$A$10000,0))</f>
        <v>#N/A</v>
      </c>
      <c r="G1286" s="6">
        <f>INDEX(品种2编码!$A$2:$A$1048576,MATCH(W1286,品种2编码!$D$2:$D$1048576,0))</f>
        <v>0</v>
      </c>
      <c r="H1286" s="6" t="s">
        <v>3271</v>
      </c>
      <c r="I1286" s="6" t="s">
        <v>3298</v>
      </c>
      <c r="J1286" s="6" t="s">
        <v>3038</v>
      </c>
      <c r="L1286" s="6" t="s">
        <v>3140</v>
      </c>
      <c r="M1286" s="6" t="e">
        <f>INDEX(医院2县区2人!$B$2:$B$1048576,MATCH(L1286,医院2县区2人!$A$2:$A$1048576,0))</f>
        <v>#N/A</v>
      </c>
      <c r="N1286" s="6" t="e">
        <f>INDEX(医院2县区2人!$C$2:$C$1048576,MATCH(L1286,医院2县区2人!$A$2:$A$1048576,0))</f>
        <v>#N/A</v>
      </c>
      <c r="P1286" s="7">
        <v>43276</v>
      </c>
      <c r="Q1286" s="6">
        <v>1</v>
      </c>
      <c r="R1286" s="6">
        <v>0.01</v>
      </c>
      <c r="S1286" s="6">
        <v>180501</v>
      </c>
      <c r="T1286" s="6" t="e">
        <f>INDEX(医院2县区2人!$D$2:$D$1048576,MATCH(L1286,医院2县区2人!$A$2:$A$1048576,0))</f>
        <v>#N/A</v>
      </c>
      <c r="W1286" s="6" t="str">
        <f t="shared" si="43"/>
        <v>*新贝增盖牌硒加钙咀嚼片1.75g*60片</v>
      </c>
      <c r="X1286" s="6" t="s">
        <v>2893</v>
      </c>
    </row>
    <row r="1287" spans="1:24" x14ac:dyDescent="0.15">
      <c r="A1287" s="7" t="str">
        <f t="shared" si="44"/>
        <v>201806</v>
      </c>
      <c r="C1287" s="6" t="str">
        <f>INDEX(工厂基础数据!$A$2:$A$1024,MATCH(X1287,工厂基础数据!$D$2:$D$1024,0))</f>
        <v>02032120</v>
      </c>
      <c r="E1287" s="6" t="str">
        <f>INDEX(工厂基础数据!$B$2:$B$1024,MATCH(X1287,工厂基础数据!$D$2:$D$1024,0))</f>
        <v>淄博博仁医药有限公司</v>
      </c>
      <c r="F1287" s="6" t="e">
        <f>INDEX(商业2转码!$B$2:$B$10000,MATCH(E1287,商业2转码!$A$2:$A$10000,0))</f>
        <v>#N/A</v>
      </c>
      <c r="G1287" s="6">
        <f>INDEX(品种2编码!$A$2:$A$1048576,MATCH(W1287,品种2编码!$D$2:$D$1048576,0))</f>
        <v>0</v>
      </c>
      <c r="H1287" s="6" t="s">
        <v>705</v>
      </c>
      <c r="I1287" s="6" t="s">
        <v>2035</v>
      </c>
      <c r="J1287" s="6" t="s">
        <v>3279</v>
      </c>
      <c r="L1287" s="6" t="s">
        <v>3127</v>
      </c>
      <c r="M1287" s="6" t="e">
        <f>INDEX(医院2县区2人!$B$2:$B$1048576,MATCH(L1287,医院2县区2人!$A$2:$A$1048576,0))</f>
        <v>#N/A</v>
      </c>
      <c r="N1287" s="6" t="e">
        <f>INDEX(医院2县区2人!$C$2:$C$1048576,MATCH(L1287,医院2县区2人!$A$2:$A$1048576,0))</f>
        <v>#N/A</v>
      </c>
      <c r="P1287" s="7">
        <v>43276</v>
      </c>
      <c r="Q1287" s="6">
        <v>2</v>
      </c>
      <c r="R1287" s="6">
        <v>4.5999999999999996</v>
      </c>
      <c r="S1287" s="6">
        <v>170601</v>
      </c>
      <c r="T1287" s="6" t="e">
        <f>INDEX(医院2县区2人!$D$2:$D$1048576,MATCH(L1287,医院2县区2人!$A$2:$A$1048576,0))</f>
        <v>#N/A</v>
      </c>
      <c r="W1287" s="6" t="str">
        <f t="shared" si="43"/>
        <v>小儿氨酚黄那敏片20片</v>
      </c>
      <c r="X1287" s="6" t="s">
        <v>2893</v>
      </c>
    </row>
    <row r="1288" spans="1:24" x14ac:dyDescent="0.15">
      <c r="A1288" s="7" t="str">
        <f t="shared" si="44"/>
        <v>201806</v>
      </c>
      <c r="C1288" s="6" t="str">
        <f>INDEX(工厂基础数据!$A$2:$A$1024,MATCH(X1288,工厂基础数据!$D$2:$D$1024,0))</f>
        <v>02032120</v>
      </c>
      <c r="E1288" s="6" t="str">
        <f>INDEX(工厂基础数据!$B$2:$B$1024,MATCH(X1288,工厂基础数据!$D$2:$D$1024,0))</f>
        <v>淄博博仁医药有限公司</v>
      </c>
      <c r="F1288" s="6" t="e">
        <f>INDEX(商业2转码!$B$2:$B$10000,MATCH(E1288,商业2转码!$A$2:$A$10000,0))</f>
        <v>#N/A</v>
      </c>
      <c r="G1288" s="6" t="str">
        <f>INDEX(品种2编码!$A$2:$A$1048576,MATCH(W1288,品种2编码!$D$2:$D$1048576,0))</f>
        <v>0020070000ZYLC0052</v>
      </c>
      <c r="H1288" s="6" t="s">
        <v>402</v>
      </c>
      <c r="I1288" s="6" t="s">
        <v>411</v>
      </c>
      <c r="J1288" s="6" t="s">
        <v>3279</v>
      </c>
      <c r="L1288" s="6" t="s">
        <v>3159</v>
      </c>
      <c r="M1288" s="6" t="e">
        <f>INDEX(医院2县区2人!$B$2:$B$1048576,MATCH(L1288,医院2县区2人!$A$2:$A$1048576,0))</f>
        <v>#N/A</v>
      </c>
      <c r="N1288" s="6" t="e">
        <f>INDEX(医院2县区2人!$C$2:$C$1048576,MATCH(L1288,医院2县区2人!$A$2:$A$1048576,0))</f>
        <v>#N/A</v>
      </c>
      <c r="P1288" s="7">
        <v>43276</v>
      </c>
      <c r="Q1288" s="6">
        <v>2</v>
      </c>
      <c r="R1288" s="6">
        <v>34</v>
      </c>
      <c r="S1288" s="6">
        <v>170801</v>
      </c>
      <c r="T1288" s="6" t="e">
        <f>INDEX(医院2县区2人!$D$2:$D$1048576,MATCH(L1288,医院2县区2人!$A$2:$A$1048576,0))</f>
        <v>#N/A</v>
      </c>
      <c r="W1288" s="6" t="str">
        <f t="shared" si="43"/>
        <v>钙加锌口服液10ml*12支</v>
      </c>
      <c r="X1288" s="6" t="s">
        <v>2893</v>
      </c>
    </row>
    <row r="1289" spans="1:24" x14ac:dyDescent="0.15">
      <c r="A1289" s="7" t="str">
        <f t="shared" si="44"/>
        <v>201806</v>
      </c>
      <c r="C1289" s="6" t="str">
        <f>INDEX(工厂基础数据!$A$2:$A$1024,MATCH(X1289,工厂基础数据!$D$2:$D$1024,0))</f>
        <v>02032120</v>
      </c>
      <c r="E1289" s="6" t="str">
        <f>INDEX(工厂基础数据!$B$2:$B$1024,MATCH(X1289,工厂基础数据!$D$2:$D$1024,0))</f>
        <v>淄博博仁医药有限公司</v>
      </c>
      <c r="F1289" s="6" t="e">
        <f>INDEX(商业2转码!$B$2:$B$10000,MATCH(E1289,商业2转码!$A$2:$A$10000,0))</f>
        <v>#N/A</v>
      </c>
      <c r="G1289" s="6">
        <f>INDEX(品种2编码!$A$2:$A$1048576,MATCH(W1289,品种2编码!$D$2:$D$1048576,0))</f>
        <v>0</v>
      </c>
      <c r="H1289" s="6" t="s">
        <v>1857</v>
      </c>
      <c r="I1289" s="6" t="s">
        <v>3288</v>
      </c>
      <c r="J1289" s="6" t="s">
        <v>3281</v>
      </c>
      <c r="L1289" s="6" t="s">
        <v>3141</v>
      </c>
      <c r="M1289" s="6" t="e">
        <f>INDEX(医院2县区2人!$B$2:$B$1048576,MATCH(L1289,医院2县区2人!$A$2:$A$1048576,0))</f>
        <v>#N/A</v>
      </c>
      <c r="N1289" s="6" t="e">
        <f>INDEX(医院2县区2人!$C$2:$C$1048576,MATCH(L1289,医院2县区2人!$A$2:$A$1048576,0))</f>
        <v>#N/A</v>
      </c>
      <c r="P1289" s="7">
        <v>43276</v>
      </c>
      <c r="Q1289" s="6">
        <v>2</v>
      </c>
      <c r="R1289" s="6">
        <v>21.2</v>
      </c>
      <c r="S1289" s="6">
        <v>1801404</v>
      </c>
      <c r="T1289" s="6" t="e">
        <f>INDEX(医院2县区2人!$D$2:$D$1048576,MATCH(L1289,医院2县区2人!$A$2:$A$1048576,0))</f>
        <v>#N/A</v>
      </c>
      <c r="W1289" s="6" t="str">
        <f t="shared" si="43"/>
        <v>妇宁栓7粒</v>
      </c>
      <c r="X1289" s="6" t="s">
        <v>2893</v>
      </c>
    </row>
    <row r="1290" spans="1:24" x14ac:dyDescent="0.15">
      <c r="A1290" s="7" t="str">
        <f t="shared" si="44"/>
        <v>201806</v>
      </c>
      <c r="C1290" s="6" t="str">
        <f>INDEX(工厂基础数据!$A$2:$A$1024,MATCH(X1290,工厂基础数据!$D$2:$D$1024,0))</f>
        <v>02032120</v>
      </c>
      <c r="E1290" s="6" t="str">
        <f>INDEX(工厂基础数据!$B$2:$B$1024,MATCH(X1290,工厂基础数据!$D$2:$D$1024,0))</f>
        <v>淄博博仁医药有限公司</v>
      </c>
      <c r="F1290" s="6" t="e">
        <f>INDEX(商业2转码!$B$2:$B$10000,MATCH(E1290,商业2转码!$A$2:$A$10000,0))</f>
        <v>#N/A</v>
      </c>
      <c r="G1290" s="6">
        <f>INDEX(品种2编码!$A$2:$A$1048576,MATCH(W1290,品种2编码!$D$2:$D$1048576,0))</f>
        <v>0</v>
      </c>
      <c r="H1290" s="6" t="s">
        <v>672</v>
      </c>
      <c r="I1290" s="6" t="s">
        <v>1843</v>
      </c>
      <c r="J1290" s="6" t="s">
        <v>3279</v>
      </c>
      <c r="L1290" s="6" t="s">
        <v>3159</v>
      </c>
      <c r="M1290" s="6" t="e">
        <f>INDEX(医院2县区2人!$B$2:$B$1048576,MATCH(L1290,医院2县区2人!$A$2:$A$1048576,0))</f>
        <v>#N/A</v>
      </c>
      <c r="N1290" s="6" t="e">
        <f>INDEX(医院2县区2人!$C$2:$C$1048576,MATCH(L1290,医院2县区2人!$A$2:$A$1048576,0))</f>
        <v>#N/A</v>
      </c>
      <c r="P1290" s="7">
        <v>43276</v>
      </c>
      <c r="Q1290" s="6">
        <v>3</v>
      </c>
      <c r="R1290" s="6">
        <v>26.4</v>
      </c>
      <c r="S1290" s="6">
        <v>20180105</v>
      </c>
      <c r="T1290" s="6" t="e">
        <f>INDEX(医院2县区2人!$D$2:$D$1048576,MATCH(L1290,医院2县区2人!$A$2:$A$1048576,0))</f>
        <v>#N/A</v>
      </c>
      <c r="W1290" s="6" t="str">
        <f t="shared" si="43"/>
        <v>退热贴2贴</v>
      </c>
      <c r="X1290" s="6" t="s">
        <v>2893</v>
      </c>
    </row>
    <row r="1291" spans="1:24" x14ac:dyDescent="0.15">
      <c r="A1291" s="7" t="str">
        <f t="shared" si="44"/>
        <v>201806</v>
      </c>
      <c r="C1291" s="6" t="str">
        <f>INDEX(工厂基础数据!$A$2:$A$1024,MATCH(X1291,工厂基础数据!$D$2:$D$1024,0))</f>
        <v>02032120</v>
      </c>
      <c r="E1291" s="6" t="str">
        <f>INDEX(工厂基础数据!$B$2:$B$1024,MATCH(X1291,工厂基础数据!$D$2:$D$1024,0))</f>
        <v>淄博博仁医药有限公司</v>
      </c>
      <c r="F1291" s="6" t="e">
        <f>INDEX(商业2转码!$B$2:$B$10000,MATCH(E1291,商业2转码!$A$2:$A$10000,0))</f>
        <v>#N/A</v>
      </c>
      <c r="G1291" s="6" t="str">
        <f>INDEX(品种2编码!$A$2:$A$1048576,MATCH(W1291,品种2编码!$D$2:$D$1048576,0))</f>
        <v>0020030001SJZY0006</v>
      </c>
      <c r="H1291" s="6" t="s">
        <v>1833</v>
      </c>
      <c r="I1291" s="6" t="s">
        <v>411</v>
      </c>
      <c r="J1291" s="6" t="s">
        <v>3280</v>
      </c>
      <c r="L1291" s="6" t="s">
        <v>3170</v>
      </c>
      <c r="M1291" s="6" t="e">
        <f>INDEX(医院2县区2人!$B$2:$B$1048576,MATCH(L1291,医院2县区2人!$A$2:$A$1048576,0))</f>
        <v>#N/A</v>
      </c>
      <c r="N1291" s="6" t="e">
        <f>INDEX(医院2县区2人!$C$2:$C$1048576,MATCH(L1291,医院2县区2人!$A$2:$A$1048576,0))</f>
        <v>#N/A</v>
      </c>
      <c r="P1291" s="7">
        <v>43276</v>
      </c>
      <c r="Q1291" s="6">
        <v>3</v>
      </c>
      <c r="R1291" s="6">
        <v>66</v>
      </c>
      <c r="S1291" s="6">
        <v>18030523</v>
      </c>
      <c r="T1291" s="6" t="e">
        <f>INDEX(医院2县区2人!$D$2:$D$1048576,MATCH(L1291,医院2县区2人!$A$2:$A$1048576,0))</f>
        <v>#N/A</v>
      </c>
      <c r="W1291" s="6" t="str">
        <f t="shared" si="43"/>
        <v>葡萄糖酸钙口服溶液10ml*12支</v>
      </c>
      <c r="X1291" s="6" t="s">
        <v>2893</v>
      </c>
    </row>
    <row r="1292" spans="1:24" x14ac:dyDescent="0.15">
      <c r="A1292" s="7" t="str">
        <f t="shared" si="44"/>
        <v>201806</v>
      </c>
      <c r="C1292" s="6" t="str">
        <f>INDEX(工厂基础数据!$A$2:$A$1024,MATCH(X1292,工厂基础数据!$D$2:$D$1024,0))</f>
        <v>02032120</v>
      </c>
      <c r="E1292" s="6" t="str">
        <f>INDEX(工厂基础数据!$B$2:$B$1024,MATCH(X1292,工厂基础数据!$D$2:$D$1024,0))</f>
        <v>淄博博仁医药有限公司</v>
      </c>
      <c r="F1292" s="6" t="e">
        <f>INDEX(商业2转码!$B$2:$B$10000,MATCH(E1292,商业2转码!$A$2:$A$10000,0))</f>
        <v>#N/A</v>
      </c>
      <c r="G1292" s="6">
        <f>INDEX(品种2编码!$A$2:$A$1048576,MATCH(W1292,品种2编码!$D$2:$D$1048576,0))</f>
        <v>0</v>
      </c>
      <c r="H1292" s="6" t="s">
        <v>3269</v>
      </c>
      <c r="I1292" s="6" t="s">
        <v>1839</v>
      </c>
      <c r="J1292" s="6" t="s">
        <v>3279</v>
      </c>
      <c r="L1292" s="6" t="s">
        <v>3164</v>
      </c>
      <c r="M1292" s="6" t="e">
        <f>INDEX(医院2县区2人!$B$2:$B$1048576,MATCH(L1292,医院2县区2人!$A$2:$A$1048576,0))</f>
        <v>#N/A</v>
      </c>
      <c r="N1292" s="6" t="e">
        <f>INDEX(医院2县区2人!$C$2:$C$1048576,MATCH(L1292,医院2县区2人!$A$2:$A$1048576,0))</f>
        <v>#N/A</v>
      </c>
      <c r="P1292" s="7">
        <v>43276</v>
      </c>
      <c r="Q1292" s="6">
        <v>5</v>
      </c>
      <c r="R1292" s="6">
        <v>40</v>
      </c>
      <c r="S1292" s="6">
        <v>180111</v>
      </c>
      <c r="T1292" s="6" t="e">
        <f>INDEX(医院2县区2人!$D$2:$D$1048576,MATCH(L1292,医院2县区2人!$A$2:$A$1048576,0))</f>
        <v>#N/A</v>
      </c>
      <c r="W1292" s="6" t="str">
        <f t="shared" si="43"/>
        <v>乳酸菌素片(精）0.4g*36片</v>
      </c>
      <c r="X1292" s="6" t="s">
        <v>2893</v>
      </c>
    </row>
    <row r="1293" spans="1:24" x14ac:dyDescent="0.15">
      <c r="A1293" s="7" t="str">
        <f t="shared" si="44"/>
        <v>201806</v>
      </c>
      <c r="C1293" s="6" t="str">
        <f>INDEX(工厂基础数据!$A$2:$A$1024,MATCH(X1293,工厂基础数据!$D$2:$D$1024,0))</f>
        <v>02032120</v>
      </c>
      <c r="E1293" s="6" t="str">
        <f>INDEX(工厂基础数据!$B$2:$B$1024,MATCH(X1293,工厂基础数据!$D$2:$D$1024,0))</f>
        <v>淄博博仁医药有限公司</v>
      </c>
      <c r="F1293" s="6" t="e">
        <f>INDEX(商业2转码!$B$2:$B$10000,MATCH(E1293,商业2转码!$A$2:$A$10000,0))</f>
        <v>#N/A</v>
      </c>
      <c r="G1293" s="6">
        <f>INDEX(品种2编码!$A$2:$A$1048576,MATCH(W1293,品种2编码!$D$2:$D$1048576,0))</f>
        <v>0</v>
      </c>
      <c r="H1293" s="6" t="s">
        <v>3268</v>
      </c>
      <c r="I1293" s="6" t="s">
        <v>411</v>
      </c>
      <c r="J1293" s="6" t="s">
        <v>3040</v>
      </c>
      <c r="L1293" s="6" t="s">
        <v>3170</v>
      </c>
      <c r="M1293" s="6" t="e">
        <f>INDEX(医院2县区2人!$B$2:$B$1048576,MATCH(L1293,医院2县区2人!$A$2:$A$1048576,0))</f>
        <v>#N/A</v>
      </c>
      <c r="N1293" s="6" t="e">
        <f>INDEX(医院2县区2人!$C$2:$C$1048576,MATCH(L1293,医院2县区2人!$A$2:$A$1048576,0))</f>
        <v>#N/A</v>
      </c>
      <c r="P1293" s="7">
        <v>43276</v>
      </c>
      <c r="Q1293" s="6">
        <v>5</v>
      </c>
      <c r="R1293" s="6">
        <v>115</v>
      </c>
      <c r="S1293" s="6">
        <v>17112821</v>
      </c>
      <c r="T1293" s="6" t="e">
        <f>INDEX(医院2县区2人!$D$2:$D$1048576,MATCH(L1293,医院2县区2人!$A$2:$A$1048576,0))</f>
        <v>#N/A</v>
      </c>
      <c r="W1293" s="6" t="str">
        <f t="shared" si="43"/>
        <v>葡糖糖酸锌口服溶液10ml*12支</v>
      </c>
      <c r="X1293" s="6" t="s">
        <v>2893</v>
      </c>
    </row>
    <row r="1294" spans="1:24" x14ac:dyDescent="0.15">
      <c r="A1294" s="7" t="str">
        <f t="shared" si="44"/>
        <v>201806</v>
      </c>
      <c r="C1294" s="6" t="str">
        <f>INDEX(工厂基础数据!$A$2:$A$1024,MATCH(X1294,工厂基础数据!$D$2:$D$1024,0))</f>
        <v>02032120</v>
      </c>
      <c r="E1294" s="6" t="str">
        <f>INDEX(工厂基础数据!$B$2:$B$1024,MATCH(X1294,工厂基础数据!$D$2:$D$1024,0))</f>
        <v>淄博博仁医药有限公司</v>
      </c>
      <c r="F1294" s="6" t="e">
        <f>INDEX(商业2转码!$B$2:$B$10000,MATCH(E1294,商业2转码!$A$2:$A$10000,0))</f>
        <v>#N/A</v>
      </c>
      <c r="G1294" s="6" t="str">
        <f>INDEX(品种2编码!$A$2:$A$1048576,MATCH(W1294,品种2编码!$D$2:$D$1048576,0))</f>
        <v>0020070000ZYLC0052</v>
      </c>
      <c r="H1294" s="6" t="s">
        <v>402</v>
      </c>
      <c r="I1294" s="6" t="s">
        <v>411</v>
      </c>
      <c r="J1294" s="6" t="s">
        <v>3279</v>
      </c>
      <c r="L1294" s="6" t="s">
        <v>3155</v>
      </c>
      <c r="M1294" s="6" t="e">
        <f>INDEX(医院2县区2人!$B$2:$B$1048576,MATCH(L1294,医院2县区2人!$A$2:$A$1048576,0))</f>
        <v>#N/A</v>
      </c>
      <c r="N1294" s="6" t="e">
        <f>INDEX(医院2县区2人!$C$2:$C$1048576,MATCH(L1294,医院2县区2人!$A$2:$A$1048576,0))</f>
        <v>#N/A</v>
      </c>
      <c r="P1294" s="7">
        <v>43276</v>
      </c>
      <c r="Q1294" s="6">
        <v>5</v>
      </c>
      <c r="R1294" s="6">
        <v>85</v>
      </c>
      <c r="S1294" s="6">
        <v>170801</v>
      </c>
      <c r="T1294" s="6" t="e">
        <f>INDEX(医院2县区2人!$D$2:$D$1048576,MATCH(L1294,医院2县区2人!$A$2:$A$1048576,0))</f>
        <v>#N/A</v>
      </c>
      <c r="W1294" s="6" t="str">
        <f t="shared" si="43"/>
        <v>钙加锌口服液10ml*12支</v>
      </c>
      <c r="X1294" s="6" t="s">
        <v>2893</v>
      </c>
    </row>
    <row r="1295" spans="1:24" x14ac:dyDescent="0.15">
      <c r="A1295" s="7" t="str">
        <f t="shared" si="44"/>
        <v>201806</v>
      </c>
      <c r="C1295" s="6" t="str">
        <f>INDEX(工厂基础数据!$A$2:$A$1024,MATCH(X1295,工厂基础数据!$D$2:$D$1024,0))</f>
        <v>02032120</v>
      </c>
      <c r="E1295" s="6" t="str">
        <f>INDEX(工厂基础数据!$B$2:$B$1024,MATCH(X1295,工厂基础数据!$D$2:$D$1024,0))</f>
        <v>淄博博仁医药有限公司</v>
      </c>
      <c r="F1295" s="6" t="e">
        <f>INDEX(商业2转码!$B$2:$B$10000,MATCH(E1295,商业2转码!$A$2:$A$10000,0))</f>
        <v>#N/A</v>
      </c>
      <c r="G1295" s="6" t="str">
        <f>INDEX(品种2编码!$A$2:$A$1048576,MATCH(W1295,品种2编码!$D$2:$D$1048576,0))</f>
        <v>0020070000ZYLC0052</v>
      </c>
      <c r="H1295" s="6" t="s">
        <v>402</v>
      </c>
      <c r="I1295" s="6" t="s">
        <v>411</v>
      </c>
      <c r="J1295" s="6" t="s">
        <v>3279</v>
      </c>
      <c r="L1295" s="6" t="s">
        <v>3247</v>
      </c>
      <c r="M1295" s="6" t="e">
        <f>INDEX(医院2县区2人!$B$2:$B$1048576,MATCH(L1295,医院2县区2人!$A$2:$A$1048576,0))</f>
        <v>#N/A</v>
      </c>
      <c r="N1295" s="6" t="e">
        <f>INDEX(医院2县区2人!$C$2:$C$1048576,MATCH(L1295,医院2县区2人!$A$2:$A$1048576,0))</f>
        <v>#N/A</v>
      </c>
      <c r="P1295" s="7">
        <v>43276</v>
      </c>
      <c r="Q1295" s="6">
        <v>6</v>
      </c>
      <c r="R1295" s="6">
        <v>102</v>
      </c>
      <c r="S1295" s="6">
        <v>170801</v>
      </c>
      <c r="T1295" s="6" t="e">
        <f>INDEX(医院2县区2人!$D$2:$D$1048576,MATCH(L1295,医院2县区2人!$A$2:$A$1048576,0))</f>
        <v>#N/A</v>
      </c>
      <c r="W1295" s="6" t="str">
        <f t="shared" si="43"/>
        <v>钙加锌口服液10ml*12支</v>
      </c>
      <c r="X1295" s="6" t="s">
        <v>2893</v>
      </c>
    </row>
    <row r="1296" spans="1:24" x14ac:dyDescent="0.15">
      <c r="A1296" s="7" t="str">
        <f t="shared" si="44"/>
        <v>201806</v>
      </c>
      <c r="C1296" s="6" t="str">
        <f>INDEX(工厂基础数据!$A$2:$A$1024,MATCH(X1296,工厂基础数据!$D$2:$D$1024,0))</f>
        <v>02032120</v>
      </c>
      <c r="E1296" s="6" t="str">
        <f>INDEX(工厂基础数据!$B$2:$B$1024,MATCH(X1296,工厂基础数据!$D$2:$D$1024,0))</f>
        <v>淄博博仁医药有限公司</v>
      </c>
      <c r="F1296" s="6" t="e">
        <f>INDEX(商业2转码!$B$2:$B$10000,MATCH(E1296,商业2转码!$A$2:$A$10000,0))</f>
        <v>#N/A</v>
      </c>
      <c r="G1296" s="6">
        <f>INDEX(品种2编码!$A$2:$A$1048576,MATCH(W1296,品种2编码!$D$2:$D$1048576,0))</f>
        <v>0</v>
      </c>
      <c r="H1296" s="6" t="s">
        <v>3269</v>
      </c>
      <c r="I1296" s="6" t="s">
        <v>1839</v>
      </c>
      <c r="J1296" s="6" t="s">
        <v>3279</v>
      </c>
      <c r="L1296" s="6" t="s">
        <v>3248</v>
      </c>
      <c r="M1296" s="6" t="e">
        <f>INDEX(医院2县区2人!$B$2:$B$1048576,MATCH(L1296,医院2县区2人!$A$2:$A$1048576,0))</f>
        <v>#N/A</v>
      </c>
      <c r="N1296" s="6" t="e">
        <f>INDEX(医院2县区2人!$C$2:$C$1048576,MATCH(L1296,医院2县区2人!$A$2:$A$1048576,0))</f>
        <v>#N/A</v>
      </c>
      <c r="P1296" s="7">
        <v>43276</v>
      </c>
      <c r="Q1296" s="6">
        <v>10</v>
      </c>
      <c r="R1296" s="6">
        <v>80</v>
      </c>
      <c r="S1296" s="6">
        <v>180111</v>
      </c>
      <c r="T1296" s="6" t="e">
        <f>INDEX(医院2县区2人!$D$2:$D$1048576,MATCH(L1296,医院2县区2人!$A$2:$A$1048576,0))</f>
        <v>#N/A</v>
      </c>
      <c r="W1296" s="6" t="str">
        <f t="shared" si="43"/>
        <v>乳酸菌素片(精）0.4g*36片</v>
      </c>
      <c r="X1296" s="6" t="s">
        <v>2893</v>
      </c>
    </row>
    <row r="1297" spans="1:24" x14ac:dyDescent="0.15">
      <c r="A1297" s="7" t="str">
        <f t="shared" si="44"/>
        <v>201806</v>
      </c>
      <c r="C1297" s="6" t="str">
        <f>INDEX(工厂基础数据!$A$2:$A$1024,MATCH(X1297,工厂基础数据!$D$2:$D$1024,0))</f>
        <v>02032120</v>
      </c>
      <c r="E1297" s="6" t="str">
        <f>INDEX(工厂基础数据!$B$2:$B$1024,MATCH(X1297,工厂基础数据!$D$2:$D$1024,0))</f>
        <v>淄博博仁医药有限公司</v>
      </c>
      <c r="F1297" s="6" t="e">
        <f>INDEX(商业2转码!$B$2:$B$10000,MATCH(E1297,商业2转码!$A$2:$A$10000,0))</f>
        <v>#N/A</v>
      </c>
      <c r="G1297" s="6" t="str">
        <f>INDEX(品种2编码!$A$2:$A$1048576,MATCH(W1297,品种2编码!$D$2:$D$1048576,0))</f>
        <v>0020030001SJZY0006</v>
      </c>
      <c r="H1297" s="6" t="s">
        <v>1833</v>
      </c>
      <c r="I1297" s="6" t="s">
        <v>411</v>
      </c>
      <c r="J1297" s="6" t="s">
        <v>3280</v>
      </c>
      <c r="L1297" s="6" t="s">
        <v>3122</v>
      </c>
      <c r="M1297" s="6" t="e">
        <f>INDEX(医院2县区2人!$B$2:$B$1048576,MATCH(L1297,医院2县区2人!$A$2:$A$1048576,0))</f>
        <v>#N/A</v>
      </c>
      <c r="N1297" s="6" t="e">
        <f>INDEX(医院2县区2人!$C$2:$C$1048576,MATCH(L1297,医院2县区2人!$A$2:$A$1048576,0))</f>
        <v>#N/A</v>
      </c>
      <c r="P1297" s="7">
        <v>43276</v>
      </c>
      <c r="Q1297" s="6">
        <v>10</v>
      </c>
      <c r="R1297" s="6">
        <v>220</v>
      </c>
      <c r="S1297" s="6">
        <v>18030523</v>
      </c>
      <c r="T1297" s="6" t="e">
        <f>INDEX(医院2县区2人!$D$2:$D$1048576,MATCH(L1297,医院2县区2人!$A$2:$A$1048576,0))</f>
        <v>#N/A</v>
      </c>
      <c r="W1297" s="6" t="str">
        <f t="shared" si="43"/>
        <v>葡萄糖酸钙口服溶液10ml*12支</v>
      </c>
      <c r="X1297" s="6" t="s">
        <v>2893</v>
      </c>
    </row>
    <row r="1298" spans="1:24" x14ac:dyDescent="0.15">
      <c r="A1298" s="7" t="str">
        <f t="shared" si="44"/>
        <v>201806</v>
      </c>
      <c r="C1298" s="6" t="str">
        <f>INDEX(工厂基础数据!$A$2:$A$1024,MATCH(X1298,工厂基础数据!$D$2:$D$1024,0))</f>
        <v>02032120</v>
      </c>
      <c r="E1298" s="6" t="str">
        <f>INDEX(工厂基础数据!$B$2:$B$1024,MATCH(X1298,工厂基础数据!$D$2:$D$1024,0))</f>
        <v>淄博博仁医药有限公司</v>
      </c>
      <c r="F1298" s="6" t="e">
        <f>INDEX(商业2转码!$B$2:$B$10000,MATCH(E1298,商业2转码!$A$2:$A$10000,0))</f>
        <v>#N/A</v>
      </c>
      <c r="G1298" s="6">
        <f>INDEX(品种2编码!$A$2:$A$1048576,MATCH(W1298,品种2编码!$D$2:$D$1048576,0))</f>
        <v>0</v>
      </c>
      <c r="H1298" s="6" t="s">
        <v>3268</v>
      </c>
      <c r="I1298" s="6" t="s">
        <v>411</v>
      </c>
      <c r="J1298" s="6" t="s">
        <v>3040</v>
      </c>
      <c r="L1298" s="6" t="s">
        <v>3122</v>
      </c>
      <c r="M1298" s="6" t="e">
        <f>INDEX(医院2县区2人!$B$2:$B$1048576,MATCH(L1298,医院2县区2人!$A$2:$A$1048576,0))</f>
        <v>#N/A</v>
      </c>
      <c r="N1298" s="6" t="e">
        <f>INDEX(医院2县区2人!$C$2:$C$1048576,MATCH(L1298,医院2县区2人!$A$2:$A$1048576,0))</f>
        <v>#N/A</v>
      </c>
      <c r="P1298" s="7">
        <v>43276</v>
      </c>
      <c r="Q1298" s="6">
        <v>10</v>
      </c>
      <c r="R1298" s="6">
        <v>230</v>
      </c>
      <c r="S1298" s="6">
        <v>17112821</v>
      </c>
      <c r="T1298" s="6" t="e">
        <f>INDEX(医院2县区2人!$D$2:$D$1048576,MATCH(L1298,医院2县区2人!$A$2:$A$1048576,0))</f>
        <v>#N/A</v>
      </c>
      <c r="W1298" s="6" t="str">
        <f t="shared" si="43"/>
        <v>葡糖糖酸锌口服溶液10ml*12支</v>
      </c>
      <c r="X1298" s="6" t="s">
        <v>2893</v>
      </c>
    </row>
    <row r="1299" spans="1:24" x14ac:dyDescent="0.15">
      <c r="A1299" s="7" t="str">
        <f t="shared" si="44"/>
        <v>201806</v>
      </c>
      <c r="C1299" s="6" t="str">
        <f>INDEX(工厂基础数据!$A$2:$A$1024,MATCH(X1299,工厂基础数据!$D$2:$D$1024,0))</f>
        <v>02032120</v>
      </c>
      <c r="E1299" s="6" t="str">
        <f>INDEX(工厂基础数据!$B$2:$B$1024,MATCH(X1299,工厂基础数据!$D$2:$D$1024,0))</f>
        <v>淄博博仁医药有限公司</v>
      </c>
      <c r="F1299" s="6" t="e">
        <f>INDEX(商业2转码!$B$2:$B$10000,MATCH(E1299,商业2转码!$A$2:$A$10000,0))</f>
        <v>#N/A</v>
      </c>
      <c r="G1299" s="6" t="str">
        <f>INDEX(品种2编码!$A$2:$A$1048576,MATCH(W1299,品种2编码!$D$2:$D$1048576,0))</f>
        <v>0020040030SHYT0002</v>
      </c>
      <c r="H1299" s="6" t="s">
        <v>537</v>
      </c>
      <c r="I1299" s="6" t="s">
        <v>1910</v>
      </c>
      <c r="J1299" s="6" t="s">
        <v>3281</v>
      </c>
      <c r="L1299" s="6" t="s">
        <v>3244</v>
      </c>
      <c r="M1299" s="6" t="e">
        <f>INDEX(医院2县区2人!$B$2:$B$1048576,MATCH(L1299,医院2县区2人!$A$2:$A$1048576,0))</f>
        <v>#N/A</v>
      </c>
      <c r="N1299" s="6" t="e">
        <f>INDEX(医院2县区2人!$C$2:$C$1048576,MATCH(L1299,医院2县区2人!$A$2:$A$1048576,0))</f>
        <v>#N/A</v>
      </c>
      <c r="P1299" s="7">
        <v>43276</v>
      </c>
      <c r="Q1299" s="6">
        <v>10</v>
      </c>
      <c r="R1299" s="6">
        <v>52</v>
      </c>
      <c r="S1299" s="6">
        <v>1711301</v>
      </c>
      <c r="T1299" s="6" t="e">
        <f>INDEX(医院2县区2人!$D$2:$D$1048576,MATCH(L1299,医院2县区2人!$A$2:$A$1048576,0))</f>
        <v>#N/A</v>
      </c>
      <c r="W1299" s="6" t="str">
        <f t="shared" si="43"/>
        <v>牛黄消炎片24片</v>
      </c>
      <c r="X1299" s="6" t="s">
        <v>2893</v>
      </c>
    </row>
    <row r="1300" spans="1:24" x14ac:dyDescent="0.15">
      <c r="A1300" s="7" t="str">
        <f t="shared" si="44"/>
        <v>201806</v>
      </c>
      <c r="C1300" s="6" t="str">
        <f>INDEX(工厂基础数据!$A$2:$A$1024,MATCH(X1300,工厂基础数据!$D$2:$D$1024,0))</f>
        <v>02032120</v>
      </c>
      <c r="E1300" s="6" t="str">
        <f>INDEX(工厂基础数据!$B$2:$B$1024,MATCH(X1300,工厂基础数据!$D$2:$D$1024,0))</f>
        <v>淄博博仁医药有限公司</v>
      </c>
      <c r="F1300" s="6" t="e">
        <f>INDEX(商业2转码!$B$2:$B$10000,MATCH(E1300,商业2转码!$A$2:$A$10000,0))</f>
        <v>#N/A</v>
      </c>
      <c r="G1300" s="6">
        <f>INDEX(品种2编码!$A$2:$A$1048576,MATCH(W1300,品种2编码!$D$2:$D$1048576,0))</f>
        <v>0</v>
      </c>
      <c r="H1300" s="6" t="s">
        <v>1835</v>
      </c>
      <c r="I1300" s="6" t="s">
        <v>1954</v>
      </c>
      <c r="J1300" s="6" t="s">
        <v>3279</v>
      </c>
      <c r="L1300" s="6" t="s">
        <v>3132</v>
      </c>
      <c r="M1300" s="6" t="e">
        <f>INDEX(医院2县区2人!$B$2:$B$1048576,MATCH(L1300,医院2县区2人!$A$2:$A$1048576,0))</f>
        <v>#N/A</v>
      </c>
      <c r="N1300" s="6" t="e">
        <f>INDEX(医院2县区2人!$C$2:$C$1048576,MATCH(L1300,医院2县区2人!$A$2:$A$1048576,0))</f>
        <v>#N/A</v>
      </c>
      <c r="P1300" s="7">
        <v>43276</v>
      </c>
      <c r="Q1300" s="6">
        <v>10</v>
      </c>
      <c r="R1300" s="6">
        <v>129.5</v>
      </c>
      <c r="S1300" s="6">
        <v>171201</v>
      </c>
      <c r="T1300" s="6" t="e">
        <f>INDEX(医院2县区2人!$D$2:$D$1048576,MATCH(L1300,医院2县区2人!$A$2:$A$1048576,0))</f>
        <v>#N/A</v>
      </c>
      <c r="W1300" s="6" t="str">
        <f t="shared" si="43"/>
        <v>蒙脱石散12袋</v>
      </c>
      <c r="X1300" s="6" t="s">
        <v>2893</v>
      </c>
    </row>
    <row r="1301" spans="1:24" x14ac:dyDescent="0.15">
      <c r="A1301" s="7" t="str">
        <f t="shared" si="44"/>
        <v>201806</v>
      </c>
      <c r="C1301" s="6" t="str">
        <f>INDEX(工厂基础数据!$A$2:$A$1024,MATCH(X1301,工厂基础数据!$D$2:$D$1024,0))</f>
        <v>02032120</v>
      </c>
      <c r="E1301" s="6" t="str">
        <f>INDEX(工厂基础数据!$B$2:$B$1024,MATCH(X1301,工厂基础数据!$D$2:$D$1024,0))</f>
        <v>淄博博仁医药有限公司</v>
      </c>
      <c r="F1301" s="6" t="e">
        <f>INDEX(商业2转码!$B$2:$B$10000,MATCH(E1301,商业2转码!$A$2:$A$10000,0))</f>
        <v>#N/A</v>
      </c>
      <c r="G1301" s="6" t="str">
        <f>INDEX(品种2编码!$A$2:$A$1048576,MATCH(W1301,品种2编码!$D$2:$D$1048576,0))</f>
        <v>0020020021ZYLC0004</v>
      </c>
      <c r="H1301" s="6" t="s">
        <v>1950</v>
      </c>
      <c r="I1301" s="6" t="s">
        <v>1869</v>
      </c>
      <c r="J1301" s="6" t="s">
        <v>3283</v>
      </c>
      <c r="L1301" s="6" t="s">
        <v>3170</v>
      </c>
      <c r="M1301" s="6" t="e">
        <f>INDEX(医院2县区2人!$B$2:$B$1048576,MATCH(L1301,医院2县区2人!$A$2:$A$1048576,0))</f>
        <v>#N/A</v>
      </c>
      <c r="N1301" s="6" t="e">
        <f>INDEX(医院2县区2人!$C$2:$C$1048576,MATCH(L1301,医院2县区2人!$A$2:$A$1048576,0))</f>
        <v>#N/A</v>
      </c>
      <c r="P1301" s="7">
        <v>43276</v>
      </c>
      <c r="Q1301" s="6">
        <v>10</v>
      </c>
      <c r="R1301" s="6">
        <v>80</v>
      </c>
      <c r="S1301" s="6">
        <v>171101</v>
      </c>
      <c r="T1301" s="6" t="e">
        <f>INDEX(医院2县区2人!$D$2:$D$1048576,MATCH(L1301,医院2县区2人!$A$2:$A$1048576,0))</f>
        <v>#N/A</v>
      </c>
      <c r="W1301" s="6" t="str">
        <f t="shared" si="43"/>
        <v>罗红霉素分散片75mg*12片</v>
      </c>
      <c r="X1301" s="6" t="s">
        <v>2893</v>
      </c>
    </row>
    <row r="1302" spans="1:24" x14ac:dyDescent="0.15">
      <c r="A1302" s="7" t="str">
        <f t="shared" si="44"/>
        <v>201806</v>
      </c>
      <c r="C1302" s="6" t="str">
        <f>INDEX(工厂基础数据!$A$2:$A$1024,MATCH(X1302,工厂基础数据!$D$2:$D$1024,0))</f>
        <v>02032120</v>
      </c>
      <c r="E1302" s="6" t="str">
        <f>INDEX(工厂基础数据!$B$2:$B$1024,MATCH(X1302,工厂基础数据!$D$2:$D$1024,0))</f>
        <v>淄博博仁医药有限公司</v>
      </c>
      <c r="F1302" s="6" t="e">
        <f>INDEX(商业2转码!$B$2:$B$10000,MATCH(E1302,商业2转码!$A$2:$A$10000,0))</f>
        <v>#N/A</v>
      </c>
      <c r="G1302" s="6">
        <f>INDEX(品种2编码!$A$2:$A$1048576,MATCH(W1302,品种2编码!$D$2:$D$1048576,0))</f>
        <v>0</v>
      </c>
      <c r="H1302" s="6" t="s">
        <v>3271</v>
      </c>
      <c r="I1302" s="6" t="s">
        <v>3298</v>
      </c>
      <c r="J1302" s="6" t="s">
        <v>3038</v>
      </c>
      <c r="L1302" s="6" t="s">
        <v>3140</v>
      </c>
      <c r="M1302" s="6" t="e">
        <f>INDEX(医院2县区2人!$B$2:$B$1048576,MATCH(L1302,医院2县区2人!$A$2:$A$1048576,0))</f>
        <v>#N/A</v>
      </c>
      <c r="N1302" s="6" t="e">
        <f>INDEX(医院2县区2人!$C$2:$C$1048576,MATCH(L1302,医院2县区2人!$A$2:$A$1048576,0))</f>
        <v>#N/A</v>
      </c>
      <c r="P1302" s="7">
        <v>43276</v>
      </c>
      <c r="Q1302" s="6">
        <v>10</v>
      </c>
      <c r="R1302" s="6">
        <v>480</v>
      </c>
      <c r="S1302" s="6">
        <v>180501</v>
      </c>
      <c r="T1302" s="6" t="e">
        <f>INDEX(医院2县区2人!$D$2:$D$1048576,MATCH(L1302,医院2县区2人!$A$2:$A$1048576,0))</f>
        <v>#N/A</v>
      </c>
      <c r="W1302" s="6" t="str">
        <f t="shared" si="43"/>
        <v>*新贝增盖牌硒加钙咀嚼片1.75g*60片</v>
      </c>
      <c r="X1302" s="6" t="s">
        <v>2893</v>
      </c>
    </row>
    <row r="1303" spans="1:24" x14ac:dyDescent="0.15">
      <c r="A1303" s="7" t="str">
        <f t="shared" si="44"/>
        <v>201806</v>
      </c>
      <c r="C1303" s="6" t="str">
        <f>INDEX(工厂基础数据!$A$2:$A$1024,MATCH(X1303,工厂基础数据!$D$2:$D$1024,0))</f>
        <v>02032120</v>
      </c>
      <c r="E1303" s="6" t="str">
        <f>INDEX(工厂基础数据!$B$2:$B$1024,MATCH(X1303,工厂基础数据!$D$2:$D$1024,0))</f>
        <v>淄博博仁医药有限公司</v>
      </c>
      <c r="F1303" s="6" t="e">
        <f>INDEX(商业2转码!$B$2:$B$10000,MATCH(E1303,商业2转码!$A$2:$A$10000,0))</f>
        <v>#N/A</v>
      </c>
      <c r="G1303" s="6" t="str">
        <f>INDEX(品种2编码!$A$2:$A$1048576,MATCH(W1303,品种2编码!$D$2:$D$1048576,0))</f>
        <v>0020030001SJZY0006</v>
      </c>
      <c r="H1303" s="6" t="s">
        <v>1833</v>
      </c>
      <c r="I1303" s="6" t="s">
        <v>411</v>
      </c>
      <c r="J1303" s="6" t="s">
        <v>3280</v>
      </c>
      <c r="L1303" s="6" t="s">
        <v>3157</v>
      </c>
      <c r="M1303" s="6" t="e">
        <f>INDEX(医院2县区2人!$B$2:$B$1048576,MATCH(L1303,医院2县区2人!$A$2:$A$1048576,0))</f>
        <v>#N/A</v>
      </c>
      <c r="N1303" s="6" t="e">
        <f>INDEX(医院2县区2人!$C$2:$C$1048576,MATCH(L1303,医院2县区2人!$A$2:$A$1048576,0))</f>
        <v>#N/A</v>
      </c>
      <c r="P1303" s="7">
        <v>43276</v>
      </c>
      <c r="Q1303" s="6">
        <v>20</v>
      </c>
      <c r="R1303" s="6">
        <v>440</v>
      </c>
      <c r="S1303" s="6">
        <v>18030523</v>
      </c>
      <c r="T1303" s="6" t="e">
        <f>INDEX(医院2县区2人!$D$2:$D$1048576,MATCH(L1303,医院2县区2人!$A$2:$A$1048576,0))</f>
        <v>#N/A</v>
      </c>
      <c r="W1303" s="6" t="str">
        <f t="shared" si="43"/>
        <v>葡萄糖酸钙口服溶液10ml*12支</v>
      </c>
      <c r="X1303" s="6" t="s">
        <v>2893</v>
      </c>
    </row>
    <row r="1304" spans="1:24" x14ac:dyDescent="0.15">
      <c r="A1304" s="7" t="str">
        <f t="shared" si="44"/>
        <v>201806</v>
      </c>
      <c r="C1304" s="6" t="str">
        <f>INDEX(工厂基础数据!$A$2:$A$1024,MATCH(X1304,工厂基础数据!$D$2:$D$1024,0))</f>
        <v>02032120</v>
      </c>
      <c r="E1304" s="6" t="str">
        <f>INDEX(工厂基础数据!$B$2:$B$1024,MATCH(X1304,工厂基础数据!$D$2:$D$1024,0))</f>
        <v>淄博博仁医药有限公司</v>
      </c>
      <c r="F1304" s="6" t="e">
        <f>INDEX(商业2转码!$B$2:$B$10000,MATCH(E1304,商业2转码!$A$2:$A$10000,0))</f>
        <v>#N/A</v>
      </c>
      <c r="G1304" s="6">
        <f>INDEX(品种2编码!$A$2:$A$1048576,MATCH(W1304,品种2编码!$D$2:$D$1048576,0))</f>
        <v>0</v>
      </c>
      <c r="H1304" s="6" t="s">
        <v>3268</v>
      </c>
      <c r="I1304" s="6" t="s">
        <v>411</v>
      </c>
      <c r="J1304" s="6" t="s">
        <v>3040</v>
      </c>
      <c r="L1304" s="6" t="s">
        <v>3249</v>
      </c>
      <c r="M1304" s="6" t="e">
        <f>INDEX(医院2县区2人!$B$2:$B$1048576,MATCH(L1304,医院2县区2人!$A$2:$A$1048576,0))</f>
        <v>#N/A</v>
      </c>
      <c r="N1304" s="6" t="e">
        <f>INDEX(医院2县区2人!$C$2:$C$1048576,MATCH(L1304,医院2县区2人!$A$2:$A$1048576,0))</f>
        <v>#N/A</v>
      </c>
      <c r="P1304" s="7">
        <v>43276</v>
      </c>
      <c r="Q1304" s="6">
        <v>20</v>
      </c>
      <c r="R1304" s="6">
        <v>460</v>
      </c>
      <c r="S1304" s="6">
        <v>17112821</v>
      </c>
      <c r="T1304" s="6" t="e">
        <f>INDEX(医院2县区2人!$D$2:$D$1048576,MATCH(L1304,医院2县区2人!$A$2:$A$1048576,0))</f>
        <v>#N/A</v>
      </c>
      <c r="W1304" s="6" t="str">
        <f t="shared" si="43"/>
        <v>葡糖糖酸锌口服溶液10ml*12支</v>
      </c>
      <c r="X1304" s="6" t="s">
        <v>2893</v>
      </c>
    </row>
    <row r="1305" spans="1:24" x14ac:dyDescent="0.15">
      <c r="A1305" s="7" t="str">
        <f t="shared" si="44"/>
        <v>201806</v>
      </c>
      <c r="C1305" s="6" t="str">
        <f>INDEX(工厂基础数据!$A$2:$A$1024,MATCH(X1305,工厂基础数据!$D$2:$D$1024,0))</f>
        <v>02032120</v>
      </c>
      <c r="E1305" s="6" t="str">
        <f>INDEX(工厂基础数据!$B$2:$B$1024,MATCH(X1305,工厂基础数据!$D$2:$D$1024,0))</f>
        <v>淄博博仁医药有限公司</v>
      </c>
      <c r="F1305" s="6" t="e">
        <f>INDEX(商业2转码!$B$2:$B$10000,MATCH(E1305,商业2转码!$A$2:$A$10000,0))</f>
        <v>#N/A</v>
      </c>
      <c r="G1305" s="6" t="str">
        <f>INDEX(品种2编码!$A$2:$A$1048576,MATCH(W1305,品种2编码!$D$2:$D$1048576,0))</f>
        <v>0020030020SJSC0004</v>
      </c>
      <c r="H1305" s="6" t="s">
        <v>394</v>
      </c>
      <c r="I1305" s="6" t="s">
        <v>1871</v>
      </c>
      <c r="J1305" s="6" t="s">
        <v>3284</v>
      </c>
      <c r="L1305" s="6" t="s">
        <v>3250</v>
      </c>
      <c r="M1305" s="6" t="e">
        <f>INDEX(医院2县区2人!$B$2:$B$1048576,MATCH(L1305,医院2县区2人!$A$2:$A$1048576,0))</f>
        <v>#N/A</v>
      </c>
      <c r="N1305" s="6" t="e">
        <f>INDEX(医院2县区2人!$C$2:$C$1048576,MATCH(L1305,医院2县区2人!$A$2:$A$1048576,0))</f>
        <v>#N/A</v>
      </c>
      <c r="P1305" s="7">
        <v>43276</v>
      </c>
      <c r="Q1305" s="6">
        <v>20</v>
      </c>
      <c r="R1305" s="6">
        <v>220</v>
      </c>
      <c r="S1305" s="6">
        <v>1709020</v>
      </c>
      <c r="T1305" s="6" t="e">
        <f>INDEX(医院2县区2人!$D$2:$D$1048576,MATCH(L1305,医院2县区2人!$A$2:$A$1048576,0))</f>
        <v>#N/A</v>
      </c>
      <c r="W1305" s="6" t="str">
        <f t="shared" si="43"/>
        <v>复方铝酸铋片50片</v>
      </c>
      <c r="X1305" s="6" t="s">
        <v>2893</v>
      </c>
    </row>
    <row r="1306" spans="1:24" x14ac:dyDescent="0.15">
      <c r="A1306" s="7" t="str">
        <f t="shared" si="44"/>
        <v>201806</v>
      </c>
      <c r="C1306" s="6" t="str">
        <f>INDEX(工厂基础数据!$A$2:$A$1024,MATCH(X1306,工厂基础数据!$D$2:$D$1024,0))</f>
        <v>02032120</v>
      </c>
      <c r="E1306" s="6" t="str">
        <f>INDEX(工厂基础数据!$B$2:$B$1024,MATCH(X1306,工厂基础数据!$D$2:$D$1024,0))</f>
        <v>淄博博仁医药有限公司</v>
      </c>
      <c r="F1306" s="6" t="e">
        <f>INDEX(商业2转码!$B$2:$B$10000,MATCH(E1306,商业2转码!$A$2:$A$10000,0))</f>
        <v>#N/A</v>
      </c>
      <c r="G1306" s="6">
        <f>INDEX(品种2编码!$A$2:$A$1048576,MATCH(W1306,品种2编码!$D$2:$D$1048576,0))</f>
        <v>0</v>
      </c>
      <c r="H1306" s="6" t="s">
        <v>380</v>
      </c>
      <c r="I1306" s="6" t="s">
        <v>3292</v>
      </c>
      <c r="J1306" s="6" t="s">
        <v>3279</v>
      </c>
      <c r="L1306" s="6" t="s">
        <v>3132</v>
      </c>
      <c r="M1306" s="6" t="e">
        <f>INDEX(医院2县区2人!$B$2:$B$1048576,MATCH(L1306,医院2县区2人!$A$2:$A$1048576,0))</f>
        <v>#N/A</v>
      </c>
      <c r="N1306" s="6" t="e">
        <f>INDEX(医院2县区2人!$C$2:$C$1048576,MATCH(L1306,医院2县区2人!$A$2:$A$1048576,0))</f>
        <v>#N/A</v>
      </c>
      <c r="P1306" s="7">
        <v>43276</v>
      </c>
      <c r="Q1306" s="6">
        <v>20</v>
      </c>
      <c r="R1306" s="6">
        <v>56</v>
      </c>
      <c r="S1306" s="6">
        <v>1711002</v>
      </c>
      <c r="T1306" s="6" t="e">
        <f>INDEX(医院2县区2人!$D$2:$D$1048576,MATCH(L1306,医院2县区2人!$A$2:$A$1048576,0))</f>
        <v>#N/A</v>
      </c>
      <c r="W1306" s="6" t="str">
        <f t="shared" si="43"/>
        <v>复方氨酚烷胺片12粒</v>
      </c>
      <c r="X1306" s="6" t="s">
        <v>2893</v>
      </c>
    </row>
    <row r="1307" spans="1:24" x14ac:dyDescent="0.15">
      <c r="A1307" s="7" t="str">
        <f t="shared" si="44"/>
        <v>201806</v>
      </c>
      <c r="C1307" s="6" t="str">
        <f>INDEX(工厂基础数据!$A$2:$A$1024,MATCH(X1307,工厂基础数据!$D$2:$D$1024,0))</f>
        <v>02032120</v>
      </c>
      <c r="E1307" s="6" t="str">
        <f>INDEX(工厂基础数据!$B$2:$B$1024,MATCH(X1307,工厂基础数据!$D$2:$D$1024,0))</f>
        <v>淄博博仁医药有限公司</v>
      </c>
      <c r="F1307" s="6" t="e">
        <f>INDEX(商业2转码!$B$2:$B$10000,MATCH(E1307,商业2转码!$A$2:$A$10000,0))</f>
        <v>#N/A</v>
      </c>
      <c r="G1307" s="6" t="str">
        <f>INDEX(品种2编码!$A$2:$A$1048576,MATCH(W1307,品种2编码!$D$2:$D$1048576,0))</f>
        <v>0020040201ZYEC0001</v>
      </c>
      <c r="H1307" s="6" t="s">
        <v>2031</v>
      </c>
      <c r="I1307" s="6" t="s">
        <v>2032</v>
      </c>
      <c r="J1307" s="6" t="s">
        <v>3287</v>
      </c>
      <c r="L1307" s="6" t="s">
        <v>3251</v>
      </c>
      <c r="M1307" s="6" t="e">
        <f>INDEX(医院2县区2人!$B$2:$B$1048576,MATCH(L1307,医院2县区2人!$A$2:$A$1048576,0))</f>
        <v>#N/A</v>
      </c>
      <c r="N1307" s="6" t="e">
        <f>INDEX(医院2县区2人!$C$2:$C$1048576,MATCH(L1307,医院2县区2人!$A$2:$A$1048576,0))</f>
        <v>#N/A</v>
      </c>
      <c r="P1307" s="7">
        <v>43276</v>
      </c>
      <c r="Q1307" s="6">
        <v>36</v>
      </c>
      <c r="R1307" s="6">
        <v>216</v>
      </c>
      <c r="S1307" s="6">
        <v>1612601</v>
      </c>
      <c r="T1307" s="6" t="e">
        <f>INDEX(医院2县区2人!$D$2:$D$1048576,MATCH(L1307,医院2县区2人!$A$2:$A$1048576,0))</f>
        <v>#N/A</v>
      </c>
      <c r="W1307" s="6" t="str">
        <f t="shared" si="43"/>
        <v>双黄连粉针剂600mg</v>
      </c>
      <c r="X1307" s="6" t="s">
        <v>2893</v>
      </c>
    </row>
    <row r="1308" spans="1:24" x14ac:dyDescent="0.15">
      <c r="A1308" s="7" t="str">
        <f t="shared" si="44"/>
        <v>201806</v>
      </c>
      <c r="C1308" s="6" t="str">
        <f>INDEX(工厂基础数据!$A$2:$A$1024,MATCH(X1308,工厂基础数据!$D$2:$D$1024,0))</f>
        <v>02032120</v>
      </c>
      <c r="E1308" s="6" t="str">
        <f>INDEX(工厂基础数据!$B$2:$B$1024,MATCH(X1308,工厂基础数据!$D$2:$D$1024,0))</f>
        <v>淄博博仁医药有限公司</v>
      </c>
      <c r="F1308" s="6" t="e">
        <f>INDEX(商业2转码!$B$2:$B$10000,MATCH(E1308,商业2转码!$A$2:$A$10000,0))</f>
        <v>#N/A</v>
      </c>
      <c r="G1308" s="6" t="str">
        <f>INDEX(品种2编码!$A$2:$A$1048576,MATCH(W1308,品种2编码!$D$2:$D$1048576,0))</f>
        <v>0020050090SJZY0001</v>
      </c>
      <c r="H1308" s="6" t="s">
        <v>630</v>
      </c>
      <c r="I1308" s="6" t="s">
        <v>1850</v>
      </c>
      <c r="J1308" s="6" t="s">
        <v>3285</v>
      </c>
      <c r="L1308" s="6" t="s">
        <v>3122</v>
      </c>
      <c r="M1308" s="6" t="e">
        <f>INDEX(医院2县区2人!$B$2:$B$1048576,MATCH(L1308,医院2县区2人!$A$2:$A$1048576,0))</f>
        <v>#N/A</v>
      </c>
      <c r="N1308" s="6" t="e">
        <f>INDEX(医院2县区2人!$C$2:$C$1048576,MATCH(L1308,医院2县区2人!$A$2:$A$1048576,0))</f>
        <v>#N/A</v>
      </c>
      <c r="P1308" s="7">
        <v>43277</v>
      </c>
      <c r="Q1308" s="6">
        <v>-20</v>
      </c>
      <c r="R1308" s="6">
        <v>-330</v>
      </c>
      <c r="S1308" s="6">
        <v>17122813</v>
      </c>
      <c r="T1308" s="6" t="e">
        <f>INDEX(医院2县区2人!$D$2:$D$1048576,MATCH(L1308,医院2县区2人!$A$2:$A$1048576,0))</f>
        <v>#N/A</v>
      </c>
      <c r="W1308" s="6" t="str">
        <f t="shared" si="43"/>
        <v>双黄连口服液10ml*10支</v>
      </c>
      <c r="X1308" s="6" t="s">
        <v>2893</v>
      </c>
    </row>
    <row r="1309" spans="1:24" x14ac:dyDescent="0.15">
      <c r="A1309" s="7" t="str">
        <f t="shared" si="44"/>
        <v>201806</v>
      </c>
      <c r="C1309" s="6" t="str">
        <f>INDEX(工厂基础数据!$A$2:$A$1024,MATCH(X1309,工厂基础数据!$D$2:$D$1024,0))</f>
        <v>02032120</v>
      </c>
      <c r="E1309" s="6" t="str">
        <f>INDEX(工厂基础数据!$B$2:$B$1024,MATCH(X1309,工厂基础数据!$D$2:$D$1024,0))</f>
        <v>淄博博仁医药有限公司</v>
      </c>
      <c r="F1309" s="6" t="e">
        <f>INDEX(商业2转码!$B$2:$B$10000,MATCH(E1309,商业2转码!$A$2:$A$10000,0))</f>
        <v>#N/A</v>
      </c>
      <c r="G1309" s="6">
        <f>INDEX(品种2编码!$A$2:$A$1048576,MATCH(W1309,品种2编码!$D$2:$D$1048576,0))</f>
        <v>0</v>
      </c>
      <c r="H1309" s="6" t="s">
        <v>672</v>
      </c>
      <c r="I1309" s="6" t="s">
        <v>1843</v>
      </c>
      <c r="J1309" s="6" t="s">
        <v>3279</v>
      </c>
      <c r="L1309" s="6" t="s">
        <v>3122</v>
      </c>
      <c r="M1309" s="6" t="e">
        <f>INDEX(医院2县区2人!$B$2:$B$1048576,MATCH(L1309,医院2县区2人!$A$2:$A$1048576,0))</f>
        <v>#N/A</v>
      </c>
      <c r="N1309" s="6" t="e">
        <f>INDEX(医院2县区2人!$C$2:$C$1048576,MATCH(L1309,医院2县区2人!$A$2:$A$1048576,0))</f>
        <v>#N/A</v>
      </c>
      <c r="P1309" s="7">
        <v>43277</v>
      </c>
      <c r="Q1309" s="6">
        <v>-10</v>
      </c>
      <c r="R1309" s="6">
        <v>-0.1</v>
      </c>
      <c r="S1309" s="6">
        <v>20180105</v>
      </c>
      <c r="T1309" s="6" t="e">
        <f>INDEX(医院2县区2人!$D$2:$D$1048576,MATCH(L1309,医院2县区2人!$A$2:$A$1048576,0))</f>
        <v>#N/A</v>
      </c>
      <c r="W1309" s="6" t="str">
        <f t="shared" si="43"/>
        <v>退热贴2贴</v>
      </c>
      <c r="X1309" s="6" t="s">
        <v>2893</v>
      </c>
    </row>
    <row r="1310" spans="1:24" x14ac:dyDescent="0.15">
      <c r="A1310" s="7" t="str">
        <f t="shared" si="44"/>
        <v>201806</v>
      </c>
      <c r="C1310" s="6" t="str">
        <f>INDEX(工厂基础数据!$A$2:$A$1024,MATCH(X1310,工厂基础数据!$D$2:$D$1024,0))</f>
        <v>02032120</v>
      </c>
      <c r="E1310" s="6" t="str">
        <f>INDEX(工厂基础数据!$B$2:$B$1024,MATCH(X1310,工厂基础数据!$D$2:$D$1024,0))</f>
        <v>淄博博仁医药有限公司</v>
      </c>
      <c r="F1310" s="6" t="e">
        <f>INDEX(商业2转码!$B$2:$B$10000,MATCH(E1310,商业2转码!$A$2:$A$10000,0))</f>
        <v>#N/A</v>
      </c>
      <c r="G1310" s="6" t="str">
        <f>INDEX(品种2编码!$A$2:$A$1048576,MATCH(W1310,品种2编码!$D$2:$D$1048576,0))</f>
        <v>0020020021ZYLC0004</v>
      </c>
      <c r="H1310" s="6" t="s">
        <v>1950</v>
      </c>
      <c r="I1310" s="6" t="s">
        <v>1869</v>
      </c>
      <c r="J1310" s="6" t="s">
        <v>3283</v>
      </c>
      <c r="L1310" s="6" t="s">
        <v>3240</v>
      </c>
      <c r="M1310" s="6" t="e">
        <f>INDEX(医院2县区2人!$B$2:$B$1048576,MATCH(L1310,医院2县区2人!$A$2:$A$1048576,0))</f>
        <v>#N/A</v>
      </c>
      <c r="N1310" s="6" t="e">
        <f>INDEX(医院2县区2人!$C$2:$C$1048576,MATCH(L1310,医院2县区2人!$A$2:$A$1048576,0))</f>
        <v>#N/A</v>
      </c>
      <c r="P1310" s="7">
        <v>43277</v>
      </c>
      <c r="Q1310" s="6">
        <v>-5</v>
      </c>
      <c r="R1310" s="6">
        <v>-40</v>
      </c>
      <c r="S1310" s="6">
        <v>171101</v>
      </c>
      <c r="T1310" s="6" t="e">
        <f>INDEX(医院2县区2人!$D$2:$D$1048576,MATCH(L1310,医院2县区2人!$A$2:$A$1048576,0))</f>
        <v>#N/A</v>
      </c>
      <c r="W1310" s="6" t="str">
        <f t="shared" si="43"/>
        <v>罗红霉素分散片75mg*12片</v>
      </c>
      <c r="X1310" s="6" t="s">
        <v>2893</v>
      </c>
    </row>
    <row r="1311" spans="1:24" x14ac:dyDescent="0.15">
      <c r="A1311" s="7" t="str">
        <f t="shared" si="44"/>
        <v>201806</v>
      </c>
      <c r="C1311" s="6" t="str">
        <f>INDEX(工厂基础数据!$A$2:$A$1024,MATCH(X1311,工厂基础数据!$D$2:$D$1024,0))</f>
        <v>02032120</v>
      </c>
      <c r="E1311" s="6" t="str">
        <f>INDEX(工厂基础数据!$B$2:$B$1024,MATCH(X1311,工厂基础数据!$D$2:$D$1024,0))</f>
        <v>淄博博仁医药有限公司</v>
      </c>
      <c r="F1311" s="6" t="e">
        <f>INDEX(商业2转码!$B$2:$B$10000,MATCH(E1311,商业2转码!$A$2:$A$10000,0))</f>
        <v>#N/A</v>
      </c>
      <c r="G1311" s="6">
        <f>INDEX(品种2编码!$A$2:$A$1048576,MATCH(W1311,品种2编码!$D$2:$D$1048576,0))</f>
        <v>0</v>
      </c>
      <c r="H1311" s="6" t="s">
        <v>3268</v>
      </c>
      <c r="I1311" s="6" t="s">
        <v>411</v>
      </c>
      <c r="J1311" s="6" t="s">
        <v>3040</v>
      </c>
      <c r="L1311" s="6" t="s">
        <v>3252</v>
      </c>
      <c r="M1311" s="6" t="e">
        <f>INDEX(医院2县区2人!$B$2:$B$1048576,MATCH(L1311,医院2县区2人!$A$2:$A$1048576,0))</f>
        <v>#N/A</v>
      </c>
      <c r="N1311" s="6" t="e">
        <f>INDEX(医院2县区2人!$C$2:$C$1048576,MATCH(L1311,医院2县区2人!$A$2:$A$1048576,0))</f>
        <v>#N/A</v>
      </c>
      <c r="P1311" s="7">
        <v>43277</v>
      </c>
      <c r="Q1311" s="6">
        <v>2</v>
      </c>
      <c r="R1311" s="6">
        <v>46</v>
      </c>
      <c r="S1311" s="6">
        <v>18031227</v>
      </c>
      <c r="T1311" s="6" t="e">
        <f>INDEX(医院2县区2人!$D$2:$D$1048576,MATCH(L1311,医院2县区2人!$A$2:$A$1048576,0))</f>
        <v>#N/A</v>
      </c>
      <c r="W1311" s="6" t="str">
        <f t="shared" si="43"/>
        <v>葡糖糖酸锌口服溶液10ml*12支</v>
      </c>
      <c r="X1311" s="6" t="s">
        <v>2893</v>
      </c>
    </row>
    <row r="1312" spans="1:24" x14ac:dyDescent="0.15">
      <c r="A1312" s="7" t="str">
        <f t="shared" si="44"/>
        <v>201806</v>
      </c>
      <c r="C1312" s="6" t="str">
        <f>INDEX(工厂基础数据!$A$2:$A$1024,MATCH(X1312,工厂基础数据!$D$2:$D$1024,0))</f>
        <v>02032120</v>
      </c>
      <c r="E1312" s="6" t="str">
        <f>INDEX(工厂基础数据!$B$2:$B$1024,MATCH(X1312,工厂基础数据!$D$2:$D$1024,0))</f>
        <v>淄博博仁医药有限公司</v>
      </c>
      <c r="F1312" s="6" t="e">
        <f>INDEX(商业2转码!$B$2:$B$10000,MATCH(E1312,商业2转码!$A$2:$A$10000,0))</f>
        <v>#N/A</v>
      </c>
      <c r="G1312" s="6">
        <f>INDEX(品种2编码!$A$2:$A$1048576,MATCH(W1312,品种2编码!$D$2:$D$1048576,0))</f>
        <v>0</v>
      </c>
      <c r="H1312" s="6" t="s">
        <v>1885</v>
      </c>
      <c r="I1312" s="6" t="s">
        <v>1838</v>
      </c>
      <c r="J1312" s="6" t="s">
        <v>3279</v>
      </c>
      <c r="L1312" s="6" t="s">
        <v>3253</v>
      </c>
      <c r="M1312" s="6" t="e">
        <f>INDEX(医院2县区2人!$B$2:$B$1048576,MATCH(L1312,医院2县区2人!$A$2:$A$1048576,0))</f>
        <v>#N/A</v>
      </c>
      <c r="N1312" s="6" t="e">
        <f>INDEX(医院2县区2人!$C$2:$C$1048576,MATCH(L1312,医院2县区2人!$A$2:$A$1048576,0))</f>
        <v>#N/A</v>
      </c>
      <c r="P1312" s="7">
        <v>43277</v>
      </c>
      <c r="Q1312" s="6">
        <v>3</v>
      </c>
      <c r="R1312" s="6">
        <v>72</v>
      </c>
      <c r="S1312" s="6">
        <v>171124</v>
      </c>
      <c r="T1312" s="6" t="e">
        <f>INDEX(医院2县区2人!$D$2:$D$1048576,MATCH(L1312,医院2县区2人!$A$2:$A$1048576,0))</f>
        <v>#N/A</v>
      </c>
      <c r="W1312" s="6" t="str">
        <f t="shared" si="43"/>
        <v>新盖中盖高钙片2.5g*36片</v>
      </c>
      <c r="X1312" s="6" t="s">
        <v>2893</v>
      </c>
    </row>
    <row r="1313" spans="1:24" x14ac:dyDescent="0.15">
      <c r="A1313" s="7" t="str">
        <f t="shared" si="44"/>
        <v>201806</v>
      </c>
      <c r="C1313" s="6" t="str">
        <f>INDEX(工厂基础数据!$A$2:$A$1024,MATCH(X1313,工厂基础数据!$D$2:$D$1024,0))</f>
        <v>02032120</v>
      </c>
      <c r="E1313" s="6" t="str">
        <f>INDEX(工厂基础数据!$B$2:$B$1024,MATCH(X1313,工厂基础数据!$D$2:$D$1024,0))</f>
        <v>淄博博仁医药有限公司</v>
      </c>
      <c r="F1313" s="6" t="e">
        <f>INDEX(商业2转码!$B$2:$B$10000,MATCH(E1313,商业2转码!$A$2:$A$10000,0))</f>
        <v>#N/A</v>
      </c>
      <c r="G1313" s="6">
        <f>INDEX(品种2编码!$A$2:$A$1048576,MATCH(W1313,品种2编码!$D$2:$D$1048576,0))</f>
        <v>0</v>
      </c>
      <c r="H1313" s="6" t="s">
        <v>1885</v>
      </c>
      <c r="I1313" s="6" t="s">
        <v>1838</v>
      </c>
      <c r="J1313" s="6" t="s">
        <v>3279</v>
      </c>
      <c r="L1313" s="6" t="s">
        <v>3137</v>
      </c>
      <c r="M1313" s="6" t="e">
        <f>INDEX(医院2县区2人!$B$2:$B$1048576,MATCH(L1313,医院2县区2人!$A$2:$A$1048576,0))</f>
        <v>#N/A</v>
      </c>
      <c r="N1313" s="6" t="e">
        <f>INDEX(医院2县区2人!$C$2:$C$1048576,MATCH(L1313,医院2县区2人!$A$2:$A$1048576,0))</f>
        <v>#N/A</v>
      </c>
      <c r="P1313" s="7">
        <v>43277</v>
      </c>
      <c r="Q1313" s="6">
        <v>5</v>
      </c>
      <c r="R1313" s="6">
        <v>120</v>
      </c>
      <c r="S1313" s="6">
        <v>171124</v>
      </c>
      <c r="T1313" s="6" t="e">
        <f>INDEX(医院2县区2人!$D$2:$D$1048576,MATCH(L1313,医院2县区2人!$A$2:$A$1048576,0))</f>
        <v>#N/A</v>
      </c>
      <c r="W1313" s="6" t="str">
        <f t="shared" si="43"/>
        <v>新盖中盖高钙片2.5g*36片</v>
      </c>
      <c r="X1313" s="6" t="s">
        <v>2893</v>
      </c>
    </row>
    <row r="1314" spans="1:24" x14ac:dyDescent="0.15">
      <c r="A1314" s="7" t="str">
        <f t="shared" si="44"/>
        <v>201806</v>
      </c>
      <c r="C1314" s="6" t="str">
        <f>INDEX(工厂基础数据!$A$2:$A$1024,MATCH(X1314,工厂基础数据!$D$2:$D$1024,0))</f>
        <v>02032120</v>
      </c>
      <c r="E1314" s="6" t="str">
        <f>INDEX(工厂基础数据!$B$2:$B$1024,MATCH(X1314,工厂基础数据!$D$2:$D$1024,0))</f>
        <v>淄博博仁医药有限公司</v>
      </c>
      <c r="F1314" s="6" t="e">
        <f>INDEX(商业2转码!$B$2:$B$10000,MATCH(E1314,商业2转码!$A$2:$A$10000,0))</f>
        <v>#N/A</v>
      </c>
      <c r="G1314" s="6" t="str">
        <f>INDEX(品种2编码!$A$2:$A$1048576,MATCH(W1314,品种2编码!$D$2:$D$1048576,0))</f>
        <v>0020030001SJZY0006</v>
      </c>
      <c r="H1314" s="6" t="s">
        <v>1833</v>
      </c>
      <c r="I1314" s="6" t="s">
        <v>411</v>
      </c>
      <c r="J1314" s="6" t="s">
        <v>3280</v>
      </c>
      <c r="L1314" s="6" t="s">
        <v>3116</v>
      </c>
      <c r="M1314" s="6" t="e">
        <f>INDEX(医院2县区2人!$B$2:$B$1048576,MATCH(L1314,医院2县区2人!$A$2:$A$1048576,0))</f>
        <v>#N/A</v>
      </c>
      <c r="N1314" s="6" t="e">
        <f>INDEX(医院2县区2人!$C$2:$C$1048576,MATCH(L1314,医院2县区2人!$A$2:$A$1048576,0))</f>
        <v>#N/A</v>
      </c>
      <c r="P1314" s="7">
        <v>43277</v>
      </c>
      <c r="Q1314" s="6">
        <v>5</v>
      </c>
      <c r="R1314" s="6">
        <v>110</v>
      </c>
      <c r="S1314" s="6">
        <v>18030523</v>
      </c>
      <c r="T1314" s="6" t="e">
        <f>INDEX(医院2县区2人!$D$2:$D$1048576,MATCH(L1314,医院2县区2人!$A$2:$A$1048576,0))</f>
        <v>#N/A</v>
      </c>
      <c r="W1314" s="6" t="str">
        <f t="shared" si="43"/>
        <v>葡萄糖酸钙口服溶液10ml*12支</v>
      </c>
      <c r="X1314" s="6" t="s">
        <v>2893</v>
      </c>
    </row>
    <row r="1315" spans="1:24" x14ac:dyDescent="0.15">
      <c r="A1315" s="7" t="str">
        <f t="shared" si="44"/>
        <v>201806</v>
      </c>
      <c r="C1315" s="6" t="str">
        <f>INDEX(工厂基础数据!$A$2:$A$1024,MATCH(X1315,工厂基础数据!$D$2:$D$1024,0))</f>
        <v>02032120</v>
      </c>
      <c r="E1315" s="6" t="str">
        <f>INDEX(工厂基础数据!$B$2:$B$1024,MATCH(X1315,工厂基础数据!$D$2:$D$1024,0))</f>
        <v>淄博博仁医药有限公司</v>
      </c>
      <c r="F1315" s="6" t="e">
        <f>INDEX(商业2转码!$B$2:$B$10000,MATCH(E1315,商业2转码!$A$2:$A$10000,0))</f>
        <v>#N/A</v>
      </c>
      <c r="G1315" s="6">
        <f>INDEX(品种2编码!$A$2:$A$1048576,MATCH(W1315,品种2编码!$D$2:$D$1048576,0))</f>
        <v>0</v>
      </c>
      <c r="H1315" s="6" t="s">
        <v>3268</v>
      </c>
      <c r="I1315" s="6" t="s">
        <v>411</v>
      </c>
      <c r="J1315" s="6" t="s">
        <v>3040</v>
      </c>
      <c r="L1315" s="6" t="s">
        <v>3116</v>
      </c>
      <c r="M1315" s="6" t="e">
        <f>INDEX(医院2县区2人!$B$2:$B$1048576,MATCH(L1315,医院2县区2人!$A$2:$A$1048576,0))</f>
        <v>#N/A</v>
      </c>
      <c r="N1315" s="6" t="e">
        <f>INDEX(医院2县区2人!$C$2:$C$1048576,MATCH(L1315,医院2县区2人!$A$2:$A$1048576,0))</f>
        <v>#N/A</v>
      </c>
      <c r="P1315" s="7">
        <v>43277</v>
      </c>
      <c r="Q1315" s="6">
        <v>5</v>
      </c>
      <c r="R1315" s="6">
        <v>115</v>
      </c>
      <c r="S1315" s="6">
        <v>18031227</v>
      </c>
      <c r="T1315" s="6" t="e">
        <f>INDEX(医院2县区2人!$D$2:$D$1048576,MATCH(L1315,医院2县区2人!$A$2:$A$1048576,0))</f>
        <v>#N/A</v>
      </c>
      <c r="W1315" s="6" t="str">
        <f t="shared" si="43"/>
        <v>葡糖糖酸锌口服溶液10ml*12支</v>
      </c>
      <c r="X1315" s="6" t="s">
        <v>2893</v>
      </c>
    </row>
    <row r="1316" spans="1:24" x14ac:dyDescent="0.15">
      <c r="A1316" s="7" t="str">
        <f t="shared" si="44"/>
        <v>201806</v>
      </c>
      <c r="C1316" s="6" t="str">
        <f>INDEX(工厂基础数据!$A$2:$A$1024,MATCH(X1316,工厂基础数据!$D$2:$D$1024,0))</f>
        <v>02032120</v>
      </c>
      <c r="E1316" s="6" t="str">
        <f>INDEX(工厂基础数据!$B$2:$B$1024,MATCH(X1316,工厂基础数据!$D$2:$D$1024,0))</f>
        <v>淄博博仁医药有限公司</v>
      </c>
      <c r="F1316" s="6" t="e">
        <f>INDEX(商业2转码!$B$2:$B$10000,MATCH(E1316,商业2转码!$A$2:$A$10000,0))</f>
        <v>#N/A</v>
      </c>
      <c r="G1316" s="6">
        <f>INDEX(品种2编码!$A$2:$A$1048576,MATCH(W1316,品种2编码!$D$2:$D$1048576,0))</f>
        <v>0</v>
      </c>
      <c r="H1316" s="6" t="s">
        <v>3268</v>
      </c>
      <c r="I1316" s="6" t="s">
        <v>411</v>
      </c>
      <c r="J1316" s="6" t="s">
        <v>3040</v>
      </c>
      <c r="L1316" s="6" t="s">
        <v>3252</v>
      </c>
      <c r="M1316" s="6" t="e">
        <f>INDEX(医院2县区2人!$B$2:$B$1048576,MATCH(L1316,医院2县区2人!$A$2:$A$1048576,0))</f>
        <v>#N/A</v>
      </c>
      <c r="N1316" s="6" t="e">
        <f>INDEX(医院2县区2人!$C$2:$C$1048576,MATCH(L1316,医院2县区2人!$A$2:$A$1048576,0))</f>
        <v>#N/A</v>
      </c>
      <c r="P1316" s="7">
        <v>43277</v>
      </c>
      <c r="Q1316" s="6">
        <v>8</v>
      </c>
      <c r="R1316" s="6">
        <v>184</v>
      </c>
      <c r="S1316" s="6">
        <v>17112821</v>
      </c>
      <c r="T1316" s="6" t="e">
        <f>INDEX(医院2县区2人!$D$2:$D$1048576,MATCH(L1316,医院2县区2人!$A$2:$A$1048576,0))</f>
        <v>#N/A</v>
      </c>
      <c r="W1316" s="6" t="str">
        <f t="shared" si="43"/>
        <v>葡糖糖酸锌口服溶液10ml*12支</v>
      </c>
      <c r="X1316" s="6" t="s">
        <v>2893</v>
      </c>
    </row>
    <row r="1317" spans="1:24" x14ac:dyDescent="0.15">
      <c r="A1317" s="7" t="str">
        <f t="shared" si="44"/>
        <v>201806</v>
      </c>
      <c r="C1317" s="6" t="str">
        <f>INDEX(工厂基础数据!$A$2:$A$1024,MATCH(X1317,工厂基础数据!$D$2:$D$1024,0))</f>
        <v>02032120</v>
      </c>
      <c r="E1317" s="6" t="str">
        <f>INDEX(工厂基础数据!$B$2:$B$1024,MATCH(X1317,工厂基础数据!$D$2:$D$1024,0))</f>
        <v>淄博博仁医药有限公司</v>
      </c>
      <c r="F1317" s="6" t="e">
        <f>INDEX(商业2转码!$B$2:$B$10000,MATCH(E1317,商业2转码!$A$2:$A$10000,0))</f>
        <v>#N/A</v>
      </c>
      <c r="G1317" s="6">
        <f>INDEX(品种2编码!$A$2:$A$1048576,MATCH(W1317,品种2编码!$D$2:$D$1048576,0))</f>
        <v>0</v>
      </c>
      <c r="H1317" s="6" t="s">
        <v>672</v>
      </c>
      <c r="I1317" s="6" t="s">
        <v>1843</v>
      </c>
      <c r="J1317" s="6" t="s">
        <v>3279</v>
      </c>
      <c r="L1317" s="6" t="s">
        <v>3122</v>
      </c>
      <c r="M1317" s="6" t="e">
        <f>INDEX(医院2县区2人!$B$2:$B$1048576,MATCH(L1317,医院2县区2人!$A$2:$A$1048576,0))</f>
        <v>#N/A</v>
      </c>
      <c r="N1317" s="6" t="e">
        <f>INDEX(医院2县区2人!$C$2:$C$1048576,MATCH(L1317,医院2县区2人!$A$2:$A$1048576,0))</f>
        <v>#N/A</v>
      </c>
      <c r="P1317" s="7">
        <v>43277</v>
      </c>
      <c r="Q1317" s="6">
        <v>10</v>
      </c>
      <c r="R1317" s="6">
        <v>0.1</v>
      </c>
      <c r="S1317" s="6">
        <v>20180105</v>
      </c>
      <c r="T1317" s="6" t="e">
        <f>INDEX(医院2县区2人!$D$2:$D$1048576,MATCH(L1317,医院2县区2人!$A$2:$A$1048576,0))</f>
        <v>#N/A</v>
      </c>
      <c r="W1317" s="6" t="str">
        <f t="shared" si="43"/>
        <v>退热贴2贴</v>
      </c>
      <c r="X1317" s="6" t="s">
        <v>2893</v>
      </c>
    </row>
    <row r="1318" spans="1:24" x14ac:dyDescent="0.15">
      <c r="A1318" s="7" t="str">
        <f t="shared" si="44"/>
        <v>201806</v>
      </c>
      <c r="C1318" s="6" t="str">
        <f>INDEX(工厂基础数据!$A$2:$A$1024,MATCH(X1318,工厂基础数据!$D$2:$D$1024,0))</f>
        <v>02032120</v>
      </c>
      <c r="E1318" s="6" t="str">
        <f>INDEX(工厂基础数据!$B$2:$B$1024,MATCH(X1318,工厂基础数据!$D$2:$D$1024,0))</f>
        <v>淄博博仁医药有限公司</v>
      </c>
      <c r="F1318" s="6" t="e">
        <f>INDEX(商业2转码!$B$2:$B$10000,MATCH(E1318,商业2转码!$A$2:$A$10000,0))</f>
        <v>#N/A</v>
      </c>
      <c r="G1318" s="6" t="str">
        <f>INDEX(品种2编码!$A$2:$A$1048576,MATCH(W1318,品种2编码!$D$2:$D$1048576,0))</f>
        <v>0020050090SJZY0001</v>
      </c>
      <c r="H1318" s="6" t="s">
        <v>630</v>
      </c>
      <c r="I1318" s="6" t="s">
        <v>1850</v>
      </c>
      <c r="J1318" s="6" t="s">
        <v>3285</v>
      </c>
      <c r="L1318" s="6" t="s">
        <v>3122</v>
      </c>
      <c r="M1318" s="6" t="e">
        <f>INDEX(医院2县区2人!$B$2:$B$1048576,MATCH(L1318,医院2县区2人!$A$2:$A$1048576,0))</f>
        <v>#N/A</v>
      </c>
      <c r="N1318" s="6" t="e">
        <f>INDEX(医院2县区2人!$C$2:$C$1048576,MATCH(L1318,医院2县区2人!$A$2:$A$1048576,0))</f>
        <v>#N/A</v>
      </c>
      <c r="P1318" s="7">
        <v>43277</v>
      </c>
      <c r="Q1318" s="6">
        <v>10</v>
      </c>
      <c r="R1318" s="6">
        <v>165</v>
      </c>
      <c r="S1318" s="6">
        <v>17122813</v>
      </c>
      <c r="T1318" s="6" t="e">
        <f>INDEX(医院2县区2人!$D$2:$D$1048576,MATCH(L1318,医院2县区2人!$A$2:$A$1048576,0))</f>
        <v>#N/A</v>
      </c>
      <c r="W1318" s="6" t="str">
        <f t="shared" si="43"/>
        <v>双黄连口服液10ml*10支</v>
      </c>
      <c r="X1318" s="6" t="s">
        <v>2893</v>
      </c>
    </row>
    <row r="1319" spans="1:24" x14ac:dyDescent="0.15">
      <c r="A1319" s="7" t="str">
        <f t="shared" si="44"/>
        <v>201806</v>
      </c>
      <c r="C1319" s="6" t="str">
        <f>INDEX(工厂基础数据!$A$2:$A$1024,MATCH(X1319,工厂基础数据!$D$2:$D$1024,0))</f>
        <v>02032120</v>
      </c>
      <c r="E1319" s="6" t="str">
        <f>INDEX(工厂基础数据!$B$2:$B$1024,MATCH(X1319,工厂基础数据!$D$2:$D$1024,0))</f>
        <v>淄博博仁医药有限公司</v>
      </c>
      <c r="F1319" s="6" t="e">
        <f>INDEX(商业2转码!$B$2:$B$10000,MATCH(E1319,商业2转码!$A$2:$A$10000,0))</f>
        <v>#N/A</v>
      </c>
      <c r="G1319" s="6" t="str">
        <f>INDEX(品种2编码!$A$2:$A$1048576,MATCH(W1319,品种2编码!$D$2:$D$1048576,0))</f>
        <v>0020030001SJZY0006</v>
      </c>
      <c r="H1319" s="6" t="s">
        <v>1833</v>
      </c>
      <c r="I1319" s="6" t="s">
        <v>411</v>
      </c>
      <c r="J1319" s="6" t="s">
        <v>3280</v>
      </c>
      <c r="L1319" s="6" t="s">
        <v>3252</v>
      </c>
      <c r="M1319" s="6" t="e">
        <f>INDEX(医院2县区2人!$B$2:$B$1048576,MATCH(L1319,医院2县区2人!$A$2:$A$1048576,0))</f>
        <v>#N/A</v>
      </c>
      <c r="N1319" s="6" t="e">
        <f>INDEX(医院2县区2人!$C$2:$C$1048576,MATCH(L1319,医院2县区2人!$A$2:$A$1048576,0))</f>
        <v>#N/A</v>
      </c>
      <c r="P1319" s="7">
        <v>43277</v>
      </c>
      <c r="Q1319" s="6">
        <v>10</v>
      </c>
      <c r="R1319" s="6">
        <v>220</v>
      </c>
      <c r="S1319" s="6">
        <v>18030523</v>
      </c>
      <c r="T1319" s="6" t="e">
        <f>INDEX(医院2县区2人!$D$2:$D$1048576,MATCH(L1319,医院2县区2人!$A$2:$A$1048576,0))</f>
        <v>#N/A</v>
      </c>
      <c r="W1319" s="6" t="str">
        <f t="shared" si="43"/>
        <v>葡萄糖酸钙口服溶液10ml*12支</v>
      </c>
      <c r="X1319" s="6" t="s">
        <v>2893</v>
      </c>
    </row>
    <row r="1320" spans="1:24" x14ac:dyDescent="0.15">
      <c r="A1320" s="7" t="str">
        <f t="shared" si="44"/>
        <v>201806</v>
      </c>
      <c r="C1320" s="6" t="str">
        <f>INDEX(工厂基础数据!$A$2:$A$1024,MATCH(X1320,工厂基础数据!$D$2:$D$1024,0))</f>
        <v>02032120</v>
      </c>
      <c r="E1320" s="6" t="str">
        <f>INDEX(工厂基础数据!$B$2:$B$1024,MATCH(X1320,工厂基础数据!$D$2:$D$1024,0))</f>
        <v>淄博博仁医药有限公司</v>
      </c>
      <c r="F1320" s="6" t="e">
        <f>INDEX(商业2转码!$B$2:$B$10000,MATCH(E1320,商业2转码!$A$2:$A$10000,0))</f>
        <v>#N/A</v>
      </c>
      <c r="G1320" s="6" t="str">
        <f>INDEX(品种2编码!$A$2:$A$1048576,MATCH(W1320,品种2编码!$D$2:$D$1048576,0))</f>
        <v>0020020020ZYLC0003</v>
      </c>
      <c r="H1320" s="6" t="s">
        <v>1855</v>
      </c>
      <c r="I1320" s="6" t="s">
        <v>381</v>
      </c>
      <c r="J1320" s="6" t="s">
        <v>3279</v>
      </c>
      <c r="L1320" s="6" t="s">
        <v>3137</v>
      </c>
      <c r="M1320" s="6" t="e">
        <f>INDEX(医院2县区2人!$B$2:$B$1048576,MATCH(L1320,医院2县区2人!$A$2:$A$1048576,0))</f>
        <v>#N/A</v>
      </c>
      <c r="N1320" s="6" t="e">
        <f>INDEX(医院2县区2人!$C$2:$C$1048576,MATCH(L1320,医院2县区2人!$A$2:$A$1048576,0))</f>
        <v>#N/A</v>
      </c>
      <c r="P1320" s="7">
        <v>43277</v>
      </c>
      <c r="Q1320" s="6">
        <v>10</v>
      </c>
      <c r="R1320" s="6">
        <v>55</v>
      </c>
      <c r="S1320" s="6">
        <v>170706</v>
      </c>
      <c r="T1320" s="6" t="e">
        <f>INDEX(医院2县区2人!$D$2:$D$1048576,MATCH(L1320,医院2县区2人!$A$2:$A$1048576,0))</f>
        <v>#N/A</v>
      </c>
      <c r="W1320" s="6" t="str">
        <f t="shared" si="43"/>
        <v>颠茄磺苄啶片12片</v>
      </c>
      <c r="X1320" s="6" t="s">
        <v>2893</v>
      </c>
    </row>
    <row r="1321" spans="1:24" x14ac:dyDescent="0.15">
      <c r="A1321" s="7" t="str">
        <f t="shared" si="44"/>
        <v>201806</v>
      </c>
      <c r="C1321" s="6" t="str">
        <f>INDEX(工厂基础数据!$A$2:$A$1024,MATCH(X1321,工厂基础数据!$D$2:$D$1024,0))</f>
        <v>02032120</v>
      </c>
      <c r="E1321" s="6" t="str">
        <f>INDEX(工厂基础数据!$B$2:$B$1024,MATCH(X1321,工厂基础数据!$D$2:$D$1024,0))</f>
        <v>淄博博仁医药有限公司</v>
      </c>
      <c r="F1321" s="6" t="e">
        <f>INDEX(商业2转码!$B$2:$B$10000,MATCH(E1321,商业2转码!$A$2:$A$10000,0))</f>
        <v>#N/A</v>
      </c>
      <c r="G1321" s="6">
        <f>INDEX(品种2编码!$A$2:$A$1048576,MATCH(W1321,品种2编码!$D$2:$D$1048576,0))</f>
        <v>0</v>
      </c>
      <c r="H1321" s="6" t="s">
        <v>672</v>
      </c>
      <c r="I1321" s="6" t="s">
        <v>1843</v>
      </c>
      <c r="J1321" s="6" t="s">
        <v>3279</v>
      </c>
      <c r="L1321" s="6" t="s">
        <v>3122</v>
      </c>
      <c r="M1321" s="6" t="e">
        <f>INDEX(医院2县区2人!$B$2:$B$1048576,MATCH(L1321,医院2县区2人!$A$2:$A$1048576,0))</f>
        <v>#N/A</v>
      </c>
      <c r="N1321" s="6" t="e">
        <f>INDEX(医院2县区2人!$C$2:$C$1048576,MATCH(L1321,医院2县区2人!$A$2:$A$1048576,0))</f>
        <v>#N/A</v>
      </c>
      <c r="P1321" s="7">
        <v>43277</v>
      </c>
      <c r="Q1321" s="6">
        <v>20</v>
      </c>
      <c r="R1321" s="6">
        <v>0.2</v>
      </c>
      <c r="S1321" s="6">
        <v>20180105</v>
      </c>
      <c r="T1321" s="6" t="e">
        <f>INDEX(医院2县区2人!$D$2:$D$1048576,MATCH(L1321,医院2县区2人!$A$2:$A$1048576,0))</f>
        <v>#N/A</v>
      </c>
      <c r="W1321" s="6" t="str">
        <f t="shared" si="43"/>
        <v>退热贴2贴</v>
      </c>
      <c r="X1321" s="6" t="s">
        <v>2893</v>
      </c>
    </row>
    <row r="1322" spans="1:24" x14ac:dyDescent="0.15">
      <c r="A1322" s="7" t="str">
        <f t="shared" si="44"/>
        <v>201806</v>
      </c>
      <c r="C1322" s="6" t="str">
        <f>INDEX(工厂基础数据!$A$2:$A$1024,MATCH(X1322,工厂基础数据!$D$2:$D$1024,0))</f>
        <v>02032120</v>
      </c>
      <c r="E1322" s="6" t="str">
        <f>INDEX(工厂基础数据!$B$2:$B$1024,MATCH(X1322,工厂基础数据!$D$2:$D$1024,0))</f>
        <v>淄博博仁医药有限公司</v>
      </c>
      <c r="F1322" s="6" t="e">
        <f>INDEX(商业2转码!$B$2:$B$10000,MATCH(E1322,商业2转码!$A$2:$A$10000,0))</f>
        <v>#N/A</v>
      </c>
      <c r="G1322" s="6" t="str">
        <f>INDEX(品种2编码!$A$2:$A$1048576,MATCH(W1322,品种2编码!$D$2:$D$1048576,0))</f>
        <v>0020050090SJZY0001</v>
      </c>
      <c r="H1322" s="6" t="s">
        <v>630</v>
      </c>
      <c r="I1322" s="6" t="s">
        <v>1850</v>
      </c>
      <c r="J1322" s="6" t="s">
        <v>3285</v>
      </c>
      <c r="L1322" s="6" t="s">
        <v>3122</v>
      </c>
      <c r="M1322" s="6" t="e">
        <f>INDEX(医院2县区2人!$B$2:$B$1048576,MATCH(L1322,医院2县区2人!$A$2:$A$1048576,0))</f>
        <v>#N/A</v>
      </c>
      <c r="N1322" s="6" t="e">
        <f>INDEX(医院2县区2人!$C$2:$C$1048576,MATCH(L1322,医院2县区2人!$A$2:$A$1048576,0))</f>
        <v>#N/A</v>
      </c>
      <c r="P1322" s="7">
        <v>43277</v>
      </c>
      <c r="Q1322" s="6">
        <v>20</v>
      </c>
      <c r="R1322" s="6">
        <v>330</v>
      </c>
      <c r="S1322" s="6">
        <v>17122813</v>
      </c>
      <c r="T1322" s="6" t="e">
        <f>INDEX(医院2县区2人!$D$2:$D$1048576,MATCH(L1322,医院2县区2人!$A$2:$A$1048576,0))</f>
        <v>#N/A</v>
      </c>
      <c r="W1322" s="6" t="str">
        <f t="shared" si="43"/>
        <v>双黄连口服液10ml*10支</v>
      </c>
      <c r="X1322" s="6" t="s">
        <v>2893</v>
      </c>
    </row>
    <row r="1323" spans="1:24" x14ac:dyDescent="0.15">
      <c r="A1323" s="7" t="str">
        <f t="shared" si="44"/>
        <v>201806</v>
      </c>
      <c r="C1323" s="6" t="str">
        <f>INDEX(工厂基础数据!$A$2:$A$1024,MATCH(X1323,工厂基础数据!$D$2:$D$1024,0))</f>
        <v>02032120</v>
      </c>
      <c r="E1323" s="6" t="str">
        <f>INDEX(工厂基础数据!$B$2:$B$1024,MATCH(X1323,工厂基础数据!$D$2:$D$1024,0))</f>
        <v>淄博博仁医药有限公司</v>
      </c>
      <c r="F1323" s="6" t="e">
        <f>INDEX(商业2转码!$B$2:$B$10000,MATCH(E1323,商业2转码!$A$2:$A$10000,0))</f>
        <v>#N/A</v>
      </c>
      <c r="G1323" s="6" t="str">
        <f>INDEX(品种2编码!$A$2:$A$1048576,MATCH(W1323,品种2编码!$D$2:$D$1048576,0))</f>
        <v>0020030001SJZY0006</v>
      </c>
      <c r="H1323" s="6" t="s">
        <v>1833</v>
      </c>
      <c r="I1323" s="6" t="s">
        <v>411</v>
      </c>
      <c r="J1323" s="6" t="s">
        <v>3280</v>
      </c>
      <c r="L1323" s="6" t="s">
        <v>3254</v>
      </c>
      <c r="M1323" s="6" t="e">
        <f>INDEX(医院2县区2人!$B$2:$B$1048576,MATCH(L1323,医院2县区2人!$A$2:$A$1048576,0))</f>
        <v>#N/A</v>
      </c>
      <c r="N1323" s="6" t="e">
        <f>INDEX(医院2县区2人!$C$2:$C$1048576,MATCH(L1323,医院2县区2人!$A$2:$A$1048576,0))</f>
        <v>#N/A</v>
      </c>
      <c r="P1323" s="7">
        <v>43277</v>
      </c>
      <c r="Q1323" s="6">
        <v>20</v>
      </c>
      <c r="R1323" s="6">
        <v>440</v>
      </c>
      <c r="S1323" s="6">
        <v>18030523</v>
      </c>
      <c r="T1323" s="6" t="e">
        <f>INDEX(医院2县区2人!$D$2:$D$1048576,MATCH(L1323,医院2县区2人!$A$2:$A$1048576,0))</f>
        <v>#N/A</v>
      </c>
      <c r="W1323" s="6" t="str">
        <f t="shared" si="43"/>
        <v>葡萄糖酸钙口服溶液10ml*12支</v>
      </c>
      <c r="X1323" s="6" t="s">
        <v>2893</v>
      </c>
    </row>
    <row r="1324" spans="1:24" x14ac:dyDescent="0.15">
      <c r="A1324" s="7" t="str">
        <f t="shared" si="44"/>
        <v>201806</v>
      </c>
      <c r="C1324" s="6" t="str">
        <f>INDEX(工厂基础数据!$A$2:$A$1024,MATCH(X1324,工厂基础数据!$D$2:$D$1024,0))</f>
        <v>02032120</v>
      </c>
      <c r="E1324" s="6" t="str">
        <f>INDEX(工厂基础数据!$B$2:$B$1024,MATCH(X1324,工厂基础数据!$D$2:$D$1024,0))</f>
        <v>淄博博仁医药有限公司</v>
      </c>
      <c r="F1324" s="6" t="e">
        <f>INDEX(商业2转码!$B$2:$B$10000,MATCH(E1324,商业2转码!$A$2:$A$10000,0))</f>
        <v>#N/A</v>
      </c>
      <c r="G1324" s="6">
        <f>INDEX(品种2编码!$A$2:$A$1048576,MATCH(W1324,品种2编码!$D$2:$D$1048576,0))</f>
        <v>0</v>
      </c>
      <c r="H1324" s="6" t="s">
        <v>3268</v>
      </c>
      <c r="I1324" s="6" t="s">
        <v>411</v>
      </c>
      <c r="J1324" s="6" t="s">
        <v>3040</v>
      </c>
      <c r="L1324" s="6" t="s">
        <v>3243</v>
      </c>
      <c r="M1324" s="6" t="e">
        <f>INDEX(医院2县区2人!$B$2:$B$1048576,MATCH(L1324,医院2县区2人!$A$2:$A$1048576,0))</f>
        <v>#N/A</v>
      </c>
      <c r="N1324" s="6" t="e">
        <f>INDEX(医院2县区2人!$C$2:$C$1048576,MATCH(L1324,医院2县区2人!$A$2:$A$1048576,0))</f>
        <v>#N/A</v>
      </c>
      <c r="P1324" s="7">
        <v>43277</v>
      </c>
      <c r="Q1324" s="6">
        <v>20</v>
      </c>
      <c r="R1324" s="6">
        <v>460</v>
      </c>
      <c r="S1324" s="6">
        <v>17112821</v>
      </c>
      <c r="T1324" s="6" t="e">
        <f>INDEX(医院2县区2人!$D$2:$D$1048576,MATCH(L1324,医院2县区2人!$A$2:$A$1048576,0))</f>
        <v>#N/A</v>
      </c>
      <c r="W1324" s="6" t="str">
        <f t="shared" si="43"/>
        <v>葡糖糖酸锌口服溶液10ml*12支</v>
      </c>
      <c r="X1324" s="6" t="s">
        <v>2893</v>
      </c>
    </row>
    <row r="1325" spans="1:24" x14ac:dyDescent="0.15">
      <c r="A1325" s="7" t="str">
        <f t="shared" si="44"/>
        <v>201806</v>
      </c>
      <c r="C1325" s="6" t="str">
        <f>INDEX(工厂基础数据!$A$2:$A$1024,MATCH(X1325,工厂基础数据!$D$2:$D$1024,0))</f>
        <v>02032120</v>
      </c>
      <c r="E1325" s="6" t="str">
        <f>INDEX(工厂基础数据!$B$2:$B$1024,MATCH(X1325,工厂基础数据!$D$2:$D$1024,0))</f>
        <v>淄博博仁医药有限公司</v>
      </c>
      <c r="F1325" s="6" t="e">
        <f>INDEX(商业2转码!$B$2:$B$10000,MATCH(E1325,商业2转码!$A$2:$A$10000,0))</f>
        <v>#N/A</v>
      </c>
      <c r="G1325" s="6" t="str">
        <f>INDEX(品种2编码!$A$2:$A$1048576,MATCH(W1325,品种2编码!$D$2:$D$1048576,0))</f>
        <v>0020020021ZYLC0005</v>
      </c>
      <c r="H1325" s="6" t="s">
        <v>1950</v>
      </c>
      <c r="I1325" s="6" t="s">
        <v>1841</v>
      </c>
      <c r="J1325" s="6" t="s">
        <v>3283</v>
      </c>
      <c r="L1325" s="6" t="s">
        <v>3254</v>
      </c>
      <c r="M1325" s="6" t="e">
        <f>INDEX(医院2县区2人!$B$2:$B$1048576,MATCH(L1325,医院2县区2人!$A$2:$A$1048576,0))</f>
        <v>#N/A</v>
      </c>
      <c r="N1325" s="6" t="e">
        <f>INDEX(医院2县区2人!$C$2:$C$1048576,MATCH(L1325,医院2县区2人!$A$2:$A$1048576,0))</f>
        <v>#N/A</v>
      </c>
      <c r="P1325" s="7">
        <v>43277</v>
      </c>
      <c r="Q1325" s="6">
        <v>50</v>
      </c>
      <c r="R1325" s="6">
        <v>200</v>
      </c>
      <c r="S1325" s="6">
        <v>180201</v>
      </c>
      <c r="T1325" s="6" t="e">
        <f>INDEX(医院2县区2人!$D$2:$D$1048576,MATCH(L1325,医院2县区2人!$A$2:$A$1048576,0))</f>
        <v>#N/A</v>
      </c>
      <c r="W1325" s="6" t="str">
        <f t="shared" si="43"/>
        <v>罗红霉素分散片50mg*12片</v>
      </c>
      <c r="X1325" s="6" t="s">
        <v>2893</v>
      </c>
    </row>
    <row r="1326" spans="1:24" x14ac:dyDescent="0.15">
      <c r="A1326" s="7" t="str">
        <f t="shared" si="44"/>
        <v>201806</v>
      </c>
      <c r="C1326" s="6" t="str">
        <f>INDEX(工厂基础数据!$A$2:$A$1024,MATCH(X1326,工厂基础数据!$D$2:$D$1024,0))</f>
        <v>02032120</v>
      </c>
      <c r="E1326" s="6" t="str">
        <f>INDEX(工厂基础数据!$B$2:$B$1024,MATCH(X1326,工厂基础数据!$D$2:$D$1024,0))</f>
        <v>淄博博仁医药有限公司</v>
      </c>
      <c r="F1326" s="6" t="e">
        <f>INDEX(商业2转码!$B$2:$B$10000,MATCH(E1326,商业2转码!$A$2:$A$10000,0))</f>
        <v>#N/A</v>
      </c>
      <c r="G1326" s="6" t="str">
        <f>INDEX(品种2编码!$A$2:$A$1048576,MATCH(W1326,品种2编码!$D$2:$D$1048576,0))</f>
        <v>0020040201ZYEC0001</v>
      </c>
      <c r="H1326" s="6" t="s">
        <v>2031</v>
      </c>
      <c r="I1326" s="6" t="s">
        <v>2032</v>
      </c>
      <c r="J1326" s="6" t="s">
        <v>3287</v>
      </c>
      <c r="L1326" s="6" t="s">
        <v>3182</v>
      </c>
      <c r="M1326" s="6" t="e">
        <f>INDEX(医院2县区2人!$B$2:$B$1048576,MATCH(L1326,医院2县区2人!$A$2:$A$1048576,0))</f>
        <v>#N/A</v>
      </c>
      <c r="N1326" s="6" t="e">
        <f>INDEX(医院2县区2人!$C$2:$C$1048576,MATCH(L1326,医院2县区2人!$A$2:$A$1048576,0))</f>
        <v>#N/A</v>
      </c>
      <c r="P1326" s="7">
        <v>43277</v>
      </c>
      <c r="Q1326" s="6">
        <v>120</v>
      </c>
      <c r="R1326" s="6">
        <v>720</v>
      </c>
      <c r="S1326" s="6">
        <v>1612601</v>
      </c>
      <c r="T1326" s="6" t="e">
        <f>INDEX(医院2县区2人!$D$2:$D$1048576,MATCH(L1326,医院2县区2人!$A$2:$A$1048576,0))</f>
        <v>#N/A</v>
      </c>
      <c r="W1326" s="6" t="str">
        <f t="shared" si="43"/>
        <v>双黄连粉针剂600mg</v>
      </c>
      <c r="X1326" s="6" t="s">
        <v>2893</v>
      </c>
    </row>
    <row r="1327" spans="1:24" x14ac:dyDescent="0.15">
      <c r="A1327" s="7" t="str">
        <f t="shared" si="44"/>
        <v>201806</v>
      </c>
      <c r="C1327" s="6" t="str">
        <f>INDEX(工厂基础数据!$A$2:$A$1024,MATCH(X1327,工厂基础数据!$D$2:$D$1024,0))</f>
        <v>02032120</v>
      </c>
      <c r="E1327" s="6" t="str">
        <f>INDEX(工厂基础数据!$B$2:$B$1024,MATCH(X1327,工厂基础数据!$D$2:$D$1024,0))</f>
        <v>淄博博仁医药有限公司</v>
      </c>
      <c r="F1327" s="6" t="e">
        <f>INDEX(商业2转码!$B$2:$B$10000,MATCH(E1327,商业2转码!$A$2:$A$10000,0))</f>
        <v>#N/A</v>
      </c>
      <c r="G1327" s="6" t="str">
        <f>INDEX(品种2编码!$A$2:$A$1048576,MATCH(W1327,品种2编码!$D$2:$D$1048576,0))</f>
        <v>0020070000ZYLC0003</v>
      </c>
      <c r="H1327" s="6" t="s">
        <v>722</v>
      </c>
      <c r="I1327" s="6" t="s">
        <v>1993</v>
      </c>
      <c r="J1327" s="6" t="s">
        <v>3279</v>
      </c>
      <c r="L1327" s="6" t="s">
        <v>3131</v>
      </c>
      <c r="M1327" s="6" t="e">
        <f>INDEX(医院2县区2人!$B$2:$B$1048576,MATCH(L1327,医院2县区2人!$A$2:$A$1048576,0))</f>
        <v>#N/A</v>
      </c>
      <c r="N1327" s="6" t="e">
        <f>INDEX(医院2县区2人!$C$2:$C$1048576,MATCH(L1327,医院2县区2人!$A$2:$A$1048576,0))</f>
        <v>#N/A</v>
      </c>
      <c r="P1327" s="7">
        <v>43278</v>
      </c>
      <c r="Q1327" s="6">
        <v>1</v>
      </c>
      <c r="R1327" s="6">
        <v>22</v>
      </c>
      <c r="S1327" s="6">
        <v>170702</v>
      </c>
      <c r="T1327" s="6" t="e">
        <f>INDEX(医院2县区2人!$D$2:$D$1048576,MATCH(L1327,医院2县区2人!$A$2:$A$1048576,0))</f>
        <v>#N/A</v>
      </c>
      <c r="W1327" s="6" t="str">
        <f t="shared" si="43"/>
        <v>新盖中盖牌儿童钙片1.75g*36片</v>
      </c>
      <c r="X1327" s="6" t="s">
        <v>2893</v>
      </c>
    </row>
    <row r="1328" spans="1:24" x14ac:dyDescent="0.15">
      <c r="A1328" s="7" t="str">
        <f t="shared" si="44"/>
        <v>201806</v>
      </c>
      <c r="C1328" s="6" t="str">
        <f>INDEX(工厂基础数据!$A$2:$A$1024,MATCH(X1328,工厂基础数据!$D$2:$D$1024,0))</f>
        <v>02032120</v>
      </c>
      <c r="E1328" s="6" t="str">
        <f>INDEX(工厂基础数据!$B$2:$B$1024,MATCH(X1328,工厂基础数据!$D$2:$D$1024,0))</f>
        <v>淄博博仁医药有限公司</v>
      </c>
      <c r="F1328" s="6" t="e">
        <f>INDEX(商业2转码!$B$2:$B$10000,MATCH(E1328,商业2转码!$A$2:$A$10000,0))</f>
        <v>#N/A</v>
      </c>
      <c r="G1328" s="6">
        <f>INDEX(品种2编码!$A$2:$A$1048576,MATCH(W1328,品种2编码!$D$2:$D$1048576,0))</f>
        <v>0</v>
      </c>
      <c r="H1328" s="6" t="s">
        <v>3268</v>
      </c>
      <c r="I1328" s="6" t="s">
        <v>411</v>
      </c>
      <c r="J1328" s="6" t="s">
        <v>3040</v>
      </c>
      <c r="L1328" s="6" t="s">
        <v>3131</v>
      </c>
      <c r="M1328" s="6" t="e">
        <f>INDEX(医院2县区2人!$B$2:$B$1048576,MATCH(L1328,医院2县区2人!$A$2:$A$1048576,0))</f>
        <v>#N/A</v>
      </c>
      <c r="N1328" s="6" t="e">
        <f>INDEX(医院2县区2人!$C$2:$C$1048576,MATCH(L1328,医院2县区2人!$A$2:$A$1048576,0))</f>
        <v>#N/A</v>
      </c>
      <c r="P1328" s="7">
        <v>43278</v>
      </c>
      <c r="Q1328" s="6">
        <v>1</v>
      </c>
      <c r="R1328" s="6">
        <v>23</v>
      </c>
      <c r="S1328" s="6">
        <v>18031227</v>
      </c>
      <c r="T1328" s="6" t="e">
        <f>INDEX(医院2县区2人!$D$2:$D$1048576,MATCH(L1328,医院2县区2人!$A$2:$A$1048576,0))</f>
        <v>#N/A</v>
      </c>
      <c r="W1328" s="6" t="str">
        <f t="shared" si="43"/>
        <v>葡糖糖酸锌口服溶液10ml*12支</v>
      </c>
      <c r="X1328" s="6" t="s">
        <v>2893</v>
      </c>
    </row>
    <row r="1329" spans="1:24" x14ac:dyDescent="0.15">
      <c r="A1329" s="7" t="str">
        <f t="shared" si="44"/>
        <v>201806</v>
      </c>
      <c r="C1329" s="6" t="str">
        <f>INDEX(工厂基础数据!$A$2:$A$1024,MATCH(X1329,工厂基础数据!$D$2:$D$1024,0))</f>
        <v>02032120</v>
      </c>
      <c r="E1329" s="6" t="str">
        <f>INDEX(工厂基础数据!$B$2:$B$1024,MATCH(X1329,工厂基础数据!$D$2:$D$1024,0))</f>
        <v>淄博博仁医药有限公司</v>
      </c>
      <c r="F1329" s="6" t="e">
        <f>INDEX(商业2转码!$B$2:$B$10000,MATCH(E1329,商业2转码!$A$2:$A$10000,0))</f>
        <v>#N/A</v>
      </c>
      <c r="G1329" s="6">
        <f>INDEX(品种2编码!$A$2:$A$1048576,MATCH(W1329,品种2编码!$D$2:$D$1048576,0))</f>
        <v>0</v>
      </c>
      <c r="H1329" s="6" t="s">
        <v>3269</v>
      </c>
      <c r="I1329" s="6" t="s">
        <v>1839</v>
      </c>
      <c r="J1329" s="6" t="s">
        <v>3279</v>
      </c>
      <c r="L1329" s="6" t="s">
        <v>3131</v>
      </c>
      <c r="M1329" s="6" t="e">
        <f>INDEX(医院2县区2人!$B$2:$B$1048576,MATCH(L1329,医院2县区2人!$A$2:$A$1048576,0))</f>
        <v>#N/A</v>
      </c>
      <c r="N1329" s="6" t="e">
        <f>INDEX(医院2县区2人!$C$2:$C$1048576,MATCH(L1329,医院2县区2人!$A$2:$A$1048576,0))</f>
        <v>#N/A</v>
      </c>
      <c r="P1329" s="7">
        <v>43278</v>
      </c>
      <c r="Q1329" s="6">
        <v>2</v>
      </c>
      <c r="R1329" s="6">
        <v>16</v>
      </c>
      <c r="S1329" s="6">
        <v>180111</v>
      </c>
      <c r="T1329" s="6" t="e">
        <f>INDEX(医院2县区2人!$D$2:$D$1048576,MATCH(L1329,医院2县区2人!$A$2:$A$1048576,0))</f>
        <v>#N/A</v>
      </c>
      <c r="W1329" s="6" t="str">
        <f t="shared" si="43"/>
        <v>乳酸菌素片(精）0.4g*36片</v>
      </c>
      <c r="X1329" s="6" t="s">
        <v>2893</v>
      </c>
    </row>
    <row r="1330" spans="1:24" x14ac:dyDescent="0.15">
      <c r="A1330" s="7" t="str">
        <f t="shared" si="44"/>
        <v>201806</v>
      </c>
      <c r="C1330" s="6" t="str">
        <f>INDEX(工厂基础数据!$A$2:$A$1024,MATCH(X1330,工厂基础数据!$D$2:$D$1024,0))</f>
        <v>02032120</v>
      </c>
      <c r="E1330" s="6" t="str">
        <f>INDEX(工厂基础数据!$B$2:$B$1024,MATCH(X1330,工厂基础数据!$D$2:$D$1024,0))</f>
        <v>淄博博仁医药有限公司</v>
      </c>
      <c r="F1330" s="6" t="e">
        <f>INDEX(商业2转码!$B$2:$B$10000,MATCH(E1330,商业2转码!$A$2:$A$10000,0))</f>
        <v>#N/A</v>
      </c>
      <c r="G1330" s="6">
        <f>INDEX(品种2编码!$A$2:$A$1048576,MATCH(W1330,品种2编码!$D$2:$D$1048576,0))</f>
        <v>0</v>
      </c>
      <c r="H1330" s="6" t="s">
        <v>1835</v>
      </c>
      <c r="I1330" s="6" t="s">
        <v>1954</v>
      </c>
      <c r="J1330" s="6" t="s">
        <v>3279</v>
      </c>
      <c r="L1330" s="6" t="s">
        <v>3127</v>
      </c>
      <c r="M1330" s="6" t="e">
        <f>INDEX(医院2县区2人!$B$2:$B$1048576,MATCH(L1330,医院2县区2人!$A$2:$A$1048576,0))</f>
        <v>#N/A</v>
      </c>
      <c r="N1330" s="6" t="e">
        <f>INDEX(医院2县区2人!$C$2:$C$1048576,MATCH(L1330,医院2县区2人!$A$2:$A$1048576,0))</f>
        <v>#N/A</v>
      </c>
      <c r="P1330" s="7">
        <v>43278</v>
      </c>
      <c r="Q1330" s="6">
        <v>2</v>
      </c>
      <c r="R1330" s="6">
        <v>25.9</v>
      </c>
      <c r="S1330" s="6">
        <v>171201</v>
      </c>
      <c r="T1330" s="6" t="e">
        <f>INDEX(医院2县区2人!$D$2:$D$1048576,MATCH(L1330,医院2县区2人!$A$2:$A$1048576,0))</f>
        <v>#N/A</v>
      </c>
      <c r="W1330" s="6" t="str">
        <f t="shared" si="43"/>
        <v>蒙脱石散12袋</v>
      </c>
      <c r="X1330" s="6" t="s">
        <v>2893</v>
      </c>
    </row>
    <row r="1331" spans="1:24" x14ac:dyDescent="0.15">
      <c r="A1331" s="7" t="str">
        <f t="shared" si="44"/>
        <v>201806</v>
      </c>
      <c r="C1331" s="6" t="str">
        <f>INDEX(工厂基础数据!$A$2:$A$1024,MATCH(X1331,工厂基础数据!$D$2:$D$1024,0))</f>
        <v>02032120</v>
      </c>
      <c r="E1331" s="6" t="str">
        <f>INDEX(工厂基础数据!$B$2:$B$1024,MATCH(X1331,工厂基础数据!$D$2:$D$1024,0))</f>
        <v>淄博博仁医药有限公司</v>
      </c>
      <c r="F1331" s="6" t="e">
        <f>INDEX(商业2转码!$B$2:$B$10000,MATCH(E1331,商业2转码!$A$2:$A$10000,0))</f>
        <v>#N/A</v>
      </c>
      <c r="G1331" s="6">
        <f>INDEX(品种2编码!$A$2:$A$1048576,MATCH(W1331,品种2编码!$D$2:$D$1048576,0))</f>
        <v>0</v>
      </c>
      <c r="H1331" s="6" t="s">
        <v>405</v>
      </c>
      <c r="I1331" s="6" t="s">
        <v>1850</v>
      </c>
      <c r="J1331" s="6" t="s">
        <v>3279</v>
      </c>
      <c r="L1331" s="6" t="s">
        <v>3180</v>
      </c>
      <c r="M1331" s="6" t="e">
        <f>INDEX(医院2县区2人!$B$2:$B$1048576,MATCH(L1331,医院2县区2人!$A$2:$A$1048576,0))</f>
        <v>#N/A</v>
      </c>
      <c r="N1331" s="6" t="e">
        <f>INDEX(医院2县区2人!$C$2:$C$1048576,MATCH(L1331,医院2县区2人!$A$2:$A$1048576,0))</f>
        <v>#N/A</v>
      </c>
      <c r="P1331" s="7">
        <v>43278</v>
      </c>
      <c r="Q1331" s="6">
        <v>2</v>
      </c>
      <c r="R1331" s="6">
        <v>30</v>
      </c>
      <c r="S1331" s="6">
        <v>1802005</v>
      </c>
      <c r="T1331" s="6" t="e">
        <f>INDEX(医院2县区2人!$D$2:$D$1048576,MATCH(L1331,医院2县区2人!$A$2:$A$1048576,0))</f>
        <v>#N/A</v>
      </c>
      <c r="W1331" s="6" t="str">
        <f t="shared" si="43"/>
        <v>钙铁锌口服液10ml*10支</v>
      </c>
      <c r="X1331" s="6" t="s">
        <v>2893</v>
      </c>
    </row>
    <row r="1332" spans="1:24" x14ac:dyDescent="0.15">
      <c r="A1332" s="7" t="str">
        <f t="shared" si="44"/>
        <v>201806</v>
      </c>
      <c r="C1332" s="6" t="str">
        <f>INDEX(工厂基础数据!$A$2:$A$1024,MATCH(X1332,工厂基础数据!$D$2:$D$1024,0))</f>
        <v>02032120</v>
      </c>
      <c r="E1332" s="6" t="str">
        <f>INDEX(工厂基础数据!$B$2:$B$1024,MATCH(X1332,工厂基础数据!$D$2:$D$1024,0))</f>
        <v>淄博博仁医药有限公司</v>
      </c>
      <c r="F1332" s="6" t="e">
        <f>INDEX(商业2转码!$B$2:$B$10000,MATCH(E1332,商业2转码!$A$2:$A$10000,0))</f>
        <v>#N/A</v>
      </c>
      <c r="G1332" s="6" t="str">
        <f>INDEX(品种2编码!$A$2:$A$1048576,MATCH(W1332,品种2编码!$D$2:$D$1048576,0))</f>
        <v>0020030001SJZY0006</v>
      </c>
      <c r="H1332" s="6" t="s">
        <v>1833</v>
      </c>
      <c r="I1332" s="6" t="s">
        <v>411</v>
      </c>
      <c r="J1332" s="6" t="s">
        <v>3280</v>
      </c>
      <c r="L1332" s="6" t="s">
        <v>3236</v>
      </c>
      <c r="M1332" s="6" t="e">
        <f>INDEX(医院2县区2人!$B$2:$B$1048576,MATCH(L1332,医院2县区2人!$A$2:$A$1048576,0))</f>
        <v>#N/A</v>
      </c>
      <c r="N1332" s="6" t="e">
        <f>INDEX(医院2县区2人!$C$2:$C$1048576,MATCH(L1332,医院2县区2人!$A$2:$A$1048576,0))</f>
        <v>#N/A</v>
      </c>
      <c r="P1332" s="7">
        <v>43278</v>
      </c>
      <c r="Q1332" s="6">
        <v>3</v>
      </c>
      <c r="R1332" s="6">
        <v>66</v>
      </c>
      <c r="S1332" s="6">
        <v>18030523</v>
      </c>
      <c r="T1332" s="6" t="e">
        <f>INDEX(医院2县区2人!$D$2:$D$1048576,MATCH(L1332,医院2县区2人!$A$2:$A$1048576,0))</f>
        <v>#N/A</v>
      </c>
      <c r="W1332" s="6" t="str">
        <f t="shared" si="43"/>
        <v>葡萄糖酸钙口服溶液10ml*12支</v>
      </c>
      <c r="X1332" s="6" t="s">
        <v>2893</v>
      </c>
    </row>
    <row r="1333" spans="1:24" x14ac:dyDescent="0.15">
      <c r="A1333" s="7" t="str">
        <f t="shared" si="44"/>
        <v>201806</v>
      </c>
      <c r="C1333" s="6" t="str">
        <f>INDEX(工厂基础数据!$A$2:$A$1024,MATCH(X1333,工厂基础数据!$D$2:$D$1024,0))</f>
        <v>02032120</v>
      </c>
      <c r="E1333" s="6" t="str">
        <f>INDEX(工厂基础数据!$B$2:$B$1024,MATCH(X1333,工厂基础数据!$D$2:$D$1024,0))</f>
        <v>淄博博仁医药有限公司</v>
      </c>
      <c r="F1333" s="6" t="e">
        <f>INDEX(商业2转码!$B$2:$B$10000,MATCH(E1333,商业2转码!$A$2:$A$10000,0))</f>
        <v>#N/A</v>
      </c>
      <c r="G1333" s="6" t="str">
        <f>INDEX(品种2编码!$A$2:$A$1048576,MATCH(W1333,品种2编码!$D$2:$D$1048576,0))</f>
        <v>0020070000ZYLC0052</v>
      </c>
      <c r="H1333" s="6" t="s">
        <v>402</v>
      </c>
      <c r="I1333" s="6" t="s">
        <v>411</v>
      </c>
      <c r="J1333" s="6" t="s">
        <v>3279</v>
      </c>
      <c r="L1333" s="6" t="s">
        <v>3255</v>
      </c>
      <c r="M1333" s="6" t="e">
        <f>INDEX(医院2县区2人!$B$2:$B$1048576,MATCH(L1333,医院2县区2人!$A$2:$A$1048576,0))</f>
        <v>#N/A</v>
      </c>
      <c r="N1333" s="6" t="e">
        <f>INDEX(医院2县区2人!$C$2:$C$1048576,MATCH(L1333,医院2县区2人!$A$2:$A$1048576,0))</f>
        <v>#N/A</v>
      </c>
      <c r="P1333" s="7">
        <v>43278</v>
      </c>
      <c r="Q1333" s="6">
        <v>3</v>
      </c>
      <c r="R1333" s="6">
        <v>51</v>
      </c>
      <c r="S1333" s="6">
        <v>170801</v>
      </c>
      <c r="T1333" s="6" t="e">
        <f>INDEX(医院2县区2人!$D$2:$D$1048576,MATCH(L1333,医院2县区2人!$A$2:$A$1048576,0))</f>
        <v>#N/A</v>
      </c>
      <c r="W1333" s="6" t="str">
        <f t="shared" si="43"/>
        <v>钙加锌口服液10ml*12支</v>
      </c>
      <c r="X1333" s="6" t="s">
        <v>2893</v>
      </c>
    </row>
    <row r="1334" spans="1:24" x14ac:dyDescent="0.15">
      <c r="A1334" s="7" t="str">
        <f t="shared" si="44"/>
        <v>201806</v>
      </c>
      <c r="C1334" s="6" t="str">
        <f>INDEX(工厂基础数据!$A$2:$A$1024,MATCH(X1334,工厂基础数据!$D$2:$D$1024,0))</f>
        <v>02032120</v>
      </c>
      <c r="E1334" s="6" t="str">
        <f>INDEX(工厂基础数据!$B$2:$B$1024,MATCH(X1334,工厂基础数据!$D$2:$D$1024,0))</f>
        <v>淄博博仁医药有限公司</v>
      </c>
      <c r="F1334" s="6" t="e">
        <f>INDEX(商业2转码!$B$2:$B$10000,MATCH(E1334,商业2转码!$A$2:$A$10000,0))</f>
        <v>#N/A</v>
      </c>
      <c r="G1334" s="6">
        <f>INDEX(品种2编码!$A$2:$A$1048576,MATCH(W1334,品种2编码!$D$2:$D$1048576,0))</f>
        <v>0</v>
      </c>
      <c r="H1334" s="6" t="s">
        <v>1857</v>
      </c>
      <c r="I1334" s="6" t="s">
        <v>3288</v>
      </c>
      <c r="J1334" s="6" t="s">
        <v>3281</v>
      </c>
      <c r="L1334" s="6" t="s">
        <v>3141</v>
      </c>
      <c r="M1334" s="6" t="e">
        <f>INDEX(医院2县区2人!$B$2:$B$1048576,MATCH(L1334,医院2县区2人!$A$2:$A$1048576,0))</f>
        <v>#N/A</v>
      </c>
      <c r="N1334" s="6" t="e">
        <f>INDEX(医院2县区2人!$C$2:$C$1048576,MATCH(L1334,医院2县区2人!$A$2:$A$1048576,0))</f>
        <v>#N/A</v>
      </c>
      <c r="P1334" s="7">
        <v>43278</v>
      </c>
      <c r="Q1334" s="6">
        <v>3</v>
      </c>
      <c r="R1334" s="6">
        <v>31.8</v>
      </c>
      <c r="S1334" s="6">
        <v>1801404</v>
      </c>
      <c r="T1334" s="6" t="e">
        <f>INDEX(医院2县区2人!$D$2:$D$1048576,MATCH(L1334,医院2县区2人!$A$2:$A$1048576,0))</f>
        <v>#N/A</v>
      </c>
      <c r="W1334" s="6" t="str">
        <f t="shared" si="43"/>
        <v>妇宁栓7粒</v>
      </c>
      <c r="X1334" s="6" t="s">
        <v>2893</v>
      </c>
    </row>
    <row r="1335" spans="1:24" x14ac:dyDescent="0.15">
      <c r="A1335" s="7" t="str">
        <f t="shared" si="44"/>
        <v>201806</v>
      </c>
      <c r="C1335" s="6" t="str">
        <f>INDEX(工厂基础数据!$A$2:$A$1024,MATCH(X1335,工厂基础数据!$D$2:$D$1024,0))</f>
        <v>02032120</v>
      </c>
      <c r="E1335" s="6" t="str">
        <f>INDEX(工厂基础数据!$B$2:$B$1024,MATCH(X1335,工厂基础数据!$D$2:$D$1024,0))</f>
        <v>淄博博仁医药有限公司</v>
      </c>
      <c r="F1335" s="6" t="e">
        <f>INDEX(商业2转码!$B$2:$B$10000,MATCH(E1335,商业2转码!$A$2:$A$10000,0))</f>
        <v>#N/A</v>
      </c>
      <c r="G1335" s="6">
        <f>INDEX(品种2编码!$A$2:$A$1048576,MATCH(W1335,品种2编码!$D$2:$D$1048576,0))</f>
        <v>0</v>
      </c>
      <c r="H1335" s="6" t="s">
        <v>1987</v>
      </c>
      <c r="I1335" s="6" t="s">
        <v>411</v>
      </c>
      <c r="J1335" s="6" t="s">
        <v>3279</v>
      </c>
      <c r="L1335" s="6" t="s">
        <v>3180</v>
      </c>
      <c r="M1335" s="6" t="e">
        <f>INDEX(医院2县区2人!$B$2:$B$1048576,MATCH(L1335,医院2县区2人!$A$2:$A$1048576,0))</f>
        <v>#N/A</v>
      </c>
      <c r="N1335" s="6" t="e">
        <f>INDEX(医院2县区2人!$C$2:$C$1048576,MATCH(L1335,医院2县区2人!$A$2:$A$1048576,0))</f>
        <v>#N/A</v>
      </c>
      <c r="P1335" s="7">
        <v>43278</v>
      </c>
      <c r="Q1335" s="6">
        <v>4</v>
      </c>
      <c r="R1335" s="6">
        <v>64</v>
      </c>
      <c r="S1335" s="6">
        <v>170622</v>
      </c>
      <c r="T1335" s="6" t="e">
        <f>INDEX(医院2县区2人!$D$2:$D$1048576,MATCH(L1335,医院2县区2人!$A$2:$A$1048576,0))</f>
        <v>#N/A</v>
      </c>
      <c r="W1335" s="6" t="str">
        <f t="shared" si="43"/>
        <v>乳酸亚铁口服液（朴雪）10ml*12支</v>
      </c>
      <c r="X1335" s="6" t="s">
        <v>2893</v>
      </c>
    </row>
    <row r="1336" spans="1:24" x14ac:dyDescent="0.15">
      <c r="A1336" s="7" t="str">
        <f t="shared" si="44"/>
        <v>201806</v>
      </c>
      <c r="C1336" s="6" t="str">
        <f>INDEX(工厂基础数据!$A$2:$A$1024,MATCH(X1336,工厂基础数据!$D$2:$D$1024,0))</f>
        <v>02032120</v>
      </c>
      <c r="E1336" s="6" t="str">
        <f>INDEX(工厂基础数据!$B$2:$B$1024,MATCH(X1336,工厂基础数据!$D$2:$D$1024,0))</f>
        <v>淄博博仁医药有限公司</v>
      </c>
      <c r="F1336" s="6" t="e">
        <f>INDEX(商业2转码!$B$2:$B$10000,MATCH(E1336,商业2转码!$A$2:$A$10000,0))</f>
        <v>#N/A</v>
      </c>
      <c r="G1336" s="6">
        <f>INDEX(品种2编码!$A$2:$A$1048576,MATCH(W1336,品种2编码!$D$2:$D$1048576,0))</f>
        <v>0</v>
      </c>
      <c r="H1336" s="6" t="s">
        <v>768</v>
      </c>
      <c r="I1336" s="6" t="s">
        <v>3293</v>
      </c>
      <c r="J1336" s="6" t="s">
        <v>3286</v>
      </c>
      <c r="L1336" s="6" t="s">
        <v>3129</v>
      </c>
      <c r="M1336" s="6" t="e">
        <f>INDEX(医院2县区2人!$B$2:$B$1048576,MATCH(L1336,医院2县区2人!$A$2:$A$1048576,0))</f>
        <v>#N/A</v>
      </c>
      <c r="N1336" s="6" t="e">
        <f>INDEX(医院2县区2人!$C$2:$C$1048576,MATCH(L1336,医院2县区2人!$A$2:$A$1048576,0))</f>
        <v>#N/A</v>
      </c>
      <c r="P1336" s="7">
        <v>43278</v>
      </c>
      <c r="Q1336" s="6">
        <v>5</v>
      </c>
      <c r="R1336" s="6">
        <v>23.5</v>
      </c>
      <c r="S1336" s="6">
        <v>20170803</v>
      </c>
      <c r="T1336" s="6" t="e">
        <f>INDEX(医院2县区2人!$D$2:$D$1048576,MATCH(L1336,医院2县区2人!$A$2:$A$1048576,0))</f>
        <v>#N/A</v>
      </c>
      <c r="W1336" s="6" t="str">
        <f t="shared" si="43"/>
        <v>医用退热贴40*110mm*2贴</v>
      </c>
      <c r="X1336" s="6" t="s">
        <v>2893</v>
      </c>
    </row>
    <row r="1337" spans="1:24" x14ac:dyDescent="0.15">
      <c r="A1337" s="7" t="str">
        <f t="shared" si="44"/>
        <v>201806</v>
      </c>
      <c r="C1337" s="6" t="str">
        <f>INDEX(工厂基础数据!$A$2:$A$1024,MATCH(X1337,工厂基础数据!$D$2:$D$1024,0))</f>
        <v>02032120</v>
      </c>
      <c r="E1337" s="6" t="str">
        <f>INDEX(工厂基础数据!$B$2:$B$1024,MATCH(X1337,工厂基础数据!$D$2:$D$1024,0))</f>
        <v>淄博博仁医药有限公司</v>
      </c>
      <c r="F1337" s="6" t="e">
        <f>INDEX(商业2转码!$B$2:$B$10000,MATCH(E1337,商业2转码!$A$2:$A$10000,0))</f>
        <v>#N/A</v>
      </c>
      <c r="G1337" s="6">
        <f>INDEX(品种2编码!$A$2:$A$1048576,MATCH(W1337,品种2编码!$D$2:$D$1048576,0))</f>
        <v>0</v>
      </c>
      <c r="H1337" s="6" t="s">
        <v>1885</v>
      </c>
      <c r="I1337" s="6" t="s">
        <v>1838</v>
      </c>
      <c r="J1337" s="6" t="s">
        <v>3279</v>
      </c>
      <c r="L1337" s="6" t="s">
        <v>3209</v>
      </c>
      <c r="M1337" s="6" t="e">
        <f>INDEX(医院2县区2人!$B$2:$B$1048576,MATCH(L1337,医院2县区2人!$A$2:$A$1048576,0))</f>
        <v>#N/A</v>
      </c>
      <c r="N1337" s="6" t="e">
        <f>INDEX(医院2县区2人!$C$2:$C$1048576,MATCH(L1337,医院2县区2人!$A$2:$A$1048576,0))</f>
        <v>#N/A</v>
      </c>
      <c r="P1337" s="7">
        <v>43278</v>
      </c>
      <c r="Q1337" s="6">
        <v>5</v>
      </c>
      <c r="R1337" s="6">
        <v>120</v>
      </c>
      <c r="S1337" s="6">
        <v>171124</v>
      </c>
      <c r="T1337" s="6" t="e">
        <f>INDEX(医院2县区2人!$D$2:$D$1048576,MATCH(L1337,医院2县区2人!$A$2:$A$1048576,0))</f>
        <v>#N/A</v>
      </c>
      <c r="W1337" s="6" t="str">
        <f t="shared" si="43"/>
        <v>新盖中盖高钙片2.5g*36片</v>
      </c>
      <c r="X1337" s="6" t="s">
        <v>2893</v>
      </c>
    </row>
    <row r="1338" spans="1:24" x14ac:dyDescent="0.15">
      <c r="A1338" s="7" t="str">
        <f t="shared" si="44"/>
        <v>201806</v>
      </c>
      <c r="C1338" s="6" t="str">
        <f>INDEX(工厂基础数据!$A$2:$A$1024,MATCH(X1338,工厂基础数据!$D$2:$D$1024,0))</f>
        <v>02032120</v>
      </c>
      <c r="E1338" s="6" t="str">
        <f>INDEX(工厂基础数据!$B$2:$B$1024,MATCH(X1338,工厂基础数据!$D$2:$D$1024,0))</f>
        <v>淄博博仁医药有限公司</v>
      </c>
      <c r="F1338" s="6" t="e">
        <f>INDEX(商业2转码!$B$2:$B$10000,MATCH(E1338,商业2转码!$A$2:$A$10000,0))</f>
        <v>#N/A</v>
      </c>
      <c r="G1338" s="6" t="str">
        <f>INDEX(品种2编码!$A$2:$A$1048576,MATCH(W1338,品种2编码!$D$2:$D$1048576,0))</f>
        <v>0020020030SJMS0025</v>
      </c>
      <c r="H1338" s="6" t="s">
        <v>586</v>
      </c>
      <c r="I1338" s="6" t="s">
        <v>1937</v>
      </c>
      <c r="J1338" s="6" t="s">
        <v>3282</v>
      </c>
      <c r="L1338" s="6" t="s">
        <v>3256</v>
      </c>
      <c r="M1338" s="6" t="e">
        <f>INDEX(医院2县区2人!$B$2:$B$1048576,MATCH(L1338,医院2县区2人!$A$2:$A$1048576,0))</f>
        <v>#N/A</v>
      </c>
      <c r="N1338" s="6" t="e">
        <f>INDEX(医院2县区2人!$C$2:$C$1048576,MATCH(L1338,医院2县区2人!$A$2:$A$1048576,0))</f>
        <v>#N/A</v>
      </c>
      <c r="P1338" s="7">
        <v>43278</v>
      </c>
      <c r="Q1338" s="6">
        <v>5</v>
      </c>
      <c r="R1338" s="6">
        <v>27.5</v>
      </c>
      <c r="S1338" s="6">
        <v>1709011</v>
      </c>
      <c r="T1338" s="6" t="e">
        <f>INDEX(医院2县区2人!$D$2:$D$1048576,MATCH(L1338,医院2县区2人!$A$2:$A$1048576,0))</f>
        <v>#N/A</v>
      </c>
      <c r="W1338" s="6" t="str">
        <f t="shared" si="43"/>
        <v>人工牛黄甲硝唑胶囊30粒</v>
      </c>
      <c r="X1338" s="6" t="s">
        <v>2893</v>
      </c>
    </row>
    <row r="1339" spans="1:24" x14ac:dyDescent="0.15">
      <c r="A1339" s="7" t="str">
        <f t="shared" si="44"/>
        <v>201806</v>
      </c>
      <c r="C1339" s="6" t="str">
        <f>INDEX(工厂基础数据!$A$2:$A$1024,MATCH(X1339,工厂基础数据!$D$2:$D$1024,0))</f>
        <v>02032120</v>
      </c>
      <c r="E1339" s="6" t="str">
        <f>INDEX(工厂基础数据!$B$2:$B$1024,MATCH(X1339,工厂基础数据!$D$2:$D$1024,0))</f>
        <v>淄博博仁医药有限公司</v>
      </c>
      <c r="F1339" s="6" t="e">
        <f>INDEX(商业2转码!$B$2:$B$10000,MATCH(E1339,商业2转码!$A$2:$A$10000,0))</f>
        <v>#N/A</v>
      </c>
      <c r="G1339" s="6" t="str">
        <f>INDEX(品种2编码!$A$2:$A$1048576,MATCH(W1339,品种2编码!$D$2:$D$1048576,0))</f>
        <v>0020030001SJZY0006</v>
      </c>
      <c r="H1339" s="6" t="s">
        <v>1833</v>
      </c>
      <c r="I1339" s="6" t="s">
        <v>411</v>
      </c>
      <c r="J1339" s="6" t="s">
        <v>3280</v>
      </c>
      <c r="L1339" s="6" t="s">
        <v>3236</v>
      </c>
      <c r="M1339" s="6" t="e">
        <f>INDEX(医院2县区2人!$B$2:$B$1048576,MATCH(L1339,医院2县区2人!$A$2:$A$1048576,0))</f>
        <v>#N/A</v>
      </c>
      <c r="N1339" s="6" t="e">
        <f>INDEX(医院2县区2人!$C$2:$C$1048576,MATCH(L1339,医院2县区2人!$A$2:$A$1048576,0))</f>
        <v>#N/A</v>
      </c>
      <c r="P1339" s="7">
        <v>43278</v>
      </c>
      <c r="Q1339" s="6">
        <v>5</v>
      </c>
      <c r="R1339" s="6">
        <v>110</v>
      </c>
      <c r="S1339" s="6">
        <v>18030523</v>
      </c>
      <c r="T1339" s="6" t="e">
        <f>INDEX(医院2县区2人!$D$2:$D$1048576,MATCH(L1339,医院2县区2人!$A$2:$A$1048576,0))</f>
        <v>#N/A</v>
      </c>
      <c r="W1339" s="6" t="str">
        <f t="shared" si="43"/>
        <v>葡萄糖酸钙口服溶液10ml*12支</v>
      </c>
      <c r="X1339" s="6" t="s">
        <v>2893</v>
      </c>
    </row>
    <row r="1340" spans="1:24" x14ac:dyDescent="0.15">
      <c r="A1340" s="7" t="str">
        <f t="shared" si="44"/>
        <v>201806</v>
      </c>
      <c r="C1340" s="6" t="str">
        <f>INDEX(工厂基础数据!$A$2:$A$1024,MATCH(X1340,工厂基础数据!$D$2:$D$1024,0))</f>
        <v>02032120</v>
      </c>
      <c r="E1340" s="6" t="str">
        <f>INDEX(工厂基础数据!$B$2:$B$1024,MATCH(X1340,工厂基础数据!$D$2:$D$1024,0))</f>
        <v>淄博博仁医药有限公司</v>
      </c>
      <c r="F1340" s="6" t="e">
        <f>INDEX(商业2转码!$B$2:$B$10000,MATCH(E1340,商业2转码!$A$2:$A$10000,0))</f>
        <v>#N/A</v>
      </c>
      <c r="G1340" s="6" t="str">
        <f>INDEX(品种2编码!$A$2:$A$1048576,MATCH(W1340,品种2编码!$D$2:$D$1048576,0))</f>
        <v>0020030001SJZY0006</v>
      </c>
      <c r="H1340" s="6" t="s">
        <v>1833</v>
      </c>
      <c r="I1340" s="6" t="s">
        <v>411</v>
      </c>
      <c r="J1340" s="6" t="s">
        <v>3280</v>
      </c>
      <c r="L1340" s="6" t="s">
        <v>3178</v>
      </c>
      <c r="M1340" s="6" t="e">
        <f>INDEX(医院2县区2人!$B$2:$B$1048576,MATCH(L1340,医院2县区2人!$A$2:$A$1048576,0))</f>
        <v>#N/A</v>
      </c>
      <c r="N1340" s="6" t="e">
        <f>INDEX(医院2县区2人!$C$2:$C$1048576,MATCH(L1340,医院2县区2人!$A$2:$A$1048576,0))</f>
        <v>#N/A</v>
      </c>
      <c r="P1340" s="7">
        <v>43278</v>
      </c>
      <c r="Q1340" s="6">
        <v>5</v>
      </c>
      <c r="R1340" s="6">
        <v>110</v>
      </c>
      <c r="S1340" s="6">
        <v>18030523</v>
      </c>
      <c r="T1340" s="6" t="e">
        <f>INDEX(医院2县区2人!$D$2:$D$1048576,MATCH(L1340,医院2县区2人!$A$2:$A$1048576,0))</f>
        <v>#N/A</v>
      </c>
      <c r="W1340" s="6" t="str">
        <f t="shared" si="43"/>
        <v>葡萄糖酸钙口服溶液10ml*12支</v>
      </c>
      <c r="X1340" s="6" t="s">
        <v>2893</v>
      </c>
    </row>
    <row r="1341" spans="1:24" x14ac:dyDescent="0.15">
      <c r="A1341" s="7" t="str">
        <f t="shared" si="44"/>
        <v>201806</v>
      </c>
      <c r="C1341" s="6" t="str">
        <f>INDEX(工厂基础数据!$A$2:$A$1024,MATCH(X1341,工厂基础数据!$D$2:$D$1024,0))</f>
        <v>02032120</v>
      </c>
      <c r="E1341" s="6" t="str">
        <f>INDEX(工厂基础数据!$B$2:$B$1024,MATCH(X1341,工厂基础数据!$D$2:$D$1024,0))</f>
        <v>淄博博仁医药有限公司</v>
      </c>
      <c r="F1341" s="6" t="e">
        <f>INDEX(商业2转码!$B$2:$B$10000,MATCH(E1341,商业2转码!$A$2:$A$10000,0))</f>
        <v>#N/A</v>
      </c>
      <c r="G1341" s="6">
        <f>INDEX(品种2编码!$A$2:$A$1048576,MATCH(W1341,品种2编码!$D$2:$D$1048576,0))</f>
        <v>0</v>
      </c>
      <c r="H1341" s="6" t="s">
        <v>3268</v>
      </c>
      <c r="I1341" s="6" t="s">
        <v>411</v>
      </c>
      <c r="J1341" s="6" t="s">
        <v>3040</v>
      </c>
      <c r="L1341" s="6" t="s">
        <v>3178</v>
      </c>
      <c r="M1341" s="6" t="e">
        <f>INDEX(医院2县区2人!$B$2:$B$1048576,MATCH(L1341,医院2县区2人!$A$2:$A$1048576,0))</f>
        <v>#N/A</v>
      </c>
      <c r="N1341" s="6" t="e">
        <f>INDEX(医院2县区2人!$C$2:$C$1048576,MATCH(L1341,医院2县区2人!$A$2:$A$1048576,0))</f>
        <v>#N/A</v>
      </c>
      <c r="P1341" s="7">
        <v>43278</v>
      </c>
      <c r="Q1341" s="6">
        <v>5</v>
      </c>
      <c r="R1341" s="6">
        <v>115</v>
      </c>
      <c r="S1341" s="6">
        <v>18031227</v>
      </c>
      <c r="T1341" s="6" t="e">
        <f>INDEX(医院2县区2人!$D$2:$D$1048576,MATCH(L1341,医院2县区2人!$A$2:$A$1048576,0))</f>
        <v>#N/A</v>
      </c>
      <c r="W1341" s="6" t="str">
        <f t="shared" si="43"/>
        <v>葡糖糖酸锌口服溶液10ml*12支</v>
      </c>
      <c r="X1341" s="6" t="s">
        <v>2893</v>
      </c>
    </row>
    <row r="1342" spans="1:24" x14ac:dyDescent="0.15">
      <c r="A1342" s="7" t="str">
        <f t="shared" si="44"/>
        <v>201806</v>
      </c>
      <c r="C1342" s="6" t="str">
        <f>INDEX(工厂基础数据!$A$2:$A$1024,MATCH(X1342,工厂基础数据!$D$2:$D$1024,0))</f>
        <v>02032120</v>
      </c>
      <c r="E1342" s="6" t="str">
        <f>INDEX(工厂基础数据!$B$2:$B$1024,MATCH(X1342,工厂基础数据!$D$2:$D$1024,0))</f>
        <v>淄博博仁医药有限公司</v>
      </c>
      <c r="F1342" s="6" t="e">
        <f>INDEX(商业2转码!$B$2:$B$10000,MATCH(E1342,商业2转码!$A$2:$A$10000,0))</f>
        <v>#N/A</v>
      </c>
      <c r="G1342" s="6" t="str">
        <f>INDEX(品种2编码!$A$2:$A$1048576,MATCH(W1342,品种2编码!$D$2:$D$1048576,0))</f>
        <v>0020050090SJZY0001</v>
      </c>
      <c r="H1342" s="6" t="s">
        <v>630</v>
      </c>
      <c r="I1342" s="6" t="s">
        <v>1850</v>
      </c>
      <c r="J1342" s="6" t="s">
        <v>3285</v>
      </c>
      <c r="L1342" s="6" t="s">
        <v>3224</v>
      </c>
      <c r="M1342" s="6" t="e">
        <f>INDEX(医院2县区2人!$B$2:$B$1048576,MATCH(L1342,医院2县区2人!$A$2:$A$1048576,0))</f>
        <v>#N/A</v>
      </c>
      <c r="N1342" s="6" t="e">
        <f>INDEX(医院2县区2人!$C$2:$C$1048576,MATCH(L1342,医院2县区2人!$A$2:$A$1048576,0))</f>
        <v>#N/A</v>
      </c>
      <c r="P1342" s="7">
        <v>43278</v>
      </c>
      <c r="Q1342" s="6">
        <v>10</v>
      </c>
      <c r="R1342" s="6">
        <v>165</v>
      </c>
      <c r="S1342" s="6">
        <v>17122813</v>
      </c>
      <c r="T1342" s="6" t="e">
        <f>INDEX(医院2县区2人!$D$2:$D$1048576,MATCH(L1342,医院2县区2人!$A$2:$A$1048576,0))</f>
        <v>#N/A</v>
      </c>
      <c r="W1342" s="6" t="str">
        <f t="shared" si="43"/>
        <v>双黄连口服液10ml*10支</v>
      </c>
      <c r="X1342" s="6" t="s">
        <v>2893</v>
      </c>
    </row>
    <row r="1343" spans="1:24" x14ac:dyDescent="0.15">
      <c r="A1343" s="7" t="str">
        <f t="shared" si="44"/>
        <v>201806</v>
      </c>
      <c r="C1343" s="6" t="str">
        <f>INDEX(工厂基础数据!$A$2:$A$1024,MATCH(X1343,工厂基础数据!$D$2:$D$1024,0))</f>
        <v>02032120</v>
      </c>
      <c r="E1343" s="6" t="str">
        <f>INDEX(工厂基础数据!$B$2:$B$1024,MATCH(X1343,工厂基础数据!$D$2:$D$1024,0))</f>
        <v>淄博博仁医药有限公司</v>
      </c>
      <c r="F1343" s="6" t="e">
        <f>INDEX(商业2转码!$B$2:$B$10000,MATCH(E1343,商业2转码!$A$2:$A$10000,0))</f>
        <v>#N/A</v>
      </c>
      <c r="G1343" s="6" t="str">
        <f>INDEX(品种2编码!$A$2:$A$1048576,MATCH(W1343,品种2编码!$D$2:$D$1048576,0))</f>
        <v>0020020030SJMS0025</v>
      </c>
      <c r="H1343" s="6" t="s">
        <v>586</v>
      </c>
      <c r="I1343" s="6" t="s">
        <v>1937</v>
      </c>
      <c r="J1343" s="6" t="s">
        <v>3282</v>
      </c>
      <c r="L1343" s="6" t="s">
        <v>3214</v>
      </c>
      <c r="M1343" s="6" t="e">
        <f>INDEX(医院2县区2人!$B$2:$B$1048576,MATCH(L1343,医院2县区2人!$A$2:$A$1048576,0))</f>
        <v>#N/A</v>
      </c>
      <c r="N1343" s="6" t="e">
        <f>INDEX(医院2县区2人!$C$2:$C$1048576,MATCH(L1343,医院2县区2人!$A$2:$A$1048576,0))</f>
        <v>#N/A</v>
      </c>
      <c r="P1343" s="7">
        <v>43278</v>
      </c>
      <c r="Q1343" s="6">
        <v>10</v>
      </c>
      <c r="R1343" s="6">
        <v>55</v>
      </c>
      <c r="S1343" s="6">
        <v>1709011</v>
      </c>
      <c r="T1343" s="6" t="e">
        <f>INDEX(医院2县区2人!$D$2:$D$1048576,MATCH(L1343,医院2县区2人!$A$2:$A$1048576,0))</f>
        <v>#N/A</v>
      </c>
      <c r="W1343" s="6" t="str">
        <f t="shared" si="43"/>
        <v>人工牛黄甲硝唑胶囊30粒</v>
      </c>
      <c r="X1343" s="6" t="s">
        <v>2893</v>
      </c>
    </row>
    <row r="1344" spans="1:24" x14ac:dyDescent="0.15">
      <c r="A1344" s="7" t="str">
        <f t="shared" si="44"/>
        <v>201806</v>
      </c>
      <c r="C1344" s="6" t="str">
        <f>INDEX(工厂基础数据!$A$2:$A$1024,MATCH(X1344,工厂基础数据!$D$2:$D$1024,0))</f>
        <v>02032120</v>
      </c>
      <c r="E1344" s="6" t="str">
        <f>INDEX(工厂基础数据!$B$2:$B$1024,MATCH(X1344,工厂基础数据!$D$2:$D$1024,0))</f>
        <v>淄博博仁医药有限公司</v>
      </c>
      <c r="F1344" s="6" t="e">
        <f>INDEX(商业2转码!$B$2:$B$10000,MATCH(E1344,商业2转码!$A$2:$A$10000,0))</f>
        <v>#N/A</v>
      </c>
      <c r="G1344" s="6" t="str">
        <f>INDEX(品种2编码!$A$2:$A$1048576,MATCH(W1344,品种2编码!$D$2:$D$1048576,0))</f>
        <v>0020020030SJMS0025</v>
      </c>
      <c r="H1344" s="6" t="s">
        <v>586</v>
      </c>
      <c r="I1344" s="6" t="s">
        <v>1937</v>
      </c>
      <c r="J1344" s="6" t="s">
        <v>3282</v>
      </c>
      <c r="L1344" s="6" t="s">
        <v>3120</v>
      </c>
      <c r="M1344" s="6" t="e">
        <f>INDEX(医院2县区2人!$B$2:$B$1048576,MATCH(L1344,医院2县区2人!$A$2:$A$1048576,0))</f>
        <v>#N/A</v>
      </c>
      <c r="N1344" s="6" t="e">
        <f>INDEX(医院2县区2人!$C$2:$C$1048576,MATCH(L1344,医院2县区2人!$A$2:$A$1048576,0))</f>
        <v>#N/A</v>
      </c>
      <c r="P1344" s="7">
        <v>43278</v>
      </c>
      <c r="Q1344" s="6">
        <v>10</v>
      </c>
      <c r="R1344" s="6">
        <v>32</v>
      </c>
      <c r="S1344" s="6">
        <v>1709011</v>
      </c>
      <c r="T1344" s="6" t="e">
        <f>INDEX(医院2县区2人!$D$2:$D$1048576,MATCH(L1344,医院2县区2人!$A$2:$A$1048576,0))</f>
        <v>#N/A</v>
      </c>
      <c r="W1344" s="6" t="str">
        <f t="shared" si="43"/>
        <v>人工牛黄甲硝唑胶囊30粒</v>
      </c>
      <c r="X1344" s="6" t="s">
        <v>2893</v>
      </c>
    </row>
    <row r="1345" spans="1:24" x14ac:dyDescent="0.15">
      <c r="A1345" s="7" t="str">
        <f t="shared" si="44"/>
        <v>201806</v>
      </c>
      <c r="C1345" s="6" t="str">
        <f>INDEX(工厂基础数据!$A$2:$A$1024,MATCH(X1345,工厂基础数据!$D$2:$D$1024,0))</f>
        <v>02032120</v>
      </c>
      <c r="E1345" s="6" t="str">
        <f>INDEX(工厂基础数据!$B$2:$B$1024,MATCH(X1345,工厂基础数据!$D$2:$D$1024,0))</f>
        <v>淄博博仁医药有限公司</v>
      </c>
      <c r="F1345" s="6" t="e">
        <f>INDEX(商业2转码!$B$2:$B$10000,MATCH(E1345,商业2转码!$A$2:$A$10000,0))</f>
        <v>#N/A</v>
      </c>
      <c r="G1345" s="6" t="str">
        <f>INDEX(品种2编码!$A$2:$A$1048576,MATCH(W1345,品种2编码!$D$2:$D$1048576,0))</f>
        <v>0020030001SJZY0006</v>
      </c>
      <c r="H1345" s="6" t="s">
        <v>1833</v>
      </c>
      <c r="I1345" s="6" t="s">
        <v>411</v>
      </c>
      <c r="J1345" s="6" t="s">
        <v>3280</v>
      </c>
      <c r="L1345" s="6" t="s">
        <v>3168</v>
      </c>
      <c r="M1345" s="6" t="e">
        <f>INDEX(医院2县区2人!$B$2:$B$1048576,MATCH(L1345,医院2县区2人!$A$2:$A$1048576,0))</f>
        <v>#N/A</v>
      </c>
      <c r="N1345" s="6" t="e">
        <f>INDEX(医院2县区2人!$C$2:$C$1048576,MATCH(L1345,医院2县区2人!$A$2:$A$1048576,0))</f>
        <v>#N/A</v>
      </c>
      <c r="P1345" s="7">
        <v>43278</v>
      </c>
      <c r="Q1345" s="6">
        <v>10</v>
      </c>
      <c r="R1345" s="6">
        <v>220</v>
      </c>
      <c r="S1345" s="6">
        <v>18030523</v>
      </c>
      <c r="T1345" s="6" t="e">
        <f>INDEX(医院2县区2人!$D$2:$D$1048576,MATCH(L1345,医院2县区2人!$A$2:$A$1048576,0))</f>
        <v>#N/A</v>
      </c>
      <c r="W1345" s="6" t="str">
        <f t="shared" si="43"/>
        <v>葡萄糖酸钙口服溶液10ml*12支</v>
      </c>
      <c r="X1345" s="6" t="s">
        <v>2893</v>
      </c>
    </row>
    <row r="1346" spans="1:24" x14ac:dyDescent="0.15">
      <c r="A1346" s="7" t="str">
        <f t="shared" si="44"/>
        <v>201806</v>
      </c>
      <c r="C1346" s="6" t="str">
        <f>INDEX(工厂基础数据!$A$2:$A$1024,MATCH(X1346,工厂基础数据!$D$2:$D$1024,0))</f>
        <v>02032120</v>
      </c>
      <c r="E1346" s="6" t="str">
        <f>INDEX(工厂基础数据!$B$2:$B$1024,MATCH(X1346,工厂基础数据!$D$2:$D$1024,0))</f>
        <v>淄博博仁医药有限公司</v>
      </c>
      <c r="F1346" s="6" t="e">
        <f>INDEX(商业2转码!$B$2:$B$10000,MATCH(E1346,商业2转码!$A$2:$A$10000,0))</f>
        <v>#N/A</v>
      </c>
      <c r="G1346" s="6" t="str">
        <f>INDEX(品种2编码!$A$2:$A$1048576,MATCH(W1346,品种2编码!$D$2:$D$1048576,0))</f>
        <v>0020020021ZYLC0004</v>
      </c>
      <c r="H1346" s="6" t="s">
        <v>1950</v>
      </c>
      <c r="I1346" s="6" t="s">
        <v>1869</v>
      </c>
      <c r="J1346" s="6" t="s">
        <v>3283</v>
      </c>
      <c r="L1346" s="6" t="s">
        <v>3257</v>
      </c>
      <c r="M1346" s="6" t="e">
        <f>INDEX(医院2县区2人!$B$2:$B$1048576,MATCH(L1346,医院2县区2人!$A$2:$A$1048576,0))</f>
        <v>#N/A</v>
      </c>
      <c r="N1346" s="6" t="e">
        <f>INDEX(医院2县区2人!$C$2:$C$1048576,MATCH(L1346,医院2县区2人!$A$2:$A$1048576,0))</f>
        <v>#N/A</v>
      </c>
      <c r="P1346" s="7">
        <v>43278</v>
      </c>
      <c r="Q1346" s="6">
        <v>10</v>
      </c>
      <c r="R1346" s="6">
        <v>80</v>
      </c>
      <c r="S1346" s="6">
        <v>171101</v>
      </c>
      <c r="T1346" s="6" t="e">
        <f>INDEX(医院2县区2人!$D$2:$D$1048576,MATCH(L1346,医院2县区2人!$A$2:$A$1048576,0))</f>
        <v>#N/A</v>
      </c>
      <c r="W1346" s="6" t="str">
        <f t="shared" si="43"/>
        <v>罗红霉素分散片75mg*12片</v>
      </c>
      <c r="X1346" s="6" t="s">
        <v>2893</v>
      </c>
    </row>
    <row r="1347" spans="1:24" x14ac:dyDescent="0.15">
      <c r="A1347" s="7" t="str">
        <f t="shared" si="44"/>
        <v>201806</v>
      </c>
      <c r="C1347" s="6" t="str">
        <f>INDEX(工厂基础数据!$A$2:$A$1024,MATCH(X1347,工厂基础数据!$D$2:$D$1024,0))</f>
        <v>02032120</v>
      </c>
      <c r="E1347" s="6" t="str">
        <f>INDEX(工厂基础数据!$B$2:$B$1024,MATCH(X1347,工厂基础数据!$D$2:$D$1024,0))</f>
        <v>淄博博仁医药有限公司</v>
      </c>
      <c r="F1347" s="6" t="e">
        <f>INDEX(商业2转码!$B$2:$B$10000,MATCH(E1347,商业2转码!$A$2:$A$10000,0))</f>
        <v>#N/A</v>
      </c>
      <c r="G1347" s="6">
        <f>INDEX(品种2编码!$A$2:$A$1048576,MATCH(W1347,品种2编码!$D$2:$D$1048576,0))</f>
        <v>0</v>
      </c>
      <c r="H1347" s="6" t="s">
        <v>405</v>
      </c>
      <c r="I1347" s="6" t="s">
        <v>1850</v>
      </c>
      <c r="J1347" s="6" t="s">
        <v>3279</v>
      </c>
      <c r="L1347" s="6" t="s">
        <v>3258</v>
      </c>
      <c r="M1347" s="6" t="e">
        <f>INDEX(医院2县区2人!$B$2:$B$1048576,MATCH(L1347,医院2县区2人!$A$2:$A$1048576,0))</f>
        <v>#N/A</v>
      </c>
      <c r="N1347" s="6" t="e">
        <f>INDEX(医院2县区2人!$C$2:$C$1048576,MATCH(L1347,医院2县区2人!$A$2:$A$1048576,0))</f>
        <v>#N/A</v>
      </c>
      <c r="P1347" s="7">
        <v>43278</v>
      </c>
      <c r="Q1347" s="6">
        <v>10</v>
      </c>
      <c r="R1347" s="6">
        <v>150</v>
      </c>
      <c r="S1347" s="6">
        <v>1802005</v>
      </c>
      <c r="T1347" s="6" t="e">
        <f>INDEX(医院2县区2人!$D$2:$D$1048576,MATCH(L1347,医院2县区2人!$A$2:$A$1048576,0))</f>
        <v>#N/A</v>
      </c>
      <c r="W1347" s="6" t="str">
        <f t="shared" ref="W1347:W1408" si="45">H1347&amp;I1347</f>
        <v>钙铁锌口服液10ml*10支</v>
      </c>
      <c r="X1347" s="6" t="s">
        <v>2893</v>
      </c>
    </row>
    <row r="1348" spans="1:24" x14ac:dyDescent="0.15">
      <c r="A1348" s="7" t="str">
        <f t="shared" ref="A1348:A1409" si="46">IF(MONTH(P1348)&lt;10,YEAR(P1348)&amp;"0"&amp;MONTH(P1348),YEAR(P1348)&amp;MONTH(P1348))</f>
        <v>201806</v>
      </c>
      <c r="C1348" s="6" t="str">
        <f>INDEX(工厂基础数据!$A$2:$A$1024,MATCH(X1348,工厂基础数据!$D$2:$D$1024,0))</f>
        <v>02032120</v>
      </c>
      <c r="E1348" s="6" t="str">
        <f>INDEX(工厂基础数据!$B$2:$B$1024,MATCH(X1348,工厂基础数据!$D$2:$D$1024,0))</f>
        <v>淄博博仁医药有限公司</v>
      </c>
      <c r="F1348" s="6" t="e">
        <f>INDEX(商业2转码!$B$2:$B$10000,MATCH(E1348,商业2转码!$A$2:$A$10000,0))</f>
        <v>#N/A</v>
      </c>
      <c r="G1348" s="6" t="str">
        <f>INDEX(品种2编码!$A$2:$A$1048576,MATCH(W1348,品种2编码!$D$2:$D$1048576,0))</f>
        <v>0020040201ZYEC0001</v>
      </c>
      <c r="H1348" s="6" t="s">
        <v>2031</v>
      </c>
      <c r="I1348" s="6" t="s">
        <v>2032</v>
      </c>
      <c r="J1348" s="6" t="s">
        <v>3287</v>
      </c>
      <c r="L1348" s="6" t="s">
        <v>3219</v>
      </c>
      <c r="M1348" s="6" t="e">
        <f>INDEX(医院2县区2人!$B$2:$B$1048576,MATCH(L1348,医院2县区2人!$A$2:$A$1048576,0))</f>
        <v>#N/A</v>
      </c>
      <c r="N1348" s="6" t="e">
        <f>INDEX(医院2县区2人!$C$2:$C$1048576,MATCH(L1348,医院2县区2人!$A$2:$A$1048576,0))</f>
        <v>#N/A</v>
      </c>
      <c r="P1348" s="7">
        <v>43278</v>
      </c>
      <c r="Q1348" s="6">
        <v>12</v>
      </c>
      <c r="R1348" s="6">
        <v>72</v>
      </c>
      <c r="S1348" s="6">
        <v>1612601</v>
      </c>
      <c r="T1348" s="6" t="e">
        <f>INDEX(医院2县区2人!$D$2:$D$1048576,MATCH(L1348,医院2县区2人!$A$2:$A$1048576,0))</f>
        <v>#N/A</v>
      </c>
      <c r="W1348" s="6" t="str">
        <f t="shared" si="45"/>
        <v>双黄连粉针剂600mg</v>
      </c>
      <c r="X1348" s="6" t="s">
        <v>2893</v>
      </c>
    </row>
    <row r="1349" spans="1:24" x14ac:dyDescent="0.15">
      <c r="A1349" s="7" t="str">
        <f t="shared" si="46"/>
        <v>201806</v>
      </c>
      <c r="C1349" s="6" t="str">
        <f>INDEX(工厂基础数据!$A$2:$A$1024,MATCH(X1349,工厂基础数据!$D$2:$D$1024,0))</f>
        <v>02032120</v>
      </c>
      <c r="E1349" s="6" t="str">
        <f>INDEX(工厂基础数据!$B$2:$B$1024,MATCH(X1349,工厂基础数据!$D$2:$D$1024,0))</f>
        <v>淄博博仁医药有限公司</v>
      </c>
      <c r="F1349" s="6" t="e">
        <f>INDEX(商业2转码!$B$2:$B$10000,MATCH(E1349,商业2转码!$A$2:$A$10000,0))</f>
        <v>#N/A</v>
      </c>
      <c r="G1349" s="6">
        <f>INDEX(品种2编码!$A$2:$A$1048576,MATCH(W1349,品种2编码!$D$2:$D$1048576,0))</f>
        <v>0</v>
      </c>
      <c r="H1349" s="6" t="s">
        <v>672</v>
      </c>
      <c r="I1349" s="6" t="s">
        <v>1843</v>
      </c>
      <c r="J1349" s="6" t="s">
        <v>3279</v>
      </c>
      <c r="L1349" s="6" t="s">
        <v>3224</v>
      </c>
      <c r="M1349" s="6" t="e">
        <f>INDEX(医院2县区2人!$B$2:$B$1048576,MATCH(L1349,医院2县区2人!$A$2:$A$1048576,0))</f>
        <v>#N/A</v>
      </c>
      <c r="N1349" s="6" t="e">
        <f>INDEX(医院2县区2人!$C$2:$C$1048576,MATCH(L1349,医院2县区2人!$A$2:$A$1048576,0))</f>
        <v>#N/A</v>
      </c>
      <c r="P1349" s="7">
        <v>43278</v>
      </c>
      <c r="Q1349" s="6">
        <v>20</v>
      </c>
      <c r="R1349" s="6">
        <v>0.2</v>
      </c>
      <c r="S1349" s="6">
        <v>20180105</v>
      </c>
      <c r="T1349" s="6" t="e">
        <f>INDEX(医院2县区2人!$D$2:$D$1048576,MATCH(L1349,医院2县区2人!$A$2:$A$1048576,0))</f>
        <v>#N/A</v>
      </c>
      <c r="W1349" s="6" t="str">
        <f t="shared" si="45"/>
        <v>退热贴2贴</v>
      </c>
      <c r="X1349" s="6" t="s">
        <v>2893</v>
      </c>
    </row>
    <row r="1350" spans="1:24" x14ac:dyDescent="0.15">
      <c r="A1350" s="7" t="str">
        <f t="shared" si="46"/>
        <v>201806</v>
      </c>
      <c r="C1350" s="6" t="str">
        <f>INDEX(工厂基础数据!$A$2:$A$1024,MATCH(X1350,工厂基础数据!$D$2:$D$1024,0))</f>
        <v>02032120</v>
      </c>
      <c r="E1350" s="6" t="str">
        <f>INDEX(工厂基础数据!$B$2:$B$1024,MATCH(X1350,工厂基础数据!$D$2:$D$1024,0))</f>
        <v>淄博博仁医药有限公司</v>
      </c>
      <c r="F1350" s="6" t="e">
        <f>INDEX(商业2转码!$B$2:$B$10000,MATCH(E1350,商业2转码!$A$2:$A$10000,0))</f>
        <v>#N/A</v>
      </c>
      <c r="G1350" s="6" t="str">
        <f>INDEX(品种2编码!$A$2:$A$1048576,MATCH(W1350,品种2编码!$D$2:$D$1048576,0))</f>
        <v>0020050090SJZY0001</v>
      </c>
      <c r="H1350" s="6" t="s">
        <v>630</v>
      </c>
      <c r="I1350" s="6" t="s">
        <v>1850</v>
      </c>
      <c r="J1350" s="6" t="s">
        <v>3285</v>
      </c>
      <c r="L1350" s="6" t="s">
        <v>3166</v>
      </c>
      <c r="M1350" s="6" t="e">
        <f>INDEX(医院2县区2人!$B$2:$B$1048576,MATCH(L1350,医院2县区2人!$A$2:$A$1048576,0))</f>
        <v>#N/A</v>
      </c>
      <c r="N1350" s="6" t="e">
        <f>INDEX(医院2县区2人!$C$2:$C$1048576,MATCH(L1350,医院2县区2人!$A$2:$A$1048576,0))</f>
        <v>#N/A</v>
      </c>
      <c r="P1350" s="7">
        <v>43278</v>
      </c>
      <c r="Q1350" s="6">
        <v>20</v>
      </c>
      <c r="R1350" s="6">
        <v>330</v>
      </c>
      <c r="S1350" s="6">
        <v>17122813</v>
      </c>
      <c r="T1350" s="6" t="e">
        <f>INDEX(医院2县区2人!$D$2:$D$1048576,MATCH(L1350,医院2县区2人!$A$2:$A$1048576,0))</f>
        <v>#N/A</v>
      </c>
      <c r="W1350" s="6" t="str">
        <f t="shared" si="45"/>
        <v>双黄连口服液10ml*10支</v>
      </c>
      <c r="X1350" s="6" t="s">
        <v>2893</v>
      </c>
    </row>
    <row r="1351" spans="1:24" x14ac:dyDescent="0.15">
      <c r="A1351" s="7" t="str">
        <f t="shared" si="46"/>
        <v>201806</v>
      </c>
      <c r="C1351" s="6" t="str">
        <f>INDEX(工厂基础数据!$A$2:$A$1024,MATCH(X1351,工厂基础数据!$D$2:$D$1024,0))</f>
        <v>02032120</v>
      </c>
      <c r="E1351" s="6" t="str">
        <f>INDEX(工厂基础数据!$B$2:$B$1024,MATCH(X1351,工厂基础数据!$D$2:$D$1024,0))</f>
        <v>淄博博仁医药有限公司</v>
      </c>
      <c r="F1351" s="6" t="e">
        <f>INDEX(商业2转码!$B$2:$B$10000,MATCH(E1351,商业2转码!$A$2:$A$10000,0))</f>
        <v>#N/A</v>
      </c>
      <c r="G1351" s="6" t="str">
        <f>INDEX(品种2编码!$A$2:$A$1048576,MATCH(W1351,品种2编码!$D$2:$D$1048576,0))</f>
        <v>0020030001SJZY0006</v>
      </c>
      <c r="H1351" s="6" t="s">
        <v>1833</v>
      </c>
      <c r="I1351" s="6" t="s">
        <v>411</v>
      </c>
      <c r="J1351" s="6" t="s">
        <v>3280</v>
      </c>
      <c r="L1351" s="6" t="s">
        <v>3224</v>
      </c>
      <c r="M1351" s="6" t="e">
        <f>INDEX(医院2县区2人!$B$2:$B$1048576,MATCH(L1351,医院2县区2人!$A$2:$A$1048576,0))</f>
        <v>#N/A</v>
      </c>
      <c r="N1351" s="6" t="e">
        <f>INDEX(医院2县区2人!$C$2:$C$1048576,MATCH(L1351,医院2县区2人!$A$2:$A$1048576,0))</f>
        <v>#N/A</v>
      </c>
      <c r="P1351" s="7">
        <v>43278</v>
      </c>
      <c r="Q1351" s="6">
        <v>20</v>
      </c>
      <c r="R1351" s="6">
        <v>440</v>
      </c>
      <c r="S1351" s="6">
        <v>18030523</v>
      </c>
      <c r="T1351" s="6" t="e">
        <f>INDEX(医院2县区2人!$D$2:$D$1048576,MATCH(L1351,医院2县区2人!$A$2:$A$1048576,0))</f>
        <v>#N/A</v>
      </c>
      <c r="W1351" s="6" t="str">
        <f t="shared" si="45"/>
        <v>葡萄糖酸钙口服溶液10ml*12支</v>
      </c>
      <c r="X1351" s="6" t="s">
        <v>2893</v>
      </c>
    </row>
    <row r="1352" spans="1:24" x14ac:dyDescent="0.15">
      <c r="A1352" s="7" t="str">
        <f t="shared" si="46"/>
        <v>201806</v>
      </c>
      <c r="C1352" s="6" t="str">
        <f>INDEX(工厂基础数据!$A$2:$A$1024,MATCH(X1352,工厂基础数据!$D$2:$D$1024,0))</f>
        <v>02032120</v>
      </c>
      <c r="E1352" s="6" t="str">
        <f>INDEX(工厂基础数据!$B$2:$B$1024,MATCH(X1352,工厂基础数据!$D$2:$D$1024,0))</f>
        <v>淄博博仁医药有限公司</v>
      </c>
      <c r="F1352" s="6" t="e">
        <f>INDEX(商业2转码!$B$2:$B$10000,MATCH(E1352,商业2转码!$A$2:$A$10000,0))</f>
        <v>#N/A</v>
      </c>
      <c r="G1352" s="6">
        <f>INDEX(品种2编码!$A$2:$A$1048576,MATCH(W1352,品种2编码!$D$2:$D$1048576,0))</f>
        <v>0</v>
      </c>
      <c r="H1352" s="6" t="s">
        <v>3268</v>
      </c>
      <c r="I1352" s="6" t="s">
        <v>411</v>
      </c>
      <c r="J1352" s="6" t="s">
        <v>3040</v>
      </c>
      <c r="L1352" s="6" t="s">
        <v>3166</v>
      </c>
      <c r="M1352" s="6" t="e">
        <f>INDEX(医院2县区2人!$B$2:$B$1048576,MATCH(L1352,医院2县区2人!$A$2:$A$1048576,0))</f>
        <v>#N/A</v>
      </c>
      <c r="N1352" s="6" t="e">
        <f>INDEX(医院2县区2人!$C$2:$C$1048576,MATCH(L1352,医院2县区2人!$A$2:$A$1048576,0))</f>
        <v>#N/A</v>
      </c>
      <c r="P1352" s="7">
        <v>43278</v>
      </c>
      <c r="Q1352" s="6">
        <v>20</v>
      </c>
      <c r="R1352" s="6">
        <v>460</v>
      </c>
      <c r="S1352" s="6">
        <v>18031227</v>
      </c>
      <c r="T1352" s="6" t="e">
        <f>INDEX(医院2县区2人!$D$2:$D$1048576,MATCH(L1352,医院2县区2人!$A$2:$A$1048576,0))</f>
        <v>#N/A</v>
      </c>
      <c r="W1352" s="6" t="str">
        <f t="shared" si="45"/>
        <v>葡糖糖酸锌口服溶液10ml*12支</v>
      </c>
      <c r="X1352" s="6" t="s">
        <v>2893</v>
      </c>
    </row>
    <row r="1353" spans="1:24" x14ac:dyDescent="0.15">
      <c r="A1353" s="7" t="str">
        <f t="shared" si="46"/>
        <v>201806</v>
      </c>
      <c r="C1353" s="6" t="str">
        <f>INDEX(工厂基础数据!$A$2:$A$1024,MATCH(X1353,工厂基础数据!$D$2:$D$1024,0))</f>
        <v>02032120</v>
      </c>
      <c r="E1353" s="6" t="str">
        <f>INDEX(工厂基础数据!$B$2:$B$1024,MATCH(X1353,工厂基础数据!$D$2:$D$1024,0))</f>
        <v>淄博博仁医药有限公司</v>
      </c>
      <c r="F1353" s="6" t="e">
        <f>INDEX(商业2转码!$B$2:$B$10000,MATCH(E1353,商业2转码!$A$2:$A$10000,0))</f>
        <v>#N/A</v>
      </c>
      <c r="G1353" s="6">
        <f>INDEX(品种2编码!$A$2:$A$1048576,MATCH(W1353,品种2编码!$D$2:$D$1048576,0))</f>
        <v>0</v>
      </c>
      <c r="H1353" s="6" t="s">
        <v>3268</v>
      </c>
      <c r="I1353" s="6" t="s">
        <v>411</v>
      </c>
      <c r="J1353" s="6" t="s">
        <v>3040</v>
      </c>
      <c r="L1353" s="6" t="s">
        <v>3224</v>
      </c>
      <c r="M1353" s="6" t="e">
        <f>INDEX(医院2县区2人!$B$2:$B$1048576,MATCH(L1353,医院2县区2人!$A$2:$A$1048576,0))</f>
        <v>#N/A</v>
      </c>
      <c r="N1353" s="6" t="e">
        <f>INDEX(医院2县区2人!$C$2:$C$1048576,MATCH(L1353,医院2县区2人!$A$2:$A$1048576,0))</f>
        <v>#N/A</v>
      </c>
      <c r="P1353" s="7">
        <v>43278</v>
      </c>
      <c r="Q1353" s="6">
        <v>20</v>
      </c>
      <c r="R1353" s="6">
        <v>460</v>
      </c>
      <c r="S1353" s="6">
        <v>18031227</v>
      </c>
      <c r="T1353" s="6" t="e">
        <f>INDEX(医院2县区2人!$D$2:$D$1048576,MATCH(L1353,医院2县区2人!$A$2:$A$1048576,0))</f>
        <v>#N/A</v>
      </c>
      <c r="W1353" s="6" t="str">
        <f t="shared" si="45"/>
        <v>葡糖糖酸锌口服溶液10ml*12支</v>
      </c>
      <c r="X1353" s="6" t="s">
        <v>2893</v>
      </c>
    </row>
    <row r="1354" spans="1:24" x14ac:dyDescent="0.15">
      <c r="A1354" s="7" t="str">
        <f t="shared" si="46"/>
        <v>201806</v>
      </c>
      <c r="C1354" s="6" t="str">
        <f>INDEX(工厂基础数据!$A$2:$A$1024,MATCH(X1354,工厂基础数据!$D$2:$D$1024,0))</f>
        <v>02032120</v>
      </c>
      <c r="E1354" s="6" t="str">
        <f>INDEX(工厂基础数据!$B$2:$B$1024,MATCH(X1354,工厂基础数据!$D$2:$D$1024,0))</f>
        <v>淄博博仁医药有限公司</v>
      </c>
      <c r="F1354" s="6" t="e">
        <f>INDEX(商业2转码!$B$2:$B$10000,MATCH(E1354,商业2转码!$A$2:$A$10000,0))</f>
        <v>#N/A</v>
      </c>
      <c r="G1354" s="6" t="str">
        <f>INDEX(品种2编码!$A$2:$A$1048576,MATCH(W1354,品种2编码!$D$2:$D$1048576,0))</f>
        <v>0020030001SJZY0006</v>
      </c>
      <c r="H1354" s="6" t="s">
        <v>1833</v>
      </c>
      <c r="I1354" s="6" t="s">
        <v>411</v>
      </c>
      <c r="J1354" s="6" t="s">
        <v>3280</v>
      </c>
      <c r="L1354" s="6" t="s">
        <v>3142</v>
      </c>
      <c r="M1354" s="6" t="e">
        <f>INDEX(医院2县区2人!$B$2:$B$1048576,MATCH(L1354,医院2县区2人!$A$2:$A$1048576,0))</f>
        <v>#N/A</v>
      </c>
      <c r="N1354" s="6" t="e">
        <f>INDEX(医院2县区2人!$C$2:$C$1048576,MATCH(L1354,医院2县区2人!$A$2:$A$1048576,0))</f>
        <v>#N/A</v>
      </c>
      <c r="P1354" s="7">
        <v>43278</v>
      </c>
      <c r="Q1354" s="6">
        <v>30</v>
      </c>
      <c r="R1354" s="6">
        <v>660</v>
      </c>
      <c r="S1354" s="6">
        <v>18030523</v>
      </c>
      <c r="T1354" s="6" t="e">
        <f>INDEX(医院2县区2人!$D$2:$D$1048576,MATCH(L1354,医院2县区2人!$A$2:$A$1048576,0))</f>
        <v>#N/A</v>
      </c>
      <c r="W1354" s="6" t="str">
        <f t="shared" si="45"/>
        <v>葡萄糖酸钙口服溶液10ml*12支</v>
      </c>
      <c r="X1354" s="6" t="s">
        <v>2893</v>
      </c>
    </row>
    <row r="1355" spans="1:24" x14ac:dyDescent="0.15">
      <c r="A1355" s="7" t="str">
        <f t="shared" si="46"/>
        <v>201806</v>
      </c>
      <c r="C1355" s="6" t="str">
        <f>INDEX(工厂基础数据!$A$2:$A$1024,MATCH(X1355,工厂基础数据!$D$2:$D$1024,0))</f>
        <v>02032120</v>
      </c>
      <c r="E1355" s="6" t="str">
        <f>INDEX(工厂基础数据!$B$2:$B$1024,MATCH(X1355,工厂基础数据!$D$2:$D$1024,0))</f>
        <v>淄博博仁医药有限公司</v>
      </c>
      <c r="F1355" s="6" t="e">
        <f>INDEX(商业2转码!$B$2:$B$10000,MATCH(E1355,商业2转码!$A$2:$A$10000,0))</f>
        <v>#N/A</v>
      </c>
      <c r="G1355" s="6" t="str">
        <f>INDEX(品种2编码!$A$2:$A$1048576,MATCH(W1355,品种2编码!$D$2:$D$1048576,0))</f>
        <v>0020020013ZYZC0491</v>
      </c>
      <c r="H1355" s="6" t="s">
        <v>3266</v>
      </c>
      <c r="I1355" s="6" t="s">
        <v>914</v>
      </c>
      <c r="J1355" s="6" t="s">
        <v>3279</v>
      </c>
      <c r="L1355" s="6" t="s">
        <v>3134</v>
      </c>
      <c r="M1355" s="6" t="e">
        <f>INDEX(医院2县区2人!$B$2:$B$1048576,MATCH(L1355,医院2县区2人!$A$2:$A$1048576,0))</f>
        <v>#N/A</v>
      </c>
      <c r="N1355" s="6" t="e">
        <f>INDEX(医院2县区2人!$C$2:$C$1048576,MATCH(L1355,医院2县区2人!$A$2:$A$1048576,0))</f>
        <v>#N/A</v>
      </c>
      <c r="P1355" s="7">
        <v>43278</v>
      </c>
      <c r="Q1355" s="6">
        <v>50</v>
      </c>
      <c r="R1355" s="6">
        <v>195</v>
      </c>
      <c r="S1355" s="6" t="s">
        <v>3272</v>
      </c>
      <c r="T1355" s="6" t="e">
        <f>INDEX(医院2县区2人!$D$2:$D$1048576,MATCH(L1355,医院2县区2人!$A$2:$A$1048576,0))</f>
        <v>#N/A</v>
      </c>
      <c r="W1355" s="6" t="str">
        <f t="shared" si="45"/>
        <v>*注射用乳糖酸阿奇霉素0.25g</v>
      </c>
      <c r="X1355" s="6" t="s">
        <v>2893</v>
      </c>
    </row>
    <row r="1356" spans="1:24" x14ac:dyDescent="0.15">
      <c r="A1356" s="7" t="str">
        <f t="shared" si="46"/>
        <v>201806</v>
      </c>
      <c r="C1356" s="6" t="str">
        <f>INDEX(工厂基础数据!$A$2:$A$1024,MATCH(X1356,工厂基础数据!$D$2:$D$1024,0))</f>
        <v>02032120</v>
      </c>
      <c r="E1356" s="6" t="str">
        <f>INDEX(工厂基础数据!$B$2:$B$1024,MATCH(X1356,工厂基础数据!$D$2:$D$1024,0))</f>
        <v>淄博博仁医药有限公司</v>
      </c>
      <c r="F1356" s="6" t="e">
        <f>INDEX(商业2转码!$B$2:$B$10000,MATCH(E1356,商业2转码!$A$2:$A$10000,0))</f>
        <v>#N/A</v>
      </c>
      <c r="G1356" s="6" t="str">
        <f>INDEX(品种2编码!$A$2:$A$1048576,MATCH(W1356,品种2编码!$D$2:$D$1048576,0))</f>
        <v>0020040201ZYEC0001</v>
      </c>
      <c r="H1356" s="6" t="s">
        <v>2031</v>
      </c>
      <c r="I1356" s="6" t="s">
        <v>2032</v>
      </c>
      <c r="J1356" s="6" t="s">
        <v>3287</v>
      </c>
      <c r="L1356" s="6" t="s">
        <v>3231</v>
      </c>
      <c r="M1356" s="6" t="e">
        <f>INDEX(医院2县区2人!$B$2:$B$1048576,MATCH(L1356,医院2县区2人!$A$2:$A$1048576,0))</f>
        <v>#N/A</v>
      </c>
      <c r="N1356" s="6" t="e">
        <f>INDEX(医院2县区2人!$C$2:$C$1048576,MATCH(L1356,医院2县区2人!$A$2:$A$1048576,0))</f>
        <v>#N/A</v>
      </c>
      <c r="P1356" s="7">
        <v>43278</v>
      </c>
      <c r="Q1356" s="6">
        <v>240</v>
      </c>
      <c r="R1356" s="6">
        <v>1440</v>
      </c>
      <c r="S1356" s="6">
        <v>1802602</v>
      </c>
      <c r="T1356" s="6" t="e">
        <f>INDEX(医院2县区2人!$D$2:$D$1048576,MATCH(L1356,医院2县区2人!$A$2:$A$1048576,0))</f>
        <v>#N/A</v>
      </c>
      <c r="W1356" s="6" t="str">
        <f t="shared" si="45"/>
        <v>双黄连粉针剂600mg</v>
      </c>
      <c r="X1356" s="6" t="s">
        <v>2893</v>
      </c>
    </row>
    <row r="1357" spans="1:24" x14ac:dyDescent="0.15">
      <c r="A1357" s="7" t="str">
        <f t="shared" si="46"/>
        <v>201806</v>
      </c>
      <c r="C1357" s="6" t="str">
        <f>INDEX(工厂基础数据!$A$2:$A$1024,MATCH(X1357,工厂基础数据!$D$2:$D$1024,0))</f>
        <v>02032120</v>
      </c>
      <c r="E1357" s="6" t="str">
        <f>INDEX(工厂基础数据!$B$2:$B$1024,MATCH(X1357,工厂基础数据!$D$2:$D$1024,0))</f>
        <v>淄博博仁医药有限公司</v>
      </c>
      <c r="F1357" s="6" t="e">
        <f>INDEX(商业2转码!$B$2:$B$10000,MATCH(E1357,商业2转码!$A$2:$A$10000,0))</f>
        <v>#N/A</v>
      </c>
      <c r="G1357" s="6" t="str">
        <f>INDEX(品种2编码!$A$2:$A$1048576,MATCH(W1357,品种2编码!$D$2:$D$1048576,0))</f>
        <v>0020020021ZYLC0004</v>
      </c>
      <c r="H1357" s="6" t="s">
        <v>1950</v>
      </c>
      <c r="I1357" s="6" t="s">
        <v>1869</v>
      </c>
      <c r="J1357" s="6" t="s">
        <v>3283</v>
      </c>
      <c r="L1357" s="6" t="s">
        <v>3257</v>
      </c>
      <c r="M1357" s="6" t="e">
        <f>INDEX(医院2县区2人!$B$2:$B$1048576,MATCH(L1357,医院2县区2人!$A$2:$A$1048576,0))</f>
        <v>#N/A</v>
      </c>
      <c r="N1357" s="6" t="e">
        <f>INDEX(医院2县区2人!$C$2:$C$1048576,MATCH(L1357,医院2县区2人!$A$2:$A$1048576,0))</f>
        <v>#N/A</v>
      </c>
      <c r="P1357" s="7">
        <v>43279</v>
      </c>
      <c r="Q1357" s="6">
        <v>-10</v>
      </c>
      <c r="R1357" s="6">
        <v>-80</v>
      </c>
      <c r="S1357" s="6">
        <v>171101</v>
      </c>
      <c r="T1357" s="6" t="e">
        <f>INDEX(医院2县区2人!$D$2:$D$1048576,MATCH(L1357,医院2县区2人!$A$2:$A$1048576,0))</f>
        <v>#N/A</v>
      </c>
      <c r="W1357" s="6" t="str">
        <f t="shared" si="45"/>
        <v>罗红霉素分散片75mg*12片</v>
      </c>
      <c r="X1357" s="6" t="s">
        <v>2893</v>
      </c>
    </row>
    <row r="1358" spans="1:24" x14ac:dyDescent="0.15">
      <c r="A1358" s="7" t="str">
        <f t="shared" si="46"/>
        <v>201806</v>
      </c>
      <c r="C1358" s="6" t="str">
        <f>INDEX(工厂基础数据!$A$2:$A$1024,MATCH(X1358,工厂基础数据!$D$2:$D$1024,0))</f>
        <v>02032120</v>
      </c>
      <c r="E1358" s="6" t="str">
        <f>INDEX(工厂基础数据!$B$2:$B$1024,MATCH(X1358,工厂基础数据!$D$2:$D$1024,0))</f>
        <v>淄博博仁医药有限公司</v>
      </c>
      <c r="F1358" s="6" t="e">
        <f>INDEX(商业2转码!$B$2:$B$10000,MATCH(E1358,商业2转码!$A$2:$A$10000,0))</f>
        <v>#N/A</v>
      </c>
      <c r="G1358" s="6" t="str">
        <f>INDEX(品种2编码!$A$2:$A$1048576,MATCH(W1358,品种2编码!$D$2:$D$1048576,0))</f>
        <v>0020040030SJSC0009</v>
      </c>
      <c r="H1358" s="6" t="s">
        <v>436</v>
      </c>
      <c r="I1358" s="6" t="s">
        <v>1925</v>
      </c>
      <c r="J1358" s="6" t="s">
        <v>3045</v>
      </c>
      <c r="L1358" s="6" t="s">
        <v>3188</v>
      </c>
      <c r="M1358" s="6" t="e">
        <f>INDEX(医院2县区2人!$B$2:$B$1048576,MATCH(L1358,医院2县区2人!$A$2:$A$1048576,0))</f>
        <v>#N/A</v>
      </c>
      <c r="N1358" s="6" t="e">
        <f>INDEX(医院2县区2人!$C$2:$C$1048576,MATCH(L1358,医院2县区2人!$A$2:$A$1048576,0))</f>
        <v>#N/A</v>
      </c>
      <c r="P1358" s="7">
        <v>43279</v>
      </c>
      <c r="Q1358" s="6">
        <v>2</v>
      </c>
      <c r="R1358" s="6">
        <v>42</v>
      </c>
      <c r="S1358" s="6">
        <v>1802001</v>
      </c>
      <c r="T1358" s="6" t="e">
        <f>INDEX(医院2县区2人!$D$2:$D$1048576,MATCH(L1358,医院2县区2人!$A$2:$A$1048576,0))</f>
        <v>#N/A</v>
      </c>
      <c r="W1358" s="6" t="str">
        <f t="shared" si="45"/>
        <v>护肝片0.36g*100片</v>
      </c>
      <c r="X1358" s="6" t="s">
        <v>2893</v>
      </c>
    </row>
    <row r="1359" spans="1:24" x14ac:dyDescent="0.15">
      <c r="A1359" s="7" t="str">
        <f t="shared" si="46"/>
        <v>201806</v>
      </c>
      <c r="C1359" s="6" t="str">
        <f>INDEX(工厂基础数据!$A$2:$A$1024,MATCH(X1359,工厂基础数据!$D$2:$D$1024,0))</f>
        <v>02032120</v>
      </c>
      <c r="E1359" s="6" t="str">
        <f>INDEX(工厂基础数据!$B$2:$B$1024,MATCH(X1359,工厂基础数据!$D$2:$D$1024,0))</f>
        <v>淄博博仁医药有限公司</v>
      </c>
      <c r="F1359" s="6" t="e">
        <f>INDEX(商业2转码!$B$2:$B$10000,MATCH(E1359,商业2转码!$A$2:$A$10000,0))</f>
        <v>#N/A</v>
      </c>
      <c r="G1359" s="6" t="str">
        <f>INDEX(品种2编码!$A$2:$A$1048576,MATCH(W1359,品种2编码!$D$2:$D$1048576,0))</f>
        <v>0020030001SJZY0006</v>
      </c>
      <c r="H1359" s="6" t="s">
        <v>1833</v>
      </c>
      <c r="I1359" s="6" t="s">
        <v>411</v>
      </c>
      <c r="J1359" s="6" t="s">
        <v>3280</v>
      </c>
      <c r="L1359" s="6" t="s">
        <v>3259</v>
      </c>
      <c r="M1359" s="6" t="e">
        <f>INDEX(医院2县区2人!$B$2:$B$1048576,MATCH(L1359,医院2县区2人!$A$2:$A$1048576,0))</f>
        <v>#N/A</v>
      </c>
      <c r="N1359" s="6" t="e">
        <f>INDEX(医院2县区2人!$C$2:$C$1048576,MATCH(L1359,医院2县区2人!$A$2:$A$1048576,0))</f>
        <v>#N/A</v>
      </c>
      <c r="P1359" s="7">
        <v>43279</v>
      </c>
      <c r="Q1359" s="6">
        <v>5</v>
      </c>
      <c r="R1359" s="6">
        <v>110</v>
      </c>
      <c r="S1359" s="6">
        <v>18030523</v>
      </c>
      <c r="T1359" s="6" t="e">
        <f>INDEX(医院2县区2人!$D$2:$D$1048576,MATCH(L1359,医院2县区2人!$A$2:$A$1048576,0))</f>
        <v>#N/A</v>
      </c>
      <c r="W1359" s="6" t="str">
        <f t="shared" si="45"/>
        <v>葡萄糖酸钙口服溶液10ml*12支</v>
      </c>
      <c r="X1359" s="6" t="s">
        <v>2893</v>
      </c>
    </row>
    <row r="1360" spans="1:24" x14ac:dyDescent="0.15">
      <c r="A1360" s="7" t="str">
        <f t="shared" si="46"/>
        <v>201806</v>
      </c>
      <c r="C1360" s="6" t="str">
        <f>INDEX(工厂基础数据!$A$2:$A$1024,MATCH(X1360,工厂基础数据!$D$2:$D$1024,0))</f>
        <v>02032120</v>
      </c>
      <c r="E1360" s="6" t="str">
        <f>INDEX(工厂基础数据!$B$2:$B$1024,MATCH(X1360,工厂基础数据!$D$2:$D$1024,0))</f>
        <v>淄博博仁医药有限公司</v>
      </c>
      <c r="F1360" s="6" t="e">
        <f>INDEX(商业2转码!$B$2:$B$10000,MATCH(E1360,商业2转码!$A$2:$A$10000,0))</f>
        <v>#N/A</v>
      </c>
      <c r="G1360" s="6">
        <f>INDEX(品种2编码!$A$2:$A$1048576,MATCH(W1360,品种2编码!$D$2:$D$1048576,0))</f>
        <v>0</v>
      </c>
      <c r="H1360" s="6" t="s">
        <v>3268</v>
      </c>
      <c r="I1360" s="6" t="s">
        <v>411</v>
      </c>
      <c r="J1360" s="6" t="s">
        <v>3040</v>
      </c>
      <c r="L1360" s="6" t="s">
        <v>3259</v>
      </c>
      <c r="M1360" s="6" t="e">
        <f>INDEX(医院2县区2人!$B$2:$B$1048576,MATCH(L1360,医院2县区2人!$A$2:$A$1048576,0))</f>
        <v>#N/A</v>
      </c>
      <c r="N1360" s="6" t="e">
        <f>INDEX(医院2县区2人!$C$2:$C$1048576,MATCH(L1360,医院2县区2人!$A$2:$A$1048576,0))</f>
        <v>#N/A</v>
      </c>
      <c r="P1360" s="7">
        <v>43279</v>
      </c>
      <c r="Q1360" s="6">
        <v>5</v>
      </c>
      <c r="R1360" s="6">
        <v>115</v>
      </c>
      <c r="S1360" s="6">
        <v>18031227</v>
      </c>
      <c r="T1360" s="6" t="e">
        <f>INDEX(医院2县区2人!$D$2:$D$1048576,MATCH(L1360,医院2县区2人!$A$2:$A$1048576,0))</f>
        <v>#N/A</v>
      </c>
      <c r="W1360" s="6" t="str">
        <f t="shared" si="45"/>
        <v>葡糖糖酸锌口服溶液10ml*12支</v>
      </c>
      <c r="X1360" s="6" t="s">
        <v>2893</v>
      </c>
    </row>
    <row r="1361" spans="1:24" x14ac:dyDescent="0.15">
      <c r="A1361" s="7" t="str">
        <f t="shared" si="46"/>
        <v>201806</v>
      </c>
      <c r="C1361" s="6" t="str">
        <f>INDEX(工厂基础数据!$A$2:$A$1024,MATCH(X1361,工厂基础数据!$D$2:$D$1024,0))</f>
        <v>02032120</v>
      </c>
      <c r="E1361" s="6" t="str">
        <f>INDEX(工厂基础数据!$B$2:$B$1024,MATCH(X1361,工厂基础数据!$D$2:$D$1024,0))</f>
        <v>淄博博仁医药有限公司</v>
      </c>
      <c r="F1361" s="6" t="e">
        <f>INDEX(商业2转码!$B$2:$B$10000,MATCH(E1361,商业2转码!$A$2:$A$10000,0))</f>
        <v>#N/A</v>
      </c>
      <c r="G1361" s="6" t="str">
        <f>INDEX(品种2编码!$A$2:$A$1048576,MATCH(W1361,品种2编码!$D$2:$D$1048576,0))</f>
        <v>0020030020SJSC0004</v>
      </c>
      <c r="H1361" s="6" t="s">
        <v>394</v>
      </c>
      <c r="I1361" s="6" t="s">
        <v>1871</v>
      </c>
      <c r="J1361" s="6" t="s">
        <v>3284</v>
      </c>
      <c r="L1361" s="6" t="s">
        <v>3167</v>
      </c>
      <c r="M1361" s="6" t="e">
        <f>INDEX(医院2县区2人!$B$2:$B$1048576,MATCH(L1361,医院2县区2人!$A$2:$A$1048576,0))</f>
        <v>#N/A</v>
      </c>
      <c r="N1361" s="6" t="e">
        <f>INDEX(医院2县区2人!$C$2:$C$1048576,MATCH(L1361,医院2县区2人!$A$2:$A$1048576,0))</f>
        <v>#N/A</v>
      </c>
      <c r="P1361" s="7">
        <v>43279</v>
      </c>
      <c r="Q1361" s="6">
        <v>5</v>
      </c>
      <c r="R1361" s="6">
        <v>55</v>
      </c>
      <c r="S1361" s="6">
        <v>1709020</v>
      </c>
      <c r="T1361" s="6" t="e">
        <f>INDEX(医院2县区2人!$D$2:$D$1048576,MATCH(L1361,医院2县区2人!$A$2:$A$1048576,0))</f>
        <v>#N/A</v>
      </c>
      <c r="W1361" s="6" t="str">
        <f t="shared" si="45"/>
        <v>复方铝酸铋片50片</v>
      </c>
      <c r="X1361" s="6" t="s">
        <v>2893</v>
      </c>
    </row>
    <row r="1362" spans="1:24" x14ac:dyDescent="0.15">
      <c r="A1362" s="7" t="str">
        <f t="shared" si="46"/>
        <v>201806</v>
      </c>
      <c r="C1362" s="6" t="str">
        <f>INDEX(工厂基础数据!$A$2:$A$1024,MATCH(X1362,工厂基础数据!$D$2:$D$1024,0))</f>
        <v>02032120</v>
      </c>
      <c r="E1362" s="6" t="str">
        <f>INDEX(工厂基础数据!$B$2:$B$1024,MATCH(X1362,工厂基础数据!$D$2:$D$1024,0))</f>
        <v>淄博博仁医药有限公司</v>
      </c>
      <c r="F1362" s="6" t="e">
        <f>INDEX(商业2转码!$B$2:$B$10000,MATCH(E1362,商业2转码!$A$2:$A$10000,0))</f>
        <v>#N/A</v>
      </c>
      <c r="G1362" s="6" t="str">
        <f>INDEX(品种2编码!$A$2:$A$1048576,MATCH(W1362,品种2编码!$D$2:$D$1048576,0))</f>
        <v>0020020020ZYLC0003</v>
      </c>
      <c r="H1362" s="6" t="s">
        <v>1855</v>
      </c>
      <c r="I1362" s="6" t="s">
        <v>381</v>
      </c>
      <c r="J1362" s="6" t="s">
        <v>3279</v>
      </c>
      <c r="L1362" s="6" t="s">
        <v>3144</v>
      </c>
      <c r="M1362" s="6" t="e">
        <f>INDEX(医院2县区2人!$B$2:$B$1048576,MATCH(L1362,医院2县区2人!$A$2:$A$1048576,0))</f>
        <v>#N/A</v>
      </c>
      <c r="N1362" s="6" t="e">
        <f>INDEX(医院2县区2人!$C$2:$C$1048576,MATCH(L1362,医院2县区2人!$A$2:$A$1048576,0))</f>
        <v>#N/A</v>
      </c>
      <c r="P1362" s="7">
        <v>43279</v>
      </c>
      <c r="Q1362" s="6">
        <v>5</v>
      </c>
      <c r="R1362" s="6">
        <v>27.5</v>
      </c>
      <c r="S1362" s="6">
        <v>170706</v>
      </c>
      <c r="T1362" s="6" t="e">
        <f>INDEX(医院2县区2人!$D$2:$D$1048576,MATCH(L1362,医院2县区2人!$A$2:$A$1048576,0))</f>
        <v>#N/A</v>
      </c>
      <c r="W1362" s="6" t="str">
        <f t="shared" si="45"/>
        <v>颠茄磺苄啶片12片</v>
      </c>
      <c r="X1362" s="6" t="s">
        <v>2893</v>
      </c>
    </row>
    <row r="1363" spans="1:24" x14ac:dyDescent="0.15">
      <c r="A1363" s="7" t="str">
        <f t="shared" si="46"/>
        <v>201806</v>
      </c>
      <c r="C1363" s="6" t="str">
        <f>INDEX(工厂基础数据!$A$2:$A$1024,MATCH(X1363,工厂基础数据!$D$2:$D$1024,0))</f>
        <v>02032120</v>
      </c>
      <c r="E1363" s="6" t="str">
        <f>INDEX(工厂基础数据!$B$2:$B$1024,MATCH(X1363,工厂基础数据!$D$2:$D$1024,0))</f>
        <v>淄博博仁医药有限公司</v>
      </c>
      <c r="F1363" s="6" t="e">
        <f>INDEX(商业2转码!$B$2:$B$10000,MATCH(E1363,商业2转码!$A$2:$A$10000,0))</f>
        <v>#N/A</v>
      </c>
      <c r="G1363" s="6" t="str">
        <f>INDEX(品种2编码!$A$2:$A$1048576,MATCH(W1363,品种2编码!$D$2:$D$1048576,0))</f>
        <v>0020050090SJZY0001</v>
      </c>
      <c r="H1363" s="6" t="s">
        <v>630</v>
      </c>
      <c r="I1363" s="6" t="s">
        <v>1850</v>
      </c>
      <c r="J1363" s="6" t="s">
        <v>3285</v>
      </c>
      <c r="L1363" s="6" t="s">
        <v>3167</v>
      </c>
      <c r="M1363" s="6" t="e">
        <f>INDEX(医院2县区2人!$B$2:$B$1048576,MATCH(L1363,医院2县区2人!$A$2:$A$1048576,0))</f>
        <v>#N/A</v>
      </c>
      <c r="N1363" s="6" t="e">
        <f>INDEX(医院2县区2人!$C$2:$C$1048576,MATCH(L1363,医院2县区2人!$A$2:$A$1048576,0))</f>
        <v>#N/A</v>
      </c>
      <c r="P1363" s="7">
        <v>43279</v>
      </c>
      <c r="Q1363" s="6">
        <v>10</v>
      </c>
      <c r="R1363" s="6">
        <v>165</v>
      </c>
      <c r="S1363" s="6">
        <v>17122813</v>
      </c>
      <c r="T1363" s="6" t="e">
        <f>INDEX(医院2县区2人!$D$2:$D$1048576,MATCH(L1363,医院2县区2人!$A$2:$A$1048576,0))</f>
        <v>#N/A</v>
      </c>
      <c r="W1363" s="6" t="str">
        <f t="shared" si="45"/>
        <v>双黄连口服液10ml*10支</v>
      </c>
      <c r="X1363" s="6" t="s">
        <v>2893</v>
      </c>
    </row>
    <row r="1364" spans="1:24" x14ac:dyDescent="0.15">
      <c r="A1364" s="7" t="str">
        <f t="shared" si="46"/>
        <v>201806</v>
      </c>
      <c r="C1364" s="6" t="str">
        <f>INDEX(工厂基础数据!$A$2:$A$1024,MATCH(X1364,工厂基础数据!$D$2:$D$1024,0))</f>
        <v>02032120</v>
      </c>
      <c r="E1364" s="6" t="str">
        <f>INDEX(工厂基础数据!$B$2:$B$1024,MATCH(X1364,工厂基础数据!$D$2:$D$1024,0))</f>
        <v>淄博博仁医药有限公司</v>
      </c>
      <c r="F1364" s="6" t="e">
        <f>INDEX(商业2转码!$B$2:$B$10000,MATCH(E1364,商业2转码!$A$2:$A$10000,0))</f>
        <v>#N/A</v>
      </c>
      <c r="G1364" s="6" t="str">
        <f>INDEX(品种2编码!$A$2:$A$1048576,MATCH(W1364,品种2编码!$D$2:$D$1048576,0))</f>
        <v>0020020020ZYLC0003</v>
      </c>
      <c r="H1364" s="6" t="s">
        <v>1855</v>
      </c>
      <c r="I1364" s="6" t="s">
        <v>381</v>
      </c>
      <c r="J1364" s="6" t="s">
        <v>3279</v>
      </c>
      <c r="L1364" s="6" t="s">
        <v>3215</v>
      </c>
      <c r="M1364" s="6" t="e">
        <f>INDEX(医院2县区2人!$B$2:$B$1048576,MATCH(L1364,医院2县区2人!$A$2:$A$1048576,0))</f>
        <v>#N/A</v>
      </c>
      <c r="N1364" s="6" t="e">
        <f>INDEX(医院2县区2人!$C$2:$C$1048576,MATCH(L1364,医院2县区2人!$A$2:$A$1048576,0))</f>
        <v>#N/A</v>
      </c>
      <c r="P1364" s="7">
        <v>43279</v>
      </c>
      <c r="Q1364" s="6">
        <v>10</v>
      </c>
      <c r="R1364" s="6">
        <v>55</v>
      </c>
      <c r="S1364" s="6">
        <v>170706</v>
      </c>
      <c r="T1364" s="6" t="e">
        <f>INDEX(医院2县区2人!$D$2:$D$1048576,MATCH(L1364,医院2县区2人!$A$2:$A$1048576,0))</f>
        <v>#N/A</v>
      </c>
      <c r="W1364" s="6" t="str">
        <f t="shared" si="45"/>
        <v>颠茄磺苄啶片12片</v>
      </c>
      <c r="X1364" s="6" t="s">
        <v>2893</v>
      </c>
    </row>
    <row r="1365" spans="1:24" x14ac:dyDescent="0.15">
      <c r="A1365" s="7" t="str">
        <f t="shared" si="46"/>
        <v>201806</v>
      </c>
      <c r="C1365" s="6" t="str">
        <f>INDEX(工厂基础数据!$A$2:$A$1024,MATCH(X1365,工厂基础数据!$D$2:$D$1024,0))</f>
        <v>02032120</v>
      </c>
      <c r="E1365" s="6" t="str">
        <f>INDEX(工厂基础数据!$B$2:$B$1024,MATCH(X1365,工厂基础数据!$D$2:$D$1024,0))</f>
        <v>淄博博仁医药有限公司</v>
      </c>
      <c r="F1365" s="6" t="e">
        <f>INDEX(商业2转码!$B$2:$B$10000,MATCH(E1365,商业2转码!$A$2:$A$10000,0))</f>
        <v>#N/A</v>
      </c>
      <c r="G1365" s="6">
        <f>INDEX(品种2编码!$A$2:$A$1048576,MATCH(W1365,品种2编码!$D$2:$D$1048576,0))</f>
        <v>0</v>
      </c>
      <c r="H1365" s="6" t="s">
        <v>338</v>
      </c>
      <c r="I1365" s="6" t="s">
        <v>341</v>
      </c>
      <c r="J1365" s="6" t="s">
        <v>3279</v>
      </c>
      <c r="L1365" s="6" t="s">
        <v>3171</v>
      </c>
      <c r="M1365" s="6" t="e">
        <f>INDEX(医院2县区2人!$B$2:$B$1048576,MATCH(L1365,医院2县区2人!$A$2:$A$1048576,0))</f>
        <v>#N/A</v>
      </c>
      <c r="N1365" s="6" t="e">
        <f>INDEX(医院2县区2人!$C$2:$C$1048576,MATCH(L1365,医院2县区2人!$A$2:$A$1048576,0))</f>
        <v>#N/A</v>
      </c>
      <c r="P1365" s="7">
        <v>43279</v>
      </c>
      <c r="Q1365" s="6">
        <v>10</v>
      </c>
      <c r="R1365" s="6">
        <v>185</v>
      </c>
      <c r="S1365" s="6">
        <v>1504512</v>
      </c>
      <c r="T1365" s="6" t="e">
        <f>INDEX(医院2县区2人!$D$2:$D$1048576,MATCH(L1365,医院2县区2人!$A$2:$A$1048576,0))</f>
        <v>#N/A</v>
      </c>
      <c r="W1365" s="6" t="str">
        <f t="shared" si="45"/>
        <v>丹佛胃尔康颗粒10g*8袋</v>
      </c>
      <c r="X1365" s="6" t="s">
        <v>2893</v>
      </c>
    </row>
    <row r="1366" spans="1:24" x14ac:dyDescent="0.15">
      <c r="A1366" s="7" t="str">
        <f t="shared" si="46"/>
        <v>201806</v>
      </c>
      <c r="C1366" s="6" t="str">
        <f>INDEX(工厂基础数据!$A$2:$A$1024,MATCH(X1366,工厂基础数据!$D$2:$D$1024,0))</f>
        <v>02032120</v>
      </c>
      <c r="E1366" s="6" t="str">
        <f>INDEX(工厂基础数据!$B$2:$B$1024,MATCH(X1366,工厂基础数据!$D$2:$D$1024,0))</f>
        <v>淄博博仁医药有限公司</v>
      </c>
      <c r="F1366" s="6" t="e">
        <f>INDEX(商业2转码!$B$2:$B$10000,MATCH(E1366,商业2转码!$A$2:$A$10000,0))</f>
        <v>#N/A</v>
      </c>
      <c r="G1366" s="6" t="str">
        <f>INDEX(品种2编码!$A$2:$A$1048576,MATCH(W1366,品种2编码!$D$2:$D$1048576,0))</f>
        <v>0020020021ZYLC0012</v>
      </c>
      <c r="H1366" s="6" t="s">
        <v>292</v>
      </c>
      <c r="I1366" s="6" t="s">
        <v>1959</v>
      </c>
      <c r="J1366" s="6" t="s">
        <v>3279</v>
      </c>
      <c r="L1366" s="6" t="s">
        <v>3257</v>
      </c>
      <c r="M1366" s="6" t="e">
        <f>INDEX(医院2县区2人!$B$2:$B$1048576,MATCH(L1366,医院2县区2人!$A$2:$A$1048576,0))</f>
        <v>#N/A</v>
      </c>
      <c r="N1366" s="6" t="e">
        <f>INDEX(医院2县区2人!$C$2:$C$1048576,MATCH(L1366,医院2县区2人!$A$2:$A$1048576,0))</f>
        <v>#N/A</v>
      </c>
      <c r="P1366" s="7">
        <v>43279</v>
      </c>
      <c r="Q1366" s="6">
        <v>10</v>
      </c>
      <c r="R1366" s="6">
        <v>80</v>
      </c>
      <c r="S1366" s="6">
        <v>171101</v>
      </c>
      <c r="T1366" s="6" t="e">
        <f>INDEX(医院2县区2人!$D$2:$D$1048576,MATCH(L1366,医院2县区2人!$A$2:$A$1048576,0))</f>
        <v>#N/A</v>
      </c>
      <c r="W1366" s="6" t="str">
        <f t="shared" si="45"/>
        <v>阿奇霉素分散片0.25g*6片</v>
      </c>
      <c r="X1366" s="6" t="s">
        <v>2893</v>
      </c>
    </row>
    <row r="1367" spans="1:24" x14ac:dyDescent="0.15">
      <c r="A1367" s="7" t="str">
        <f t="shared" si="46"/>
        <v>201806</v>
      </c>
      <c r="C1367" s="6" t="str">
        <f>INDEX(工厂基础数据!$A$2:$A$1024,MATCH(X1367,工厂基础数据!$D$2:$D$1024,0))</f>
        <v>02032120</v>
      </c>
      <c r="E1367" s="6" t="str">
        <f>INDEX(工厂基础数据!$B$2:$B$1024,MATCH(X1367,工厂基础数据!$D$2:$D$1024,0))</f>
        <v>淄博博仁医药有限公司</v>
      </c>
      <c r="F1367" s="6" t="e">
        <f>INDEX(商业2转码!$B$2:$B$10000,MATCH(E1367,商业2转码!$A$2:$A$10000,0))</f>
        <v>#N/A</v>
      </c>
      <c r="G1367" s="6">
        <f>INDEX(品种2编码!$A$2:$A$1048576,MATCH(W1367,品种2编码!$D$2:$D$1048576,0))</f>
        <v>0</v>
      </c>
      <c r="H1367" s="6" t="s">
        <v>672</v>
      </c>
      <c r="I1367" s="6" t="s">
        <v>1843</v>
      </c>
      <c r="J1367" s="6" t="s">
        <v>3279</v>
      </c>
      <c r="L1367" s="6" t="s">
        <v>3167</v>
      </c>
      <c r="M1367" s="6" t="e">
        <f>INDEX(医院2县区2人!$B$2:$B$1048576,MATCH(L1367,医院2县区2人!$A$2:$A$1048576,0))</f>
        <v>#N/A</v>
      </c>
      <c r="N1367" s="6" t="e">
        <f>INDEX(医院2县区2人!$C$2:$C$1048576,MATCH(L1367,医院2县区2人!$A$2:$A$1048576,0))</f>
        <v>#N/A</v>
      </c>
      <c r="P1367" s="7">
        <v>43279</v>
      </c>
      <c r="Q1367" s="6">
        <v>20</v>
      </c>
      <c r="R1367" s="6">
        <v>0.2</v>
      </c>
      <c r="S1367" s="6">
        <v>20180105</v>
      </c>
      <c r="T1367" s="6" t="e">
        <f>INDEX(医院2县区2人!$D$2:$D$1048576,MATCH(L1367,医院2县区2人!$A$2:$A$1048576,0))</f>
        <v>#N/A</v>
      </c>
      <c r="W1367" s="6" t="str">
        <f t="shared" si="45"/>
        <v>退热贴2贴</v>
      </c>
      <c r="X1367" s="6" t="s">
        <v>2893</v>
      </c>
    </row>
    <row r="1368" spans="1:24" x14ac:dyDescent="0.15">
      <c r="A1368" s="7" t="str">
        <f t="shared" si="46"/>
        <v>201806</v>
      </c>
      <c r="C1368" s="6" t="str">
        <f>INDEX(工厂基础数据!$A$2:$A$1024,MATCH(X1368,工厂基础数据!$D$2:$D$1024,0))</f>
        <v>02032120</v>
      </c>
      <c r="E1368" s="6" t="str">
        <f>INDEX(工厂基础数据!$B$2:$B$1024,MATCH(X1368,工厂基础数据!$D$2:$D$1024,0))</f>
        <v>淄博博仁医药有限公司</v>
      </c>
      <c r="F1368" s="6" t="e">
        <f>INDEX(商业2转码!$B$2:$B$10000,MATCH(E1368,商业2转码!$A$2:$A$10000,0))</f>
        <v>#N/A</v>
      </c>
      <c r="G1368" s="6">
        <f>INDEX(品种2编码!$A$2:$A$1048576,MATCH(W1368,品种2编码!$D$2:$D$1048576,0))</f>
        <v>0</v>
      </c>
      <c r="H1368" s="6" t="s">
        <v>1835</v>
      </c>
      <c r="I1368" s="6" t="s">
        <v>1954</v>
      </c>
      <c r="J1368" s="6" t="s">
        <v>3279</v>
      </c>
      <c r="L1368" s="6" t="s">
        <v>3142</v>
      </c>
      <c r="M1368" s="6" t="e">
        <f>INDEX(医院2县区2人!$B$2:$B$1048576,MATCH(L1368,医院2县区2人!$A$2:$A$1048576,0))</f>
        <v>#N/A</v>
      </c>
      <c r="N1368" s="6" t="e">
        <f>INDEX(医院2县区2人!$C$2:$C$1048576,MATCH(L1368,医院2县区2人!$A$2:$A$1048576,0))</f>
        <v>#N/A</v>
      </c>
      <c r="P1368" s="7">
        <v>43279</v>
      </c>
      <c r="Q1368" s="6">
        <v>20</v>
      </c>
      <c r="R1368" s="6">
        <v>280</v>
      </c>
      <c r="S1368" s="6">
        <v>171201</v>
      </c>
      <c r="T1368" s="6" t="e">
        <f>INDEX(医院2县区2人!$D$2:$D$1048576,MATCH(L1368,医院2县区2人!$A$2:$A$1048576,0))</f>
        <v>#N/A</v>
      </c>
      <c r="W1368" s="6" t="str">
        <f t="shared" si="45"/>
        <v>蒙脱石散12袋</v>
      </c>
      <c r="X1368" s="6" t="s">
        <v>2893</v>
      </c>
    </row>
    <row r="1369" spans="1:24" x14ac:dyDescent="0.15">
      <c r="A1369" s="7" t="str">
        <f t="shared" si="46"/>
        <v>201806</v>
      </c>
      <c r="C1369" s="6" t="str">
        <f>INDEX(工厂基础数据!$A$2:$A$1024,MATCH(X1369,工厂基础数据!$D$2:$D$1024,0))</f>
        <v>02032120</v>
      </c>
      <c r="E1369" s="6" t="str">
        <f>INDEX(工厂基础数据!$B$2:$B$1024,MATCH(X1369,工厂基础数据!$D$2:$D$1024,0))</f>
        <v>淄博博仁医药有限公司</v>
      </c>
      <c r="F1369" s="6" t="e">
        <f>INDEX(商业2转码!$B$2:$B$10000,MATCH(E1369,商业2转码!$A$2:$A$10000,0))</f>
        <v>#N/A</v>
      </c>
      <c r="G1369" s="6" t="str">
        <f>INDEX(品种2编码!$A$2:$A$1048576,MATCH(W1369,品种2编码!$D$2:$D$1048576,0))</f>
        <v>0020030020SJSC0004</v>
      </c>
      <c r="H1369" s="6" t="s">
        <v>394</v>
      </c>
      <c r="I1369" s="6" t="s">
        <v>1871</v>
      </c>
      <c r="J1369" s="6" t="s">
        <v>3284</v>
      </c>
      <c r="L1369" s="6" t="s">
        <v>3142</v>
      </c>
      <c r="M1369" s="6" t="e">
        <f>INDEX(医院2县区2人!$B$2:$B$1048576,MATCH(L1369,医院2县区2人!$A$2:$A$1048576,0))</f>
        <v>#N/A</v>
      </c>
      <c r="N1369" s="6" t="e">
        <f>INDEX(医院2县区2人!$C$2:$C$1048576,MATCH(L1369,医院2县区2人!$A$2:$A$1048576,0))</f>
        <v>#N/A</v>
      </c>
      <c r="P1369" s="7">
        <v>43279</v>
      </c>
      <c r="Q1369" s="6">
        <v>20</v>
      </c>
      <c r="R1369" s="6">
        <v>220</v>
      </c>
      <c r="S1369" s="6">
        <v>1709020</v>
      </c>
      <c r="T1369" s="6" t="e">
        <f>INDEX(医院2县区2人!$D$2:$D$1048576,MATCH(L1369,医院2县区2人!$A$2:$A$1048576,0))</f>
        <v>#N/A</v>
      </c>
      <c r="W1369" s="6" t="str">
        <f t="shared" si="45"/>
        <v>复方铝酸铋片50片</v>
      </c>
      <c r="X1369" s="6" t="s">
        <v>2893</v>
      </c>
    </row>
    <row r="1370" spans="1:24" x14ac:dyDescent="0.15">
      <c r="A1370" s="7" t="str">
        <f t="shared" si="46"/>
        <v>201806</v>
      </c>
      <c r="C1370" s="6" t="str">
        <f>INDEX(工厂基础数据!$A$2:$A$1024,MATCH(X1370,工厂基础数据!$D$2:$D$1024,0))</f>
        <v>02032120</v>
      </c>
      <c r="E1370" s="6" t="str">
        <f>INDEX(工厂基础数据!$B$2:$B$1024,MATCH(X1370,工厂基础数据!$D$2:$D$1024,0))</f>
        <v>淄博博仁医药有限公司</v>
      </c>
      <c r="F1370" s="6" t="e">
        <f>INDEX(商业2转码!$B$2:$B$10000,MATCH(E1370,商业2转码!$A$2:$A$10000,0))</f>
        <v>#N/A</v>
      </c>
      <c r="G1370" s="6" t="str">
        <f>INDEX(品种2编码!$A$2:$A$1048576,MATCH(W1370,品种2编码!$D$2:$D$1048576,0))</f>
        <v>0020030001SJZY0006</v>
      </c>
      <c r="H1370" s="6" t="s">
        <v>1833</v>
      </c>
      <c r="I1370" s="6" t="s">
        <v>411</v>
      </c>
      <c r="J1370" s="6" t="s">
        <v>3280</v>
      </c>
      <c r="L1370" s="6" t="s">
        <v>3167</v>
      </c>
      <c r="M1370" s="6" t="e">
        <f>INDEX(医院2县区2人!$B$2:$B$1048576,MATCH(L1370,医院2县区2人!$A$2:$A$1048576,0))</f>
        <v>#N/A</v>
      </c>
      <c r="N1370" s="6" t="e">
        <f>INDEX(医院2县区2人!$C$2:$C$1048576,MATCH(L1370,医院2县区2人!$A$2:$A$1048576,0))</f>
        <v>#N/A</v>
      </c>
      <c r="P1370" s="7">
        <v>43279</v>
      </c>
      <c r="Q1370" s="6">
        <v>30</v>
      </c>
      <c r="R1370" s="6">
        <v>660</v>
      </c>
      <c r="S1370" s="6">
        <v>18030523</v>
      </c>
      <c r="T1370" s="6" t="e">
        <f>INDEX(医院2县区2人!$D$2:$D$1048576,MATCH(L1370,医院2县区2人!$A$2:$A$1048576,0))</f>
        <v>#N/A</v>
      </c>
      <c r="W1370" s="6" t="str">
        <f t="shared" si="45"/>
        <v>葡萄糖酸钙口服溶液10ml*12支</v>
      </c>
      <c r="X1370" s="6" t="s">
        <v>2893</v>
      </c>
    </row>
    <row r="1371" spans="1:24" x14ac:dyDescent="0.15">
      <c r="A1371" s="7" t="str">
        <f t="shared" si="46"/>
        <v>201806</v>
      </c>
      <c r="C1371" s="6" t="str">
        <f>INDEX(工厂基础数据!$A$2:$A$1024,MATCH(X1371,工厂基础数据!$D$2:$D$1024,0))</f>
        <v>02032120</v>
      </c>
      <c r="E1371" s="6" t="str">
        <f>INDEX(工厂基础数据!$B$2:$B$1024,MATCH(X1371,工厂基础数据!$D$2:$D$1024,0))</f>
        <v>淄博博仁医药有限公司</v>
      </c>
      <c r="F1371" s="6" t="e">
        <f>INDEX(商业2转码!$B$2:$B$10000,MATCH(E1371,商业2转码!$A$2:$A$10000,0))</f>
        <v>#N/A</v>
      </c>
      <c r="G1371" s="6">
        <f>INDEX(品种2编码!$A$2:$A$1048576,MATCH(W1371,品种2编码!$D$2:$D$1048576,0))</f>
        <v>0</v>
      </c>
      <c r="H1371" s="6" t="s">
        <v>3268</v>
      </c>
      <c r="I1371" s="6" t="s">
        <v>411</v>
      </c>
      <c r="J1371" s="6" t="s">
        <v>3040</v>
      </c>
      <c r="L1371" s="6" t="s">
        <v>3167</v>
      </c>
      <c r="M1371" s="6" t="e">
        <f>INDEX(医院2县区2人!$B$2:$B$1048576,MATCH(L1371,医院2县区2人!$A$2:$A$1048576,0))</f>
        <v>#N/A</v>
      </c>
      <c r="N1371" s="6" t="e">
        <f>INDEX(医院2县区2人!$C$2:$C$1048576,MATCH(L1371,医院2县区2人!$A$2:$A$1048576,0))</f>
        <v>#N/A</v>
      </c>
      <c r="P1371" s="7">
        <v>43279</v>
      </c>
      <c r="Q1371" s="6">
        <v>30</v>
      </c>
      <c r="R1371" s="6">
        <v>690</v>
      </c>
      <c r="S1371" s="6">
        <v>18031227</v>
      </c>
      <c r="T1371" s="6" t="e">
        <f>INDEX(医院2县区2人!$D$2:$D$1048576,MATCH(L1371,医院2县区2人!$A$2:$A$1048576,0))</f>
        <v>#N/A</v>
      </c>
      <c r="W1371" s="6" t="str">
        <f t="shared" si="45"/>
        <v>葡糖糖酸锌口服溶液10ml*12支</v>
      </c>
      <c r="X1371" s="6" t="s">
        <v>2893</v>
      </c>
    </row>
    <row r="1372" spans="1:24" x14ac:dyDescent="0.15">
      <c r="A1372" s="7" t="str">
        <f t="shared" si="46"/>
        <v>201806</v>
      </c>
      <c r="C1372" s="6" t="str">
        <f>INDEX(工厂基础数据!$A$2:$A$1024,MATCH(X1372,工厂基础数据!$D$2:$D$1024,0))</f>
        <v>02032120</v>
      </c>
      <c r="E1372" s="6" t="str">
        <f>INDEX(工厂基础数据!$B$2:$B$1024,MATCH(X1372,工厂基础数据!$D$2:$D$1024,0))</f>
        <v>淄博博仁医药有限公司</v>
      </c>
      <c r="F1372" s="6" t="e">
        <f>INDEX(商业2转码!$B$2:$B$10000,MATCH(E1372,商业2转码!$A$2:$A$10000,0))</f>
        <v>#N/A</v>
      </c>
      <c r="G1372" s="6" t="str">
        <f>INDEX(品种2编码!$A$2:$A$1048576,MATCH(W1372,品种2编码!$D$2:$D$1048576,0))</f>
        <v>0020030001SJZY0006</v>
      </c>
      <c r="H1372" s="6" t="s">
        <v>1833</v>
      </c>
      <c r="I1372" s="6" t="s">
        <v>411</v>
      </c>
      <c r="J1372" s="6" t="s">
        <v>3280</v>
      </c>
      <c r="L1372" s="6" t="s">
        <v>3168</v>
      </c>
      <c r="M1372" s="6" t="e">
        <f>INDEX(医院2县区2人!$B$2:$B$1048576,MATCH(L1372,医院2县区2人!$A$2:$A$1048576,0))</f>
        <v>#N/A</v>
      </c>
      <c r="N1372" s="6" t="e">
        <f>INDEX(医院2县区2人!$C$2:$C$1048576,MATCH(L1372,医院2县区2人!$A$2:$A$1048576,0))</f>
        <v>#N/A</v>
      </c>
      <c r="P1372" s="7">
        <v>43280</v>
      </c>
      <c r="Q1372" s="6">
        <v>-10</v>
      </c>
      <c r="R1372" s="6">
        <v>-220</v>
      </c>
      <c r="S1372" s="6">
        <v>18030523</v>
      </c>
      <c r="T1372" s="6" t="e">
        <f>INDEX(医院2县区2人!$D$2:$D$1048576,MATCH(L1372,医院2县区2人!$A$2:$A$1048576,0))</f>
        <v>#N/A</v>
      </c>
      <c r="W1372" s="6" t="str">
        <f t="shared" si="45"/>
        <v>葡萄糖酸钙口服溶液10ml*12支</v>
      </c>
      <c r="X1372" s="6" t="s">
        <v>2893</v>
      </c>
    </row>
    <row r="1373" spans="1:24" x14ac:dyDescent="0.15">
      <c r="A1373" s="7" t="str">
        <f t="shared" si="46"/>
        <v>201806</v>
      </c>
      <c r="C1373" s="6" t="str">
        <f>INDEX(工厂基础数据!$A$2:$A$1024,MATCH(X1373,工厂基础数据!$D$2:$D$1024,0))</f>
        <v>02032120</v>
      </c>
      <c r="E1373" s="6" t="str">
        <f>INDEX(工厂基础数据!$B$2:$B$1024,MATCH(X1373,工厂基础数据!$D$2:$D$1024,0))</f>
        <v>淄博博仁医药有限公司</v>
      </c>
      <c r="F1373" s="6" t="e">
        <f>INDEX(商业2转码!$B$2:$B$10000,MATCH(E1373,商业2转码!$A$2:$A$10000,0))</f>
        <v>#N/A</v>
      </c>
      <c r="G1373" s="6">
        <f>INDEX(品种2编码!$A$2:$A$1048576,MATCH(W1373,品种2编码!$D$2:$D$1048576,0))</f>
        <v>0</v>
      </c>
      <c r="H1373" s="6" t="s">
        <v>405</v>
      </c>
      <c r="I1373" s="6" t="s">
        <v>1850</v>
      </c>
      <c r="J1373" s="6" t="s">
        <v>3279</v>
      </c>
      <c r="L1373" s="6" t="s">
        <v>3160</v>
      </c>
      <c r="M1373" s="6" t="e">
        <f>INDEX(医院2县区2人!$B$2:$B$1048576,MATCH(L1373,医院2县区2人!$A$2:$A$1048576,0))</f>
        <v>#N/A</v>
      </c>
      <c r="N1373" s="6" t="e">
        <f>INDEX(医院2县区2人!$C$2:$C$1048576,MATCH(L1373,医院2县区2人!$A$2:$A$1048576,0))</f>
        <v>#N/A</v>
      </c>
      <c r="P1373" s="7">
        <v>43280</v>
      </c>
      <c r="Q1373" s="6">
        <v>2</v>
      </c>
      <c r="R1373" s="6">
        <v>30</v>
      </c>
      <c r="S1373" s="6">
        <v>1802005</v>
      </c>
      <c r="T1373" s="6" t="e">
        <f>INDEX(医院2县区2人!$D$2:$D$1048576,MATCH(L1373,医院2县区2人!$A$2:$A$1048576,0))</f>
        <v>#N/A</v>
      </c>
      <c r="W1373" s="6" t="str">
        <f t="shared" si="45"/>
        <v>钙铁锌口服液10ml*10支</v>
      </c>
      <c r="X1373" s="6" t="s">
        <v>2893</v>
      </c>
    </row>
    <row r="1374" spans="1:24" x14ac:dyDescent="0.15">
      <c r="A1374" s="7" t="str">
        <f t="shared" si="46"/>
        <v>201806</v>
      </c>
      <c r="C1374" s="6" t="str">
        <f>INDEX(工厂基础数据!$A$2:$A$1024,MATCH(X1374,工厂基础数据!$D$2:$D$1024,0))</f>
        <v>02032120</v>
      </c>
      <c r="E1374" s="6" t="str">
        <f>INDEX(工厂基础数据!$B$2:$B$1024,MATCH(X1374,工厂基础数据!$D$2:$D$1024,0))</f>
        <v>淄博博仁医药有限公司</v>
      </c>
      <c r="F1374" s="6" t="e">
        <f>INDEX(商业2转码!$B$2:$B$10000,MATCH(E1374,商业2转码!$A$2:$A$10000,0))</f>
        <v>#N/A</v>
      </c>
      <c r="G1374" s="6">
        <f>INDEX(品种2编码!$A$2:$A$1048576,MATCH(W1374,品种2编码!$D$2:$D$1048576,0))</f>
        <v>0</v>
      </c>
      <c r="H1374" s="6" t="s">
        <v>317</v>
      </c>
      <c r="I1374" s="6" t="s">
        <v>3291</v>
      </c>
      <c r="J1374" s="6" t="s">
        <v>3279</v>
      </c>
      <c r="L1374" s="6" t="s">
        <v>3179</v>
      </c>
      <c r="M1374" s="6" t="e">
        <f>INDEX(医院2县区2人!$B$2:$B$1048576,MATCH(L1374,医院2县区2人!$A$2:$A$1048576,0))</f>
        <v>#N/A</v>
      </c>
      <c r="N1374" s="6" t="e">
        <f>INDEX(医院2县区2人!$C$2:$C$1048576,MATCH(L1374,医院2县区2人!$A$2:$A$1048576,0))</f>
        <v>#N/A</v>
      </c>
      <c r="P1374" s="7">
        <v>43280</v>
      </c>
      <c r="Q1374" s="6">
        <v>2</v>
      </c>
      <c r="R1374" s="6">
        <v>25</v>
      </c>
      <c r="S1374" s="6">
        <v>1803608</v>
      </c>
      <c r="T1374" s="6" t="e">
        <f>INDEX(医院2县区2人!$D$2:$D$1048576,MATCH(L1374,医院2县区2人!$A$2:$A$1048576,0))</f>
        <v>#N/A</v>
      </c>
      <c r="W1374" s="6" t="str">
        <f t="shared" si="45"/>
        <v>布洛芬颗粒0.2g*12包</v>
      </c>
      <c r="X1374" s="6" t="s">
        <v>2893</v>
      </c>
    </row>
    <row r="1375" spans="1:24" x14ac:dyDescent="0.15">
      <c r="A1375" s="7" t="str">
        <f t="shared" si="46"/>
        <v>201806</v>
      </c>
      <c r="C1375" s="6" t="str">
        <f>INDEX(工厂基础数据!$A$2:$A$1024,MATCH(X1375,工厂基础数据!$D$2:$D$1024,0))</f>
        <v>02032120</v>
      </c>
      <c r="E1375" s="6" t="str">
        <f>INDEX(工厂基础数据!$B$2:$B$1024,MATCH(X1375,工厂基础数据!$D$2:$D$1024,0))</f>
        <v>淄博博仁医药有限公司</v>
      </c>
      <c r="F1375" s="6" t="e">
        <f>INDEX(商业2转码!$B$2:$B$10000,MATCH(E1375,商业2转码!$A$2:$A$10000,0))</f>
        <v>#N/A</v>
      </c>
      <c r="G1375" s="6">
        <f>INDEX(品种2编码!$A$2:$A$1048576,MATCH(W1375,品种2编码!$D$2:$D$1048576,0))</f>
        <v>0</v>
      </c>
      <c r="H1375" s="6" t="s">
        <v>3269</v>
      </c>
      <c r="I1375" s="6" t="s">
        <v>1839</v>
      </c>
      <c r="J1375" s="6" t="s">
        <v>3279</v>
      </c>
      <c r="L1375" s="6" t="s">
        <v>3260</v>
      </c>
      <c r="M1375" s="6" t="e">
        <f>INDEX(医院2县区2人!$B$2:$B$1048576,MATCH(L1375,医院2县区2人!$A$2:$A$1048576,0))</f>
        <v>#N/A</v>
      </c>
      <c r="N1375" s="6" t="e">
        <f>INDEX(医院2县区2人!$C$2:$C$1048576,MATCH(L1375,医院2县区2人!$A$2:$A$1048576,0))</f>
        <v>#N/A</v>
      </c>
      <c r="P1375" s="7">
        <v>43280</v>
      </c>
      <c r="Q1375" s="6">
        <v>3</v>
      </c>
      <c r="R1375" s="6">
        <v>24</v>
      </c>
      <c r="S1375" s="6">
        <v>180111</v>
      </c>
      <c r="T1375" s="6" t="e">
        <f>INDEX(医院2县区2人!$D$2:$D$1048576,MATCH(L1375,医院2县区2人!$A$2:$A$1048576,0))</f>
        <v>#N/A</v>
      </c>
      <c r="W1375" s="6" t="str">
        <f t="shared" si="45"/>
        <v>乳酸菌素片(精）0.4g*36片</v>
      </c>
      <c r="X1375" s="6" t="s">
        <v>2893</v>
      </c>
    </row>
    <row r="1376" spans="1:24" x14ac:dyDescent="0.15">
      <c r="A1376" s="7" t="str">
        <f t="shared" si="46"/>
        <v>201806</v>
      </c>
      <c r="C1376" s="6" t="str">
        <f>INDEX(工厂基础数据!$A$2:$A$1024,MATCH(X1376,工厂基础数据!$D$2:$D$1024,0))</f>
        <v>02032120</v>
      </c>
      <c r="E1376" s="6" t="str">
        <f>INDEX(工厂基础数据!$B$2:$B$1024,MATCH(X1376,工厂基础数据!$D$2:$D$1024,0))</f>
        <v>淄博博仁医药有限公司</v>
      </c>
      <c r="F1376" s="6" t="e">
        <f>INDEX(商业2转码!$B$2:$B$10000,MATCH(E1376,商业2转码!$A$2:$A$10000,0))</f>
        <v>#N/A</v>
      </c>
      <c r="G1376" s="6" t="str">
        <f>INDEX(品种2编码!$A$2:$A$1048576,MATCH(W1376,品种2编码!$D$2:$D$1048576,0))</f>
        <v>0020030001SJZY0006</v>
      </c>
      <c r="H1376" s="6" t="s">
        <v>1833</v>
      </c>
      <c r="I1376" s="6" t="s">
        <v>411</v>
      </c>
      <c r="J1376" s="6" t="s">
        <v>3280</v>
      </c>
      <c r="L1376" s="6" t="s">
        <v>3261</v>
      </c>
      <c r="M1376" s="6" t="e">
        <f>INDEX(医院2县区2人!$B$2:$B$1048576,MATCH(L1376,医院2县区2人!$A$2:$A$1048576,0))</f>
        <v>#N/A</v>
      </c>
      <c r="N1376" s="6" t="e">
        <f>INDEX(医院2县区2人!$C$2:$C$1048576,MATCH(L1376,医院2县区2人!$A$2:$A$1048576,0))</f>
        <v>#N/A</v>
      </c>
      <c r="P1376" s="7">
        <v>43280</v>
      </c>
      <c r="Q1376" s="6">
        <v>5</v>
      </c>
      <c r="R1376" s="6">
        <v>110</v>
      </c>
      <c r="S1376" s="6">
        <v>18030523</v>
      </c>
      <c r="T1376" s="6" t="e">
        <f>INDEX(医院2县区2人!$D$2:$D$1048576,MATCH(L1376,医院2县区2人!$A$2:$A$1048576,0))</f>
        <v>#N/A</v>
      </c>
      <c r="W1376" s="6" t="str">
        <f t="shared" si="45"/>
        <v>葡萄糖酸钙口服溶液10ml*12支</v>
      </c>
      <c r="X1376" s="6" t="s">
        <v>2893</v>
      </c>
    </row>
    <row r="1377" spans="1:24" x14ac:dyDescent="0.15">
      <c r="A1377" s="7" t="str">
        <f t="shared" si="46"/>
        <v>201806</v>
      </c>
      <c r="C1377" s="6" t="str">
        <f>INDEX(工厂基础数据!$A$2:$A$1024,MATCH(X1377,工厂基础数据!$D$2:$D$1024,0))</f>
        <v>02032120</v>
      </c>
      <c r="E1377" s="6" t="str">
        <f>INDEX(工厂基础数据!$B$2:$B$1024,MATCH(X1377,工厂基础数据!$D$2:$D$1024,0))</f>
        <v>淄博博仁医药有限公司</v>
      </c>
      <c r="F1377" s="6" t="e">
        <f>INDEX(商业2转码!$B$2:$B$10000,MATCH(E1377,商业2转码!$A$2:$A$10000,0))</f>
        <v>#N/A</v>
      </c>
      <c r="G1377" s="6">
        <f>INDEX(品种2编码!$A$2:$A$1048576,MATCH(W1377,品种2编码!$D$2:$D$1048576,0))</f>
        <v>0</v>
      </c>
      <c r="H1377" s="6" t="s">
        <v>3268</v>
      </c>
      <c r="I1377" s="6" t="s">
        <v>411</v>
      </c>
      <c r="J1377" s="6" t="s">
        <v>3040</v>
      </c>
      <c r="L1377" s="6" t="s">
        <v>3236</v>
      </c>
      <c r="M1377" s="6" t="e">
        <f>INDEX(医院2县区2人!$B$2:$B$1048576,MATCH(L1377,医院2县区2人!$A$2:$A$1048576,0))</f>
        <v>#N/A</v>
      </c>
      <c r="N1377" s="6" t="e">
        <f>INDEX(医院2县区2人!$C$2:$C$1048576,MATCH(L1377,医院2县区2人!$A$2:$A$1048576,0))</f>
        <v>#N/A</v>
      </c>
      <c r="P1377" s="7">
        <v>43280</v>
      </c>
      <c r="Q1377" s="6">
        <v>5</v>
      </c>
      <c r="R1377" s="6">
        <v>115</v>
      </c>
      <c r="S1377" s="6">
        <v>18031227</v>
      </c>
      <c r="T1377" s="6" t="e">
        <f>INDEX(医院2县区2人!$D$2:$D$1048576,MATCH(L1377,医院2县区2人!$A$2:$A$1048576,0))</f>
        <v>#N/A</v>
      </c>
      <c r="W1377" s="6" t="str">
        <f t="shared" si="45"/>
        <v>葡糖糖酸锌口服溶液10ml*12支</v>
      </c>
      <c r="X1377" s="6" t="s">
        <v>2893</v>
      </c>
    </row>
    <row r="1378" spans="1:24" x14ac:dyDescent="0.15">
      <c r="A1378" s="7" t="str">
        <f t="shared" si="46"/>
        <v>201806</v>
      </c>
      <c r="C1378" s="6" t="str">
        <f>INDEX(工厂基础数据!$A$2:$A$1024,MATCH(X1378,工厂基础数据!$D$2:$D$1024,0))</f>
        <v>02032120</v>
      </c>
      <c r="E1378" s="6" t="str">
        <f>INDEX(工厂基础数据!$B$2:$B$1024,MATCH(X1378,工厂基础数据!$D$2:$D$1024,0))</f>
        <v>淄博博仁医药有限公司</v>
      </c>
      <c r="F1378" s="6" t="e">
        <f>INDEX(商业2转码!$B$2:$B$10000,MATCH(E1378,商业2转码!$A$2:$A$10000,0))</f>
        <v>#N/A</v>
      </c>
      <c r="G1378" s="6">
        <f>INDEX(品种2编码!$A$2:$A$1048576,MATCH(W1378,品种2编码!$D$2:$D$1048576,0))</f>
        <v>0</v>
      </c>
      <c r="H1378" s="6" t="s">
        <v>317</v>
      </c>
      <c r="I1378" s="6" t="s">
        <v>3291</v>
      </c>
      <c r="J1378" s="6" t="s">
        <v>3279</v>
      </c>
      <c r="L1378" s="6" t="s">
        <v>3120</v>
      </c>
      <c r="M1378" s="6" t="e">
        <f>INDEX(医院2县区2人!$B$2:$B$1048576,MATCH(L1378,医院2县区2人!$A$2:$A$1048576,0))</f>
        <v>#N/A</v>
      </c>
      <c r="N1378" s="6" t="e">
        <f>INDEX(医院2县区2人!$C$2:$C$1048576,MATCH(L1378,医院2县区2人!$A$2:$A$1048576,0))</f>
        <v>#N/A</v>
      </c>
      <c r="P1378" s="7">
        <v>43280</v>
      </c>
      <c r="Q1378" s="6">
        <v>5</v>
      </c>
      <c r="R1378" s="6">
        <v>51.5</v>
      </c>
      <c r="S1378" s="6">
        <v>1803608</v>
      </c>
      <c r="T1378" s="6" t="e">
        <f>INDEX(医院2县区2人!$D$2:$D$1048576,MATCH(L1378,医院2县区2人!$A$2:$A$1048576,0))</f>
        <v>#N/A</v>
      </c>
      <c r="W1378" s="6" t="str">
        <f t="shared" si="45"/>
        <v>布洛芬颗粒0.2g*12包</v>
      </c>
      <c r="X1378" s="6" t="s">
        <v>2893</v>
      </c>
    </row>
    <row r="1379" spans="1:24" x14ac:dyDescent="0.15">
      <c r="A1379" s="7" t="str">
        <f t="shared" si="46"/>
        <v>201806</v>
      </c>
      <c r="C1379" s="6" t="str">
        <f>INDEX(工厂基础数据!$A$2:$A$1024,MATCH(X1379,工厂基础数据!$D$2:$D$1024,0))</f>
        <v>02032120</v>
      </c>
      <c r="E1379" s="6" t="str">
        <f>INDEX(工厂基础数据!$B$2:$B$1024,MATCH(X1379,工厂基础数据!$D$2:$D$1024,0))</f>
        <v>淄博博仁医药有限公司</v>
      </c>
      <c r="F1379" s="6" t="e">
        <f>INDEX(商业2转码!$B$2:$B$10000,MATCH(E1379,商业2转码!$A$2:$A$10000,0))</f>
        <v>#N/A</v>
      </c>
      <c r="G1379" s="6" t="str">
        <f>INDEX(品种2编码!$A$2:$A$1048576,MATCH(W1379,品种2编码!$D$2:$D$1048576,0))</f>
        <v>0020050090SJZY0001</v>
      </c>
      <c r="H1379" s="6" t="s">
        <v>630</v>
      </c>
      <c r="I1379" s="6" t="s">
        <v>1850</v>
      </c>
      <c r="J1379" s="6" t="s">
        <v>3285</v>
      </c>
      <c r="L1379" s="6" t="s">
        <v>3262</v>
      </c>
      <c r="M1379" s="6" t="e">
        <f>INDEX(医院2县区2人!$B$2:$B$1048576,MATCH(L1379,医院2县区2人!$A$2:$A$1048576,0))</f>
        <v>#N/A</v>
      </c>
      <c r="N1379" s="6" t="e">
        <f>INDEX(医院2县区2人!$C$2:$C$1048576,MATCH(L1379,医院2县区2人!$A$2:$A$1048576,0))</f>
        <v>#N/A</v>
      </c>
      <c r="P1379" s="7">
        <v>43280</v>
      </c>
      <c r="Q1379" s="6">
        <v>10</v>
      </c>
      <c r="R1379" s="6">
        <v>165</v>
      </c>
      <c r="S1379" s="6">
        <v>17122813</v>
      </c>
      <c r="T1379" s="6" t="e">
        <f>INDEX(医院2县区2人!$D$2:$D$1048576,MATCH(L1379,医院2县区2人!$A$2:$A$1048576,0))</f>
        <v>#N/A</v>
      </c>
      <c r="W1379" s="6" t="str">
        <f t="shared" si="45"/>
        <v>双黄连口服液10ml*10支</v>
      </c>
      <c r="X1379" s="6" t="s">
        <v>2893</v>
      </c>
    </row>
    <row r="1380" spans="1:24" x14ac:dyDescent="0.15">
      <c r="A1380" s="7" t="str">
        <f t="shared" si="46"/>
        <v>201806</v>
      </c>
      <c r="C1380" s="6" t="str">
        <f>INDEX(工厂基础数据!$A$2:$A$1024,MATCH(X1380,工厂基础数据!$D$2:$D$1024,0))</f>
        <v>02032120</v>
      </c>
      <c r="E1380" s="6" t="str">
        <f>INDEX(工厂基础数据!$B$2:$B$1024,MATCH(X1380,工厂基础数据!$D$2:$D$1024,0))</f>
        <v>淄博博仁医药有限公司</v>
      </c>
      <c r="F1380" s="6" t="e">
        <f>INDEX(商业2转码!$B$2:$B$10000,MATCH(E1380,商业2转码!$A$2:$A$10000,0))</f>
        <v>#N/A</v>
      </c>
      <c r="G1380" s="6" t="str">
        <f>INDEX(品种2编码!$A$2:$A$1048576,MATCH(W1380,品种2编码!$D$2:$D$1048576,0))</f>
        <v>0020030001SJZY0006</v>
      </c>
      <c r="H1380" s="6" t="s">
        <v>1833</v>
      </c>
      <c r="I1380" s="6" t="s">
        <v>411</v>
      </c>
      <c r="J1380" s="6" t="s">
        <v>3280</v>
      </c>
      <c r="L1380" s="6" t="s">
        <v>3222</v>
      </c>
      <c r="M1380" s="6" t="e">
        <f>INDEX(医院2县区2人!$B$2:$B$1048576,MATCH(L1380,医院2县区2人!$A$2:$A$1048576,0))</f>
        <v>#N/A</v>
      </c>
      <c r="N1380" s="6" t="e">
        <f>INDEX(医院2县区2人!$C$2:$C$1048576,MATCH(L1380,医院2县区2人!$A$2:$A$1048576,0))</f>
        <v>#N/A</v>
      </c>
      <c r="P1380" s="7">
        <v>43280</v>
      </c>
      <c r="Q1380" s="6">
        <v>10</v>
      </c>
      <c r="R1380" s="6">
        <v>220</v>
      </c>
      <c r="S1380" s="6">
        <v>18030523</v>
      </c>
      <c r="T1380" s="6" t="e">
        <f>INDEX(医院2县区2人!$D$2:$D$1048576,MATCH(L1380,医院2县区2人!$A$2:$A$1048576,0))</f>
        <v>#N/A</v>
      </c>
      <c r="W1380" s="6" t="str">
        <f t="shared" si="45"/>
        <v>葡萄糖酸钙口服溶液10ml*12支</v>
      </c>
      <c r="X1380" s="6" t="s">
        <v>2893</v>
      </c>
    </row>
    <row r="1381" spans="1:24" x14ac:dyDescent="0.15">
      <c r="A1381" s="7" t="str">
        <f t="shared" si="46"/>
        <v>201806</v>
      </c>
      <c r="C1381" s="6" t="str">
        <f>INDEX(工厂基础数据!$A$2:$A$1024,MATCH(X1381,工厂基础数据!$D$2:$D$1024,0))</f>
        <v>02032120</v>
      </c>
      <c r="E1381" s="6" t="str">
        <f>INDEX(工厂基础数据!$B$2:$B$1024,MATCH(X1381,工厂基础数据!$D$2:$D$1024,0))</f>
        <v>淄博博仁医药有限公司</v>
      </c>
      <c r="F1381" s="6" t="e">
        <f>INDEX(商业2转码!$B$2:$B$10000,MATCH(E1381,商业2转码!$A$2:$A$10000,0))</f>
        <v>#N/A</v>
      </c>
      <c r="G1381" s="6" t="str">
        <f>INDEX(品种2编码!$A$2:$A$1048576,MATCH(W1381,品种2编码!$D$2:$D$1048576,0))</f>
        <v>0020030001SJZY0006</v>
      </c>
      <c r="H1381" s="6" t="s">
        <v>1833</v>
      </c>
      <c r="I1381" s="6" t="s">
        <v>411</v>
      </c>
      <c r="J1381" s="6" t="s">
        <v>3280</v>
      </c>
      <c r="L1381" s="6" t="s">
        <v>3262</v>
      </c>
      <c r="M1381" s="6" t="e">
        <f>INDEX(医院2县区2人!$B$2:$B$1048576,MATCH(L1381,医院2县区2人!$A$2:$A$1048576,0))</f>
        <v>#N/A</v>
      </c>
      <c r="N1381" s="6" t="e">
        <f>INDEX(医院2县区2人!$C$2:$C$1048576,MATCH(L1381,医院2县区2人!$A$2:$A$1048576,0))</f>
        <v>#N/A</v>
      </c>
      <c r="P1381" s="7">
        <v>43280</v>
      </c>
      <c r="Q1381" s="6">
        <v>10</v>
      </c>
      <c r="R1381" s="6">
        <v>220</v>
      </c>
      <c r="S1381" s="6">
        <v>18030523</v>
      </c>
      <c r="T1381" s="6" t="e">
        <f>INDEX(医院2县区2人!$D$2:$D$1048576,MATCH(L1381,医院2县区2人!$A$2:$A$1048576,0))</f>
        <v>#N/A</v>
      </c>
      <c r="W1381" s="6" t="str">
        <f t="shared" si="45"/>
        <v>葡萄糖酸钙口服溶液10ml*12支</v>
      </c>
      <c r="X1381" s="6" t="s">
        <v>2893</v>
      </c>
    </row>
    <row r="1382" spans="1:24" x14ac:dyDescent="0.15">
      <c r="A1382" s="7" t="str">
        <f t="shared" si="46"/>
        <v>201806</v>
      </c>
      <c r="C1382" s="6" t="str">
        <f>INDEX(工厂基础数据!$A$2:$A$1024,MATCH(X1382,工厂基础数据!$D$2:$D$1024,0))</f>
        <v>02032120</v>
      </c>
      <c r="E1382" s="6" t="str">
        <f>INDEX(工厂基础数据!$B$2:$B$1024,MATCH(X1382,工厂基础数据!$D$2:$D$1024,0))</f>
        <v>淄博博仁医药有限公司</v>
      </c>
      <c r="F1382" s="6" t="e">
        <f>INDEX(商业2转码!$B$2:$B$10000,MATCH(E1382,商业2转码!$A$2:$A$10000,0))</f>
        <v>#N/A</v>
      </c>
      <c r="G1382" s="6">
        <f>INDEX(品种2编码!$A$2:$A$1048576,MATCH(W1382,品种2编码!$D$2:$D$1048576,0))</f>
        <v>0</v>
      </c>
      <c r="H1382" s="6" t="s">
        <v>3268</v>
      </c>
      <c r="I1382" s="6" t="s">
        <v>411</v>
      </c>
      <c r="J1382" s="6" t="s">
        <v>3040</v>
      </c>
      <c r="L1382" s="6" t="s">
        <v>3222</v>
      </c>
      <c r="M1382" s="6" t="e">
        <f>INDEX(医院2县区2人!$B$2:$B$1048576,MATCH(L1382,医院2县区2人!$A$2:$A$1048576,0))</f>
        <v>#N/A</v>
      </c>
      <c r="N1382" s="6" t="e">
        <f>INDEX(医院2县区2人!$C$2:$C$1048576,MATCH(L1382,医院2县区2人!$A$2:$A$1048576,0))</f>
        <v>#N/A</v>
      </c>
      <c r="P1382" s="7">
        <v>43280</v>
      </c>
      <c r="Q1382" s="6">
        <v>10</v>
      </c>
      <c r="R1382" s="6">
        <v>230</v>
      </c>
      <c r="S1382" s="6">
        <v>18031227</v>
      </c>
      <c r="T1382" s="6" t="e">
        <f>INDEX(医院2县区2人!$D$2:$D$1048576,MATCH(L1382,医院2县区2人!$A$2:$A$1048576,0))</f>
        <v>#N/A</v>
      </c>
      <c r="W1382" s="6" t="str">
        <f t="shared" si="45"/>
        <v>葡糖糖酸锌口服溶液10ml*12支</v>
      </c>
      <c r="X1382" s="6" t="s">
        <v>2893</v>
      </c>
    </row>
    <row r="1383" spans="1:24" x14ac:dyDescent="0.15">
      <c r="A1383" s="7" t="str">
        <f t="shared" si="46"/>
        <v>201806</v>
      </c>
      <c r="C1383" s="6" t="str">
        <f>INDEX(工厂基础数据!$A$2:$A$1024,MATCH(X1383,工厂基础数据!$D$2:$D$1024,0))</f>
        <v>02032120</v>
      </c>
      <c r="E1383" s="6" t="str">
        <f>INDEX(工厂基础数据!$B$2:$B$1024,MATCH(X1383,工厂基础数据!$D$2:$D$1024,0))</f>
        <v>淄博博仁医药有限公司</v>
      </c>
      <c r="F1383" s="6" t="e">
        <f>INDEX(商业2转码!$B$2:$B$10000,MATCH(E1383,商业2转码!$A$2:$A$10000,0))</f>
        <v>#N/A</v>
      </c>
      <c r="G1383" s="6">
        <f>INDEX(品种2编码!$A$2:$A$1048576,MATCH(W1383,品种2编码!$D$2:$D$1048576,0))</f>
        <v>0</v>
      </c>
      <c r="H1383" s="6" t="s">
        <v>3268</v>
      </c>
      <c r="I1383" s="6" t="s">
        <v>411</v>
      </c>
      <c r="J1383" s="6" t="s">
        <v>3040</v>
      </c>
      <c r="L1383" s="6" t="s">
        <v>3133</v>
      </c>
      <c r="M1383" s="6" t="e">
        <f>INDEX(医院2县区2人!$B$2:$B$1048576,MATCH(L1383,医院2县区2人!$A$2:$A$1048576,0))</f>
        <v>#N/A</v>
      </c>
      <c r="N1383" s="6" t="e">
        <f>INDEX(医院2县区2人!$C$2:$C$1048576,MATCH(L1383,医院2县区2人!$A$2:$A$1048576,0))</f>
        <v>#N/A</v>
      </c>
      <c r="P1383" s="7">
        <v>43280</v>
      </c>
      <c r="Q1383" s="6">
        <v>10</v>
      </c>
      <c r="R1383" s="6">
        <v>230</v>
      </c>
      <c r="S1383" s="6">
        <v>18031227</v>
      </c>
      <c r="T1383" s="6" t="e">
        <f>INDEX(医院2县区2人!$D$2:$D$1048576,MATCH(L1383,医院2县区2人!$A$2:$A$1048576,0))</f>
        <v>#N/A</v>
      </c>
      <c r="W1383" s="6" t="str">
        <f t="shared" si="45"/>
        <v>葡糖糖酸锌口服溶液10ml*12支</v>
      </c>
      <c r="X1383" s="6" t="s">
        <v>2893</v>
      </c>
    </row>
    <row r="1384" spans="1:24" x14ac:dyDescent="0.15">
      <c r="A1384" s="7" t="str">
        <f t="shared" si="46"/>
        <v>201806</v>
      </c>
      <c r="C1384" s="6" t="str">
        <f>INDEX(工厂基础数据!$A$2:$A$1024,MATCH(X1384,工厂基础数据!$D$2:$D$1024,0))</f>
        <v>02032120</v>
      </c>
      <c r="E1384" s="6" t="str">
        <f>INDEX(工厂基础数据!$B$2:$B$1024,MATCH(X1384,工厂基础数据!$D$2:$D$1024,0))</f>
        <v>淄博博仁医药有限公司</v>
      </c>
      <c r="F1384" s="6" t="e">
        <f>INDEX(商业2转码!$B$2:$B$10000,MATCH(E1384,商业2转码!$A$2:$A$10000,0))</f>
        <v>#N/A</v>
      </c>
      <c r="G1384" s="6" t="str">
        <f>INDEX(品种2编码!$A$2:$A$1048576,MATCH(W1384,品种2编码!$D$2:$D$1048576,0))</f>
        <v>0020020021ZYLC0004</v>
      </c>
      <c r="H1384" s="6" t="s">
        <v>1950</v>
      </c>
      <c r="I1384" s="6" t="s">
        <v>1869</v>
      </c>
      <c r="J1384" s="6" t="s">
        <v>3283</v>
      </c>
      <c r="L1384" s="6" t="s">
        <v>3262</v>
      </c>
      <c r="M1384" s="6" t="e">
        <f>INDEX(医院2县区2人!$B$2:$B$1048576,MATCH(L1384,医院2县区2人!$A$2:$A$1048576,0))</f>
        <v>#N/A</v>
      </c>
      <c r="N1384" s="6" t="e">
        <f>INDEX(医院2县区2人!$C$2:$C$1048576,MATCH(L1384,医院2县区2人!$A$2:$A$1048576,0))</f>
        <v>#N/A</v>
      </c>
      <c r="P1384" s="7">
        <v>43280</v>
      </c>
      <c r="Q1384" s="6">
        <v>10</v>
      </c>
      <c r="R1384" s="6">
        <v>80</v>
      </c>
      <c r="S1384" s="6">
        <v>171101</v>
      </c>
      <c r="T1384" s="6" t="e">
        <f>INDEX(医院2县区2人!$D$2:$D$1048576,MATCH(L1384,医院2县区2人!$A$2:$A$1048576,0))</f>
        <v>#N/A</v>
      </c>
      <c r="W1384" s="6" t="str">
        <f t="shared" si="45"/>
        <v>罗红霉素分散片75mg*12片</v>
      </c>
      <c r="X1384" s="6" t="s">
        <v>2893</v>
      </c>
    </row>
    <row r="1385" spans="1:24" x14ac:dyDescent="0.15">
      <c r="A1385" s="7" t="str">
        <f t="shared" si="46"/>
        <v>201806</v>
      </c>
      <c r="C1385" s="6" t="str">
        <f>INDEX(工厂基础数据!$A$2:$A$1024,MATCH(X1385,工厂基础数据!$D$2:$D$1024,0))</f>
        <v>02032120</v>
      </c>
      <c r="E1385" s="6" t="str">
        <f>INDEX(工厂基础数据!$B$2:$B$1024,MATCH(X1385,工厂基础数据!$D$2:$D$1024,0))</f>
        <v>淄博博仁医药有限公司</v>
      </c>
      <c r="F1385" s="6" t="e">
        <f>INDEX(商业2转码!$B$2:$B$10000,MATCH(E1385,商业2转码!$A$2:$A$10000,0))</f>
        <v>#N/A</v>
      </c>
      <c r="G1385" s="6" t="str">
        <f>INDEX(品种2编码!$A$2:$A$1048576,MATCH(W1385,品种2编码!$D$2:$D$1048576,0))</f>
        <v>0020020021ZYLC0005</v>
      </c>
      <c r="H1385" s="6" t="s">
        <v>1950</v>
      </c>
      <c r="I1385" s="6" t="s">
        <v>1841</v>
      </c>
      <c r="J1385" s="6" t="s">
        <v>3283</v>
      </c>
      <c r="L1385" s="6" t="s">
        <v>3262</v>
      </c>
      <c r="M1385" s="6" t="e">
        <f>INDEX(医院2县区2人!$B$2:$B$1048576,MATCH(L1385,医院2县区2人!$A$2:$A$1048576,0))</f>
        <v>#N/A</v>
      </c>
      <c r="N1385" s="6" t="e">
        <f>INDEX(医院2县区2人!$C$2:$C$1048576,MATCH(L1385,医院2县区2人!$A$2:$A$1048576,0))</f>
        <v>#N/A</v>
      </c>
      <c r="P1385" s="7">
        <v>43280</v>
      </c>
      <c r="Q1385" s="6">
        <v>10</v>
      </c>
      <c r="R1385" s="6">
        <v>40</v>
      </c>
      <c r="S1385" s="6">
        <v>180201</v>
      </c>
      <c r="T1385" s="6" t="e">
        <f>INDEX(医院2县区2人!$D$2:$D$1048576,MATCH(L1385,医院2县区2人!$A$2:$A$1048576,0))</f>
        <v>#N/A</v>
      </c>
      <c r="W1385" s="6" t="str">
        <f t="shared" si="45"/>
        <v>罗红霉素分散片50mg*12片</v>
      </c>
      <c r="X1385" s="6" t="s">
        <v>2893</v>
      </c>
    </row>
    <row r="1386" spans="1:24" x14ac:dyDescent="0.15">
      <c r="A1386" s="7" t="str">
        <f t="shared" si="46"/>
        <v>201806</v>
      </c>
      <c r="C1386" s="6" t="str">
        <f>INDEX(工厂基础数据!$A$2:$A$1024,MATCH(X1386,工厂基础数据!$D$2:$D$1024,0))</f>
        <v>02032120</v>
      </c>
      <c r="E1386" s="6" t="str">
        <f>INDEX(工厂基础数据!$B$2:$B$1024,MATCH(X1386,工厂基础数据!$D$2:$D$1024,0))</f>
        <v>淄博博仁医药有限公司</v>
      </c>
      <c r="F1386" s="6" t="e">
        <f>INDEX(商业2转码!$B$2:$B$10000,MATCH(E1386,商业2转码!$A$2:$A$10000,0))</f>
        <v>#N/A</v>
      </c>
      <c r="G1386" s="6" t="str">
        <f>INDEX(品种2编码!$A$2:$A$1048576,MATCH(W1386,品种2编码!$D$2:$D$1048576,0))</f>
        <v>0020020021ZYLC0015</v>
      </c>
      <c r="H1386" s="6" t="s">
        <v>469</v>
      </c>
      <c r="I1386" s="6" t="s">
        <v>1958</v>
      </c>
      <c r="J1386" s="6" t="s">
        <v>3279</v>
      </c>
      <c r="L1386" s="6" t="s">
        <v>3144</v>
      </c>
      <c r="M1386" s="6" t="e">
        <f>INDEX(医院2县区2人!$B$2:$B$1048576,MATCH(L1386,医院2县区2人!$A$2:$A$1048576,0))</f>
        <v>#N/A</v>
      </c>
      <c r="N1386" s="6" t="e">
        <f>INDEX(医院2县区2人!$C$2:$C$1048576,MATCH(L1386,医院2县区2人!$A$2:$A$1048576,0))</f>
        <v>#N/A</v>
      </c>
      <c r="P1386" s="7">
        <v>43280</v>
      </c>
      <c r="Q1386" s="6">
        <v>10</v>
      </c>
      <c r="R1386" s="6">
        <v>110</v>
      </c>
      <c r="S1386" s="6">
        <v>170601</v>
      </c>
      <c r="T1386" s="6" t="e">
        <f>INDEX(医院2县区2人!$D$2:$D$1048576,MATCH(L1386,医院2县区2人!$A$2:$A$1048576,0))</f>
        <v>#N/A</v>
      </c>
      <c r="W1386" s="6" t="str">
        <f t="shared" si="45"/>
        <v>克拉霉素分散片0.125g*24片</v>
      </c>
      <c r="X1386" s="6" t="s">
        <v>2893</v>
      </c>
    </row>
    <row r="1387" spans="1:24" x14ac:dyDescent="0.15">
      <c r="A1387" s="7" t="str">
        <f t="shared" si="46"/>
        <v>201806</v>
      </c>
      <c r="C1387" s="6" t="str">
        <f>INDEX(工厂基础数据!$A$2:$A$1024,MATCH(X1387,工厂基础数据!$D$2:$D$1024,0))</f>
        <v>02032120</v>
      </c>
      <c r="E1387" s="6" t="str">
        <f>INDEX(工厂基础数据!$B$2:$B$1024,MATCH(X1387,工厂基础数据!$D$2:$D$1024,0))</f>
        <v>淄博博仁医药有限公司</v>
      </c>
      <c r="F1387" s="6" t="e">
        <f>INDEX(商业2转码!$B$2:$B$10000,MATCH(E1387,商业2转码!$A$2:$A$10000,0))</f>
        <v>#N/A</v>
      </c>
      <c r="G1387" s="6">
        <f>INDEX(品种2编码!$A$2:$A$1048576,MATCH(W1387,品种2编码!$D$2:$D$1048576,0))</f>
        <v>0</v>
      </c>
      <c r="H1387" s="6" t="s">
        <v>1845</v>
      </c>
      <c r="I1387" s="6" t="s">
        <v>3294</v>
      </c>
      <c r="J1387" s="6" t="s">
        <v>3041</v>
      </c>
      <c r="L1387" s="6" t="s">
        <v>3262</v>
      </c>
      <c r="M1387" s="6" t="e">
        <f>INDEX(医院2县区2人!$B$2:$B$1048576,MATCH(L1387,医院2县区2人!$A$2:$A$1048576,0))</f>
        <v>#N/A</v>
      </c>
      <c r="N1387" s="6" t="e">
        <f>INDEX(医院2县区2人!$C$2:$C$1048576,MATCH(L1387,医院2县区2人!$A$2:$A$1048576,0))</f>
        <v>#N/A</v>
      </c>
      <c r="P1387" s="7">
        <v>43280</v>
      </c>
      <c r="Q1387" s="6">
        <v>10</v>
      </c>
      <c r="R1387" s="6">
        <v>145</v>
      </c>
      <c r="S1387" s="6">
        <v>161201</v>
      </c>
      <c r="T1387" s="6" t="e">
        <f>INDEX(医院2县区2人!$D$2:$D$1048576,MATCH(L1387,医院2县区2人!$A$2:$A$1048576,0))</f>
        <v>#N/A</v>
      </c>
      <c r="W1387" s="6" t="str">
        <f t="shared" si="45"/>
        <v>感冒解毒灵颗粒5克*10袋</v>
      </c>
      <c r="X1387" s="6" t="s">
        <v>2893</v>
      </c>
    </row>
    <row r="1388" spans="1:24" x14ac:dyDescent="0.15">
      <c r="A1388" s="7" t="str">
        <f t="shared" si="46"/>
        <v>201806</v>
      </c>
      <c r="C1388" s="6" t="str">
        <f>INDEX(工厂基础数据!$A$2:$A$1024,MATCH(X1388,工厂基础数据!$D$2:$D$1024,0))</f>
        <v>02032120</v>
      </c>
      <c r="E1388" s="6" t="str">
        <f>INDEX(工厂基础数据!$B$2:$B$1024,MATCH(X1388,工厂基础数据!$D$2:$D$1024,0))</f>
        <v>淄博博仁医药有限公司</v>
      </c>
      <c r="F1388" s="6" t="e">
        <f>INDEX(商业2转码!$B$2:$B$10000,MATCH(E1388,商业2转码!$A$2:$A$10000,0))</f>
        <v>#N/A</v>
      </c>
      <c r="G1388" s="6" t="str">
        <f>INDEX(品种2编码!$A$2:$A$1048576,MATCH(W1388,品种2编码!$D$2:$D$1048576,0))</f>
        <v>0020030020SJSC0004</v>
      </c>
      <c r="H1388" s="6" t="s">
        <v>394</v>
      </c>
      <c r="I1388" s="6" t="s">
        <v>1871</v>
      </c>
      <c r="J1388" s="6" t="s">
        <v>3284</v>
      </c>
      <c r="L1388" s="6" t="s">
        <v>3262</v>
      </c>
      <c r="M1388" s="6" t="e">
        <f>INDEX(医院2县区2人!$B$2:$B$1048576,MATCH(L1388,医院2县区2人!$A$2:$A$1048576,0))</f>
        <v>#N/A</v>
      </c>
      <c r="N1388" s="6" t="e">
        <f>INDEX(医院2县区2人!$C$2:$C$1048576,MATCH(L1388,医院2县区2人!$A$2:$A$1048576,0))</f>
        <v>#N/A</v>
      </c>
      <c r="P1388" s="7">
        <v>43280</v>
      </c>
      <c r="Q1388" s="6">
        <v>10</v>
      </c>
      <c r="R1388" s="6">
        <v>110</v>
      </c>
      <c r="S1388" s="6">
        <v>1709020</v>
      </c>
      <c r="T1388" s="6" t="e">
        <f>INDEX(医院2县区2人!$D$2:$D$1048576,MATCH(L1388,医院2县区2人!$A$2:$A$1048576,0))</f>
        <v>#N/A</v>
      </c>
      <c r="W1388" s="6" t="str">
        <f t="shared" si="45"/>
        <v>复方铝酸铋片50片</v>
      </c>
      <c r="X1388" s="6" t="s">
        <v>2893</v>
      </c>
    </row>
    <row r="1389" spans="1:24" x14ac:dyDescent="0.15">
      <c r="A1389" s="7" t="str">
        <f t="shared" si="46"/>
        <v>201806</v>
      </c>
      <c r="C1389" s="6" t="str">
        <f>INDEX(工厂基础数据!$A$2:$A$1024,MATCH(X1389,工厂基础数据!$D$2:$D$1024,0))</f>
        <v>02032120</v>
      </c>
      <c r="E1389" s="6" t="str">
        <f>INDEX(工厂基础数据!$B$2:$B$1024,MATCH(X1389,工厂基础数据!$D$2:$D$1024,0))</f>
        <v>淄博博仁医药有限公司</v>
      </c>
      <c r="F1389" s="6" t="e">
        <f>INDEX(商业2转码!$B$2:$B$10000,MATCH(E1389,商业2转码!$A$2:$A$10000,0))</f>
        <v>#N/A</v>
      </c>
      <c r="G1389" s="6" t="str">
        <f>INDEX(品种2编码!$A$2:$A$1048576,MATCH(W1389,品种2编码!$D$2:$D$1048576,0))</f>
        <v>0020020021ZYLC0012</v>
      </c>
      <c r="H1389" s="6" t="s">
        <v>292</v>
      </c>
      <c r="I1389" s="6" t="s">
        <v>1959</v>
      </c>
      <c r="J1389" s="6" t="s">
        <v>3279</v>
      </c>
      <c r="L1389" s="6" t="s">
        <v>3262</v>
      </c>
      <c r="M1389" s="6" t="e">
        <f>INDEX(医院2县区2人!$B$2:$B$1048576,MATCH(L1389,医院2县区2人!$A$2:$A$1048576,0))</f>
        <v>#N/A</v>
      </c>
      <c r="N1389" s="6" t="e">
        <f>INDEX(医院2县区2人!$C$2:$C$1048576,MATCH(L1389,医院2县区2人!$A$2:$A$1048576,0))</f>
        <v>#N/A</v>
      </c>
      <c r="P1389" s="7">
        <v>43280</v>
      </c>
      <c r="Q1389" s="6">
        <v>10</v>
      </c>
      <c r="R1389" s="6">
        <v>80</v>
      </c>
      <c r="S1389" s="6">
        <v>171101</v>
      </c>
      <c r="T1389" s="6" t="e">
        <f>INDEX(医院2县区2人!$D$2:$D$1048576,MATCH(L1389,医院2县区2人!$A$2:$A$1048576,0))</f>
        <v>#N/A</v>
      </c>
      <c r="W1389" s="6" t="str">
        <f t="shared" si="45"/>
        <v>阿奇霉素分散片0.25g*6片</v>
      </c>
      <c r="X1389" s="6" t="s">
        <v>2893</v>
      </c>
    </row>
    <row r="1390" spans="1:24" x14ac:dyDescent="0.15">
      <c r="A1390" s="7" t="str">
        <f t="shared" si="46"/>
        <v>201806</v>
      </c>
      <c r="C1390" s="6" t="str">
        <f>INDEX(工厂基础数据!$A$2:$A$1024,MATCH(X1390,工厂基础数据!$D$2:$D$1024,0))</f>
        <v>02032120</v>
      </c>
      <c r="E1390" s="6" t="str">
        <f>INDEX(工厂基础数据!$B$2:$B$1024,MATCH(X1390,工厂基础数据!$D$2:$D$1024,0))</f>
        <v>淄博博仁医药有限公司</v>
      </c>
      <c r="F1390" s="6" t="e">
        <f>INDEX(商业2转码!$B$2:$B$10000,MATCH(E1390,商业2转码!$A$2:$A$10000,0))</f>
        <v>#N/A</v>
      </c>
      <c r="G1390" s="6" t="str">
        <f>INDEX(品种2编码!$A$2:$A$1048576,MATCH(W1390,品种2编码!$D$2:$D$1048576,0))</f>
        <v>0020020013ZYZC0491</v>
      </c>
      <c r="H1390" s="6" t="s">
        <v>3266</v>
      </c>
      <c r="I1390" s="6" t="s">
        <v>914</v>
      </c>
      <c r="J1390" s="6" t="s">
        <v>3279</v>
      </c>
      <c r="L1390" s="6" t="s">
        <v>3263</v>
      </c>
      <c r="M1390" s="6" t="e">
        <f>INDEX(医院2县区2人!$B$2:$B$1048576,MATCH(L1390,医院2县区2人!$A$2:$A$1048576,0))</f>
        <v>#N/A</v>
      </c>
      <c r="N1390" s="6" t="e">
        <f>INDEX(医院2县区2人!$C$2:$C$1048576,MATCH(L1390,医院2县区2人!$A$2:$A$1048576,0))</f>
        <v>#N/A</v>
      </c>
      <c r="P1390" s="7">
        <v>43280</v>
      </c>
      <c r="Q1390" s="6">
        <v>10</v>
      </c>
      <c r="R1390" s="6">
        <v>39</v>
      </c>
      <c r="S1390" s="6" t="s">
        <v>3272</v>
      </c>
      <c r="T1390" s="6" t="e">
        <f>INDEX(医院2县区2人!$D$2:$D$1048576,MATCH(L1390,医院2县区2人!$A$2:$A$1048576,0))</f>
        <v>#N/A</v>
      </c>
      <c r="W1390" s="6" t="str">
        <f t="shared" si="45"/>
        <v>*注射用乳糖酸阿奇霉素0.25g</v>
      </c>
      <c r="X1390" s="6" t="s">
        <v>2893</v>
      </c>
    </row>
    <row r="1391" spans="1:24" x14ac:dyDescent="0.15">
      <c r="A1391" s="7" t="str">
        <f t="shared" si="46"/>
        <v>201806</v>
      </c>
      <c r="C1391" s="6" t="str">
        <f>INDEX(工厂基础数据!$A$2:$A$1024,MATCH(X1391,工厂基础数据!$D$2:$D$1024,0))</f>
        <v>02032120</v>
      </c>
      <c r="E1391" s="6" t="str">
        <f>INDEX(工厂基础数据!$B$2:$B$1024,MATCH(X1391,工厂基础数据!$D$2:$D$1024,0))</f>
        <v>淄博博仁医药有限公司</v>
      </c>
      <c r="F1391" s="6" t="e">
        <f>INDEX(商业2转码!$B$2:$B$10000,MATCH(E1391,商业2转码!$A$2:$A$10000,0))</f>
        <v>#N/A</v>
      </c>
      <c r="G1391" s="6" t="str">
        <f>INDEX(品种2编码!$A$2:$A$1048576,MATCH(W1391,品种2编码!$D$2:$D$1048576,0))</f>
        <v>0020030001SJZY0006</v>
      </c>
      <c r="H1391" s="6" t="s">
        <v>1833</v>
      </c>
      <c r="I1391" s="6" t="s">
        <v>411</v>
      </c>
      <c r="J1391" s="6" t="s">
        <v>3280</v>
      </c>
      <c r="L1391" s="6" t="s">
        <v>3144</v>
      </c>
      <c r="M1391" s="6" t="e">
        <f>INDEX(医院2县区2人!$B$2:$B$1048576,MATCH(L1391,医院2县区2人!$A$2:$A$1048576,0))</f>
        <v>#N/A</v>
      </c>
      <c r="N1391" s="6" t="e">
        <f>INDEX(医院2县区2人!$C$2:$C$1048576,MATCH(L1391,医院2县区2人!$A$2:$A$1048576,0))</f>
        <v>#N/A</v>
      </c>
      <c r="P1391" s="7">
        <v>43280</v>
      </c>
      <c r="Q1391" s="6">
        <v>20</v>
      </c>
      <c r="R1391" s="6">
        <v>440</v>
      </c>
      <c r="S1391" s="6">
        <v>18030523</v>
      </c>
      <c r="T1391" s="6" t="e">
        <f>INDEX(医院2县区2人!$D$2:$D$1048576,MATCH(L1391,医院2县区2人!$A$2:$A$1048576,0))</f>
        <v>#N/A</v>
      </c>
      <c r="W1391" s="6" t="str">
        <f t="shared" si="45"/>
        <v>葡萄糖酸钙口服溶液10ml*12支</v>
      </c>
      <c r="X1391" s="6" t="s">
        <v>2893</v>
      </c>
    </row>
    <row r="1392" spans="1:24" x14ac:dyDescent="0.15">
      <c r="A1392" s="7" t="str">
        <f t="shared" si="46"/>
        <v>201806</v>
      </c>
      <c r="C1392" s="6" t="str">
        <f>INDEX(工厂基础数据!$A$2:$A$1024,MATCH(X1392,工厂基础数据!$D$2:$D$1024,0))</f>
        <v>02032120</v>
      </c>
      <c r="E1392" s="6" t="str">
        <f>INDEX(工厂基础数据!$B$2:$B$1024,MATCH(X1392,工厂基础数据!$D$2:$D$1024,0))</f>
        <v>淄博博仁医药有限公司</v>
      </c>
      <c r="F1392" s="6" t="e">
        <f>INDEX(商业2转码!$B$2:$B$10000,MATCH(E1392,商业2转码!$A$2:$A$10000,0))</f>
        <v>#N/A</v>
      </c>
      <c r="G1392" s="6">
        <f>INDEX(品种2编码!$A$2:$A$1048576,MATCH(W1392,品种2编码!$D$2:$D$1048576,0))</f>
        <v>0</v>
      </c>
      <c r="H1392" s="6" t="s">
        <v>1885</v>
      </c>
      <c r="I1392" s="6" t="s">
        <v>1838</v>
      </c>
      <c r="J1392" s="6" t="s">
        <v>3279</v>
      </c>
      <c r="L1392" s="6" t="s">
        <v>3122</v>
      </c>
      <c r="M1392" s="6" t="e">
        <f>INDEX(医院2县区2人!$B$2:$B$1048576,MATCH(L1392,医院2县区2人!$A$2:$A$1048576,0))</f>
        <v>#N/A</v>
      </c>
      <c r="N1392" s="6" t="e">
        <f>INDEX(医院2县区2人!$C$2:$C$1048576,MATCH(L1392,医院2县区2人!$A$2:$A$1048576,0))</f>
        <v>#N/A</v>
      </c>
      <c r="P1392" s="7">
        <v>43281</v>
      </c>
      <c r="Q1392" s="6">
        <v>5</v>
      </c>
      <c r="R1392" s="6">
        <v>120</v>
      </c>
      <c r="S1392" s="6">
        <v>171124</v>
      </c>
      <c r="T1392" s="6" t="e">
        <f>INDEX(医院2县区2人!$D$2:$D$1048576,MATCH(L1392,医院2县区2人!$A$2:$A$1048576,0))</f>
        <v>#N/A</v>
      </c>
      <c r="W1392" s="6" t="str">
        <f t="shared" si="45"/>
        <v>新盖中盖高钙片2.5g*36片</v>
      </c>
      <c r="X1392" s="6" t="s">
        <v>2893</v>
      </c>
    </row>
    <row r="1393" spans="1:24" x14ac:dyDescent="0.15">
      <c r="A1393" s="7" t="str">
        <f t="shared" si="46"/>
        <v>201806</v>
      </c>
      <c r="C1393" s="6" t="str">
        <f>INDEX(工厂基础数据!$A$2:$A$1024,MATCH(X1393,工厂基础数据!$D$2:$D$1024,0))</f>
        <v>02032120</v>
      </c>
      <c r="E1393" s="6" t="str">
        <f>INDEX(工厂基础数据!$B$2:$B$1024,MATCH(X1393,工厂基础数据!$D$2:$D$1024,0))</f>
        <v>淄博博仁医药有限公司</v>
      </c>
      <c r="F1393" s="6" t="e">
        <f>INDEX(商业2转码!$B$2:$B$10000,MATCH(E1393,商业2转码!$A$2:$A$10000,0))</f>
        <v>#N/A</v>
      </c>
      <c r="G1393" s="6">
        <f>INDEX(品种2编码!$A$2:$A$1048576,MATCH(W1393,品种2编码!$D$2:$D$1048576,0))</f>
        <v>0</v>
      </c>
      <c r="H1393" s="6" t="s">
        <v>1885</v>
      </c>
      <c r="I1393" s="6" t="s">
        <v>1838</v>
      </c>
      <c r="J1393" s="6" t="s">
        <v>3279</v>
      </c>
      <c r="L1393" s="6" t="s">
        <v>3148</v>
      </c>
      <c r="M1393" s="6" t="e">
        <f>INDEX(医院2县区2人!$B$2:$B$1048576,MATCH(L1393,医院2县区2人!$A$2:$A$1048576,0))</f>
        <v>#N/A</v>
      </c>
      <c r="N1393" s="6" t="e">
        <f>INDEX(医院2县区2人!$C$2:$C$1048576,MATCH(L1393,医院2县区2人!$A$2:$A$1048576,0))</f>
        <v>#N/A</v>
      </c>
      <c r="P1393" s="7">
        <v>43281</v>
      </c>
      <c r="Q1393" s="6">
        <v>5</v>
      </c>
      <c r="R1393" s="6">
        <v>120</v>
      </c>
      <c r="S1393" s="6">
        <v>171124</v>
      </c>
      <c r="T1393" s="6" t="e">
        <f>INDEX(医院2县区2人!$D$2:$D$1048576,MATCH(L1393,医院2县区2人!$A$2:$A$1048576,0))</f>
        <v>#N/A</v>
      </c>
      <c r="W1393" s="6" t="str">
        <f t="shared" si="45"/>
        <v>新盖中盖高钙片2.5g*36片</v>
      </c>
      <c r="X1393" s="6" t="s">
        <v>2893</v>
      </c>
    </row>
    <row r="1394" spans="1:24" x14ac:dyDescent="0.15">
      <c r="A1394" s="7" t="str">
        <f t="shared" si="46"/>
        <v>201806</v>
      </c>
      <c r="C1394" s="6" t="str">
        <f>INDEX(工厂基础数据!$A$2:$A$1024,MATCH(X1394,工厂基础数据!$D$2:$D$1024,0))</f>
        <v>02032120</v>
      </c>
      <c r="E1394" s="6" t="str">
        <f>INDEX(工厂基础数据!$B$2:$B$1024,MATCH(X1394,工厂基础数据!$D$2:$D$1024,0))</f>
        <v>淄博博仁医药有限公司</v>
      </c>
      <c r="F1394" s="6" t="e">
        <f>INDEX(商业2转码!$B$2:$B$10000,MATCH(E1394,商业2转码!$A$2:$A$10000,0))</f>
        <v>#N/A</v>
      </c>
      <c r="G1394" s="6" t="str">
        <f>INDEX(品种2编码!$A$2:$A$1048576,MATCH(W1394,品种2编码!$D$2:$D$1048576,0))</f>
        <v>0020030001SJZY0006</v>
      </c>
      <c r="H1394" s="6" t="s">
        <v>1833</v>
      </c>
      <c r="I1394" s="6" t="s">
        <v>411</v>
      </c>
      <c r="J1394" s="6" t="s">
        <v>3280</v>
      </c>
      <c r="L1394" s="6" t="s">
        <v>3236</v>
      </c>
      <c r="M1394" s="6" t="e">
        <f>INDEX(医院2县区2人!$B$2:$B$1048576,MATCH(L1394,医院2县区2人!$A$2:$A$1048576,0))</f>
        <v>#N/A</v>
      </c>
      <c r="N1394" s="6" t="e">
        <f>INDEX(医院2县区2人!$C$2:$C$1048576,MATCH(L1394,医院2县区2人!$A$2:$A$1048576,0))</f>
        <v>#N/A</v>
      </c>
      <c r="P1394" s="7">
        <v>43281</v>
      </c>
      <c r="Q1394" s="6">
        <v>5</v>
      </c>
      <c r="R1394" s="6">
        <v>110</v>
      </c>
      <c r="S1394" s="6">
        <v>18030523</v>
      </c>
      <c r="T1394" s="6" t="e">
        <f>INDEX(医院2县区2人!$D$2:$D$1048576,MATCH(L1394,医院2县区2人!$A$2:$A$1048576,0))</f>
        <v>#N/A</v>
      </c>
      <c r="W1394" s="6" t="str">
        <f t="shared" si="45"/>
        <v>葡萄糖酸钙口服溶液10ml*12支</v>
      </c>
      <c r="X1394" s="6" t="s">
        <v>2893</v>
      </c>
    </row>
    <row r="1395" spans="1:24" x14ac:dyDescent="0.15">
      <c r="A1395" s="7" t="str">
        <f t="shared" si="46"/>
        <v>201806</v>
      </c>
      <c r="C1395" s="6" t="str">
        <f>INDEX(工厂基础数据!$A$2:$A$1024,MATCH(X1395,工厂基础数据!$D$2:$D$1024,0))</f>
        <v>02032120</v>
      </c>
      <c r="E1395" s="6" t="str">
        <f>INDEX(工厂基础数据!$B$2:$B$1024,MATCH(X1395,工厂基础数据!$D$2:$D$1024,0))</f>
        <v>淄博博仁医药有限公司</v>
      </c>
      <c r="F1395" s="6" t="e">
        <f>INDEX(商业2转码!$B$2:$B$10000,MATCH(E1395,商业2转码!$A$2:$A$10000,0))</f>
        <v>#N/A</v>
      </c>
      <c r="G1395" s="6">
        <f>INDEX(品种2编码!$A$2:$A$1048576,MATCH(W1395,品种2编码!$D$2:$D$1048576,0))</f>
        <v>0</v>
      </c>
      <c r="H1395" s="6" t="s">
        <v>3268</v>
      </c>
      <c r="I1395" s="6" t="s">
        <v>411</v>
      </c>
      <c r="J1395" s="6" t="s">
        <v>3040</v>
      </c>
      <c r="L1395" s="6" t="s">
        <v>3228</v>
      </c>
      <c r="M1395" s="6" t="e">
        <f>INDEX(医院2县区2人!$B$2:$B$1048576,MATCH(L1395,医院2县区2人!$A$2:$A$1048576,0))</f>
        <v>#N/A</v>
      </c>
      <c r="N1395" s="6" t="e">
        <f>INDEX(医院2县区2人!$C$2:$C$1048576,MATCH(L1395,医院2县区2人!$A$2:$A$1048576,0))</f>
        <v>#N/A</v>
      </c>
      <c r="P1395" s="7">
        <v>43281</v>
      </c>
      <c r="Q1395" s="6">
        <v>5</v>
      </c>
      <c r="R1395" s="6">
        <v>115</v>
      </c>
      <c r="S1395" s="6">
        <v>18031227</v>
      </c>
      <c r="T1395" s="6" t="e">
        <f>INDEX(医院2县区2人!$D$2:$D$1048576,MATCH(L1395,医院2县区2人!$A$2:$A$1048576,0))</f>
        <v>#N/A</v>
      </c>
      <c r="W1395" s="6" t="str">
        <f t="shared" si="45"/>
        <v>葡糖糖酸锌口服溶液10ml*12支</v>
      </c>
      <c r="X1395" s="6" t="s">
        <v>2893</v>
      </c>
    </row>
    <row r="1396" spans="1:24" x14ac:dyDescent="0.15">
      <c r="A1396" s="7" t="str">
        <f t="shared" si="46"/>
        <v>201806</v>
      </c>
      <c r="C1396" s="6" t="str">
        <f>INDEX(工厂基础数据!$A$2:$A$1024,MATCH(X1396,工厂基础数据!$D$2:$D$1024,0))</f>
        <v>02032120</v>
      </c>
      <c r="E1396" s="6" t="str">
        <f>INDEX(工厂基础数据!$B$2:$B$1024,MATCH(X1396,工厂基础数据!$D$2:$D$1024,0))</f>
        <v>淄博博仁医药有限公司</v>
      </c>
      <c r="F1396" s="6" t="e">
        <f>INDEX(商业2转码!$B$2:$B$10000,MATCH(E1396,商业2转码!$A$2:$A$10000,0))</f>
        <v>#N/A</v>
      </c>
      <c r="G1396" s="6">
        <f>INDEX(品种2编码!$A$2:$A$1048576,MATCH(W1396,品种2编码!$D$2:$D$1048576,0))</f>
        <v>0</v>
      </c>
      <c r="H1396" s="6" t="s">
        <v>3268</v>
      </c>
      <c r="I1396" s="6" t="s">
        <v>411</v>
      </c>
      <c r="J1396" s="6" t="s">
        <v>3040</v>
      </c>
      <c r="L1396" s="6" t="s">
        <v>3236</v>
      </c>
      <c r="M1396" s="6" t="e">
        <f>INDEX(医院2县区2人!$B$2:$B$1048576,MATCH(L1396,医院2县区2人!$A$2:$A$1048576,0))</f>
        <v>#N/A</v>
      </c>
      <c r="N1396" s="6" t="e">
        <f>INDEX(医院2县区2人!$C$2:$C$1048576,MATCH(L1396,医院2县区2人!$A$2:$A$1048576,0))</f>
        <v>#N/A</v>
      </c>
      <c r="P1396" s="7">
        <v>43281</v>
      </c>
      <c r="Q1396" s="6">
        <v>5</v>
      </c>
      <c r="R1396" s="6">
        <v>115</v>
      </c>
      <c r="S1396" s="6">
        <v>18031227</v>
      </c>
      <c r="T1396" s="6" t="e">
        <f>INDEX(医院2县区2人!$D$2:$D$1048576,MATCH(L1396,医院2县区2人!$A$2:$A$1048576,0))</f>
        <v>#N/A</v>
      </c>
      <c r="W1396" s="6" t="str">
        <f t="shared" si="45"/>
        <v>葡糖糖酸锌口服溶液10ml*12支</v>
      </c>
      <c r="X1396" s="6" t="s">
        <v>2893</v>
      </c>
    </row>
    <row r="1397" spans="1:24" x14ac:dyDescent="0.15">
      <c r="A1397" s="7" t="str">
        <f t="shared" si="46"/>
        <v>201806</v>
      </c>
      <c r="C1397" s="6" t="str">
        <f>INDEX(工厂基础数据!$A$2:$A$1024,MATCH(X1397,工厂基础数据!$D$2:$D$1024,0))</f>
        <v>02032120</v>
      </c>
      <c r="E1397" s="6" t="str">
        <f>INDEX(工厂基础数据!$B$2:$B$1024,MATCH(X1397,工厂基础数据!$D$2:$D$1024,0))</f>
        <v>淄博博仁医药有限公司</v>
      </c>
      <c r="F1397" s="6" t="e">
        <f>INDEX(商业2转码!$B$2:$B$10000,MATCH(E1397,商业2转码!$A$2:$A$10000,0))</f>
        <v>#N/A</v>
      </c>
      <c r="G1397" s="6">
        <f>INDEX(品种2编码!$A$2:$A$1048576,MATCH(W1397,品种2编码!$D$2:$D$1048576,0))</f>
        <v>0</v>
      </c>
      <c r="H1397" s="6" t="s">
        <v>3268</v>
      </c>
      <c r="I1397" s="6" t="s">
        <v>411</v>
      </c>
      <c r="J1397" s="6" t="s">
        <v>3040</v>
      </c>
      <c r="L1397" s="6" t="s">
        <v>3134</v>
      </c>
      <c r="M1397" s="6" t="e">
        <f>INDEX(医院2县区2人!$B$2:$B$1048576,MATCH(L1397,医院2县区2人!$A$2:$A$1048576,0))</f>
        <v>#N/A</v>
      </c>
      <c r="N1397" s="6" t="e">
        <f>INDEX(医院2县区2人!$C$2:$C$1048576,MATCH(L1397,医院2县区2人!$A$2:$A$1048576,0))</f>
        <v>#N/A</v>
      </c>
      <c r="P1397" s="7">
        <v>43281</v>
      </c>
      <c r="Q1397" s="6">
        <v>5</v>
      </c>
      <c r="R1397" s="6">
        <v>115</v>
      </c>
      <c r="S1397" s="6">
        <v>18031227</v>
      </c>
      <c r="T1397" s="6" t="e">
        <f>INDEX(医院2县区2人!$D$2:$D$1048576,MATCH(L1397,医院2县区2人!$A$2:$A$1048576,0))</f>
        <v>#N/A</v>
      </c>
      <c r="W1397" s="6" t="str">
        <f t="shared" si="45"/>
        <v>葡糖糖酸锌口服溶液10ml*12支</v>
      </c>
      <c r="X1397" s="6" t="s">
        <v>2893</v>
      </c>
    </row>
    <row r="1398" spans="1:24" x14ac:dyDescent="0.15">
      <c r="A1398" s="7" t="str">
        <f t="shared" si="46"/>
        <v>201806</v>
      </c>
      <c r="C1398" s="6" t="str">
        <f>INDEX(工厂基础数据!$A$2:$A$1024,MATCH(X1398,工厂基础数据!$D$2:$D$1024,0))</f>
        <v>02032120</v>
      </c>
      <c r="E1398" s="6" t="str">
        <f>INDEX(工厂基础数据!$B$2:$B$1024,MATCH(X1398,工厂基础数据!$D$2:$D$1024,0))</f>
        <v>淄博博仁医药有限公司</v>
      </c>
      <c r="F1398" s="6" t="e">
        <f>INDEX(商业2转码!$B$2:$B$10000,MATCH(E1398,商业2转码!$A$2:$A$10000,0))</f>
        <v>#N/A</v>
      </c>
      <c r="G1398" s="6" t="str">
        <f>INDEX(品种2编码!$A$2:$A$1048576,MATCH(W1398,品种2编码!$D$2:$D$1048576,0))</f>
        <v>0020020021ZYLC0015</v>
      </c>
      <c r="H1398" s="6" t="s">
        <v>469</v>
      </c>
      <c r="I1398" s="6" t="s">
        <v>1958</v>
      </c>
      <c r="J1398" s="6" t="s">
        <v>3279</v>
      </c>
      <c r="L1398" s="6" t="s">
        <v>3120</v>
      </c>
      <c r="M1398" s="6" t="e">
        <f>INDEX(医院2县区2人!$B$2:$B$1048576,MATCH(L1398,医院2县区2人!$A$2:$A$1048576,0))</f>
        <v>#N/A</v>
      </c>
      <c r="N1398" s="6" t="e">
        <f>INDEX(医院2县区2人!$C$2:$C$1048576,MATCH(L1398,医院2县区2人!$A$2:$A$1048576,0))</f>
        <v>#N/A</v>
      </c>
      <c r="P1398" s="7">
        <v>43281</v>
      </c>
      <c r="Q1398" s="6">
        <v>5</v>
      </c>
      <c r="R1398" s="6">
        <v>28</v>
      </c>
      <c r="S1398" s="6">
        <v>170601</v>
      </c>
      <c r="T1398" s="6" t="e">
        <f>INDEX(医院2县区2人!$D$2:$D$1048576,MATCH(L1398,医院2县区2人!$A$2:$A$1048576,0))</f>
        <v>#N/A</v>
      </c>
      <c r="W1398" s="6" t="str">
        <f t="shared" si="45"/>
        <v>克拉霉素分散片0.125g*24片</v>
      </c>
      <c r="X1398" s="6" t="s">
        <v>2893</v>
      </c>
    </row>
    <row r="1399" spans="1:24" x14ac:dyDescent="0.15">
      <c r="A1399" s="7" t="str">
        <f t="shared" si="46"/>
        <v>201806</v>
      </c>
      <c r="C1399" s="6" t="str">
        <f>INDEX(工厂基础数据!$A$2:$A$1024,MATCH(X1399,工厂基础数据!$D$2:$D$1024,0))</f>
        <v>02032120</v>
      </c>
      <c r="E1399" s="6" t="str">
        <f>INDEX(工厂基础数据!$B$2:$B$1024,MATCH(X1399,工厂基础数据!$D$2:$D$1024,0))</f>
        <v>淄博博仁医药有限公司</v>
      </c>
      <c r="F1399" s="6" t="e">
        <f>INDEX(商业2转码!$B$2:$B$10000,MATCH(E1399,商业2转码!$A$2:$A$10000,0))</f>
        <v>#N/A</v>
      </c>
      <c r="G1399" s="6">
        <f>INDEX(品种2编码!$A$2:$A$1048576,MATCH(W1399,品种2编码!$D$2:$D$1048576,0))</f>
        <v>0</v>
      </c>
      <c r="H1399" s="6" t="s">
        <v>1857</v>
      </c>
      <c r="I1399" s="6" t="s">
        <v>3288</v>
      </c>
      <c r="J1399" s="6" t="s">
        <v>3281</v>
      </c>
      <c r="L1399" s="6" t="s">
        <v>3264</v>
      </c>
      <c r="M1399" s="6" t="e">
        <f>INDEX(医院2县区2人!$B$2:$B$1048576,MATCH(L1399,医院2县区2人!$A$2:$A$1048576,0))</f>
        <v>#N/A</v>
      </c>
      <c r="N1399" s="6" t="e">
        <f>INDEX(医院2县区2人!$C$2:$C$1048576,MATCH(L1399,医院2县区2人!$A$2:$A$1048576,0))</f>
        <v>#N/A</v>
      </c>
      <c r="P1399" s="7">
        <v>43281</v>
      </c>
      <c r="Q1399" s="6">
        <v>5</v>
      </c>
      <c r="R1399" s="6">
        <v>70</v>
      </c>
      <c r="S1399" s="6">
        <v>1801404</v>
      </c>
      <c r="T1399" s="6" t="e">
        <f>INDEX(医院2县区2人!$D$2:$D$1048576,MATCH(L1399,医院2县区2人!$A$2:$A$1048576,0))</f>
        <v>#N/A</v>
      </c>
      <c r="W1399" s="6" t="str">
        <f t="shared" si="45"/>
        <v>妇宁栓7粒</v>
      </c>
      <c r="X1399" s="6" t="s">
        <v>2893</v>
      </c>
    </row>
    <row r="1400" spans="1:24" x14ac:dyDescent="0.15">
      <c r="A1400" s="7" t="str">
        <f t="shared" si="46"/>
        <v>201806</v>
      </c>
      <c r="C1400" s="6" t="str">
        <f>INDEX(工厂基础数据!$A$2:$A$1024,MATCH(X1400,工厂基础数据!$D$2:$D$1024,0))</f>
        <v>02032120</v>
      </c>
      <c r="E1400" s="6" t="str">
        <f>INDEX(工厂基础数据!$B$2:$B$1024,MATCH(X1400,工厂基础数据!$D$2:$D$1024,0))</f>
        <v>淄博博仁医药有限公司</v>
      </c>
      <c r="F1400" s="6" t="e">
        <f>INDEX(商业2转码!$B$2:$B$10000,MATCH(E1400,商业2转码!$A$2:$A$10000,0))</f>
        <v>#N/A</v>
      </c>
      <c r="G1400" s="6">
        <f>INDEX(品种2编码!$A$2:$A$1048576,MATCH(W1400,品种2编码!$D$2:$D$1048576,0))</f>
        <v>0</v>
      </c>
      <c r="H1400" s="6" t="s">
        <v>317</v>
      </c>
      <c r="I1400" s="6" t="s">
        <v>3291</v>
      </c>
      <c r="J1400" s="6" t="s">
        <v>3279</v>
      </c>
      <c r="L1400" s="6" t="s">
        <v>3120</v>
      </c>
      <c r="M1400" s="6" t="e">
        <f>INDEX(医院2县区2人!$B$2:$B$1048576,MATCH(L1400,医院2县区2人!$A$2:$A$1048576,0))</f>
        <v>#N/A</v>
      </c>
      <c r="N1400" s="6" t="e">
        <f>INDEX(医院2县区2人!$C$2:$C$1048576,MATCH(L1400,医院2县区2人!$A$2:$A$1048576,0))</f>
        <v>#N/A</v>
      </c>
      <c r="P1400" s="7">
        <v>43281</v>
      </c>
      <c r="Q1400" s="6">
        <v>5</v>
      </c>
      <c r="R1400" s="6">
        <v>51.5</v>
      </c>
      <c r="S1400" s="6">
        <v>1803608</v>
      </c>
      <c r="T1400" s="6" t="e">
        <f>INDEX(医院2县区2人!$D$2:$D$1048576,MATCH(L1400,医院2县区2人!$A$2:$A$1048576,0))</f>
        <v>#N/A</v>
      </c>
      <c r="W1400" s="6" t="str">
        <f t="shared" si="45"/>
        <v>布洛芬颗粒0.2g*12包</v>
      </c>
      <c r="X1400" s="6" t="s">
        <v>2893</v>
      </c>
    </row>
    <row r="1401" spans="1:24" x14ac:dyDescent="0.15">
      <c r="A1401" s="7" t="str">
        <f t="shared" si="46"/>
        <v>201806</v>
      </c>
      <c r="C1401" s="6" t="str">
        <f>INDEX(工厂基础数据!$A$2:$A$1024,MATCH(X1401,工厂基础数据!$D$2:$D$1024,0))</f>
        <v>02032120</v>
      </c>
      <c r="E1401" s="6" t="str">
        <f>INDEX(工厂基础数据!$B$2:$B$1024,MATCH(X1401,工厂基础数据!$D$2:$D$1024,0))</f>
        <v>淄博博仁医药有限公司</v>
      </c>
      <c r="F1401" s="6" t="e">
        <f>INDEX(商业2转码!$B$2:$B$10000,MATCH(E1401,商业2转码!$A$2:$A$10000,0))</f>
        <v>#N/A</v>
      </c>
      <c r="G1401" s="6" t="str">
        <f>INDEX(品种2编码!$A$2:$A$1048576,MATCH(W1401,品种2编码!$D$2:$D$1048576,0))</f>
        <v>0020020030SJMS0025</v>
      </c>
      <c r="H1401" s="6" t="s">
        <v>586</v>
      </c>
      <c r="I1401" s="6" t="s">
        <v>1937</v>
      </c>
      <c r="J1401" s="6" t="s">
        <v>3282</v>
      </c>
      <c r="L1401" s="6" t="s">
        <v>3212</v>
      </c>
      <c r="M1401" s="6" t="e">
        <f>INDEX(医院2县区2人!$B$2:$B$1048576,MATCH(L1401,医院2县区2人!$A$2:$A$1048576,0))</f>
        <v>#N/A</v>
      </c>
      <c r="N1401" s="6" t="e">
        <f>INDEX(医院2县区2人!$C$2:$C$1048576,MATCH(L1401,医院2县区2人!$A$2:$A$1048576,0))</f>
        <v>#N/A</v>
      </c>
      <c r="P1401" s="7">
        <v>43281</v>
      </c>
      <c r="Q1401" s="6">
        <v>10</v>
      </c>
      <c r="R1401" s="6">
        <v>55</v>
      </c>
      <c r="S1401" s="6">
        <v>1709011</v>
      </c>
      <c r="T1401" s="6" t="e">
        <f>INDEX(医院2县区2人!$D$2:$D$1048576,MATCH(L1401,医院2县区2人!$A$2:$A$1048576,0))</f>
        <v>#N/A</v>
      </c>
      <c r="W1401" s="6" t="str">
        <f t="shared" si="45"/>
        <v>人工牛黄甲硝唑胶囊30粒</v>
      </c>
      <c r="X1401" s="6" t="s">
        <v>2893</v>
      </c>
    </row>
    <row r="1402" spans="1:24" x14ac:dyDescent="0.15">
      <c r="A1402" s="7" t="str">
        <f t="shared" si="46"/>
        <v>201806</v>
      </c>
      <c r="C1402" s="6" t="str">
        <f>INDEX(工厂基础数据!$A$2:$A$1024,MATCH(X1402,工厂基础数据!$D$2:$D$1024,0))</f>
        <v>02032120</v>
      </c>
      <c r="E1402" s="6" t="str">
        <f>INDEX(工厂基础数据!$B$2:$B$1024,MATCH(X1402,工厂基础数据!$D$2:$D$1024,0))</f>
        <v>淄博博仁医药有限公司</v>
      </c>
      <c r="F1402" s="6" t="e">
        <f>INDEX(商业2转码!$B$2:$B$10000,MATCH(E1402,商业2转码!$A$2:$A$10000,0))</f>
        <v>#N/A</v>
      </c>
      <c r="G1402" s="6">
        <f>INDEX(品种2编码!$A$2:$A$1048576,MATCH(W1402,品种2编码!$D$2:$D$1048576,0))</f>
        <v>0</v>
      </c>
      <c r="H1402" s="6" t="s">
        <v>1857</v>
      </c>
      <c r="I1402" s="6" t="s">
        <v>3288</v>
      </c>
      <c r="J1402" s="6" t="s">
        <v>3281</v>
      </c>
      <c r="L1402" s="6" t="s">
        <v>3164</v>
      </c>
      <c r="M1402" s="6" t="e">
        <f>INDEX(医院2县区2人!$B$2:$B$1048576,MATCH(L1402,医院2县区2人!$A$2:$A$1048576,0))</f>
        <v>#N/A</v>
      </c>
      <c r="N1402" s="6" t="e">
        <f>INDEX(医院2县区2人!$C$2:$C$1048576,MATCH(L1402,医院2县区2人!$A$2:$A$1048576,0))</f>
        <v>#N/A</v>
      </c>
      <c r="P1402" s="7">
        <v>43281</v>
      </c>
      <c r="Q1402" s="6">
        <v>10</v>
      </c>
      <c r="R1402" s="6">
        <v>0.1</v>
      </c>
      <c r="S1402" s="6">
        <v>1801404</v>
      </c>
      <c r="T1402" s="6" t="e">
        <f>INDEX(医院2县区2人!$D$2:$D$1048576,MATCH(L1402,医院2县区2人!$A$2:$A$1048576,0))</f>
        <v>#N/A</v>
      </c>
      <c r="W1402" s="6" t="str">
        <f t="shared" si="45"/>
        <v>妇宁栓7粒</v>
      </c>
      <c r="X1402" s="6" t="s">
        <v>2893</v>
      </c>
    </row>
    <row r="1403" spans="1:24" x14ac:dyDescent="0.15">
      <c r="A1403" s="7" t="str">
        <f t="shared" si="46"/>
        <v>201806</v>
      </c>
      <c r="C1403" s="6" t="str">
        <f>INDEX(工厂基础数据!$A$2:$A$1024,MATCH(X1403,工厂基础数据!$D$2:$D$1024,0))</f>
        <v>02032120</v>
      </c>
      <c r="E1403" s="6" t="str">
        <f>INDEX(工厂基础数据!$B$2:$B$1024,MATCH(X1403,工厂基础数据!$D$2:$D$1024,0))</f>
        <v>淄博博仁医药有限公司</v>
      </c>
      <c r="F1403" s="6" t="e">
        <f>INDEX(商业2转码!$B$2:$B$10000,MATCH(E1403,商业2转码!$A$2:$A$10000,0))</f>
        <v>#N/A</v>
      </c>
      <c r="G1403" s="6" t="str">
        <f>INDEX(品种2编码!$A$2:$A$1048576,MATCH(W1403,品种2编码!$D$2:$D$1048576,0))</f>
        <v>0020020020ZYLC0003</v>
      </c>
      <c r="H1403" s="6" t="s">
        <v>1855</v>
      </c>
      <c r="I1403" s="6" t="s">
        <v>381</v>
      </c>
      <c r="J1403" s="6" t="s">
        <v>3279</v>
      </c>
      <c r="L1403" s="6" t="s">
        <v>3265</v>
      </c>
      <c r="M1403" s="6" t="e">
        <f>INDEX(医院2县区2人!$B$2:$B$1048576,MATCH(L1403,医院2县区2人!$A$2:$A$1048576,0))</f>
        <v>#N/A</v>
      </c>
      <c r="N1403" s="6" t="e">
        <f>INDEX(医院2县区2人!$C$2:$C$1048576,MATCH(L1403,医院2县区2人!$A$2:$A$1048576,0))</f>
        <v>#N/A</v>
      </c>
      <c r="P1403" s="7">
        <v>43281</v>
      </c>
      <c r="Q1403" s="6">
        <v>10</v>
      </c>
      <c r="R1403" s="6">
        <v>55</v>
      </c>
      <c r="S1403" s="6">
        <v>170706</v>
      </c>
      <c r="T1403" s="6" t="e">
        <f>INDEX(医院2县区2人!$D$2:$D$1048576,MATCH(L1403,医院2县区2人!$A$2:$A$1048576,0))</f>
        <v>#N/A</v>
      </c>
      <c r="W1403" s="6" t="str">
        <f t="shared" si="45"/>
        <v>颠茄磺苄啶片12片</v>
      </c>
      <c r="X1403" s="6" t="s">
        <v>2893</v>
      </c>
    </row>
    <row r="1404" spans="1:24" x14ac:dyDescent="0.15">
      <c r="A1404" s="7" t="str">
        <f t="shared" si="46"/>
        <v>201806</v>
      </c>
      <c r="C1404" s="6" t="str">
        <f>INDEX(工厂基础数据!$A$2:$A$1024,MATCH(X1404,工厂基础数据!$D$2:$D$1024,0))</f>
        <v>02032120</v>
      </c>
      <c r="E1404" s="6" t="str">
        <f>INDEX(工厂基础数据!$B$2:$B$1024,MATCH(X1404,工厂基础数据!$D$2:$D$1024,0))</f>
        <v>淄博博仁医药有限公司</v>
      </c>
      <c r="F1404" s="6" t="e">
        <f>INDEX(商业2转码!$B$2:$B$10000,MATCH(E1404,商业2转码!$A$2:$A$10000,0))</f>
        <v>#N/A</v>
      </c>
      <c r="G1404" s="6" t="str">
        <f>INDEX(品种2编码!$A$2:$A$1048576,MATCH(W1404,品种2编码!$D$2:$D$1048576,0))</f>
        <v>0020020021ZYZC0341</v>
      </c>
      <c r="H1404" s="6" t="s">
        <v>1936</v>
      </c>
      <c r="I1404" s="6" t="s">
        <v>279</v>
      </c>
      <c r="J1404" s="6" t="s">
        <v>3279</v>
      </c>
      <c r="L1404" s="6" t="s">
        <v>3132</v>
      </c>
      <c r="M1404" s="6" t="e">
        <f>INDEX(医院2县区2人!$B$2:$B$1048576,MATCH(L1404,医院2县区2人!$A$2:$A$1048576,0))</f>
        <v>#N/A</v>
      </c>
      <c r="N1404" s="6" t="e">
        <f>INDEX(医院2县区2人!$C$2:$C$1048576,MATCH(L1404,医院2县区2人!$A$2:$A$1048576,0))</f>
        <v>#N/A</v>
      </c>
      <c r="P1404" s="7">
        <v>43281</v>
      </c>
      <c r="Q1404" s="6">
        <v>10</v>
      </c>
      <c r="R1404" s="6">
        <v>68</v>
      </c>
      <c r="S1404" s="6" t="s">
        <v>3275</v>
      </c>
      <c r="T1404" s="6" t="e">
        <f>INDEX(医院2县区2人!$D$2:$D$1048576,MATCH(L1404,医院2县区2人!$A$2:$A$1048576,0))</f>
        <v>#N/A</v>
      </c>
      <c r="W1404" s="6" t="str">
        <f t="shared" si="45"/>
        <v>阿莫西林克拉维酸钾分散片0.2285g*12片</v>
      </c>
      <c r="X1404" s="6" t="s">
        <v>2893</v>
      </c>
    </row>
    <row r="1405" spans="1:24" x14ac:dyDescent="0.15">
      <c r="A1405" s="7" t="str">
        <f t="shared" si="46"/>
        <v>201806</v>
      </c>
      <c r="C1405" s="6" t="str">
        <f>INDEX(工厂基础数据!$A$2:$A$1024,MATCH(X1405,工厂基础数据!$D$2:$D$1024,0))</f>
        <v>02032120</v>
      </c>
      <c r="E1405" s="6" t="str">
        <f>INDEX(工厂基础数据!$B$2:$B$1024,MATCH(X1405,工厂基础数据!$D$2:$D$1024,0))</f>
        <v>淄博博仁医药有限公司</v>
      </c>
      <c r="F1405" s="6" t="e">
        <f>INDEX(商业2转码!$B$2:$B$10000,MATCH(E1405,商业2转码!$A$2:$A$10000,0))</f>
        <v>#N/A</v>
      </c>
      <c r="G1405" s="6" t="str">
        <f>INDEX(品种2编码!$A$2:$A$1048576,MATCH(W1405,品种2编码!$D$2:$D$1048576,0))</f>
        <v>0020050020SHYT0016</v>
      </c>
      <c r="H1405" s="6" t="s">
        <v>1864</v>
      </c>
      <c r="I1405" s="6" t="s">
        <v>339</v>
      </c>
      <c r="J1405" s="6" t="s">
        <v>3037</v>
      </c>
      <c r="L1405" s="6" t="s">
        <v>3164</v>
      </c>
      <c r="M1405" s="6" t="e">
        <f>INDEX(医院2县区2人!$B$2:$B$1048576,MATCH(L1405,医院2县区2人!$A$2:$A$1048576,0))</f>
        <v>#N/A</v>
      </c>
      <c r="N1405" s="6" t="e">
        <f>INDEX(医院2县区2人!$C$2:$C$1048576,MATCH(L1405,医院2县区2人!$A$2:$A$1048576,0))</f>
        <v>#N/A</v>
      </c>
      <c r="P1405" s="7">
        <v>43281</v>
      </c>
      <c r="Q1405" s="6">
        <v>20</v>
      </c>
      <c r="R1405" s="6">
        <v>0.2</v>
      </c>
      <c r="S1405" s="6">
        <v>1801504</v>
      </c>
      <c r="T1405" s="6" t="e">
        <f>INDEX(医院2县区2人!$D$2:$D$1048576,MATCH(L1405,医院2县区2人!$A$2:$A$1048576,0))</f>
        <v>#N/A</v>
      </c>
      <c r="W1405" s="6" t="str">
        <f t="shared" si="45"/>
        <v>复方金银花颗粒10g*10袋</v>
      </c>
      <c r="X1405" s="6" t="s">
        <v>2893</v>
      </c>
    </row>
    <row r="1406" spans="1:24" x14ac:dyDescent="0.15">
      <c r="A1406" s="7" t="str">
        <f t="shared" si="46"/>
        <v>201806</v>
      </c>
      <c r="C1406" s="6" t="str">
        <f>INDEX(工厂基础数据!$A$2:$A$1024,MATCH(X1406,工厂基础数据!$D$2:$D$1024,0))</f>
        <v>02010474</v>
      </c>
      <c r="E1406" s="6" t="str">
        <f>INDEX(工厂基础数据!$B$2:$B$1024,MATCH(X1406,工厂基础数据!$D$2:$D$1024,0))</f>
        <v>国药控股菏泽有限公司</v>
      </c>
      <c r="F1406" s="6" t="e">
        <f>INDEX(商业2转码!$B$2:$B$10000,MATCH(E1406,商业2转码!$A$2:$A$10000,0))</f>
        <v>#N/A</v>
      </c>
      <c r="G1406" s="6">
        <f>INDEX(品种2编码!$A$2:$A$1048576,MATCH(W1406,品种2编码!$D$2:$D$1048576,0))</f>
        <v>0</v>
      </c>
      <c r="H1406" s="6" t="s">
        <v>3300</v>
      </c>
      <c r="I1406" s="6" t="s">
        <v>3301</v>
      </c>
      <c r="J1406" s="6" t="s">
        <v>3041</v>
      </c>
      <c r="L1406" s="6" t="s">
        <v>3299</v>
      </c>
      <c r="M1406" s="6" t="e">
        <f>INDEX(医院2县区2人!$B$2:$B$1048576,MATCH(L1406,医院2县区2人!$A$2:$A$1048576,0))</f>
        <v>#N/A</v>
      </c>
      <c r="N1406" s="6" t="e">
        <f>INDEX(医院2县区2人!$C$2:$C$1048576,MATCH(L1406,医院2县区2人!$A$2:$A$1048576,0))</f>
        <v>#N/A</v>
      </c>
      <c r="P1406" s="7">
        <v>43264</v>
      </c>
      <c r="Q1406" s="6">
        <v>1200</v>
      </c>
      <c r="R1406" s="6">
        <v>20.64</v>
      </c>
      <c r="S1406" s="6">
        <v>1807706</v>
      </c>
      <c r="T1406" s="6" t="e">
        <f>INDEX(医院2县区2人!$D$2:$D$1048576,MATCH(L1406,医院2县区2人!$A$2:$A$1048576,0))</f>
        <v>#N/A</v>
      </c>
      <c r="W1406" s="6" t="str">
        <f t="shared" si="45"/>
        <v>注射用丹参（冻干）400mg</v>
      </c>
      <c r="X1406" s="6" t="s">
        <v>2900</v>
      </c>
    </row>
    <row r="1407" spans="1:24" x14ac:dyDescent="0.15">
      <c r="A1407" s="7" t="str">
        <f t="shared" si="46"/>
        <v>201806</v>
      </c>
      <c r="C1407" s="6" t="str">
        <f>INDEX(工厂基础数据!$A$2:$A$1024,MATCH(X1407,工厂基础数据!$D$2:$D$1024,0))</f>
        <v>02010474</v>
      </c>
      <c r="E1407" s="6" t="str">
        <f>INDEX(工厂基础数据!$B$2:$B$1024,MATCH(X1407,工厂基础数据!$D$2:$D$1024,0))</f>
        <v>国药控股菏泽有限公司</v>
      </c>
      <c r="F1407" s="6" t="e">
        <f>INDEX(商业2转码!$B$2:$B$10000,MATCH(E1407,商业2转码!$A$2:$A$10000,0))</f>
        <v>#N/A</v>
      </c>
      <c r="G1407" s="6">
        <f>INDEX(品种2编码!$A$2:$A$1048576,MATCH(W1407,品种2编码!$D$2:$D$1048576,0))</f>
        <v>0</v>
      </c>
      <c r="H1407" s="6" t="s">
        <v>3300</v>
      </c>
      <c r="I1407" s="6" t="s">
        <v>3301</v>
      </c>
      <c r="J1407" s="6" t="s">
        <v>3041</v>
      </c>
      <c r="L1407" s="6" t="s">
        <v>3299</v>
      </c>
      <c r="M1407" s="6" t="e">
        <f>INDEX(医院2县区2人!$B$2:$B$1048576,MATCH(L1407,医院2县区2人!$A$2:$A$1048576,0))</f>
        <v>#N/A</v>
      </c>
      <c r="N1407" s="6" t="e">
        <f>INDEX(医院2县区2人!$C$2:$C$1048576,MATCH(L1407,医院2县区2人!$A$2:$A$1048576,0))</f>
        <v>#N/A</v>
      </c>
      <c r="P1407" s="7">
        <v>43276</v>
      </c>
      <c r="Q1407" s="6">
        <v>1200</v>
      </c>
      <c r="R1407" s="6">
        <v>20.64</v>
      </c>
      <c r="S1407" s="6">
        <v>1801733</v>
      </c>
      <c r="T1407" s="6" t="e">
        <f>INDEX(医院2县区2人!$D$2:$D$1048576,MATCH(L1407,医院2县区2人!$A$2:$A$1048576,0))</f>
        <v>#N/A</v>
      </c>
      <c r="W1407" s="6" t="str">
        <f t="shared" si="45"/>
        <v>注射用丹参（冻干）400mg</v>
      </c>
      <c r="X1407" s="6" t="s">
        <v>2900</v>
      </c>
    </row>
    <row r="1408" spans="1:24" x14ac:dyDescent="0.15">
      <c r="A1408" s="7" t="str">
        <f t="shared" si="46"/>
        <v>201806</v>
      </c>
      <c r="C1408" s="6" t="str">
        <f>INDEX(工厂基础数据!$A$2:$A$1024,MATCH(X1408,工厂基础数据!$D$2:$D$1024,0))</f>
        <v>02001551</v>
      </c>
      <c r="E1408" s="6" t="str">
        <f>INDEX(工厂基础数据!$B$2:$B$1024,MATCH(X1408,工厂基础数据!$D$2:$D$1024,0))</f>
        <v>山东天士力医药有限公司</v>
      </c>
      <c r="F1408" s="6" t="e">
        <f>INDEX(商业2转码!$B$2:$B$10000,MATCH(E1408,商业2转码!$A$2:$A$10000,0))</f>
        <v>#N/A</v>
      </c>
      <c r="G1408" s="6" t="str">
        <f>INDEX(品种2编码!$A$2:$A$1048576,MATCH(W1408,品种2编码!$D$2:$D$1048576,0))</f>
        <v>0020030020SJSC0025</v>
      </c>
      <c r="H1408" s="6" t="s">
        <v>380</v>
      </c>
      <c r="I1408" s="6" t="s">
        <v>381</v>
      </c>
      <c r="J1408" s="6" t="s">
        <v>3334</v>
      </c>
      <c r="L1408" s="6" t="s">
        <v>3101</v>
      </c>
      <c r="M1408" s="6" t="e">
        <f>INDEX(医院2县区2人!$B$2:$B$1048576,MATCH(L1408,医院2县区2人!$A$2:$A$1048576,0))</f>
        <v>#N/A</v>
      </c>
      <c r="N1408" s="6" t="e">
        <f>INDEX(医院2县区2人!$C$2:$C$1048576,MATCH(L1408,医院2县区2人!$A$2:$A$1048576,0))</f>
        <v>#N/A</v>
      </c>
      <c r="P1408" s="7">
        <v>43273</v>
      </c>
      <c r="Q1408" s="6">
        <v>10</v>
      </c>
      <c r="R1408" s="6">
        <v>6</v>
      </c>
      <c r="S1408" s="6">
        <v>1711002</v>
      </c>
      <c r="T1408" s="6" t="e">
        <f>INDEX(医院2县区2人!$D$2:$D$1048576,MATCH(L1408,医院2县区2人!$A$2:$A$1048576,0))</f>
        <v>#N/A</v>
      </c>
      <c r="W1408" s="6" t="str">
        <f t="shared" si="45"/>
        <v>复方氨酚烷胺片12片</v>
      </c>
      <c r="X1408" s="6" t="s">
        <v>2919</v>
      </c>
    </row>
    <row r="1409" spans="1:24" x14ac:dyDescent="0.15">
      <c r="A1409" s="7" t="str">
        <f t="shared" si="46"/>
        <v>201806</v>
      </c>
      <c r="C1409" s="6" t="str">
        <f>INDEX(工厂基础数据!$A$2:$A$1024,MATCH(X1409,工厂基础数据!$D$2:$D$1024,0))</f>
        <v>02001551</v>
      </c>
      <c r="E1409" s="6" t="str">
        <f>INDEX(工厂基础数据!$B$2:$B$1024,MATCH(X1409,工厂基础数据!$D$2:$D$1024,0))</f>
        <v>山东天士力医药有限公司</v>
      </c>
      <c r="F1409" s="6" t="e">
        <f>INDEX(商业2转码!$B$2:$B$10000,MATCH(E1409,商业2转码!$A$2:$A$10000,0))</f>
        <v>#N/A</v>
      </c>
      <c r="G1409" s="6">
        <f>INDEX(品种2编码!$A$2:$A$1048576,MATCH(W1409,品种2编码!$D$2:$D$1048576,0))</f>
        <v>0</v>
      </c>
      <c r="H1409" s="6" t="s">
        <v>394</v>
      </c>
      <c r="I1409" s="6" t="s">
        <v>3331</v>
      </c>
      <c r="J1409" s="6" t="s">
        <v>3279</v>
      </c>
      <c r="L1409" s="6" t="s">
        <v>3302</v>
      </c>
      <c r="M1409" s="6" t="e">
        <f>INDEX(医院2县区2人!$B$2:$B$1048576,MATCH(L1409,医院2县区2人!$A$2:$A$1048576,0))</f>
        <v>#N/A</v>
      </c>
      <c r="N1409" s="6" t="e">
        <f>INDEX(医院2县区2人!$C$2:$C$1048576,MATCH(L1409,医院2县区2人!$A$2:$A$1048576,0))</f>
        <v>#N/A</v>
      </c>
      <c r="P1409" s="7">
        <v>43276</v>
      </c>
      <c r="Q1409" s="6">
        <v>5</v>
      </c>
      <c r="R1409" s="6">
        <v>12.5</v>
      </c>
      <c r="S1409" s="6">
        <v>1801024</v>
      </c>
      <c r="T1409" s="6" t="e">
        <f>INDEX(医院2县区2人!$D$2:$D$1048576,MATCH(L1409,医院2县区2人!$A$2:$A$1048576,0))</f>
        <v>#N/A</v>
      </c>
      <c r="W1409" s="6" t="str">
        <f t="shared" ref="W1409:W1472" si="47">H1409&amp;I1409</f>
        <v>复方铝酸铋片10片*5板</v>
      </c>
      <c r="X1409" s="6" t="s">
        <v>2919</v>
      </c>
    </row>
    <row r="1410" spans="1:24" x14ac:dyDescent="0.15">
      <c r="A1410" s="7" t="str">
        <f t="shared" ref="A1410:A1473" si="48">IF(MONTH(P1410)&lt;10,YEAR(P1410)&amp;"0"&amp;MONTH(P1410),YEAR(P1410)&amp;MONTH(P1410))</f>
        <v>201806</v>
      </c>
      <c r="C1410" s="6" t="str">
        <f>INDEX(工厂基础数据!$A$2:$A$1024,MATCH(X1410,工厂基础数据!$D$2:$D$1024,0))</f>
        <v>02001551</v>
      </c>
      <c r="E1410" s="6" t="str">
        <f>INDEX(工厂基础数据!$B$2:$B$1024,MATCH(X1410,工厂基础数据!$D$2:$D$1024,0))</f>
        <v>山东天士力医药有限公司</v>
      </c>
      <c r="F1410" s="6" t="e">
        <f>INDEX(商业2转码!$B$2:$B$10000,MATCH(E1410,商业2转码!$A$2:$A$10000,0))</f>
        <v>#N/A</v>
      </c>
      <c r="G1410" s="6">
        <f>INDEX(品种2编码!$A$2:$A$1048576,MATCH(W1410,品种2编码!$D$2:$D$1048576,0))</f>
        <v>0</v>
      </c>
      <c r="H1410" s="6" t="s">
        <v>474</v>
      </c>
      <c r="I1410" s="6" t="s">
        <v>3064</v>
      </c>
      <c r="J1410" s="6" t="s">
        <v>3335</v>
      </c>
      <c r="L1410" s="6" t="s">
        <v>3303</v>
      </c>
      <c r="M1410" s="6" t="e">
        <f>INDEX(医院2县区2人!$B$2:$B$1048576,MATCH(L1410,医院2县区2人!$A$2:$A$1048576,0))</f>
        <v>#N/A</v>
      </c>
      <c r="N1410" s="6" t="e">
        <f>INDEX(医院2县区2人!$C$2:$C$1048576,MATCH(L1410,医院2县区2人!$A$2:$A$1048576,0))</f>
        <v>#N/A</v>
      </c>
      <c r="P1410" s="7">
        <v>43276</v>
      </c>
      <c r="Q1410" s="6">
        <v>30</v>
      </c>
      <c r="R1410" s="6">
        <v>44.5</v>
      </c>
      <c r="S1410" s="6">
        <v>1803029</v>
      </c>
      <c r="T1410" s="6" t="e">
        <f>INDEX(医院2县区2人!$D$2:$D$1048576,MATCH(L1410,医院2县区2人!$A$2:$A$1048576,0))</f>
        <v>#N/A</v>
      </c>
      <c r="W1410" s="6" t="str">
        <f t="shared" si="47"/>
        <v>拉西地平片4mg*30片</v>
      </c>
      <c r="X1410" s="6" t="s">
        <v>2919</v>
      </c>
    </row>
    <row r="1411" spans="1:24" x14ac:dyDescent="0.15">
      <c r="A1411" s="7" t="str">
        <f t="shared" si="48"/>
        <v>201806</v>
      </c>
      <c r="C1411" s="6" t="str">
        <f>INDEX(工厂基础数据!$A$2:$A$1024,MATCH(X1411,工厂基础数据!$D$2:$D$1024,0))</f>
        <v>02001551</v>
      </c>
      <c r="E1411" s="6" t="str">
        <f>INDEX(工厂基础数据!$B$2:$B$1024,MATCH(X1411,工厂基础数据!$D$2:$D$1024,0))</f>
        <v>山东天士力医药有限公司</v>
      </c>
      <c r="F1411" s="6" t="e">
        <f>INDEX(商业2转码!$B$2:$B$10000,MATCH(E1411,商业2转码!$A$2:$A$10000,0))</f>
        <v>#N/A</v>
      </c>
      <c r="G1411" s="6" t="str">
        <f>INDEX(品种2编码!$A$2:$A$1048576,MATCH(W1411,品种2编码!$D$2:$D$1048576,0))</f>
        <v>0020070000ZYLC0001</v>
      </c>
      <c r="H1411" s="6" t="s">
        <v>725</v>
      </c>
      <c r="I1411" s="6" t="s">
        <v>1838</v>
      </c>
      <c r="J1411" s="6" t="s">
        <v>3036</v>
      </c>
      <c r="L1411" s="6" t="s">
        <v>2956</v>
      </c>
      <c r="M1411" s="6">
        <f>INDEX(医院2县区2人!$B$2:$B$1048576,MATCH(L1411,医院2县区2人!$A$2:$A$1048576,0))</f>
        <v>0</v>
      </c>
      <c r="N1411" s="6">
        <f>INDEX(医院2县区2人!$C$2:$C$1048576,MATCH(L1411,医院2县区2人!$A$2:$A$1048576,0))</f>
        <v>0</v>
      </c>
      <c r="P1411" s="7">
        <v>43276</v>
      </c>
      <c r="Q1411" s="6">
        <v>-20</v>
      </c>
      <c r="R1411" s="6">
        <v>29</v>
      </c>
      <c r="S1411" s="6">
        <v>180103</v>
      </c>
      <c r="T1411" s="6">
        <f>INDEX(医院2县区2人!$D$2:$D$1048576,MATCH(L1411,医院2县区2人!$A$2:$A$1048576,0))</f>
        <v>0</v>
      </c>
      <c r="W1411" s="6" t="str">
        <f t="shared" si="47"/>
        <v>新盖中盖牌高钙片2.5g*36片</v>
      </c>
      <c r="X1411" s="6" t="s">
        <v>2919</v>
      </c>
    </row>
    <row r="1412" spans="1:24" x14ac:dyDescent="0.15">
      <c r="A1412" s="7" t="str">
        <f t="shared" si="48"/>
        <v>201806</v>
      </c>
      <c r="C1412" s="6" t="str">
        <f>INDEX(工厂基础数据!$A$2:$A$1024,MATCH(X1412,工厂基础数据!$D$2:$D$1024,0))</f>
        <v>02001551</v>
      </c>
      <c r="E1412" s="6" t="str">
        <f>INDEX(工厂基础数据!$B$2:$B$1024,MATCH(X1412,工厂基础数据!$D$2:$D$1024,0))</f>
        <v>山东天士力医药有限公司</v>
      </c>
      <c r="F1412" s="6" t="e">
        <f>INDEX(商业2转码!$B$2:$B$10000,MATCH(E1412,商业2转码!$A$2:$A$10000,0))</f>
        <v>#N/A</v>
      </c>
      <c r="G1412" s="6" t="str">
        <f>INDEX(品种2编码!$A$2:$A$1048576,MATCH(W1412,品种2编码!$D$2:$D$1048576,0))</f>
        <v>0020040220SHYT0004</v>
      </c>
      <c r="H1412" s="6" t="s">
        <v>1857</v>
      </c>
      <c r="I1412" s="6" t="s">
        <v>1858</v>
      </c>
      <c r="J1412" s="6" t="s">
        <v>3336</v>
      </c>
      <c r="L1412" s="6" t="s">
        <v>3304</v>
      </c>
      <c r="M1412" s="6" t="e">
        <f>INDEX(医院2县区2人!$B$2:$B$1048576,MATCH(L1412,医院2县区2人!$A$2:$A$1048576,0))</f>
        <v>#N/A</v>
      </c>
      <c r="N1412" s="6" t="e">
        <f>INDEX(医院2县区2人!$C$2:$C$1048576,MATCH(L1412,医院2县区2人!$A$2:$A$1048576,0))</f>
        <v>#N/A</v>
      </c>
      <c r="P1412" s="7">
        <v>43273</v>
      </c>
      <c r="Q1412" s="6">
        <v>50</v>
      </c>
      <c r="R1412" s="6">
        <v>25</v>
      </c>
      <c r="S1412" s="6">
        <v>1710403</v>
      </c>
      <c r="T1412" s="6" t="e">
        <f>INDEX(医院2县区2人!$D$2:$D$1048576,MATCH(L1412,医院2县区2人!$A$2:$A$1048576,0))</f>
        <v>#N/A</v>
      </c>
      <c r="W1412" s="6" t="str">
        <f t="shared" si="47"/>
        <v>妇宁栓1.6克*8粒</v>
      </c>
      <c r="X1412" s="6" t="s">
        <v>2919</v>
      </c>
    </row>
    <row r="1413" spans="1:24" x14ac:dyDescent="0.15">
      <c r="A1413" s="7" t="str">
        <f t="shared" si="48"/>
        <v>201806</v>
      </c>
      <c r="C1413" s="6" t="str">
        <f>INDEX(工厂基础数据!$A$2:$A$1024,MATCH(X1413,工厂基础数据!$D$2:$D$1024,0))</f>
        <v>02001551</v>
      </c>
      <c r="E1413" s="6" t="str">
        <f>INDEX(工厂基础数据!$B$2:$B$1024,MATCH(X1413,工厂基础数据!$D$2:$D$1024,0))</f>
        <v>山东天士力医药有限公司</v>
      </c>
      <c r="F1413" s="6" t="e">
        <f>INDEX(商业2转码!$B$2:$B$10000,MATCH(E1413,商业2转码!$A$2:$A$10000,0))</f>
        <v>#N/A</v>
      </c>
      <c r="G1413" s="6">
        <f>INDEX(品种2编码!$A$2:$A$1048576,MATCH(W1413,品种2编码!$D$2:$D$1048576,0))</f>
        <v>0</v>
      </c>
      <c r="H1413" s="6" t="s">
        <v>1833</v>
      </c>
      <c r="I1413" s="6" t="s">
        <v>3332</v>
      </c>
      <c r="J1413" s="6" t="s">
        <v>3285</v>
      </c>
      <c r="L1413" s="6" t="s">
        <v>2960</v>
      </c>
      <c r="M1413" s="6">
        <f>INDEX(医院2县区2人!$B$2:$B$1048576,MATCH(L1413,医院2县区2人!$A$2:$A$1048576,0))</f>
        <v>0</v>
      </c>
      <c r="N1413" s="6">
        <f>INDEX(医院2县区2人!$C$2:$C$1048576,MATCH(L1413,医院2县区2人!$A$2:$A$1048576,0))</f>
        <v>0</v>
      </c>
      <c r="P1413" s="7">
        <v>43276</v>
      </c>
      <c r="Q1413" s="6">
        <v>-2</v>
      </c>
      <c r="R1413" s="6">
        <v>22</v>
      </c>
      <c r="S1413" s="6">
        <v>17111823</v>
      </c>
      <c r="T1413" s="6">
        <f>INDEX(医院2县区2人!$D$2:$D$1048576,MATCH(L1413,医院2县区2人!$A$2:$A$1048576,0))</f>
        <v>0</v>
      </c>
      <c r="W1413" s="6" t="str">
        <f t="shared" si="47"/>
        <v>葡萄糖酸钙口服溶液10毫升*12支（含糖型）</v>
      </c>
      <c r="X1413" s="6" t="s">
        <v>2919</v>
      </c>
    </row>
    <row r="1414" spans="1:24" x14ac:dyDescent="0.15">
      <c r="A1414" s="7" t="str">
        <f t="shared" si="48"/>
        <v>201806</v>
      </c>
      <c r="C1414" s="6" t="str">
        <f>INDEX(工厂基础数据!$A$2:$A$1024,MATCH(X1414,工厂基础数据!$D$2:$D$1024,0))</f>
        <v>02001551</v>
      </c>
      <c r="E1414" s="6" t="str">
        <f>INDEX(工厂基础数据!$B$2:$B$1024,MATCH(X1414,工厂基础数据!$D$2:$D$1024,0))</f>
        <v>山东天士力医药有限公司</v>
      </c>
      <c r="F1414" s="6" t="e">
        <f>INDEX(商业2转码!$B$2:$B$10000,MATCH(E1414,商业2转码!$A$2:$A$10000,0))</f>
        <v>#N/A</v>
      </c>
      <c r="G1414" s="6">
        <f>INDEX(品种2编码!$A$2:$A$1048576,MATCH(W1414,品种2编码!$D$2:$D$1048576,0))</f>
        <v>0</v>
      </c>
      <c r="H1414" s="6" t="s">
        <v>1949</v>
      </c>
      <c r="I1414" s="6" t="s">
        <v>2930</v>
      </c>
      <c r="J1414" s="6" t="s">
        <v>3040</v>
      </c>
      <c r="L1414" s="6" t="s">
        <v>2960</v>
      </c>
      <c r="M1414" s="6">
        <f>INDEX(医院2县区2人!$B$2:$B$1048576,MATCH(L1414,医院2县区2人!$A$2:$A$1048576,0))</f>
        <v>0</v>
      </c>
      <c r="N1414" s="6">
        <f>INDEX(医院2县区2人!$C$2:$C$1048576,MATCH(L1414,医院2县区2人!$A$2:$A$1048576,0))</f>
        <v>0</v>
      </c>
      <c r="P1414" s="7">
        <v>43276</v>
      </c>
      <c r="Q1414" s="6">
        <v>-1</v>
      </c>
      <c r="R1414" s="6">
        <v>23</v>
      </c>
      <c r="S1414" s="6">
        <v>17120711</v>
      </c>
      <c r="T1414" s="6">
        <f>INDEX(医院2县区2人!$D$2:$D$1048576,MATCH(L1414,医院2县区2人!$A$2:$A$1048576,0))</f>
        <v>0</v>
      </c>
      <c r="W1414" s="6" t="str">
        <f t="shared" si="47"/>
        <v>葡萄糖酸锌口服溶液10ml:35mg*12支</v>
      </c>
      <c r="X1414" s="6" t="s">
        <v>2919</v>
      </c>
    </row>
    <row r="1415" spans="1:24" x14ac:dyDescent="0.15">
      <c r="A1415" s="7" t="str">
        <f t="shared" si="48"/>
        <v>201806</v>
      </c>
      <c r="C1415" s="6" t="str">
        <f>INDEX(工厂基础数据!$A$2:$A$1024,MATCH(X1415,工厂基础数据!$D$2:$D$1024,0))</f>
        <v>02001551</v>
      </c>
      <c r="E1415" s="6" t="str">
        <f>INDEX(工厂基础数据!$B$2:$B$1024,MATCH(X1415,工厂基础数据!$D$2:$D$1024,0))</f>
        <v>山东天士力医药有限公司</v>
      </c>
      <c r="F1415" s="6" t="e">
        <f>INDEX(商业2转码!$B$2:$B$10000,MATCH(E1415,商业2转码!$A$2:$A$10000,0))</f>
        <v>#N/A</v>
      </c>
      <c r="G1415" s="6">
        <f>INDEX(品种2编码!$A$2:$A$1048576,MATCH(W1415,品种2编码!$D$2:$D$1048576,0))</f>
        <v>0</v>
      </c>
      <c r="H1415" s="6" t="s">
        <v>394</v>
      </c>
      <c r="I1415" s="6" t="s">
        <v>3331</v>
      </c>
      <c r="J1415" s="6" t="s">
        <v>3279</v>
      </c>
      <c r="L1415" s="6" t="s">
        <v>3305</v>
      </c>
      <c r="M1415" s="6" t="e">
        <f>INDEX(医院2县区2人!$B$2:$B$1048576,MATCH(L1415,医院2县区2人!$A$2:$A$1048576,0))</f>
        <v>#N/A</v>
      </c>
      <c r="N1415" s="6" t="e">
        <f>INDEX(医院2县区2人!$C$2:$C$1048576,MATCH(L1415,医院2县区2人!$A$2:$A$1048576,0))</f>
        <v>#N/A</v>
      </c>
      <c r="P1415" s="7">
        <v>43276</v>
      </c>
      <c r="Q1415" s="6">
        <v>5</v>
      </c>
      <c r="R1415" s="6">
        <v>12.5</v>
      </c>
      <c r="S1415" s="6">
        <v>1801024</v>
      </c>
      <c r="T1415" s="6" t="e">
        <f>INDEX(医院2县区2人!$D$2:$D$1048576,MATCH(L1415,医院2县区2人!$A$2:$A$1048576,0))</f>
        <v>#N/A</v>
      </c>
      <c r="W1415" s="6" t="str">
        <f t="shared" si="47"/>
        <v>复方铝酸铋片10片*5板</v>
      </c>
      <c r="X1415" s="6" t="s">
        <v>2919</v>
      </c>
    </row>
    <row r="1416" spans="1:24" x14ac:dyDescent="0.15">
      <c r="A1416" s="7" t="str">
        <f t="shared" si="48"/>
        <v>201806</v>
      </c>
      <c r="C1416" s="6" t="str">
        <f>INDEX(工厂基础数据!$A$2:$A$1024,MATCH(X1416,工厂基础数据!$D$2:$D$1024,0))</f>
        <v>02001551</v>
      </c>
      <c r="E1416" s="6" t="str">
        <f>INDEX(工厂基础数据!$B$2:$B$1024,MATCH(X1416,工厂基础数据!$D$2:$D$1024,0))</f>
        <v>山东天士力医药有限公司</v>
      </c>
      <c r="F1416" s="6" t="e">
        <f>INDEX(商业2转码!$B$2:$B$10000,MATCH(E1416,商业2转码!$A$2:$A$10000,0))</f>
        <v>#N/A</v>
      </c>
      <c r="G1416" s="6" t="str">
        <f>INDEX(品种2编码!$A$2:$A$1048576,MATCH(W1416,品种2编码!$D$2:$D$1048576,0))</f>
        <v>0020020021ZYLC0004</v>
      </c>
      <c r="H1416" s="6" t="s">
        <v>1950</v>
      </c>
      <c r="I1416" s="6" t="s">
        <v>1869</v>
      </c>
      <c r="J1416" s="6" t="s">
        <v>3337</v>
      </c>
      <c r="L1416" s="6" t="s">
        <v>3305</v>
      </c>
      <c r="M1416" s="6" t="e">
        <f>INDEX(医院2县区2人!$B$2:$B$1048576,MATCH(L1416,医院2县区2人!$A$2:$A$1048576,0))</f>
        <v>#N/A</v>
      </c>
      <c r="N1416" s="6" t="e">
        <f>INDEX(医院2县区2人!$C$2:$C$1048576,MATCH(L1416,医院2县区2人!$A$2:$A$1048576,0))</f>
        <v>#N/A</v>
      </c>
      <c r="P1416" s="7">
        <v>43276</v>
      </c>
      <c r="Q1416" s="6">
        <v>10</v>
      </c>
      <c r="R1416" s="6">
        <v>8</v>
      </c>
      <c r="S1416" s="6">
        <v>180201</v>
      </c>
      <c r="T1416" s="6" t="e">
        <f>INDEX(医院2县区2人!$D$2:$D$1048576,MATCH(L1416,医院2县区2人!$A$2:$A$1048576,0))</f>
        <v>#N/A</v>
      </c>
      <c r="W1416" s="6" t="str">
        <f t="shared" si="47"/>
        <v>罗红霉素分散片75mg*12片</v>
      </c>
      <c r="X1416" s="6" t="s">
        <v>2919</v>
      </c>
    </row>
    <row r="1417" spans="1:24" x14ac:dyDescent="0.15">
      <c r="A1417" s="7" t="str">
        <f t="shared" si="48"/>
        <v>201806</v>
      </c>
      <c r="C1417" s="6" t="str">
        <f>INDEX(工厂基础数据!$A$2:$A$1024,MATCH(X1417,工厂基础数据!$D$2:$D$1024,0))</f>
        <v>02001551</v>
      </c>
      <c r="E1417" s="6" t="str">
        <f>INDEX(工厂基础数据!$B$2:$B$1024,MATCH(X1417,工厂基础数据!$D$2:$D$1024,0))</f>
        <v>山东天士力医药有限公司</v>
      </c>
      <c r="F1417" s="6" t="e">
        <f>INDEX(商业2转码!$B$2:$B$10000,MATCH(E1417,商业2转码!$A$2:$A$10000,0))</f>
        <v>#N/A</v>
      </c>
      <c r="G1417" s="6" t="str">
        <f>INDEX(品种2编码!$A$2:$A$1048576,MATCH(W1417,品种2编码!$D$2:$D$1048576,0))</f>
        <v>0020070001ZYZC0383</v>
      </c>
      <c r="H1417" s="6" t="s">
        <v>1849</v>
      </c>
      <c r="I1417" s="6" t="s">
        <v>1850</v>
      </c>
      <c r="J1417" s="6" t="s">
        <v>3038</v>
      </c>
      <c r="L1417" s="6" t="s">
        <v>3305</v>
      </c>
      <c r="M1417" s="6" t="e">
        <f>INDEX(医院2县区2人!$B$2:$B$1048576,MATCH(L1417,医院2县区2人!$A$2:$A$1048576,0))</f>
        <v>#N/A</v>
      </c>
      <c r="N1417" s="6" t="e">
        <f>INDEX(医院2县区2人!$C$2:$C$1048576,MATCH(L1417,医院2县区2人!$A$2:$A$1048576,0))</f>
        <v>#N/A</v>
      </c>
      <c r="P1417" s="7">
        <v>43276</v>
      </c>
      <c r="Q1417" s="6">
        <v>10</v>
      </c>
      <c r="R1417" s="6">
        <v>15</v>
      </c>
      <c r="S1417" s="6" t="s">
        <v>2938</v>
      </c>
      <c r="T1417" s="6" t="e">
        <f>INDEX(医院2县区2人!$D$2:$D$1048576,MATCH(L1417,医院2县区2人!$A$2:$A$1048576,0))</f>
        <v>#N/A</v>
      </c>
      <c r="W1417" s="6" t="str">
        <f t="shared" si="47"/>
        <v>哈药牌钙铁锌口服液10ml*10支</v>
      </c>
      <c r="X1417" s="6" t="s">
        <v>2919</v>
      </c>
    </row>
    <row r="1418" spans="1:24" x14ac:dyDescent="0.15">
      <c r="A1418" s="7" t="str">
        <f t="shared" si="48"/>
        <v>201806</v>
      </c>
      <c r="C1418" s="6" t="str">
        <f>INDEX(工厂基础数据!$A$2:$A$1024,MATCH(X1418,工厂基础数据!$D$2:$D$1024,0))</f>
        <v>02001551</v>
      </c>
      <c r="E1418" s="6" t="str">
        <f>INDEX(工厂基础数据!$B$2:$B$1024,MATCH(X1418,工厂基础数据!$D$2:$D$1024,0))</f>
        <v>山东天士力医药有限公司</v>
      </c>
      <c r="F1418" s="6" t="e">
        <f>INDEX(商业2转码!$B$2:$B$10000,MATCH(E1418,商业2转码!$A$2:$A$10000,0))</f>
        <v>#N/A</v>
      </c>
      <c r="G1418" s="6" t="str">
        <f>INDEX(品种2编码!$A$2:$A$1048576,MATCH(W1418,品种2编码!$D$2:$D$1048576,0))</f>
        <v>0020070001ZYZC0383</v>
      </c>
      <c r="H1418" s="6" t="s">
        <v>1849</v>
      </c>
      <c r="I1418" s="6" t="s">
        <v>1850</v>
      </c>
      <c r="J1418" s="6" t="s">
        <v>3038</v>
      </c>
      <c r="L1418" s="6" t="s">
        <v>3305</v>
      </c>
      <c r="M1418" s="6" t="e">
        <f>INDEX(医院2县区2人!$B$2:$B$1048576,MATCH(L1418,医院2县区2人!$A$2:$A$1048576,0))</f>
        <v>#N/A</v>
      </c>
      <c r="N1418" s="6" t="e">
        <f>INDEX(医院2县区2人!$C$2:$C$1048576,MATCH(L1418,医院2县区2人!$A$2:$A$1048576,0))</f>
        <v>#N/A</v>
      </c>
      <c r="P1418" s="7">
        <v>43276</v>
      </c>
      <c r="Q1418" s="6">
        <v>10</v>
      </c>
      <c r="R1418" s="6">
        <v>15</v>
      </c>
      <c r="S1418" s="6" t="s">
        <v>2938</v>
      </c>
      <c r="T1418" s="6" t="e">
        <f>INDEX(医院2县区2人!$D$2:$D$1048576,MATCH(L1418,医院2县区2人!$A$2:$A$1048576,0))</f>
        <v>#N/A</v>
      </c>
      <c r="W1418" s="6" t="str">
        <f t="shared" si="47"/>
        <v>哈药牌钙铁锌口服液10ml*10支</v>
      </c>
      <c r="X1418" s="6" t="s">
        <v>2919</v>
      </c>
    </row>
    <row r="1419" spans="1:24" x14ac:dyDescent="0.15">
      <c r="A1419" s="7" t="str">
        <f t="shared" si="48"/>
        <v>201806</v>
      </c>
      <c r="C1419" s="6" t="str">
        <f>INDEX(工厂基础数据!$A$2:$A$1024,MATCH(X1419,工厂基础数据!$D$2:$D$1024,0))</f>
        <v>02001551</v>
      </c>
      <c r="E1419" s="6" t="str">
        <f>INDEX(工厂基础数据!$B$2:$B$1024,MATCH(X1419,工厂基础数据!$D$2:$D$1024,0))</f>
        <v>山东天士力医药有限公司</v>
      </c>
      <c r="F1419" s="6" t="e">
        <f>INDEX(商业2转码!$B$2:$B$10000,MATCH(E1419,商业2转码!$A$2:$A$10000,0))</f>
        <v>#N/A</v>
      </c>
      <c r="G1419" s="6" t="str">
        <f>INDEX(品种2编码!$A$2:$A$1048576,MATCH(W1419,品种2编码!$D$2:$D$1048576,0))</f>
        <v>0020020021ZYLC0004</v>
      </c>
      <c r="H1419" s="6" t="s">
        <v>1950</v>
      </c>
      <c r="I1419" s="6" t="s">
        <v>1869</v>
      </c>
      <c r="J1419" s="6" t="s">
        <v>3337</v>
      </c>
      <c r="L1419" s="6" t="s">
        <v>3306</v>
      </c>
      <c r="M1419" s="6" t="e">
        <f>INDEX(医院2县区2人!$B$2:$B$1048576,MATCH(L1419,医院2县区2人!$A$2:$A$1048576,0))</f>
        <v>#N/A</v>
      </c>
      <c r="N1419" s="6" t="e">
        <f>INDEX(医院2县区2人!$C$2:$C$1048576,MATCH(L1419,医院2县区2人!$A$2:$A$1048576,0))</f>
        <v>#N/A</v>
      </c>
      <c r="P1419" s="7">
        <v>43277</v>
      </c>
      <c r="Q1419" s="6">
        <v>120</v>
      </c>
      <c r="R1419" s="6">
        <v>8</v>
      </c>
      <c r="S1419" s="6">
        <v>180201</v>
      </c>
      <c r="T1419" s="6" t="e">
        <f>INDEX(医院2县区2人!$D$2:$D$1048576,MATCH(L1419,医院2县区2人!$A$2:$A$1048576,0))</f>
        <v>#N/A</v>
      </c>
      <c r="W1419" s="6" t="str">
        <f t="shared" si="47"/>
        <v>罗红霉素分散片75mg*12片</v>
      </c>
      <c r="X1419" s="6" t="s">
        <v>2919</v>
      </c>
    </row>
    <row r="1420" spans="1:24" x14ac:dyDescent="0.15">
      <c r="A1420" s="7" t="str">
        <f t="shared" si="48"/>
        <v>201806</v>
      </c>
      <c r="C1420" s="6" t="str">
        <f>INDEX(工厂基础数据!$A$2:$A$1024,MATCH(X1420,工厂基础数据!$D$2:$D$1024,0))</f>
        <v>02001551</v>
      </c>
      <c r="E1420" s="6" t="str">
        <f>INDEX(工厂基础数据!$B$2:$B$1024,MATCH(X1420,工厂基础数据!$D$2:$D$1024,0))</f>
        <v>山东天士力医药有限公司</v>
      </c>
      <c r="F1420" s="6" t="e">
        <f>INDEX(商业2转码!$B$2:$B$10000,MATCH(E1420,商业2转码!$A$2:$A$10000,0))</f>
        <v>#N/A</v>
      </c>
      <c r="G1420" s="6">
        <f>INDEX(品种2编码!$A$2:$A$1048576,MATCH(W1420,品种2编码!$D$2:$D$1048576,0))</f>
        <v>0</v>
      </c>
      <c r="H1420" s="6" t="s">
        <v>474</v>
      </c>
      <c r="I1420" s="6" t="s">
        <v>3064</v>
      </c>
      <c r="J1420" s="6" t="s">
        <v>3335</v>
      </c>
      <c r="L1420" s="6" t="s">
        <v>2955</v>
      </c>
      <c r="M1420" s="6">
        <f>INDEX(医院2县区2人!$B$2:$B$1048576,MATCH(L1420,医院2县区2人!$A$2:$A$1048576,0))</f>
        <v>0</v>
      </c>
      <c r="N1420" s="6">
        <f>INDEX(医院2县区2人!$C$2:$C$1048576,MATCH(L1420,医院2县区2人!$A$2:$A$1048576,0))</f>
        <v>0</v>
      </c>
      <c r="P1420" s="7">
        <v>43276</v>
      </c>
      <c r="Q1420" s="6">
        <v>160</v>
      </c>
      <c r="R1420" s="6">
        <v>44.5</v>
      </c>
      <c r="S1420" s="6">
        <v>1803029</v>
      </c>
      <c r="T1420" s="6">
        <f>INDEX(医院2县区2人!$D$2:$D$1048576,MATCH(L1420,医院2县区2人!$A$2:$A$1048576,0))</f>
        <v>0</v>
      </c>
      <c r="W1420" s="6" t="str">
        <f t="shared" si="47"/>
        <v>拉西地平片4mg*30片</v>
      </c>
      <c r="X1420" s="6" t="s">
        <v>2919</v>
      </c>
    </row>
    <row r="1421" spans="1:24" x14ac:dyDescent="0.15">
      <c r="A1421" s="7" t="str">
        <f t="shared" si="48"/>
        <v>201806</v>
      </c>
      <c r="C1421" s="6" t="str">
        <f>INDEX(工厂基础数据!$A$2:$A$1024,MATCH(X1421,工厂基础数据!$D$2:$D$1024,0))</f>
        <v>02001551</v>
      </c>
      <c r="E1421" s="6" t="str">
        <f>INDEX(工厂基础数据!$B$2:$B$1024,MATCH(X1421,工厂基础数据!$D$2:$D$1024,0))</f>
        <v>山东天士力医药有限公司</v>
      </c>
      <c r="F1421" s="6" t="e">
        <f>INDEX(商业2转码!$B$2:$B$10000,MATCH(E1421,商业2转码!$A$2:$A$10000,0))</f>
        <v>#N/A</v>
      </c>
      <c r="G1421" s="6">
        <f>INDEX(品种2编码!$A$2:$A$1048576,MATCH(W1421,品种2编码!$D$2:$D$1048576,0))</f>
        <v>0</v>
      </c>
      <c r="H1421" s="6" t="s">
        <v>1949</v>
      </c>
      <c r="I1421" s="6" t="s">
        <v>2930</v>
      </c>
      <c r="J1421" s="6" t="s">
        <v>3040</v>
      </c>
      <c r="L1421" s="6" t="s">
        <v>3307</v>
      </c>
      <c r="M1421" s="6" t="e">
        <f>INDEX(医院2县区2人!$B$2:$B$1048576,MATCH(L1421,医院2县区2人!$A$2:$A$1048576,0))</f>
        <v>#N/A</v>
      </c>
      <c r="N1421" s="6" t="e">
        <f>INDEX(医院2县区2人!$C$2:$C$1048576,MATCH(L1421,医院2县区2人!$A$2:$A$1048576,0))</f>
        <v>#N/A</v>
      </c>
      <c r="P1421" s="7">
        <v>43270</v>
      </c>
      <c r="Q1421" s="6">
        <v>5</v>
      </c>
      <c r="R1421" s="6">
        <v>25</v>
      </c>
      <c r="S1421" s="6">
        <v>18031317</v>
      </c>
      <c r="T1421" s="6" t="e">
        <f>INDEX(医院2县区2人!$D$2:$D$1048576,MATCH(L1421,医院2县区2人!$A$2:$A$1048576,0))</f>
        <v>#N/A</v>
      </c>
      <c r="W1421" s="6" t="str">
        <f t="shared" si="47"/>
        <v>葡萄糖酸锌口服溶液10ml:35mg*12支</v>
      </c>
      <c r="X1421" s="6" t="s">
        <v>2919</v>
      </c>
    </row>
    <row r="1422" spans="1:24" x14ac:dyDescent="0.15">
      <c r="A1422" s="7" t="str">
        <f t="shared" si="48"/>
        <v>201806</v>
      </c>
      <c r="C1422" s="6" t="str">
        <f>INDEX(工厂基础数据!$A$2:$A$1024,MATCH(X1422,工厂基础数据!$D$2:$D$1024,0))</f>
        <v>02001551</v>
      </c>
      <c r="E1422" s="6" t="str">
        <f>INDEX(工厂基础数据!$B$2:$B$1024,MATCH(X1422,工厂基础数据!$D$2:$D$1024,0))</f>
        <v>山东天士力医药有限公司</v>
      </c>
      <c r="F1422" s="6" t="e">
        <f>INDEX(商业2转码!$B$2:$B$10000,MATCH(E1422,商业2转码!$A$2:$A$10000,0))</f>
        <v>#N/A</v>
      </c>
      <c r="G1422" s="6">
        <f>INDEX(品种2编码!$A$2:$A$1048576,MATCH(W1422,品种2编码!$D$2:$D$1048576,0))</f>
        <v>0</v>
      </c>
      <c r="H1422" s="6" t="s">
        <v>1833</v>
      </c>
      <c r="I1422" s="6" t="s">
        <v>3332</v>
      </c>
      <c r="J1422" s="6" t="s">
        <v>3285</v>
      </c>
      <c r="L1422" s="6" t="s">
        <v>3308</v>
      </c>
      <c r="M1422" s="6" t="e">
        <f>INDEX(医院2县区2人!$B$2:$B$1048576,MATCH(L1422,医院2县区2人!$A$2:$A$1048576,0))</f>
        <v>#N/A</v>
      </c>
      <c r="N1422" s="6" t="e">
        <f>INDEX(医院2县区2人!$C$2:$C$1048576,MATCH(L1422,医院2县区2人!$A$2:$A$1048576,0))</f>
        <v>#N/A</v>
      </c>
      <c r="P1422" s="7">
        <v>43270</v>
      </c>
      <c r="Q1422" s="6">
        <v>10</v>
      </c>
      <c r="R1422" s="6">
        <v>25</v>
      </c>
      <c r="S1422" s="6">
        <v>18030832</v>
      </c>
      <c r="T1422" s="6" t="e">
        <f>INDEX(医院2县区2人!$D$2:$D$1048576,MATCH(L1422,医院2县区2人!$A$2:$A$1048576,0))</f>
        <v>#N/A</v>
      </c>
      <c r="W1422" s="6" t="str">
        <f t="shared" si="47"/>
        <v>葡萄糖酸钙口服溶液10毫升*12支（含糖型）</v>
      </c>
      <c r="X1422" s="6" t="s">
        <v>2919</v>
      </c>
    </row>
    <row r="1423" spans="1:24" x14ac:dyDescent="0.15">
      <c r="A1423" s="7" t="str">
        <f t="shared" si="48"/>
        <v>201806</v>
      </c>
      <c r="C1423" s="6" t="str">
        <f>INDEX(工厂基础数据!$A$2:$A$1024,MATCH(X1423,工厂基础数据!$D$2:$D$1024,0))</f>
        <v>02001551</v>
      </c>
      <c r="E1423" s="6" t="str">
        <f>INDEX(工厂基础数据!$B$2:$B$1024,MATCH(X1423,工厂基础数据!$D$2:$D$1024,0))</f>
        <v>山东天士力医药有限公司</v>
      </c>
      <c r="F1423" s="6" t="e">
        <f>INDEX(商业2转码!$B$2:$B$10000,MATCH(E1423,商业2转码!$A$2:$A$10000,0))</f>
        <v>#N/A</v>
      </c>
      <c r="G1423" s="6" t="str">
        <f>INDEX(品种2编码!$A$2:$A$1048576,MATCH(W1423,品种2编码!$D$2:$D$1048576,0))</f>
        <v>0020030040ZYLC0001</v>
      </c>
      <c r="H1423" s="6" t="s">
        <v>1953</v>
      </c>
      <c r="I1423" s="6" t="s">
        <v>1954</v>
      </c>
      <c r="J1423" s="6" t="s">
        <v>294</v>
      </c>
      <c r="L1423" s="6" t="s">
        <v>3308</v>
      </c>
      <c r="M1423" s="6" t="e">
        <f>INDEX(医院2县区2人!$B$2:$B$1048576,MATCH(L1423,医院2县区2人!$A$2:$A$1048576,0))</f>
        <v>#N/A</v>
      </c>
      <c r="N1423" s="6" t="e">
        <f>INDEX(医院2县区2人!$C$2:$C$1048576,MATCH(L1423,医院2县区2人!$A$2:$A$1048576,0))</f>
        <v>#N/A</v>
      </c>
      <c r="P1423" s="7">
        <v>43270</v>
      </c>
      <c r="Q1423" s="6">
        <v>10</v>
      </c>
      <c r="R1423" s="6">
        <v>10</v>
      </c>
      <c r="S1423" s="6">
        <v>180139</v>
      </c>
      <c r="T1423" s="6" t="e">
        <f>INDEX(医院2县区2人!$D$2:$D$1048576,MATCH(L1423,医院2县区2人!$A$2:$A$1048576,0))</f>
        <v>#N/A</v>
      </c>
      <c r="W1423" s="6" t="str">
        <f t="shared" si="47"/>
        <v>小儿氨酚黄那敏颗粒12袋</v>
      </c>
      <c r="X1423" s="6" t="s">
        <v>2919</v>
      </c>
    </row>
    <row r="1424" spans="1:24" x14ac:dyDescent="0.15">
      <c r="A1424" s="7" t="str">
        <f t="shared" si="48"/>
        <v>201806</v>
      </c>
      <c r="C1424" s="6" t="str">
        <f>INDEX(工厂基础数据!$A$2:$A$1024,MATCH(X1424,工厂基础数据!$D$2:$D$1024,0))</f>
        <v>02001551</v>
      </c>
      <c r="E1424" s="6" t="str">
        <f>INDEX(工厂基础数据!$B$2:$B$1024,MATCH(X1424,工厂基础数据!$D$2:$D$1024,0))</f>
        <v>山东天士力医药有限公司</v>
      </c>
      <c r="F1424" s="6" t="e">
        <f>INDEX(商业2转码!$B$2:$B$10000,MATCH(E1424,商业2转码!$A$2:$A$10000,0))</f>
        <v>#N/A</v>
      </c>
      <c r="G1424" s="6">
        <f>INDEX(品种2编码!$A$2:$A$1048576,MATCH(W1424,品种2编码!$D$2:$D$1048576,0))</f>
        <v>0</v>
      </c>
      <c r="H1424" s="6" t="s">
        <v>1949</v>
      </c>
      <c r="I1424" s="6" t="s">
        <v>2930</v>
      </c>
      <c r="J1424" s="6" t="s">
        <v>3040</v>
      </c>
      <c r="L1424" s="6" t="s">
        <v>3308</v>
      </c>
      <c r="M1424" s="6" t="e">
        <f>INDEX(医院2县区2人!$B$2:$B$1048576,MATCH(L1424,医院2县区2人!$A$2:$A$1048576,0))</f>
        <v>#N/A</v>
      </c>
      <c r="N1424" s="6" t="e">
        <f>INDEX(医院2县区2人!$C$2:$C$1048576,MATCH(L1424,医院2县区2人!$A$2:$A$1048576,0))</f>
        <v>#N/A</v>
      </c>
      <c r="P1424" s="7">
        <v>43270</v>
      </c>
      <c r="Q1424" s="6">
        <v>5</v>
      </c>
      <c r="R1424" s="6">
        <v>25</v>
      </c>
      <c r="S1424" s="6">
        <v>18031317</v>
      </c>
      <c r="T1424" s="6" t="e">
        <f>INDEX(医院2县区2人!$D$2:$D$1048576,MATCH(L1424,医院2县区2人!$A$2:$A$1048576,0))</f>
        <v>#N/A</v>
      </c>
      <c r="W1424" s="6" t="str">
        <f t="shared" si="47"/>
        <v>葡萄糖酸锌口服溶液10ml:35mg*12支</v>
      </c>
      <c r="X1424" s="6" t="s">
        <v>2919</v>
      </c>
    </row>
    <row r="1425" spans="1:24" x14ac:dyDescent="0.15">
      <c r="A1425" s="7" t="str">
        <f t="shared" si="48"/>
        <v>201806</v>
      </c>
      <c r="C1425" s="6" t="str">
        <f>INDEX(工厂基础数据!$A$2:$A$1024,MATCH(X1425,工厂基础数据!$D$2:$D$1024,0))</f>
        <v>02001551</v>
      </c>
      <c r="E1425" s="6" t="str">
        <f>INDEX(工厂基础数据!$B$2:$B$1024,MATCH(X1425,工厂基础数据!$D$2:$D$1024,0))</f>
        <v>山东天士力医药有限公司</v>
      </c>
      <c r="F1425" s="6" t="e">
        <f>INDEX(商业2转码!$B$2:$B$10000,MATCH(E1425,商业2转码!$A$2:$A$10000,0))</f>
        <v>#N/A</v>
      </c>
      <c r="G1425" s="6">
        <f>INDEX(品种2编码!$A$2:$A$1048576,MATCH(W1425,品种2编码!$D$2:$D$1048576,0))</f>
        <v>0</v>
      </c>
      <c r="H1425" s="6" t="s">
        <v>474</v>
      </c>
      <c r="I1425" s="6" t="s">
        <v>3064</v>
      </c>
      <c r="J1425" s="6" t="s">
        <v>3335</v>
      </c>
      <c r="L1425" s="6" t="s">
        <v>3309</v>
      </c>
      <c r="M1425" s="6" t="e">
        <f>INDEX(医院2县区2人!$B$2:$B$1048576,MATCH(L1425,医院2县区2人!$A$2:$A$1048576,0))</f>
        <v>#N/A</v>
      </c>
      <c r="N1425" s="6" t="e">
        <f>INDEX(医院2县区2人!$C$2:$C$1048576,MATCH(L1425,医院2县区2人!$A$2:$A$1048576,0))</f>
        <v>#N/A</v>
      </c>
      <c r="P1425" s="7">
        <v>43272</v>
      </c>
      <c r="Q1425" s="6">
        <v>160</v>
      </c>
      <c r="R1425" s="6">
        <v>44.5</v>
      </c>
      <c r="S1425" s="6">
        <v>1803029</v>
      </c>
      <c r="T1425" s="6" t="e">
        <f>INDEX(医院2县区2人!$D$2:$D$1048576,MATCH(L1425,医院2县区2人!$A$2:$A$1048576,0))</f>
        <v>#N/A</v>
      </c>
      <c r="W1425" s="6" t="str">
        <f t="shared" si="47"/>
        <v>拉西地平片4mg*30片</v>
      </c>
      <c r="X1425" s="6" t="s">
        <v>2919</v>
      </c>
    </row>
    <row r="1426" spans="1:24" x14ac:dyDescent="0.15">
      <c r="A1426" s="7" t="str">
        <f t="shared" si="48"/>
        <v>201806</v>
      </c>
      <c r="C1426" s="6" t="str">
        <f>INDEX(工厂基础数据!$A$2:$A$1024,MATCH(X1426,工厂基础数据!$D$2:$D$1024,0))</f>
        <v>02001551</v>
      </c>
      <c r="E1426" s="6" t="str">
        <f>INDEX(工厂基础数据!$B$2:$B$1024,MATCH(X1426,工厂基础数据!$D$2:$D$1024,0))</f>
        <v>山东天士力医药有限公司</v>
      </c>
      <c r="F1426" s="6" t="e">
        <f>INDEX(商业2转码!$B$2:$B$10000,MATCH(E1426,商业2转码!$A$2:$A$10000,0))</f>
        <v>#N/A</v>
      </c>
      <c r="G1426" s="6" t="str">
        <f>INDEX(品种2编码!$A$2:$A$1048576,MATCH(W1426,品种2编码!$D$2:$D$1048576,0))</f>
        <v>0020030040SHYT0010</v>
      </c>
      <c r="H1426" s="6" t="s">
        <v>317</v>
      </c>
      <c r="I1426" s="6" t="s">
        <v>1848</v>
      </c>
      <c r="J1426" s="6" t="s">
        <v>3281</v>
      </c>
      <c r="L1426" s="6" t="s">
        <v>3310</v>
      </c>
      <c r="M1426" s="6" t="e">
        <f>INDEX(医院2县区2人!$B$2:$B$1048576,MATCH(L1426,医院2县区2人!$A$2:$A$1048576,0))</f>
        <v>#N/A</v>
      </c>
      <c r="N1426" s="6" t="e">
        <f>INDEX(医院2县区2人!$C$2:$C$1048576,MATCH(L1426,医院2县区2人!$A$2:$A$1048576,0))</f>
        <v>#N/A</v>
      </c>
      <c r="P1426" s="7">
        <v>43270</v>
      </c>
      <c r="Q1426" s="6">
        <v>5</v>
      </c>
      <c r="R1426" s="6">
        <v>12.5</v>
      </c>
      <c r="S1426" s="6">
        <v>1611616</v>
      </c>
      <c r="T1426" s="6" t="e">
        <f>INDEX(医院2县区2人!$D$2:$D$1048576,MATCH(L1426,医院2县区2人!$A$2:$A$1048576,0))</f>
        <v>#N/A</v>
      </c>
      <c r="W1426" s="6" t="str">
        <f t="shared" si="47"/>
        <v>布洛芬颗粒0.2g*12袋</v>
      </c>
      <c r="X1426" s="6" t="s">
        <v>2919</v>
      </c>
    </row>
    <row r="1427" spans="1:24" x14ac:dyDescent="0.15">
      <c r="A1427" s="7" t="str">
        <f t="shared" si="48"/>
        <v>201806</v>
      </c>
      <c r="C1427" s="6" t="str">
        <f>INDEX(工厂基础数据!$A$2:$A$1024,MATCH(X1427,工厂基础数据!$D$2:$D$1024,0))</f>
        <v>02001551</v>
      </c>
      <c r="E1427" s="6" t="str">
        <f>INDEX(工厂基础数据!$B$2:$B$1024,MATCH(X1427,工厂基础数据!$D$2:$D$1024,0))</f>
        <v>山东天士力医药有限公司</v>
      </c>
      <c r="F1427" s="6" t="e">
        <f>INDEX(商业2转码!$B$2:$B$10000,MATCH(E1427,商业2转码!$A$2:$A$10000,0))</f>
        <v>#N/A</v>
      </c>
      <c r="G1427" s="6">
        <f>INDEX(品种2编码!$A$2:$A$1048576,MATCH(W1427,品种2编码!$D$2:$D$1048576,0))</f>
        <v>0</v>
      </c>
      <c r="H1427" s="6" t="s">
        <v>474</v>
      </c>
      <c r="I1427" s="6" t="s">
        <v>3064</v>
      </c>
      <c r="J1427" s="6" t="s">
        <v>3335</v>
      </c>
      <c r="L1427" s="6" t="s">
        <v>3310</v>
      </c>
      <c r="M1427" s="6" t="e">
        <f>INDEX(医院2县区2人!$B$2:$B$1048576,MATCH(L1427,医院2县区2人!$A$2:$A$1048576,0))</f>
        <v>#N/A</v>
      </c>
      <c r="N1427" s="6" t="e">
        <f>INDEX(医院2县区2人!$C$2:$C$1048576,MATCH(L1427,医院2县区2人!$A$2:$A$1048576,0))</f>
        <v>#N/A</v>
      </c>
      <c r="P1427" s="7">
        <v>43270</v>
      </c>
      <c r="Q1427" s="6">
        <v>30</v>
      </c>
      <c r="R1427" s="6">
        <v>44.5</v>
      </c>
      <c r="S1427" s="6">
        <v>1803029</v>
      </c>
      <c r="T1427" s="6" t="e">
        <f>INDEX(医院2县区2人!$D$2:$D$1048576,MATCH(L1427,医院2县区2人!$A$2:$A$1048576,0))</f>
        <v>#N/A</v>
      </c>
      <c r="W1427" s="6" t="str">
        <f t="shared" si="47"/>
        <v>拉西地平片4mg*30片</v>
      </c>
      <c r="X1427" s="6" t="s">
        <v>2919</v>
      </c>
    </row>
    <row r="1428" spans="1:24" x14ac:dyDescent="0.15">
      <c r="A1428" s="7" t="str">
        <f t="shared" si="48"/>
        <v>201806</v>
      </c>
      <c r="C1428" s="6" t="str">
        <f>INDEX(工厂基础数据!$A$2:$A$1024,MATCH(X1428,工厂基础数据!$D$2:$D$1024,0))</f>
        <v>02001551</v>
      </c>
      <c r="E1428" s="6" t="str">
        <f>INDEX(工厂基础数据!$B$2:$B$1024,MATCH(X1428,工厂基础数据!$D$2:$D$1024,0))</f>
        <v>山东天士力医药有限公司</v>
      </c>
      <c r="F1428" s="6" t="e">
        <f>INDEX(商业2转码!$B$2:$B$10000,MATCH(E1428,商业2转码!$A$2:$A$10000,0))</f>
        <v>#N/A</v>
      </c>
      <c r="G1428" s="6">
        <f>INDEX(品种2编码!$A$2:$A$1048576,MATCH(W1428,品种2编码!$D$2:$D$1048576,0))</f>
        <v>0</v>
      </c>
      <c r="H1428" s="6" t="s">
        <v>1833</v>
      </c>
      <c r="I1428" s="6" t="s">
        <v>3332</v>
      </c>
      <c r="J1428" s="6" t="s">
        <v>3285</v>
      </c>
      <c r="L1428" s="6" t="s">
        <v>100</v>
      </c>
      <c r="M1428" s="6">
        <f>INDEX(医院2县区2人!$B$2:$B$1048576,MATCH(L1428,医院2县区2人!$A$2:$A$1048576,0))</f>
        <v>0</v>
      </c>
      <c r="N1428" s="6" t="str">
        <f>INDEX(医院2县区2人!$C$2:$C$1048576,MATCH(L1428,医院2县区2人!$A$2:$A$1048576,0))</f>
        <v>1720</v>
      </c>
      <c r="P1428" s="7">
        <v>43272</v>
      </c>
      <c r="Q1428" s="6">
        <v>-13</v>
      </c>
      <c r="R1428" s="6">
        <v>21.5</v>
      </c>
      <c r="S1428" s="6">
        <v>17111823</v>
      </c>
      <c r="T1428" s="6">
        <f>INDEX(医院2县区2人!$D$2:$D$1048576,MATCH(L1428,医院2县区2人!$A$2:$A$1048576,0))</f>
        <v>0</v>
      </c>
      <c r="W1428" s="6" t="str">
        <f t="shared" si="47"/>
        <v>葡萄糖酸钙口服溶液10毫升*12支（含糖型）</v>
      </c>
      <c r="X1428" s="6" t="s">
        <v>2919</v>
      </c>
    </row>
    <row r="1429" spans="1:24" x14ac:dyDescent="0.15">
      <c r="A1429" s="7" t="str">
        <f t="shared" si="48"/>
        <v>201806</v>
      </c>
      <c r="C1429" s="6" t="str">
        <f>INDEX(工厂基础数据!$A$2:$A$1024,MATCH(X1429,工厂基础数据!$D$2:$D$1024,0))</f>
        <v>02001551</v>
      </c>
      <c r="E1429" s="6" t="str">
        <f>INDEX(工厂基础数据!$B$2:$B$1024,MATCH(X1429,工厂基础数据!$D$2:$D$1024,0))</f>
        <v>山东天士力医药有限公司</v>
      </c>
      <c r="F1429" s="6" t="e">
        <f>INDEX(商业2转码!$B$2:$B$10000,MATCH(E1429,商业2转码!$A$2:$A$10000,0))</f>
        <v>#N/A</v>
      </c>
      <c r="G1429" s="6" t="str">
        <f>INDEX(品种2编码!$A$2:$A$1048576,MATCH(W1429,品种2编码!$D$2:$D$1048576,0))</f>
        <v>0020020021ZYLC0004</v>
      </c>
      <c r="H1429" s="6" t="s">
        <v>1950</v>
      </c>
      <c r="I1429" s="6" t="s">
        <v>1869</v>
      </c>
      <c r="J1429" s="6" t="s">
        <v>3337</v>
      </c>
      <c r="L1429" s="6" t="s">
        <v>225</v>
      </c>
      <c r="M1429" s="6" t="e">
        <f>INDEX(医院2县区2人!$B$2:$B$1048576,MATCH(L1429,医院2县区2人!$A$2:$A$1048576,0))</f>
        <v>#N/A</v>
      </c>
      <c r="N1429" s="6" t="e">
        <f>INDEX(医院2县区2人!$C$2:$C$1048576,MATCH(L1429,医院2县区2人!$A$2:$A$1048576,0))</f>
        <v>#N/A</v>
      </c>
      <c r="P1429" s="7">
        <v>43272</v>
      </c>
      <c r="Q1429" s="6">
        <v>20</v>
      </c>
      <c r="R1429" s="6">
        <v>8</v>
      </c>
      <c r="S1429" s="6">
        <v>180201</v>
      </c>
      <c r="T1429" s="6" t="e">
        <f>INDEX(医院2县区2人!$D$2:$D$1048576,MATCH(L1429,医院2县区2人!$A$2:$A$1048576,0))</f>
        <v>#N/A</v>
      </c>
      <c r="W1429" s="6" t="str">
        <f t="shared" si="47"/>
        <v>罗红霉素分散片75mg*12片</v>
      </c>
      <c r="X1429" s="6" t="s">
        <v>2919</v>
      </c>
    </row>
    <row r="1430" spans="1:24" x14ac:dyDescent="0.15">
      <c r="A1430" s="7" t="str">
        <f t="shared" si="48"/>
        <v>201806</v>
      </c>
      <c r="C1430" s="6" t="str">
        <f>INDEX(工厂基础数据!$A$2:$A$1024,MATCH(X1430,工厂基础数据!$D$2:$D$1024,0))</f>
        <v>02001551</v>
      </c>
      <c r="E1430" s="6" t="str">
        <f>INDEX(工厂基础数据!$B$2:$B$1024,MATCH(X1430,工厂基础数据!$D$2:$D$1024,0))</f>
        <v>山东天士力医药有限公司</v>
      </c>
      <c r="F1430" s="6" t="e">
        <f>INDEX(商业2转码!$B$2:$B$10000,MATCH(E1430,商业2转码!$A$2:$A$10000,0))</f>
        <v>#N/A</v>
      </c>
      <c r="G1430" s="6">
        <f>INDEX(品种2编码!$A$2:$A$1048576,MATCH(W1430,品种2编码!$D$2:$D$1048576,0))</f>
        <v>0</v>
      </c>
      <c r="H1430" s="6" t="s">
        <v>768</v>
      </c>
      <c r="I1430" s="6" t="s">
        <v>1884</v>
      </c>
      <c r="J1430" s="6" t="s">
        <v>3279</v>
      </c>
      <c r="L1430" s="6" t="s">
        <v>3107</v>
      </c>
      <c r="M1430" s="6" t="e">
        <f>INDEX(医院2县区2人!$B$2:$B$1048576,MATCH(L1430,医院2县区2人!$A$2:$A$1048576,0))</f>
        <v>#N/A</v>
      </c>
      <c r="N1430" s="6" t="e">
        <f>INDEX(医院2县区2人!$C$2:$C$1048576,MATCH(L1430,医院2县区2人!$A$2:$A$1048576,0))</f>
        <v>#N/A</v>
      </c>
      <c r="P1430" s="7">
        <v>43271</v>
      </c>
      <c r="Q1430" s="6">
        <v>200</v>
      </c>
      <c r="R1430" s="6">
        <v>8</v>
      </c>
      <c r="S1430" s="6">
        <v>20180401</v>
      </c>
      <c r="T1430" s="6" t="e">
        <f>INDEX(医院2县区2人!$D$2:$D$1048576,MATCH(L1430,医院2县区2人!$A$2:$A$1048576,0))</f>
        <v>#N/A</v>
      </c>
      <c r="W1430" s="6" t="str">
        <f t="shared" si="47"/>
        <v>医用退热贴40mm*110mm*2贴</v>
      </c>
      <c r="X1430" s="6" t="s">
        <v>2919</v>
      </c>
    </row>
    <row r="1431" spans="1:24" x14ac:dyDescent="0.15">
      <c r="A1431" s="7" t="str">
        <f t="shared" si="48"/>
        <v>201806</v>
      </c>
      <c r="C1431" s="6" t="str">
        <f>INDEX(工厂基础数据!$A$2:$A$1024,MATCH(X1431,工厂基础数据!$D$2:$D$1024,0))</f>
        <v>02001551</v>
      </c>
      <c r="E1431" s="6" t="str">
        <f>INDEX(工厂基础数据!$B$2:$B$1024,MATCH(X1431,工厂基础数据!$D$2:$D$1024,0))</f>
        <v>山东天士力医药有限公司</v>
      </c>
      <c r="F1431" s="6" t="e">
        <f>INDEX(商业2转码!$B$2:$B$10000,MATCH(E1431,商业2转码!$A$2:$A$10000,0))</f>
        <v>#N/A</v>
      </c>
      <c r="G1431" s="6">
        <f>INDEX(品种2编码!$A$2:$A$1048576,MATCH(W1431,品种2编码!$D$2:$D$1048576,0))</f>
        <v>0</v>
      </c>
      <c r="H1431" s="6" t="s">
        <v>394</v>
      </c>
      <c r="I1431" s="6" t="s">
        <v>3331</v>
      </c>
      <c r="J1431" s="6" t="s">
        <v>3279</v>
      </c>
      <c r="L1431" s="6" t="s">
        <v>3311</v>
      </c>
      <c r="M1431" s="6" t="e">
        <f>INDEX(医院2县区2人!$B$2:$B$1048576,MATCH(L1431,医院2县区2人!$A$2:$A$1048576,0))</f>
        <v>#N/A</v>
      </c>
      <c r="N1431" s="6" t="e">
        <f>INDEX(医院2县区2人!$C$2:$C$1048576,MATCH(L1431,医院2县区2人!$A$2:$A$1048576,0))</f>
        <v>#N/A</v>
      </c>
      <c r="P1431" s="7">
        <v>43272</v>
      </c>
      <c r="Q1431" s="6">
        <v>30</v>
      </c>
      <c r="R1431" s="6">
        <v>12.5</v>
      </c>
      <c r="S1431" s="6">
        <v>1801024</v>
      </c>
      <c r="T1431" s="6" t="e">
        <f>INDEX(医院2县区2人!$D$2:$D$1048576,MATCH(L1431,医院2县区2人!$A$2:$A$1048576,0))</f>
        <v>#N/A</v>
      </c>
      <c r="W1431" s="6" t="str">
        <f t="shared" si="47"/>
        <v>复方铝酸铋片10片*5板</v>
      </c>
      <c r="X1431" s="6" t="s">
        <v>2919</v>
      </c>
    </row>
    <row r="1432" spans="1:24" x14ac:dyDescent="0.15">
      <c r="A1432" s="7" t="str">
        <f t="shared" si="48"/>
        <v>201806</v>
      </c>
      <c r="C1432" s="6" t="str">
        <f>INDEX(工厂基础数据!$A$2:$A$1024,MATCH(X1432,工厂基础数据!$D$2:$D$1024,0))</f>
        <v>02001551</v>
      </c>
      <c r="E1432" s="6" t="str">
        <f>INDEX(工厂基础数据!$B$2:$B$1024,MATCH(X1432,工厂基础数据!$D$2:$D$1024,0))</f>
        <v>山东天士力医药有限公司</v>
      </c>
      <c r="F1432" s="6" t="e">
        <f>INDEX(商业2转码!$B$2:$B$10000,MATCH(E1432,商业2转码!$A$2:$A$10000,0))</f>
        <v>#N/A</v>
      </c>
      <c r="G1432" s="6">
        <f>INDEX(品种2编码!$A$2:$A$1048576,MATCH(W1432,品种2编码!$D$2:$D$1048576,0))</f>
        <v>0</v>
      </c>
      <c r="H1432" s="6" t="s">
        <v>394</v>
      </c>
      <c r="I1432" s="6" t="s">
        <v>3331</v>
      </c>
      <c r="J1432" s="6" t="s">
        <v>3279</v>
      </c>
      <c r="L1432" s="6" t="s">
        <v>3302</v>
      </c>
      <c r="M1432" s="6" t="e">
        <f>INDEX(医院2县区2人!$B$2:$B$1048576,MATCH(L1432,医院2县区2人!$A$2:$A$1048576,0))</f>
        <v>#N/A</v>
      </c>
      <c r="N1432" s="6" t="e">
        <f>INDEX(医院2县区2人!$C$2:$C$1048576,MATCH(L1432,医院2县区2人!$A$2:$A$1048576,0))</f>
        <v>#N/A</v>
      </c>
      <c r="P1432" s="7">
        <v>43270</v>
      </c>
      <c r="Q1432" s="6">
        <v>10</v>
      </c>
      <c r="R1432" s="6">
        <v>12.5</v>
      </c>
      <c r="S1432" s="6">
        <v>1801024</v>
      </c>
      <c r="T1432" s="6" t="e">
        <f>INDEX(医院2县区2人!$D$2:$D$1048576,MATCH(L1432,医院2县区2人!$A$2:$A$1048576,0))</f>
        <v>#N/A</v>
      </c>
      <c r="W1432" s="6" t="str">
        <f t="shared" si="47"/>
        <v>复方铝酸铋片10片*5板</v>
      </c>
      <c r="X1432" s="6" t="s">
        <v>2919</v>
      </c>
    </row>
    <row r="1433" spans="1:24" x14ac:dyDescent="0.15">
      <c r="A1433" s="7" t="str">
        <f t="shared" si="48"/>
        <v>201806</v>
      </c>
      <c r="C1433" s="6" t="str">
        <f>INDEX(工厂基础数据!$A$2:$A$1024,MATCH(X1433,工厂基础数据!$D$2:$D$1024,0))</f>
        <v>02001551</v>
      </c>
      <c r="E1433" s="6" t="str">
        <f>INDEX(工厂基础数据!$B$2:$B$1024,MATCH(X1433,工厂基础数据!$D$2:$D$1024,0))</f>
        <v>山东天士力医药有限公司</v>
      </c>
      <c r="F1433" s="6" t="e">
        <f>INDEX(商业2转码!$B$2:$B$10000,MATCH(E1433,商业2转码!$A$2:$A$10000,0))</f>
        <v>#N/A</v>
      </c>
      <c r="G1433" s="6">
        <f>INDEX(品种2编码!$A$2:$A$1048576,MATCH(W1433,品种2编码!$D$2:$D$1048576,0))</f>
        <v>0</v>
      </c>
      <c r="H1433" s="6" t="s">
        <v>474</v>
      </c>
      <c r="I1433" s="6" t="s">
        <v>3064</v>
      </c>
      <c r="J1433" s="6" t="s">
        <v>3335</v>
      </c>
      <c r="L1433" s="6" t="s">
        <v>3312</v>
      </c>
      <c r="M1433" s="6" t="e">
        <f>INDEX(医院2县区2人!$B$2:$B$1048576,MATCH(L1433,医院2县区2人!$A$2:$A$1048576,0))</f>
        <v>#N/A</v>
      </c>
      <c r="N1433" s="6" t="e">
        <f>INDEX(医院2县区2人!$C$2:$C$1048576,MATCH(L1433,医院2县区2人!$A$2:$A$1048576,0))</f>
        <v>#N/A</v>
      </c>
      <c r="P1433" s="7">
        <v>43270</v>
      </c>
      <c r="Q1433" s="6">
        <v>100</v>
      </c>
      <c r="R1433" s="6">
        <v>44.5</v>
      </c>
      <c r="S1433" s="6">
        <v>1803029</v>
      </c>
      <c r="T1433" s="6" t="e">
        <f>INDEX(医院2县区2人!$D$2:$D$1048576,MATCH(L1433,医院2县区2人!$A$2:$A$1048576,0))</f>
        <v>#N/A</v>
      </c>
      <c r="W1433" s="6" t="str">
        <f t="shared" si="47"/>
        <v>拉西地平片4mg*30片</v>
      </c>
      <c r="X1433" s="6" t="s">
        <v>2919</v>
      </c>
    </row>
    <row r="1434" spans="1:24" x14ac:dyDescent="0.15">
      <c r="A1434" s="7" t="str">
        <f t="shared" si="48"/>
        <v>201806</v>
      </c>
      <c r="C1434" s="6" t="str">
        <f>INDEX(工厂基础数据!$A$2:$A$1024,MATCH(X1434,工厂基础数据!$D$2:$D$1024,0))</f>
        <v>02001551</v>
      </c>
      <c r="E1434" s="6" t="str">
        <f>INDEX(工厂基础数据!$B$2:$B$1024,MATCH(X1434,工厂基础数据!$D$2:$D$1024,0))</f>
        <v>山东天士力医药有限公司</v>
      </c>
      <c r="F1434" s="6" t="e">
        <f>INDEX(商业2转码!$B$2:$B$10000,MATCH(E1434,商业2转码!$A$2:$A$10000,0))</f>
        <v>#N/A</v>
      </c>
      <c r="G1434" s="6" t="str">
        <f>INDEX(品种2编码!$A$2:$A$1048576,MATCH(W1434,品种2编码!$D$2:$D$1048576,0))</f>
        <v>0020020020ZYLC0003</v>
      </c>
      <c r="H1434" s="6" t="s">
        <v>1855</v>
      </c>
      <c r="I1434" s="6" t="s">
        <v>381</v>
      </c>
      <c r="J1434" s="6" t="s">
        <v>294</v>
      </c>
      <c r="L1434" s="6" t="s">
        <v>3312</v>
      </c>
      <c r="M1434" s="6" t="e">
        <f>INDEX(医院2县区2人!$B$2:$B$1048576,MATCH(L1434,医院2县区2人!$A$2:$A$1048576,0))</f>
        <v>#N/A</v>
      </c>
      <c r="N1434" s="6" t="e">
        <f>INDEX(医院2县区2人!$C$2:$C$1048576,MATCH(L1434,医院2县区2人!$A$2:$A$1048576,0))</f>
        <v>#N/A</v>
      </c>
      <c r="P1434" s="7">
        <v>43270</v>
      </c>
      <c r="Q1434" s="6">
        <v>100</v>
      </c>
      <c r="R1434" s="6">
        <v>9</v>
      </c>
      <c r="S1434" s="6">
        <v>180301</v>
      </c>
      <c r="T1434" s="6" t="e">
        <f>INDEX(医院2县区2人!$D$2:$D$1048576,MATCH(L1434,医院2县区2人!$A$2:$A$1048576,0))</f>
        <v>#N/A</v>
      </c>
      <c r="W1434" s="6" t="str">
        <f t="shared" si="47"/>
        <v>颠茄磺苄啶片12片</v>
      </c>
      <c r="X1434" s="6" t="s">
        <v>2919</v>
      </c>
    </row>
    <row r="1435" spans="1:24" x14ac:dyDescent="0.15">
      <c r="A1435" s="7" t="str">
        <f t="shared" si="48"/>
        <v>201806</v>
      </c>
      <c r="C1435" s="6" t="str">
        <f>INDEX(工厂基础数据!$A$2:$A$1024,MATCH(X1435,工厂基础数据!$D$2:$D$1024,0))</f>
        <v>02001551</v>
      </c>
      <c r="E1435" s="6" t="str">
        <f>INDEX(工厂基础数据!$B$2:$B$1024,MATCH(X1435,工厂基础数据!$D$2:$D$1024,0))</f>
        <v>山东天士力医药有限公司</v>
      </c>
      <c r="F1435" s="6" t="e">
        <f>INDEX(商业2转码!$B$2:$B$10000,MATCH(E1435,商业2转码!$A$2:$A$10000,0))</f>
        <v>#N/A</v>
      </c>
      <c r="G1435" s="6">
        <f>INDEX(品种2编码!$A$2:$A$1048576,MATCH(W1435,品种2编码!$D$2:$D$1048576,0))</f>
        <v>0</v>
      </c>
      <c r="H1435" s="6" t="s">
        <v>394</v>
      </c>
      <c r="I1435" s="6" t="s">
        <v>3331</v>
      </c>
      <c r="J1435" s="6" t="s">
        <v>3279</v>
      </c>
      <c r="L1435" s="6" t="s">
        <v>3312</v>
      </c>
      <c r="M1435" s="6" t="e">
        <f>INDEX(医院2县区2人!$B$2:$B$1048576,MATCH(L1435,医院2县区2人!$A$2:$A$1048576,0))</f>
        <v>#N/A</v>
      </c>
      <c r="N1435" s="6" t="e">
        <f>INDEX(医院2县区2人!$C$2:$C$1048576,MATCH(L1435,医院2县区2人!$A$2:$A$1048576,0))</f>
        <v>#N/A</v>
      </c>
      <c r="P1435" s="7">
        <v>43270</v>
      </c>
      <c r="Q1435" s="6">
        <v>30</v>
      </c>
      <c r="R1435" s="6">
        <v>12.5</v>
      </c>
      <c r="S1435" s="6">
        <v>1801024</v>
      </c>
      <c r="T1435" s="6" t="e">
        <f>INDEX(医院2县区2人!$D$2:$D$1048576,MATCH(L1435,医院2县区2人!$A$2:$A$1048576,0))</f>
        <v>#N/A</v>
      </c>
      <c r="W1435" s="6" t="str">
        <f t="shared" si="47"/>
        <v>复方铝酸铋片10片*5板</v>
      </c>
      <c r="X1435" s="6" t="s">
        <v>2919</v>
      </c>
    </row>
    <row r="1436" spans="1:24" x14ac:dyDescent="0.15">
      <c r="A1436" s="7" t="str">
        <f t="shared" si="48"/>
        <v>201806</v>
      </c>
      <c r="C1436" s="6" t="str">
        <f>INDEX(工厂基础数据!$A$2:$A$1024,MATCH(X1436,工厂基础数据!$D$2:$D$1024,0))</f>
        <v>02001551</v>
      </c>
      <c r="E1436" s="6" t="str">
        <f>INDEX(工厂基础数据!$B$2:$B$1024,MATCH(X1436,工厂基础数据!$D$2:$D$1024,0))</f>
        <v>山东天士力医药有限公司</v>
      </c>
      <c r="F1436" s="6" t="e">
        <f>INDEX(商业2转码!$B$2:$B$10000,MATCH(E1436,商业2转码!$A$2:$A$10000,0))</f>
        <v>#N/A</v>
      </c>
      <c r="G1436" s="6">
        <f>INDEX(品种2编码!$A$2:$A$1048576,MATCH(W1436,品种2编码!$D$2:$D$1048576,0))</f>
        <v>0</v>
      </c>
      <c r="H1436" s="6" t="s">
        <v>1949</v>
      </c>
      <c r="I1436" s="6" t="s">
        <v>2930</v>
      </c>
      <c r="J1436" s="6" t="s">
        <v>3040</v>
      </c>
      <c r="L1436" s="6" t="s">
        <v>3305</v>
      </c>
      <c r="M1436" s="6" t="e">
        <f>INDEX(医院2县区2人!$B$2:$B$1048576,MATCH(L1436,医院2县区2人!$A$2:$A$1048576,0))</f>
        <v>#N/A</v>
      </c>
      <c r="N1436" s="6" t="e">
        <f>INDEX(医院2县区2人!$C$2:$C$1048576,MATCH(L1436,医院2县区2人!$A$2:$A$1048576,0))</f>
        <v>#N/A</v>
      </c>
      <c r="P1436" s="7">
        <v>43271</v>
      </c>
      <c r="Q1436" s="6">
        <v>20</v>
      </c>
      <c r="R1436" s="6">
        <v>25</v>
      </c>
      <c r="S1436" s="6">
        <v>18031317</v>
      </c>
      <c r="T1436" s="6" t="e">
        <f>INDEX(医院2县区2人!$D$2:$D$1048576,MATCH(L1436,医院2县区2人!$A$2:$A$1048576,0))</f>
        <v>#N/A</v>
      </c>
      <c r="W1436" s="6" t="str">
        <f t="shared" si="47"/>
        <v>葡萄糖酸锌口服溶液10ml:35mg*12支</v>
      </c>
      <c r="X1436" s="6" t="s">
        <v>2919</v>
      </c>
    </row>
    <row r="1437" spans="1:24" x14ac:dyDescent="0.15">
      <c r="A1437" s="7" t="str">
        <f t="shared" si="48"/>
        <v>201806</v>
      </c>
      <c r="C1437" s="6" t="str">
        <f>INDEX(工厂基础数据!$A$2:$A$1024,MATCH(X1437,工厂基础数据!$D$2:$D$1024,0))</f>
        <v>02001551</v>
      </c>
      <c r="E1437" s="6" t="str">
        <f>INDEX(工厂基础数据!$B$2:$B$1024,MATCH(X1437,工厂基础数据!$D$2:$D$1024,0))</f>
        <v>山东天士力医药有限公司</v>
      </c>
      <c r="F1437" s="6" t="e">
        <f>INDEX(商业2转码!$B$2:$B$10000,MATCH(E1437,商业2转码!$A$2:$A$10000,0))</f>
        <v>#N/A</v>
      </c>
      <c r="G1437" s="6" t="str">
        <f>INDEX(品种2编码!$A$2:$A$1048576,MATCH(W1437,品种2编码!$D$2:$D$1048576,0))</f>
        <v>0020050090SJZY0001</v>
      </c>
      <c r="H1437" s="6" t="s">
        <v>630</v>
      </c>
      <c r="I1437" s="6" t="s">
        <v>1850</v>
      </c>
      <c r="J1437" s="6" t="s">
        <v>3285</v>
      </c>
      <c r="L1437" s="6" t="s">
        <v>3305</v>
      </c>
      <c r="M1437" s="6" t="e">
        <f>INDEX(医院2县区2人!$B$2:$B$1048576,MATCH(L1437,医院2县区2人!$A$2:$A$1048576,0))</f>
        <v>#N/A</v>
      </c>
      <c r="N1437" s="6" t="e">
        <f>INDEX(医院2县区2人!$C$2:$C$1048576,MATCH(L1437,医院2县区2人!$A$2:$A$1048576,0))</f>
        <v>#N/A</v>
      </c>
      <c r="P1437" s="7">
        <v>43271</v>
      </c>
      <c r="Q1437" s="6">
        <v>10</v>
      </c>
      <c r="R1437" s="6">
        <v>16.5</v>
      </c>
      <c r="S1437" s="6">
        <v>17062811</v>
      </c>
      <c r="T1437" s="6" t="e">
        <f>INDEX(医院2县区2人!$D$2:$D$1048576,MATCH(L1437,医院2县区2人!$A$2:$A$1048576,0))</f>
        <v>#N/A</v>
      </c>
      <c r="W1437" s="6" t="str">
        <f t="shared" si="47"/>
        <v>双黄连口服液10ml*10支</v>
      </c>
      <c r="X1437" s="6" t="s">
        <v>2919</v>
      </c>
    </row>
    <row r="1438" spans="1:24" x14ac:dyDescent="0.15">
      <c r="A1438" s="7" t="str">
        <f t="shared" si="48"/>
        <v>201806</v>
      </c>
      <c r="C1438" s="6" t="str">
        <f>INDEX(工厂基础数据!$A$2:$A$1024,MATCH(X1438,工厂基础数据!$D$2:$D$1024,0))</f>
        <v>02001551</v>
      </c>
      <c r="E1438" s="6" t="str">
        <f>INDEX(工厂基础数据!$B$2:$B$1024,MATCH(X1438,工厂基础数据!$D$2:$D$1024,0))</f>
        <v>山东天士力医药有限公司</v>
      </c>
      <c r="F1438" s="6" t="e">
        <f>INDEX(商业2转码!$B$2:$B$10000,MATCH(E1438,商业2转码!$A$2:$A$10000,0))</f>
        <v>#N/A</v>
      </c>
      <c r="G1438" s="6">
        <f>INDEX(品种2编码!$A$2:$A$1048576,MATCH(W1438,品种2编码!$D$2:$D$1048576,0))</f>
        <v>0</v>
      </c>
      <c r="H1438" s="6" t="s">
        <v>1833</v>
      </c>
      <c r="I1438" s="6" t="s">
        <v>3332</v>
      </c>
      <c r="J1438" s="6" t="s">
        <v>3285</v>
      </c>
      <c r="L1438" s="6" t="s">
        <v>100</v>
      </c>
      <c r="M1438" s="6">
        <f>INDEX(医院2县区2人!$B$2:$B$1048576,MATCH(L1438,医院2县区2人!$A$2:$A$1048576,0))</f>
        <v>0</v>
      </c>
      <c r="N1438" s="6" t="str">
        <f>INDEX(医院2县区2人!$C$2:$C$1048576,MATCH(L1438,医院2县区2人!$A$2:$A$1048576,0))</f>
        <v>1720</v>
      </c>
      <c r="P1438" s="7">
        <v>43272</v>
      </c>
      <c r="Q1438" s="6">
        <v>-2</v>
      </c>
      <c r="R1438" s="6">
        <v>22</v>
      </c>
      <c r="S1438" s="6">
        <v>17071012</v>
      </c>
      <c r="T1438" s="6">
        <f>INDEX(医院2县区2人!$D$2:$D$1048576,MATCH(L1438,医院2县区2人!$A$2:$A$1048576,0))</f>
        <v>0</v>
      </c>
      <c r="W1438" s="6" t="str">
        <f t="shared" si="47"/>
        <v>葡萄糖酸钙口服溶液10毫升*12支（含糖型）</v>
      </c>
      <c r="X1438" s="6" t="s">
        <v>2919</v>
      </c>
    </row>
    <row r="1439" spans="1:24" x14ac:dyDescent="0.15">
      <c r="A1439" s="7" t="str">
        <f t="shared" si="48"/>
        <v>201806</v>
      </c>
      <c r="C1439" s="6" t="str">
        <f>INDEX(工厂基础数据!$A$2:$A$1024,MATCH(X1439,工厂基础数据!$D$2:$D$1024,0))</f>
        <v>02001551</v>
      </c>
      <c r="E1439" s="6" t="str">
        <f>INDEX(工厂基础数据!$B$2:$B$1024,MATCH(X1439,工厂基础数据!$D$2:$D$1024,0))</f>
        <v>山东天士力医药有限公司</v>
      </c>
      <c r="F1439" s="6" t="e">
        <f>INDEX(商业2转码!$B$2:$B$10000,MATCH(E1439,商业2转码!$A$2:$A$10000,0))</f>
        <v>#N/A</v>
      </c>
      <c r="G1439" s="6">
        <f>INDEX(品种2编码!$A$2:$A$1048576,MATCH(W1439,品种2编码!$D$2:$D$1048576,0))</f>
        <v>0</v>
      </c>
      <c r="H1439" s="6" t="s">
        <v>1949</v>
      </c>
      <c r="I1439" s="6" t="s">
        <v>2930</v>
      </c>
      <c r="J1439" s="6" t="s">
        <v>3040</v>
      </c>
      <c r="L1439" s="6" t="s">
        <v>100</v>
      </c>
      <c r="M1439" s="6">
        <f>INDEX(医院2县区2人!$B$2:$B$1048576,MATCH(L1439,医院2县区2人!$A$2:$A$1048576,0))</f>
        <v>0</v>
      </c>
      <c r="N1439" s="6" t="str">
        <f>INDEX(医院2县区2人!$C$2:$C$1048576,MATCH(L1439,医院2县区2人!$A$2:$A$1048576,0))</f>
        <v>1720</v>
      </c>
      <c r="P1439" s="7">
        <v>43272</v>
      </c>
      <c r="Q1439" s="6">
        <v>-2</v>
      </c>
      <c r="R1439" s="6">
        <v>23</v>
      </c>
      <c r="S1439" s="6">
        <v>17070427</v>
      </c>
      <c r="T1439" s="6">
        <f>INDEX(医院2县区2人!$D$2:$D$1048576,MATCH(L1439,医院2县区2人!$A$2:$A$1048576,0))</f>
        <v>0</v>
      </c>
      <c r="W1439" s="6" t="str">
        <f t="shared" si="47"/>
        <v>葡萄糖酸锌口服溶液10ml:35mg*12支</v>
      </c>
      <c r="X1439" s="6" t="s">
        <v>2919</v>
      </c>
    </row>
    <row r="1440" spans="1:24" x14ac:dyDescent="0.15">
      <c r="A1440" s="7" t="str">
        <f t="shared" si="48"/>
        <v>201806</v>
      </c>
      <c r="C1440" s="6" t="str">
        <f>INDEX(工厂基础数据!$A$2:$A$1024,MATCH(X1440,工厂基础数据!$D$2:$D$1024,0))</f>
        <v>02001551</v>
      </c>
      <c r="E1440" s="6" t="str">
        <f>INDEX(工厂基础数据!$B$2:$B$1024,MATCH(X1440,工厂基础数据!$D$2:$D$1024,0))</f>
        <v>山东天士力医药有限公司</v>
      </c>
      <c r="F1440" s="6" t="e">
        <f>INDEX(商业2转码!$B$2:$B$10000,MATCH(E1440,商业2转码!$A$2:$A$10000,0))</f>
        <v>#N/A</v>
      </c>
      <c r="G1440" s="6" t="str">
        <f>INDEX(品种2编码!$A$2:$A$1048576,MATCH(W1440,品种2编码!$D$2:$D$1048576,0))</f>
        <v>0020070001ZYZC0383</v>
      </c>
      <c r="H1440" s="6" t="s">
        <v>1849</v>
      </c>
      <c r="I1440" s="6" t="s">
        <v>1850</v>
      </c>
      <c r="J1440" s="6" t="s">
        <v>3038</v>
      </c>
      <c r="L1440" s="6" t="s">
        <v>2944</v>
      </c>
      <c r="M1440" s="6">
        <f>INDEX(医院2县区2人!$B$2:$B$1048576,MATCH(L1440,医院2县区2人!$A$2:$A$1048576,0))</f>
        <v>0</v>
      </c>
      <c r="N1440" s="6">
        <f>INDEX(医院2县区2人!$C$2:$C$1048576,MATCH(L1440,医院2县区2人!$A$2:$A$1048576,0))</f>
        <v>0</v>
      </c>
      <c r="P1440" s="7">
        <v>43266</v>
      </c>
      <c r="Q1440" s="6">
        <v>20</v>
      </c>
      <c r="R1440" s="6">
        <v>15</v>
      </c>
      <c r="S1440" s="6" t="s">
        <v>2938</v>
      </c>
      <c r="T1440" s="6">
        <f>INDEX(医院2县区2人!$D$2:$D$1048576,MATCH(L1440,医院2县区2人!$A$2:$A$1048576,0))</f>
        <v>0</v>
      </c>
      <c r="W1440" s="6" t="str">
        <f t="shared" si="47"/>
        <v>哈药牌钙铁锌口服液10ml*10支</v>
      </c>
      <c r="X1440" s="6" t="s">
        <v>2919</v>
      </c>
    </row>
    <row r="1441" spans="1:24" x14ac:dyDescent="0.15">
      <c r="A1441" s="7" t="str">
        <f t="shared" si="48"/>
        <v>201806</v>
      </c>
      <c r="C1441" s="6" t="str">
        <f>INDEX(工厂基础数据!$A$2:$A$1024,MATCH(X1441,工厂基础数据!$D$2:$D$1024,0))</f>
        <v>02001551</v>
      </c>
      <c r="E1441" s="6" t="str">
        <f>INDEX(工厂基础数据!$B$2:$B$1024,MATCH(X1441,工厂基础数据!$D$2:$D$1024,0))</f>
        <v>山东天士力医药有限公司</v>
      </c>
      <c r="F1441" s="6" t="e">
        <f>INDEX(商业2转码!$B$2:$B$10000,MATCH(E1441,商业2转码!$A$2:$A$10000,0))</f>
        <v>#N/A</v>
      </c>
      <c r="G1441" s="6">
        <f>INDEX(品种2编码!$A$2:$A$1048576,MATCH(W1441,品种2编码!$D$2:$D$1048576,0))</f>
        <v>0</v>
      </c>
      <c r="H1441" s="6" t="s">
        <v>474</v>
      </c>
      <c r="I1441" s="6" t="s">
        <v>3064</v>
      </c>
      <c r="J1441" s="6" t="s">
        <v>3335</v>
      </c>
      <c r="L1441" s="6" t="s">
        <v>2944</v>
      </c>
      <c r="M1441" s="6">
        <f>INDEX(医院2县区2人!$B$2:$B$1048576,MATCH(L1441,医院2县区2人!$A$2:$A$1048576,0))</f>
        <v>0</v>
      </c>
      <c r="N1441" s="6">
        <f>INDEX(医院2县区2人!$C$2:$C$1048576,MATCH(L1441,医院2县区2人!$A$2:$A$1048576,0))</f>
        <v>0</v>
      </c>
      <c r="P1441" s="7">
        <v>43266</v>
      </c>
      <c r="Q1441" s="6">
        <v>20</v>
      </c>
      <c r="R1441" s="6">
        <v>44.5</v>
      </c>
      <c r="S1441" s="6">
        <v>1803029</v>
      </c>
      <c r="T1441" s="6">
        <f>INDEX(医院2县区2人!$D$2:$D$1048576,MATCH(L1441,医院2县区2人!$A$2:$A$1048576,0))</f>
        <v>0</v>
      </c>
      <c r="W1441" s="6" t="str">
        <f t="shared" si="47"/>
        <v>拉西地平片4mg*30片</v>
      </c>
      <c r="X1441" s="6" t="s">
        <v>2919</v>
      </c>
    </row>
    <row r="1442" spans="1:24" x14ac:dyDescent="0.15">
      <c r="A1442" s="7" t="str">
        <f t="shared" si="48"/>
        <v>201806</v>
      </c>
      <c r="C1442" s="6" t="str">
        <f>INDEX(工厂基础数据!$A$2:$A$1024,MATCH(X1442,工厂基础数据!$D$2:$D$1024,0))</f>
        <v>02001551</v>
      </c>
      <c r="E1442" s="6" t="str">
        <f>INDEX(工厂基础数据!$B$2:$B$1024,MATCH(X1442,工厂基础数据!$D$2:$D$1024,0))</f>
        <v>山东天士力医药有限公司</v>
      </c>
      <c r="F1442" s="6" t="e">
        <f>INDEX(商业2转码!$B$2:$B$10000,MATCH(E1442,商业2转码!$A$2:$A$10000,0))</f>
        <v>#N/A</v>
      </c>
      <c r="G1442" s="6" t="str">
        <f>INDEX(品种2编码!$A$2:$A$1048576,MATCH(W1442,品种2编码!$D$2:$D$1048576,0))</f>
        <v>0020070000ZYLC0001</v>
      </c>
      <c r="H1442" s="6" t="s">
        <v>725</v>
      </c>
      <c r="I1442" s="6" t="s">
        <v>1838</v>
      </c>
      <c r="J1442" s="6" t="s">
        <v>3036</v>
      </c>
      <c r="L1442" s="6" t="s">
        <v>2945</v>
      </c>
      <c r="M1442" s="6">
        <f>INDEX(医院2县区2人!$B$2:$B$1048576,MATCH(L1442,医院2县区2人!$A$2:$A$1048576,0))</f>
        <v>0</v>
      </c>
      <c r="N1442" s="6">
        <f>INDEX(医院2县区2人!$C$2:$C$1048576,MATCH(L1442,医院2县区2人!$A$2:$A$1048576,0))</f>
        <v>0</v>
      </c>
      <c r="P1442" s="7">
        <v>43266</v>
      </c>
      <c r="Q1442" s="6">
        <v>-20</v>
      </c>
      <c r="R1442" s="6">
        <v>22</v>
      </c>
      <c r="S1442" s="6">
        <v>180105</v>
      </c>
      <c r="T1442" s="6">
        <f>INDEX(医院2县区2人!$D$2:$D$1048576,MATCH(L1442,医院2县区2人!$A$2:$A$1048576,0))</f>
        <v>0</v>
      </c>
      <c r="W1442" s="6" t="str">
        <f t="shared" si="47"/>
        <v>新盖中盖牌高钙片2.5g*36片</v>
      </c>
      <c r="X1442" s="6" t="s">
        <v>2919</v>
      </c>
    </row>
    <row r="1443" spans="1:24" x14ac:dyDescent="0.15">
      <c r="A1443" s="7" t="str">
        <f t="shared" si="48"/>
        <v>201806</v>
      </c>
      <c r="C1443" s="6" t="str">
        <f>INDEX(工厂基础数据!$A$2:$A$1024,MATCH(X1443,工厂基础数据!$D$2:$D$1024,0))</f>
        <v>02001551</v>
      </c>
      <c r="E1443" s="6" t="str">
        <f>INDEX(工厂基础数据!$B$2:$B$1024,MATCH(X1443,工厂基础数据!$D$2:$D$1024,0))</f>
        <v>山东天士力医药有限公司</v>
      </c>
      <c r="F1443" s="6" t="e">
        <f>INDEX(商业2转码!$B$2:$B$10000,MATCH(E1443,商业2转码!$A$2:$A$10000,0))</f>
        <v>#N/A</v>
      </c>
      <c r="G1443" s="6" t="str">
        <f>INDEX(品种2编码!$A$2:$A$1048576,MATCH(W1443,品种2编码!$D$2:$D$1048576,0))</f>
        <v>0020070000ZYLC0055</v>
      </c>
      <c r="H1443" s="6" t="s">
        <v>557</v>
      </c>
      <c r="I1443" s="6" t="s">
        <v>411</v>
      </c>
      <c r="J1443" s="6" t="s">
        <v>3036</v>
      </c>
      <c r="L1443" s="6" t="s">
        <v>2945</v>
      </c>
      <c r="M1443" s="6">
        <f>INDEX(医院2县区2人!$B$2:$B$1048576,MATCH(L1443,医院2县区2人!$A$2:$A$1048576,0))</f>
        <v>0</v>
      </c>
      <c r="N1443" s="6">
        <f>INDEX(医院2县区2人!$C$2:$C$1048576,MATCH(L1443,医院2县区2人!$A$2:$A$1048576,0))</f>
        <v>0</v>
      </c>
      <c r="P1443" s="7">
        <v>43266</v>
      </c>
      <c r="Q1443" s="6">
        <v>-20</v>
      </c>
      <c r="R1443" s="6">
        <v>22</v>
      </c>
      <c r="S1443" s="6">
        <v>171038</v>
      </c>
      <c r="T1443" s="6">
        <f>INDEX(医院2县区2人!$D$2:$D$1048576,MATCH(L1443,医院2县区2人!$A$2:$A$1048576,0))</f>
        <v>0</v>
      </c>
      <c r="W1443" s="6" t="str">
        <f t="shared" si="47"/>
        <v>朴雪乳酸亚铁口服液10ml*12支</v>
      </c>
      <c r="X1443" s="6" t="s">
        <v>2919</v>
      </c>
    </row>
    <row r="1444" spans="1:24" x14ac:dyDescent="0.15">
      <c r="A1444" s="7" t="str">
        <f t="shared" si="48"/>
        <v>201806</v>
      </c>
      <c r="C1444" s="6" t="str">
        <f>INDEX(工厂基础数据!$A$2:$A$1024,MATCH(X1444,工厂基础数据!$D$2:$D$1024,0))</f>
        <v>02001551</v>
      </c>
      <c r="E1444" s="6" t="str">
        <f>INDEX(工厂基础数据!$B$2:$B$1024,MATCH(X1444,工厂基础数据!$D$2:$D$1024,0))</f>
        <v>山东天士力医药有限公司</v>
      </c>
      <c r="F1444" s="6" t="e">
        <f>INDEX(商业2转码!$B$2:$B$10000,MATCH(E1444,商业2转码!$A$2:$A$10000,0))</f>
        <v>#N/A</v>
      </c>
      <c r="G1444" s="6" t="str">
        <f>INDEX(品种2编码!$A$2:$A$1048576,MATCH(W1444,品种2编码!$D$2:$D$1048576,0))</f>
        <v>0020070001ZYZC0369</v>
      </c>
      <c r="H1444" s="6" t="s">
        <v>1849</v>
      </c>
      <c r="I1444" s="6" t="s">
        <v>411</v>
      </c>
      <c r="J1444" s="6" t="s">
        <v>3279</v>
      </c>
      <c r="L1444" s="6" t="s">
        <v>2945</v>
      </c>
      <c r="M1444" s="6">
        <f>INDEX(医院2县区2人!$B$2:$B$1048576,MATCH(L1444,医院2县区2人!$A$2:$A$1048576,0))</f>
        <v>0</v>
      </c>
      <c r="N1444" s="6">
        <f>INDEX(医院2县区2人!$C$2:$C$1048576,MATCH(L1444,医院2县区2人!$A$2:$A$1048576,0))</f>
        <v>0</v>
      </c>
      <c r="P1444" s="7">
        <v>43266</v>
      </c>
      <c r="Q1444" s="6">
        <v>-20</v>
      </c>
      <c r="R1444" s="6">
        <v>18</v>
      </c>
      <c r="S1444" s="6">
        <v>1801028</v>
      </c>
      <c r="T1444" s="6">
        <f>INDEX(医院2县区2人!$D$2:$D$1048576,MATCH(L1444,医院2县区2人!$A$2:$A$1048576,0))</f>
        <v>0</v>
      </c>
      <c r="W1444" s="6" t="str">
        <f t="shared" si="47"/>
        <v>哈药牌钙铁锌口服液10ml*12支</v>
      </c>
      <c r="X1444" s="6" t="s">
        <v>2919</v>
      </c>
    </row>
    <row r="1445" spans="1:24" x14ac:dyDescent="0.15">
      <c r="A1445" s="7" t="str">
        <f t="shared" si="48"/>
        <v>201806</v>
      </c>
      <c r="C1445" s="6" t="str">
        <f>INDEX(工厂基础数据!$A$2:$A$1024,MATCH(X1445,工厂基础数据!$D$2:$D$1024,0))</f>
        <v>02001551</v>
      </c>
      <c r="E1445" s="6" t="str">
        <f>INDEX(工厂基础数据!$B$2:$B$1024,MATCH(X1445,工厂基础数据!$D$2:$D$1024,0))</f>
        <v>山东天士力医药有限公司</v>
      </c>
      <c r="F1445" s="6" t="e">
        <f>INDEX(商业2转码!$B$2:$B$10000,MATCH(E1445,商业2转码!$A$2:$A$10000,0))</f>
        <v>#N/A</v>
      </c>
      <c r="G1445" s="6" t="str">
        <f>INDEX(品种2编码!$A$2:$A$1048576,MATCH(W1445,品种2编码!$D$2:$D$1048576,0))</f>
        <v>0020070000ZYLC0001</v>
      </c>
      <c r="H1445" s="6" t="s">
        <v>725</v>
      </c>
      <c r="I1445" s="6" t="s">
        <v>1838</v>
      </c>
      <c r="J1445" s="6" t="s">
        <v>3036</v>
      </c>
      <c r="L1445" s="6" t="s">
        <v>2945</v>
      </c>
      <c r="M1445" s="6">
        <f>INDEX(医院2县区2人!$B$2:$B$1048576,MATCH(L1445,医院2县区2人!$A$2:$A$1048576,0))</f>
        <v>0</v>
      </c>
      <c r="N1445" s="6">
        <f>INDEX(医院2县区2人!$C$2:$C$1048576,MATCH(L1445,医院2县区2人!$A$2:$A$1048576,0))</f>
        <v>0</v>
      </c>
      <c r="P1445" s="7">
        <v>43266</v>
      </c>
      <c r="Q1445" s="6">
        <v>20</v>
      </c>
      <c r="R1445" s="6">
        <v>22</v>
      </c>
      <c r="S1445" s="6">
        <v>180105</v>
      </c>
      <c r="T1445" s="6">
        <f>INDEX(医院2县区2人!$D$2:$D$1048576,MATCH(L1445,医院2县区2人!$A$2:$A$1048576,0))</f>
        <v>0</v>
      </c>
      <c r="W1445" s="6" t="str">
        <f t="shared" si="47"/>
        <v>新盖中盖牌高钙片2.5g*36片</v>
      </c>
      <c r="X1445" s="6" t="s">
        <v>2919</v>
      </c>
    </row>
    <row r="1446" spans="1:24" x14ac:dyDescent="0.15">
      <c r="A1446" s="7" t="str">
        <f t="shared" si="48"/>
        <v>201806</v>
      </c>
      <c r="C1446" s="6" t="str">
        <f>INDEX(工厂基础数据!$A$2:$A$1024,MATCH(X1446,工厂基础数据!$D$2:$D$1024,0))</f>
        <v>02001551</v>
      </c>
      <c r="E1446" s="6" t="str">
        <f>INDEX(工厂基础数据!$B$2:$B$1024,MATCH(X1446,工厂基础数据!$D$2:$D$1024,0))</f>
        <v>山东天士力医药有限公司</v>
      </c>
      <c r="F1446" s="6" t="e">
        <f>INDEX(商业2转码!$B$2:$B$10000,MATCH(E1446,商业2转码!$A$2:$A$10000,0))</f>
        <v>#N/A</v>
      </c>
      <c r="G1446" s="6" t="str">
        <f>INDEX(品种2编码!$A$2:$A$1048576,MATCH(W1446,品种2编码!$D$2:$D$1048576,0))</f>
        <v>0020070001ZYZC0369</v>
      </c>
      <c r="H1446" s="6" t="s">
        <v>1849</v>
      </c>
      <c r="I1446" s="6" t="s">
        <v>411</v>
      </c>
      <c r="J1446" s="6" t="s">
        <v>3279</v>
      </c>
      <c r="L1446" s="6" t="s">
        <v>2945</v>
      </c>
      <c r="M1446" s="6">
        <f>INDEX(医院2县区2人!$B$2:$B$1048576,MATCH(L1446,医院2县区2人!$A$2:$A$1048576,0))</f>
        <v>0</v>
      </c>
      <c r="N1446" s="6">
        <f>INDEX(医院2县区2人!$C$2:$C$1048576,MATCH(L1446,医院2县区2人!$A$2:$A$1048576,0))</f>
        <v>0</v>
      </c>
      <c r="P1446" s="7">
        <v>43266</v>
      </c>
      <c r="Q1446" s="6">
        <v>20</v>
      </c>
      <c r="R1446" s="6">
        <v>18</v>
      </c>
      <c r="S1446" s="6">
        <v>1801028</v>
      </c>
      <c r="T1446" s="6">
        <f>INDEX(医院2县区2人!$D$2:$D$1048576,MATCH(L1446,医院2县区2人!$A$2:$A$1048576,0))</f>
        <v>0</v>
      </c>
      <c r="W1446" s="6" t="str">
        <f t="shared" si="47"/>
        <v>哈药牌钙铁锌口服液10ml*12支</v>
      </c>
      <c r="X1446" s="6" t="s">
        <v>2919</v>
      </c>
    </row>
    <row r="1447" spans="1:24" x14ac:dyDescent="0.15">
      <c r="A1447" s="7" t="str">
        <f t="shared" si="48"/>
        <v>201806</v>
      </c>
      <c r="C1447" s="6" t="str">
        <f>INDEX(工厂基础数据!$A$2:$A$1024,MATCH(X1447,工厂基础数据!$D$2:$D$1024,0))</f>
        <v>02001551</v>
      </c>
      <c r="E1447" s="6" t="str">
        <f>INDEX(工厂基础数据!$B$2:$B$1024,MATCH(X1447,工厂基础数据!$D$2:$D$1024,0))</f>
        <v>山东天士力医药有限公司</v>
      </c>
      <c r="F1447" s="6" t="e">
        <f>INDEX(商业2转码!$B$2:$B$10000,MATCH(E1447,商业2转码!$A$2:$A$10000,0))</f>
        <v>#N/A</v>
      </c>
      <c r="G1447" s="6" t="str">
        <f>INDEX(品种2编码!$A$2:$A$1048576,MATCH(W1447,品种2编码!$D$2:$D$1048576,0))</f>
        <v>0020070000ZYLC0055</v>
      </c>
      <c r="H1447" s="6" t="s">
        <v>557</v>
      </c>
      <c r="I1447" s="6" t="s">
        <v>411</v>
      </c>
      <c r="J1447" s="6" t="s">
        <v>3036</v>
      </c>
      <c r="L1447" s="6" t="s">
        <v>2945</v>
      </c>
      <c r="M1447" s="6">
        <f>INDEX(医院2县区2人!$B$2:$B$1048576,MATCH(L1447,医院2县区2人!$A$2:$A$1048576,0))</f>
        <v>0</v>
      </c>
      <c r="N1447" s="6">
        <f>INDEX(医院2县区2人!$C$2:$C$1048576,MATCH(L1447,医院2县区2人!$A$2:$A$1048576,0))</f>
        <v>0</v>
      </c>
      <c r="P1447" s="7">
        <v>43266</v>
      </c>
      <c r="Q1447" s="6">
        <v>20</v>
      </c>
      <c r="R1447" s="6">
        <v>22</v>
      </c>
      <c r="S1447" s="6">
        <v>171038</v>
      </c>
      <c r="T1447" s="6">
        <f>INDEX(医院2县区2人!$D$2:$D$1048576,MATCH(L1447,医院2县区2人!$A$2:$A$1048576,0))</f>
        <v>0</v>
      </c>
      <c r="W1447" s="6" t="str">
        <f t="shared" si="47"/>
        <v>朴雪乳酸亚铁口服液10ml*12支</v>
      </c>
      <c r="X1447" s="6" t="s">
        <v>2919</v>
      </c>
    </row>
    <row r="1448" spans="1:24" x14ac:dyDescent="0.15">
      <c r="A1448" s="7" t="str">
        <f t="shared" si="48"/>
        <v>201806</v>
      </c>
      <c r="C1448" s="6" t="str">
        <f>INDEX(工厂基础数据!$A$2:$A$1024,MATCH(X1448,工厂基础数据!$D$2:$D$1024,0))</f>
        <v>02001551</v>
      </c>
      <c r="E1448" s="6" t="str">
        <f>INDEX(工厂基础数据!$B$2:$B$1024,MATCH(X1448,工厂基础数据!$D$2:$D$1024,0))</f>
        <v>山东天士力医药有限公司</v>
      </c>
      <c r="F1448" s="6" t="e">
        <f>INDEX(商业2转码!$B$2:$B$10000,MATCH(E1448,商业2转码!$A$2:$A$10000,0))</f>
        <v>#N/A</v>
      </c>
      <c r="G1448" s="6">
        <f>INDEX(品种2编码!$A$2:$A$1048576,MATCH(W1448,品种2编码!$D$2:$D$1048576,0))</f>
        <v>0</v>
      </c>
      <c r="H1448" s="6" t="s">
        <v>768</v>
      </c>
      <c r="I1448" s="6" t="s">
        <v>1884</v>
      </c>
      <c r="J1448" s="6" t="s">
        <v>3279</v>
      </c>
      <c r="L1448" s="6" t="s">
        <v>2960</v>
      </c>
      <c r="M1448" s="6">
        <f>INDEX(医院2县区2人!$B$2:$B$1048576,MATCH(L1448,医院2县区2人!$A$2:$A$1048576,0))</f>
        <v>0</v>
      </c>
      <c r="N1448" s="6">
        <f>INDEX(医院2县区2人!$C$2:$C$1048576,MATCH(L1448,医院2县区2人!$A$2:$A$1048576,0))</f>
        <v>0</v>
      </c>
      <c r="P1448" s="7">
        <v>43270</v>
      </c>
      <c r="Q1448" s="6">
        <v>600</v>
      </c>
      <c r="R1448" s="6">
        <v>8</v>
      </c>
      <c r="S1448" s="6">
        <v>20180401</v>
      </c>
      <c r="T1448" s="6">
        <f>INDEX(医院2县区2人!$D$2:$D$1048576,MATCH(L1448,医院2县区2人!$A$2:$A$1048576,0))</f>
        <v>0</v>
      </c>
      <c r="W1448" s="6" t="str">
        <f t="shared" si="47"/>
        <v>医用退热贴40mm*110mm*2贴</v>
      </c>
      <c r="X1448" s="6" t="s">
        <v>2919</v>
      </c>
    </row>
    <row r="1449" spans="1:24" x14ac:dyDescent="0.15">
      <c r="A1449" s="7" t="str">
        <f t="shared" si="48"/>
        <v>201806</v>
      </c>
      <c r="C1449" s="6" t="str">
        <f>INDEX(工厂基础数据!$A$2:$A$1024,MATCH(X1449,工厂基础数据!$D$2:$D$1024,0))</f>
        <v>02001551</v>
      </c>
      <c r="E1449" s="6" t="str">
        <f>INDEX(工厂基础数据!$B$2:$B$1024,MATCH(X1449,工厂基础数据!$D$2:$D$1024,0))</f>
        <v>山东天士力医药有限公司</v>
      </c>
      <c r="F1449" s="6" t="e">
        <f>INDEX(商业2转码!$B$2:$B$10000,MATCH(E1449,商业2转码!$A$2:$A$10000,0))</f>
        <v>#N/A</v>
      </c>
      <c r="G1449" s="6" t="str">
        <f>INDEX(品种2编码!$A$2:$A$1048576,MATCH(W1449,品种2编码!$D$2:$D$1048576,0))</f>
        <v>0020070001ZYZC0369</v>
      </c>
      <c r="H1449" s="6" t="s">
        <v>1849</v>
      </c>
      <c r="I1449" s="6" t="s">
        <v>411</v>
      </c>
      <c r="J1449" s="6" t="s">
        <v>3279</v>
      </c>
      <c r="L1449" s="6" t="s">
        <v>2945</v>
      </c>
      <c r="M1449" s="6">
        <f>INDEX(医院2县区2人!$B$2:$B$1048576,MATCH(L1449,医院2县区2人!$A$2:$A$1048576,0))</f>
        <v>0</v>
      </c>
      <c r="N1449" s="6">
        <f>INDEX(医院2县区2人!$C$2:$C$1048576,MATCH(L1449,医院2县区2人!$A$2:$A$1048576,0))</f>
        <v>0</v>
      </c>
      <c r="P1449" s="7">
        <v>43266</v>
      </c>
      <c r="Q1449" s="6">
        <v>20</v>
      </c>
      <c r="R1449" s="6">
        <v>18</v>
      </c>
      <c r="S1449" s="6">
        <v>1801028</v>
      </c>
      <c r="T1449" s="6">
        <f>INDEX(医院2县区2人!$D$2:$D$1048576,MATCH(L1449,医院2县区2人!$A$2:$A$1048576,0))</f>
        <v>0</v>
      </c>
      <c r="W1449" s="6" t="str">
        <f t="shared" si="47"/>
        <v>哈药牌钙铁锌口服液10ml*12支</v>
      </c>
      <c r="X1449" s="6" t="s">
        <v>2919</v>
      </c>
    </row>
    <row r="1450" spans="1:24" x14ac:dyDescent="0.15">
      <c r="A1450" s="7" t="str">
        <f t="shared" si="48"/>
        <v>201806</v>
      </c>
      <c r="C1450" s="6" t="str">
        <f>INDEX(工厂基础数据!$A$2:$A$1024,MATCH(X1450,工厂基础数据!$D$2:$D$1024,0))</f>
        <v>02001551</v>
      </c>
      <c r="E1450" s="6" t="str">
        <f>INDEX(工厂基础数据!$B$2:$B$1024,MATCH(X1450,工厂基础数据!$D$2:$D$1024,0))</f>
        <v>山东天士力医药有限公司</v>
      </c>
      <c r="F1450" s="6" t="e">
        <f>INDEX(商业2转码!$B$2:$B$10000,MATCH(E1450,商业2转码!$A$2:$A$10000,0))</f>
        <v>#N/A</v>
      </c>
      <c r="G1450" s="6" t="str">
        <f>INDEX(品种2编码!$A$2:$A$1048576,MATCH(W1450,品种2编码!$D$2:$D$1048576,0))</f>
        <v>0020070000ZYLC0055</v>
      </c>
      <c r="H1450" s="6" t="s">
        <v>557</v>
      </c>
      <c r="I1450" s="6" t="s">
        <v>411</v>
      </c>
      <c r="J1450" s="6" t="s">
        <v>3036</v>
      </c>
      <c r="L1450" s="6" t="s">
        <v>2945</v>
      </c>
      <c r="M1450" s="6">
        <f>INDEX(医院2县区2人!$B$2:$B$1048576,MATCH(L1450,医院2县区2人!$A$2:$A$1048576,0))</f>
        <v>0</v>
      </c>
      <c r="N1450" s="6">
        <f>INDEX(医院2县区2人!$C$2:$C$1048576,MATCH(L1450,医院2县区2人!$A$2:$A$1048576,0))</f>
        <v>0</v>
      </c>
      <c r="P1450" s="7">
        <v>43266</v>
      </c>
      <c r="Q1450" s="6">
        <v>20</v>
      </c>
      <c r="R1450" s="6">
        <v>22</v>
      </c>
      <c r="S1450" s="6">
        <v>171038</v>
      </c>
      <c r="T1450" s="6">
        <f>INDEX(医院2县区2人!$D$2:$D$1048576,MATCH(L1450,医院2县区2人!$A$2:$A$1048576,0))</f>
        <v>0</v>
      </c>
      <c r="W1450" s="6" t="str">
        <f t="shared" si="47"/>
        <v>朴雪乳酸亚铁口服液10ml*12支</v>
      </c>
      <c r="X1450" s="6" t="s">
        <v>2919</v>
      </c>
    </row>
    <row r="1451" spans="1:24" x14ac:dyDescent="0.15">
      <c r="A1451" s="7" t="str">
        <f t="shared" si="48"/>
        <v>201806</v>
      </c>
      <c r="C1451" s="6" t="str">
        <f>INDEX(工厂基础数据!$A$2:$A$1024,MATCH(X1451,工厂基础数据!$D$2:$D$1024,0))</f>
        <v>02001551</v>
      </c>
      <c r="E1451" s="6" t="str">
        <f>INDEX(工厂基础数据!$B$2:$B$1024,MATCH(X1451,工厂基础数据!$D$2:$D$1024,0))</f>
        <v>山东天士力医药有限公司</v>
      </c>
      <c r="F1451" s="6" t="e">
        <f>INDEX(商业2转码!$B$2:$B$10000,MATCH(E1451,商业2转码!$A$2:$A$10000,0))</f>
        <v>#N/A</v>
      </c>
      <c r="G1451" s="6" t="str">
        <f>INDEX(品种2编码!$A$2:$A$1048576,MATCH(W1451,品种2编码!$D$2:$D$1048576,0))</f>
        <v>0020070000ZYLC0001</v>
      </c>
      <c r="H1451" s="6" t="s">
        <v>725</v>
      </c>
      <c r="I1451" s="6" t="s">
        <v>1838</v>
      </c>
      <c r="J1451" s="6" t="s">
        <v>3036</v>
      </c>
      <c r="L1451" s="6" t="s">
        <v>2945</v>
      </c>
      <c r="M1451" s="6">
        <f>INDEX(医院2县区2人!$B$2:$B$1048576,MATCH(L1451,医院2县区2人!$A$2:$A$1048576,0))</f>
        <v>0</v>
      </c>
      <c r="N1451" s="6">
        <f>INDEX(医院2县区2人!$C$2:$C$1048576,MATCH(L1451,医院2县区2人!$A$2:$A$1048576,0))</f>
        <v>0</v>
      </c>
      <c r="P1451" s="7">
        <v>43266</v>
      </c>
      <c r="Q1451" s="6">
        <v>20</v>
      </c>
      <c r="R1451" s="6">
        <v>29</v>
      </c>
      <c r="S1451" s="6">
        <v>180105</v>
      </c>
      <c r="T1451" s="6">
        <f>INDEX(医院2县区2人!$D$2:$D$1048576,MATCH(L1451,医院2县区2人!$A$2:$A$1048576,0))</f>
        <v>0</v>
      </c>
      <c r="W1451" s="6" t="str">
        <f t="shared" si="47"/>
        <v>新盖中盖牌高钙片2.5g*36片</v>
      </c>
      <c r="X1451" s="6" t="s">
        <v>2919</v>
      </c>
    </row>
    <row r="1452" spans="1:24" x14ac:dyDescent="0.15">
      <c r="A1452" s="7" t="str">
        <f t="shared" si="48"/>
        <v>201806</v>
      </c>
      <c r="C1452" s="6" t="str">
        <f>INDEX(工厂基础数据!$A$2:$A$1024,MATCH(X1452,工厂基础数据!$D$2:$D$1024,0))</f>
        <v>02001551</v>
      </c>
      <c r="E1452" s="6" t="str">
        <f>INDEX(工厂基础数据!$B$2:$B$1024,MATCH(X1452,工厂基础数据!$D$2:$D$1024,0))</f>
        <v>山东天士力医药有限公司</v>
      </c>
      <c r="F1452" s="6" t="e">
        <f>INDEX(商业2转码!$B$2:$B$10000,MATCH(E1452,商业2转码!$A$2:$A$10000,0))</f>
        <v>#N/A</v>
      </c>
      <c r="G1452" s="6" t="str">
        <f>INDEX(品种2编码!$A$2:$A$1048576,MATCH(W1452,品种2编码!$D$2:$D$1048576,0))</f>
        <v>0020070000ZYLC0001</v>
      </c>
      <c r="H1452" s="6" t="s">
        <v>725</v>
      </c>
      <c r="I1452" s="6" t="s">
        <v>1838</v>
      </c>
      <c r="J1452" s="6" t="s">
        <v>3036</v>
      </c>
      <c r="L1452" s="6" t="s">
        <v>2956</v>
      </c>
      <c r="M1452" s="6">
        <f>INDEX(医院2县区2人!$B$2:$B$1048576,MATCH(L1452,医院2县区2人!$A$2:$A$1048576,0))</f>
        <v>0</v>
      </c>
      <c r="N1452" s="6">
        <f>INDEX(医院2县区2人!$C$2:$C$1048576,MATCH(L1452,医院2县区2人!$A$2:$A$1048576,0))</f>
        <v>0</v>
      </c>
      <c r="P1452" s="7">
        <v>43266</v>
      </c>
      <c r="Q1452" s="6">
        <v>20</v>
      </c>
      <c r="R1452" s="6">
        <v>29</v>
      </c>
      <c r="S1452" s="6">
        <v>180103</v>
      </c>
      <c r="T1452" s="6">
        <f>INDEX(医院2县区2人!$D$2:$D$1048576,MATCH(L1452,医院2县区2人!$A$2:$A$1048576,0))</f>
        <v>0</v>
      </c>
      <c r="W1452" s="6" t="str">
        <f t="shared" si="47"/>
        <v>新盖中盖牌高钙片2.5g*36片</v>
      </c>
      <c r="X1452" s="6" t="s">
        <v>2919</v>
      </c>
    </row>
    <row r="1453" spans="1:24" x14ac:dyDescent="0.15">
      <c r="A1453" s="7" t="str">
        <f t="shared" si="48"/>
        <v>201806</v>
      </c>
      <c r="C1453" s="6" t="str">
        <f>INDEX(工厂基础数据!$A$2:$A$1024,MATCH(X1453,工厂基础数据!$D$2:$D$1024,0))</f>
        <v>02001551</v>
      </c>
      <c r="E1453" s="6" t="str">
        <f>INDEX(工厂基础数据!$B$2:$B$1024,MATCH(X1453,工厂基础数据!$D$2:$D$1024,0))</f>
        <v>山东天士力医药有限公司</v>
      </c>
      <c r="F1453" s="6" t="e">
        <f>INDEX(商业2转码!$B$2:$B$10000,MATCH(E1453,商业2转码!$A$2:$A$10000,0))</f>
        <v>#N/A</v>
      </c>
      <c r="G1453" s="6">
        <f>INDEX(品种2编码!$A$2:$A$1048576,MATCH(W1453,品种2编码!$D$2:$D$1048576,0))</f>
        <v>0</v>
      </c>
      <c r="H1453" s="6" t="s">
        <v>1949</v>
      </c>
      <c r="I1453" s="6" t="s">
        <v>2930</v>
      </c>
      <c r="J1453" s="6" t="s">
        <v>3040</v>
      </c>
      <c r="L1453" s="6" t="s">
        <v>3313</v>
      </c>
      <c r="M1453" s="6" t="e">
        <f>INDEX(医院2县区2人!$B$2:$B$1048576,MATCH(L1453,医院2县区2人!$A$2:$A$1048576,0))</f>
        <v>#N/A</v>
      </c>
      <c r="N1453" s="6" t="e">
        <f>INDEX(医院2县区2人!$C$2:$C$1048576,MATCH(L1453,医院2县区2人!$A$2:$A$1048576,0))</f>
        <v>#N/A</v>
      </c>
      <c r="P1453" s="7">
        <v>43266</v>
      </c>
      <c r="Q1453" s="6">
        <v>80</v>
      </c>
      <c r="R1453" s="6">
        <v>25</v>
      </c>
      <c r="S1453" s="6">
        <v>18031317</v>
      </c>
      <c r="T1453" s="6" t="e">
        <f>INDEX(医院2县区2人!$D$2:$D$1048576,MATCH(L1453,医院2县区2人!$A$2:$A$1048576,0))</f>
        <v>#N/A</v>
      </c>
      <c r="W1453" s="6" t="str">
        <f t="shared" si="47"/>
        <v>葡萄糖酸锌口服溶液10ml:35mg*12支</v>
      </c>
      <c r="X1453" s="6" t="s">
        <v>2919</v>
      </c>
    </row>
    <row r="1454" spans="1:24" x14ac:dyDescent="0.15">
      <c r="A1454" s="7" t="str">
        <f t="shared" si="48"/>
        <v>201806</v>
      </c>
      <c r="C1454" s="6" t="str">
        <f>INDEX(工厂基础数据!$A$2:$A$1024,MATCH(X1454,工厂基础数据!$D$2:$D$1024,0))</f>
        <v>02001551</v>
      </c>
      <c r="E1454" s="6" t="str">
        <f>INDEX(工厂基础数据!$B$2:$B$1024,MATCH(X1454,工厂基础数据!$D$2:$D$1024,0))</f>
        <v>山东天士力医药有限公司</v>
      </c>
      <c r="F1454" s="6" t="e">
        <f>INDEX(商业2转码!$B$2:$B$10000,MATCH(E1454,商业2转码!$A$2:$A$10000,0))</f>
        <v>#N/A</v>
      </c>
      <c r="G1454" s="6" t="str">
        <f>INDEX(品种2编码!$A$2:$A$1048576,MATCH(W1454,品种2编码!$D$2:$D$1048576,0))</f>
        <v>0020070000ZYLC0001</v>
      </c>
      <c r="H1454" s="6" t="s">
        <v>725</v>
      </c>
      <c r="I1454" s="6" t="s">
        <v>1838</v>
      </c>
      <c r="J1454" s="6" t="s">
        <v>3036</v>
      </c>
      <c r="L1454" s="6" t="s">
        <v>3313</v>
      </c>
      <c r="M1454" s="6" t="e">
        <f>INDEX(医院2县区2人!$B$2:$B$1048576,MATCH(L1454,医院2县区2人!$A$2:$A$1048576,0))</f>
        <v>#N/A</v>
      </c>
      <c r="N1454" s="6" t="e">
        <f>INDEX(医院2县区2人!$C$2:$C$1048576,MATCH(L1454,医院2县区2人!$A$2:$A$1048576,0))</f>
        <v>#N/A</v>
      </c>
      <c r="P1454" s="7">
        <v>43266</v>
      </c>
      <c r="Q1454" s="6">
        <v>20</v>
      </c>
      <c r="R1454" s="6">
        <v>29</v>
      </c>
      <c r="S1454" s="6">
        <v>180105</v>
      </c>
      <c r="T1454" s="6" t="e">
        <f>INDEX(医院2县区2人!$D$2:$D$1048576,MATCH(L1454,医院2县区2人!$A$2:$A$1048576,0))</f>
        <v>#N/A</v>
      </c>
      <c r="W1454" s="6" t="str">
        <f t="shared" si="47"/>
        <v>新盖中盖牌高钙片2.5g*36片</v>
      </c>
      <c r="X1454" s="6" t="s">
        <v>2919</v>
      </c>
    </row>
    <row r="1455" spans="1:24" x14ac:dyDescent="0.15">
      <c r="A1455" s="7" t="str">
        <f t="shared" si="48"/>
        <v>201806</v>
      </c>
      <c r="C1455" s="6" t="str">
        <f>INDEX(工厂基础数据!$A$2:$A$1024,MATCH(X1455,工厂基础数据!$D$2:$D$1024,0))</f>
        <v>02001551</v>
      </c>
      <c r="E1455" s="6" t="str">
        <f>INDEX(工厂基础数据!$B$2:$B$1024,MATCH(X1455,工厂基础数据!$D$2:$D$1024,0))</f>
        <v>山东天士力医药有限公司</v>
      </c>
      <c r="F1455" s="6" t="e">
        <f>INDEX(商业2转码!$B$2:$B$10000,MATCH(E1455,商业2转码!$A$2:$A$10000,0))</f>
        <v>#N/A</v>
      </c>
      <c r="G1455" s="6" t="str">
        <f>INDEX(品种2编码!$A$2:$A$1048576,MATCH(W1455,品种2编码!$D$2:$D$1048576,0))</f>
        <v>0020070000ZYLC0003</v>
      </c>
      <c r="H1455" s="6" t="s">
        <v>722</v>
      </c>
      <c r="I1455" s="6" t="s">
        <v>1993</v>
      </c>
      <c r="J1455" s="6" t="s">
        <v>3036</v>
      </c>
      <c r="L1455" s="6" t="s">
        <v>3313</v>
      </c>
      <c r="M1455" s="6" t="e">
        <f>INDEX(医院2县区2人!$B$2:$B$1048576,MATCH(L1455,医院2县区2人!$A$2:$A$1048576,0))</f>
        <v>#N/A</v>
      </c>
      <c r="N1455" s="6" t="e">
        <f>INDEX(医院2县区2人!$C$2:$C$1048576,MATCH(L1455,医院2县区2人!$A$2:$A$1048576,0))</f>
        <v>#N/A</v>
      </c>
      <c r="P1455" s="7">
        <v>43266</v>
      </c>
      <c r="Q1455" s="6">
        <v>30</v>
      </c>
      <c r="R1455" s="6">
        <v>24</v>
      </c>
      <c r="S1455" s="6">
        <v>180106</v>
      </c>
      <c r="T1455" s="6" t="e">
        <f>INDEX(医院2县区2人!$D$2:$D$1048576,MATCH(L1455,医院2县区2人!$A$2:$A$1048576,0))</f>
        <v>#N/A</v>
      </c>
      <c r="W1455" s="6" t="str">
        <f t="shared" si="47"/>
        <v>新盖中盖牌儿童钙片1.75g*36片</v>
      </c>
      <c r="X1455" s="6" t="s">
        <v>2919</v>
      </c>
    </row>
    <row r="1456" spans="1:24" x14ac:dyDescent="0.15">
      <c r="A1456" s="7" t="str">
        <f t="shared" si="48"/>
        <v>201806</v>
      </c>
      <c r="C1456" s="6" t="str">
        <f>INDEX(工厂基础数据!$A$2:$A$1024,MATCH(X1456,工厂基础数据!$D$2:$D$1024,0))</f>
        <v>02001551</v>
      </c>
      <c r="E1456" s="6" t="str">
        <f>INDEX(工厂基础数据!$B$2:$B$1024,MATCH(X1456,工厂基础数据!$D$2:$D$1024,0))</f>
        <v>山东天士力医药有限公司</v>
      </c>
      <c r="F1456" s="6" t="e">
        <f>INDEX(商业2转码!$B$2:$B$10000,MATCH(E1456,商业2转码!$A$2:$A$10000,0))</f>
        <v>#N/A</v>
      </c>
      <c r="G1456" s="6">
        <f>INDEX(品种2编码!$A$2:$A$1048576,MATCH(W1456,品种2编码!$D$2:$D$1048576,0))</f>
        <v>0</v>
      </c>
      <c r="H1456" s="6" t="s">
        <v>1833</v>
      </c>
      <c r="I1456" s="6" t="s">
        <v>3332</v>
      </c>
      <c r="J1456" s="6" t="s">
        <v>3285</v>
      </c>
      <c r="L1456" s="6" t="s">
        <v>3313</v>
      </c>
      <c r="M1456" s="6" t="e">
        <f>INDEX(医院2县区2人!$B$2:$B$1048576,MATCH(L1456,医院2县区2人!$A$2:$A$1048576,0))</f>
        <v>#N/A</v>
      </c>
      <c r="N1456" s="6" t="e">
        <f>INDEX(医院2县区2人!$C$2:$C$1048576,MATCH(L1456,医院2县区2人!$A$2:$A$1048576,0))</f>
        <v>#N/A</v>
      </c>
      <c r="P1456" s="7">
        <v>43266</v>
      </c>
      <c r="Q1456" s="6">
        <v>80</v>
      </c>
      <c r="R1456" s="6">
        <v>25</v>
      </c>
      <c r="S1456" s="6">
        <v>18030832</v>
      </c>
      <c r="T1456" s="6" t="e">
        <f>INDEX(医院2县区2人!$D$2:$D$1048576,MATCH(L1456,医院2县区2人!$A$2:$A$1048576,0))</f>
        <v>#N/A</v>
      </c>
      <c r="W1456" s="6" t="str">
        <f t="shared" si="47"/>
        <v>葡萄糖酸钙口服溶液10毫升*12支（含糖型）</v>
      </c>
      <c r="X1456" s="6" t="s">
        <v>2919</v>
      </c>
    </row>
    <row r="1457" spans="1:24" x14ac:dyDescent="0.15">
      <c r="A1457" s="7" t="str">
        <f t="shared" si="48"/>
        <v>201806</v>
      </c>
      <c r="C1457" s="6" t="str">
        <f>INDEX(工厂基础数据!$A$2:$A$1024,MATCH(X1457,工厂基础数据!$D$2:$D$1024,0))</f>
        <v>02001551</v>
      </c>
      <c r="E1457" s="6" t="str">
        <f>INDEX(工厂基础数据!$B$2:$B$1024,MATCH(X1457,工厂基础数据!$D$2:$D$1024,0))</f>
        <v>山东天士力医药有限公司</v>
      </c>
      <c r="F1457" s="6" t="e">
        <f>INDEX(商业2转码!$B$2:$B$10000,MATCH(E1457,商业2转码!$A$2:$A$10000,0))</f>
        <v>#N/A</v>
      </c>
      <c r="G1457" s="6" t="str">
        <f>INDEX(品种2编码!$A$2:$A$1048576,MATCH(W1457,品种2编码!$D$2:$D$1048576,0))</f>
        <v>0020030040SJET0003</v>
      </c>
      <c r="H1457" s="6" t="s">
        <v>306</v>
      </c>
      <c r="I1457" s="6" t="s">
        <v>1874</v>
      </c>
      <c r="J1457" s="6" t="s">
        <v>3279</v>
      </c>
      <c r="L1457" s="6" t="s">
        <v>3313</v>
      </c>
      <c r="M1457" s="6" t="e">
        <f>INDEX(医院2县区2人!$B$2:$B$1048576,MATCH(L1457,医院2县区2人!$A$2:$A$1048576,0))</f>
        <v>#N/A</v>
      </c>
      <c r="N1457" s="6" t="e">
        <f>INDEX(医院2县区2人!$C$2:$C$1048576,MATCH(L1457,医院2县区2人!$A$2:$A$1048576,0))</f>
        <v>#N/A</v>
      </c>
      <c r="P1457" s="7">
        <v>43266</v>
      </c>
      <c r="Q1457" s="6">
        <v>20</v>
      </c>
      <c r="R1457" s="6">
        <v>9</v>
      </c>
      <c r="S1457" s="6">
        <v>180117</v>
      </c>
      <c r="T1457" s="6" t="e">
        <f>INDEX(医院2县区2人!$D$2:$D$1048576,MATCH(L1457,医院2县区2人!$A$2:$A$1048576,0))</f>
        <v>#N/A</v>
      </c>
      <c r="W1457" s="6" t="str">
        <f t="shared" si="47"/>
        <v>氨金黄敏颗粒6g*10袋</v>
      </c>
      <c r="X1457" s="6" t="s">
        <v>2919</v>
      </c>
    </row>
    <row r="1458" spans="1:24" x14ac:dyDescent="0.15">
      <c r="A1458" s="7" t="str">
        <f t="shared" si="48"/>
        <v>201806</v>
      </c>
      <c r="C1458" s="6" t="str">
        <f>INDEX(工厂基础数据!$A$2:$A$1024,MATCH(X1458,工厂基础数据!$D$2:$D$1024,0))</f>
        <v>02001551</v>
      </c>
      <c r="E1458" s="6" t="str">
        <f>INDEX(工厂基础数据!$B$2:$B$1024,MATCH(X1458,工厂基础数据!$D$2:$D$1024,0))</f>
        <v>山东天士力医药有限公司</v>
      </c>
      <c r="F1458" s="6" t="e">
        <f>INDEX(商业2转码!$B$2:$B$10000,MATCH(E1458,商业2转码!$A$2:$A$10000,0))</f>
        <v>#N/A</v>
      </c>
      <c r="G1458" s="6" t="str">
        <f>INDEX(品种2编码!$A$2:$A$1048576,MATCH(W1458,品种2编码!$D$2:$D$1048576,0))</f>
        <v>0020070001ZYZC0369</v>
      </c>
      <c r="H1458" s="6" t="s">
        <v>1849</v>
      </c>
      <c r="I1458" s="6" t="s">
        <v>411</v>
      </c>
      <c r="J1458" s="6" t="s">
        <v>3279</v>
      </c>
      <c r="L1458" s="6" t="s">
        <v>3313</v>
      </c>
      <c r="M1458" s="6" t="e">
        <f>INDEX(医院2县区2人!$B$2:$B$1048576,MATCH(L1458,医院2县区2人!$A$2:$A$1048576,0))</f>
        <v>#N/A</v>
      </c>
      <c r="N1458" s="6" t="e">
        <f>INDEX(医院2县区2人!$C$2:$C$1048576,MATCH(L1458,医院2县区2人!$A$2:$A$1048576,0))</f>
        <v>#N/A</v>
      </c>
      <c r="P1458" s="7">
        <v>43266</v>
      </c>
      <c r="Q1458" s="6">
        <v>60</v>
      </c>
      <c r="R1458" s="6">
        <v>18</v>
      </c>
      <c r="S1458" s="6">
        <v>1801028</v>
      </c>
      <c r="T1458" s="6" t="e">
        <f>INDEX(医院2县区2人!$D$2:$D$1048576,MATCH(L1458,医院2县区2人!$A$2:$A$1048576,0))</f>
        <v>#N/A</v>
      </c>
      <c r="W1458" s="6" t="str">
        <f t="shared" si="47"/>
        <v>哈药牌钙铁锌口服液10ml*12支</v>
      </c>
      <c r="X1458" s="6" t="s">
        <v>2919</v>
      </c>
    </row>
    <row r="1459" spans="1:24" x14ac:dyDescent="0.15">
      <c r="A1459" s="7" t="str">
        <f t="shared" si="48"/>
        <v>201806</v>
      </c>
      <c r="C1459" s="6" t="str">
        <f>INDEX(工厂基础数据!$A$2:$A$1024,MATCH(X1459,工厂基础数据!$D$2:$D$1024,0))</f>
        <v>02001551</v>
      </c>
      <c r="E1459" s="6" t="str">
        <f>INDEX(工厂基础数据!$B$2:$B$1024,MATCH(X1459,工厂基础数据!$D$2:$D$1024,0))</f>
        <v>山东天士力医药有限公司</v>
      </c>
      <c r="F1459" s="6" t="e">
        <f>INDEX(商业2转码!$B$2:$B$10000,MATCH(E1459,商业2转码!$A$2:$A$10000,0))</f>
        <v>#N/A</v>
      </c>
      <c r="G1459" s="6" t="str">
        <f>INDEX(品种2编码!$A$2:$A$1048576,MATCH(W1459,品种2编码!$D$2:$D$1048576,0))</f>
        <v>0020050090SJZY0001</v>
      </c>
      <c r="H1459" s="6" t="s">
        <v>630</v>
      </c>
      <c r="I1459" s="6" t="s">
        <v>1850</v>
      </c>
      <c r="J1459" s="6" t="s">
        <v>3285</v>
      </c>
      <c r="L1459" s="6" t="s">
        <v>3314</v>
      </c>
      <c r="M1459" s="6" t="e">
        <f>INDEX(医院2县区2人!$B$2:$B$1048576,MATCH(L1459,医院2县区2人!$A$2:$A$1048576,0))</f>
        <v>#N/A</v>
      </c>
      <c r="N1459" s="6" t="e">
        <f>INDEX(医院2县区2人!$C$2:$C$1048576,MATCH(L1459,医院2县区2人!$A$2:$A$1048576,0))</f>
        <v>#N/A</v>
      </c>
      <c r="P1459" s="7">
        <v>43265</v>
      </c>
      <c r="Q1459" s="6">
        <v>70</v>
      </c>
      <c r="R1459" s="6">
        <v>16.5</v>
      </c>
      <c r="S1459" s="6">
        <v>17062811</v>
      </c>
      <c r="T1459" s="6" t="e">
        <f>INDEX(医院2县区2人!$D$2:$D$1048576,MATCH(L1459,医院2县区2人!$A$2:$A$1048576,0))</f>
        <v>#N/A</v>
      </c>
      <c r="W1459" s="6" t="str">
        <f t="shared" si="47"/>
        <v>双黄连口服液10ml*10支</v>
      </c>
      <c r="X1459" s="6" t="s">
        <v>2919</v>
      </c>
    </row>
    <row r="1460" spans="1:24" x14ac:dyDescent="0.15">
      <c r="A1460" s="7" t="str">
        <f t="shared" si="48"/>
        <v>201806</v>
      </c>
      <c r="C1460" s="6" t="str">
        <f>INDEX(工厂基础数据!$A$2:$A$1024,MATCH(X1460,工厂基础数据!$D$2:$D$1024,0))</f>
        <v>02001551</v>
      </c>
      <c r="E1460" s="6" t="str">
        <f>INDEX(工厂基础数据!$B$2:$B$1024,MATCH(X1460,工厂基础数据!$D$2:$D$1024,0))</f>
        <v>山东天士力医药有限公司</v>
      </c>
      <c r="F1460" s="6" t="e">
        <f>INDEX(商业2转码!$B$2:$B$10000,MATCH(E1460,商业2转码!$A$2:$A$10000,0))</f>
        <v>#N/A</v>
      </c>
      <c r="G1460" s="6" t="str">
        <f>INDEX(品种2编码!$A$2:$A$1048576,MATCH(W1460,品种2编码!$D$2:$D$1048576,0))</f>
        <v>0020050090SJZY0001</v>
      </c>
      <c r="H1460" s="6" t="s">
        <v>630</v>
      </c>
      <c r="I1460" s="6" t="s">
        <v>1850</v>
      </c>
      <c r="J1460" s="6" t="s">
        <v>3285</v>
      </c>
      <c r="L1460" s="6" t="s">
        <v>3314</v>
      </c>
      <c r="M1460" s="6" t="e">
        <f>INDEX(医院2县区2人!$B$2:$B$1048576,MATCH(L1460,医院2县区2人!$A$2:$A$1048576,0))</f>
        <v>#N/A</v>
      </c>
      <c r="N1460" s="6" t="e">
        <f>INDEX(医院2县区2人!$C$2:$C$1048576,MATCH(L1460,医院2县区2人!$A$2:$A$1048576,0))</f>
        <v>#N/A</v>
      </c>
      <c r="P1460" s="7">
        <v>43265</v>
      </c>
      <c r="Q1460" s="6">
        <v>1</v>
      </c>
      <c r="R1460" s="6">
        <v>16.5</v>
      </c>
      <c r="S1460" s="6">
        <v>17062811</v>
      </c>
      <c r="T1460" s="6" t="e">
        <f>INDEX(医院2县区2人!$D$2:$D$1048576,MATCH(L1460,医院2县区2人!$A$2:$A$1048576,0))</f>
        <v>#N/A</v>
      </c>
      <c r="W1460" s="6" t="str">
        <f t="shared" si="47"/>
        <v>双黄连口服液10ml*10支</v>
      </c>
      <c r="X1460" s="6" t="s">
        <v>2919</v>
      </c>
    </row>
    <row r="1461" spans="1:24" x14ac:dyDescent="0.15">
      <c r="A1461" s="7" t="str">
        <f t="shared" si="48"/>
        <v>201806</v>
      </c>
      <c r="C1461" s="6" t="str">
        <f>INDEX(工厂基础数据!$A$2:$A$1024,MATCH(X1461,工厂基础数据!$D$2:$D$1024,0))</f>
        <v>02001551</v>
      </c>
      <c r="E1461" s="6" t="str">
        <f>INDEX(工厂基础数据!$B$2:$B$1024,MATCH(X1461,工厂基础数据!$D$2:$D$1024,0))</f>
        <v>山东天士力医药有限公司</v>
      </c>
      <c r="F1461" s="6" t="e">
        <f>INDEX(商业2转码!$B$2:$B$10000,MATCH(E1461,商业2转码!$A$2:$A$10000,0))</f>
        <v>#N/A</v>
      </c>
      <c r="G1461" s="6" t="str">
        <f>INDEX(品种2编码!$A$2:$A$1048576,MATCH(W1461,品种2编码!$D$2:$D$1048576,0))</f>
        <v>0020050090SJZY0001</v>
      </c>
      <c r="H1461" s="6" t="s">
        <v>630</v>
      </c>
      <c r="I1461" s="6" t="s">
        <v>1850</v>
      </c>
      <c r="J1461" s="6" t="s">
        <v>3285</v>
      </c>
      <c r="L1461" s="6" t="s">
        <v>3314</v>
      </c>
      <c r="M1461" s="6" t="e">
        <f>INDEX(医院2县区2人!$B$2:$B$1048576,MATCH(L1461,医院2县区2人!$A$2:$A$1048576,0))</f>
        <v>#N/A</v>
      </c>
      <c r="N1461" s="6" t="e">
        <f>INDEX(医院2县区2人!$C$2:$C$1048576,MATCH(L1461,医院2县区2人!$A$2:$A$1048576,0))</f>
        <v>#N/A</v>
      </c>
      <c r="P1461" s="7">
        <v>43265</v>
      </c>
      <c r="Q1461" s="6">
        <v>1</v>
      </c>
      <c r="R1461" s="6">
        <v>16.5</v>
      </c>
      <c r="S1461" s="6">
        <v>17062811</v>
      </c>
      <c r="T1461" s="6" t="e">
        <f>INDEX(医院2县区2人!$D$2:$D$1048576,MATCH(L1461,医院2县区2人!$A$2:$A$1048576,0))</f>
        <v>#N/A</v>
      </c>
      <c r="W1461" s="6" t="str">
        <f t="shared" si="47"/>
        <v>双黄连口服液10ml*10支</v>
      </c>
      <c r="X1461" s="6" t="s">
        <v>2919</v>
      </c>
    </row>
    <row r="1462" spans="1:24" x14ac:dyDescent="0.15">
      <c r="A1462" s="7" t="str">
        <f t="shared" si="48"/>
        <v>201806</v>
      </c>
      <c r="C1462" s="6" t="str">
        <f>INDEX(工厂基础数据!$A$2:$A$1024,MATCH(X1462,工厂基础数据!$D$2:$D$1024,0))</f>
        <v>02001551</v>
      </c>
      <c r="E1462" s="6" t="str">
        <f>INDEX(工厂基础数据!$B$2:$B$1024,MATCH(X1462,工厂基础数据!$D$2:$D$1024,0))</f>
        <v>山东天士力医药有限公司</v>
      </c>
      <c r="F1462" s="6" t="e">
        <f>INDEX(商业2转码!$B$2:$B$10000,MATCH(E1462,商业2转码!$A$2:$A$10000,0))</f>
        <v>#N/A</v>
      </c>
      <c r="G1462" s="6" t="str">
        <f>INDEX(品种2编码!$A$2:$A$1048576,MATCH(W1462,品种2编码!$D$2:$D$1048576,0))</f>
        <v>0020020020ZYLC0003</v>
      </c>
      <c r="H1462" s="6" t="s">
        <v>1855</v>
      </c>
      <c r="I1462" s="6" t="s">
        <v>381</v>
      </c>
      <c r="J1462" s="6" t="s">
        <v>294</v>
      </c>
      <c r="L1462" s="6" t="s">
        <v>3311</v>
      </c>
      <c r="M1462" s="6" t="e">
        <f>INDEX(医院2县区2人!$B$2:$B$1048576,MATCH(L1462,医院2县区2人!$A$2:$A$1048576,0))</f>
        <v>#N/A</v>
      </c>
      <c r="N1462" s="6" t="e">
        <f>INDEX(医院2县区2人!$C$2:$C$1048576,MATCH(L1462,医院2县区2人!$A$2:$A$1048576,0))</f>
        <v>#N/A</v>
      </c>
      <c r="P1462" s="7">
        <v>43264</v>
      </c>
      <c r="Q1462" s="6">
        <v>30</v>
      </c>
      <c r="R1462" s="6">
        <v>9</v>
      </c>
      <c r="S1462" s="6">
        <v>180105</v>
      </c>
      <c r="T1462" s="6" t="e">
        <f>INDEX(医院2县区2人!$D$2:$D$1048576,MATCH(L1462,医院2县区2人!$A$2:$A$1048576,0))</f>
        <v>#N/A</v>
      </c>
      <c r="W1462" s="6" t="str">
        <f t="shared" si="47"/>
        <v>颠茄磺苄啶片12片</v>
      </c>
      <c r="X1462" s="6" t="s">
        <v>2919</v>
      </c>
    </row>
    <row r="1463" spans="1:24" x14ac:dyDescent="0.15">
      <c r="A1463" s="7" t="str">
        <f t="shared" si="48"/>
        <v>201806</v>
      </c>
      <c r="C1463" s="6" t="str">
        <f>INDEX(工厂基础数据!$A$2:$A$1024,MATCH(X1463,工厂基础数据!$D$2:$D$1024,0))</f>
        <v>02001551</v>
      </c>
      <c r="E1463" s="6" t="str">
        <f>INDEX(工厂基础数据!$B$2:$B$1024,MATCH(X1463,工厂基础数据!$D$2:$D$1024,0))</f>
        <v>山东天士力医药有限公司</v>
      </c>
      <c r="F1463" s="6" t="e">
        <f>INDEX(商业2转码!$B$2:$B$10000,MATCH(E1463,商业2转码!$A$2:$A$10000,0))</f>
        <v>#N/A</v>
      </c>
      <c r="G1463" s="6" t="str">
        <f>INDEX(品种2编码!$A$2:$A$1048576,MATCH(W1463,品种2编码!$D$2:$D$1048576,0))</f>
        <v>0020070000ZYLC0001</v>
      </c>
      <c r="H1463" s="6" t="s">
        <v>725</v>
      </c>
      <c r="I1463" s="6" t="s">
        <v>1838</v>
      </c>
      <c r="J1463" s="6" t="s">
        <v>3036</v>
      </c>
      <c r="L1463" s="6" t="s">
        <v>3311</v>
      </c>
      <c r="M1463" s="6" t="e">
        <f>INDEX(医院2县区2人!$B$2:$B$1048576,MATCH(L1463,医院2县区2人!$A$2:$A$1048576,0))</f>
        <v>#N/A</v>
      </c>
      <c r="N1463" s="6" t="e">
        <f>INDEX(医院2县区2人!$C$2:$C$1048576,MATCH(L1463,医院2县区2人!$A$2:$A$1048576,0))</f>
        <v>#N/A</v>
      </c>
      <c r="P1463" s="7">
        <v>43264</v>
      </c>
      <c r="Q1463" s="6">
        <v>30</v>
      </c>
      <c r="R1463" s="6">
        <v>29</v>
      </c>
      <c r="S1463" s="6">
        <v>180105</v>
      </c>
      <c r="T1463" s="6" t="e">
        <f>INDEX(医院2县区2人!$D$2:$D$1048576,MATCH(L1463,医院2县区2人!$A$2:$A$1048576,0))</f>
        <v>#N/A</v>
      </c>
      <c r="W1463" s="6" t="str">
        <f t="shared" si="47"/>
        <v>新盖中盖牌高钙片2.5g*36片</v>
      </c>
      <c r="X1463" s="6" t="s">
        <v>2919</v>
      </c>
    </row>
    <row r="1464" spans="1:24" x14ac:dyDescent="0.15">
      <c r="A1464" s="7" t="str">
        <f t="shared" si="48"/>
        <v>201806</v>
      </c>
      <c r="C1464" s="6" t="str">
        <f>INDEX(工厂基础数据!$A$2:$A$1024,MATCH(X1464,工厂基础数据!$D$2:$D$1024,0))</f>
        <v>02001551</v>
      </c>
      <c r="E1464" s="6" t="str">
        <f>INDEX(工厂基础数据!$B$2:$B$1024,MATCH(X1464,工厂基础数据!$D$2:$D$1024,0))</f>
        <v>山东天士力医药有限公司</v>
      </c>
      <c r="F1464" s="6" t="e">
        <f>INDEX(商业2转码!$B$2:$B$10000,MATCH(E1464,商业2转码!$A$2:$A$10000,0))</f>
        <v>#N/A</v>
      </c>
      <c r="G1464" s="6">
        <f>INDEX(品种2编码!$A$2:$A$1048576,MATCH(W1464,品种2编码!$D$2:$D$1048576,0))</f>
        <v>0</v>
      </c>
      <c r="H1464" s="6" t="s">
        <v>1953</v>
      </c>
      <c r="I1464" s="6" t="s">
        <v>1853</v>
      </c>
      <c r="J1464" s="6" t="s">
        <v>3279</v>
      </c>
      <c r="L1464" s="6" t="s">
        <v>3315</v>
      </c>
      <c r="M1464" s="6" t="e">
        <f>INDEX(医院2县区2人!$B$2:$B$1048576,MATCH(L1464,医院2县区2人!$A$2:$A$1048576,0))</f>
        <v>#N/A</v>
      </c>
      <c r="N1464" s="6" t="e">
        <f>INDEX(医院2县区2人!$C$2:$C$1048576,MATCH(L1464,医院2县区2人!$A$2:$A$1048576,0))</f>
        <v>#N/A</v>
      </c>
      <c r="P1464" s="7">
        <v>43265</v>
      </c>
      <c r="Q1464" s="6">
        <v>70</v>
      </c>
      <c r="R1464" s="6">
        <v>10</v>
      </c>
      <c r="S1464" s="6">
        <v>171117</v>
      </c>
      <c r="T1464" s="6" t="e">
        <f>INDEX(医院2县区2人!$D$2:$D$1048576,MATCH(L1464,医院2县区2人!$A$2:$A$1048576,0))</f>
        <v>#N/A</v>
      </c>
      <c r="W1464" s="6" t="str">
        <f t="shared" si="47"/>
        <v>小儿氨酚黄那敏颗粒2g*12袋</v>
      </c>
      <c r="X1464" s="6" t="s">
        <v>2919</v>
      </c>
    </row>
    <row r="1465" spans="1:24" x14ac:dyDescent="0.15">
      <c r="A1465" s="7" t="str">
        <f t="shared" si="48"/>
        <v>201806</v>
      </c>
      <c r="C1465" s="6" t="str">
        <f>INDEX(工厂基础数据!$A$2:$A$1024,MATCH(X1465,工厂基础数据!$D$2:$D$1024,0))</f>
        <v>02001551</v>
      </c>
      <c r="E1465" s="6" t="str">
        <f>INDEX(工厂基础数据!$B$2:$B$1024,MATCH(X1465,工厂基础数据!$D$2:$D$1024,0))</f>
        <v>山东天士力医药有限公司</v>
      </c>
      <c r="F1465" s="6" t="e">
        <f>INDEX(商业2转码!$B$2:$B$10000,MATCH(E1465,商业2转码!$A$2:$A$10000,0))</f>
        <v>#N/A</v>
      </c>
      <c r="G1465" s="6">
        <f>INDEX(品种2编码!$A$2:$A$1048576,MATCH(W1465,品种2编码!$D$2:$D$1048576,0))</f>
        <v>0</v>
      </c>
      <c r="H1465" s="6" t="s">
        <v>586</v>
      </c>
      <c r="I1465" s="6" t="s">
        <v>1901</v>
      </c>
      <c r="J1465" s="6" t="s">
        <v>3279</v>
      </c>
      <c r="L1465" s="6" t="s">
        <v>3315</v>
      </c>
      <c r="M1465" s="6" t="e">
        <f>INDEX(医院2县区2人!$B$2:$B$1048576,MATCH(L1465,医院2县区2人!$A$2:$A$1048576,0))</f>
        <v>#N/A</v>
      </c>
      <c r="N1465" s="6" t="e">
        <f>INDEX(医院2县区2人!$C$2:$C$1048576,MATCH(L1465,医院2县区2人!$A$2:$A$1048576,0))</f>
        <v>#N/A</v>
      </c>
      <c r="P1465" s="7">
        <v>43265</v>
      </c>
      <c r="Q1465" s="6">
        <v>100</v>
      </c>
      <c r="R1465" s="6">
        <v>7.7</v>
      </c>
      <c r="S1465" s="6">
        <v>1711004</v>
      </c>
      <c r="T1465" s="6" t="e">
        <f>INDEX(医院2县区2人!$D$2:$D$1048576,MATCH(L1465,医院2县区2人!$A$2:$A$1048576,0))</f>
        <v>#N/A</v>
      </c>
      <c r="W1465" s="6" t="str">
        <f t="shared" si="47"/>
        <v>人工牛黄甲硝唑胶囊10粒*3板</v>
      </c>
      <c r="X1465" s="6" t="s">
        <v>2919</v>
      </c>
    </row>
    <row r="1466" spans="1:24" x14ac:dyDescent="0.15">
      <c r="A1466" s="7" t="str">
        <f t="shared" si="48"/>
        <v>201806</v>
      </c>
      <c r="C1466" s="6" t="str">
        <f>INDEX(工厂基础数据!$A$2:$A$1024,MATCH(X1466,工厂基础数据!$D$2:$D$1024,0))</f>
        <v>02001551</v>
      </c>
      <c r="E1466" s="6" t="str">
        <f>INDEX(工厂基础数据!$B$2:$B$1024,MATCH(X1466,工厂基础数据!$D$2:$D$1024,0))</f>
        <v>山东天士力医药有限公司</v>
      </c>
      <c r="F1466" s="6" t="e">
        <f>INDEX(商业2转码!$B$2:$B$10000,MATCH(E1466,商业2转码!$A$2:$A$10000,0))</f>
        <v>#N/A</v>
      </c>
      <c r="G1466" s="6">
        <f>INDEX(品种2编码!$A$2:$A$1048576,MATCH(W1466,品种2编码!$D$2:$D$1048576,0))</f>
        <v>0</v>
      </c>
      <c r="H1466" s="6" t="s">
        <v>1833</v>
      </c>
      <c r="I1466" s="6" t="s">
        <v>3332</v>
      </c>
      <c r="J1466" s="6" t="s">
        <v>3285</v>
      </c>
      <c r="L1466" s="6" t="s">
        <v>3316</v>
      </c>
      <c r="M1466" s="6" t="e">
        <f>INDEX(医院2县区2人!$B$2:$B$1048576,MATCH(L1466,医院2县区2人!$A$2:$A$1048576,0))</f>
        <v>#N/A</v>
      </c>
      <c r="N1466" s="6" t="e">
        <f>INDEX(医院2县区2人!$C$2:$C$1048576,MATCH(L1466,医院2县区2人!$A$2:$A$1048576,0))</f>
        <v>#N/A</v>
      </c>
      <c r="P1466" s="7">
        <v>43265</v>
      </c>
      <c r="Q1466" s="6">
        <v>20</v>
      </c>
      <c r="R1466" s="6">
        <v>25</v>
      </c>
      <c r="S1466" s="6">
        <v>18030832</v>
      </c>
      <c r="T1466" s="6" t="e">
        <f>INDEX(医院2县区2人!$D$2:$D$1048576,MATCH(L1466,医院2县区2人!$A$2:$A$1048576,0))</f>
        <v>#N/A</v>
      </c>
      <c r="W1466" s="6" t="str">
        <f t="shared" si="47"/>
        <v>葡萄糖酸钙口服溶液10毫升*12支（含糖型）</v>
      </c>
      <c r="X1466" s="6" t="s">
        <v>2919</v>
      </c>
    </row>
    <row r="1467" spans="1:24" x14ac:dyDescent="0.15">
      <c r="A1467" s="7" t="str">
        <f t="shared" si="48"/>
        <v>201806</v>
      </c>
      <c r="C1467" s="6" t="str">
        <f>INDEX(工厂基础数据!$A$2:$A$1024,MATCH(X1467,工厂基础数据!$D$2:$D$1024,0))</f>
        <v>02001551</v>
      </c>
      <c r="E1467" s="6" t="str">
        <f>INDEX(工厂基础数据!$B$2:$B$1024,MATCH(X1467,工厂基础数据!$D$2:$D$1024,0))</f>
        <v>山东天士力医药有限公司</v>
      </c>
      <c r="F1467" s="6" t="e">
        <f>INDEX(商业2转码!$B$2:$B$10000,MATCH(E1467,商业2转码!$A$2:$A$10000,0))</f>
        <v>#N/A</v>
      </c>
      <c r="G1467" s="6" t="str">
        <f>INDEX(品种2编码!$A$2:$A$1048576,MATCH(W1467,品种2编码!$D$2:$D$1048576,0))</f>
        <v>0020020021ZYLC0004</v>
      </c>
      <c r="H1467" s="6" t="s">
        <v>1950</v>
      </c>
      <c r="I1467" s="6" t="s">
        <v>1869</v>
      </c>
      <c r="J1467" s="6" t="s">
        <v>3337</v>
      </c>
      <c r="L1467" s="6" t="s">
        <v>3306</v>
      </c>
      <c r="M1467" s="6" t="e">
        <f>INDEX(医院2县区2人!$B$2:$B$1048576,MATCH(L1467,医院2县区2人!$A$2:$A$1048576,0))</f>
        <v>#N/A</v>
      </c>
      <c r="N1467" s="6" t="e">
        <f>INDEX(医院2县区2人!$C$2:$C$1048576,MATCH(L1467,医院2县区2人!$A$2:$A$1048576,0))</f>
        <v>#N/A</v>
      </c>
      <c r="P1467" s="7">
        <v>43265</v>
      </c>
      <c r="Q1467" s="6">
        <v>20</v>
      </c>
      <c r="R1467" s="6">
        <v>8</v>
      </c>
      <c r="S1467" s="6">
        <v>180104</v>
      </c>
      <c r="T1467" s="6" t="e">
        <f>INDEX(医院2县区2人!$D$2:$D$1048576,MATCH(L1467,医院2县区2人!$A$2:$A$1048576,0))</f>
        <v>#N/A</v>
      </c>
      <c r="W1467" s="6" t="str">
        <f t="shared" si="47"/>
        <v>罗红霉素分散片75mg*12片</v>
      </c>
      <c r="X1467" s="6" t="s">
        <v>2919</v>
      </c>
    </row>
    <row r="1468" spans="1:24" x14ac:dyDescent="0.15">
      <c r="A1468" s="7" t="str">
        <f t="shared" si="48"/>
        <v>201806</v>
      </c>
      <c r="C1468" s="6" t="str">
        <f>INDEX(工厂基础数据!$A$2:$A$1024,MATCH(X1468,工厂基础数据!$D$2:$D$1024,0))</f>
        <v>02001551</v>
      </c>
      <c r="E1468" s="6" t="str">
        <f>INDEX(工厂基础数据!$B$2:$B$1024,MATCH(X1468,工厂基础数据!$D$2:$D$1024,0))</f>
        <v>山东天士力医药有限公司</v>
      </c>
      <c r="F1468" s="6" t="e">
        <f>INDEX(商业2转码!$B$2:$B$10000,MATCH(E1468,商业2转码!$A$2:$A$10000,0))</f>
        <v>#N/A</v>
      </c>
      <c r="G1468" s="6">
        <f>INDEX(品种2编码!$A$2:$A$1048576,MATCH(W1468,品种2编码!$D$2:$D$1048576,0))</f>
        <v>0</v>
      </c>
      <c r="H1468" s="6" t="s">
        <v>1833</v>
      </c>
      <c r="I1468" s="6" t="s">
        <v>3332</v>
      </c>
      <c r="J1468" s="6" t="s">
        <v>3285</v>
      </c>
      <c r="L1468" s="6" t="s">
        <v>3307</v>
      </c>
      <c r="M1468" s="6" t="e">
        <f>INDEX(医院2县区2人!$B$2:$B$1048576,MATCH(L1468,医院2县区2人!$A$2:$A$1048576,0))</f>
        <v>#N/A</v>
      </c>
      <c r="N1468" s="6" t="e">
        <f>INDEX(医院2县区2人!$C$2:$C$1048576,MATCH(L1468,医院2县区2人!$A$2:$A$1048576,0))</f>
        <v>#N/A</v>
      </c>
      <c r="P1468" s="7">
        <v>43266</v>
      </c>
      <c r="Q1468" s="6">
        <v>5</v>
      </c>
      <c r="R1468" s="6">
        <v>25</v>
      </c>
      <c r="S1468" s="6">
        <v>18030832</v>
      </c>
      <c r="T1468" s="6" t="e">
        <f>INDEX(医院2县区2人!$D$2:$D$1048576,MATCH(L1468,医院2县区2人!$A$2:$A$1048576,0))</f>
        <v>#N/A</v>
      </c>
      <c r="W1468" s="6" t="str">
        <f t="shared" si="47"/>
        <v>葡萄糖酸钙口服溶液10毫升*12支（含糖型）</v>
      </c>
      <c r="X1468" s="6" t="s">
        <v>2919</v>
      </c>
    </row>
    <row r="1469" spans="1:24" x14ac:dyDescent="0.15">
      <c r="A1469" s="7" t="str">
        <f t="shared" si="48"/>
        <v>201806</v>
      </c>
      <c r="C1469" s="6" t="str">
        <f>INDEX(工厂基础数据!$A$2:$A$1024,MATCH(X1469,工厂基础数据!$D$2:$D$1024,0))</f>
        <v>02001551</v>
      </c>
      <c r="E1469" s="6" t="str">
        <f>INDEX(工厂基础数据!$B$2:$B$1024,MATCH(X1469,工厂基础数据!$D$2:$D$1024,0))</f>
        <v>山东天士力医药有限公司</v>
      </c>
      <c r="F1469" s="6" t="e">
        <f>INDEX(商业2转码!$B$2:$B$10000,MATCH(E1469,商业2转码!$A$2:$A$10000,0))</f>
        <v>#N/A</v>
      </c>
      <c r="G1469" s="6" t="str">
        <f>INDEX(品种2编码!$A$2:$A$1048576,MATCH(W1469,品种2编码!$D$2:$D$1048576,0))</f>
        <v>0020050090SJZY0001</v>
      </c>
      <c r="H1469" s="6" t="s">
        <v>630</v>
      </c>
      <c r="I1469" s="6" t="s">
        <v>1850</v>
      </c>
      <c r="J1469" s="6" t="s">
        <v>3285</v>
      </c>
      <c r="L1469" s="6" t="s">
        <v>3307</v>
      </c>
      <c r="M1469" s="6" t="e">
        <f>INDEX(医院2县区2人!$B$2:$B$1048576,MATCH(L1469,医院2县区2人!$A$2:$A$1048576,0))</f>
        <v>#N/A</v>
      </c>
      <c r="N1469" s="6" t="e">
        <f>INDEX(医院2县区2人!$C$2:$C$1048576,MATCH(L1469,医院2县区2人!$A$2:$A$1048576,0))</f>
        <v>#N/A</v>
      </c>
      <c r="P1469" s="7">
        <v>43266</v>
      </c>
      <c r="Q1469" s="6">
        <v>5</v>
      </c>
      <c r="R1469" s="6">
        <v>16.5</v>
      </c>
      <c r="S1469" s="6">
        <v>17062811</v>
      </c>
      <c r="T1469" s="6" t="e">
        <f>INDEX(医院2县区2人!$D$2:$D$1048576,MATCH(L1469,医院2县区2人!$A$2:$A$1048576,0))</f>
        <v>#N/A</v>
      </c>
      <c r="W1469" s="6" t="str">
        <f t="shared" si="47"/>
        <v>双黄连口服液10ml*10支</v>
      </c>
      <c r="X1469" s="6" t="s">
        <v>2919</v>
      </c>
    </row>
    <row r="1470" spans="1:24" x14ac:dyDescent="0.15">
      <c r="A1470" s="7" t="str">
        <f t="shared" si="48"/>
        <v>201806</v>
      </c>
      <c r="C1470" s="6" t="str">
        <f>INDEX(工厂基础数据!$A$2:$A$1024,MATCH(X1470,工厂基础数据!$D$2:$D$1024,0))</f>
        <v>02001551</v>
      </c>
      <c r="E1470" s="6" t="str">
        <f>INDEX(工厂基础数据!$B$2:$B$1024,MATCH(X1470,工厂基础数据!$D$2:$D$1024,0))</f>
        <v>山东天士力医药有限公司</v>
      </c>
      <c r="F1470" s="6" t="e">
        <f>INDEX(商业2转码!$B$2:$B$10000,MATCH(E1470,商业2转码!$A$2:$A$10000,0))</f>
        <v>#N/A</v>
      </c>
      <c r="G1470" s="6" t="str">
        <f>INDEX(品种2编码!$A$2:$A$1048576,MATCH(W1470,品种2编码!$D$2:$D$1048576,0))</f>
        <v>0020050090SJZY0001</v>
      </c>
      <c r="H1470" s="6" t="s">
        <v>630</v>
      </c>
      <c r="I1470" s="6" t="s">
        <v>1850</v>
      </c>
      <c r="J1470" s="6" t="s">
        <v>3285</v>
      </c>
      <c r="L1470" s="6" t="s">
        <v>3305</v>
      </c>
      <c r="M1470" s="6" t="e">
        <f>INDEX(医院2县区2人!$B$2:$B$1048576,MATCH(L1470,医院2县区2人!$A$2:$A$1048576,0))</f>
        <v>#N/A</v>
      </c>
      <c r="N1470" s="6" t="e">
        <f>INDEX(医院2县区2人!$C$2:$C$1048576,MATCH(L1470,医院2县区2人!$A$2:$A$1048576,0))</f>
        <v>#N/A</v>
      </c>
      <c r="P1470" s="7">
        <v>43263</v>
      </c>
      <c r="Q1470" s="6">
        <v>5</v>
      </c>
      <c r="R1470" s="6">
        <v>16.5</v>
      </c>
      <c r="S1470" s="6">
        <v>17062811</v>
      </c>
      <c r="T1470" s="6" t="e">
        <f>INDEX(医院2县区2人!$D$2:$D$1048576,MATCH(L1470,医院2县区2人!$A$2:$A$1048576,0))</f>
        <v>#N/A</v>
      </c>
      <c r="W1470" s="6" t="str">
        <f t="shared" si="47"/>
        <v>双黄连口服液10ml*10支</v>
      </c>
      <c r="X1470" s="6" t="s">
        <v>2919</v>
      </c>
    </row>
    <row r="1471" spans="1:24" x14ac:dyDescent="0.15">
      <c r="A1471" s="7" t="str">
        <f t="shared" si="48"/>
        <v>201806</v>
      </c>
      <c r="C1471" s="6" t="str">
        <f>INDEX(工厂基础数据!$A$2:$A$1024,MATCH(X1471,工厂基础数据!$D$2:$D$1024,0))</f>
        <v>02001551</v>
      </c>
      <c r="E1471" s="6" t="str">
        <f>INDEX(工厂基础数据!$B$2:$B$1024,MATCH(X1471,工厂基础数据!$D$2:$D$1024,0))</f>
        <v>山东天士力医药有限公司</v>
      </c>
      <c r="F1471" s="6" t="e">
        <f>INDEX(商业2转码!$B$2:$B$10000,MATCH(E1471,商业2转码!$A$2:$A$10000,0))</f>
        <v>#N/A</v>
      </c>
      <c r="G1471" s="6" t="str">
        <f>INDEX(品种2编码!$A$2:$A$1048576,MATCH(W1471,品种2编码!$D$2:$D$1048576,0))</f>
        <v>0020020021ZYLC0004</v>
      </c>
      <c r="H1471" s="6" t="s">
        <v>1950</v>
      </c>
      <c r="I1471" s="6" t="s">
        <v>1869</v>
      </c>
      <c r="J1471" s="6" t="s">
        <v>3337</v>
      </c>
      <c r="L1471" s="6" t="s">
        <v>3305</v>
      </c>
      <c r="M1471" s="6" t="e">
        <f>INDEX(医院2县区2人!$B$2:$B$1048576,MATCH(L1471,医院2县区2人!$A$2:$A$1048576,0))</f>
        <v>#N/A</v>
      </c>
      <c r="N1471" s="6" t="e">
        <f>INDEX(医院2县区2人!$C$2:$C$1048576,MATCH(L1471,医院2县区2人!$A$2:$A$1048576,0))</f>
        <v>#N/A</v>
      </c>
      <c r="P1471" s="7">
        <v>43263</v>
      </c>
      <c r="Q1471" s="6">
        <v>10</v>
      </c>
      <c r="R1471" s="6">
        <v>8</v>
      </c>
      <c r="S1471" s="6">
        <v>180104</v>
      </c>
      <c r="T1471" s="6" t="e">
        <f>INDEX(医院2县区2人!$D$2:$D$1048576,MATCH(L1471,医院2县区2人!$A$2:$A$1048576,0))</f>
        <v>#N/A</v>
      </c>
      <c r="W1471" s="6" t="str">
        <f t="shared" si="47"/>
        <v>罗红霉素分散片75mg*12片</v>
      </c>
      <c r="X1471" s="6" t="s">
        <v>2919</v>
      </c>
    </row>
    <row r="1472" spans="1:24" x14ac:dyDescent="0.15">
      <c r="A1472" s="7" t="str">
        <f t="shared" si="48"/>
        <v>201806</v>
      </c>
      <c r="C1472" s="6" t="str">
        <f>INDEX(工厂基础数据!$A$2:$A$1024,MATCH(X1472,工厂基础数据!$D$2:$D$1024,0))</f>
        <v>02001551</v>
      </c>
      <c r="E1472" s="6" t="str">
        <f>INDEX(工厂基础数据!$B$2:$B$1024,MATCH(X1472,工厂基础数据!$D$2:$D$1024,0))</f>
        <v>山东天士力医药有限公司</v>
      </c>
      <c r="F1472" s="6" t="e">
        <f>INDEX(商业2转码!$B$2:$B$10000,MATCH(E1472,商业2转码!$A$2:$A$10000,0))</f>
        <v>#N/A</v>
      </c>
      <c r="G1472" s="6" t="str">
        <f>INDEX(品种2编码!$A$2:$A$1048576,MATCH(W1472,品种2编码!$D$2:$D$1048576,0))</f>
        <v>0020050090SJZY0001</v>
      </c>
      <c r="H1472" s="6" t="s">
        <v>630</v>
      </c>
      <c r="I1472" s="6" t="s">
        <v>1850</v>
      </c>
      <c r="J1472" s="6" t="s">
        <v>3285</v>
      </c>
      <c r="L1472" s="6" t="s">
        <v>3317</v>
      </c>
      <c r="M1472" s="6" t="e">
        <f>INDEX(医院2县区2人!$B$2:$B$1048576,MATCH(L1472,医院2县区2人!$A$2:$A$1048576,0))</f>
        <v>#N/A</v>
      </c>
      <c r="N1472" s="6" t="e">
        <f>INDEX(医院2县区2人!$C$2:$C$1048576,MATCH(L1472,医院2县区2人!$A$2:$A$1048576,0))</f>
        <v>#N/A</v>
      </c>
      <c r="P1472" s="7">
        <v>43262</v>
      </c>
      <c r="Q1472" s="6">
        <v>90</v>
      </c>
      <c r="R1472" s="6">
        <v>16.5</v>
      </c>
      <c r="S1472" s="6">
        <v>17062811</v>
      </c>
      <c r="T1472" s="6" t="e">
        <f>INDEX(医院2县区2人!$D$2:$D$1048576,MATCH(L1472,医院2县区2人!$A$2:$A$1048576,0))</f>
        <v>#N/A</v>
      </c>
      <c r="W1472" s="6" t="str">
        <f t="shared" si="47"/>
        <v>双黄连口服液10ml*10支</v>
      </c>
      <c r="X1472" s="6" t="s">
        <v>2919</v>
      </c>
    </row>
    <row r="1473" spans="1:24" x14ac:dyDescent="0.15">
      <c r="A1473" s="7" t="str">
        <f t="shared" si="48"/>
        <v>201806</v>
      </c>
      <c r="C1473" s="6" t="str">
        <f>INDEX(工厂基础数据!$A$2:$A$1024,MATCH(X1473,工厂基础数据!$D$2:$D$1024,0))</f>
        <v>02001551</v>
      </c>
      <c r="E1473" s="6" t="str">
        <f>INDEX(工厂基础数据!$B$2:$B$1024,MATCH(X1473,工厂基础数据!$D$2:$D$1024,0))</f>
        <v>山东天士力医药有限公司</v>
      </c>
      <c r="F1473" s="6" t="e">
        <f>INDEX(商业2转码!$B$2:$B$10000,MATCH(E1473,商业2转码!$A$2:$A$10000,0))</f>
        <v>#N/A</v>
      </c>
      <c r="G1473" s="6" t="str">
        <f>INDEX(品种2编码!$A$2:$A$1048576,MATCH(W1473,品种2编码!$D$2:$D$1048576,0))</f>
        <v>0020070000ZYLC0001</v>
      </c>
      <c r="H1473" s="6" t="s">
        <v>725</v>
      </c>
      <c r="I1473" s="6" t="s">
        <v>1838</v>
      </c>
      <c r="J1473" s="6" t="s">
        <v>3036</v>
      </c>
      <c r="L1473" s="6" t="s">
        <v>3317</v>
      </c>
      <c r="M1473" s="6" t="e">
        <f>INDEX(医院2县区2人!$B$2:$B$1048576,MATCH(L1473,医院2县区2人!$A$2:$A$1048576,0))</f>
        <v>#N/A</v>
      </c>
      <c r="N1473" s="6" t="e">
        <f>INDEX(医院2县区2人!$C$2:$C$1048576,MATCH(L1473,医院2县区2人!$A$2:$A$1048576,0))</f>
        <v>#N/A</v>
      </c>
      <c r="P1473" s="7">
        <v>43262</v>
      </c>
      <c r="Q1473" s="6">
        <v>50</v>
      </c>
      <c r="R1473" s="6">
        <v>29</v>
      </c>
      <c r="S1473" s="6">
        <v>180105</v>
      </c>
      <c r="T1473" s="6" t="e">
        <f>INDEX(医院2县区2人!$D$2:$D$1048576,MATCH(L1473,医院2县区2人!$A$2:$A$1048576,0))</f>
        <v>#N/A</v>
      </c>
      <c r="W1473" s="6" t="str">
        <f t="shared" ref="W1473:W1536" si="49">H1473&amp;I1473</f>
        <v>新盖中盖牌高钙片2.5g*36片</v>
      </c>
      <c r="X1473" s="6" t="s">
        <v>2919</v>
      </c>
    </row>
    <row r="1474" spans="1:24" x14ac:dyDescent="0.15">
      <c r="A1474" s="7" t="str">
        <f t="shared" ref="A1474:A1537" si="50">IF(MONTH(P1474)&lt;10,YEAR(P1474)&amp;"0"&amp;MONTH(P1474),YEAR(P1474)&amp;MONTH(P1474))</f>
        <v>201806</v>
      </c>
      <c r="C1474" s="6" t="str">
        <f>INDEX(工厂基础数据!$A$2:$A$1024,MATCH(X1474,工厂基础数据!$D$2:$D$1024,0))</f>
        <v>02001551</v>
      </c>
      <c r="E1474" s="6" t="str">
        <f>INDEX(工厂基础数据!$B$2:$B$1024,MATCH(X1474,工厂基础数据!$D$2:$D$1024,0))</f>
        <v>山东天士力医药有限公司</v>
      </c>
      <c r="F1474" s="6" t="e">
        <f>INDEX(商业2转码!$B$2:$B$10000,MATCH(E1474,商业2转码!$A$2:$A$10000,0))</f>
        <v>#N/A</v>
      </c>
      <c r="G1474" s="6">
        <f>INDEX(品种2编码!$A$2:$A$1048576,MATCH(W1474,品种2编码!$D$2:$D$1048576,0))</f>
        <v>0</v>
      </c>
      <c r="H1474" s="6" t="s">
        <v>1833</v>
      </c>
      <c r="I1474" s="6" t="s">
        <v>3332</v>
      </c>
      <c r="J1474" s="6" t="s">
        <v>3285</v>
      </c>
      <c r="L1474" s="6" t="s">
        <v>3318</v>
      </c>
      <c r="M1474" s="6" t="e">
        <f>INDEX(医院2县区2人!$B$2:$B$1048576,MATCH(L1474,医院2县区2人!$A$2:$A$1048576,0))</f>
        <v>#N/A</v>
      </c>
      <c r="N1474" s="6" t="e">
        <f>INDEX(医院2县区2人!$C$2:$C$1048576,MATCH(L1474,医院2县区2人!$A$2:$A$1048576,0))</f>
        <v>#N/A</v>
      </c>
      <c r="P1474" s="7">
        <v>43259</v>
      </c>
      <c r="Q1474" s="6">
        <v>80</v>
      </c>
      <c r="R1474" s="6">
        <v>25</v>
      </c>
      <c r="S1474" s="6">
        <v>18030832</v>
      </c>
      <c r="T1474" s="6" t="e">
        <f>INDEX(医院2县区2人!$D$2:$D$1048576,MATCH(L1474,医院2县区2人!$A$2:$A$1048576,0))</f>
        <v>#N/A</v>
      </c>
      <c r="W1474" s="6" t="str">
        <f t="shared" si="49"/>
        <v>葡萄糖酸钙口服溶液10毫升*12支（含糖型）</v>
      </c>
      <c r="X1474" s="6" t="s">
        <v>2919</v>
      </c>
    </row>
    <row r="1475" spans="1:24" x14ac:dyDescent="0.15">
      <c r="A1475" s="7" t="str">
        <f t="shared" si="50"/>
        <v>201806</v>
      </c>
      <c r="C1475" s="6" t="str">
        <f>INDEX(工厂基础数据!$A$2:$A$1024,MATCH(X1475,工厂基础数据!$D$2:$D$1024,0))</f>
        <v>02001551</v>
      </c>
      <c r="E1475" s="6" t="str">
        <f>INDEX(工厂基础数据!$B$2:$B$1024,MATCH(X1475,工厂基础数据!$D$2:$D$1024,0))</f>
        <v>山东天士力医药有限公司</v>
      </c>
      <c r="F1475" s="6" t="e">
        <f>INDEX(商业2转码!$B$2:$B$10000,MATCH(E1475,商业2转码!$A$2:$A$10000,0))</f>
        <v>#N/A</v>
      </c>
      <c r="G1475" s="6" t="str">
        <f>INDEX(品种2编码!$A$2:$A$1048576,MATCH(W1475,品种2编码!$D$2:$D$1048576,0))</f>
        <v>0020050090SJZY0001</v>
      </c>
      <c r="H1475" s="6" t="s">
        <v>630</v>
      </c>
      <c r="I1475" s="6" t="s">
        <v>1850</v>
      </c>
      <c r="J1475" s="6" t="s">
        <v>3285</v>
      </c>
      <c r="L1475" s="6" t="s">
        <v>3318</v>
      </c>
      <c r="M1475" s="6" t="e">
        <f>INDEX(医院2县区2人!$B$2:$B$1048576,MATCH(L1475,医院2县区2人!$A$2:$A$1048576,0))</f>
        <v>#N/A</v>
      </c>
      <c r="N1475" s="6" t="e">
        <f>INDEX(医院2县区2人!$C$2:$C$1048576,MATCH(L1475,医院2县区2人!$A$2:$A$1048576,0))</f>
        <v>#N/A</v>
      </c>
      <c r="P1475" s="7">
        <v>43259</v>
      </c>
      <c r="Q1475" s="6">
        <v>90</v>
      </c>
      <c r="R1475" s="6">
        <v>16.5</v>
      </c>
      <c r="S1475" s="6">
        <v>17062811</v>
      </c>
      <c r="T1475" s="6" t="e">
        <f>INDEX(医院2县区2人!$D$2:$D$1048576,MATCH(L1475,医院2县区2人!$A$2:$A$1048576,0))</f>
        <v>#N/A</v>
      </c>
      <c r="W1475" s="6" t="str">
        <f t="shared" si="49"/>
        <v>双黄连口服液10ml*10支</v>
      </c>
      <c r="X1475" s="6" t="s">
        <v>2919</v>
      </c>
    </row>
    <row r="1476" spans="1:24" x14ac:dyDescent="0.15">
      <c r="A1476" s="7" t="str">
        <f t="shared" si="50"/>
        <v>201806</v>
      </c>
      <c r="C1476" s="6" t="str">
        <f>INDEX(工厂基础数据!$A$2:$A$1024,MATCH(X1476,工厂基础数据!$D$2:$D$1024,0))</f>
        <v>02001551</v>
      </c>
      <c r="E1476" s="6" t="str">
        <f>INDEX(工厂基础数据!$B$2:$B$1024,MATCH(X1476,工厂基础数据!$D$2:$D$1024,0))</f>
        <v>山东天士力医药有限公司</v>
      </c>
      <c r="F1476" s="6" t="e">
        <f>INDEX(商业2转码!$B$2:$B$10000,MATCH(E1476,商业2转码!$A$2:$A$10000,0))</f>
        <v>#N/A</v>
      </c>
      <c r="G1476" s="6">
        <f>INDEX(品种2编码!$A$2:$A$1048576,MATCH(W1476,品种2编码!$D$2:$D$1048576,0))</f>
        <v>0</v>
      </c>
      <c r="H1476" s="6" t="s">
        <v>474</v>
      </c>
      <c r="I1476" s="6" t="s">
        <v>3064</v>
      </c>
      <c r="J1476" s="6" t="s">
        <v>3335</v>
      </c>
      <c r="L1476" s="6" t="s">
        <v>3318</v>
      </c>
      <c r="M1476" s="6" t="e">
        <f>INDEX(医院2县区2人!$B$2:$B$1048576,MATCH(L1476,医院2县区2人!$A$2:$A$1048576,0))</f>
        <v>#N/A</v>
      </c>
      <c r="N1476" s="6" t="e">
        <f>INDEX(医院2县区2人!$C$2:$C$1048576,MATCH(L1476,医院2县区2人!$A$2:$A$1048576,0))</f>
        <v>#N/A</v>
      </c>
      <c r="P1476" s="7">
        <v>43259</v>
      </c>
      <c r="Q1476" s="6">
        <v>20</v>
      </c>
      <c r="R1476" s="6">
        <v>44.5</v>
      </c>
      <c r="S1476" s="6">
        <v>1803029</v>
      </c>
      <c r="T1476" s="6" t="e">
        <f>INDEX(医院2县区2人!$D$2:$D$1048576,MATCH(L1476,医院2县区2人!$A$2:$A$1048576,0))</f>
        <v>#N/A</v>
      </c>
      <c r="W1476" s="6" t="str">
        <f t="shared" si="49"/>
        <v>拉西地平片4mg*30片</v>
      </c>
      <c r="X1476" s="6" t="s">
        <v>2919</v>
      </c>
    </row>
    <row r="1477" spans="1:24" x14ac:dyDescent="0.15">
      <c r="A1477" s="7" t="str">
        <f t="shared" si="50"/>
        <v>201806</v>
      </c>
      <c r="C1477" s="6" t="str">
        <f>INDEX(工厂基础数据!$A$2:$A$1024,MATCH(X1477,工厂基础数据!$D$2:$D$1024,0))</f>
        <v>02001551</v>
      </c>
      <c r="E1477" s="6" t="str">
        <f>INDEX(工厂基础数据!$B$2:$B$1024,MATCH(X1477,工厂基础数据!$D$2:$D$1024,0))</f>
        <v>山东天士力医药有限公司</v>
      </c>
      <c r="F1477" s="6" t="e">
        <f>INDEX(商业2转码!$B$2:$B$10000,MATCH(E1477,商业2转码!$A$2:$A$10000,0))</f>
        <v>#N/A</v>
      </c>
      <c r="G1477" s="6">
        <f>INDEX(品种2编码!$A$2:$A$1048576,MATCH(W1477,品种2编码!$D$2:$D$1048576,0))</f>
        <v>0</v>
      </c>
      <c r="H1477" s="6" t="s">
        <v>1953</v>
      </c>
      <c r="I1477" s="6" t="s">
        <v>1853</v>
      </c>
      <c r="J1477" s="6" t="s">
        <v>3279</v>
      </c>
      <c r="L1477" s="6" t="s">
        <v>3097</v>
      </c>
      <c r="M1477" s="6" t="e">
        <f>INDEX(医院2县区2人!$B$2:$B$1048576,MATCH(L1477,医院2县区2人!$A$2:$A$1048576,0))</f>
        <v>#N/A</v>
      </c>
      <c r="N1477" s="6" t="e">
        <f>INDEX(医院2县区2人!$C$2:$C$1048576,MATCH(L1477,医院2县区2人!$A$2:$A$1048576,0))</f>
        <v>#N/A</v>
      </c>
      <c r="P1477" s="7">
        <v>43262</v>
      </c>
      <c r="Q1477" s="6">
        <v>10</v>
      </c>
      <c r="R1477" s="6">
        <v>10</v>
      </c>
      <c r="S1477" s="6">
        <v>171117</v>
      </c>
      <c r="T1477" s="6" t="e">
        <f>INDEX(医院2县区2人!$D$2:$D$1048576,MATCH(L1477,医院2县区2人!$A$2:$A$1048576,0))</f>
        <v>#N/A</v>
      </c>
      <c r="W1477" s="6" t="str">
        <f t="shared" si="49"/>
        <v>小儿氨酚黄那敏颗粒2g*12袋</v>
      </c>
      <c r="X1477" s="6" t="s">
        <v>2919</v>
      </c>
    </row>
    <row r="1478" spans="1:24" x14ac:dyDescent="0.15">
      <c r="A1478" s="7" t="str">
        <f t="shared" si="50"/>
        <v>201806</v>
      </c>
      <c r="C1478" s="6" t="str">
        <f>INDEX(工厂基础数据!$A$2:$A$1024,MATCH(X1478,工厂基础数据!$D$2:$D$1024,0))</f>
        <v>02001551</v>
      </c>
      <c r="E1478" s="6" t="str">
        <f>INDEX(工厂基础数据!$B$2:$B$1024,MATCH(X1478,工厂基础数据!$D$2:$D$1024,0))</f>
        <v>山东天士力医药有限公司</v>
      </c>
      <c r="F1478" s="6" t="e">
        <f>INDEX(商业2转码!$B$2:$B$10000,MATCH(E1478,商业2转码!$A$2:$A$10000,0))</f>
        <v>#N/A</v>
      </c>
      <c r="G1478" s="6">
        <f>INDEX(品种2编码!$A$2:$A$1048576,MATCH(W1478,品种2编码!$D$2:$D$1048576,0))</f>
        <v>0</v>
      </c>
      <c r="H1478" s="6" t="s">
        <v>474</v>
      </c>
      <c r="I1478" s="6" t="s">
        <v>3064</v>
      </c>
      <c r="J1478" s="6" t="s">
        <v>3335</v>
      </c>
      <c r="L1478" s="6" t="s">
        <v>3314</v>
      </c>
      <c r="M1478" s="6" t="e">
        <f>INDEX(医院2县区2人!$B$2:$B$1048576,MATCH(L1478,医院2县区2人!$A$2:$A$1048576,0))</f>
        <v>#N/A</v>
      </c>
      <c r="N1478" s="6" t="e">
        <f>INDEX(医院2县区2人!$C$2:$C$1048576,MATCH(L1478,医院2县区2人!$A$2:$A$1048576,0))</f>
        <v>#N/A</v>
      </c>
      <c r="P1478" s="7">
        <v>43259</v>
      </c>
      <c r="Q1478" s="6">
        <v>160</v>
      </c>
      <c r="R1478" s="6">
        <v>44.5</v>
      </c>
      <c r="S1478" s="6">
        <v>1803029</v>
      </c>
      <c r="T1478" s="6" t="e">
        <f>INDEX(医院2县区2人!$D$2:$D$1048576,MATCH(L1478,医院2县区2人!$A$2:$A$1048576,0))</f>
        <v>#N/A</v>
      </c>
      <c r="W1478" s="6" t="str">
        <f t="shared" si="49"/>
        <v>拉西地平片4mg*30片</v>
      </c>
      <c r="X1478" s="6" t="s">
        <v>2919</v>
      </c>
    </row>
    <row r="1479" spans="1:24" x14ac:dyDescent="0.15">
      <c r="A1479" s="7" t="str">
        <f t="shared" si="50"/>
        <v>201806</v>
      </c>
      <c r="C1479" s="6" t="str">
        <f>INDEX(工厂基础数据!$A$2:$A$1024,MATCH(X1479,工厂基础数据!$D$2:$D$1024,0))</f>
        <v>02001551</v>
      </c>
      <c r="E1479" s="6" t="str">
        <f>INDEX(工厂基础数据!$B$2:$B$1024,MATCH(X1479,工厂基础数据!$D$2:$D$1024,0))</f>
        <v>山东天士力医药有限公司</v>
      </c>
      <c r="F1479" s="6" t="e">
        <f>INDEX(商业2转码!$B$2:$B$10000,MATCH(E1479,商业2转码!$A$2:$A$10000,0))</f>
        <v>#N/A</v>
      </c>
      <c r="G1479" s="6">
        <f>INDEX(品种2编码!$A$2:$A$1048576,MATCH(W1479,品种2编码!$D$2:$D$1048576,0))</f>
        <v>0</v>
      </c>
      <c r="H1479" s="6" t="s">
        <v>1953</v>
      </c>
      <c r="I1479" s="6" t="s">
        <v>1853</v>
      </c>
      <c r="J1479" s="6" t="s">
        <v>3279</v>
      </c>
      <c r="L1479" s="6" t="s">
        <v>2959</v>
      </c>
      <c r="M1479" s="6">
        <f>INDEX(医院2县区2人!$B$2:$B$1048576,MATCH(L1479,医院2县区2人!$A$2:$A$1048576,0))</f>
        <v>0</v>
      </c>
      <c r="N1479" s="6">
        <f>INDEX(医院2县区2人!$C$2:$C$1048576,MATCH(L1479,医院2县区2人!$A$2:$A$1048576,0))</f>
        <v>0</v>
      </c>
      <c r="P1479" s="7">
        <v>43259</v>
      </c>
      <c r="Q1479" s="6">
        <v>100</v>
      </c>
      <c r="R1479" s="6">
        <v>10</v>
      </c>
      <c r="S1479" s="6">
        <v>180184</v>
      </c>
      <c r="T1479" s="6">
        <f>INDEX(医院2县区2人!$D$2:$D$1048576,MATCH(L1479,医院2县区2人!$A$2:$A$1048576,0))</f>
        <v>0</v>
      </c>
      <c r="W1479" s="6" t="str">
        <f t="shared" si="49"/>
        <v>小儿氨酚黄那敏颗粒2g*12袋</v>
      </c>
      <c r="X1479" s="6" t="s">
        <v>2919</v>
      </c>
    </row>
    <row r="1480" spans="1:24" x14ac:dyDescent="0.15">
      <c r="A1480" s="7" t="str">
        <f t="shared" si="50"/>
        <v>201806</v>
      </c>
      <c r="C1480" s="6" t="str">
        <f>INDEX(工厂基础数据!$A$2:$A$1024,MATCH(X1480,工厂基础数据!$D$2:$D$1024,0))</f>
        <v>02001551</v>
      </c>
      <c r="E1480" s="6" t="str">
        <f>INDEX(工厂基础数据!$B$2:$B$1024,MATCH(X1480,工厂基础数据!$D$2:$D$1024,0))</f>
        <v>山东天士力医药有限公司</v>
      </c>
      <c r="F1480" s="6" t="e">
        <f>INDEX(商业2转码!$B$2:$B$10000,MATCH(E1480,商业2转码!$A$2:$A$10000,0))</f>
        <v>#N/A</v>
      </c>
      <c r="G1480" s="6">
        <f>INDEX(品种2编码!$A$2:$A$1048576,MATCH(W1480,品种2编码!$D$2:$D$1048576,0))</f>
        <v>0</v>
      </c>
      <c r="H1480" s="6" t="s">
        <v>1833</v>
      </c>
      <c r="I1480" s="6" t="s">
        <v>3332</v>
      </c>
      <c r="J1480" s="6" t="s">
        <v>3285</v>
      </c>
      <c r="L1480" s="6" t="s">
        <v>3306</v>
      </c>
      <c r="M1480" s="6" t="e">
        <f>INDEX(医院2县区2人!$B$2:$B$1048576,MATCH(L1480,医院2县区2人!$A$2:$A$1048576,0))</f>
        <v>#N/A</v>
      </c>
      <c r="N1480" s="6" t="e">
        <f>INDEX(医院2县区2人!$C$2:$C$1048576,MATCH(L1480,医院2县区2人!$A$2:$A$1048576,0))</f>
        <v>#N/A</v>
      </c>
      <c r="P1480" s="7">
        <v>43262</v>
      </c>
      <c r="Q1480" s="6">
        <v>-1</v>
      </c>
      <c r="R1480" s="6">
        <v>22</v>
      </c>
      <c r="S1480" s="6">
        <v>17111812</v>
      </c>
      <c r="T1480" s="6" t="e">
        <f>INDEX(医院2县区2人!$D$2:$D$1048576,MATCH(L1480,医院2县区2人!$A$2:$A$1048576,0))</f>
        <v>#N/A</v>
      </c>
      <c r="W1480" s="6" t="str">
        <f t="shared" si="49"/>
        <v>葡萄糖酸钙口服溶液10毫升*12支（含糖型）</v>
      </c>
      <c r="X1480" s="6" t="s">
        <v>2919</v>
      </c>
    </row>
    <row r="1481" spans="1:24" x14ac:dyDescent="0.15">
      <c r="A1481" s="7" t="str">
        <f t="shared" si="50"/>
        <v>201806</v>
      </c>
      <c r="C1481" s="6" t="str">
        <f>INDEX(工厂基础数据!$A$2:$A$1024,MATCH(X1481,工厂基础数据!$D$2:$D$1024,0))</f>
        <v>02001551</v>
      </c>
      <c r="E1481" s="6" t="str">
        <f>INDEX(工厂基础数据!$B$2:$B$1024,MATCH(X1481,工厂基础数据!$D$2:$D$1024,0))</f>
        <v>山东天士力医药有限公司</v>
      </c>
      <c r="F1481" s="6" t="e">
        <f>INDEX(商业2转码!$B$2:$B$10000,MATCH(E1481,商业2转码!$A$2:$A$10000,0))</f>
        <v>#N/A</v>
      </c>
      <c r="G1481" s="6">
        <f>INDEX(品种2编码!$A$2:$A$1048576,MATCH(W1481,品种2编码!$D$2:$D$1048576,0))</f>
        <v>0</v>
      </c>
      <c r="H1481" s="6" t="s">
        <v>1833</v>
      </c>
      <c r="I1481" s="6" t="s">
        <v>3332</v>
      </c>
      <c r="J1481" s="6" t="s">
        <v>3285</v>
      </c>
      <c r="L1481" s="6" t="s">
        <v>3306</v>
      </c>
      <c r="M1481" s="6" t="e">
        <f>INDEX(医院2县区2人!$B$2:$B$1048576,MATCH(L1481,医院2县区2人!$A$2:$A$1048576,0))</f>
        <v>#N/A</v>
      </c>
      <c r="N1481" s="6" t="e">
        <f>INDEX(医院2县区2人!$C$2:$C$1048576,MATCH(L1481,医院2县区2人!$A$2:$A$1048576,0))</f>
        <v>#N/A</v>
      </c>
      <c r="P1481" s="7">
        <v>43262</v>
      </c>
      <c r="Q1481" s="6">
        <v>-1</v>
      </c>
      <c r="R1481" s="6">
        <v>22</v>
      </c>
      <c r="S1481" s="6">
        <v>17111823</v>
      </c>
      <c r="T1481" s="6" t="e">
        <f>INDEX(医院2县区2人!$D$2:$D$1048576,MATCH(L1481,医院2县区2人!$A$2:$A$1048576,0))</f>
        <v>#N/A</v>
      </c>
      <c r="W1481" s="6" t="str">
        <f t="shared" si="49"/>
        <v>葡萄糖酸钙口服溶液10毫升*12支（含糖型）</v>
      </c>
      <c r="X1481" s="6" t="s">
        <v>2919</v>
      </c>
    </row>
    <row r="1482" spans="1:24" x14ac:dyDescent="0.15">
      <c r="A1482" s="7" t="str">
        <f t="shared" si="50"/>
        <v>201806</v>
      </c>
      <c r="C1482" s="6" t="str">
        <f>INDEX(工厂基础数据!$A$2:$A$1024,MATCH(X1482,工厂基础数据!$D$2:$D$1024,0))</f>
        <v>02001551</v>
      </c>
      <c r="E1482" s="6" t="str">
        <f>INDEX(工厂基础数据!$B$2:$B$1024,MATCH(X1482,工厂基础数据!$D$2:$D$1024,0))</f>
        <v>山东天士力医药有限公司</v>
      </c>
      <c r="F1482" s="6" t="e">
        <f>INDEX(商业2转码!$B$2:$B$10000,MATCH(E1482,商业2转码!$A$2:$A$10000,0))</f>
        <v>#N/A</v>
      </c>
      <c r="G1482" s="6">
        <f>INDEX(品种2编码!$A$2:$A$1048576,MATCH(W1482,品种2编码!$D$2:$D$1048576,0))</f>
        <v>0</v>
      </c>
      <c r="H1482" s="6" t="s">
        <v>1833</v>
      </c>
      <c r="I1482" s="6" t="s">
        <v>3332</v>
      </c>
      <c r="J1482" s="6" t="s">
        <v>3285</v>
      </c>
      <c r="L1482" s="6" t="s">
        <v>3306</v>
      </c>
      <c r="M1482" s="6" t="e">
        <f>INDEX(医院2县区2人!$B$2:$B$1048576,MATCH(L1482,医院2县区2人!$A$2:$A$1048576,0))</f>
        <v>#N/A</v>
      </c>
      <c r="N1482" s="6" t="e">
        <f>INDEX(医院2县区2人!$C$2:$C$1048576,MATCH(L1482,医院2县区2人!$A$2:$A$1048576,0))</f>
        <v>#N/A</v>
      </c>
      <c r="P1482" s="7">
        <v>43262</v>
      </c>
      <c r="Q1482" s="6">
        <v>-1</v>
      </c>
      <c r="R1482" s="6">
        <v>22</v>
      </c>
      <c r="S1482" s="6">
        <v>18010232</v>
      </c>
      <c r="T1482" s="6" t="e">
        <f>INDEX(医院2县区2人!$D$2:$D$1048576,MATCH(L1482,医院2县区2人!$A$2:$A$1048576,0))</f>
        <v>#N/A</v>
      </c>
      <c r="W1482" s="6" t="str">
        <f t="shared" si="49"/>
        <v>葡萄糖酸钙口服溶液10毫升*12支（含糖型）</v>
      </c>
      <c r="X1482" s="6" t="s">
        <v>2919</v>
      </c>
    </row>
    <row r="1483" spans="1:24" x14ac:dyDescent="0.15">
      <c r="A1483" s="7" t="str">
        <f t="shared" si="50"/>
        <v>201806</v>
      </c>
      <c r="C1483" s="6" t="str">
        <f>INDEX(工厂基础数据!$A$2:$A$1024,MATCH(X1483,工厂基础数据!$D$2:$D$1024,0))</f>
        <v>02001551</v>
      </c>
      <c r="E1483" s="6" t="str">
        <f>INDEX(工厂基础数据!$B$2:$B$1024,MATCH(X1483,工厂基础数据!$D$2:$D$1024,0))</f>
        <v>山东天士力医药有限公司</v>
      </c>
      <c r="F1483" s="6" t="e">
        <f>INDEX(商业2转码!$B$2:$B$10000,MATCH(E1483,商业2转码!$A$2:$A$10000,0))</f>
        <v>#N/A</v>
      </c>
      <c r="G1483" s="6" t="str">
        <f>INDEX(品种2编码!$A$2:$A$1048576,MATCH(W1483,品种2编码!$D$2:$D$1048576,0))</f>
        <v>0020050090SJZY0001</v>
      </c>
      <c r="H1483" s="6" t="s">
        <v>630</v>
      </c>
      <c r="I1483" s="6" t="s">
        <v>1850</v>
      </c>
      <c r="J1483" s="6" t="s">
        <v>3285</v>
      </c>
      <c r="L1483" s="6" t="s">
        <v>3319</v>
      </c>
      <c r="M1483" s="6" t="e">
        <f>INDEX(医院2县区2人!$B$2:$B$1048576,MATCH(L1483,医院2县区2人!$A$2:$A$1048576,0))</f>
        <v>#N/A</v>
      </c>
      <c r="N1483" s="6" t="e">
        <f>INDEX(医院2县区2人!$C$2:$C$1048576,MATCH(L1483,医院2县区2人!$A$2:$A$1048576,0))</f>
        <v>#N/A</v>
      </c>
      <c r="P1483" s="7">
        <v>43262</v>
      </c>
      <c r="Q1483" s="6">
        <v>10</v>
      </c>
      <c r="R1483" s="6">
        <v>16.5</v>
      </c>
      <c r="S1483" s="6">
        <v>17062811</v>
      </c>
      <c r="T1483" s="6" t="e">
        <f>INDEX(医院2县区2人!$D$2:$D$1048576,MATCH(L1483,医院2县区2人!$A$2:$A$1048576,0))</f>
        <v>#N/A</v>
      </c>
      <c r="W1483" s="6" t="str">
        <f t="shared" si="49"/>
        <v>双黄连口服液10ml*10支</v>
      </c>
      <c r="X1483" s="6" t="s">
        <v>2919</v>
      </c>
    </row>
    <row r="1484" spans="1:24" x14ac:dyDescent="0.15">
      <c r="A1484" s="7" t="str">
        <f t="shared" si="50"/>
        <v>201806</v>
      </c>
      <c r="C1484" s="6" t="str">
        <f>INDEX(工厂基础数据!$A$2:$A$1024,MATCH(X1484,工厂基础数据!$D$2:$D$1024,0))</f>
        <v>02001551</v>
      </c>
      <c r="E1484" s="6" t="str">
        <f>INDEX(工厂基础数据!$B$2:$B$1024,MATCH(X1484,工厂基础数据!$D$2:$D$1024,0))</f>
        <v>山东天士力医药有限公司</v>
      </c>
      <c r="F1484" s="6" t="e">
        <f>INDEX(商业2转码!$B$2:$B$10000,MATCH(E1484,商业2转码!$A$2:$A$10000,0))</f>
        <v>#N/A</v>
      </c>
      <c r="G1484" s="6">
        <f>INDEX(品种2编码!$A$2:$A$1048576,MATCH(W1484,品种2编码!$D$2:$D$1048576,0))</f>
        <v>0</v>
      </c>
      <c r="H1484" s="6" t="s">
        <v>1953</v>
      </c>
      <c r="I1484" s="6" t="s">
        <v>1853</v>
      </c>
      <c r="J1484" s="6" t="s">
        <v>3279</v>
      </c>
      <c r="L1484" s="6" t="s">
        <v>3302</v>
      </c>
      <c r="M1484" s="6" t="e">
        <f>INDEX(医院2县区2人!$B$2:$B$1048576,MATCH(L1484,医院2县区2人!$A$2:$A$1048576,0))</f>
        <v>#N/A</v>
      </c>
      <c r="N1484" s="6" t="e">
        <f>INDEX(医院2县区2人!$C$2:$C$1048576,MATCH(L1484,医院2县区2人!$A$2:$A$1048576,0))</f>
        <v>#N/A</v>
      </c>
      <c r="P1484" s="7">
        <v>43262</v>
      </c>
      <c r="Q1484" s="6">
        <v>20</v>
      </c>
      <c r="R1484" s="6">
        <v>10</v>
      </c>
      <c r="S1484" s="6">
        <v>171117</v>
      </c>
      <c r="T1484" s="6" t="e">
        <f>INDEX(医院2县区2人!$D$2:$D$1048576,MATCH(L1484,医院2县区2人!$A$2:$A$1048576,0))</f>
        <v>#N/A</v>
      </c>
      <c r="W1484" s="6" t="str">
        <f t="shared" si="49"/>
        <v>小儿氨酚黄那敏颗粒2g*12袋</v>
      </c>
      <c r="X1484" s="6" t="s">
        <v>2919</v>
      </c>
    </row>
    <row r="1485" spans="1:24" x14ac:dyDescent="0.15">
      <c r="A1485" s="7" t="str">
        <f t="shared" si="50"/>
        <v>201806</v>
      </c>
      <c r="C1485" s="6" t="str">
        <f>INDEX(工厂基础数据!$A$2:$A$1024,MATCH(X1485,工厂基础数据!$D$2:$D$1024,0))</f>
        <v>02001551</v>
      </c>
      <c r="E1485" s="6" t="str">
        <f>INDEX(工厂基础数据!$B$2:$B$1024,MATCH(X1485,工厂基础数据!$D$2:$D$1024,0))</f>
        <v>山东天士力医药有限公司</v>
      </c>
      <c r="F1485" s="6" t="e">
        <f>INDEX(商业2转码!$B$2:$B$10000,MATCH(E1485,商业2转码!$A$2:$A$10000,0))</f>
        <v>#N/A</v>
      </c>
      <c r="G1485" s="6" t="str">
        <f>INDEX(品种2编码!$A$2:$A$1048576,MATCH(W1485,品种2编码!$D$2:$D$1048576,0))</f>
        <v>0020070000ZYLC0001</v>
      </c>
      <c r="H1485" s="6" t="s">
        <v>725</v>
      </c>
      <c r="I1485" s="6" t="s">
        <v>1838</v>
      </c>
      <c r="J1485" s="6" t="s">
        <v>3036</v>
      </c>
      <c r="L1485" s="6" t="s">
        <v>2955</v>
      </c>
      <c r="M1485" s="6">
        <f>INDEX(医院2县区2人!$B$2:$B$1048576,MATCH(L1485,医院2县区2人!$A$2:$A$1048576,0))</f>
        <v>0</v>
      </c>
      <c r="N1485" s="6">
        <f>INDEX(医院2县区2人!$C$2:$C$1048576,MATCH(L1485,医院2县区2人!$A$2:$A$1048576,0))</f>
        <v>0</v>
      </c>
      <c r="P1485" s="7">
        <v>43259</v>
      </c>
      <c r="Q1485" s="6">
        <v>10</v>
      </c>
      <c r="R1485" s="6">
        <v>29</v>
      </c>
      <c r="S1485" s="6">
        <v>180103</v>
      </c>
      <c r="T1485" s="6">
        <f>INDEX(医院2县区2人!$D$2:$D$1048576,MATCH(L1485,医院2县区2人!$A$2:$A$1048576,0))</f>
        <v>0</v>
      </c>
      <c r="W1485" s="6" t="str">
        <f t="shared" si="49"/>
        <v>新盖中盖牌高钙片2.5g*36片</v>
      </c>
      <c r="X1485" s="6" t="s">
        <v>2919</v>
      </c>
    </row>
    <row r="1486" spans="1:24" x14ac:dyDescent="0.15">
      <c r="A1486" s="7" t="str">
        <f t="shared" si="50"/>
        <v>201806</v>
      </c>
      <c r="C1486" s="6" t="str">
        <f>INDEX(工厂基础数据!$A$2:$A$1024,MATCH(X1486,工厂基础数据!$D$2:$D$1024,0))</f>
        <v>02001551</v>
      </c>
      <c r="E1486" s="6" t="str">
        <f>INDEX(工厂基础数据!$B$2:$B$1024,MATCH(X1486,工厂基础数据!$D$2:$D$1024,0))</f>
        <v>山东天士力医药有限公司</v>
      </c>
      <c r="F1486" s="6" t="e">
        <f>INDEX(商业2转码!$B$2:$B$10000,MATCH(E1486,商业2转码!$A$2:$A$10000,0))</f>
        <v>#N/A</v>
      </c>
      <c r="G1486" s="6">
        <f>INDEX(品种2编码!$A$2:$A$1048576,MATCH(W1486,品种2编码!$D$2:$D$1048576,0))</f>
        <v>0</v>
      </c>
      <c r="H1486" s="6" t="s">
        <v>768</v>
      </c>
      <c r="I1486" s="6" t="s">
        <v>1884</v>
      </c>
      <c r="J1486" s="6" t="s">
        <v>3279</v>
      </c>
      <c r="L1486" s="6" t="s">
        <v>3320</v>
      </c>
      <c r="M1486" s="6" t="e">
        <f>INDEX(医院2县区2人!$B$2:$B$1048576,MATCH(L1486,医院2县区2人!$A$2:$A$1048576,0))</f>
        <v>#N/A</v>
      </c>
      <c r="N1486" s="6" t="e">
        <f>INDEX(医院2县区2人!$C$2:$C$1048576,MATCH(L1486,医院2县区2人!$A$2:$A$1048576,0))</f>
        <v>#N/A</v>
      </c>
      <c r="P1486" s="7">
        <v>43258</v>
      </c>
      <c r="Q1486" s="6">
        <v>1400</v>
      </c>
      <c r="R1486" s="6">
        <v>8</v>
      </c>
      <c r="S1486" s="6">
        <v>20180401</v>
      </c>
      <c r="T1486" s="6" t="e">
        <f>INDEX(医院2县区2人!$D$2:$D$1048576,MATCH(L1486,医院2县区2人!$A$2:$A$1048576,0))</f>
        <v>#N/A</v>
      </c>
      <c r="W1486" s="6" t="str">
        <f t="shared" si="49"/>
        <v>医用退热贴40mm*110mm*2贴</v>
      </c>
      <c r="X1486" s="6" t="s">
        <v>2919</v>
      </c>
    </row>
    <row r="1487" spans="1:24" x14ac:dyDescent="0.15">
      <c r="A1487" s="7" t="str">
        <f t="shared" si="50"/>
        <v>201806</v>
      </c>
      <c r="C1487" s="6" t="str">
        <f>INDEX(工厂基础数据!$A$2:$A$1024,MATCH(X1487,工厂基础数据!$D$2:$D$1024,0))</f>
        <v>02001551</v>
      </c>
      <c r="E1487" s="6" t="str">
        <f>INDEX(工厂基础数据!$B$2:$B$1024,MATCH(X1487,工厂基础数据!$D$2:$D$1024,0))</f>
        <v>山东天士力医药有限公司</v>
      </c>
      <c r="F1487" s="6" t="e">
        <f>INDEX(商业2转码!$B$2:$B$10000,MATCH(E1487,商业2转码!$A$2:$A$10000,0))</f>
        <v>#N/A</v>
      </c>
      <c r="G1487" s="6" t="str">
        <f>INDEX(品种2编码!$A$2:$A$1048576,MATCH(W1487,品种2编码!$D$2:$D$1048576,0))</f>
        <v>0020070001ZYZC0369</v>
      </c>
      <c r="H1487" s="6" t="s">
        <v>1849</v>
      </c>
      <c r="I1487" s="6" t="s">
        <v>411</v>
      </c>
      <c r="J1487" s="6" t="s">
        <v>3279</v>
      </c>
      <c r="L1487" s="6" t="s">
        <v>3314</v>
      </c>
      <c r="M1487" s="6" t="e">
        <f>INDEX(医院2县区2人!$B$2:$B$1048576,MATCH(L1487,医院2县区2人!$A$2:$A$1048576,0))</f>
        <v>#N/A</v>
      </c>
      <c r="N1487" s="6" t="e">
        <f>INDEX(医院2县区2人!$C$2:$C$1048576,MATCH(L1487,医院2县区2人!$A$2:$A$1048576,0))</f>
        <v>#N/A</v>
      </c>
      <c r="P1487" s="7">
        <v>43259</v>
      </c>
      <c r="Q1487" s="6">
        <v>60</v>
      </c>
      <c r="R1487" s="6">
        <v>18</v>
      </c>
      <c r="S1487" s="6">
        <v>1801028</v>
      </c>
      <c r="T1487" s="6" t="e">
        <f>INDEX(医院2县区2人!$D$2:$D$1048576,MATCH(L1487,医院2县区2人!$A$2:$A$1048576,0))</f>
        <v>#N/A</v>
      </c>
      <c r="W1487" s="6" t="str">
        <f t="shared" si="49"/>
        <v>哈药牌钙铁锌口服液10ml*12支</v>
      </c>
      <c r="X1487" s="6" t="s">
        <v>2919</v>
      </c>
    </row>
    <row r="1488" spans="1:24" x14ac:dyDescent="0.15">
      <c r="A1488" s="7" t="str">
        <f t="shared" si="50"/>
        <v>201806</v>
      </c>
      <c r="C1488" s="6" t="str">
        <f>INDEX(工厂基础数据!$A$2:$A$1024,MATCH(X1488,工厂基础数据!$D$2:$D$1024,0))</f>
        <v>02001551</v>
      </c>
      <c r="E1488" s="6" t="str">
        <f>INDEX(工厂基础数据!$B$2:$B$1024,MATCH(X1488,工厂基础数据!$D$2:$D$1024,0))</f>
        <v>山东天士力医药有限公司</v>
      </c>
      <c r="F1488" s="6" t="e">
        <f>INDEX(商业2转码!$B$2:$B$10000,MATCH(E1488,商业2转码!$A$2:$A$10000,0))</f>
        <v>#N/A</v>
      </c>
      <c r="G1488" s="6">
        <f>INDEX(品种2编码!$A$2:$A$1048576,MATCH(W1488,品种2编码!$D$2:$D$1048576,0))</f>
        <v>0</v>
      </c>
      <c r="H1488" s="6" t="s">
        <v>394</v>
      </c>
      <c r="I1488" s="6" t="s">
        <v>3331</v>
      </c>
      <c r="J1488" s="6" t="s">
        <v>3279</v>
      </c>
      <c r="L1488" s="6" t="s">
        <v>3302</v>
      </c>
      <c r="M1488" s="6" t="e">
        <f>INDEX(医院2县区2人!$B$2:$B$1048576,MATCH(L1488,医院2县区2人!$A$2:$A$1048576,0))</f>
        <v>#N/A</v>
      </c>
      <c r="N1488" s="6" t="e">
        <f>INDEX(医院2县区2人!$C$2:$C$1048576,MATCH(L1488,医院2县区2人!$A$2:$A$1048576,0))</f>
        <v>#N/A</v>
      </c>
      <c r="P1488" s="7">
        <v>43256</v>
      </c>
      <c r="Q1488" s="6">
        <v>5</v>
      </c>
      <c r="R1488" s="6">
        <v>12.5</v>
      </c>
      <c r="S1488" s="6">
        <v>1801024</v>
      </c>
      <c r="T1488" s="6" t="e">
        <f>INDEX(医院2县区2人!$D$2:$D$1048576,MATCH(L1488,医院2县区2人!$A$2:$A$1048576,0))</f>
        <v>#N/A</v>
      </c>
      <c r="W1488" s="6" t="str">
        <f t="shared" si="49"/>
        <v>复方铝酸铋片10片*5板</v>
      </c>
      <c r="X1488" s="6" t="s">
        <v>2919</v>
      </c>
    </row>
    <row r="1489" spans="1:24" x14ac:dyDescent="0.15">
      <c r="A1489" s="7" t="str">
        <f t="shared" si="50"/>
        <v>201806</v>
      </c>
      <c r="C1489" s="6" t="str">
        <f>INDEX(工厂基础数据!$A$2:$A$1024,MATCH(X1489,工厂基础数据!$D$2:$D$1024,0))</f>
        <v>02001551</v>
      </c>
      <c r="E1489" s="6" t="str">
        <f>INDEX(工厂基础数据!$B$2:$B$1024,MATCH(X1489,工厂基础数据!$D$2:$D$1024,0))</f>
        <v>山东天士力医药有限公司</v>
      </c>
      <c r="F1489" s="6" t="e">
        <f>INDEX(商业2转码!$B$2:$B$10000,MATCH(E1489,商业2转码!$A$2:$A$10000,0))</f>
        <v>#N/A</v>
      </c>
      <c r="G1489" s="6" t="str">
        <f>INDEX(品种2编码!$A$2:$A$1048576,MATCH(W1489,品种2编码!$D$2:$D$1048576,0))</f>
        <v>0020020013ZYZC0491</v>
      </c>
      <c r="H1489" s="6" t="s">
        <v>911</v>
      </c>
      <c r="I1489" s="6" t="s">
        <v>914</v>
      </c>
      <c r="J1489" s="6" t="s">
        <v>3338</v>
      </c>
      <c r="L1489" s="6" t="s">
        <v>3320</v>
      </c>
      <c r="M1489" s="6" t="e">
        <f>INDEX(医院2县区2人!$B$2:$B$1048576,MATCH(L1489,医院2县区2人!$A$2:$A$1048576,0))</f>
        <v>#N/A</v>
      </c>
      <c r="N1489" s="6" t="e">
        <f>INDEX(医院2县区2人!$C$2:$C$1048576,MATCH(L1489,医院2县区2人!$A$2:$A$1048576,0))</f>
        <v>#N/A</v>
      </c>
      <c r="P1489" s="7">
        <v>43258</v>
      </c>
      <c r="Q1489" s="6">
        <v>600</v>
      </c>
      <c r="R1489" s="6">
        <v>2.95</v>
      </c>
      <c r="S1489" s="6" t="s">
        <v>2937</v>
      </c>
      <c r="T1489" s="6" t="e">
        <f>INDEX(医院2县区2人!$D$2:$D$1048576,MATCH(L1489,医院2县区2人!$A$2:$A$1048576,0))</f>
        <v>#N/A</v>
      </c>
      <c r="W1489" s="6" t="str">
        <f t="shared" si="49"/>
        <v>注射用乳糖酸阿奇霉素0.25g</v>
      </c>
      <c r="X1489" s="6" t="s">
        <v>2919</v>
      </c>
    </row>
    <row r="1490" spans="1:24" x14ac:dyDescent="0.15">
      <c r="A1490" s="7" t="str">
        <f t="shared" si="50"/>
        <v>201806</v>
      </c>
      <c r="C1490" s="6" t="str">
        <f>INDEX(工厂基础数据!$A$2:$A$1024,MATCH(X1490,工厂基础数据!$D$2:$D$1024,0))</f>
        <v>02001551</v>
      </c>
      <c r="E1490" s="6" t="str">
        <f>INDEX(工厂基础数据!$B$2:$B$1024,MATCH(X1490,工厂基础数据!$D$2:$D$1024,0))</f>
        <v>山东天士力医药有限公司</v>
      </c>
      <c r="F1490" s="6" t="e">
        <f>INDEX(商业2转码!$B$2:$B$10000,MATCH(E1490,商业2转码!$A$2:$A$10000,0))</f>
        <v>#N/A</v>
      </c>
      <c r="G1490" s="6">
        <f>INDEX(品种2编码!$A$2:$A$1048576,MATCH(W1490,品种2编码!$D$2:$D$1048576,0))</f>
        <v>0</v>
      </c>
      <c r="H1490" s="6" t="s">
        <v>586</v>
      </c>
      <c r="I1490" s="6" t="s">
        <v>1901</v>
      </c>
      <c r="J1490" s="6" t="s">
        <v>3279</v>
      </c>
      <c r="L1490" s="6" t="s">
        <v>3315</v>
      </c>
      <c r="M1490" s="6" t="e">
        <f>INDEX(医院2县区2人!$B$2:$B$1048576,MATCH(L1490,医院2县区2人!$A$2:$A$1048576,0))</f>
        <v>#N/A</v>
      </c>
      <c r="N1490" s="6" t="e">
        <f>INDEX(医院2县区2人!$C$2:$C$1048576,MATCH(L1490,医院2县区2人!$A$2:$A$1048576,0))</f>
        <v>#N/A</v>
      </c>
      <c r="P1490" s="7">
        <v>43255</v>
      </c>
      <c r="Q1490" s="6">
        <v>100</v>
      </c>
      <c r="R1490" s="6">
        <v>7.7</v>
      </c>
      <c r="S1490" s="6">
        <v>1711004</v>
      </c>
      <c r="T1490" s="6" t="e">
        <f>INDEX(医院2县区2人!$D$2:$D$1048576,MATCH(L1490,医院2县区2人!$A$2:$A$1048576,0))</f>
        <v>#N/A</v>
      </c>
      <c r="W1490" s="6" t="str">
        <f t="shared" si="49"/>
        <v>人工牛黄甲硝唑胶囊10粒*3板</v>
      </c>
      <c r="X1490" s="6" t="s">
        <v>2919</v>
      </c>
    </row>
    <row r="1491" spans="1:24" x14ac:dyDescent="0.15">
      <c r="A1491" s="7" t="str">
        <f t="shared" si="50"/>
        <v>201806</v>
      </c>
      <c r="C1491" s="6" t="str">
        <f>INDEX(工厂基础数据!$A$2:$A$1024,MATCH(X1491,工厂基础数据!$D$2:$D$1024,0))</f>
        <v>02001551</v>
      </c>
      <c r="E1491" s="6" t="str">
        <f>INDEX(工厂基础数据!$B$2:$B$1024,MATCH(X1491,工厂基础数据!$D$2:$D$1024,0))</f>
        <v>山东天士力医药有限公司</v>
      </c>
      <c r="F1491" s="6" t="e">
        <f>INDEX(商业2转码!$B$2:$B$10000,MATCH(E1491,商业2转码!$A$2:$A$10000,0))</f>
        <v>#N/A</v>
      </c>
      <c r="G1491" s="6">
        <f>INDEX(品种2编码!$A$2:$A$1048576,MATCH(W1491,品种2编码!$D$2:$D$1048576,0))</f>
        <v>0</v>
      </c>
      <c r="H1491" s="6" t="s">
        <v>1833</v>
      </c>
      <c r="I1491" s="6" t="s">
        <v>3332</v>
      </c>
      <c r="J1491" s="6" t="s">
        <v>3285</v>
      </c>
      <c r="L1491" s="6" t="s">
        <v>3305</v>
      </c>
      <c r="M1491" s="6" t="e">
        <f>INDEX(医院2县区2人!$B$2:$B$1048576,MATCH(L1491,医院2县区2人!$A$2:$A$1048576,0))</f>
        <v>#N/A</v>
      </c>
      <c r="N1491" s="6" t="e">
        <f>INDEX(医院2县区2人!$C$2:$C$1048576,MATCH(L1491,医院2县区2人!$A$2:$A$1048576,0))</f>
        <v>#N/A</v>
      </c>
      <c r="P1491" s="7">
        <v>43256</v>
      </c>
      <c r="Q1491" s="6">
        <v>5</v>
      </c>
      <c r="R1491" s="6">
        <v>25</v>
      </c>
      <c r="S1491" s="6">
        <v>18030832</v>
      </c>
      <c r="T1491" s="6" t="e">
        <f>INDEX(医院2县区2人!$D$2:$D$1048576,MATCH(L1491,医院2县区2人!$A$2:$A$1048576,0))</f>
        <v>#N/A</v>
      </c>
      <c r="W1491" s="6" t="str">
        <f t="shared" si="49"/>
        <v>葡萄糖酸钙口服溶液10毫升*12支（含糖型）</v>
      </c>
      <c r="X1491" s="6" t="s">
        <v>2919</v>
      </c>
    </row>
    <row r="1492" spans="1:24" x14ac:dyDescent="0.15">
      <c r="A1492" s="7" t="str">
        <f t="shared" si="50"/>
        <v>201806</v>
      </c>
      <c r="C1492" s="6" t="str">
        <f>INDEX(工厂基础数据!$A$2:$A$1024,MATCH(X1492,工厂基础数据!$D$2:$D$1024,0))</f>
        <v>02001551</v>
      </c>
      <c r="E1492" s="6" t="str">
        <f>INDEX(工厂基础数据!$B$2:$B$1024,MATCH(X1492,工厂基础数据!$D$2:$D$1024,0))</f>
        <v>山东天士力医药有限公司</v>
      </c>
      <c r="F1492" s="6" t="e">
        <f>INDEX(商业2转码!$B$2:$B$10000,MATCH(E1492,商业2转码!$A$2:$A$10000,0))</f>
        <v>#N/A</v>
      </c>
      <c r="G1492" s="6" t="str">
        <f>INDEX(品种2编码!$A$2:$A$1048576,MATCH(W1492,品种2编码!$D$2:$D$1048576,0))</f>
        <v>0020070001ZYZC0383</v>
      </c>
      <c r="H1492" s="6" t="s">
        <v>1849</v>
      </c>
      <c r="I1492" s="6" t="s">
        <v>1850</v>
      </c>
      <c r="J1492" s="6" t="s">
        <v>3038</v>
      </c>
      <c r="L1492" s="6" t="s">
        <v>3305</v>
      </c>
      <c r="M1492" s="6" t="e">
        <f>INDEX(医院2县区2人!$B$2:$B$1048576,MATCH(L1492,医院2县区2人!$A$2:$A$1048576,0))</f>
        <v>#N/A</v>
      </c>
      <c r="N1492" s="6" t="e">
        <f>INDEX(医院2县区2人!$C$2:$C$1048576,MATCH(L1492,医院2县区2人!$A$2:$A$1048576,0))</f>
        <v>#N/A</v>
      </c>
      <c r="P1492" s="7">
        <v>43256</v>
      </c>
      <c r="Q1492" s="6">
        <v>5</v>
      </c>
      <c r="R1492" s="6">
        <v>15</v>
      </c>
      <c r="S1492" s="6" t="s">
        <v>2938</v>
      </c>
      <c r="T1492" s="6" t="e">
        <f>INDEX(医院2县区2人!$D$2:$D$1048576,MATCH(L1492,医院2县区2人!$A$2:$A$1048576,0))</f>
        <v>#N/A</v>
      </c>
      <c r="W1492" s="6" t="str">
        <f t="shared" si="49"/>
        <v>哈药牌钙铁锌口服液10ml*10支</v>
      </c>
      <c r="X1492" s="6" t="s">
        <v>2919</v>
      </c>
    </row>
    <row r="1493" spans="1:24" x14ac:dyDescent="0.15">
      <c r="A1493" s="7" t="str">
        <f t="shared" si="50"/>
        <v>201806</v>
      </c>
      <c r="C1493" s="6" t="str">
        <f>INDEX(工厂基础数据!$A$2:$A$1024,MATCH(X1493,工厂基础数据!$D$2:$D$1024,0))</f>
        <v>02001551</v>
      </c>
      <c r="E1493" s="6" t="str">
        <f>INDEX(工厂基础数据!$B$2:$B$1024,MATCH(X1493,工厂基础数据!$D$2:$D$1024,0))</f>
        <v>山东天士力医药有限公司</v>
      </c>
      <c r="F1493" s="6" t="e">
        <f>INDEX(商业2转码!$B$2:$B$10000,MATCH(E1493,商业2转码!$A$2:$A$10000,0))</f>
        <v>#N/A</v>
      </c>
      <c r="G1493" s="6" t="str">
        <f>INDEX(品种2编码!$A$2:$A$1048576,MATCH(W1493,品种2编码!$D$2:$D$1048576,0))</f>
        <v>0020070000ZYLC0001</v>
      </c>
      <c r="H1493" s="6" t="s">
        <v>725</v>
      </c>
      <c r="I1493" s="6" t="s">
        <v>1838</v>
      </c>
      <c r="J1493" s="6" t="s">
        <v>3036</v>
      </c>
      <c r="L1493" s="6" t="s">
        <v>225</v>
      </c>
      <c r="M1493" s="6" t="e">
        <f>INDEX(医院2县区2人!$B$2:$B$1048576,MATCH(L1493,医院2县区2人!$A$2:$A$1048576,0))</f>
        <v>#N/A</v>
      </c>
      <c r="N1493" s="6" t="e">
        <f>INDEX(医院2县区2人!$C$2:$C$1048576,MATCH(L1493,医院2县区2人!$A$2:$A$1048576,0))</f>
        <v>#N/A</v>
      </c>
      <c r="P1493" s="7">
        <v>43256</v>
      </c>
      <c r="Q1493" s="6">
        <v>50</v>
      </c>
      <c r="R1493" s="6">
        <v>29</v>
      </c>
      <c r="S1493" s="6">
        <v>180103</v>
      </c>
      <c r="T1493" s="6" t="e">
        <f>INDEX(医院2县区2人!$D$2:$D$1048576,MATCH(L1493,医院2县区2人!$A$2:$A$1048576,0))</f>
        <v>#N/A</v>
      </c>
      <c r="W1493" s="6" t="str">
        <f t="shared" si="49"/>
        <v>新盖中盖牌高钙片2.5g*36片</v>
      </c>
      <c r="X1493" s="6" t="s">
        <v>2919</v>
      </c>
    </row>
    <row r="1494" spans="1:24" x14ac:dyDescent="0.15">
      <c r="A1494" s="7" t="str">
        <f t="shared" si="50"/>
        <v>201806</v>
      </c>
      <c r="C1494" s="6" t="str">
        <f>INDEX(工厂基础数据!$A$2:$A$1024,MATCH(X1494,工厂基础数据!$D$2:$D$1024,0))</f>
        <v>02001551</v>
      </c>
      <c r="E1494" s="6" t="str">
        <f>INDEX(工厂基础数据!$B$2:$B$1024,MATCH(X1494,工厂基础数据!$D$2:$D$1024,0))</f>
        <v>山东天士力医药有限公司</v>
      </c>
      <c r="F1494" s="6" t="e">
        <f>INDEX(商业2转码!$B$2:$B$10000,MATCH(E1494,商业2转码!$A$2:$A$10000,0))</f>
        <v>#N/A</v>
      </c>
      <c r="G1494" s="6">
        <f>INDEX(品种2编码!$A$2:$A$1048576,MATCH(W1494,品种2编码!$D$2:$D$1048576,0))</f>
        <v>0</v>
      </c>
      <c r="H1494" s="6" t="s">
        <v>394</v>
      </c>
      <c r="I1494" s="6" t="s">
        <v>3331</v>
      </c>
      <c r="J1494" s="6" t="s">
        <v>3279</v>
      </c>
      <c r="L1494" s="6" t="s">
        <v>225</v>
      </c>
      <c r="M1494" s="6" t="e">
        <f>INDEX(医院2县区2人!$B$2:$B$1048576,MATCH(L1494,医院2县区2人!$A$2:$A$1048576,0))</f>
        <v>#N/A</v>
      </c>
      <c r="N1494" s="6" t="e">
        <f>INDEX(医院2县区2人!$C$2:$C$1048576,MATCH(L1494,医院2县区2人!$A$2:$A$1048576,0))</f>
        <v>#N/A</v>
      </c>
      <c r="P1494" s="7">
        <v>43256</v>
      </c>
      <c r="Q1494" s="6">
        <v>10</v>
      </c>
      <c r="R1494" s="6">
        <v>12.5</v>
      </c>
      <c r="S1494" s="6">
        <v>1801024</v>
      </c>
      <c r="T1494" s="6" t="e">
        <f>INDEX(医院2县区2人!$D$2:$D$1048576,MATCH(L1494,医院2县区2人!$A$2:$A$1048576,0))</f>
        <v>#N/A</v>
      </c>
      <c r="W1494" s="6" t="str">
        <f t="shared" si="49"/>
        <v>复方铝酸铋片10片*5板</v>
      </c>
      <c r="X1494" s="6" t="s">
        <v>2919</v>
      </c>
    </row>
    <row r="1495" spans="1:24" x14ac:dyDescent="0.15">
      <c r="A1495" s="7" t="str">
        <f t="shared" si="50"/>
        <v>201806</v>
      </c>
      <c r="C1495" s="6" t="str">
        <f>INDEX(工厂基础数据!$A$2:$A$1024,MATCH(X1495,工厂基础数据!$D$2:$D$1024,0))</f>
        <v>02001551</v>
      </c>
      <c r="E1495" s="6" t="str">
        <f>INDEX(工厂基础数据!$B$2:$B$1024,MATCH(X1495,工厂基础数据!$D$2:$D$1024,0))</f>
        <v>山东天士力医药有限公司</v>
      </c>
      <c r="F1495" s="6" t="e">
        <f>INDEX(商业2转码!$B$2:$B$10000,MATCH(E1495,商业2转码!$A$2:$A$10000,0))</f>
        <v>#N/A</v>
      </c>
      <c r="G1495" s="6" t="str">
        <f>INDEX(品种2编码!$A$2:$A$1048576,MATCH(W1495,品种2编码!$D$2:$D$1048576,0))</f>
        <v>0020070001ZYZC0383</v>
      </c>
      <c r="H1495" s="6" t="s">
        <v>1849</v>
      </c>
      <c r="I1495" s="6" t="s">
        <v>1850</v>
      </c>
      <c r="J1495" s="6" t="s">
        <v>3038</v>
      </c>
      <c r="L1495" s="6" t="s">
        <v>3303</v>
      </c>
      <c r="M1495" s="6" t="e">
        <f>INDEX(医院2县区2人!$B$2:$B$1048576,MATCH(L1495,医院2县区2人!$A$2:$A$1048576,0))</f>
        <v>#N/A</v>
      </c>
      <c r="N1495" s="6" t="e">
        <f>INDEX(医院2县区2人!$C$2:$C$1048576,MATCH(L1495,医院2县区2人!$A$2:$A$1048576,0))</f>
        <v>#N/A</v>
      </c>
      <c r="P1495" s="7">
        <v>43255</v>
      </c>
      <c r="Q1495" s="6">
        <v>240</v>
      </c>
      <c r="R1495" s="6">
        <v>14</v>
      </c>
      <c r="S1495" s="6" t="s">
        <v>2938</v>
      </c>
      <c r="T1495" s="6" t="e">
        <f>INDEX(医院2县区2人!$D$2:$D$1048576,MATCH(L1495,医院2县区2人!$A$2:$A$1048576,0))</f>
        <v>#N/A</v>
      </c>
      <c r="W1495" s="6" t="str">
        <f t="shared" si="49"/>
        <v>哈药牌钙铁锌口服液10ml*10支</v>
      </c>
      <c r="X1495" s="6" t="s">
        <v>2919</v>
      </c>
    </row>
    <row r="1496" spans="1:24" x14ac:dyDescent="0.15">
      <c r="A1496" s="7" t="str">
        <f t="shared" si="50"/>
        <v>201806</v>
      </c>
      <c r="C1496" s="6" t="str">
        <f>INDEX(工厂基础数据!$A$2:$A$1024,MATCH(X1496,工厂基础数据!$D$2:$D$1024,0))</f>
        <v>02001551</v>
      </c>
      <c r="E1496" s="6" t="str">
        <f>INDEX(工厂基础数据!$B$2:$B$1024,MATCH(X1496,工厂基础数据!$D$2:$D$1024,0))</f>
        <v>山东天士力医药有限公司</v>
      </c>
      <c r="F1496" s="6" t="e">
        <f>INDEX(商业2转码!$B$2:$B$10000,MATCH(E1496,商业2转码!$A$2:$A$10000,0))</f>
        <v>#N/A</v>
      </c>
      <c r="G1496" s="6" t="str">
        <f>INDEX(品种2编码!$A$2:$A$1048576,MATCH(W1496,品种2编码!$D$2:$D$1048576,0))</f>
        <v>0020070000ZYLC0001</v>
      </c>
      <c r="H1496" s="6" t="s">
        <v>725</v>
      </c>
      <c r="I1496" s="6" t="s">
        <v>1838</v>
      </c>
      <c r="J1496" s="6" t="s">
        <v>3036</v>
      </c>
      <c r="L1496" s="6" t="s">
        <v>3303</v>
      </c>
      <c r="M1496" s="6" t="e">
        <f>INDEX(医院2县区2人!$B$2:$B$1048576,MATCH(L1496,医院2县区2人!$A$2:$A$1048576,0))</f>
        <v>#N/A</v>
      </c>
      <c r="N1496" s="6" t="e">
        <f>INDEX(医院2县区2人!$C$2:$C$1048576,MATCH(L1496,医院2县区2人!$A$2:$A$1048576,0))</f>
        <v>#N/A</v>
      </c>
      <c r="P1496" s="7">
        <v>43255</v>
      </c>
      <c r="Q1496" s="6">
        <v>240</v>
      </c>
      <c r="R1496" s="6">
        <v>24</v>
      </c>
      <c r="S1496" s="6">
        <v>180105</v>
      </c>
      <c r="T1496" s="6" t="e">
        <f>INDEX(医院2县区2人!$D$2:$D$1048576,MATCH(L1496,医院2县区2人!$A$2:$A$1048576,0))</f>
        <v>#N/A</v>
      </c>
      <c r="W1496" s="6" t="str">
        <f t="shared" si="49"/>
        <v>新盖中盖牌高钙片2.5g*36片</v>
      </c>
      <c r="X1496" s="6" t="s">
        <v>2919</v>
      </c>
    </row>
    <row r="1497" spans="1:24" x14ac:dyDescent="0.15">
      <c r="A1497" s="7" t="str">
        <f t="shared" si="50"/>
        <v>201806</v>
      </c>
      <c r="C1497" s="6" t="str">
        <f>INDEX(工厂基础数据!$A$2:$A$1024,MATCH(X1497,工厂基础数据!$D$2:$D$1024,0))</f>
        <v>02001551</v>
      </c>
      <c r="E1497" s="6" t="str">
        <f>INDEX(工厂基础数据!$B$2:$B$1024,MATCH(X1497,工厂基础数据!$D$2:$D$1024,0))</f>
        <v>山东天士力医药有限公司</v>
      </c>
      <c r="F1497" s="6" t="e">
        <f>INDEX(商业2转码!$B$2:$B$10000,MATCH(E1497,商业2转码!$A$2:$A$10000,0))</f>
        <v>#N/A</v>
      </c>
      <c r="G1497" s="6" t="str">
        <f>INDEX(品种2编码!$A$2:$A$1048576,MATCH(W1497,品种2编码!$D$2:$D$1048576,0))</f>
        <v>0020070001ZYZC0369</v>
      </c>
      <c r="H1497" s="6" t="s">
        <v>1849</v>
      </c>
      <c r="I1497" s="6" t="s">
        <v>411</v>
      </c>
      <c r="J1497" s="6" t="s">
        <v>3279</v>
      </c>
      <c r="L1497" s="6" t="s">
        <v>3303</v>
      </c>
      <c r="M1497" s="6" t="e">
        <f>INDEX(医院2县区2人!$B$2:$B$1048576,MATCH(L1497,医院2县区2人!$A$2:$A$1048576,0))</f>
        <v>#N/A</v>
      </c>
      <c r="N1497" s="6" t="e">
        <f>INDEX(医院2县区2人!$C$2:$C$1048576,MATCH(L1497,医院2县区2人!$A$2:$A$1048576,0))</f>
        <v>#N/A</v>
      </c>
      <c r="P1497" s="7">
        <v>43255</v>
      </c>
      <c r="Q1497" s="6">
        <v>240</v>
      </c>
      <c r="R1497" s="6">
        <v>16.5</v>
      </c>
      <c r="S1497" s="6">
        <v>1801028</v>
      </c>
      <c r="T1497" s="6" t="e">
        <f>INDEX(医院2县区2人!$D$2:$D$1048576,MATCH(L1497,医院2县区2人!$A$2:$A$1048576,0))</f>
        <v>#N/A</v>
      </c>
      <c r="W1497" s="6" t="str">
        <f t="shared" si="49"/>
        <v>哈药牌钙铁锌口服液10ml*12支</v>
      </c>
      <c r="X1497" s="6" t="s">
        <v>2919</v>
      </c>
    </row>
    <row r="1498" spans="1:24" x14ac:dyDescent="0.15">
      <c r="A1498" s="7" t="str">
        <f t="shared" si="50"/>
        <v>201806</v>
      </c>
      <c r="C1498" s="6" t="str">
        <f>INDEX(工厂基础数据!$A$2:$A$1024,MATCH(X1498,工厂基础数据!$D$2:$D$1024,0))</f>
        <v>02001551</v>
      </c>
      <c r="E1498" s="6" t="str">
        <f>INDEX(工厂基础数据!$B$2:$B$1024,MATCH(X1498,工厂基础数据!$D$2:$D$1024,0))</f>
        <v>山东天士力医药有限公司</v>
      </c>
      <c r="F1498" s="6" t="e">
        <f>INDEX(商业2转码!$B$2:$B$10000,MATCH(E1498,商业2转码!$A$2:$A$10000,0))</f>
        <v>#N/A</v>
      </c>
      <c r="G1498" s="6" t="str">
        <f>INDEX(品种2编码!$A$2:$A$1048576,MATCH(W1498,品种2编码!$D$2:$D$1048576,0))</f>
        <v>0020070001ZYLC0001</v>
      </c>
      <c r="H1498" s="6" t="s">
        <v>1905</v>
      </c>
      <c r="I1498" s="6" t="s">
        <v>411</v>
      </c>
      <c r="J1498" s="6" t="s">
        <v>3279</v>
      </c>
      <c r="L1498" s="6" t="s">
        <v>3303</v>
      </c>
      <c r="M1498" s="6" t="e">
        <f>INDEX(医院2县区2人!$B$2:$B$1048576,MATCH(L1498,医院2县区2人!$A$2:$A$1048576,0))</f>
        <v>#N/A</v>
      </c>
      <c r="N1498" s="6" t="e">
        <f>INDEX(医院2县区2人!$C$2:$C$1048576,MATCH(L1498,医院2县区2人!$A$2:$A$1048576,0))</f>
        <v>#N/A</v>
      </c>
      <c r="P1498" s="7">
        <v>43255</v>
      </c>
      <c r="Q1498" s="6">
        <v>320</v>
      </c>
      <c r="R1498" s="6">
        <v>17</v>
      </c>
      <c r="S1498" s="6">
        <v>180121</v>
      </c>
      <c r="T1498" s="6" t="e">
        <f>INDEX(医院2县区2人!$D$2:$D$1048576,MATCH(L1498,医院2县区2人!$A$2:$A$1048576,0))</f>
        <v>#N/A</v>
      </c>
      <c r="W1498" s="6" t="str">
        <f t="shared" si="49"/>
        <v>哈药六钙锌口服液10ml*12支</v>
      </c>
      <c r="X1498" s="6" t="s">
        <v>2919</v>
      </c>
    </row>
    <row r="1499" spans="1:24" x14ac:dyDescent="0.15">
      <c r="A1499" s="7" t="str">
        <f t="shared" si="50"/>
        <v>201806</v>
      </c>
      <c r="C1499" s="6" t="str">
        <f>INDEX(工厂基础数据!$A$2:$A$1024,MATCH(X1499,工厂基础数据!$D$2:$D$1024,0))</f>
        <v>02001551</v>
      </c>
      <c r="E1499" s="6" t="str">
        <f>INDEX(工厂基础数据!$B$2:$B$1024,MATCH(X1499,工厂基础数据!$D$2:$D$1024,0))</f>
        <v>山东天士力医药有限公司</v>
      </c>
      <c r="F1499" s="6" t="e">
        <f>INDEX(商业2转码!$B$2:$B$10000,MATCH(E1499,商业2转码!$A$2:$A$10000,0))</f>
        <v>#N/A</v>
      </c>
      <c r="G1499" s="6" t="str">
        <f>INDEX(品种2编码!$A$2:$A$1048576,MATCH(W1499,品种2编码!$D$2:$D$1048576,0))</f>
        <v>0020050090SJZY0001</v>
      </c>
      <c r="H1499" s="6" t="s">
        <v>630</v>
      </c>
      <c r="I1499" s="6" t="s">
        <v>1850</v>
      </c>
      <c r="J1499" s="6" t="s">
        <v>3285</v>
      </c>
      <c r="L1499" s="6" t="s">
        <v>3321</v>
      </c>
      <c r="M1499" s="6" t="e">
        <f>INDEX(医院2县区2人!$B$2:$B$1048576,MATCH(L1499,医院2县区2人!$A$2:$A$1048576,0))</f>
        <v>#N/A</v>
      </c>
      <c r="N1499" s="6" t="e">
        <f>INDEX(医院2县区2人!$C$2:$C$1048576,MATCH(L1499,医院2县区2人!$A$2:$A$1048576,0))</f>
        <v>#N/A</v>
      </c>
      <c r="P1499" s="7">
        <v>43255</v>
      </c>
      <c r="Q1499" s="6">
        <v>20</v>
      </c>
      <c r="R1499" s="6">
        <v>16.5</v>
      </c>
      <c r="S1499" s="6">
        <v>17062811</v>
      </c>
      <c r="T1499" s="6" t="e">
        <f>INDEX(医院2县区2人!$D$2:$D$1048576,MATCH(L1499,医院2县区2人!$A$2:$A$1048576,0))</f>
        <v>#N/A</v>
      </c>
      <c r="W1499" s="6" t="str">
        <f t="shared" si="49"/>
        <v>双黄连口服液10ml*10支</v>
      </c>
      <c r="X1499" s="6" t="s">
        <v>2919</v>
      </c>
    </row>
    <row r="1500" spans="1:24" x14ac:dyDescent="0.15">
      <c r="A1500" s="7" t="str">
        <f t="shared" si="50"/>
        <v>201806</v>
      </c>
      <c r="C1500" s="6" t="str">
        <f>INDEX(工厂基础数据!$A$2:$A$1024,MATCH(X1500,工厂基础数据!$D$2:$D$1024,0))</f>
        <v>02001551</v>
      </c>
      <c r="E1500" s="6" t="str">
        <f>INDEX(工厂基础数据!$B$2:$B$1024,MATCH(X1500,工厂基础数据!$D$2:$D$1024,0))</f>
        <v>山东天士力医药有限公司</v>
      </c>
      <c r="F1500" s="6" t="e">
        <f>INDEX(商业2转码!$B$2:$B$10000,MATCH(E1500,商业2转码!$A$2:$A$10000,0))</f>
        <v>#N/A</v>
      </c>
      <c r="G1500" s="6">
        <f>INDEX(品种2编码!$A$2:$A$1048576,MATCH(W1500,品种2编码!$D$2:$D$1048576,0))</f>
        <v>0</v>
      </c>
      <c r="H1500" s="6" t="s">
        <v>474</v>
      </c>
      <c r="I1500" s="6" t="s">
        <v>3064</v>
      </c>
      <c r="J1500" s="6" t="s">
        <v>3335</v>
      </c>
      <c r="L1500" s="6" t="s">
        <v>3303</v>
      </c>
      <c r="M1500" s="6" t="e">
        <f>INDEX(医院2县区2人!$B$2:$B$1048576,MATCH(L1500,医院2县区2人!$A$2:$A$1048576,0))</f>
        <v>#N/A</v>
      </c>
      <c r="N1500" s="6" t="e">
        <f>INDEX(医院2县区2人!$C$2:$C$1048576,MATCH(L1500,医院2县区2人!$A$2:$A$1048576,0))</f>
        <v>#N/A</v>
      </c>
      <c r="P1500" s="7">
        <v>43255</v>
      </c>
      <c r="Q1500" s="6">
        <v>20</v>
      </c>
      <c r="R1500" s="6">
        <v>44.5</v>
      </c>
      <c r="S1500" s="6">
        <v>1803029</v>
      </c>
      <c r="T1500" s="6" t="e">
        <f>INDEX(医院2县区2人!$D$2:$D$1048576,MATCH(L1500,医院2县区2人!$A$2:$A$1048576,0))</f>
        <v>#N/A</v>
      </c>
      <c r="W1500" s="6" t="str">
        <f t="shared" si="49"/>
        <v>拉西地平片4mg*30片</v>
      </c>
      <c r="X1500" s="6" t="s">
        <v>2919</v>
      </c>
    </row>
    <row r="1501" spans="1:24" x14ac:dyDescent="0.15">
      <c r="A1501" s="7" t="str">
        <f t="shared" si="50"/>
        <v>201806</v>
      </c>
      <c r="C1501" s="6" t="str">
        <f>INDEX(工厂基础数据!$A$2:$A$1024,MATCH(X1501,工厂基础数据!$D$2:$D$1024,0))</f>
        <v>02001551</v>
      </c>
      <c r="E1501" s="6" t="str">
        <f>INDEX(工厂基础数据!$B$2:$B$1024,MATCH(X1501,工厂基础数据!$D$2:$D$1024,0))</f>
        <v>山东天士力医药有限公司</v>
      </c>
      <c r="F1501" s="6" t="e">
        <f>INDEX(商业2转码!$B$2:$B$10000,MATCH(E1501,商业2转码!$A$2:$A$10000,0))</f>
        <v>#N/A</v>
      </c>
      <c r="G1501" s="6" t="str">
        <f>INDEX(品种2编码!$A$2:$A$1048576,MATCH(W1501,品种2编码!$D$2:$D$1048576,0))</f>
        <v>0020050090SJZY0001</v>
      </c>
      <c r="H1501" s="6" t="s">
        <v>630</v>
      </c>
      <c r="I1501" s="6" t="s">
        <v>1850</v>
      </c>
      <c r="J1501" s="6" t="s">
        <v>3285</v>
      </c>
      <c r="L1501" s="6" t="s">
        <v>3303</v>
      </c>
      <c r="M1501" s="6" t="e">
        <f>INDEX(医院2县区2人!$B$2:$B$1048576,MATCH(L1501,医院2县区2人!$A$2:$A$1048576,0))</f>
        <v>#N/A</v>
      </c>
      <c r="N1501" s="6" t="e">
        <f>INDEX(医院2县区2人!$C$2:$C$1048576,MATCH(L1501,医院2县区2人!$A$2:$A$1048576,0))</f>
        <v>#N/A</v>
      </c>
      <c r="P1501" s="7">
        <v>43255</v>
      </c>
      <c r="Q1501" s="6">
        <v>1350</v>
      </c>
      <c r="R1501" s="6">
        <v>16.5</v>
      </c>
      <c r="S1501" s="6">
        <v>17062811</v>
      </c>
      <c r="T1501" s="6" t="e">
        <f>INDEX(医院2县区2人!$D$2:$D$1048576,MATCH(L1501,医院2县区2人!$A$2:$A$1048576,0))</f>
        <v>#N/A</v>
      </c>
      <c r="W1501" s="6" t="str">
        <f t="shared" si="49"/>
        <v>双黄连口服液10ml*10支</v>
      </c>
      <c r="X1501" s="6" t="s">
        <v>2919</v>
      </c>
    </row>
    <row r="1502" spans="1:24" x14ac:dyDescent="0.15">
      <c r="A1502" s="7" t="str">
        <f t="shared" si="50"/>
        <v>201806</v>
      </c>
      <c r="C1502" s="6" t="str">
        <f>INDEX(工厂基础数据!$A$2:$A$1024,MATCH(X1502,工厂基础数据!$D$2:$D$1024,0))</f>
        <v>02001551</v>
      </c>
      <c r="E1502" s="6" t="str">
        <f>INDEX(工厂基础数据!$B$2:$B$1024,MATCH(X1502,工厂基础数据!$D$2:$D$1024,0))</f>
        <v>山东天士力医药有限公司</v>
      </c>
      <c r="F1502" s="6" t="e">
        <f>INDEX(商业2转码!$B$2:$B$10000,MATCH(E1502,商业2转码!$A$2:$A$10000,0))</f>
        <v>#N/A</v>
      </c>
      <c r="G1502" s="6">
        <f>INDEX(品种2编码!$A$2:$A$1048576,MATCH(W1502,品种2编码!$D$2:$D$1048576,0))</f>
        <v>0</v>
      </c>
      <c r="H1502" s="6" t="s">
        <v>1953</v>
      </c>
      <c r="I1502" s="6" t="s">
        <v>1853</v>
      </c>
      <c r="J1502" s="6" t="s">
        <v>3279</v>
      </c>
      <c r="L1502" s="6" t="s">
        <v>3303</v>
      </c>
      <c r="M1502" s="6" t="e">
        <f>INDEX(医院2县区2人!$B$2:$B$1048576,MATCH(L1502,医院2县区2人!$A$2:$A$1048576,0))</f>
        <v>#N/A</v>
      </c>
      <c r="N1502" s="6" t="e">
        <f>INDEX(医院2县区2人!$C$2:$C$1048576,MATCH(L1502,医院2县区2人!$A$2:$A$1048576,0))</f>
        <v>#N/A</v>
      </c>
      <c r="P1502" s="7">
        <v>43255</v>
      </c>
      <c r="Q1502" s="6">
        <v>1400</v>
      </c>
      <c r="R1502" s="6">
        <v>9</v>
      </c>
      <c r="S1502" s="6">
        <v>180184</v>
      </c>
      <c r="T1502" s="6" t="e">
        <f>INDEX(医院2县区2人!$D$2:$D$1048576,MATCH(L1502,医院2县区2人!$A$2:$A$1048576,0))</f>
        <v>#N/A</v>
      </c>
      <c r="W1502" s="6" t="str">
        <f t="shared" si="49"/>
        <v>小儿氨酚黄那敏颗粒2g*12袋</v>
      </c>
      <c r="X1502" s="6" t="s">
        <v>2919</v>
      </c>
    </row>
    <row r="1503" spans="1:24" x14ac:dyDescent="0.15">
      <c r="A1503" s="7" t="str">
        <f t="shared" si="50"/>
        <v>201806</v>
      </c>
      <c r="C1503" s="6" t="str">
        <f>INDEX(工厂基础数据!$A$2:$A$1024,MATCH(X1503,工厂基础数据!$D$2:$D$1024,0))</f>
        <v>02001551</v>
      </c>
      <c r="E1503" s="6" t="str">
        <f>INDEX(工厂基础数据!$B$2:$B$1024,MATCH(X1503,工厂基础数据!$D$2:$D$1024,0))</f>
        <v>山东天士力医药有限公司</v>
      </c>
      <c r="F1503" s="6" t="e">
        <f>INDEX(商业2转码!$B$2:$B$10000,MATCH(E1503,商业2转码!$A$2:$A$10000,0))</f>
        <v>#N/A</v>
      </c>
      <c r="G1503" s="6">
        <f>INDEX(品种2编码!$A$2:$A$1048576,MATCH(W1503,品种2编码!$D$2:$D$1048576,0))</f>
        <v>0</v>
      </c>
      <c r="H1503" s="6" t="s">
        <v>394</v>
      </c>
      <c r="I1503" s="6" t="s">
        <v>3331</v>
      </c>
      <c r="J1503" s="6" t="s">
        <v>3279</v>
      </c>
      <c r="L1503" s="6" t="s">
        <v>3303</v>
      </c>
      <c r="M1503" s="6" t="e">
        <f>INDEX(医院2县区2人!$B$2:$B$1048576,MATCH(L1503,医院2县区2人!$A$2:$A$1048576,0))</f>
        <v>#N/A</v>
      </c>
      <c r="N1503" s="6" t="e">
        <f>INDEX(医院2县区2人!$C$2:$C$1048576,MATCH(L1503,医院2县区2人!$A$2:$A$1048576,0))</f>
        <v>#N/A</v>
      </c>
      <c r="P1503" s="7">
        <v>43255</v>
      </c>
      <c r="Q1503" s="6">
        <v>1200</v>
      </c>
      <c r="R1503" s="6">
        <v>11</v>
      </c>
      <c r="S1503" s="6">
        <v>1801024</v>
      </c>
      <c r="T1503" s="6" t="e">
        <f>INDEX(医院2县区2人!$D$2:$D$1048576,MATCH(L1503,医院2县区2人!$A$2:$A$1048576,0))</f>
        <v>#N/A</v>
      </c>
      <c r="W1503" s="6" t="str">
        <f t="shared" si="49"/>
        <v>复方铝酸铋片10片*5板</v>
      </c>
      <c r="X1503" s="6" t="s">
        <v>2919</v>
      </c>
    </row>
    <row r="1504" spans="1:24" x14ac:dyDescent="0.15">
      <c r="A1504" s="7" t="str">
        <f t="shared" si="50"/>
        <v>201806</v>
      </c>
      <c r="C1504" s="6" t="str">
        <f>INDEX(工厂基础数据!$A$2:$A$1024,MATCH(X1504,工厂基础数据!$D$2:$D$1024,0))</f>
        <v>02001551</v>
      </c>
      <c r="E1504" s="6" t="str">
        <f>INDEX(工厂基础数据!$B$2:$B$1024,MATCH(X1504,工厂基础数据!$D$2:$D$1024,0))</f>
        <v>山东天士力医药有限公司</v>
      </c>
      <c r="F1504" s="6" t="e">
        <f>INDEX(商业2转码!$B$2:$B$10000,MATCH(E1504,商业2转码!$A$2:$A$10000,0))</f>
        <v>#N/A</v>
      </c>
      <c r="G1504" s="6">
        <f>INDEX(品种2编码!$A$2:$A$1048576,MATCH(W1504,品种2编码!$D$2:$D$1048576,0))</f>
        <v>0</v>
      </c>
      <c r="H1504" s="6" t="s">
        <v>1833</v>
      </c>
      <c r="I1504" s="6" t="s">
        <v>3332</v>
      </c>
      <c r="J1504" s="6" t="s">
        <v>3285</v>
      </c>
      <c r="L1504" s="6" t="s">
        <v>3303</v>
      </c>
      <c r="M1504" s="6" t="e">
        <f>INDEX(医院2县区2人!$B$2:$B$1048576,MATCH(L1504,医院2县区2人!$A$2:$A$1048576,0))</f>
        <v>#N/A</v>
      </c>
      <c r="N1504" s="6" t="e">
        <f>INDEX(医院2县区2人!$C$2:$C$1048576,MATCH(L1504,医院2县区2人!$A$2:$A$1048576,0))</f>
        <v>#N/A</v>
      </c>
      <c r="P1504" s="7">
        <v>43255</v>
      </c>
      <c r="Q1504" s="6">
        <v>2400</v>
      </c>
      <c r="R1504" s="6">
        <v>22</v>
      </c>
      <c r="S1504" s="6">
        <v>18030832</v>
      </c>
      <c r="T1504" s="6" t="e">
        <f>INDEX(医院2县区2人!$D$2:$D$1048576,MATCH(L1504,医院2县区2人!$A$2:$A$1048576,0))</f>
        <v>#N/A</v>
      </c>
      <c r="W1504" s="6" t="str">
        <f t="shared" si="49"/>
        <v>葡萄糖酸钙口服溶液10毫升*12支（含糖型）</v>
      </c>
      <c r="X1504" s="6" t="s">
        <v>2919</v>
      </c>
    </row>
    <row r="1505" spans="1:24" x14ac:dyDescent="0.15">
      <c r="A1505" s="7" t="str">
        <f t="shared" si="50"/>
        <v>201806</v>
      </c>
      <c r="C1505" s="6" t="str">
        <f>INDEX(工厂基础数据!$A$2:$A$1024,MATCH(X1505,工厂基础数据!$D$2:$D$1024,0))</f>
        <v>02001551</v>
      </c>
      <c r="E1505" s="6" t="str">
        <f>INDEX(工厂基础数据!$B$2:$B$1024,MATCH(X1505,工厂基础数据!$D$2:$D$1024,0))</f>
        <v>山东天士力医药有限公司</v>
      </c>
      <c r="F1505" s="6" t="e">
        <f>INDEX(商业2转码!$B$2:$B$10000,MATCH(E1505,商业2转码!$A$2:$A$10000,0))</f>
        <v>#N/A</v>
      </c>
      <c r="G1505" s="6">
        <f>INDEX(品种2编码!$A$2:$A$1048576,MATCH(W1505,品种2编码!$D$2:$D$1048576,0))</f>
        <v>0</v>
      </c>
      <c r="H1505" s="6" t="s">
        <v>1949</v>
      </c>
      <c r="I1505" s="6" t="s">
        <v>2930</v>
      </c>
      <c r="J1505" s="6" t="s">
        <v>3040</v>
      </c>
      <c r="L1505" s="6" t="s">
        <v>3303</v>
      </c>
      <c r="M1505" s="6" t="e">
        <f>INDEX(医院2县区2人!$B$2:$B$1048576,MATCH(L1505,医院2县区2人!$A$2:$A$1048576,0))</f>
        <v>#N/A</v>
      </c>
      <c r="N1505" s="6" t="e">
        <f>INDEX(医院2县区2人!$C$2:$C$1048576,MATCH(L1505,医院2县区2人!$A$2:$A$1048576,0))</f>
        <v>#N/A</v>
      </c>
      <c r="P1505" s="7">
        <v>43280</v>
      </c>
      <c r="Q1505" s="6">
        <v>800</v>
      </c>
      <c r="R1505" s="6">
        <v>25</v>
      </c>
      <c r="S1505" s="6">
        <v>18031317</v>
      </c>
      <c r="T1505" s="6" t="e">
        <f>INDEX(医院2县区2人!$D$2:$D$1048576,MATCH(L1505,医院2县区2人!$A$2:$A$1048576,0))</f>
        <v>#N/A</v>
      </c>
      <c r="W1505" s="6" t="str">
        <f t="shared" si="49"/>
        <v>葡萄糖酸锌口服溶液10ml:35mg*12支</v>
      </c>
      <c r="X1505" s="6" t="s">
        <v>2919</v>
      </c>
    </row>
    <row r="1506" spans="1:24" x14ac:dyDescent="0.15">
      <c r="A1506" s="7" t="str">
        <f t="shared" si="50"/>
        <v>201806</v>
      </c>
      <c r="C1506" s="6" t="str">
        <f>INDEX(工厂基础数据!$A$2:$A$1024,MATCH(X1506,工厂基础数据!$D$2:$D$1024,0))</f>
        <v>02001551</v>
      </c>
      <c r="E1506" s="6" t="str">
        <f>INDEX(工厂基础数据!$B$2:$B$1024,MATCH(X1506,工厂基础数据!$D$2:$D$1024,0))</f>
        <v>山东天士力医药有限公司</v>
      </c>
      <c r="F1506" s="6" t="e">
        <f>INDEX(商业2转码!$B$2:$B$10000,MATCH(E1506,商业2转码!$A$2:$A$10000,0))</f>
        <v>#N/A</v>
      </c>
      <c r="G1506" s="6">
        <f>INDEX(品种2编码!$A$2:$A$1048576,MATCH(W1506,品种2编码!$D$2:$D$1048576,0))</f>
        <v>0</v>
      </c>
      <c r="H1506" s="6" t="s">
        <v>1949</v>
      </c>
      <c r="I1506" s="6" t="s">
        <v>2930</v>
      </c>
      <c r="J1506" s="6" t="s">
        <v>3040</v>
      </c>
      <c r="L1506" s="6" t="s">
        <v>3303</v>
      </c>
      <c r="M1506" s="6" t="e">
        <f>INDEX(医院2县区2人!$B$2:$B$1048576,MATCH(L1506,医院2县区2人!$A$2:$A$1048576,0))</f>
        <v>#N/A</v>
      </c>
      <c r="N1506" s="6" t="e">
        <f>INDEX(医院2县区2人!$C$2:$C$1048576,MATCH(L1506,医院2县区2人!$A$2:$A$1048576,0))</f>
        <v>#N/A</v>
      </c>
      <c r="P1506" s="7">
        <v>43280</v>
      </c>
      <c r="Q1506" s="6">
        <v>-800</v>
      </c>
      <c r="R1506" s="6">
        <v>25</v>
      </c>
      <c r="S1506" s="6">
        <v>18031317</v>
      </c>
      <c r="T1506" s="6" t="e">
        <f>INDEX(医院2县区2人!$D$2:$D$1048576,MATCH(L1506,医院2县区2人!$A$2:$A$1048576,0))</f>
        <v>#N/A</v>
      </c>
      <c r="W1506" s="6" t="str">
        <f t="shared" si="49"/>
        <v>葡萄糖酸锌口服溶液10ml:35mg*12支</v>
      </c>
      <c r="X1506" s="6" t="s">
        <v>2919</v>
      </c>
    </row>
    <row r="1507" spans="1:24" x14ac:dyDescent="0.15">
      <c r="A1507" s="7" t="str">
        <f t="shared" si="50"/>
        <v>201806</v>
      </c>
      <c r="C1507" s="6" t="str">
        <f>INDEX(工厂基础数据!$A$2:$A$1024,MATCH(X1507,工厂基础数据!$D$2:$D$1024,0))</f>
        <v>02001551</v>
      </c>
      <c r="E1507" s="6" t="str">
        <f>INDEX(工厂基础数据!$B$2:$B$1024,MATCH(X1507,工厂基础数据!$D$2:$D$1024,0))</f>
        <v>山东天士力医药有限公司</v>
      </c>
      <c r="F1507" s="6" t="e">
        <f>INDEX(商业2转码!$B$2:$B$10000,MATCH(E1507,商业2转码!$A$2:$A$10000,0))</f>
        <v>#N/A</v>
      </c>
      <c r="G1507" s="6" t="str">
        <f>INDEX(品种2编码!$A$2:$A$1048576,MATCH(W1507,品种2编码!$D$2:$D$1048576,0))</f>
        <v>0020050030SJSC0007</v>
      </c>
      <c r="H1507" s="6" t="s">
        <v>461</v>
      </c>
      <c r="I1507" s="6" t="s">
        <v>1917</v>
      </c>
      <c r="J1507" s="6" t="s">
        <v>3285</v>
      </c>
      <c r="L1507" s="6" t="s">
        <v>3320</v>
      </c>
      <c r="M1507" s="6" t="e">
        <f>INDEX(医院2县区2人!$B$2:$B$1048576,MATCH(L1507,医院2县区2人!$A$2:$A$1048576,0))</f>
        <v>#N/A</v>
      </c>
      <c r="N1507" s="6" t="e">
        <f>INDEX(医院2县区2人!$C$2:$C$1048576,MATCH(L1507,医院2县区2人!$A$2:$A$1048576,0))</f>
        <v>#N/A</v>
      </c>
      <c r="P1507" s="7">
        <v>43280</v>
      </c>
      <c r="Q1507" s="6">
        <v>1100</v>
      </c>
      <c r="R1507" s="6">
        <v>7.9</v>
      </c>
      <c r="S1507" s="6">
        <v>1608004</v>
      </c>
      <c r="T1507" s="6" t="e">
        <f>INDEX(医院2县区2人!$D$2:$D$1048576,MATCH(L1507,医院2县区2人!$A$2:$A$1048576,0))</f>
        <v>#N/A</v>
      </c>
      <c r="W1507" s="6" t="str">
        <f t="shared" si="49"/>
        <v>菊梅利咽含片1.2g*18片</v>
      </c>
      <c r="X1507" s="6" t="s">
        <v>2919</v>
      </c>
    </row>
    <row r="1508" spans="1:24" x14ac:dyDescent="0.15">
      <c r="A1508" s="7" t="str">
        <f t="shared" si="50"/>
        <v>201806</v>
      </c>
      <c r="C1508" s="6" t="str">
        <f>INDEX(工厂基础数据!$A$2:$A$1024,MATCH(X1508,工厂基础数据!$D$2:$D$1024,0))</f>
        <v>02001551</v>
      </c>
      <c r="E1508" s="6" t="str">
        <f>INDEX(工厂基础数据!$B$2:$B$1024,MATCH(X1508,工厂基础数据!$D$2:$D$1024,0))</f>
        <v>山东天士力医药有限公司</v>
      </c>
      <c r="F1508" s="6" t="e">
        <f>INDEX(商业2转码!$B$2:$B$10000,MATCH(E1508,商业2转码!$A$2:$A$10000,0))</f>
        <v>#N/A</v>
      </c>
      <c r="G1508" s="6">
        <f>INDEX(品种2编码!$A$2:$A$1048576,MATCH(W1508,品种2编码!$D$2:$D$1048576,0))</f>
        <v>0</v>
      </c>
      <c r="H1508" s="6" t="s">
        <v>1833</v>
      </c>
      <c r="I1508" s="6" t="s">
        <v>3332</v>
      </c>
      <c r="J1508" s="6" t="s">
        <v>3285</v>
      </c>
      <c r="L1508" s="6" t="s">
        <v>3303</v>
      </c>
      <c r="M1508" s="6" t="e">
        <f>INDEX(医院2县区2人!$B$2:$B$1048576,MATCH(L1508,医院2县区2人!$A$2:$A$1048576,0))</f>
        <v>#N/A</v>
      </c>
      <c r="N1508" s="6" t="e">
        <f>INDEX(医院2县区2人!$C$2:$C$1048576,MATCH(L1508,医院2县区2人!$A$2:$A$1048576,0))</f>
        <v>#N/A</v>
      </c>
      <c r="P1508" s="7">
        <v>43279</v>
      </c>
      <c r="Q1508" s="6">
        <v>-5</v>
      </c>
      <c r="R1508" s="6">
        <v>22</v>
      </c>
      <c r="S1508" s="6">
        <v>17111823</v>
      </c>
      <c r="T1508" s="6" t="e">
        <f>INDEX(医院2县区2人!$D$2:$D$1048576,MATCH(L1508,医院2县区2人!$A$2:$A$1048576,0))</f>
        <v>#N/A</v>
      </c>
      <c r="W1508" s="6" t="str">
        <f t="shared" si="49"/>
        <v>葡萄糖酸钙口服溶液10毫升*12支（含糖型）</v>
      </c>
      <c r="X1508" s="6" t="s">
        <v>2919</v>
      </c>
    </row>
    <row r="1509" spans="1:24" x14ac:dyDescent="0.15">
      <c r="A1509" s="7" t="str">
        <f t="shared" si="50"/>
        <v>201806</v>
      </c>
      <c r="C1509" s="6" t="str">
        <f>INDEX(工厂基础数据!$A$2:$A$1024,MATCH(X1509,工厂基础数据!$D$2:$D$1024,0))</f>
        <v>02001551</v>
      </c>
      <c r="E1509" s="6" t="str">
        <f>INDEX(工厂基础数据!$B$2:$B$1024,MATCH(X1509,工厂基础数据!$D$2:$D$1024,0))</f>
        <v>山东天士力医药有限公司</v>
      </c>
      <c r="F1509" s="6" t="e">
        <f>INDEX(商业2转码!$B$2:$B$10000,MATCH(E1509,商业2转码!$A$2:$A$10000,0))</f>
        <v>#N/A</v>
      </c>
      <c r="G1509" s="6">
        <f>INDEX(品种2编码!$A$2:$A$1048576,MATCH(W1509,品种2编码!$D$2:$D$1048576,0))</f>
        <v>0</v>
      </c>
      <c r="H1509" s="6" t="s">
        <v>1949</v>
      </c>
      <c r="I1509" s="6" t="s">
        <v>2930</v>
      </c>
      <c r="J1509" s="6" t="s">
        <v>3040</v>
      </c>
      <c r="L1509" s="6" t="s">
        <v>3303</v>
      </c>
      <c r="M1509" s="6" t="e">
        <f>INDEX(医院2县区2人!$B$2:$B$1048576,MATCH(L1509,医院2县区2人!$A$2:$A$1048576,0))</f>
        <v>#N/A</v>
      </c>
      <c r="N1509" s="6" t="e">
        <f>INDEX(医院2县区2人!$C$2:$C$1048576,MATCH(L1509,医院2县区2人!$A$2:$A$1048576,0))</f>
        <v>#N/A</v>
      </c>
      <c r="P1509" s="7">
        <v>43279</v>
      </c>
      <c r="Q1509" s="6">
        <v>-1</v>
      </c>
      <c r="R1509" s="6">
        <v>23</v>
      </c>
      <c r="S1509" s="6">
        <v>17120711</v>
      </c>
      <c r="T1509" s="6" t="e">
        <f>INDEX(医院2县区2人!$D$2:$D$1048576,MATCH(L1509,医院2县区2人!$A$2:$A$1048576,0))</f>
        <v>#N/A</v>
      </c>
      <c r="W1509" s="6" t="str">
        <f t="shared" si="49"/>
        <v>葡萄糖酸锌口服溶液10ml:35mg*12支</v>
      </c>
      <c r="X1509" s="6" t="s">
        <v>2919</v>
      </c>
    </row>
    <row r="1510" spans="1:24" x14ac:dyDescent="0.15">
      <c r="A1510" s="7" t="str">
        <f t="shared" si="50"/>
        <v>201806</v>
      </c>
      <c r="C1510" s="6" t="str">
        <f>INDEX(工厂基础数据!$A$2:$A$1024,MATCH(X1510,工厂基础数据!$D$2:$D$1024,0))</f>
        <v>02001551</v>
      </c>
      <c r="E1510" s="6" t="str">
        <f>INDEX(工厂基础数据!$B$2:$B$1024,MATCH(X1510,工厂基础数据!$D$2:$D$1024,0))</f>
        <v>山东天士力医药有限公司</v>
      </c>
      <c r="F1510" s="6" t="e">
        <f>INDEX(商业2转码!$B$2:$B$10000,MATCH(E1510,商业2转码!$A$2:$A$10000,0))</f>
        <v>#N/A</v>
      </c>
      <c r="G1510" s="6" t="str">
        <f>INDEX(品种2编码!$A$2:$A$1048576,MATCH(W1510,品种2编码!$D$2:$D$1048576,0))</f>
        <v>0020070001ZYZC0369</v>
      </c>
      <c r="H1510" s="6" t="s">
        <v>1849</v>
      </c>
      <c r="I1510" s="6" t="s">
        <v>411</v>
      </c>
      <c r="J1510" s="6" t="s">
        <v>3279</v>
      </c>
      <c r="L1510" s="6" t="s">
        <v>3303</v>
      </c>
      <c r="M1510" s="6" t="e">
        <f>INDEX(医院2县区2人!$B$2:$B$1048576,MATCH(L1510,医院2县区2人!$A$2:$A$1048576,0))</f>
        <v>#N/A</v>
      </c>
      <c r="N1510" s="6" t="e">
        <f>INDEX(医院2县区2人!$C$2:$C$1048576,MATCH(L1510,医院2县区2人!$A$2:$A$1048576,0))</f>
        <v>#N/A</v>
      </c>
      <c r="P1510" s="7">
        <v>43279</v>
      </c>
      <c r="Q1510" s="6">
        <v>-1</v>
      </c>
      <c r="R1510" s="6">
        <v>16.5</v>
      </c>
      <c r="S1510" s="6" t="s">
        <v>3339</v>
      </c>
      <c r="T1510" s="6" t="e">
        <f>INDEX(医院2县区2人!$D$2:$D$1048576,MATCH(L1510,医院2县区2人!$A$2:$A$1048576,0))</f>
        <v>#N/A</v>
      </c>
      <c r="W1510" s="6" t="str">
        <f t="shared" si="49"/>
        <v>哈药牌钙铁锌口服液10ml*12支</v>
      </c>
      <c r="X1510" s="6" t="s">
        <v>2919</v>
      </c>
    </row>
    <row r="1511" spans="1:24" x14ac:dyDescent="0.15">
      <c r="A1511" s="7" t="str">
        <f t="shared" si="50"/>
        <v>201806</v>
      </c>
      <c r="C1511" s="6" t="str">
        <f>INDEX(工厂基础数据!$A$2:$A$1024,MATCH(X1511,工厂基础数据!$D$2:$D$1024,0))</f>
        <v>02001551</v>
      </c>
      <c r="E1511" s="6" t="str">
        <f>INDEX(工厂基础数据!$B$2:$B$1024,MATCH(X1511,工厂基础数据!$D$2:$D$1024,0))</f>
        <v>山东天士力医药有限公司</v>
      </c>
      <c r="F1511" s="6" t="e">
        <f>INDEX(商业2转码!$B$2:$B$10000,MATCH(E1511,商业2转码!$A$2:$A$10000,0))</f>
        <v>#N/A</v>
      </c>
      <c r="G1511" s="6">
        <f>INDEX(品种2编码!$A$2:$A$1048576,MATCH(W1511,品种2编码!$D$2:$D$1048576,0))</f>
        <v>0</v>
      </c>
      <c r="H1511" s="6" t="s">
        <v>394</v>
      </c>
      <c r="I1511" s="6" t="s">
        <v>3331</v>
      </c>
      <c r="J1511" s="6" t="s">
        <v>3279</v>
      </c>
      <c r="L1511" s="6" t="s">
        <v>3303</v>
      </c>
      <c r="M1511" s="6" t="e">
        <f>INDEX(医院2县区2人!$B$2:$B$1048576,MATCH(L1511,医院2县区2人!$A$2:$A$1048576,0))</f>
        <v>#N/A</v>
      </c>
      <c r="N1511" s="6" t="e">
        <f>INDEX(医院2县区2人!$C$2:$C$1048576,MATCH(L1511,医院2县区2人!$A$2:$A$1048576,0))</f>
        <v>#N/A</v>
      </c>
      <c r="P1511" s="7">
        <v>43278</v>
      </c>
      <c r="Q1511" s="6">
        <v>300</v>
      </c>
      <c r="R1511" s="6">
        <v>12.5</v>
      </c>
      <c r="S1511" s="6">
        <v>1801024</v>
      </c>
      <c r="T1511" s="6" t="e">
        <f>INDEX(医院2县区2人!$D$2:$D$1048576,MATCH(L1511,医院2县区2人!$A$2:$A$1048576,0))</f>
        <v>#N/A</v>
      </c>
      <c r="W1511" s="6" t="str">
        <f t="shared" si="49"/>
        <v>复方铝酸铋片10片*5板</v>
      </c>
      <c r="X1511" s="6" t="s">
        <v>2919</v>
      </c>
    </row>
    <row r="1512" spans="1:24" x14ac:dyDescent="0.15">
      <c r="A1512" s="7" t="str">
        <f t="shared" si="50"/>
        <v>201806</v>
      </c>
      <c r="C1512" s="6" t="str">
        <f>INDEX(工厂基础数据!$A$2:$A$1024,MATCH(X1512,工厂基础数据!$D$2:$D$1024,0))</f>
        <v>02001551</v>
      </c>
      <c r="E1512" s="6" t="str">
        <f>INDEX(工厂基础数据!$B$2:$B$1024,MATCH(X1512,工厂基础数据!$D$2:$D$1024,0))</f>
        <v>山东天士力医药有限公司</v>
      </c>
      <c r="F1512" s="6" t="e">
        <f>INDEX(商业2转码!$B$2:$B$10000,MATCH(E1512,商业2转码!$A$2:$A$10000,0))</f>
        <v>#N/A</v>
      </c>
      <c r="G1512" s="6" t="str">
        <f>INDEX(品种2编码!$A$2:$A$1048576,MATCH(W1512,品种2编码!$D$2:$D$1048576,0))</f>
        <v>0020050090SJZY0001</v>
      </c>
      <c r="H1512" s="6" t="s">
        <v>630</v>
      </c>
      <c r="I1512" s="6" t="s">
        <v>1850</v>
      </c>
      <c r="J1512" s="6" t="s">
        <v>3285</v>
      </c>
      <c r="L1512" s="6" t="s">
        <v>3303</v>
      </c>
      <c r="M1512" s="6" t="e">
        <f>INDEX(医院2县区2人!$B$2:$B$1048576,MATCH(L1512,医院2县区2人!$A$2:$A$1048576,0))</f>
        <v>#N/A</v>
      </c>
      <c r="N1512" s="6" t="e">
        <f>INDEX(医院2县区2人!$C$2:$C$1048576,MATCH(L1512,医院2县区2人!$A$2:$A$1048576,0))</f>
        <v>#N/A</v>
      </c>
      <c r="P1512" s="7">
        <v>43278</v>
      </c>
      <c r="Q1512" s="6">
        <v>900</v>
      </c>
      <c r="R1512" s="6">
        <v>16.5</v>
      </c>
      <c r="S1512" s="6">
        <v>18011223</v>
      </c>
      <c r="T1512" s="6" t="e">
        <f>INDEX(医院2县区2人!$D$2:$D$1048576,MATCH(L1512,医院2县区2人!$A$2:$A$1048576,0))</f>
        <v>#N/A</v>
      </c>
      <c r="W1512" s="6" t="str">
        <f t="shared" si="49"/>
        <v>双黄连口服液10ml*10支</v>
      </c>
      <c r="X1512" s="6" t="s">
        <v>2919</v>
      </c>
    </row>
    <row r="1513" spans="1:24" x14ac:dyDescent="0.15">
      <c r="A1513" s="7" t="str">
        <f t="shared" si="50"/>
        <v>201806</v>
      </c>
      <c r="C1513" s="6" t="str">
        <f>INDEX(工厂基础数据!$A$2:$A$1024,MATCH(X1513,工厂基础数据!$D$2:$D$1024,0))</f>
        <v>02001551</v>
      </c>
      <c r="E1513" s="6" t="str">
        <f>INDEX(工厂基础数据!$B$2:$B$1024,MATCH(X1513,工厂基础数据!$D$2:$D$1024,0))</f>
        <v>山东天士力医药有限公司</v>
      </c>
      <c r="F1513" s="6" t="e">
        <f>INDEX(商业2转码!$B$2:$B$10000,MATCH(E1513,商业2转码!$A$2:$A$10000,0))</f>
        <v>#N/A</v>
      </c>
      <c r="G1513" s="6" t="str">
        <f>INDEX(品种2编码!$A$2:$A$1048576,MATCH(W1513,品种2编码!$D$2:$D$1048576,0))</f>
        <v>0020070001ZYZC0369</v>
      </c>
      <c r="H1513" s="6" t="s">
        <v>1849</v>
      </c>
      <c r="I1513" s="6" t="s">
        <v>411</v>
      </c>
      <c r="J1513" s="6" t="s">
        <v>3279</v>
      </c>
      <c r="L1513" s="6" t="s">
        <v>3322</v>
      </c>
      <c r="M1513" s="6" t="e">
        <f>INDEX(医院2县区2人!$B$2:$B$1048576,MATCH(L1513,医院2县区2人!$A$2:$A$1048576,0))</f>
        <v>#N/A</v>
      </c>
      <c r="N1513" s="6" t="e">
        <f>INDEX(医院2县区2人!$C$2:$C$1048576,MATCH(L1513,医院2县区2人!$A$2:$A$1048576,0))</f>
        <v>#N/A</v>
      </c>
      <c r="P1513" s="7">
        <v>43278</v>
      </c>
      <c r="Q1513" s="6">
        <v>10</v>
      </c>
      <c r="R1513" s="6">
        <v>18</v>
      </c>
      <c r="S1513" s="6">
        <v>1801028</v>
      </c>
      <c r="T1513" s="6" t="e">
        <f>INDEX(医院2县区2人!$D$2:$D$1048576,MATCH(L1513,医院2县区2人!$A$2:$A$1048576,0))</f>
        <v>#N/A</v>
      </c>
      <c r="W1513" s="6" t="str">
        <f t="shared" si="49"/>
        <v>哈药牌钙铁锌口服液10ml*12支</v>
      </c>
      <c r="X1513" s="6" t="s">
        <v>2919</v>
      </c>
    </row>
    <row r="1514" spans="1:24" x14ac:dyDescent="0.15">
      <c r="A1514" s="7" t="str">
        <f t="shared" si="50"/>
        <v>201806</v>
      </c>
      <c r="C1514" s="6" t="str">
        <f>INDEX(工厂基础数据!$A$2:$A$1024,MATCH(X1514,工厂基础数据!$D$2:$D$1024,0))</f>
        <v>02001551</v>
      </c>
      <c r="E1514" s="6" t="str">
        <f>INDEX(工厂基础数据!$B$2:$B$1024,MATCH(X1514,工厂基础数据!$D$2:$D$1024,0))</f>
        <v>山东天士力医药有限公司</v>
      </c>
      <c r="F1514" s="6" t="e">
        <f>INDEX(商业2转码!$B$2:$B$10000,MATCH(E1514,商业2转码!$A$2:$A$10000,0))</f>
        <v>#N/A</v>
      </c>
      <c r="G1514" s="6">
        <f>INDEX(品种2编码!$A$2:$A$1048576,MATCH(W1514,品种2编码!$D$2:$D$1048576,0))</f>
        <v>0</v>
      </c>
      <c r="H1514" s="6" t="s">
        <v>1833</v>
      </c>
      <c r="I1514" s="6" t="s">
        <v>3332</v>
      </c>
      <c r="J1514" s="6" t="s">
        <v>3285</v>
      </c>
      <c r="L1514" s="6" t="s">
        <v>3322</v>
      </c>
      <c r="M1514" s="6" t="e">
        <f>INDEX(医院2县区2人!$B$2:$B$1048576,MATCH(L1514,医院2县区2人!$A$2:$A$1048576,0))</f>
        <v>#N/A</v>
      </c>
      <c r="N1514" s="6" t="e">
        <f>INDEX(医院2县区2人!$C$2:$C$1048576,MATCH(L1514,医院2县区2人!$A$2:$A$1048576,0))</f>
        <v>#N/A</v>
      </c>
      <c r="P1514" s="7">
        <v>43278</v>
      </c>
      <c r="Q1514" s="6">
        <v>10</v>
      </c>
      <c r="R1514" s="6">
        <v>25</v>
      </c>
      <c r="S1514" s="6">
        <v>18030832</v>
      </c>
      <c r="T1514" s="6" t="e">
        <f>INDEX(医院2县区2人!$D$2:$D$1048576,MATCH(L1514,医院2县区2人!$A$2:$A$1048576,0))</f>
        <v>#N/A</v>
      </c>
      <c r="W1514" s="6" t="str">
        <f t="shared" si="49"/>
        <v>葡萄糖酸钙口服溶液10毫升*12支（含糖型）</v>
      </c>
      <c r="X1514" s="6" t="s">
        <v>2919</v>
      </c>
    </row>
    <row r="1515" spans="1:24" x14ac:dyDescent="0.15">
      <c r="A1515" s="7" t="str">
        <f t="shared" si="50"/>
        <v>201806</v>
      </c>
      <c r="C1515" s="6" t="str">
        <f>INDEX(工厂基础数据!$A$2:$A$1024,MATCH(X1515,工厂基础数据!$D$2:$D$1024,0))</f>
        <v>02001551</v>
      </c>
      <c r="E1515" s="6" t="str">
        <f>INDEX(工厂基础数据!$B$2:$B$1024,MATCH(X1515,工厂基础数据!$D$2:$D$1024,0))</f>
        <v>山东天士力医药有限公司</v>
      </c>
      <c r="F1515" s="6" t="e">
        <f>INDEX(商业2转码!$B$2:$B$10000,MATCH(E1515,商业2转码!$A$2:$A$10000,0))</f>
        <v>#N/A</v>
      </c>
      <c r="G1515" s="6" t="str">
        <f>INDEX(品种2编码!$A$2:$A$1048576,MATCH(W1515,品种2编码!$D$2:$D$1048576,0))</f>
        <v>0020020020ZYLC0003</v>
      </c>
      <c r="H1515" s="6" t="s">
        <v>1855</v>
      </c>
      <c r="I1515" s="6" t="s">
        <v>381</v>
      </c>
      <c r="J1515" s="6" t="s">
        <v>294</v>
      </c>
      <c r="L1515" s="6" t="s">
        <v>3321</v>
      </c>
      <c r="M1515" s="6" t="e">
        <f>INDEX(医院2县区2人!$B$2:$B$1048576,MATCH(L1515,医院2县区2人!$A$2:$A$1048576,0))</f>
        <v>#N/A</v>
      </c>
      <c r="N1515" s="6" t="e">
        <f>INDEX(医院2县区2人!$C$2:$C$1048576,MATCH(L1515,医院2县区2人!$A$2:$A$1048576,0))</f>
        <v>#N/A</v>
      </c>
      <c r="P1515" s="7">
        <v>43277</v>
      </c>
      <c r="Q1515" s="6">
        <v>10</v>
      </c>
      <c r="R1515" s="6">
        <v>9</v>
      </c>
      <c r="S1515" s="6">
        <v>180105</v>
      </c>
      <c r="T1515" s="6" t="e">
        <f>INDEX(医院2县区2人!$D$2:$D$1048576,MATCH(L1515,医院2县区2人!$A$2:$A$1048576,0))</f>
        <v>#N/A</v>
      </c>
      <c r="W1515" s="6" t="str">
        <f t="shared" si="49"/>
        <v>颠茄磺苄啶片12片</v>
      </c>
      <c r="X1515" s="6" t="s">
        <v>2919</v>
      </c>
    </row>
    <row r="1516" spans="1:24" x14ac:dyDescent="0.15">
      <c r="A1516" s="7" t="str">
        <f t="shared" si="50"/>
        <v>201806</v>
      </c>
      <c r="C1516" s="6" t="str">
        <f>INDEX(工厂基础数据!$A$2:$A$1024,MATCH(X1516,工厂基础数据!$D$2:$D$1024,0))</f>
        <v>02001551</v>
      </c>
      <c r="E1516" s="6" t="str">
        <f>INDEX(工厂基础数据!$B$2:$B$1024,MATCH(X1516,工厂基础数据!$D$2:$D$1024,0))</f>
        <v>山东天士力医药有限公司</v>
      </c>
      <c r="F1516" s="6" t="e">
        <f>INDEX(商业2转码!$B$2:$B$10000,MATCH(E1516,商业2转码!$A$2:$A$10000,0))</f>
        <v>#N/A</v>
      </c>
      <c r="G1516" s="6">
        <f>INDEX(品种2编码!$A$2:$A$1048576,MATCH(W1516,品种2编码!$D$2:$D$1048576,0))</f>
        <v>0</v>
      </c>
      <c r="H1516" s="6" t="s">
        <v>1833</v>
      </c>
      <c r="I1516" s="6" t="s">
        <v>3332</v>
      </c>
      <c r="J1516" s="6" t="s">
        <v>3285</v>
      </c>
      <c r="L1516" s="6" t="s">
        <v>3321</v>
      </c>
      <c r="M1516" s="6" t="e">
        <f>INDEX(医院2县区2人!$B$2:$B$1048576,MATCH(L1516,医院2县区2人!$A$2:$A$1048576,0))</f>
        <v>#N/A</v>
      </c>
      <c r="N1516" s="6" t="e">
        <f>INDEX(医院2县区2人!$C$2:$C$1048576,MATCH(L1516,医院2县区2人!$A$2:$A$1048576,0))</f>
        <v>#N/A</v>
      </c>
      <c r="P1516" s="7">
        <v>43277</v>
      </c>
      <c r="Q1516" s="6">
        <v>10</v>
      </c>
      <c r="R1516" s="6">
        <v>25</v>
      </c>
      <c r="S1516" s="6">
        <v>18030832</v>
      </c>
      <c r="T1516" s="6" t="e">
        <f>INDEX(医院2县区2人!$D$2:$D$1048576,MATCH(L1516,医院2县区2人!$A$2:$A$1048576,0))</f>
        <v>#N/A</v>
      </c>
      <c r="W1516" s="6" t="str">
        <f t="shared" si="49"/>
        <v>葡萄糖酸钙口服溶液10毫升*12支（含糖型）</v>
      </c>
      <c r="X1516" s="6" t="s">
        <v>2919</v>
      </c>
    </row>
    <row r="1517" spans="1:24" x14ac:dyDescent="0.15">
      <c r="A1517" s="7" t="str">
        <f t="shared" si="50"/>
        <v>201806</v>
      </c>
      <c r="C1517" s="6" t="str">
        <f>INDEX(工厂基础数据!$A$2:$A$1024,MATCH(X1517,工厂基础数据!$D$2:$D$1024,0))</f>
        <v>02001551</v>
      </c>
      <c r="E1517" s="6" t="str">
        <f>INDEX(工厂基础数据!$B$2:$B$1024,MATCH(X1517,工厂基础数据!$D$2:$D$1024,0))</f>
        <v>山东天士力医药有限公司</v>
      </c>
      <c r="F1517" s="6" t="e">
        <f>INDEX(商业2转码!$B$2:$B$10000,MATCH(E1517,商业2转码!$A$2:$A$10000,0))</f>
        <v>#N/A</v>
      </c>
      <c r="G1517" s="6" t="str">
        <f>INDEX(品种2编码!$A$2:$A$1048576,MATCH(W1517,品种2编码!$D$2:$D$1048576,0))</f>
        <v>0020020021ZYLC0004</v>
      </c>
      <c r="H1517" s="6" t="s">
        <v>1950</v>
      </c>
      <c r="I1517" s="6" t="s">
        <v>1869</v>
      </c>
      <c r="J1517" s="6" t="s">
        <v>3337</v>
      </c>
      <c r="L1517" s="6" t="s">
        <v>3321</v>
      </c>
      <c r="M1517" s="6" t="e">
        <f>INDEX(医院2县区2人!$B$2:$B$1048576,MATCH(L1517,医院2县区2人!$A$2:$A$1048576,0))</f>
        <v>#N/A</v>
      </c>
      <c r="N1517" s="6" t="e">
        <f>INDEX(医院2县区2人!$C$2:$C$1048576,MATCH(L1517,医院2县区2人!$A$2:$A$1048576,0))</f>
        <v>#N/A</v>
      </c>
      <c r="P1517" s="7">
        <v>43277</v>
      </c>
      <c r="Q1517" s="6">
        <v>10</v>
      </c>
      <c r="R1517" s="6">
        <v>8</v>
      </c>
      <c r="S1517" s="6">
        <v>180201</v>
      </c>
      <c r="T1517" s="6" t="e">
        <f>INDEX(医院2县区2人!$D$2:$D$1048576,MATCH(L1517,医院2县区2人!$A$2:$A$1048576,0))</f>
        <v>#N/A</v>
      </c>
      <c r="W1517" s="6" t="str">
        <f t="shared" si="49"/>
        <v>罗红霉素分散片75mg*12片</v>
      </c>
      <c r="X1517" s="6" t="s">
        <v>2919</v>
      </c>
    </row>
    <row r="1518" spans="1:24" x14ac:dyDescent="0.15">
      <c r="A1518" s="7" t="str">
        <f t="shared" si="50"/>
        <v>201806</v>
      </c>
      <c r="C1518" s="6" t="str">
        <f>INDEX(工厂基础数据!$A$2:$A$1024,MATCH(X1518,工厂基础数据!$D$2:$D$1024,0))</f>
        <v>02001551</v>
      </c>
      <c r="E1518" s="6" t="str">
        <f>INDEX(工厂基础数据!$B$2:$B$1024,MATCH(X1518,工厂基础数据!$D$2:$D$1024,0))</f>
        <v>山东天士力医药有限公司</v>
      </c>
      <c r="F1518" s="6" t="e">
        <f>INDEX(商业2转码!$B$2:$B$10000,MATCH(E1518,商业2转码!$A$2:$A$10000,0))</f>
        <v>#N/A</v>
      </c>
      <c r="G1518" s="6">
        <f>INDEX(品种2编码!$A$2:$A$1048576,MATCH(W1518,品种2编码!$D$2:$D$1048576,0))</f>
        <v>0</v>
      </c>
      <c r="H1518" s="6" t="s">
        <v>1949</v>
      </c>
      <c r="I1518" s="6" t="s">
        <v>2930</v>
      </c>
      <c r="J1518" s="6" t="s">
        <v>3040</v>
      </c>
      <c r="L1518" s="6" t="s">
        <v>3321</v>
      </c>
      <c r="M1518" s="6" t="e">
        <f>INDEX(医院2县区2人!$B$2:$B$1048576,MATCH(L1518,医院2县区2人!$A$2:$A$1048576,0))</f>
        <v>#N/A</v>
      </c>
      <c r="N1518" s="6" t="e">
        <f>INDEX(医院2县区2人!$C$2:$C$1048576,MATCH(L1518,医院2县区2人!$A$2:$A$1048576,0))</f>
        <v>#N/A</v>
      </c>
      <c r="P1518" s="7">
        <v>43277</v>
      </c>
      <c r="Q1518" s="6">
        <v>20</v>
      </c>
      <c r="R1518" s="6">
        <v>25</v>
      </c>
      <c r="S1518" s="6">
        <v>18031317</v>
      </c>
      <c r="T1518" s="6" t="e">
        <f>INDEX(医院2县区2人!$D$2:$D$1048576,MATCH(L1518,医院2县区2人!$A$2:$A$1048576,0))</f>
        <v>#N/A</v>
      </c>
      <c r="W1518" s="6" t="str">
        <f t="shared" si="49"/>
        <v>葡萄糖酸锌口服溶液10ml:35mg*12支</v>
      </c>
      <c r="X1518" s="6" t="s">
        <v>2919</v>
      </c>
    </row>
    <row r="1519" spans="1:24" x14ac:dyDescent="0.15">
      <c r="A1519" s="7" t="str">
        <f t="shared" si="50"/>
        <v>201806</v>
      </c>
      <c r="C1519" s="6" t="str">
        <f>INDEX(工厂基础数据!$A$2:$A$1024,MATCH(X1519,工厂基础数据!$D$2:$D$1024,0))</f>
        <v>02001551</v>
      </c>
      <c r="E1519" s="6" t="str">
        <f>INDEX(工厂基础数据!$B$2:$B$1024,MATCH(X1519,工厂基础数据!$D$2:$D$1024,0))</f>
        <v>山东天士力医药有限公司</v>
      </c>
      <c r="F1519" s="6" t="e">
        <f>INDEX(商业2转码!$B$2:$B$10000,MATCH(E1519,商业2转码!$A$2:$A$10000,0))</f>
        <v>#N/A</v>
      </c>
      <c r="G1519" s="6" t="str">
        <f>INDEX(品种2编码!$A$2:$A$1048576,MATCH(W1519,品种2编码!$D$2:$D$1048576,0))</f>
        <v>0020050090SJZY0001</v>
      </c>
      <c r="H1519" s="6" t="s">
        <v>630</v>
      </c>
      <c r="I1519" s="6" t="s">
        <v>1850</v>
      </c>
      <c r="J1519" s="6" t="s">
        <v>3285</v>
      </c>
      <c r="L1519" s="6" t="s">
        <v>2959</v>
      </c>
      <c r="M1519" s="6">
        <f>INDEX(医院2县区2人!$B$2:$B$1048576,MATCH(L1519,医院2县区2人!$A$2:$A$1048576,0))</f>
        <v>0</v>
      </c>
      <c r="N1519" s="6">
        <f>INDEX(医院2县区2人!$C$2:$C$1048576,MATCH(L1519,医院2县区2人!$A$2:$A$1048576,0))</f>
        <v>0</v>
      </c>
      <c r="P1519" s="7">
        <v>43277</v>
      </c>
      <c r="Q1519" s="6">
        <v>50</v>
      </c>
      <c r="R1519" s="6">
        <v>16.5</v>
      </c>
      <c r="S1519" s="6">
        <v>17062811</v>
      </c>
      <c r="T1519" s="6">
        <f>INDEX(医院2县区2人!$D$2:$D$1048576,MATCH(L1519,医院2县区2人!$A$2:$A$1048576,0))</f>
        <v>0</v>
      </c>
      <c r="W1519" s="6" t="str">
        <f t="shared" si="49"/>
        <v>双黄连口服液10ml*10支</v>
      </c>
      <c r="X1519" s="6" t="s">
        <v>2919</v>
      </c>
    </row>
    <row r="1520" spans="1:24" x14ac:dyDescent="0.15">
      <c r="A1520" s="7" t="str">
        <f t="shared" si="50"/>
        <v>201806</v>
      </c>
      <c r="C1520" s="6" t="str">
        <f>INDEX(工厂基础数据!$A$2:$A$1024,MATCH(X1520,工厂基础数据!$D$2:$D$1024,0))</f>
        <v>02001551</v>
      </c>
      <c r="E1520" s="6" t="str">
        <f>INDEX(工厂基础数据!$B$2:$B$1024,MATCH(X1520,工厂基础数据!$D$2:$D$1024,0))</f>
        <v>山东天士力医药有限公司</v>
      </c>
      <c r="F1520" s="6" t="e">
        <f>INDEX(商业2转码!$B$2:$B$10000,MATCH(E1520,商业2转码!$A$2:$A$10000,0))</f>
        <v>#N/A</v>
      </c>
      <c r="G1520" s="6" t="str">
        <f>INDEX(品种2编码!$A$2:$A$1048576,MATCH(W1520,品种2编码!$D$2:$D$1048576,0))</f>
        <v>0020070000ZYLC0001</v>
      </c>
      <c r="H1520" s="6" t="s">
        <v>725</v>
      </c>
      <c r="I1520" s="6" t="s">
        <v>1838</v>
      </c>
      <c r="J1520" s="6" t="s">
        <v>3036</v>
      </c>
      <c r="L1520" s="6" t="s">
        <v>3312</v>
      </c>
      <c r="M1520" s="6" t="e">
        <f>INDEX(医院2县区2人!$B$2:$B$1048576,MATCH(L1520,医院2县区2人!$A$2:$A$1048576,0))</f>
        <v>#N/A</v>
      </c>
      <c r="N1520" s="6" t="e">
        <f>INDEX(医院2县区2人!$C$2:$C$1048576,MATCH(L1520,医院2县区2人!$A$2:$A$1048576,0))</f>
        <v>#N/A</v>
      </c>
      <c r="P1520" s="7">
        <v>43277</v>
      </c>
      <c r="Q1520" s="6">
        <v>30</v>
      </c>
      <c r="R1520" s="6">
        <v>29</v>
      </c>
      <c r="S1520" s="6">
        <v>180105</v>
      </c>
      <c r="T1520" s="6" t="e">
        <f>INDEX(医院2县区2人!$D$2:$D$1048576,MATCH(L1520,医院2县区2人!$A$2:$A$1048576,0))</f>
        <v>#N/A</v>
      </c>
      <c r="W1520" s="6" t="str">
        <f t="shared" si="49"/>
        <v>新盖中盖牌高钙片2.5g*36片</v>
      </c>
      <c r="X1520" s="6" t="s">
        <v>2919</v>
      </c>
    </row>
    <row r="1521" spans="1:24" x14ac:dyDescent="0.15">
      <c r="A1521" s="7" t="str">
        <f t="shared" si="50"/>
        <v>201806</v>
      </c>
      <c r="C1521" s="6" t="str">
        <f>INDEX(工厂基础数据!$A$2:$A$1024,MATCH(X1521,工厂基础数据!$D$2:$D$1024,0))</f>
        <v>02001551</v>
      </c>
      <c r="E1521" s="6" t="str">
        <f>INDEX(工厂基础数据!$B$2:$B$1024,MATCH(X1521,工厂基础数据!$D$2:$D$1024,0))</f>
        <v>山东天士力医药有限公司</v>
      </c>
      <c r="F1521" s="6" t="e">
        <f>INDEX(商业2转码!$B$2:$B$10000,MATCH(E1521,商业2转码!$A$2:$A$10000,0))</f>
        <v>#N/A</v>
      </c>
      <c r="G1521" s="6" t="str">
        <f>INDEX(品种2编码!$A$2:$A$1048576,MATCH(W1521,品种2编码!$D$2:$D$1048576,0))</f>
        <v>0020070000ZYLC0001</v>
      </c>
      <c r="H1521" s="6" t="s">
        <v>725</v>
      </c>
      <c r="I1521" s="6" t="s">
        <v>1838</v>
      </c>
      <c r="J1521" s="6" t="s">
        <v>3036</v>
      </c>
      <c r="L1521" s="6" t="s">
        <v>3312</v>
      </c>
      <c r="M1521" s="6" t="e">
        <f>INDEX(医院2县区2人!$B$2:$B$1048576,MATCH(L1521,医院2县区2人!$A$2:$A$1048576,0))</f>
        <v>#N/A</v>
      </c>
      <c r="N1521" s="6" t="e">
        <f>INDEX(医院2县区2人!$C$2:$C$1048576,MATCH(L1521,医院2县区2人!$A$2:$A$1048576,0))</f>
        <v>#N/A</v>
      </c>
      <c r="P1521" s="7">
        <v>43277</v>
      </c>
      <c r="Q1521" s="6">
        <v>20</v>
      </c>
      <c r="R1521" s="6">
        <v>29</v>
      </c>
      <c r="S1521" s="6">
        <v>180103</v>
      </c>
      <c r="T1521" s="6" t="e">
        <f>INDEX(医院2县区2人!$D$2:$D$1048576,MATCH(L1521,医院2县区2人!$A$2:$A$1048576,0))</f>
        <v>#N/A</v>
      </c>
      <c r="W1521" s="6" t="str">
        <f t="shared" si="49"/>
        <v>新盖中盖牌高钙片2.5g*36片</v>
      </c>
      <c r="X1521" s="6" t="s">
        <v>2919</v>
      </c>
    </row>
    <row r="1522" spans="1:24" x14ac:dyDescent="0.15">
      <c r="A1522" s="7" t="str">
        <f t="shared" si="50"/>
        <v>201806</v>
      </c>
      <c r="C1522" s="6" t="str">
        <f>INDEX(工厂基础数据!$A$2:$A$1024,MATCH(X1522,工厂基础数据!$D$2:$D$1024,0))</f>
        <v>02001551</v>
      </c>
      <c r="E1522" s="6" t="str">
        <f>INDEX(工厂基础数据!$B$2:$B$1024,MATCH(X1522,工厂基础数据!$D$2:$D$1024,0))</f>
        <v>山东天士力医药有限公司</v>
      </c>
      <c r="F1522" s="6" t="e">
        <f>INDEX(商业2转码!$B$2:$B$10000,MATCH(E1522,商业2转码!$A$2:$A$10000,0))</f>
        <v>#N/A</v>
      </c>
      <c r="G1522" s="6">
        <f>INDEX(品种2编码!$A$2:$A$1048576,MATCH(W1522,品种2编码!$D$2:$D$1048576,0))</f>
        <v>0</v>
      </c>
      <c r="H1522" s="6" t="s">
        <v>394</v>
      </c>
      <c r="I1522" s="6" t="s">
        <v>3331</v>
      </c>
      <c r="J1522" s="6" t="s">
        <v>3279</v>
      </c>
      <c r="L1522" s="6" t="s">
        <v>3312</v>
      </c>
      <c r="M1522" s="6" t="e">
        <f>INDEX(医院2县区2人!$B$2:$B$1048576,MATCH(L1522,医院2县区2人!$A$2:$A$1048576,0))</f>
        <v>#N/A</v>
      </c>
      <c r="N1522" s="6" t="e">
        <f>INDEX(医院2县区2人!$C$2:$C$1048576,MATCH(L1522,医院2县区2人!$A$2:$A$1048576,0))</f>
        <v>#N/A</v>
      </c>
      <c r="P1522" s="7">
        <v>43277</v>
      </c>
      <c r="Q1522" s="6">
        <v>50</v>
      </c>
      <c r="R1522" s="6">
        <v>12.5</v>
      </c>
      <c r="S1522" s="6">
        <v>1801024</v>
      </c>
      <c r="T1522" s="6" t="e">
        <f>INDEX(医院2县区2人!$D$2:$D$1048576,MATCH(L1522,医院2县区2人!$A$2:$A$1048576,0))</f>
        <v>#N/A</v>
      </c>
      <c r="W1522" s="6" t="str">
        <f t="shared" si="49"/>
        <v>复方铝酸铋片10片*5板</v>
      </c>
      <c r="X1522" s="6" t="s">
        <v>2919</v>
      </c>
    </row>
    <row r="1523" spans="1:24" x14ac:dyDescent="0.15">
      <c r="A1523" s="7" t="str">
        <f t="shared" si="50"/>
        <v>201806</v>
      </c>
      <c r="C1523" s="6" t="str">
        <f>INDEX(工厂基础数据!$A$2:$A$1024,MATCH(X1523,工厂基础数据!$D$2:$D$1024,0))</f>
        <v>02001551</v>
      </c>
      <c r="E1523" s="6" t="str">
        <f>INDEX(工厂基础数据!$B$2:$B$1024,MATCH(X1523,工厂基础数据!$D$2:$D$1024,0))</f>
        <v>山东天士力医药有限公司</v>
      </c>
      <c r="F1523" s="6" t="e">
        <f>INDEX(商业2转码!$B$2:$B$10000,MATCH(E1523,商业2转码!$A$2:$A$10000,0))</f>
        <v>#N/A</v>
      </c>
      <c r="G1523" s="6" t="str">
        <f>INDEX(品种2编码!$A$2:$A$1048576,MATCH(W1523,品种2编码!$D$2:$D$1048576,0))</f>
        <v>0020020021ZYLC0004</v>
      </c>
      <c r="H1523" s="6" t="s">
        <v>1950</v>
      </c>
      <c r="I1523" s="6" t="s">
        <v>1869</v>
      </c>
      <c r="J1523" s="6" t="s">
        <v>3337</v>
      </c>
      <c r="L1523" s="6" t="s">
        <v>3312</v>
      </c>
      <c r="M1523" s="6" t="e">
        <f>INDEX(医院2县区2人!$B$2:$B$1048576,MATCH(L1523,医院2县区2人!$A$2:$A$1048576,0))</f>
        <v>#N/A</v>
      </c>
      <c r="N1523" s="6" t="e">
        <f>INDEX(医院2县区2人!$C$2:$C$1048576,MATCH(L1523,医院2县区2人!$A$2:$A$1048576,0))</f>
        <v>#N/A</v>
      </c>
      <c r="P1523" s="7">
        <v>43277</v>
      </c>
      <c r="Q1523" s="6">
        <v>30</v>
      </c>
      <c r="R1523" s="6">
        <v>8</v>
      </c>
      <c r="S1523" s="6">
        <v>180201</v>
      </c>
      <c r="T1523" s="6" t="e">
        <f>INDEX(医院2县区2人!$D$2:$D$1048576,MATCH(L1523,医院2县区2人!$A$2:$A$1048576,0))</f>
        <v>#N/A</v>
      </c>
      <c r="W1523" s="6" t="str">
        <f t="shared" si="49"/>
        <v>罗红霉素分散片75mg*12片</v>
      </c>
      <c r="X1523" s="6" t="s">
        <v>2919</v>
      </c>
    </row>
    <row r="1524" spans="1:24" x14ac:dyDescent="0.15">
      <c r="A1524" s="7" t="str">
        <f t="shared" si="50"/>
        <v>201806</v>
      </c>
      <c r="C1524" s="6" t="str">
        <f>INDEX(工厂基础数据!$A$2:$A$1024,MATCH(X1524,工厂基础数据!$D$2:$D$1024,0))</f>
        <v>02001551</v>
      </c>
      <c r="E1524" s="6" t="str">
        <f>INDEX(工厂基础数据!$B$2:$B$1024,MATCH(X1524,工厂基础数据!$D$2:$D$1024,0))</f>
        <v>山东天士力医药有限公司</v>
      </c>
      <c r="F1524" s="6" t="e">
        <f>INDEX(商业2转码!$B$2:$B$10000,MATCH(E1524,商业2转码!$A$2:$A$10000,0))</f>
        <v>#N/A</v>
      </c>
      <c r="G1524" s="6">
        <f>INDEX(品种2编码!$A$2:$A$1048576,MATCH(W1524,品种2编码!$D$2:$D$1048576,0))</f>
        <v>0</v>
      </c>
      <c r="H1524" s="6" t="s">
        <v>394</v>
      </c>
      <c r="I1524" s="6" t="s">
        <v>3331</v>
      </c>
      <c r="J1524" s="6" t="s">
        <v>3279</v>
      </c>
      <c r="L1524" s="6" t="s">
        <v>3323</v>
      </c>
      <c r="M1524" s="6" t="e">
        <f>INDEX(医院2县区2人!$B$2:$B$1048576,MATCH(L1524,医院2县区2人!$A$2:$A$1048576,0))</f>
        <v>#N/A</v>
      </c>
      <c r="N1524" s="6" t="e">
        <f>INDEX(医院2县区2人!$C$2:$C$1048576,MATCH(L1524,医院2县区2人!$A$2:$A$1048576,0))</f>
        <v>#N/A</v>
      </c>
      <c r="P1524" s="7">
        <v>43277</v>
      </c>
      <c r="Q1524" s="6">
        <v>20</v>
      </c>
      <c r="R1524" s="6">
        <v>12.5</v>
      </c>
      <c r="S1524" s="6">
        <v>1801024</v>
      </c>
      <c r="T1524" s="6" t="e">
        <f>INDEX(医院2县区2人!$D$2:$D$1048576,MATCH(L1524,医院2县区2人!$A$2:$A$1048576,0))</f>
        <v>#N/A</v>
      </c>
      <c r="W1524" s="6" t="str">
        <f t="shared" si="49"/>
        <v>复方铝酸铋片10片*5板</v>
      </c>
      <c r="X1524" s="6" t="s">
        <v>2919</v>
      </c>
    </row>
    <row r="1525" spans="1:24" x14ac:dyDescent="0.15">
      <c r="A1525" s="7" t="str">
        <f t="shared" si="50"/>
        <v>201806</v>
      </c>
      <c r="C1525" s="6" t="str">
        <f>INDEX(工厂基础数据!$A$2:$A$1024,MATCH(X1525,工厂基础数据!$D$2:$D$1024,0))</f>
        <v>02001551</v>
      </c>
      <c r="E1525" s="6" t="str">
        <f>INDEX(工厂基础数据!$B$2:$B$1024,MATCH(X1525,工厂基础数据!$D$2:$D$1024,0))</f>
        <v>山东天士力医药有限公司</v>
      </c>
      <c r="F1525" s="6" t="e">
        <f>INDEX(商业2转码!$B$2:$B$10000,MATCH(E1525,商业2转码!$A$2:$A$10000,0))</f>
        <v>#N/A</v>
      </c>
      <c r="G1525" s="6">
        <f>INDEX(品种2编码!$A$2:$A$1048576,MATCH(W1525,品种2编码!$D$2:$D$1048576,0))</f>
        <v>0</v>
      </c>
      <c r="H1525" s="6" t="s">
        <v>1949</v>
      </c>
      <c r="I1525" s="6" t="s">
        <v>2930</v>
      </c>
      <c r="J1525" s="6" t="s">
        <v>3040</v>
      </c>
      <c r="L1525" s="6" t="s">
        <v>3323</v>
      </c>
      <c r="M1525" s="6" t="e">
        <f>INDEX(医院2县区2人!$B$2:$B$1048576,MATCH(L1525,医院2县区2人!$A$2:$A$1048576,0))</f>
        <v>#N/A</v>
      </c>
      <c r="N1525" s="6" t="e">
        <f>INDEX(医院2县区2人!$C$2:$C$1048576,MATCH(L1525,医院2县区2人!$A$2:$A$1048576,0))</f>
        <v>#N/A</v>
      </c>
      <c r="P1525" s="7">
        <v>43277</v>
      </c>
      <c r="Q1525" s="6">
        <v>30</v>
      </c>
      <c r="R1525" s="6">
        <v>25</v>
      </c>
      <c r="S1525" s="6">
        <v>18031317</v>
      </c>
      <c r="T1525" s="6" t="e">
        <f>INDEX(医院2县区2人!$D$2:$D$1048576,MATCH(L1525,医院2县区2人!$A$2:$A$1048576,0))</f>
        <v>#N/A</v>
      </c>
      <c r="W1525" s="6" t="str">
        <f t="shared" si="49"/>
        <v>葡萄糖酸锌口服溶液10ml:35mg*12支</v>
      </c>
      <c r="X1525" s="6" t="s">
        <v>2919</v>
      </c>
    </row>
    <row r="1526" spans="1:24" x14ac:dyDescent="0.15">
      <c r="A1526" s="7" t="str">
        <f t="shared" si="50"/>
        <v>201806</v>
      </c>
      <c r="C1526" s="6" t="str">
        <f>INDEX(工厂基础数据!$A$2:$A$1024,MATCH(X1526,工厂基础数据!$D$2:$D$1024,0))</f>
        <v>02001551</v>
      </c>
      <c r="E1526" s="6" t="str">
        <f>INDEX(工厂基础数据!$B$2:$B$1024,MATCH(X1526,工厂基础数据!$D$2:$D$1024,0))</f>
        <v>山东天士力医药有限公司</v>
      </c>
      <c r="F1526" s="6" t="e">
        <f>INDEX(商业2转码!$B$2:$B$10000,MATCH(E1526,商业2转码!$A$2:$A$10000,0))</f>
        <v>#N/A</v>
      </c>
      <c r="G1526" s="6" t="str">
        <f>INDEX(品种2编码!$A$2:$A$1048576,MATCH(W1526,品种2编码!$D$2:$D$1048576,0))</f>
        <v>0020030040ZYLC0001</v>
      </c>
      <c r="H1526" s="6" t="s">
        <v>1953</v>
      </c>
      <c r="I1526" s="6" t="s">
        <v>1954</v>
      </c>
      <c r="J1526" s="6" t="s">
        <v>294</v>
      </c>
      <c r="L1526" s="6" t="s">
        <v>3306</v>
      </c>
      <c r="M1526" s="6" t="e">
        <f>INDEX(医院2县区2人!$B$2:$B$1048576,MATCH(L1526,医院2县区2人!$A$2:$A$1048576,0))</f>
        <v>#N/A</v>
      </c>
      <c r="N1526" s="6" t="e">
        <f>INDEX(医院2县区2人!$C$2:$C$1048576,MATCH(L1526,医院2县区2人!$A$2:$A$1048576,0))</f>
        <v>#N/A</v>
      </c>
      <c r="P1526" s="7">
        <v>43277</v>
      </c>
      <c r="Q1526" s="6">
        <v>20</v>
      </c>
      <c r="R1526" s="6">
        <v>10</v>
      </c>
      <c r="S1526" s="6">
        <v>180139</v>
      </c>
      <c r="T1526" s="6" t="e">
        <f>INDEX(医院2县区2人!$D$2:$D$1048576,MATCH(L1526,医院2县区2人!$A$2:$A$1048576,0))</f>
        <v>#N/A</v>
      </c>
      <c r="W1526" s="6" t="str">
        <f t="shared" si="49"/>
        <v>小儿氨酚黄那敏颗粒12袋</v>
      </c>
      <c r="X1526" s="6" t="s">
        <v>2919</v>
      </c>
    </row>
    <row r="1527" spans="1:24" x14ac:dyDescent="0.15">
      <c r="A1527" s="7" t="str">
        <f t="shared" si="50"/>
        <v>201806</v>
      </c>
      <c r="C1527" s="6" t="str">
        <f>INDEX(工厂基础数据!$A$2:$A$1024,MATCH(X1527,工厂基础数据!$D$2:$D$1024,0))</f>
        <v>02001551</v>
      </c>
      <c r="E1527" s="6" t="str">
        <f>INDEX(工厂基础数据!$B$2:$B$1024,MATCH(X1527,工厂基础数据!$D$2:$D$1024,0))</f>
        <v>山东天士力医药有限公司</v>
      </c>
      <c r="F1527" s="6" t="e">
        <f>INDEX(商业2转码!$B$2:$B$10000,MATCH(E1527,商业2转码!$A$2:$A$10000,0))</f>
        <v>#N/A</v>
      </c>
      <c r="G1527" s="6">
        <f>INDEX(品种2编码!$A$2:$A$1048576,MATCH(W1527,品种2编码!$D$2:$D$1048576,0))</f>
        <v>0</v>
      </c>
      <c r="H1527" s="6" t="s">
        <v>394</v>
      </c>
      <c r="I1527" s="6" t="s">
        <v>3331</v>
      </c>
      <c r="J1527" s="6" t="s">
        <v>3279</v>
      </c>
      <c r="L1527" s="6" t="s">
        <v>3309</v>
      </c>
      <c r="M1527" s="6" t="e">
        <f>INDEX(医院2县区2人!$B$2:$B$1048576,MATCH(L1527,医院2县区2人!$A$2:$A$1048576,0))</f>
        <v>#N/A</v>
      </c>
      <c r="N1527" s="6" t="e">
        <f>INDEX(医院2县区2人!$C$2:$C$1048576,MATCH(L1527,医院2县区2人!$A$2:$A$1048576,0))</f>
        <v>#N/A</v>
      </c>
      <c r="P1527" s="7">
        <v>43279</v>
      </c>
      <c r="Q1527" s="6">
        <v>300</v>
      </c>
      <c r="R1527" s="6">
        <v>12.5</v>
      </c>
      <c r="S1527" s="6">
        <v>1801024</v>
      </c>
      <c r="T1527" s="6" t="e">
        <f>INDEX(医院2县区2人!$D$2:$D$1048576,MATCH(L1527,医院2县区2人!$A$2:$A$1048576,0))</f>
        <v>#N/A</v>
      </c>
      <c r="W1527" s="6" t="str">
        <f t="shared" si="49"/>
        <v>复方铝酸铋片10片*5板</v>
      </c>
      <c r="X1527" s="6" t="s">
        <v>2919</v>
      </c>
    </row>
    <row r="1528" spans="1:24" x14ac:dyDescent="0.15">
      <c r="A1528" s="7" t="str">
        <f t="shared" si="50"/>
        <v>201806</v>
      </c>
      <c r="C1528" s="6" t="str">
        <f>INDEX(工厂基础数据!$A$2:$A$1024,MATCH(X1528,工厂基础数据!$D$2:$D$1024,0))</f>
        <v>02001551</v>
      </c>
      <c r="E1528" s="6" t="str">
        <f>INDEX(工厂基础数据!$B$2:$B$1024,MATCH(X1528,工厂基础数据!$D$2:$D$1024,0))</f>
        <v>山东天士力医药有限公司</v>
      </c>
      <c r="F1528" s="6" t="e">
        <f>INDEX(商业2转码!$B$2:$B$10000,MATCH(E1528,商业2转码!$A$2:$A$10000,0))</f>
        <v>#N/A</v>
      </c>
      <c r="G1528" s="6">
        <f>INDEX(品种2编码!$A$2:$A$1048576,MATCH(W1528,品种2编码!$D$2:$D$1048576,0))</f>
        <v>0</v>
      </c>
      <c r="H1528" s="6" t="s">
        <v>474</v>
      </c>
      <c r="I1528" s="6" t="s">
        <v>3064</v>
      </c>
      <c r="J1528" s="6" t="s">
        <v>3335</v>
      </c>
      <c r="L1528" s="6" t="s">
        <v>3309</v>
      </c>
      <c r="M1528" s="6" t="e">
        <f>INDEX(医院2县区2人!$B$2:$B$1048576,MATCH(L1528,医院2县区2人!$A$2:$A$1048576,0))</f>
        <v>#N/A</v>
      </c>
      <c r="N1528" s="6" t="e">
        <f>INDEX(医院2县区2人!$C$2:$C$1048576,MATCH(L1528,医院2县区2人!$A$2:$A$1048576,0))</f>
        <v>#N/A</v>
      </c>
      <c r="P1528" s="7">
        <v>43279</v>
      </c>
      <c r="Q1528" s="6">
        <v>160</v>
      </c>
      <c r="R1528" s="6">
        <v>44.5</v>
      </c>
      <c r="S1528" s="6">
        <v>1803029</v>
      </c>
      <c r="T1528" s="6" t="e">
        <f>INDEX(医院2县区2人!$D$2:$D$1048576,MATCH(L1528,医院2县区2人!$A$2:$A$1048576,0))</f>
        <v>#N/A</v>
      </c>
      <c r="W1528" s="6" t="str">
        <f t="shared" si="49"/>
        <v>拉西地平片4mg*30片</v>
      </c>
      <c r="X1528" s="6" t="s">
        <v>2919</v>
      </c>
    </row>
    <row r="1529" spans="1:24" x14ac:dyDescent="0.15">
      <c r="A1529" s="7" t="str">
        <f t="shared" si="50"/>
        <v>201806</v>
      </c>
      <c r="C1529" s="6" t="str">
        <f>INDEX(工厂基础数据!$A$2:$A$1024,MATCH(X1529,工厂基础数据!$D$2:$D$1024,0))</f>
        <v>02001551</v>
      </c>
      <c r="E1529" s="6" t="str">
        <f>INDEX(工厂基础数据!$B$2:$B$1024,MATCH(X1529,工厂基础数据!$D$2:$D$1024,0))</f>
        <v>山东天士力医药有限公司</v>
      </c>
      <c r="F1529" s="6" t="e">
        <f>INDEX(商业2转码!$B$2:$B$10000,MATCH(E1529,商业2转码!$A$2:$A$10000,0))</f>
        <v>#N/A</v>
      </c>
      <c r="G1529" s="6" t="str">
        <f>INDEX(品种2编码!$A$2:$A$1048576,MATCH(W1529,品种2编码!$D$2:$D$1048576,0))</f>
        <v>0020070001ZYZC0383</v>
      </c>
      <c r="H1529" s="6" t="s">
        <v>1849</v>
      </c>
      <c r="I1529" s="6" t="s">
        <v>1850</v>
      </c>
      <c r="J1529" s="6" t="s">
        <v>3038</v>
      </c>
      <c r="L1529" s="6" t="s">
        <v>3097</v>
      </c>
      <c r="M1529" s="6" t="e">
        <f>INDEX(医院2县区2人!$B$2:$B$1048576,MATCH(L1529,医院2县区2人!$A$2:$A$1048576,0))</f>
        <v>#N/A</v>
      </c>
      <c r="N1529" s="6" t="e">
        <f>INDEX(医院2县区2人!$C$2:$C$1048576,MATCH(L1529,医院2县区2人!$A$2:$A$1048576,0))</f>
        <v>#N/A</v>
      </c>
      <c r="P1529" s="7">
        <v>43277</v>
      </c>
      <c r="Q1529" s="6">
        <v>5</v>
      </c>
      <c r="R1529" s="6">
        <v>15</v>
      </c>
      <c r="S1529" s="6" t="s">
        <v>2938</v>
      </c>
      <c r="T1529" s="6" t="e">
        <f>INDEX(医院2县区2人!$D$2:$D$1048576,MATCH(L1529,医院2县区2人!$A$2:$A$1048576,0))</f>
        <v>#N/A</v>
      </c>
      <c r="W1529" s="6" t="str">
        <f t="shared" si="49"/>
        <v>哈药牌钙铁锌口服液10ml*10支</v>
      </c>
      <c r="X1529" s="6" t="s">
        <v>2919</v>
      </c>
    </row>
    <row r="1530" spans="1:24" x14ac:dyDescent="0.15">
      <c r="A1530" s="7" t="str">
        <f t="shared" si="50"/>
        <v>201806</v>
      </c>
      <c r="C1530" s="6" t="str">
        <f>INDEX(工厂基础数据!$A$2:$A$1024,MATCH(X1530,工厂基础数据!$D$2:$D$1024,0))</f>
        <v>02001551</v>
      </c>
      <c r="E1530" s="6" t="str">
        <f>INDEX(工厂基础数据!$B$2:$B$1024,MATCH(X1530,工厂基础数据!$D$2:$D$1024,0))</f>
        <v>山东天士力医药有限公司</v>
      </c>
      <c r="F1530" s="6" t="e">
        <f>INDEX(商业2转码!$B$2:$B$10000,MATCH(E1530,商业2转码!$A$2:$A$10000,0))</f>
        <v>#N/A</v>
      </c>
      <c r="G1530" s="6">
        <f>INDEX(品种2编码!$A$2:$A$1048576,MATCH(W1530,品种2编码!$D$2:$D$1048576,0))</f>
        <v>0</v>
      </c>
      <c r="H1530" s="6" t="s">
        <v>1833</v>
      </c>
      <c r="I1530" s="6" t="s">
        <v>3332</v>
      </c>
      <c r="J1530" s="6" t="s">
        <v>3285</v>
      </c>
      <c r="L1530" s="6" t="s">
        <v>3324</v>
      </c>
      <c r="M1530" s="6" t="e">
        <f>INDEX(医院2县区2人!$B$2:$B$1048576,MATCH(L1530,医院2县区2人!$A$2:$A$1048576,0))</f>
        <v>#N/A</v>
      </c>
      <c r="N1530" s="6" t="e">
        <f>INDEX(医院2县区2人!$C$2:$C$1048576,MATCH(L1530,医院2县区2人!$A$2:$A$1048576,0))</f>
        <v>#N/A</v>
      </c>
      <c r="P1530" s="7">
        <v>43278</v>
      </c>
      <c r="Q1530" s="6">
        <v>160</v>
      </c>
      <c r="R1530" s="6">
        <v>25</v>
      </c>
      <c r="S1530" s="6">
        <v>18030832</v>
      </c>
      <c r="T1530" s="6" t="e">
        <f>INDEX(医院2县区2人!$D$2:$D$1048576,MATCH(L1530,医院2县区2人!$A$2:$A$1048576,0))</f>
        <v>#N/A</v>
      </c>
      <c r="W1530" s="6" t="str">
        <f t="shared" si="49"/>
        <v>葡萄糖酸钙口服溶液10毫升*12支（含糖型）</v>
      </c>
      <c r="X1530" s="6" t="s">
        <v>2919</v>
      </c>
    </row>
    <row r="1531" spans="1:24" x14ac:dyDescent="0.15">
      <c r="A1531" s="7" t="str">
        <f t="shared" si="50"/>
        <v>201806</v>
      </c>
      <c r="C1531" s="6" t="str">
        <f>INDEX(工厂基础数据!$A$2:$A$1024,MATCH(X1531,工厂基础数据!$D$2:$D$1024,0))</f>
        <v>02001551</v>
      </c>
      <c r="E1531" s="6" t="str">
        <f>INDEX(工厂基础数据!$B$2:$B$1024,MATCH(X1531,工厂基础数据!$D$2:$D$1024,0))</f>
        <v>山东天士力医药有限公司</v>
      </c>
      <c r="F1531" s="6" t="e">
        <f>INDEX(商业2转码!$B$2:$B$10000,MATCH(E1531,商业2转码!$A$2:$A$10000,0))</f>
        <v>#N/A</v>
      </c>
      <c r="G1531" s="6">
        <f>INDEX(品种2编码!$A$2:$A$1048576,MATCH(W1531,品种2编码!$D$2:$D$1048576,0))</f>
        <v>0</v>
      </c>
      <c r="H1531" s="6" t="s">
        <v>1949</v>
      </c>
      <c r="I1531" s="6" t="s">
        <v>2930</v>
      </c>
      <c r="J1531" s="6" t="s">
        <v>3040</v>
      </c>
      <c r="L1531" s="6" t="s">
        <v>3324</v>
      </c>
      <c r="M1531" s="6" t="e">
        <f>INDEX(医院2县区2人!$B$2:$B$1048576,MATCH(L1531,医院2县区2人!$A$2:$A$1048576,0))</f>
        <v>#N/A</v>
      </c>
      <c r="N1531" s="6" t="e">
        <f>INDEX(医院2县区2人!$C$2:$C$1048576,MATCH(L1531,医院2县区2人!$A$2:$A$1048576,0))</f>
        <v>#N/A</v>
      </c>
      <c r="P1531" s="7">
        <v>43278</v>
      </c>
      <c r="Q1531" s="6">
        <v>160</v>
      </c>
      <c r="R1531" s="6">
        <v>25</v>
      </c>
      <c r="S1531" s="6">
        <v>18031317</v>
      </c>
      <c r="T1531" s="6" t="e">
        <f>INDEX(医院2县区2人!$D$2:$D$1048576,MATCH(L1531,医院2县区2人!$A$2:$A$1048576,0))</f>
        <v>#N/A</v>
      </c>
      <c r="W1531" s="6" t="str">
        <f t="shared" si="49"/>
        <v>葡萄糖酸锌口服溶液10ml:35mg*12支</v>
      </c>
      <c r="X1531" s="6" t="s">
        <v>2919</v>
      </c>
    </row>
    <row r="1532" spans="1:24" x14ac:dyDescent="0.15">
      <c r="A1532" s="7" t="str">
        <f t="shared" si="50"/>
        <v>201806</v>
      </c>
      <c r="C1532" s="6" t="str">
        <f>INDEX(工厂基础数据!$A$2:$A$1024,MATCH(X1532,工厂基础数据!$D$2:$D$1024,0))</f>
        <v>02001551</v>
      </c>
      <c r="E1532" s="6" t="str">
        <f>INDEX(工厂基础数据!$B$2:$B$1024,MATCH(X1532,工厂基础数据!$D$2:$D$1024,0))</f>
        <v>山东天士力医药有限公司</v>
      </c>
      <c r="F1532" s="6" t="e">
        <f>INDEX(商业2转码!$B$2:$B$10000,MATCH(E1532,商业2转码!$A$2:$A$10000,0))</f>
        <v>#N/A</v>
      </c>
      <c r="G1532" s="6">
        <f>INDEX(品种2编码!$A$2:$A$1048576,MATCH(W1532,品种2编码!$D$2:$D$1048576,0))</f>
        <v>0</v>
      </c>
      <c r="H1532" s="6" t="s">
        <v>1833</v>
      </c>
      <c r="I1532" s="6" t="s">
        <v>3332</v>
      </c>
      <c r="J1532" s="6" t="s">
        <v>3285</v>
      </c>
      <c r="L1532" s="6" t="s">
        <v>3325</v>
      </c>
      <c r="M1532" s="6" t="e">
        <f>INDEX(医院2县区2人!$B$2:$B$1048576,MATCH(L1532,医院2县区2人!$A$2:$A$1048576,0))</f>
        <v>#N/A</v>
      </c>
      <c r="N1532" s="6" t="e">
        <f>INDEX(医院2县区2人!$C$2:$C$1048576,MATCH(L1532,医院2县区2人!$A$2:$A$1048576,0))</f>
        <v>#N/A</v>
      </c>
      <c r="P1532" s="7">
        <v>43278</v>
      </c>
      <c r="Q1532" s="6">
        <v>5</v>
      </c>
      <c r="R1532" s="6">
        <v>22</v>
      </c>
      <c r="S1532" s="6">
        <v>18030832</v>
      </c>
      <c r="T1532" s="6" t="e">
        <f>INDEX(医院2县区2人!$D$2:$D$1048576,MATCH(L1532,医院2县区2人!$A$2:$A$1048576,0))</f>
        <v>#N/A</v>
      </c>
      <c r="W1532" s="6" t="str">
        <f t="shared" si="49"/>
        <v>葡萄糖酸钙口服溶液10毫升*12支（含糖型）</v>
      </c>
      <c r="X1532" s="6" t="s">
        <v>2919</v>
      </c>
    </row>
    <row r="1533" spans="1:24" x14ac:dyDescent="0.15">
      <c r="A1533" s="7" t="str">
        <f t="shared" si="50"/>
        <v>201806</v>
      </c>
      <c r="C1533" s="6" t="str">
        <f>INDEX(工厂基础数据!$A$2:$A$1024,MATCH(X1533,工厂基础数据!$D$2:$D$1024,0))</f>
        <v>02001551</v>
      </c>
      <c r="E1533" s="6" t="str">
        <f>INDEX(工厂基础数据!$B$2:$B$1024,MATCH(X1533,工厂基础数据!$D$2:$D$1024,0))</f>
        <v>山东天士力医药有限公司</v>
      </c>
      <c r="F1533" s="6" t="e">
        <f>INDEX(商业2转码!$B$2:$B$10000,MATCH(E1533,商业2转码!$A$2:$A$10000,0))</f>
        <v>#N/A</v>
      </c>
      <c r="G1533" s="6">
        <f>INDEX(品种2编码!$A$2:$A$1048576,MATCH(W1533,品种2编码!$D$2:$D$1048576,0))</f>
        <v>0</v>
      </c>
      <c r="H1533" s="6" t="s">
        <v>1833</v>
      </c>
      <c r="I1533" s="6" t="s">
        <v>3332</v>
      </c>
      <c r="J1533" s="6" t="s">
        <v>3285</v>
      </c>
      <c r="L1533" s="6" t="s">
        <v>3325</v>
      </c>
      <c r="M1533" s="6" t="e">
        <f>INDEX(医院2县区2人!$B$2:$B$1048576,MATCH(L1533,医院2县区2人!$A$2:$A$1048576,0))</f>
        <v>#N/A</v>
      </c>
      <c r="N1533" s="6" t="e">
        <f>INDEX(医院2县区2人!$C$2:$C$1048576,MATCH(L1533,医院2县区2人!$A$2:$A$1048576,0))</f>
        <v>#N/A</v>
      </c>
      <c r="P1533" s="7">
        <v>43278</v>
      </c>
      <c r="Q1533" s="6">
        <v>4</v>
      </c>
      <c r="R1533" s="6">
        <v>22</v>
      </c>
      <c r="S1533" s="6">
        <v>17111823</v>
      </c>
      <c r="T1533" s="6" t="e">
        <f>INDEX(医院2县区2人!$D$2:$D$1048576,MATCH(L1533,医院2县区2人!$A$2:$A$1048576,0))</f>
        <v>#N/A</v>
      </c>
      <c r="W1533" s="6" t="str">
        <f t="shared" si="49"/>
        <v>葡萄糖酸钙口服溶液10毫升*12支（含糖型）</v>
      </c>
      <c r="X1533" s="6" t="s">
        <v>2919</v>
      </c>
    </row>
    <row r="1534" spans="1:24" x14ac:dyDescent="0.15">
      <c r="A1534" s="7" t="str">
        <f t="shared" si="50"/>
        <v>201806</v>
      </c>
      <c r="C1534" s="6" t="str">
        <f>INDEX(工厂基础数据!$A$2:$A$1024,MATCH(X1534,工厂基础数据!$D$2:$D$1024,0))</f>
        <v>02001551</v>
      </c>
      <c r="E1534" s="6" t="str">
        <f>INDEX(工厂基础数据!$B$2:$B$1024,MATCH(X1534,工厂基础数据!$D$2:$D$1024,0))</f>
        <v>山东天士力医药有限公司</v>
      </c>
      <c r="F1534" s="6" t="e">
        <f>INDEX(商业2转码!$B$2:$B$10000,MATCH(E1534,商业2转码!$A$2:$A$10000,0))</f>
        <v>#N/A</v>
      </c>
      <c r="G1534" s="6" t="str">
        <f>INDEX(品种2编码!$A$2:$A$1048576,MATCH(W1534,品种2编码!$D$2:$D$1048576,0))</f>
        <v>0020070000ZYLC0001</v>
      </c>
      <c r="H1534" s="6" t="s">
        <v>725</v>
      </c>
      <c r="I1534" s="6" t="s">
        <v>1838</v>
      </c>
      <c r="J1534" s="6" t="s">
        <v>3036</v>
      </c>
      <c r="L1534" s="6" t="s">
        <v>3315</v>
      </c>
      <c r="M1534" s="6" t="e">
        <f>INDEX(医院2县区2人!$B$2:$B$1048576,MATCH(L1534,医院2县区2人!$A$2:$A$1048576,0))</f>
        <v>#N/A</v>
      </c>
      <c r="N1534" s="6" t="e">
        <f>INDEX(医院2县区2人!$C$2:$C$1048576,MATCH(L1534,医院2县区2人!$A$2:$A$1048576,0))</f>
        <v>#N/A</v>
      </c>
      <c r="P1534" s="7">
        <v>43279</v>
      </c>
      <c r="Q1534" s="6">
        <v>20</v>
      </c>
      <c r="R1534" s="6">
        <v>29</v>
      </c>
      <c r="S1534" s="6">
        <v>180105</v>
      </c>
      <c r="T1534" s="6" t="e">
        <f>INDEX(医院2县区2人!$D$2:$D$1048576,MATCH(L1534,医院2县区2人!$A$2:$A$1048576,0))</f>
        <v>#N/A</v>
      </c>
      <c r="W1534" s="6" t="str">
        <f t="shared" si="49"/>
        <v>新盖中盖牌高钙片2.5g*36片</v>
      </c>
      <c r="X1534" s="6" t="s">
        <v>2919</v>
      </c>
    </row>
    <row r="1535" spans="1:24" x14ac:dyDescent="0.15">
      <c r="A1535" s="7" t="str">
        <f t="shared" si="50"/>
        <v>201806</v>
      </c>
      <c r="C1535" s="6" t="str">
        <f>INDEX(工厂基础数据!$A$2:$A$1024,MATCH(X1535,工厂基础数据!$D$2:$D$1024,0))</f>
        <v>02001551</v>
      </c>
      <c r="E1535" s="6" t="str">
        <f>INDEX(工厂基础数据!$B$2:$B$1024,MATCH(X1535,工厂基础数据!$D$2:$D$1024,0))</f>
        <v>山东天士力医药有限公司</v>
      </c>
      <c r="F1535" s="6" t="e">
        <f>INDEX(商业2转码!$B$2:$B$10000,MATCH(E1535,商业2转码!$A$2:$A$10000,0))</f>
        <v>#N/A</v>
      </c>
      <c r="G1535" s="6">
        <f>INDEX(品种2编码!$A$2:$A$1048576,MATCH(W1535,品种2编码!$D$2:$D$1048576,0))</f>
        <v>0</v>
      </c>
      <c r="H1535" s="6" t="s">
        <v>1864</v>
      </c>
      <c r="I1535" s="6" t="s">
        <v>3333</v>
      </c>
      <c r="J1535" s="6" t="s">
        <v>3281</v>
      </c>
      <c r="L1535" s="6" t="s">
        <v>3307</v>
      </c>
      <c r="M1535" s="6" t="e">
        <f>INDEX(医院2县区2人!$B$2:$B$1048576,MATCH(L1535,医院2县区2人!$A$2:$A$1048576,0))</f>
        <v>#N/A</v>
      </c>
      <c r="N1535" s="6" t="e">
        <f>INDEX(医院2县区2人!$C$2:$C$1048576,MATCH(L1535,医院2县区2人!$A$2:$A$1048576,0))</f>
        <v>#N/A</v>
      </c>
      <c r="P1535" s="7">
        <v>43278</v>
      </c>
      <c r="Q1535" s="6">
        <v>20</v>
      </c>
      <c r="R1535" s="6">
        <v>17.8</v>
      </c>
      <c r="S1535" s="6">
        <v>1801503</v>
      </c>
      <c r="T1535" s="6" t="e">
        <f>INDEX(医院2县区2人!$D$2:$D$1048576,MATCH(L1535,医院2县区2人!$A$2:$A$1048576,0))</f>
        <v>#N/A</v>
      </c>
      <c r="W1535" s="6" t="str">
        <f t="shared" si="49"/>
        <v>复方金银花颗粒10克*10袋</v>
      </c>
      <c r="X1535" s="6" t="s">
        <v>2919</v>
      </c>
    </row>
    <row r="1536" spans="1:24" x14ac:dyDescent="0.15">
      <c r="A1536" s="7" t="str">
        <f t="shared" si="50"/>
        <v>201806</v>
      </c>
      <c r="C1536" s="6" t="str">
        <f>INDEX(工厂基础数据!$A$2:$A$1024,MATCH(X1536,工厂基础数据!$D$2:$D$1024,0))</f>
        <v>02001551</v>
      </c>
      <c r="E1536" s="6" t="str">
        <f>INDEX(工厂基础数据!$B$2:$B$1024,MATCH(X1536,工厂基础数据!$D$2:$D$1024,0))</f>
        <v>山东天士力医药有限公司</v>
      </c>
      <c r="F1536" s="6" t="e">
        <f>INDEX(商业2转码!$B$2:$B$10000,MATCH(E1536,商业2转码!$A$2:$A$10000,0))</f>
        <v>#N/A</v>
      </c>
      <c r="G1536" s="6">
        <f>INDEX(品种2编码!$A$2:$A$1048576,MATCH(W1536,品种2编码!$D$2:$D$1048576,0))</f>
        <v>0</v>
      </c>
      <c r="H1536" s="6" t="s">
        <v>586</v>
      </c>
      <c r="I1536" s="6" t="s">
        <v>1901</v>
      </c>
      <c r="J1536" s="6" t="s">
        <v>3279</v>
      </c>
      <c r="L1536" s="6" t="s">
        <v>3320</v>
      </c>
      <c r="M1536" s="6" t="e">
        <f>INDEX(医院2县区2人!$B$2:$B$1048576,MATCH(L1536,医院2县区2人!$A$2:$A$1048576,0))</f>
        <v>#N/A</v>
      </c>
      <c r="N1536" s="6" t="e">
        <f>INDEX(医院2县区2人!$C$2:$C$1048576,MATCH(L1536,医院2县区2人!$A$2:$A$1048576,0))</f>
        <v>#N/A</v>
      </c>
      <c r="P1536" s="7">
        <v>43278</v>
      </c>
      <c r="Q1536" s="6">
        <v>2400</v>
      </c>
      <c r="R1536" s="6">
        <v>7.7</v>
      </c>
      <c r="S1536" s="6">
        <v>1803006</v>
      </c>
      <c r="T1536" s="6" t="e">
        <f>INDEX(医院2县区2人!$D$2:$D$1048576,MATCH(L1536,医院2县区2人!$A$2:$A$1048576,0))</f>
        <v>#N/A</v>
      </c>
      <c r="W1536" s="6" t="str">
        <f t="shared" si="49"/>
        <v>人工牛黄甲硝唑胶囊10粒*3板</v>
      </c>
      <c r="X1536" s="6" t="s">
        <v>2919</v>
      </c>
    </row>
    <row r="1537" spans="1:24" x14ac:dyDescent="0.15">
      <c r="A1537" s="7" t="str">
        <f t="shared" si="50"/>
        <v>201806</v>
      </c>
      <c r="C1537" s="6" t="str">
        <f>INDEX(工厂基础数据!$A$2:$A$1024,MATCH(X1537,工厂基础数据!$D$2:$D$1024,0))</f>
        <v>02001551</v>
      </c>
      <c r="E1537" s="6" t="str">
        <f>INDEX(工厂基础数据!$B$2:$B$1024,MATCH(X1537,工厂基础数据!$D$2:$D$1024,0))</f>
        <v>山东天士力医药有限公司</v>
      </c>
      <c r="F1537" s="6" t="e">
        <f>INDEX(商业2转码!$B$2:$B$10000,MATCH(E1537,商业2转码!$A$2:$A$10000,0))</f>
        <v>#N/A</v>
      </c>
      <c r="G1537" s="6" t="str">
        <f>INDEX(品种2编码!$A$2:$A$1048576,MATCH(W1537,品种2编码!$D$2:$D$1048576,0))</f>
        <v>0020030040SJET0003</v>
      </c>
      <c r="H1537" s="6" t="s">
        <v>306</v>
      </c>
      <c r="I1537" s="6" t="s">
        <v>1874</v>
      </c>
      <c r="J1537" s="6" t="s">
        <v>3279</v>
      </c>
      <c r="L1537" s="6" t="s">
        <v>2955</v>
      </c>
      <c r="M1537" s="6">
        <f>INDEX(医院2县区2人!$B$2:$B$1048576,MATCH(L1537,医院2县区2人!$A$2:$A$1048576,0))</f>
        <v>0</v>
      </c>
      <c r="N1537" s="6">
        <f>INDEX(医院2县区2人!$C$2:$C$1048576,MATCH(L1537,医院2县区2人!$A$2:$A$1048576,0))</f>
        <v>0</v>
      </c>
      <c r="P1537" s="7">
        <v>43279</v>
      </c>
      <c r="Q1537" s="6">
        <v>10</v>
      </c>
      <c r="R1537" s="6">
        <v>9</v>
      </c>
      <c r="S1537" s="6">
        <v>180117</v>
      </c>
      <c r="T1537" s="6">
        <f>INDEX(医院2县区2人!$D$2:$D$1048576,MATCH(L1537,医院2县区2人!$A$2:$A$1048576,0))</f>
        <v>0</v>
      </c>
      <c r="W1537" s="6" t="str">
        <f t="shared" ref="W1537:W1598" si="51">H1537&amp;I1537</f>
        <v>氨金黄敏颗粒6g*10袋</v>
      </c>
      <c r="X1537" s="6" t="s">
        <v>2919</v>
      </c>
    </row>
    <row r="1538" spans="1:24" x14ac:dyDescent="0.15">
      <c r="A1538" s="7" t="str">
        <f t="shared" ref="A1538:A1599" si="52">IF(MONTH(P1538)&lt;10,YEAR(P1538)&amp;"0"&amp;MONTH(P1538),YEAR(P1538)&amp;MONTH(P1538))</f>
        <v>201806</v>
      </c>
      <c r="C1538" s="6" t="str">
        <f>INDEX(工厂基础数据!$A$2:$A$1024,MATCH(X1538,工厂基础数据!$D$2:$D$1024,0))</f>
        <v>02001551</v>
      </c>
      <c r="E1538" s="6" t="str">
        <f>INDEX(工厂基础数据!$B$2:$B$1024,MATCH(X1538,工厂基础数据!$D$2:$D$1024,0))</f>
        <v>山东天士力医药有限公司</v>
      </c>
      <c r="F1538" s="6" t="e">
        <f>INDEX(商业2转码!$B$2:$B$10000,MATCH(E1538,商业2转码!$A$2:$A$10000,0))</f>
        <v>#N/A</v>
      </c>
      <c r="G1538" s="6">
        <f>INDEX(品种2编码!$A$2:$A$1048576,MATCH(W1538,品种2编码!$D$2:$D$1048576,0))</f>
        <v>0</v>
      </c>
      <c r="H1538" s="6" t="s">
        <v>586</v>
      </c>
      <c r="I1538" s="6" t="s">
        <v>1901</v>
      </c>
      <c r="J1538" s="6" t="s">
        <v>3279</v>
      </c>
      <c r="L1538" s="6" t="s">
        <v>2955</v>
      </c>
      <c r="M1538" s="6">
        <f>INDEX(医院2县区2人!$B$2:$B$1048576,MATCH(L1538,医院2县区2人!$A$2:$A$1048576,0))</f>
        <v>0</v>
      </c>
      <c r="N1538" s="6">
        <f>INDEX(医院2县区2人!$C$2:$C$1048576,MATCH(L1538,医院2县区2人!$A$2:$A$1048576,0))</f>
        <v>0</v>
      </c>
      <c r="P1538" s="7">
        <v>43279</v>
      </c>
      <c r="Q1538" s="6">
        <v>150</v>
      </c>
      <c r="R1538" s="6">
        <v>7.7</v>
      </c>
      <c r="S1538" s="6">
        <v>1711004</v>
      </c>
      <c r="T1538" s="6">
        <f>INDEX(医院2县区2人!$D$2:$D$1048576,MATCH(L1538,医院2县区2人!$A$2:$A$1048576,0))</f>
        <v>0</v>
      </c>
      <c r="W1538" s="6" t="str">
        <f t="shared" si="51"/>
        <v>人工牛黄甲硝唑胶囊10粒*3板</v>
      </c>
      <c r="X1538" s="6" t="s">
        <v>2919</v>
      </c>
    </row>
    <row r="1539" spans="1:24" x14ac:dyDescent="0.15">
      <c r="A1539" s="7" t="str">
        <f t="shared" si="52"/>
        <v>201806</v>
      </c>
      <c r="C1539" s="6" t="str">
        <f>INDEX(工厂基础数据!$A$2:$A$1024,MATCH(X1539,工厂基础数据!$D$2:$D$1024,0))</f>
        <v>02001551</v>
      </c>
      <c r="E1539" s="6" t="str">
        <f>INDEX(工厂基础数据!$B$2:$B$1024,MATCH(X1539,工厂基础数据!$D$2:$D$1024,0))</f>
        <v>山东天士力医药有限公司</v>
      </c>
      <c r="F1539" s="6" t="e">
        <f>INDEX(商业2转码!$B$2:$B$10000,MATCH(E1539,商业2转码!$A$2:$A$10000,0))</f>
        <v>#N/A</v>
      </c>
      <c r="G1539" s="6" t="str">
        <f>INDEX(品种2编码!$A$2:$A$1048576,MATCH(W1539,品种2编码!$D$2:$D$1048576,0))</f>
        <v>0020030040ZYLC0001</v>
      </c>
      <c r="H1539" s="6" t="s">
        <v>1953</v>
      </c>
      <c r="I1539" s="6" t="s">
        <v>1954</v>
      </c>
      <c r="J1539" s="6" t="s">
        <v>294</v>
      </c>
      <c r="L1539" s="6" t="s">
        <v>225</v>
      </c>
      <c r="M1539" s="6" t="e">
        <f>INDEX(医院2县区2人!$B$2:$B$1048576,MATCH(L1539,医院2县区2人!$A$2:$A$1048576,0))</f>
        <v>#N/A</v>
      </c>
      <c r="N1539" s="6" t="e">
        <f>INDEX(医院2县区2人!$C$2:$C$1048576,MATCH(L1539,医院2县区2人!$A$2:$A$1048576,0))</f>
        <v>#N/A</v>
      </c>
      <c r="P1539" s="7">
        <v>43280</v>
      </c>
      <c r="Q1539" s="6">
        <v>30</v>
      </c>
      <c r="R1539" s="6">
        <v>10</v>
      </c>
      <c r="S1539" s="6">
        <v>180139</v>
      </c>
      <c r="T1539" s="6" t="e">
        <f>INDEX(医院2县区2人!$D$2:$D$1048576,MATCH(L1539,医院2县区2人!$A$2:$A$1048576,0))</f>
        <v>#N/A</v>
      </c>
      <c r="W1539" s="6" t="str">
        <f t="shared" si="51"/>
        <v>小儿氨酚黄那敏颗粒12袋</v>
      </c>
      <c r="X1539" s="6" t="s">
        <v>2919</v>
      </c>
    </row>
    <row r="1540" spans="1:24" x14ac:dyDescent="0.15">
      <c r="A1540" s="7" t="str">
        <f t="shared" si="52"/>
        <v>201806</v>
      </c>
      <c r="C1540" s="6" t="str">
        <f>INDEX(工厂基础数据!$A$2:$A$1024,MATCH(X1540,工厂基础数据!$D$2:$D$1024,0))</f>
        <v>02001551</v>
      </c>
      <c r="E1540" s="6" t="str">
        <f>INDEX(工厂基础数据!$B$2:$B$1024,MATCH(X1540,工厂基础数据!$D$2:$D$1024,0))</f>
        <v>山东天士力医药有限公司</v>
      </c>
      <c r="F1540" s="6" t="e">
        <f>INDEX(商业2转码!$B$2:$B$10000,MATCH(E1540,商业2转码!$A$2:$A$10000,0))</f>
        <v>#N/A</v>
      </c>
      <c r="G1540" s="6">
        <f>INDEX(品种2编码!$A$2:$A$1048576,MATCH(W1540,品种2编码!$D$2:$D$1048576,0))</f>
        <v>0</v>
      </c>
      <c r="H1540" s="6" t="s">
        <v>394</v>
      </c>
      <c r="I1540" s="6" t="s">
        <v>3331</v>
      </c>
      <c r="J1540" s="6" t="s">
        <v>3279</v>
      </c>
      <c r="L1540" s="6" t="s">
        <v>225</v>
      </c>
      <c r="M1540" s="6" t="e">
        <f>INDEX(医院2县区2人!$B$2:$B$1048576,MATCH(L1540,医院2县区2人!$A$2:$A$1048576,0))</f>
        <v>#N/A</v>
      </c>
      <c r="N1540" s="6" t="e">
        <f>INDEX(医院2县区2人!$C$2:$C$1048576,MATCH(L1540,医院2县区2人!$A$2:$A$1048576,0))</f>
        <v>#N/A</v>
      </c>
      <c r="P1540" s="7">
        <v>43280</v>
      </c>
      <c r="Q1540" s="6">
        <v>5</v>
      </c>
      <c r="R1540" s="6">
        <v>12.5</v>
      </c>
      <c r="S1540" s="6">
        <v>1801024</v>
      </c>
      <c r="T1540" s="6" t="e">
        <f>INDEX(医院2县区2人!$D$2:$D$1048576,MATCH(L1540,医院2县区2人!$A$2:$A$1048576,0))</f>
        <v>#N/A</v>
      </c>
      <c r="W1540" s="6" t="str">
        <f t="shared" si="51"/>
        <v>复方铝酸铋片10片*5板</v>
      </c>
      <c r="X1540" s="6" t="s">
        <v>2919</v>
      </c>
    </row>
    <row r="1541" spans="1:24" x14ac:dyDescent="0.15">
      <c r="A1541" s="7" t="str">
        <f t="shared" si="52"/>
        <v>201806</v>
      </c>
      <c r="C1541" s="6" t="str">
        <f>INDEX(工厂基础数据!$A$2:$A$1024,MATCH(X1541,工厂基础数据!$D$2:$D$1024,0))</f>
        <v>02001551</v>
      </c>
      <c r="E1541" s="6" t="str">
        <f>INDEX(工厂基础数据!$B$2:$B$1024,MATCH(X1541,工厂基础数据!$D$2:$D$1024,0))</f>
        <v>山东天士力医药有限公司</v>
      </c>
      <c r="F1541" s="6" t="e">
        <f>INDEX(商业2转码!$B$2:$B$10000,MATCH(E1541,商业2转码!$A$2:$A$10000,0))</f>
        <v>#N/A</v>
      </c>
      <c r="G1541" s="6" t="str">
        <f>INDEX(品种2编码!$A$2:$A$1048576,MATCH(W1541,品种2编码!$D$2:$D$1048576,0))</f>
        <v>0020050090SJZY0001</v>
      </c>
      <c r="H1541" s="6" t="s">
        <v>630</v>
      </c>
      <c r="I1541" s="6" t="s">
        <v>1850</v>
      </c>
      <c r="J1541" s="6" t="s">
        <v>3285</v>
      </c>
      <c r="L1541" s="6" t="s">
        <v>225</v>
      </c>
      <c r="M1541" s="6" t="e">
        <f>INDEX(医院2县区2人!$B$2:$B$1048576,MATCH(L1541,医院2县区2人!$A$2:$A$1048576,0))</f>
        <v>#N/A</v>
      </c>
      <c r="N1541" s="6" t="e">
        <f>INDEX(医院2县区2人!$C$2:$C$1048576,MATCH(L1541,医院2县区2人!$A$2:$A$1048576,0))</f>
        <v>#N/A</v>
      </c>
      <c r="P1541" s="7">
        <v>43280</v>
      </c>
      <c r="Q1541" s="6">
        <v>30</v>
      </c>
      <c r="R1541" s="6">
        <v>16.5</v>
      </c>
      <c r="S1541" s="6">
        <v>17062811</v>
      </c>
      <c r="T1541" s="6" t="e">
        <f>INDEX(医院2县区2人!$D$2:$D$1048576,MATCH(L1541,医院2县区2人!$A$2:$A$1048576,0))</f>
        <v>#N/A</v>
      </c>
      <c r="W1541" s="6" t="str">
        <f t="shared" si="51"/>
        <v>双黄连口服液10ml*10支</v>
      </c>
      <c r="X1541" s="6" t="s">
        <v>2919</v>
      </c>
    </row>
    <row r="1542" spans="1:24" x14ac:dyDescent="0.15">
      <c r="A1542" s="7" t="str">
        <f t="shared" si="52"/>
        <v>201806</v>
      </c>
      <c r="C1542" s="6" t="str">
        <f>INDEX(工厂基础数据!$A$2:$A$1024,MATCH(X1542,工厂基础数据!$D$2:$D$1024,0))</f>
        <v>02001551</v>
      </c>
      <c r="E1542" s="6" t="str">
        <f>INDEX(工厂基础数据!$B$2:$B$1024,MATCH(X1542,工厂基础数据!$D$2:$D$1024,0))</f>
        <v>山东天士力医药有限公司</v>
      </c>
      <c r="F1542" s="6" t="e">
        <f>INDEX(商业2转码!$B$2:$B$10000,MATCH(E1542,商业2转码!$A$2:$A$10000,0))</f>
        <v>#N/A</v>
      </c>
      <c r="G1542" s="6" t="str">
        <f>INDEX(品种2编码!$A$2:$A$1048576,MATCH(W1542,品种2编码!$D$2:$D$1048576,0))</f>
        <v>0020030040ZYLC0001</v>
      </c>
      <c r="H1542" s="6" t="s">
        <v>1953</v>
      </c>
      <c r="I1542" s="6" t="s">
        <v>1954</v>
      </c>
      <c r="J1542" s="6" t="s">
        <v>294</v>
      </c>
      <c r="L1542" s="6" t="s">
        <v>3307</v>
      </c>
      <c r="M1542" s="6" t="e">
        <f>INDEX(医院2县区2人!$B$2:$B$1048576,MATCH(L1542,医院2县区2人!$A$2:$A$1048576,0))</f>
        <v>#N/A</v>
      </c>
      <c r="N1542" s="6" t="e">
        <f>INDEX(医院2县区2人!$C$2:$C$1048576,MATCH(L1542,医院2县区2人!$A$2:$A$1048576,0))</f>
        <v>#N/A</v>
      </c>
      <c r="P1542" s="7">
        <v>43278</v>
      </c>
      <c r="Q1542" s="6">
        <v>5</v>
      </c>
      <c r="R1542" s="6">
        <v>10</v>
      </c>
      <c r="S1542" s="6">
        <v>180139</v>
      </c>
      <c r="T1542" s="6" t="e">
        <f>INDEX(医院2县区2人!$D$2:$D$1048576,MATCH(L1542,医院2县区2人!$A$2:$A$1048576,0))</f>
        <v>#N/A</v>
      </c>
      <c r="W1542" s="6" t="str">
        <f t="shared" si="51"/>
        <v>小儿氨酚黄那敏颗粒12袋</v>
      </c>
      <c r="X1542" s="6" t="s">
        <v>2919</v>
      </c>
    </row>
    <row r="1543" spans="1:24" x14ac:dyDescent="0.15">
      <c r="A1543" s="7" t="str">
        <f t="shared" si="52"/>
        <v>201806</v>
      </c>
      <c r="C1543" s="6" t="str">
        <f>INDEX(工厂基础数据!$A$2:$A$1024,MATCH(X1543,工厂基础数据!$D$2:$D$1024,0))</f>
        <v>02001551</v>
      </c>
      <c r="E1543" s="6" t="str">
        <f>INDEX(工厂基础数据!$B$2:$B$1024,MATCH(X1543,工厂基础数据!$D$2:$D$1024,0))</f>
        <v>山东天士力医药有限公司</v>
      </c>
      <c r="F1543" s="6" t="e">
        <f>INDEX(商业2转码!$B$2:$B$10000,MATCH(E1543,商业2转码!$A$2:$A$10000,0))</f>
        <v>#N/A</v>
      </c>
      <c r="G1543" s="6">
        <f>INDEX(品种2编码!$A$2:$A$1048576,MATCH(W1543,品种2编码!$D$2:$D$1048576,0))</f>
        <v>0</v>
      </c>
      <c r="H1543" s="6" t="s">
        <v>1833</v>
      </c>
      <c r="I1543" s="6" t="s">
        <v>3332</v>
      </c>
      <c r="J1543" s="6" t="s">
        <v>3285</v>
      </c>
      <c r="L1543" s="6" t="s">
        <v>3307</v>
      </c>
      <c r="M1543" s="6" t="e">
        <f>INDEX(医院2县区2人!$B$2:$B$1048576,MATCH(L1543,医院2县区2人!$A$2:$A$1048576,0))</f>
        <v>#N/A</v>
      </c>
      <c r="N1543" s="6" t="e">
        <f>INDEX(医院2县区2人!$C$2:$C$1048576,MATCH(L1543,医院2县区2人!$A$2:$A$1048576,0))</f>
        <v>#N/A</v>
      </c>
      <c r="P1543" s="7">
        <v>43278</v>
      </c>
      <c r="Q1543" s="6">
        <v>5</v>
      </c>
      <c r="R1543" s="6">
        <v>25</v>
      </c>
      <c r="S1543" s="6">
        <v>18030832</v>
      </c>
      <c r="T1543" s="6" t="e">
        <f>INDEX(医院2县区2人!$D$2:$D$1048576,MATCH(L1543,医院2县区2人!$A$2:$A$1048576,0))</f>
        <v>#N/A</v>
      </c>
      <c r="W1543" s="6" t="str">
        <f t="shared" si="51"/>
        <v>葡萄糖酸钙口服溶液10毫升*12支（含糖型）</v>
      </c>
      <c r="X1543" s="6" t="s">
        <v>2919</v>
      </c>
    </row>
    <row r="1544" spans="1:24" x14ac:dyDescent="0.15">
      <c r="A1544" s="7" t="str">
        <f t="shared" si="52"/>
        <v>201806</v>
      </c>
      <c r="C1544" s="6" t="str">
        <f>INDEX(工厂基础数据!$A$2:$A$1024,MATCH(X1544,工厂基础数据!$D$2:$D$1024,0))</f>
        <v>02001551</v>
      </c>
      <c r="E1544" s="6" t="str">
        <f>INDEX(工厂基础数据!$B$2:$B$1024,MATCH(X1544,工厂基础数据!$D$2:$D$1024,0))</f>
        <v>山东天士力医药有限公司</v>
      </c>
      <c r="F1544" s="6" t="e">
        <f>INDEX(商业2转码!$B$2:$B$10000,MATCH(E1544,商业2转码!$A$2:$A$10000,0))</f>
        <v>#N/A</v>
      </c>
      <c r="G1544" s="6">
        <f>INDEX(品种2编码!$A$2:$A$1048576,MATCH(W1544,品种2编码!$D$2:$D$1048576,0))</f>
        <v>0</v>
      </c>
      <c r="H1544" s="6" t="s">
        <v>1949</v>
      </c>
      <c r="I1544" s="6" t="s">
        <v>2930</v>
      </c>
      <c r="J1544" s="6" t="s">
        <v>3040</v>
      </c>
      <c r="L1544" s="6" t="s">
        <v>3306</v>
      </c>
      <c r="M1544" s="6" t="e">
        <f>INDEX(医院2县区2人!$B$2:$B$1048576,MATCH(L1544,医院2县区2人!$A$2:$A$1048576,0))</f>
        <v>#N/A</v>
      </c>
      <c r="N1544" s="6" t="e">
        <f>INDEX(医院2县区2人!$C$2:$C$1048576,MATCH(L1544,医院2县区2人!$A$2:$A$1048576,0))</f>
        <v>#N/A</v>
      </c>
      <c r="P1544" s="7">
        <v>43279</v>
      </c>
      <c r="Q1544" s="6">
        <v>160</v>
      </c>
      <c r="R1544" s="6">
        <v>25</v>
      </c>
      <c r="S1544" s="6">
        <v>18031317</v>
      </c>
      <c r="T1544" s="6" t="e">
        <f>INDEX(医院2县区2人!$D$2:$D$1048576,MATCH(L1544,医院2县区2人!$A$2:$A$1048576,0))</f>
        <v>#N/A</v>
      </c>
      <c r="W1544" s="6" t="str">
        <f t="shared" si="51"/>
        <v>葡萄糖酸锌口服溶液10ml:35mg*12支</v>
      </c>
      <c r="X1544" s="6" t="s">
        <v>2919</v>
      </c>
    </row>
    <row r="1545" spans="1:24" x14ac:dyDescent="0.15">
      <c r="A1545" s="7" t="str">
        <f t="shared" si="52"/>
        <v>201806</v>
      </c>
      <c r="C1545" s="6" t="str">
        <f>INDEX(工厂基础数据!$A$2:$A$1024,MATCH(X1545,工厂基础数据!$D$2:$D$1024,0))</f>
        <v>02001551</v>
      </c>
      <c r="E1545" s="6" t="str">
        <f>INDEX(工厂基础数据!$B$2:$B$1024,MATCH(X1545,工厂基础数据!$D$2:$D$1024,0))</f>
        <v>山东天士力医药有限公司</v>
      </c>
      <c r="F1545" s="6" t="e">
        <f>INDEX(商业2转码!$B$2:$B$10000,MATCH(E1545,商业2转码!$A$2:$A$10000,0))</f>
        <v>#N/A</v>
      </c>
      <c r="G1545" s="6" t="str">
        <f>INDEX(品种2编码!$A$2:$A$1048576,MATCH(W1545,品种2编码!$D$2:$D$1048576,0))</f>
        <v>0020070001ZYZC0369</v>
      </c>
      <c r="H1545" s="6" t="s">
        <v>1849</v>
      </c>
      <c r="I1545" s="6" t="s">
        <v>411</v>
      </c>
      <c r="J1545" s="6" t="s">
        <v>3279</v>
      </c>
      <c r="L1545" s="6" t="s">
        <v>3306</v>
      </c>
      <c r="M1545" s="6" t="e">
        <f>INDEX(医院2县区2人!$B$2:$B$1048576,MATCH(L1545,医院2县区2人!$A$2:$A$1048576,0))</f>
        <v>#N/A</v>
      </c>
      <c r="N1545" s="6" t="e">
        <f>INDEX(医院2县区2人!$C$2:$C$1048576,MATCH(L1545,医院2县区2人!$A$2:$A$1048576,0))</f>
        <v>#N/A</v>
      </c>
      <c r="P1545" s="7">
        <v>43279</v>
      </c>
      <c r="Q1545" s="6">
        <v>80</v>
      </c>
      <c r="R1545" s="6">
        <v>18</v>
      </c>
      <c r="S1545" s="6">
        <v>1801028</v>
      </c>
      <c r="T1545" s="6" t="e">
        <f>INDEX(医院2县区2人!$D$2:$D$1048576,MATCH(L1545,医院2县区2人!$A$2:$A$1048576,0))</f>
        <v>#N/A</v>
      </c>
      <c r="W1545" s="6" t="str">
        <f t="shared" si="51"/>
        <v>哈药牌钙铁锌口服液10ml*12支</v>
      </c>
      <c r="X1545" s="6" t="s">
        <v>2919</v>
      </c>
    </row>
    <row r="1546" spans="1:24" x14ac:dyDescent="0.15">
      <c r="A1546" s="7" t="str">
        <f t="shared" si="52"/>
        <v>201806</v>
      </c>
      <c r="C1546" s="6" t="str">
        <f>INDEX(工厂基础数据!$A$2:$A$1024,MATCH(X1546,工厂基础数据!$D$2:$D$1024,0))</f>
        <v>02001551</v>
      </c>
      <c r="E1546" s="6" t="str">
        <f>INDEX(工厂基础数据!$B$2:$B$1024,MATCH(X1546,工厂基础数据!$D$2:$D$1024,0))</f>
        <v>山东天士力医药有限公司</v>
      </c>
      <c r="F1546" s="6" t="e">
        <f>INDEX(商业2转码!$B$2:$B$10000,MATCH(E1546,商业2转码!$A$2:$A$10000,0))</f>
        <v>#N/A</v>
      </c>
      <c r="G1546" s="6" t="str">
        <f>INDEX(品种2编码!$A$2:$A$1048576,MATCH(W1546,品种2编码!$D$2:$D$1048576,0))</f>
        <v>0020050090SJZY0001</v>
      </c>
      <c r="H1546" s="6" t="s">
        <v>630</v>
      </c>
      <c r="I1546" s="6" t="s">
        <v>1850</v>
      </c>
      <c r="J1546" s="6" t="s">
        <v>3285</v>
      </c>
      <c r="L1546" s="6" t="s">
        <v>3314</v>
      </c>
      <c r="M1546" s="6" t="e">
        <f>INDEX(医院2县区2人!$B$2:$B$1048576,MATCH(L1546,医院2县区2人!$A$2:$A$1048576,0))</f>
        <v>#N/A</v>
      </c>
      <c r="N1546" s="6" t="e">
        <f>INDEX(医院2县区2人!$C$2:$C$1048576,MATCH(L1546,医院2县区2人!$A$2:$A$1048576,0))</f>
        <v>#N/A</v>
      </c>
      <c r="P1546" s="7">
        <v>43277</v>
      </c>
      <c r="Q1546" s="6">
        <v>440</v>
      </c>
      <c r="R1546" s="6">
        <v>16.5</v>
      </c>
      <c r="S1546" s="6">
        <v>17062811</v>
      </c>
      <c r="T1546" s="6" t="e">
        <f>INDEX(医院2县区2人!$D$2:$D$1048576,MATCH(L1546,医院2县区2人!$A$2:$A$1048576,0))</f>
        <v>#N/A</v>
      </c>
      <c r="W1546" s="6" t="str">
        <f t="shared" si="51"/>
        <v>双黄连口服液10ml*10支</v>
      </c>
      <c r="X1546" s="6" t="s">
        <v>2919</v>
      </c>
    </row>
    <row r="1547" spans="1:24" x14ac:dyDescent="0.15">
      <c r="A1547" s="7" t="str">
        <f t="shared" si="52"/>
        <v>201806</v>
      </c>
      <c r="C1547" s="6" t="str">
        <f>INDEX(工厂基础数据!$A$2:$A$1024,MATCH(X1547,工厂基础数据!$D$2:$D$1024,0))</f>
        <v>02001551</v>
      </c>
      <c r="E1547" s="6" t="str">
        <f>INDEX(工厂基础数据!$B$2:$B$1024,MATCH(X1547,工厂基础数据!$D$2:$D$1024,0))</f>
        <v>山东天士力医药有限公司</v>
      </c>
      <c r="F1547" s="6" t="e">
        <f>INDEX(商业2转码!$B$2:$B$10000,MATCH(E1547,商业2转码!$A$2:$A$10000,0))</f>
        <v>#N/A</v>
      </c>
      <c r="G1547" s="6">
        <f>INDEX(品种2编码!$A$2:$A$1048576,MATCH(W1547,品种2编码!$D$2:$D$1048576,0))</f>
        <v>0</v>
      </c>
      <c r="H1547" s="6" t="s">
        <v>1833</v>
      </c>
      <c r="I1547" s="6" t="s">
        <v>3332</v>
      </c>
      <c r="J1547" s="6" t="s">
        <v>3285</v>
      </c>
      <c r="L1547" s="6" t="s">
        <v>3326</v>
      </c>
      <c r="M1547" s="6" t="e">
        <f>INDEX(医院2县区2人!$B$2:$B$1048576,MATCH(L1547,医院2县区2人!$A$2:$A$1048576,0))</f>
        <v>#N/A</v>
      </c>
      <c r="N1547" s="6" t="e">
        <f>INDEX(医院2县区2人!$C$2:$C$1048576,MATCH(L1547,医院2县区2人!$A$2:$A$1048576,0))</f>
        <v>#N/A</v>
      </c>
      <c r="P1547" s="7">
        <v>43273</v>
      </c>
      <c r="R1547" s="6">
        <v>10.327500000000001</v>
      </c>
      <c r="T1547" s="6" t="e">
        <f>INDEX(医院2县区2人!$D$2:$D$1048576,MATCH(L1547,医院2县区2人!$A$2:$A$1048576,0))</f>
        <v>#N/A</v>
      </c>
      <c r="W1547" s="6" t="str">
        <f t="shared" si="51"/>
        <v>葡萄糖酸钙口服溶液10毫升*12支（含糖型）</v>
      </c>
      <c r="X1547" s="6" t="s">
        <v>2919</v>
      </c>
    </row>
    <row r="1548" spans="1:24" x14ac:dyDescent="0.15">
      <c r="A1548" s="7" t="str">
        <f t="shared" si="52"/>
        <v>201806</v>
      </c>
      <c r="C1548" s="6" t="str">
        <f>INDEX(工厂基础数据!$A$2:$A$1024,MATCH(X1548,工厂基础数据!$D$2:$D$1024,0))</f>
        <v>02001551</v>
      </c>
      <c r="E1548" s="6" t="str">
        <f>INDEX(工厂基础数据!$B$2:$B$1024,MATCH(X1548,工厂基础数据!$D$2:$D$1024,0))</f>
        <v>山东天士力医药有限公司</v>
      </c>
      <c r="F1548" s="6" t="e">
        <f>INDEX(商业2转码!$B$2:$B$10000,MATCH(E1548,商业2转码!$A$2:$A$10000,0))</f>
        <v>#N/A</v>
      </c>
      <c r="G1548" s="6">
        <f>INDEX(品种2编码!$A$2:$A$1048576,MATCH(W1548,品种2编码!$D$2:$D$1048576,0))</f>
        <v>0</v>
      </c>
      <c r="H1548" s="6" t="s">
        <v>768</v>
      </c>
      <c r="I1548" s="6" t="s">
        <v>1884</v>
      </c>
      <c r="J1548" s="6" t="s">
        <v>3279</v>
      </c>
      <c r="L1548" s="6" t="s">
        <v>3107</v>
      </c>
      <c r="M1548" s="6" t="e">
        <f>INDEX(医院2县区2人!$B$2:$B$1048576,MATCH(L1548,医院2县区2人!$A$2:$A$1048576,0))</f>
        <v>#N/A</v>
      </c>
      <c r="N1548" s="6" t="e">
        <f>INDEX(医院2县区2人!$C$2:$C$1048576,MATCH(L1548,医院2县区2人!$A$2:$A$1048576,0))</f>
        <v>#N/A</v>
      </c>
      <c r="P1548" s="7">
        <v>43273</v>
      </c>
      <c r="R1548" s="6">
        <v>4.5</v>
      </c>
      <c r="T1548" s="6" t="e">
        <f>INDEX(医院2县区2人!$D$2:$D$1048576,MATCH(L1548,医院2县区2人!$A$2:$A$1048576,0))</f>
        <v>#N/A</v>
      </c>
      <c r="W1548" s="6" t="str">
        <f t="shared" si="51"/>
        <v>医用退热贴40mm*110mm*2贴</v>
      </c>
      <c r="X1548" s="6" t="s">
        <v>2919</v>
      </c>
    </row>
    <row r="1549" spans="1:24" x14ac:dyDescent="0.15">
      <c r="A1549" s="7" t="str">
        <f t="shared" si="52"/>
        <v>201806</v>
      </c>
      <c r="C1549" s="6" t="str">
        <f>INDEX(工厂基础数据!$A$2:$A$1024,MATCH(X1549,工厂基础数据!$D$2:$D$1024,0))</f>
        <v>02001551</v>
      </c>
      <c r="E1549" s="6" t="str">
        <f>INDEX(工厂基础数据!$B$2:$B$1024,MATCH(X1549,工厂基础数据!$D$2:$D$1024,0))</f>
        <v>山东天士力医药有限公司</v>
      </c>
      <c r="F1549" s="6" t="e">
        <f>INDEX(商业2转码!$B$2:$B$10000,MATCH(E1549,商业2转码!$A$2:$A$10000,0))</f>
        <v>#N/A</v>
      </c>
      <c r="G1549" s="6" t="str">
        <f>INDEX(品种2编码!$A$2:$A$1048576,MATCH(W1549,品种2编码!$D$2:$D$1048576,0))</f>
        <v>0020050090SJZY0001</v>
      </c>
      <c r="H1549" s="6" t="s">
        <v>630</v>
      </c>
      <c r="I1549" s="6" t="s">
        <v>1850</v>
      </c>
      <c r="J1549" s="6" t="s">
        <v>3285</v>
      </c>
      <c r="L1549" s="6" t="s">
        <v>3107</v>
      </c>
      <c r="M1549" s="6" t="e">
        <f>INDEX(医院2县区2人!$B$2:$B$1048576,MATCH(L1549,医院2县区2人!$A$2:$A$1048576,0))</f>
        <v>#N/A</v>
      </c>
      <c r="N1549" s="6" t="e">
        <f>INDEX(医院2县区2人!$C$2:$C$1048576,MATCH(L1549,医院2县区2人!$A$2:$A$1048576,0))</f>
        <v>#N/A</v>
      </c>
      <c r="P1549" s="7">
        <v>43273</v>
      </c>
      <c r="R1549" s="6">
        <v>6.5</v>
      </c>
      <c r="T1549" s="6" t="e">
        <f>INDEX(医院2县区2人!$D$2:$D$1048576,MATCH(L1549,医院2县区2人!$A$2:$A$1048576,0))</f>
        <v>#N/A</v>
      </c>
      <c r="W1549" s="6" t="str">
        <f t="shared" si="51"/>
        <v>双黄连口服液10ml*10支</v>
      </c>
      <c r="X1549" s="6" t="s">
        <v>2919</v>
      </c>
    </row>
    <row r="1550" spans="1:24" x14ac:dyDescent="0.15">
      <c r="A1550" s="7" t="str">
        <f t="shared" si="52"/>
        <v>201806</v>
      </c>
      <c r="C1550" s="6" t="str">
        <f>INDEX(工厂基础数据!$A$2:$A$1024,MATCH(X1550,工厂基础数据!$D$2:$D$1024,0))</f>
        <v>02001551</v>
      </c>
      <c r="E1550" s="6" t="str">
        <f>INDEX(工厂基础数据!$B$2:$B$1024,MATCH(X1550,工厂基础数据!$D$2:$D$1024,0))</f>
        <v>山东天士力医药有限公司</v>
      </c>
      <c r="F1550" s="6" t="e">
        <f>INDEX(商业2转码!$B$2:$B$10000,MATCH(E1550,商业2转码!$A$2:$A$10000,0))</f>
        <v>#N/A</v>
      </c>
      <c r="G1550" s="6" t="str">
        <f>INDEX(品种2编码!$A$2:$A$1048576,MATCH(W1550,品种2编码!$D$2:$D$1048576,0))</f>
        <v>0020020021ZYLC0004</v>
      </c>
      <c r="H1550" s="6" t="s">
        <v>1950</v>
      </c>
      <c r="I1550" s="6" t="s">
        <v>1869</v>
      </c>
      <c r="J1550" s="6" t="s">
        <v>3337</v>
      </c>
      <c r="L1550" s="6" t="s">
        <v>2960</v>
      </c>
      <c r="M1550" s="6">
        <f>INDEX(医院2县区2人!$B$2:$B$1048576,MATCH(L1550,医院2县区2人!$A$2:$A$1048576,0))</f>
        <v>0</v>
      </c>
      <c r="N1550" s="6">
        <f>INDEX(医院2县区2人!$C$2:$C$1048576,MATCH(L1550,医院2县区2人!$A$2:$A$1048576,0))</f>
        <v>0</v>
      </c>
      <c r="P1550" s="7">
        <v>43273</v>
      </c>
      <c r="R1550" s="6">
        <v>2</v>
      </c>
      <c r="T1550" s="6">
        <f>INDEX(医院2县区2人!$D$2:$D$1048576,MATCH(L1550,医院2县区2人!$A$2:$A$1048576,0))</f>
        <v>0</v>
      </c>
      <c r="W1550" s="6" t="str">
        <f t="shared" si="51"/>
        <v>罗红霉素分散片75mg*12片</v>
      </c>
      <c r="X1550" s="6" t="s">
        <v>2919</v>
      </c>
    </row>
    <row r="1551" spans="1:24" x14ac:dyDescent="0.15">
      <c r="A1551" s="7" t="str">
        <f t="shared" si="52"/>
        <v>201806</v>
      </c>
      <c r="C1551" s="6" t="str">
        <f>INDEX(工厂基础数据!$A$2:$A$1024,MATCH(X1551,工厂基础数据!$D$2:$D$1024,0))</f>
        <v>02001551</v>
      </c>
      <c r="E1551" s="6" t="str">
        <f>INDEX(工厂基础数据!$B$2:$B$1024,MATCH(X1551,工厂基础数据!$D$2:$D$1024,0))</f>
        <v>山东天士力医药有限公司</v>
      </c>
      <c r="F1551" s="6" t="e">
        <f>INDEX(商业2转码!$B$2:$B$10000,MATCH(E1551,商业2转码!$A$2:$A$10000,0))</f>
        <v>#N/A</v>
      </c>
      <c r="G1551" s="6">
        <f>INDEX(品种2编码!$A$2:$A$1048576,MATCH(W1551,品种2编码!$D$2:$D$1048576,0))</f>
        <v>0</v>
      </c>
      <c r="H1551" s="6" t="s">
        <v>768</v>
      </c>
      <c r="I1551" s="6" t="s">
        <v>1884</v>
      </c>
      <c r="J1551" s="6" t="s">
        <v>3279</v>
      </c>
      <c r="L1551" s="6" t="s">
        <v>2960</v>
      </c>
      <c r="M1551" s="6">
        <f>INDEX(医院2县区2人!$B$2:$B$1048576,MATCH(L1551,医院2县区2人!$A$2:$A$1048576,0))</f>
        <v>0</v>
      </c>
      <c r="N1551" s="6">
        <f>INDEX(医院2县区2人!$C$2:$C$1048576,MATCH(L1551,医院2县区2人!$A$2:$A$1048576,0))</f>
        <v>0</v>
      </c>
      <c r="P1551" s="7">
        <v>43273</v>
      </c>
      <c r="R1551" s="6">
        <v>1</v>
      </c>
      <c r="T1551" s="6">
        <f>INDEX(医院2县区2人!$D$2:$D$1048576,MATCH(L1551,医院2县区2人!$A$2:$A$1048576,0))</f>
        <v>0</v>
      </c>
      <c r="W1551" s="6" t="str">
        <f t="shared" si="51"/>
        <v>医用退热贴40mm*110mm*2贴</v>
      </c>
      <c r="X1551" s="6" t="s">
        <v>2919</v>
      </c>
    </row>
    <row r="1552" spans="1:24" x14ac:dyDescent="0.15">
      <c r="A1552" s="7" t="str">
        <f t="shared" si="52"/>
        <v>201806</v>
      </c>
      <c r="C1552" s="6" t="str">
        <f>INDEX(工厂基础数据!$A$2:$A$1024,MATCH(X1552,工厂基础数据!$D$2:$D$1024,0))</f>
        <v>02001551</v>
      </c>
      <c r="E1552" s="6" t="str">
        <f>INDEX(工厂基础数据!$B$2:$B$1024,MATCH(X1552,工厂基础数据!$D$2:$D$1024,0))</f>
        <v>山东天士力医药有限公司</v>
      </c>
      <c r="F1552" s="6" t="e">
        <f>INDEX(商业2转码!$B$2:$B$10000,MATCH(E1552,商业2转码!$A$2:$A$10000,0))</f>
        <v>#N/A</v>
      </c>
      <c r="G1552" s="6">
        <f>INDEX(品种2编码!$A$2:$A$1048576,MATCH(W1552,品种2编码!$D$2:$D$1048576,0))</f>
        <v>0</v>
      </c>
      <c r="H1552" s="6" t="s">
        <v>768</v>
      </c>
      <c r="I1552" s="6" t="s">
        <v>1884</v>
      </c>
      <c r="J1552" s="6" t="s">
        <v>3279</v>
      </c>
      <c r="L1552" s="6" t="s">
        <v>3327</v>
      </c>
      <c r="M1552" s="6" t="e">
        <f>INDEX(医院2县区2人!$B$2:$B$1048576,MATCH(L1552,医院2县区2人!$A$2:$A$1048576,0))</f>
        <v>#N/A</v>
      </c>
      <c r="N1552" s="6" t="e">
        <f>INDEX(医院2县区2人!$C$2:$C$1048576,MATCH(L1552,医院2县区2人!$A$2:$A$1048576,0))</f>
        <v>#N/A</v>
      </c>
      <c r="P1552" s="7">
        <v>43270</v>
      </c>
      <c r="R1552" s="6">
        <v>2.4</v>
      </c>
      <c r="T1552" s="6" t="e">
        <f>INDEX(医院2县区2人!$D$2:$D$1048576,MATCH(L1552,医院2县区2人!$A$2:$A$1048576,0))</f>
        <v>#N/A</v>
      </c>
      <c r="W1552" s="6" t="str">
        <f t="shared" si="51"/>
        <v>医用退热贴40mm*110mm*2贴</v>
      </c>
      <c r="X1552" s="6" t="s">
        <v>2919</v>
      </c>
    </row>
    <row r="1553" spans="1:24" x14ac:dyDescent="0.15">
      <c r="A1553" s="7" t="str">
        <f t="shared" si="52"/>
        <v>201806</v>
      </c>
      <c r="C1553" s="6" t="str">
        <f>INDEX(工厂基础数据!$A$2:$A$1024,MATCH(X1553,工厂基础数据!$D$2:$D$1024,0))</f>
        <v>02001551</v>
      </c>
      <c r="E1553" s="6" t="str">
        <f>INDEX(工厂基础数据!$B$2:$B$1024,MATCH(X1553,工厂基础数据!$D$2:$D$1024,0))</f>
        <v>山东天士力医药有限公司</v>
      </c>
      <c r="F1553" s="6" t="e">
        <f>INDEX(商业2转码!$B$2:$B$10000,MATCH(E1553,商业2转码!$A$2:$A$10000,0))</f>
        <v>#N/A</v>
      </c>
      <c r="G1553" s="6">
        <f>INDEX(品种2编码!$A$2:$A$1048576,MATCH(W1553,品种2编码!$D$2:$D$1048576,0))</f>
        <v>0</v>
      </c>
      <c r="H1553" s="6" t="s">
        <v>1949</v>
      </c>
      <c r="I1553" s="6" t="s">
        <v>2930</v>
      </c>
      <c r="J1553" s="6" t="s">
        <v>3040</v>
      </c>
      <c r="L1553" s="6" t="s">
        <v>3327</v>
      </c>
      <c r="M1553" s="6" t="e">
        <f>INDEX(医院2县区2人!$B$2:$B$1048576,MATCH(L1553,医院2县区2人!$A$2:$A$1048576,0))</f>
        <v>#N/A</v>
      </c>
      <c r="N1553" s="6" t="e">
        <f>INDEX(医院2县区2人!$C$2:$C$1048576,MATCH(L1553,医院2县区2人!$A$2:$A$1048576,0))</f>
        <v>#N/A</v>
      </c>
      <c r="P1553" s="7">
        <v>43270</v>
      </c>
      <c r="R1553" s="6">
        <v>16.55</v>
      </c>
      <c r="T1553" s="6" t="e">
        <f>INDEX(医院2县区2人!$D$2:$D$1048576,MATCH(L1553,医院2县区2人!$A$2:$A$1048576,0))</f>
        <v>#N/A</v>
      </c>
      <c r="W1553" s="6" t="str">
        <f t="shared" si="51"/>
        <v>葡萄糖酸锌口服溶液10ml:35mg*12支</v>
      </c>
      <c r="X1553" s="6" t="s">
        <v>2919</v>
      </c>
    </row>
    <row r="1554" spans="1:24" x14ac:dyDescent="0.15">
      <c r="A1554" s="7" t="str">
        <f t="shared" si="52"/>
        <v>201806</v>
      </c>
      <c r="C1554" s="6" t="str">
        <f>INDEX(工厂基础数据!$A$2:$A$1024,MATCH(X1554,工厂基础数据!$D$2:$D$1024,0))</f>
        <v>02001551</v>
      </c>
      <c r="E1554" s="6" t="str">
        <f>INDEX(工厂基础数据!$B$2:$B$1024,MATCH(X1554,工厂基础数据!$D$2:$D$1024,0))</f>
        <v>山东天士力医药有限公司</v>
      </c>
      <c r="F1554" s="6" t="e">
        <f>INDEX(商业2转码!$B$2:$B$10000,MATCH(E1554,商业2转码!$A$2:$A$10000,0))</f>
        <v>#N/A</v>
      </c>
      <c r="G1554" s="6">
        <f>INDEX(品种2编码!$A$2:$A$1048576,MATCH(W1554,品种2编码!$D$2:$D$1048576,0))</f>
        <v>0</v>
      </c>
      <c r="H1554" s="6" t="s">
        <v>768</v>
      </c>
      <c r="I1554" s="6" t="s">
        <v>1884</v>
      </c>
      <c r="J1554" s="6" t="s">
        <v>3279</v>
      </c>
      <c r="L1554" s="6" t="s">
        <v>3317</v>
      </c>
      <c r="M1554" s="6" t="e">
        <f>INDEX(医院2县区2人!$B$2:$B$1048576,MATCH(L1554,医院2县区2人!$A$2:$A$1048576,0))</f>
        <v>#N/A</v>
      </c>
      <c r="N1554" s="6" t="e">
        <f>INDEX(医院2县区2人!$C$2:$C$1048576,MATCH(L1554,医院2县区2人!$A$2:$A$1048576,0))</f>
        <v>#N/A</v>
      </c>
      <c r="P1554" s="7">
        <v>43270</v>
      </c>
      <c r="R1554" s="6">
        <v>2.4</v>
      </c>
      <c r="T1554" s="6" t="e">
        <f>INDEX(医院2县区2人!$D$2:$D$1048576,MATCH(L1554,医院2县区2人!$A$2:$A$1048576,0))</f>
        <v>#N/A</v>
      </c>
      <c r="W1554" s="6" t="str">
        <f t="shared" si="51"/>
        <v>医用退热贴40mm*110mm*2贴</v>
      </c>
      <c r="X1554" s="6" t="s">
        <v>2919</v>
      </c>
    </row>
    <row r="1555" spans="1:24" x14ac:dyDescent="0.15">
      <c r="A1555" s="7" t="str">
        <f t="shared" si="52"/>
        <v>201806</v>
      </c>
      <c r="C1555" s="6" t="str">
        <f>INDEX(工厂基础数据!$A$2:$A$1024,MATCH(X1555,工厂基础数据!$D$2:$D$1024,0))</f>
        <v>02001551</v>
      </c>
      <c r="E1555" s="6" t="str">
        <f>INDEX(工厂基础数据!$B$2:$B$1024,MATCH(X1555,工厂基础数据!$D$2:$D$1024,0))</f>
        <v>山东天士力医药有限公司</v>
      </c>
      <c r="F1555" s="6" t="e">
        <f>INDEX(商业2转码!$B$2:$B$10000,MATCH(E1555,商业2转码!$A$2:$A$10000,0))</f>
        <v>#N/A</v>
      </c>
      <c r="G1555" s="6" t="str">
        <f>INDEX(品种2编码!$A$2:$A$1048576,MATCH(W1555,品种2编码!$D$2:$D$1048576,0))</f>
        <v>0020020021ZYLC0004</v>
      </c>
      <c r="H1555" s="6" t="s">
        <v>1950</v>
      </c>
      <c r="I1555" s="6" t="s">
        <v>1869</v>
      </c>
      <c r="J1555" s="6" t="s">
        <v>3337</v>
      </c>
      <c r="L1555" s="6" t="s">
        <v>3317</v>
      </c>
      <c r="M1555" s="6" t="e">
        <f>INDEX(医院2县区2人!$B$2:$B$1048576,MATCH(L1555,医院2县区2人!$A$2:$A$1048576,0))</f>
        <v>#N/A</v>
      </c>
      <c r="N1555" s="6" t="e">
        <f>INDEX(医院2县区2人!$C$2:$C$1048576,MATCH(L1555,医院2县区2人!$A$2:$A$1048576,0))</f>
        <v>#N/A</v>
      </c>
      <c r="P1555" s="7">
        <v>43270</v>
      </c>
      <c r="R1555" s="6">
        <v>6.8</v>
      </c>
      <c r="T1555" s="6" t="e">
        <f>INDEX(医院2县区2人!$D$2:$D$1048576,MATCH(L1555,医院2县区2人!$A$2:$A$1048576,0))</f>
        <v>#N/A</v>
      </c>
      <c r="W1555" s="6" t="str">
        <f t="shared" si="51"/>
        <v>罗红霉素分散片75mg*12片</v>
      </c>
      <c r="X1555" s="6" t="s">
        <v>2919</v>
      </c>
    </row>
    <row r="1556" spans="1:24" x14ac:dyDescent="0.15">
      <c r="A1556" s="7" t="str">
        <f t="shared" si="52"/>
        <v>201806</v>
      </c>
      <c r="C1556" s="6" t="str">
        <f>INDEX(工厂基础数据!$A$2:$A$1024,MATCH(X1556,工厂基础数据!$D$2:$D$1024,0))</f>
        <v>02001551</v>
      </c>
      <c r="E1556" s="6" t="str">
        <f>INDEX(工厂基础数据!$B$2:$B$1024,MATCH(X1556,工厂基础数据!$D$2:$D$1024,0))</f>
        <v>山东天士力医药有限公司</v>
      </c>
      <c r="F1556" s="6" t="e">
        <f>INDEX(商业2转码!$B$2:$B$10000,MATCH(E1556,商业2转码!$A$2:$A$10000,0))</f>
        <v>#N/A</v>
      </c>
      <c r="G1556" s="6">
        <f>INDEX(品种2编码!$A$2:$A$1048576,MATCH(W1556,品种2编码!$D$2:$D$1048576,0))</f>
        <v>0</v>
      </c>
      <c r="H1556" s="6" t="s">
        <v>1833</v>
      </c>
      <c r="I1556" s="6" t="s">
        <v>3332</v>
      </c>
      <c r="J1556" s="6" t="s">
        <v>3285</v>
      </c>
      <c r="L1556" s="6" t="s">
        <v>3310</v>
      </c>
      <c r="M1556" s="6" t="e">
        <f>INDEX(医院2县区2人!$B$2:$B$1048576,MATCH(L1556,医院2县区2人!$A$2:$A$1048576,0))</f>
        <v>#N/A</v>
      </c>
      <c r="N1556" s="6" t="e">
        <f>INDEX(医院2县区2人!$C$2:$C$1048576,MATCH(L1556,医院2县区2人!$A$2:$A$1048576,0))</f>
        <v>#N/A</v>
      </c>
      <c r="P1556" s="7">
        <v>43271</v>
      </c>
      <c r="R1556" s="6">
        <v>16</v>
      </c>
      <c r="T1556" s="6" t="e">
        <f>INDEX(医院2县区2人!$D$2:$D$1048576,MATCH(L1556,医院2县区2人!$A$2:$A$1048576,0))</f>
        <v>#N/A</v>
      </c>
      <c r="W1556" s="6" t="str">
        <f t="shared" si="51"/>
        <v>葡萄糖酸钙口服溶液10毫升*12支（含糖型）</v>
      </c>
      <c r="X1556" s="6" t="s">
        <v>2919</v>
      </c>
    </row>
    <row r="1557" spans="1:24" x14ac:dyDescent="0.15">
      <c r="A1557" s="7" t="str">
        <f t="shared" si="52"/>
        <v>201806</v>
      </c>
      <c r="C1557" s="6" t="str">
        <f>INDEX(工厂基础数据!$A$2:$A$1024,MATCH(X1557,工厂基础数据!$D$2:$D$1024,0))</f>
        <v>02001551</v>
      </c>
      <c r="E1557" s="6" t="str">
        <f>INDEX(工厂基础数据!$B$2:$B$1024,MATCH(X1557,工厂基础数据!$D$2:$D$1024,0))</f>
        <v>山东天士力医药有限公司</v>
      </c>
      <c r="F1557" s="6" t="e">
        <f>INDEX(商业2转码!$B$2:$B$10000,MATCH(E1557,商业2转码!$A$2:$A$10000,0))</f>
        <v>#N/A</v>
      </c>
      <c r="G1557" s="6">
        <f>INDEX(品种2编码!$A$2:$A$1048576,MATCH(W1557,品种2编码!$D$2:$D$1048576,0))</f>
        <v>0</v>
      </c>
      <c r="H1557" s="6" t="s">
        <v>768</v>
      </c>
      <c r="I1557" s="6" t="s">
        <v>1884</v>
      </c>
      <c r="J1557" s="6" t="s">
        <v>3279</v>
      </c>
      <c r="L1557" s="6" t="s">
        <v>3310</v>
      </c>
      <c r="M1557" s="6" t="e">
        <f>INDEX(医院2县区2人!$B$2:$B$1048576,MATCH(L1557,医院2县区2人!$A$2:$A$1048576,0))</f>
        <v>#N/A</v>
      </c>
      <c r="N1557" s="6" t="e">
        <f>INDEX(医院2县区2人!$C$2:$C$1048576,MATCH(L1557,医院2县区2人!$A$2:$A$1048576,0))</f>
        <v>#N/A</v>
      </c>
      <c r="P1557" s="7">
        <v>43271</v>
      </c>
      <c r="R1557" s="6">
        <v>2.4</v>
      </c>
      <c r="T1557" s="6" t="e">
        <f>INDEX(医院2县区2人!$D$2:$D$1048576,MATCH(L1557,医院2县区2人!$A$2:$A$1048576,0))</f>
        <v>#N/A</v>
      </c>
      <c r="W1557" s="6" t="str">
        <f t="shared" si="51"/>
        <v>医用退热贴40mm*110mm*2贴</v>
      </c>
      <c r="X1557" s="6" t="s">
        <v>2919</v>
      </c>
    </row>
    <row r="1558" spans="1:24" x14ac:dyDescent="0.15">
      <c r="A1558" s="7" t="str">
        <f t="shared" si="52"/>
        <v>201806</v>
      </c>
      <c r="C1558" s="6" t="str">
        <f>INDEX(工厂基础数据!$A$2:$A$1024,MATCH(X1558,工厂基础数据!$D$2:$D$1024,0))</f>
        <v>02001551</v>
      </c>
      <c r="E1558" s="6" t="str">
        <f>INDEX(工厂基础数据!$B$2:$B$1024,MATCH(X1558,工厂基础数据!$D$2:$D$1024,0))</f>
        <v>山东天士力医药有限公司</v>
      </c>
      <c r="F1558" s="6" t="e">
        <f>INDEX(商业2转码!$B$2:$B$10000,MATCH(E1558,商业2转码!$A$2:$A$10000,0))</f>
        <v>#N/A</v>
      </c>
      <c r="G1558" s="6">
        <f>INDEX(品种2编码!$A$2:$A$1048576,MATCH(W1558,品种2编码!$D$2:$D$1048576,0))</f>
        <v>0</v>
      </c>
      <c r="H1558" s="6" t="s">
        <v>768</v>
      </c>
      <c r="I1558" s="6" t="s">
        <v>1884</v>
      </c>
      <c r="J1558" s="6" t="s">
        <v>3279</v>
      </c>
      <c r="L1558" s="6" t="s">
        <v>3328</v>
      </c>
      <c r="M1558" s="6" t="e">
        <f>INDEX(医院2县区2人!$B$2:$B$1048576,MATCH(L1558,医院2县区2人!$A$2:$A$1048576,0))</f>
        <v>#N/A</v>
      </c>
      <c r="N1558" s="6" t="e">
        <f>INDEX(医院2县区2人!$C$2:$C$1048576,MATCH(L1558,医院2县区2人!$A$2:$A$1048576,0))</f>
        <v>#N/A</v>
      </c>
      <c r="P1558" s="7">
        <v>43270</v>
      </c>
      <c r="R1558" s="6">
        <v>0.1</v>
      </c>
      <c r="T1558" s="6" t="e">
        <f>INDEX(医院2县区2人!$D$2:$D$1048576,MATCH(L1558,医院2县区2人!$A$2:$A$1048576,0))</f>
        <v>#N/A</v>
      </c>
      <c r="W1558" s="6" t="str">
        <f t="shared" si="51"/>
        <v>医用退热贴40mm*110mm*2贴</v>
      </c>
      <c r="X1558" s="6" t="s">
        <v>2919</v>
      </c>
    </row>
    <row r="1559" spans="1:24" x14ac:dyDescent="0.15">
      <c r="A1559" s="7" t="str">
        <f t="shared" si="52"/>
        <v>201806</v>
      </c>
      <c r="C1559" s="6" t="str">
        <f>INDEX(工厂基础数据!$A$2:$A$1024,MATCH(X1559,工厂基础数据!$D$2:$D$1024,0))</f>
        <v>02001551</v>
      </c>
      <c r="E1559" s="6" t="str">
        <f>INDEX(工厂基础数据!$B$2:$B$1024,MATCH(X1559,工厂基础数据!$D$2:$D$1024,0))</f>
        <v>山东天士力医药有限公司</v>
      </c>
      <c r="F1559" s="6" t="e">
        <f>INDEX(商业2转码!$B$2:$B$10000,MATCH(E1559,商业2转码!$A$2:$A$10000,0))</f>
        <v>#N/A</v>
      </c>
      <c r="G1559" s="6">
        <f>INDEX(品种2编码!$A$2:$A$1048576,MATCH(W1559,品种2编码!$D$2:$D$1048576,0))</f>
        <v>0</v>
      </c>
      <c r="H1559" s="6" t="s">
        <v>1833</v>
      </c>
      <c r="I1559" s="6" t="s">
        <v>3332</v>
      </c>
      <c r="J1559" s="6" t="s">
        <v>3285</v>
      </c>
      <c r="L1559" s="6" t="s">
        <v>3329</v>
      </c>
      <c r="M1559" s="6" t="e">
        <f>INDEX(医院2县区2人!$B$2:$B$1048576,MATCH(L1559,医院2县区2人!$A$2:$A$1048576,0))</f>
        <v>#N/A</v>
      </c>
      <c r="N1559" s="6" t="e">
        <f>INDEX(医院2县区2人!$C$2:$C$1048576,MATCH(L1559,医院2县区2人!$A$2:$A$1048576,0))</f>
        <v>#N/A</v>
      </c>
      <c r="P1559" s="7">
        <v>43270</v>
      </c>
      <c r="R1559" s="6">
        <v>15.75</v>
      </c>
      <c r="T1559" s="6" t="e">
        <f>INDEX(医院2县区2人!$D$2:$D$1048576,MATCH(L1559,医院2县区2人!$A$2:$A$1048576,0))</f>
        <v>#N/A</v>
      </c>
      <c r="W1559" s="6" t="str">
        <f t="shared" si="51"/>
        <v>葡萄糖酸钙口服溶液10毫升*12支（含糖型）</v>
      </c>
      <c r="X1559" s="6" t="s">
        <v>2919</v>
      </c>
    </row>
    <row r="1560" spans="1:24" x14ac:dyDescent="0.15">
      <c r="A1560" s="7" t="str">
        <f t="shared" si="52"/>
        <v>201806</v>
      </c>
      <c r="C1560" s="6" t="str">
        <f>INDEX(工厂基础数据!$A$2:$A$1024,MATCH(X1560,工厂基础数据!$D$2:$D$1024,0))</f>
        <v>02001551</v>
      </c>
      <c r="E1560" s="6" t="str">
        <f>INDEX(工厂基础数据!$B$2:$B$1024,MATCH(X1560,工厂基础数据!$D$2:$D$1024,0))</f>
        <v>山东天士力医药有限公司</v>
      </c>
      <c r="F1560" s="6" t="e">
        <f>INDEX(商业2转码!$B$2:$B$10000,MATCH(E1560,商业2转码!$A$2:$A$10000,0))</f>
        <v>#N/A</v>
      </c>
      <c r="G1560" s="6">
        <f>INDEX(品种2编码!$A$2:$A$1048576,MATCH(W1560,品种2编码!$D$2:$D$1048576,0))</f>
        <v>0</v>
      </c>
      <c r="H1560" s="6" t="s">
        <v>768</v>
      </c>
      <c r="I1560" s="6" t="s">
        <v>1884</v>
      </c>
      <c r="J1560" s="6" t="s">
        <v>3279</v>
      </c>
      <c r="L1560" s="6" t="s">
        <v>3329</v>
      </c>
      <c r="M1560" s="6" t="e">
        <f>INDEX(医院2县区2人!$B$2:$B$1048576,MATCH(L1560,医院2县区2人!$A$2:$A$1048576,0))</f>
        <v>#N/A</v>
      </c>
      <c r="N1560" s="6" t="e">
        <f>INDEX(医院2县区2人!$C$2:$C$1048576,MATCH(L1560,医院2县区2人!$A$2:$A$1048576,0))</f>
        <v>#N/A</v>
      </c>
      <c r="P1560" s="7">
        <v>43270</v>
      </c>
      <c r="R1560" s="6">
        <v>2.5</v>
      </c>
      <c r="T1560" s="6" t="e">
        <f>INDEX(医院2县区2人!$D$2:$D$1048576,MATCH(L1560,医院2县区2人!$A$2:$A$1048576,0))</f>
        <v>#N/A</v>
      </c>
      <c r="W1560" s="6" t="str">
        <f t="shared" si="51"/>
        <v>医用退热贴40mm*110mm*2贴</v>
      </c>
      <c r="X1560" s="6" t="s">
        <v>2919</v>
      </c>
    </row>
    <row r="1561" spans="1:24" x14ac:dyDescent="0.15">
      <c r="A1561" s="7" t="str">
        <f t="shared" si="52"/>
        <v>201806</v>
      </c>
      <c r="C1561" s="6" t="str">
        <f>INDEX(工厂基础数据!$A$2:$A$1024,MATCH(X1561,工厂基础数据!$D$2:$D$1024,0))</f>
        <v>02001551</v>
      </c>
      <c r="E1561" s="6" t="str">
        <f>INDEX(工厂基础数据!$B$2:$B$1024,MATCH(X1561,工厂基础数据!$D$2:$D$1024,0))</f>
        <v>山东天士力医药有限公司</v>
      </c>
      <c r="F1561" s="6" t="e">
        <f>INDEX(商业2转码!$B$2:$B$10000,MATCH(E1561,商业2转码!$A$2:$A$10000,0))</f>
        <v>#N/A</v>
      </c>
      <c r="G1561" s="6">
        <f>INDEX(品种2编码!$A$2:$A$1048576,MATCH(W1561,品种2编码!$D$2:$D$1048576,0))</f>
        <v>0</v>
      </c>
      <c r="H1561" s="6" t="s">
        <v>1949</v>
      </c>
      <c r="I1561" s="6" t="s">
        <v>2930</v>
      </c>
      <c r="J1561" s="6" t="s">
        <v>3040</v>
      </c>
      <c r="L1561" s="6" t="s">
        <v>3311</v>
      </c>
      <c r="M1561" s="6" t="e">
        <f>INDEX(医院2县区2人!$B$2:$B$1048576,MATCH(L1561,医院2县区2人!$A$2:$A$1048576,0))</f>
        <v>#N/A</v>
      </c>
      <c r="N1561" s="6" t="e">
        <f>INDEX(医院2县区2人!$C$2:$C$1048576,MATCH(L1561,医院2县区2人!$A$2:$A$1048576,0))</f>
        <v>#N/A</v>
      </c>
      <c r="P1561" s="7">
        <v>43270</v>
      </c>
      <c r="R1561" s="6">
        <v>15.5</v>
      </c>
      <c r="T1561" s="6" t="e">
        <f>INDEX(医院2县区2人!$D$2:$D$1048576,MATCH(L1561,医院2县区2人!$A$2:$A$1048576,0))</f>
        <v>#N/A</v>
      </c>
      <c r="W1561" s="6" t="str">
        <f t="shared" si="51"/>
        <v>葡萄糖酸锌口服溶液10ml:35mg*12支</v>
      </c>
      <c r="X1561" s="6" t="s">
        <v>2919</v>
      </c>
    </row>
    <row r="1562" spans="1:24" x14ac:dyDescent="0.15">
      <c r="A1562" s="7" t="str">
        <f t="shared" si="52"/>
        <v>201806</v>
      </c>
      <c r="C1562" s="6" t="str">
        <f>INDEX(工厂基础数据!$A$2:$A$1024,MATCH(X1562,工厂基础数据!$D$2:$D$1024,0))</f>
        <v>02001551</v>
      </c>
      <c r="E1562" s="6" t="str">
        <f>INDEX(工厂基础数据!$B$2:$B$1024,MATCH(X1562,工厂基础数据!$D$2:$D$1024,0))</f>
        <v>山东天士力医药有限公司</v>
      </c>
      <c r="F1562" s="6" t="e">
        <f>INDEX(商业2转码!$B$2:$B$10000,MATCH(E1562,商业2转码!$A$2:$A$10000,0))</f>
        <v>#N/A</v>
      </c>
      <c r="G1562" s="6">
        <f>INDEX(品种2编码!$A$2:$A$1048576,MATCH(W1562,品种2编码!$D$2:$D$1048576,0))</f>
        <v>0</v>
      </c>
      <c r="H1562" s="6" t="s">
        <v>768</v>
      </c>
      <c r="I1562" s="6" t="s">
        <v>1884</v>
      </c>
      <c r="J1562" s="6" t="s">
        <v>3279</v>
      </c>
      <c r="L1562" s="6" t="s">
        <v>3311</v>
      </c>
      <c r="M1562" s="6" t="e">
        <f>INDEX(医院2县区2人!$B$2:$B$1048576,MATCH(L1562,医院2县区2人!$A$2:$A$1048576,0))</f>
        <v>#N/A</v>
      </c>
      <c r="N1562" s="6" t="e">
        <f>INDEX(医院2县区2人!$C$2:$C$1048576,MATCH(L1562,医院2县区2人!$A$2:$A$1048576,0))</f>
        <v>#N/A</v>
      </c>
      <c r="P1562" s="7">
        <v>43270</v>
      </c>
      <c r="R1562" s="6">
        <v>3</v>
      </c>
      <c r="T1562" s="6" t="e">
        <f>INDEX(医院2县区2人!$D$2:$D$1048576,MATCH(L1562,医院2县区2人!$A$2:$A$1048576,0))</f>
        <v>#N/A</v>
      </c>
      <c r="W1562" s="6" t="str">
        <f t="shared" si="51"/>
        <v>医用退热贴40mm*110mm*2贴</v>
      </c>
      <c r="X1562" s="6" t="s">
        <v>2919</v>
      </c>
    </row>
    <row r="1563" spans="1:24" x14ac:dyDescent="0.15">
      <c r="A1563" s="7" t="str">
        <f t="shared" si="52"/>
        <v>201806</v>
      </c>
      <c r="C1563" s="6" t="str">
        <f>INDEX(工厂基础数据!$A$2:$A$1024,MATCH(X1563,工厂基础数据!$D$2:$D$1024,0))</f>
        <v>02001551</v>
      </c>
      <c r="E1563" s="6" t="str">
        <f>INDEX(工厂基础数据!$B$2:$B$1024,MATCH(X1563,工厂基础数据!$D$2:$D$1024,0))</f>
        <v>山东天士力医药有限公司</v>
      </c>
      <c r="F1563" s="6" t="e">
        <f>INDEX(商业2转码!$B$2:$B$10000,MATCH(E1563,商业2转码!$A$2:$A$10000,0))</f>
        <v>#N/A</v>
      </c>
      <c r="G1563" s="6" t="str">
        <f>INDEX(品种2编码!$A$2:$A$1048576,MATCH(W1563,品种2编码!$D$2:$D$1048576,0))</f>
        <v>0020050090SJZY0001</v>
      </c>
      <c r="H1563" s="6" t="s">
        <v>630</v>
      </c>
      <c r="I1563" s="6" t="s">
        <v>1850</v>
      </c>
      <c r="J1563" s="6" t="s">
        <v>3285</v>
      </c>
      <c r="L1563" s="6" t="s">
        <v>3330</v>
      </c>
      <c r="M1563" s="6" t="e">
        <f>INDEX(医院2县区2人!$B$2:$B$1048576,MATCH(L1563,医院2县区2人!$A$2:$A$1048576,0))</f>
        <v>#N/A</v>
      </c>
      <c r="N1563" s="6" t="e">
        <f>INDEX(医院2县区2人!$C$2:$C$1048576,MATCH(L1563,医院2县区2人!$A$2:$A$1048576,0))</f>
        <v>#N/A</v>
      </c>
      <c r="P1563" s="7">
        <v>43258</v>
      </c>
      <c r="R1563" s="6">
        <v>10.5</v>
      </c>
      <c r="T1563" s="6" t="e">
        <f>INDEX(医院2县区2人!$D$2:$D$1048576,MATCH(L1563,医院2县区2人!$A$2:$A$1048576,0))</f>
        <v>#N/A</v>
      </c>
      <c r="W1563" s="6" t="str">
        <f t="shared" si="51"/>
        <v>双黄连口服液10ml*10支</v>
      </c>
      <c r="X1563" s="6" t="s">
        <v>2919</v>
      </c>
    </row>
    <row r="1564" spans="1:24" x14ac:dyDescent="0.15">
      <c r="A1564" s="7" t="str">
        <f t="shared" si="52"/>
        <v>201806</v>
      </c>
      <c r="C1564" s="6" t="str">
        <f>INDEX(工厂基础数据!$A$2:$A$1024,MATCH(X1564,工厂基础数据!$D$2:$D$1024,0))</f>
        <v>02001551</v>
      </c>
      <c r="E1564" s="6" t="str">
        <f>INDEX(工厂基础数据!$B$2:$B$1024,MATCH(X1564,工厂基础数据!$D$2:$D$1024,0))</f>
        <v>山东天士力医药有限公司</v>
      </c>
      <c r="F1564" s="6" t="e">
        <f>INDEX(商业2转码!$B$2:$B$10000,MATCH(E1564,商业2转码!$A$2:$A$10000,0))</f>
        <v>#N/A</v>
      </c>
      <c r="G1564" s="6">
        <f>INDEX(品种2编码!$A$2:$A$1048576,MATCH(W1564,品种2编码!$D$2:$D$1048576,0))</f>
        <v>0</v>
      </c>
      <c r="H1564" s="6" t="s">
        <v>768</v>
      </c>
      <c r="I1564" s="6" t="s">
        <v>1884</v>
      </c>
      <c r="J1564" s="6" t="s">
        <v>3279</v>
      </c>
      <c r="L1564" s="6" t="s">
        <v>3330</v>
      </c>
      <c r="M1564" s="6" t="e">
        <f>INDEX(医院2县区2人!$B$2:$B$1048576,MATCH(L1564,医院2县区2人!$A$2:$A$1048576,0))</f>
        <v>#N/A</v>
      </c>
      <c r="N1564" s="6" t="e">
        <f>INDEX(医院2县区2人!$C$2:$C$1048576,MATCH(L1564,医院2县区2人!$A$2:$A$1048576,0))</f>
        <v>#N/A</v>
      </c>
      <c r="P1564" s="7">
        <v>43258</v>
      </c>
      <c r="R1564" s="6">
        <v>2.7</v>
      </c>
      <c r="T1564" s="6" t="e">
        <f>INDEX(医院2县区2人!$D$2:$D$1048576,MATCH(L1564,医院2县区2人!$A$2:$A$1048576,0))</f>
        <v>#N/A</v>
      </c>
      <c r="W1564" s="6" t="str">
        <f t="shared" si="51"/>
        <v>医用退热贴40mm*110mm*2贴</v>
      </c>
      <c r="X1564" s="6" t="s">
        <v>2919</v>
      </c>
    </row>
    <row r="1565" spans="1:24" x14ac:dyDescent="0.15">
      <c r="A1565" s="7" t="str">
        <f t="shared" si="52"/>
        <v>201806</v>
      </c>
      <c r="C1565" s="6" t="str">
        <f>INDEX(工厂基础数据!$A$2:$A$1024,MATCH(X1565,工厂基础数据!$D$2:$D$1024,0))</f>
        <v>02001551</v>
      </c>
      <c r="E1565" s="6" t="str">
        <f>INDEX(工厂基础数据!$B$2:$B$1024,MATCH(X1565,工厂基础数据!$D$2:$D$1024,0))</f>
        <v>山东天士力医药有限公司</v>
      </c>
      <c r="F1565" s="6" t="e">
        <f>INDEX(商业2转码!$B$2:$B$10000,MATCH(E1565,商业2转码!$A$2:$A$10000,0))</f>
        <v>#N/A</v>
      </c>
      <c r="G1565" s="6" t="str">
        <f>INDEX(品种2编码!$A$2:$A$1048576,MATCH(W1565,品种2编码!$D$2:$D$1048576,0))</f>
        <v>0020050090SJZY0001</v>
      </c>
      <c r="H1565" s="6" t="s">
        <v>630</v>
      </c>
      <c r="I1565" s="6" t="s">
        <v>1850</v>
      </c>
      <c r="J1565" s="6" t="s">
        <v>3285</v>
      </c>
      <c r="L1565" s="6" t="s">
        <v>3303</v>
      </c>
      <c r="M1565" s="6" t="e">
        <f>INDEX(医院2县区2人!$B$2:$B$1048576,MATCH(L1565,医院2县区2人!$A$2:$A$1048576,0))</f>
        <v>#N/A</v>
      </c>
      <c r="N1565" s="6" t="e">
        <f>INDEX(医院2县区2人!$C$2:$C$1048576,MATCH(L1565,医院2县区2人!$A$2:$A$1048576,0))</f>
        <v>#N/A</v>
      </c>
      <c r="P1565" s="7">
        <v>43279</v>
      </c>
      <c r="R1565" s="6">
        <v>27.300999999999998</v>
      </c>
      <c r="T1565" s="6" t="e">
        <f>INDEX(医院2县区2人!$D$2:$D$1048576,MATCH(L1565,医院2县区2人!$A$2:$A$1048576,0))</f>
        <v>#N/A</v>
      </c>
      <c r="W1565" s="6" t="str">
        <f t="shared" si="51"/>
        <v>双黄连口服液10ml*10支</v>
      </c>
      <c r="X1565" s="6" t="s">
        <v>2919</v>
      </c>
    </row>
    <row r="1566" spans="1:24" x14ac:dyDescent="0.15">
      <c r="A1566" s="7" t="str">
        <f t="shared" si="52"/>
        <v>201806</v>
      </c>
      <c r="C1566" s="6" t="str">
        <f>INDEX(工厂基础数据!$A$2:$A$1024,MATCH(X1566,工厂基础数据!$D$2:$D$1024,0))</f>
        <v>02001551</v>
      </c>
      <c r="E1566" s="6" t="str">
        <f>INDEX(工厂基础数据!$B$2:$B$1024,MATCH(X1566,工厂基础数据!$D$2:$D$1024,0))</f>
        <v>山东天士力医药有限公司</v>
      </c>
      <c r="F1566" s="6" t="e">
        <f>INDEX(商业2转码!$B$2:$B$10000,MATCH(E1566,商业2转码!$A$2:$A$10000,0))</f>
        <v>#N/A</v>
      </c>
      <c r="G1566" s="6" t="str">
        <f>INDEX(品种2编码!$A$2:$A$1048576,MATCH(W1566,品种2编码!$D$2:$D$1048576,0))</f>
        <v>0020050090SJZY0001</v>
      </c>
      <c r="H1566" s="6" t="s">
        <v>630</v>
      </c>
      <c r="I1566" s="6" t="s">
        <v>1850</v>
      </c>
      <c r="J1566" s="6" t="s">
        <v>3285</v>
      </c>
      <c r="L1566" s="6" t="s">
        <v>3303</v>
      </c>
      <c r="M1566" s="6" t="e">
        <f>INDEX(医院2县区2人!$B$2:$B$1048576,MATCH(L1566,医院2县区2人!$A$2:$A$1048576,0))</f>
        <v>#N/A</v>
      </c>
      <c r="N1566" s="6" t="e">
        <f>INDEX(医院2县区2人!$C$2:$C$1048576,MATCH(L1566,医院2县区2人!$A$2:$A$1048576,0))</f>
        <v>#N/A</v>
      </c>
      <c r="P1566" s="7">
        <v>43279</v>
      </c>
      <c r="R1566" s="6">
        <v>5.6989999999999998</v>
      </c>
      <c r="T1566" s="6" t="e">
        <f>INDEX(医院2县区2人!$D$2:$D$1048576,MATCH(L1566,医院2县区2人!$A$2:$A$1048576,0))</f>
        <v>#N/A</v>
      </c>
      <c r="W1566" s="6" t="str">
        <f t="shared" si="51"/>
        <v>双黄连口服液10ml*10支</v>
      </c>
      <c r="X1566" s="6" t="s">
        <v>2919</v>
      </c>
    </row>
    <row r="1567" spans="1:24" x14ac:dyDescent="0.15">
      <c r="A1567" s="7" t="str">
        <f t="shared" si="52"/>
        <v>201806</v>
      </c>
      <c r="C1567" s="6" t="str">
        <f>INDEX(工厂基础数据!$A$2:$A$1024,MATCH(X1567,工厂基础数据!$D$2:$D$1024,0))</f>
        <v>02001551</v>
      </c>
      <c r="E1567" s="6" t="str">
        <f>INDEX(工厂基础数据!$B$2:$B$1024,MATCH(X1567,工厂基础数据!$D$2:$D$1024,0))</f>
        <v>山东天士力医药有限公司</v>
      </c>
      <c r="F1567" s="6" t="e">
        <f>INDEX(商业2转码!$B$2:$B$10000,MATCH(E1567,商业2转码!$A$2:$A$10000,0))</f>
        <v>#N/A</v>
      </c>
      <c r="G1567" s="6">
        <f>INDEX(品种2编码!$A$2:$A$1048576,MATCH(W1567,品种2编码!$D$2:$D$1048576,0))</f>
        <v>0</v>
      </c>
      <c r="H1567" s="6" t="s">
        <v>1833</v>
      </c>
      <c r="I1567" s="6" t="s">
        <v>3332</v>
      </c>
      <c r="J1567" s="6" t="s">
        <v>3285</v>
      </c>
      <c r="L1567" s="6" t="s">
        <v>3326</v>
      </c>
      <c r="M1567" s="6" t="e">
        <f>INDEX(医院2县区2人!$B$2:$B$1048576,MATCH(L1567,医院2县区2人!$A$2:$A$1048576,0))</f>
        <v>#N/A</v>
      </c>
      <c r="N1567" s="6" t="e">
        <f>INDEX(医院2县区2人!$C$2:$C$1048576,MATCH(L1567,医院2县区2人!$A$2:$A$1048576,0))</f>
        <v>#N/A</v>
      </c>
      <c r="P1567" s="7">
        <v>43278</v>
      </c>
      <c r="R1567" s="6">
        <v>33.672499999999999</v>
      </c>
      <c r="T1567" s="6" t="e">
        <f>INDEX(医院2县区2人!$D$2:$D$1048576,MATCH(L1567,医院2县区2人!$A$2:$A$1048576,0))</f>
        <v>#N/A</v>
      </c>
      <c r="W1567" s="6" t="str">
        <f t="shared" si="51"/>
        <v>葡萄糖酸钙口服溶液10毫升*12支（含糖型）</v>
      </c>
      <c r="X1567" s="6" t="s">
        <v>2919</v>
      </c>
    </row>
    <row r="1568" spans="1:24" x14ac:dyDescent="0.15">
      <c r="A1568" s="7" t="str">
        <f t="shared" si="52"/>
        <v>201806</v>
      </c>
      <c r="C1568" s="6">
        <f>INDEX(工厂基础数据!$A$2:$A$1024,MATCH(X1568,工厂基础数据!$D$2:$D$1024,0))</f>
        <v>0</v>
      </c>
      <c r="E1568" s="6" t="str">
        <f>INDEX(工厂基础数据!$B$2:$B$1024,MATCH(X1568,工厂基础数据!$D$2:$D$1024,0))</f>
        <v>枣庄市天源药业有限公司</v>
      </c>
      <c r="F1568" s="6" t="e">
        <f>INDEX(商业2转码!$B$2:$B$10000,MATCH(E1568,商业2转码!$A$2:$A$10000,0))</f>
        <v>#N/A</v>
      </c>
      <c r="G1568" s="6">
        <f>INDEX(品种2编码!$A$2:$A$1048576,MATCH(W1568,品种2编码!$D$2:$D$1048576,0))</f>
        <v>0</v>
      </c>
      <c r="H1568" s="6" t="s">
        <v>3300</v>
      </c>
      <c r="I1568" s="6" t="s">
        <v>3301</v>
      </c>
      <c r="L1568" s="6" t="s">
        <v>3340</v>
      </c>
      <c r="M1568" s="6" t="e">
        <f>INDEX(医院2县区2人!$B$2:$B$1048576,MATCH(L1568,医院2县区2人!$A$2:$A$1048576,0))</f>
        <v>#N/A</v>
      </c>
      <c r="N1568" s="6" t="e">
        <f>INDEX(医院2县区2人!$C$2:$C$1048576,MATCH(L1568,医院2县区2人!$A$2:$A$1048576,0))</f>
        <v>#N/A</v>
      </c>
      <c r="P1568" s="7">
        <v>43253</v>
      </c>
      <c r="Q1568" s="6">
        <v>600</v>
      </c>
      <c r="S1568" s="6">
        <v>1801704</v>
      </c>
      <c r="T1568" s="6" t="e">
        <f>INDEX(医院2县区2人!$D$2:$D$1048576,MATCH(L1568,医院2县区2人!$A$2:$A$1048576,0))</f>
        <v>#N/A</v>
      </c>
      <c r="W1568" s="6" t="str">
        <f t="shared" si="51"/>
        <v>注射用丹参（冻干）400mg</v>
      </c>
      <c r="X1568" s="6" t="s">
        <v>2920</v>
      </c>
    </row>
    <row r="1569" spans="1:24" x14ac:dyDescent="0.15">
      <c r="A1569" s="7" t="str">
        <f t="shared" si="52"/>
        <v>201806</v>
      </c>
      <c r="C1569" s="6">
        <f>INDEX(工厂基础数据!$A$2:$A$1024,MATCH(X1569,工厂基础数据!$D$2:$D$1024,0))</f>
        <v>0</v>
      </c>
      <c r="E1569" s="6" t="str">
        <f>INDEX(工厂基础数据!$B$2:$B$1024,MATCH(X1569,工厂基础数据!$D$2:$D$1024,0))</f>
        <v>枣庄市天源药业有限公司</v>
      </c>
      <c r="F1569" s="6" t="e">
        <f>INDEX(商业2转码!$B$2:$B$10000,MATCH(E1569,商业2转码!$A$2:$A$10000,0))</f>
        <v>#N/A</v>
      </c>
      <c r="G1569" s="6">
        <f>INDEX(品种2编码!$A$2:$A$1048576,MATCH(W1569,品种2编码!$D$2:$D$1048576,0))</f>
        <v>0</v>
      </c>
      <c r="H1569" s="6" t="s">
        <v>3300</v>
      </c>
      <c r="I1569" s="6" t="s">
        <v>3301</v>
      </c>
      <c r="L1569" s="6" t="s">
        <v>3340</v>
      </c>
      <c r="M1569" s="6" t="e">
        <f>INDEX(医院2县区2人!$B$2:$B$1048576,MATCH(L1569,医院2县区2人!$A$2:$A$1048576,0))</f>
        <v>#N/A</v>
      </c>
      <c r="N1569" s="6" t="e">
        <f>INDEX(医院2县区2人!$C$2:$C$1048576,MATCH(L1569,医院2县区2人!$A$2:$A$1048576,0))</f>
        <v>#N/A</v>
      </c>
      <c r="P1569" s="7">
        <v>43253</v>
      </c>
      <c r="Q1569" s="6">
        <v>1200</v>
      </c>
      <c r="S1569" s="6">
        <v>1801715</v>
      </c>
      <c r="T1569" s="6" t="e">
        <f>INDEX(医院2县区2人!$D$2:$D$1048576,MATCH(L1569,医院2县区2人!$A$2:$A$1048576,0))</f>
        <v>#N/A</v>
      </c>
      <c r="W1569" s="6" t="str">
        <f t="shared" si="51"/>
        <v>注射用丹参（冻干）400mg</v>
      </c>
      <c r="X1569" s="6" t="s">
        <v>2920</v>
      </c>
    </row>
    <row r="1570" spans="1:24" x14ac:dyDescent="0.15">
      <c r="A1570" s="7" t="str">
        <f t="shared" si="52"/>
        <v>201806</v>
      </c>
      <c r="C1570" s="6">
        <f>INDEX(工厂基础数据!$A$2:$A$1024,MATCH(X1570,工厂基础数据!$D$2:$D$1024,0))</f>
        <v>0</v>
      </c>
      <c r="E1570" s="6" t="str">
        <f>INDEX(工厂基础数据!$B$2:$B$1024,MATCH(X1570,工厂基础数据!$D$2:$D$1024,0))</f>
        <v>枣庄市天源药业有限公司</v>
      </c>
      <c r="F1570" s="6" t="e">
        <f>INDEX(商业2转码!$B$2:$B$10000,MATCH(E1570,商业2转码!$A$2:$A$10000,0))</f>
        <v>#N/A</v>
      </c>
      <c r="G1570" s="6">
        <f>INDEX(品种2编码!$A$2:$A$1048576,MATCH(W1570,品种2编码!$D$2:$D$1048576,0))</f>
        <v>0</v>
      </c>
      <c r="H1570" s="6" t="s">
        <v>3300</v>
      </c>
      <c r="I1570" s="6" t="s">
        <v>3301</v>
      </c>
      <c r="L1570" s="6" t="s">
        <v>3340</v>
      </c>
      <c r="M1570" s="6" t="e">
        <f>INDEX(医院2县区2人!$B$2:$B$1048576,MATCH(L1570,医院2县区2人!$A$2:$A$1048576,0))</f>
        <v>#N/A</v>
      </c>
      <c r="N1570" s="6" t="e">
        <f>INDEX(医院2县区2人!$C$2:$C$1048576,MATCH(L1570,医院2县区2人!$A$2:$A$1048576,0))</f>
        <v>#N/A</v>
      </c>
      <c r="P1570" s="7">
        <v>43276</v>
      </c>
      <c r="Q1570" s="6">
        <v>1800</v>
      </c>
      <c r="S1570" s="6">
        <v>1801715</v>
      </c>
      <c r="T1570" s="6" t="e">
        <f>INDEX(医院2县区2人!$D$2:$D$1048576,MATCH(L1570,医院2县区2人!$A$2:$A$1048576,0))</f>
        <v>#N/A</v>
      </c>
      <c r="W1570" s="6" t="str">
        <f t="shared" si="51"/>
        <v>注射用丹参（冻干）400mg</v>
      </c>
      <c r="X1570" s="6" t="s">
        <v>2920</v>
      </c>
    </row>
    <row r="1571" spans="1:24" x14ac:dyDescent="0.15">
      <c r="A1571" s="7" t="str">
        <f t="shared" si="52"/>
        <v>201806</v>
      </c>
      <c r="C1571" s="6" t="str">
        <f>INDEX(工厂基础数据!$A$2:$A$1024,MATCH(X1571,工厂基础数据!$D$2:$D$1024,0))</f>
        <v>02029238</v>
      </c>
      <c r="E1571" s="6" t="str">
        <f>INDEX(工厂基础数据!$B$2:$B$1024,MATCH(X1571,工厂基础数据!$D$2:$D$1024,0))</f>
        <v>山东康为医药有限公司</v>
      </c>
      <c r="F1571" s="6" t="e">
        <f>INDEX(商业2转码!$B$2:$B$10000,MATCH(E1571,商业2转码!$A$2:$A$10000,0))</f>
        <v>#N/A</v>
      </c>
      <c r="G1571" s="6" t="str">
        <f>INDEX(品种2编码!$A$2:$A$1048576,MATCH(W1571,品种2编码!$D$2:$D$1048576,0))</f>
        <v>0020020021ZYLC0004</v>
      </c>
      <c r="H1571" s="6" t="s">
        <v>1868</v>
      </c>
      <c r="I1571" s="6" t="s">
        <v>1869</v>
      </c>
      <c r="J1571" s="6" t="s">
        <v>3036</v>
      </c>
      <c r="L1571" s="6" t="s">
        <v>3341</v>
      </c>
      <c r="M1571" s="6" t="e">
        <f>INDEX(医院2县区2人!$B$2:$B$1048576,MATCH(L1571,医院2县区2人!$A$2:$A$1048576,0))</f>
        <v>#N/A</v>
      </c>
      <c r="N1571" s="6" t="e">
        <f>INDEX(医院2县区2人!$C$2:$C$1048576,MATCH(L1571,医院2县区2人!$A$2:$A$1048576,0))</f>
        <v>#N/A</v>
      </c>
      <c r="P1571" s="7">
        <v>43252</v>
      </c>
      <c r="Q1571" s="6">
        <v>2</v>
      </c>
      <c r="S1571" s="6">
        <v>171101</v>
      </c>
      <c r="T1571" s="6" t="e">
        <f>INDEX(医院2县区2人!$D$2:$D$1048576,MATCH(L1571,医院2县区2人!$A$2:$A$1048576,0))</f>
        <v>#N/A</v>
      </c>
      <c r="W1571" s="6" t="str">
        <f t="shared" si="51"/>
        <v>罗红霉素分散片/大严迪75mg*12片</v>
      </c>
      <c r="X1571" s="6" t="s">
        <v>2907</v>
      </c>
    </row>
    <row r="1572" spans="1:24" x14ac:dyDescent="0.15">
      <c r="A1572" s="7" t="str">
        <f t="shared" si="52"/>
        <v>201806</v>
      </c>
      <c r="C1572" s="6" t="str">
        <f>INDEX(工厂基础数据!$A$2:$A$1024,MATCH(X1572,工厂基础数据!$D$2:$D$1024,0))</f>
        <v>02029238</v>
      </c>
      <c r="E1572" s="6" t="str">
        <f>INDEX(工厂基础数据!$B$2:$B$1024,MATCH(X1572,工厂基础数据!$D$2:$D$1024,0))</f>
        <v>山东康为医药有限公司</v>
      </c>
      <c r="F1572" s="6" t="e">
        <f>INDEX(商业2转码!$B$2:$B$10000,MATCH(E1572,商业2转码!$A$2:$A$10000,0))</f>
        <v>#N/A</v>
      </c>
      <c r="G1572" s="6">
        <f>INDEX(品种2编码!$A$2:$A$1048576,MATCH(W1572,品种2编码!$D$2:$D$1048576,0))</f>
        <v>0</v>
      </c>
      <c r="H1572" s="6" t="s">
        <v>3447</v>
      </c>
      <c r="I1572" s="6" t="s">
        <v>1838</v>
      </c>
      <c r="J1572" s="6" t="s">
        <v>3036</v>
      </c>
      <c r="L1572" s="6" t="s">
        <v>3341</v>
      </c>
      <c r="M1572" s="6" t="e">
        <f>INDEX(医院2县区2人!$B$2:$B$1048576,MATCH(L1572,医院2县区2人!$A$2:$A$1048576,0))</f>
        <v>#N/A</v>
      </c>
      <c r="N1572" s="6" t="e">
        <f>INDEX(医院2县区2人!$C$2:$C$1048576,MATCH(L1572,医院2县区2人!$A$2:$A$1048576,0))</f>
        <v>#N/A</v>
      </c>
      <c r="P1572" s="7">
        <v>43252</v>
      </c>
      <c r="Q1572" s="6">
        <v>1</v>
      </c>
      <c r="S1572" s="6">
        <v>171241</v>
      </c>
      <c r="T1572" s="6" t="e">
        <f>INDEX(医院2县区2人!$D$2:$D$1048576,MATCH(L1572,医院2县区2人!$A$2:$A$1048576,0))</f>
        <v>#N/A</v>
      </c>
      <c r="W1572" s="6" t="str">
        <f t="shared" si="51"/>
        <v>新盖中盖高钙片/成人2.5g*36片</v>
      </c>
      <c r="X1572" s="6" t="s">
        <v>2907</v>
      </c>
    </row>
    <row r="1573" spans="1:24" x14ac:dyDescent="0.15">
      <c r="A1573" s="7" t="str">
        <f t="shared" si="52"/>
        <v>201806</v>
      </c>
      <c r="C1573" s="6" t="str">
        <f>INDEX(工厂基础数据!$A$2:$A$1024,MATCH(X1573,工厂基础数据!$D$2:$D$1024,0))</f>
        <v>02029238</v>
      </c>
      <c r="E1573" s="6" t="str">
        <f>INDEX(工厂基础数据!$B$2:$B$1024,MATCH(X1573,工厂基础数据!$D$2:$D$1024,0))</f>
        <v>山东康为医药有限公司</v>
      </c>
      <c r="F1573" s="6" t="e">
        <f>INDEX(商业2转码!$B$2:$B$10000,MATCH(E1573,商业2转码!$A$2:$A$10000,0))</f>
        <v>#N/A</v>
      </c>
      <c r="G1573" s="6" t="str">
        <f>INDEX(品种2编码!$A$2:$A$1048576,MATCH(W1573,品种2编码!$D$2:$D$1048576,0))</f>
        <v>0020020021ZYLC0005</v>
      </c>
      <c r="H1573" s="6" t="s">
        <v>1840</v>
      </c>
      <c r="I1573" s="6" t="s">
        <v>1841</v>
      </c>
      <c r="J1573" s="6" t="s">
        <v>3036</v>
      </c>
      <c r="L1573" s="6" t="s">
        <v>3342</v>
      </c>
      <c r="M1573" s="6" t="e">
        <f>INDEX(医院2县区2人!$B$2:$B$1048576,MATCH(L1573,医院2县区2人!$A$2:$A$1048576,0))</f>
        <v>#N/A</v>
      </c>
      <c r="N1573" s="6" t="e">
        <f>INDEX(医院2县区2人!$C$2:$C$1048576,MATCH(L1573,医院2县区2人!$A$2:$A$1048576,0))</f>
        <v>#N/A</v>
      </c>
      <c r="P1573" s="7">
        <v>43252</v>
      </c>
      <c r="Q1573" s="6">
        <v>1</v>
      </c>
      <c r="S1573" s="6">
        <v>161102</v>
      </c>
      <c r="T1573" s="6" t="e">
        <f>INDEX(医院2县区2人!$D$2:$D$1048576,MATCH(L1573,医院2县区2人!$A$2:$A$1048576,0))</f>
        <v>#N/A</v>
      </c>
      <c r="W1573" s="6" t="str">
        <f t="shared" si="51"/>
        <v>罗红霉素分散片/小严迪50mg*12片</v>
      </c>
      <c r="X1573" s="6" t="s">
        <v>2907</v>
      </c>
    </row>
    <row r="1574" spans="1:24" x14ac:dyDescent="0.15">
      <c r="A1574" s="7" t="str">
        <f t="shared" si="52"/>
        <v>201806</v>
      </c>
      <c r="C1574" s="6" t="str">
        <f>INDEX(工厂基础数据!$A$2:$A$1024,MATCH(X1574,工厂基础数据!$D$2:$D$1024,0))</f>
        <v>02029238</v>
      </c>
      <c r="E1574" s="6" t="str">
        <f>INDEX(工厂基础数据!$B$2:$B$1024,MATCH(X1574,工厂基础数据!$D$2:$D$1024,0))</f>
        <v>山东康为医药有限公司</v>
      </c>
      <c r="F1574" s="6" t="e">
        <f>INDEX(商业2转码!$B$2:$B$10000,MATCH(E1574,商业2转码!$A$2:$A$10000,0))</f>
        <v>#N/A</v>
      </c>
      <c r="G1574" s="6">
        <f>INDEX(品种2编码!$A$2:$A$1048576,MATCH(W1574,品种2编码!$D$2:$D$1048576,0))</f>
        <v>0</v>
      </c>
      <c r="H1574" s="6" t="s">
        <v>3448</v>
      </c>
      <c r="I1574" s="6" t="s">
        <v>411</v>
      </c>
      <c r="J1574" s="6" t="s">
        <v>3040</v>
      </c>
      <c r="L1574" s="6" t="s">
        <v>3342</v>
      </c>
      <c r="M1574" s="6" t="e">
        <f>INDEX(医院2县区2人!$B$2:$B$1048576,MATCH(L1574,医院2县区2人!$A$2:$A$1048576,0))</f>
        <v>#N/A</v>
      </c>
      <c r="N1574" s="6" t="e">
        <f>INDEX(医院2县区2人!$C$2:$C$1048576,MATCH(L1574,医院2县区2人!$A$2:$A$1048576,0))</f>
        <v>#N/A</v>
      </c>
      <c r="P1574" s="7">
        <v>43252</v>
      </c>
      <c r="Q1574" s="6">
        <v>5</v>
      </c>
      <c r="S1574" s="6">
        <v>17122922</v>
      </c>
      <c r="T1574" s="6" t="e">
        <f>INDEX(医院2县区2人!$D$2:$D$1048576,MATCH(L1574,医院2县区2人!$A$2:$A$1048576,0))</f>
        <v>#N/A</v>
      </c>
      <c r="W1574" s="6" t="str">
        <f t="shared" si="51"/>
        <v>葡萄糖酸钙口服溶液（含糖型）10ml*12支</v>
      </c>
      <c r="X1574" s="6" t="s">
        <v>2907</v>
      </c>
    </row>
    <row r="1575" spans="1:24" x14ac:dyDescent="0.15">
      <c r="A1575" s="7" t="str">
        <f t="shared" si="52"/>
        <v>201806</v>
      </c>
      <c r="C1575" s="6" t="str">
        <f>INDEX(工厂基础数据!$A$2:$A$1024,MATCH(X1575,工厂基础数据!$D$2:$D$1024,0))</f>
        <v>02029238</v>
      </c>
      <c r="E1575" s="6" t="str">
        <f>INDEX(工厂基础数据!$B$2:$B$1024,MATCH(X1575,工厂基础数据!$D$2:$D$1024,0))</f>
        <v>山东康为医药有限公司</v>
      </c>
      <c r="F1575" s="6" t="e">
        <f>INDEX(商业2转码!$B$2:$B$10000,MATCH(E1575,商业2转码!$A$2:$A$10000,0))</f>
        <v>#N/A</v>
      </c>
      <c r="G1575" s="6" t="str">
        <f>INDEX(品种2编码!$A$2:$A$1048576,MATCH(W1575,品种2编码!$D$2:$D$1048576,0))</f>
        <v>0020020021ZYLC0005</v>
      </c>
      <c r="H1575" s="6" t="s">
        <v>1840</v>
      </c>
      <c r="I1575" s="6" t="s">
        <v>1841</v>
      </c>
      <c r="J1575" s="6" t="s">
        <v>3036</v>
      </c>
      <c r="L1575" s="6" t="s">
        <v>2692</v>
      </c>
      <c r="M1575" s="6">
        <f>INDEX(医院2县区2人!$B$2:$B$1048576,MATCH(L1575,医院2县区2人!$A$2:$A$1048576,0))</f>
        <v>1</v>
      </c>
      <c r="N1575" s="6" t="str">
        <f>INDEX(医院2县区2人!$C$2:$C$1048576,MATCH(L1575,医院2县区2人!$A$2:$A$1048576,0))</f>
        <v>1755</v>
      </c>
      <c r="P1575" s="7">
        <v>43252</v>
      </c>
      <c r="Q1575" s="6">
        <v>20</v>
      </c>
      <c r="S1575" s="6">
        <v>161102</v>
      </c>
      <c r="T1575" s="6" t="str">
        <f>INDEX(医院2县区2人!$D$2:$D$1048576,MATCH(L1575,医院2县区2人!$A$2:$A$1048576,0))</f>
        <v>201602151421097</v>
      </c>
      <c r="W1575" s="6" t="str">
        <f t="shared" si="51"/>
        <v>罗红霉素分散片/小严迪50mg*12片</v>
      </c>
      <c r="X1575" s="6" t="s">
        <v>2907</v>
      </c>
    </row>
    <row r="1576" spans="1:24" x14ac:dyDescent="0.15">
      <c r="A1576" s="7" t="str">
        <f t="shared" si="52"/>
        <v>201806</v>
      </c>
      <c r="C1576" s="6" t="str">
        <f>INDEX(工厂基础数据!$A$2:$A$1024,MATCH(X1576,工厂基础数据!$D$2:$D$1024,0))</f>
        <v>02029238</v>
      </c>
      <c r="E1576" s="6" t="str">
        <f>INDEX(工厂基础数据!$B$2:$B$1024,MATCH(X1576,工厂基础数据!$D$2:$D$1024,0))</f>
        <v>山东康为医药有限公司</v>
      </c>
      <c r="F1576" s="6" t="e">
        <f>INDEX(商业2转码!$B$2:$B$10000,MATCH(E1576,商业2转码!$A$2:$A$10000,0))</f>
        <v>#N/A</v>
      </c>
      <c r="G1576" s="6" t="str">
        <f>INDEX(品种2编码!$A$2:$A$1048576,MATCH(W1576,品种2编码!$D$2:$D$1048576,0))</f>
        <v>0020020021ZYLC0004</v>
      </c>
      <c r="H1576" s="6" t="s">
        <v>1868</v>
      </c>
      <c r="I1576" s="6" t="s">
        <v>1869</v>
      </c>
      <c r="J1576" s="6" t="s">
        <v>3036</v>
      </c>
      <c r="L1576" s="6" t="s">
        <v>2692</v>
      </c>
      <c r="M1576" s="6">
        <f>INDEX(医院2县区2人!$B$2:$B$1048576,MATCH(L1576,医院2县区2人!$A$2:$A$1048576,0))</f>
        <v>1</v>
      </c>
      <c r="N1576" s="6" t="str">
        <f>INDEX(医院2县区2人!$C$2:$C$1048576,MATCH(L1576,医院2县区2人!$A$2:$A$1048576,0))</f>
        <v>1755</v>
      </c>
      <c r="P1576" s="7">
        <v>43252</v>
      </c>
      <c r="Q1576" s="6">
        <v>30</v>
      </c>
      <c r="S1576" s="6">
        <v>171101</v>
      </c>
      <c r="T1576" s="6" t="str">
        <f>INDEX(医院2县区2人!$D$2:$D$1048576,MATCH(L1576,医院2县区2人!$A$2:$A$1048576,0))</f>
        <v>201602151421097</v>
      </c>
      <c r="W1576" s="6" t="str">
        <f t="shared" si="51"/>
        <v>罗红霉素分散片/大严迪75mg*12片</v>
      </c>
      <c r="X1576" s="6" t="s">
        <v>2907</v>
      </c>
    </row>
    <row r="1577" spans="1:24" x14ac:dyDescent="0.15">
      <c r="A1577" s="7" t="str">
        <f t="shared" si="52"/>
        <v>201806</v>
      </c>
      <c r="C1577" s="6" t="str">
        <f>INDEX(工厂基础数据!$A$2:$A$1024,MATCH(X1577,工厂基础数据!$D$2:$D$1024,0))</f>
        <v>02029238</v>
      </c>
      <c r="E1577" s="6" t="str">
        <f>INDEX(工厂基础数据!$B$2:$B$1024,MATCH(X1577,工厂基础数据!$D$2:$D$1024,0))</f>
        <v>山东康为医药有限公司</v>
      </c>
      <c r="F1577" s="6" t="e">
        <f>INDEX(商业2转码!$B$2:$B$10000,MATCH(E1577,商业2转码!$A$2:$A$10000,0))</f>
        <v>#N/A</v>
      </c>
      <c r="G1577" s="6" t="str">
        <f>INDEX(品种2编码!$A$2:$A$1048576,MATCH(W1577,品种2编码!$D$2:$D$1048576,0))</f>
        <v>0020030020ZYLC0013</v>
      </c>
      <c r="H1577" s="6" t="s">
        <v>591</v>
      </c>
      <c r="I1577" s="6" t="s">
        <v>1839</v>
      </c>
      <c r="J1577" s="6" t="s">
        <v>3036</v>
      </c>
      <c r="L1577" s="6" t="s">
        <v>2692</v>
      </c>
      <c r="M1577" s="6">
        <f>INDEX(医院2县区2人!$B$2:$B$1048576,MATCH(L1577,医院2县区2人!$A$2:$A$1048576,0))</f>
        <v>1</v>
      </c>
      <c r="N1577" s="6" t="str">
        <f>INDEX(医院2县区2人!$C$2:$C$1048576,MATCH(L1577,医院2县区2人!$A$2:$A$1048576,0))</f>
        <v>1755</v>
      </c>
      <c r="P1577" s="7">
        <v>43252</v>
      </c>
      <c r="Q1577" s="6">
        <v>30</v>
      </c>
      <c r="S1577" s="6">
        <v>180105</v>
      </c>
      <c r="T1577" s="6" t="str">
        <f>INDEX(医院2县区2人!$D$2:$D$1048576,MATCH(L1577,医院2县区2人!$A$2:$A$1048576,0))</f>
        <v>201602151421097</v>
      </c>
      <c r="W1577" s="6" t="str">
        <f t="shared" si="51"/>
        <v>乳酸菌素片0.4g*36片</v>
      </c>
      <c r="X1577" s="6" t="s">
        <v>2907</v>
      </c>
    </row>
    <row r="1578" spans="1:24" x14ac:dyDescent="0.15">
      <c r="A1578" s="7" t="str">
        <f t="shared" si="52"/>
        <v>201806</v>
      </c>
      <c r="C1578" s="6" t="str">
        <f>INDEX(工厂基础数据!$A$2:$A$1024,MATCH(X1578,工厂基础数据!$D$2:$D$1024,0))</f>
        <v>02029238</v>
      </c>
      <c r="E1578" s="6" t="str">
        <f>INDEX(工厂基础数据!$B$2:$B$1024,MATCH(X1578,工厂基础数据!$D$2:$D$1024,0))</f>
        <v>山东康为医药有限公司</v>
      </c>
      <c r="F1578" s="6" t="e">
        <f>INDEX(商业2转码!$B$2:$B$10000,MATCH(E1578,商业2转码!$A$2:$A$10000,0))</f>
        <v>#N/A</v>
      </c>
      <c r="G1578" s="6" t="str">
        <f>INDEX(品种2编码!$A$2:$A$1048576,MATCH(W1578,品种2编码!$D$2:$D$1048576,0))</f>
        <v>0020020030ZYZC0264</v>
      </c>
      <c r="H1578" s="6" t="s">
        <v>245</v>
      </c>
      <c r="I1578" s="6" t="s">
        <v>254</v>
      </c>
      <c r="J1578" s="6" t="s">
        <v>3038</v>
      </c>
      <c r="L1578" s="6" t="s">
        <v>3343</v>
      </c>
      <c r="M1578" s="6" t="e">
        <f>INDEX(医院2县区2人!$B$2:$B$1048576,MATCH(L1578,医院2县区2人!$A$2:$A$1048576,0))</f>
        <v>#N/A</v>
      </c>
      <c r="N1578" s="6" t="e">
        <f>INDEX(医院2县区2人!$C$2:$C$1048576,MATCH(L1578,医院2县区2人!$A$2:$A$1048576,0))</f>
        <v>#N/A</v>
      </c>
      <c r="P1578" s="7">
        <v>43252</v>
      </c>
      <c r="Q1578" s="6">
        <v>10</v>
      </c>
      <c r="S1578" s="6" t="s">
        <v>3052</v>
      </c>
      <c r="T1578" s="6" t="e">
        <f>INDEX(医院2县区2人!$D$2:$D$1048576,MATCH(L1578,医院2县区2人!$A$2:$A$1048576,0))</f>
        <v>#N/A</v>
      </c>
      <c r="W1578" s="6" t="str">
        <f t="shared" si="51"/>
        <v>阿莫西林胶囊0.5g*20粒</v>
      </c>
      <c r="X1578" s="6" t="s">
        <v>2907</v>
      </c>
    </row>
    <row r="1579" spans="1:24" x14ac:dyDescent="0.15">
      <c r="A1579" s="7" t="str">
        <f t="shared" si="52"/>
        <v>201806</v>
      </c>
      <c r="C1579" s="6" t="str">
        <f>INDEX(工厂基础数据!$A$2:$A$1024,MATCH(X1579,工厂基础数据!$D$2:$D$1024,0))</f>
        <v>02029238</v>
      </c>
      <c r="E1579" s="6" t="str">
        <f>INDEX(工厂基础数据!$B$2:$B$1024,MATCH(X1579,工厂基础数据!$D$2:$D$1024,0))</f>
        <v>山东康为医药有限公司</v>
      </c>
      <c r="F1579" s="6" t="e">
        <f>INDEX(商业2转码!$B$2:$B$10000,MATCH(E1579,商业2转码!$A$2:$A$10000,0))</f>
        <v>#N/A</v>
      </c>
      <c r="G1579" s="6" t="str">
        <f>INDEX(品种2编码!$A$2:$A$1048576,MATCH(W1579,品种2编码!$D$2:$D$1048576,0))</f>
        <v>0020020021ZYLC0005</v>
      </c>
      <c r="H1579" s="6" t="s">
        <v>1840</v>
      </c>
      <c r="I1579" s="6" t="s">
        <v>1841</v>
      </c>
      <c r="J1579" s="6" t="s">
        <v>3036</v>
      </c>
      <c r="L1579" s="6" t="s">
        <v>3343</v>
      </c>
      <c r="M1579" s="6" t="e">
        <f>INDEX(医院2县区2人!$B$2:$B$1048576,MATCH(L1579,医院2县区2人!$A$2:$A$1048576,0))</f>
        <v>#N/A</v>
      </c>
      <c r="N1579" s="6" t="e">
        <f>INDEX(医院2县区2人!$C$2:$C$1048576,MATCH(L1579,医院2县区2人!$A$2:$A$1048576,0))</f>
        <v>#N/A</v>
      </c>
      <c r="P1579" s="7">
        <v>43252</v>
      </c>
      <c r="Q1579" s="6">
        <v>30</v>
      </c>
      <c r="S1579" s="6">
        <v>161102</v>
      </c>
      <c r="T1579" s="6" t="e">
        <f>INDEX(医院2县区2人!$D$2:$D$1048576,MATCH(L1579,医院2县区2人!$A$2:$A$1048576,0))</f>
        <v>#N/A</v>
      </c>
      <c r="W1579" s="6" t="str">
        <f t="shared" si="51"/>
        <v>罗红霉素分散片/小严迪50mg*12片</v>
      </c>
      <c r="X1579" s="6" t="s">
        <v>2907</v>
      </c>
    </row>
    <row r="1580" spans="1:24" x14ac:dyDescent="0.15">
      <c r="A1580" s="7" t="str">
        <f t="shared" si="52"/>
        <v>201806</v>
      </c>
      <c r="C1580" s="6" t="str">
        <f>INDEX(工厂基础数据!$A$2:$A$1024,MATCH(X1580,工厂基础数据!$D$2:$D$1024,0))</f>
        <v>02029238</v>
      </c>
      <c r="E1580" s="6" t="str">
        <f>INDEX(工厂基础数据!$B$2:$B$1024,MATCH(X1580,工厂基础数据!$D$2:$D$1024,0))</f>
        <v>山东康为医药有限公司</v>
      </c>
      <c r="F1580" s="6" t="e">
        <f>INDEX(商业2转码!$B$2:$B$10000,MATCH(E1580,商业2转码!$A$2:$A$10000,0))</f>
        <v>#N/A</v>
      </c>
      <c r="G1580" s="6" t="str">
        <f>INDEX(品种2编码!$A$2:$A$1048576,MATCH(W1580,品种2编码!$D$2:$D$1048576,0))</f>
        <v>0020020021ZYLC0004</v>
      </c>
      <c r="H1580" s="6" t="s">
        <v>1868</v>
      </c>
      <c r="I1580" s="6" t="s">
        <v>1869</v>
      </c>
      <c r="J1580" s="6" t="s">
        <v>3036</v>
      </c>
      <c r="L1580" s="6" t="s">
        <v>3343</v>
      </c>
      <c r="M1580" s="6" t="e">
        <f>INDEX(医院2县区2人!$B$2:$B$1048576,MATCH(L1580,医院2县区2人!$A$2:$A$1048576,0))</f>
        <v>#N/A</v>
      </c>
      <c r="N1580" s="6" t="e">
        <f>INDEX(医院2县区2人!$C$2:$C$1048576,MATCH(L1580,医院2县区2人!$A$2:$A$1048576,0))</f>
        <v>#N/A</v>
      </c>
      <c r="P1580" s="7">
        <v>43252</v>
      </c>
      <c r="Q1580" s="6">
        <v>30</v>
      </c>
      <c r="S1580" s="6">
        <v>171101</v>
      </c>
      <c r="T1580" s="6" t="e">
        <f>INDEX(医院2县区2人!$D$2:$D$1048576,MATCH(L1580,医院2县区2人!$A$2:$A$1048576,0))</f>
        <v>#N/A</v>
      </c>
      <c r="W1580" s="6" t="str">
        <f t="shared" si="51"/>
        <v>罗红霉素分散片/大严迪75mg*12片</v>
      </c>
      <c r="X1580" s="6" t="s">
        <v>2907</v>
      </c>
    </row>
    <row r="1581" spans="1:24" x14ac:dyDescent="0.15">
      <c r="A1581" s="7" t="str">
        <f t="shared" si="52"/>
        <v>201806</v>
      </c>
      <c r="C1581" s="6" t="str">
        <f>INDEX(工厂基础数据!$A$2:$A$1024,MATCH(X1581,工厂基础数据!$D$2:$D$1024,0))</f>
        <v>02029238</v>
      </c>
      <c r="E1581" s="6" t="str">
        <f>INDEX(工厂基础数据!$B$2:$B$1024,MATCH(X1581,工厂基础数据!$D$2:$D$1024,0))</f>
        <v>山东康为医药有限公司</v>
      </c>
      <c r="F1581" s="6" t="e">
        <f>INDEX(商业2转码!$B$2:$B$10000,MATCH(E1581,商业2转码!$A$2:$A$10000,0))</f>
        <v>#N/A</v>
      </c>
      <c r="G1581" s="6">
        <f>INDEX(品种2编码!$A$2:$A$1048576,MATCH(W1581,品种2编码!$D$2:$D$1048576,0))</f>
        <v>0</v>
      </c>
      <c r="H1581" s="6" t="s">
        <v>3449</v>
      </c>
      <c r="I1581" s="6" t="s">
        <v>3453</v>
      </c>
      <c r="J1581" s="6" t="s">
        <v>3038</v>
      </c>
      <c r="L1581" s="6" t="s">
        <v>3343</v>
      </c>
      <c r="M1581" s="6" t="e">
        <f>INDEX(医院2县区2人!$B$2:$B$1048576,MATCH(L1581,医院2县区2人!$A$2:$A$1048576,0))</f>
        <v>#N/A</v>
      </c>
      <c r="N1581" s="6" t="e">
        <f>INDEX(医院2县区2人!$C$2:$C$1048576,MATCH(L1581,医院2县区2人!$A$2:$A$1048576,0))</f>
        <v>#N/A</v>
      </c>
      <c r="P1581" s="7">
        <v>43252</v>
      </c>
      <c r="Q1581" s="6">
        <v>10</v>
      </c>
      <c r="S1581" s="6" t="s">
        <v>3800</v>
      </c>
      <c r="T1581" s="6" t="e">
        <f>INDEX(医院2县区2人!$D$2:$D$1048576,MATCH(L1581,医院2县区2人!$A$2:$A$1048576,0))</f>
        <v>#N/A</v>
      </c>
      <c r="W1581" s="6" t="str">
        <f t="shared" si="51"/>
        <v>注射用乳糖酸阿奇霉素/齐宏0.25g*10支</v>
      </c>
      <c r="X1581" s="6" t="s">
        <v>2907</v>
      </c>
    </row>
    <row r="1582" spans="1:24" x14ac:dyDescent="0.15">
      <c r="A1582" s="7" t="str">
        <f t="shared" si="52"/>
        <v>201806</v>
      </c>
      <c r="C1582" s="6" t="str">
        <f>INDEX(工厂基础数据!$A$2:$A$1024,MATCH(X1582,工厂基础数据!$D$2:$D$1024,0))</f>
        <v>02029238</v>
      </c>
      <c r="E1582" s="6" t="str">
        <f>INDEX(工厂基础数据!$B$2:$B$1024,MATCH(X1582,工厂基础数据!$D$2:$D$1024,0))</f>
        <v>山东康为医药有限公司</v>
      </c>
      <c r="F1582" s="6" t="e">
        <f>INDEX(商业2转码!$B$2:$B$10000,MATCH(E1582,商业2转码!$A$2:$A$10000,0))</f>
        <v>#N/A</v>
      </c>
      <c r="G1582" s="6" t="str">
        <f>INDEX(品种2编码!$A$2:$A$1048576,MATCH(W1582,品种2编码!$D$2:$D$1048576,0))</f>
        <v>0020020021ZYLC0004</v>
      </c>
      <c r="H1582" s="6" t="s">
        <v>1868</v>
      </c>
      <c r="I1582" s="6" t="s">
        <v>1869</v>
      </c>
      <c r="J1582" s="6" t="s">
        <v>3036</v>
      </c>
      <c r="L1582" s="6" t="s">
        <v>3344</v>
      </c>
      <c r="M1582" s="6" t="e">
        <f>INDEX(医院2县区2人!$B$2:$B$1048576,MATCH(L1582,医院2县区2人!$A$2:$A$1048576,0))</f>
        <v>#N/A</v>
      </c>
      <c r="N1582" s="6" t="e">
        <f>INDEX(医院2县区2人!$C$2:$C$1048576,MATCH(L1582,医院2县区2人!$A$2:$A$1048576,0))</f>
        <v>#N/A</v>
      </c>
      <c r="P1582" s="7">
        <v>43252</v>
      </c>
      <c r="Q1582" s="6">
        <v>20</v>
      </c>
      <c r="S1582" s="6">
        <v>171101</v>
      </c>
      <c r="T1582" s="6" t="e">
        <f>INDEX(医院2县区2人!$D$2:$D$1048576,MATCH(L1582,医院2县区2人!$A$2:$A$1048576,0))</f>
        <v>#N/A</v>
      </c>
      <c r="W1582" s="6" t="str">
        <f t="shared" si="51"/>
        <v>罗红霉素分散片/大严迪75mg*12片</v>
      </c>
      <c r="X1582" s="6" t="s">
        <v>2907</v>
      </c>
    </row>
    <row r="1583" spans="1:24" x14ac:dyDescent="0.15">
      <c r="A1583" s="7" t="str">
        <f t="shared" si="52"/>
        <v>201806</v>
      </c>
      <c r="C1583" s="6" t="str">
        <f>INDEX(工厂基础数据!$A$2:$A$1024,MATCH(X1583,工厂基础数据!$D$2:$D$1024,0))</f>
        <v>02029238</v>
      </c>
      <c r="E1583" s="6" t="str">
        <f>INDEX(工厂基础数据!$B$2:$B$1024,MATCH(X1583,工厂基础数据!$D$2:$D$1024,0))</f>
        <v>山东康为医药有限公司</v>
      </c>
      <c r="F1583" s="6" t="e">
        <f>INDEX(商业2转码!$B$2:$B$10000,MATCH(E1583,商业2转码!$A$2:$A$10000,0))</f>
        <v>#N/A</v>
      </c>
      <c r="G1583" s="6" t="str">
        <f>INDEX(品种2编码!$A$2:$A$1048576,MATCH(W1583,品种2编码!$D$2:$D$1048576,0))</f>
        <v>0020020020SJMS0008</v>
      </c>
      <c r="H1583" s="6" t="s">
        <v>1904</v>
      </c>
      <c r="I1583" s="6" t="s">
        <v>1873</v>
      </c>
      <c r="J1583" s="6" t="s">
        <v>3046</v>
      </c>
      <c r="L1583" s="6" t="s">
        <v>3345</v>
      </c>
      <c r="M1583" s="6" t="e">
        <f>INDEX(医院2县区2人!$B$2:$B$1048576,MATCH(L1583,医院2县区2人!$A$2:$A$1048576,0))</f>
        <v>#N/A</v>
      </c>
      <c r="N1583" s="6" t="e">
        <f>INDEX(医院2县区2人!$C$2:$C$1048576,MATCH(L1583,医院2县区2人!$A$2:$A$1048576,0))</f>
        <v>#N/A</v>
      </c>
      <c r="P1583" s="7">
        <v>43252</v>
      </c>
      <c r="Q1583" s="6">
        <v>480</v>
      </c>
      <c r="S1583" s="6">
        <v>1801004</v>
      </c>
      <c r="T1583" s="6" t="e">
        <f>INDEX(医院2县区2人!$D$2:$D$1048576,MATCH(L1583,医院2县区2人!$A$2:$A$1048576,0))</f>
        <v>#N/A</v>
      </c>
      <c r="W1583" s="6" t="str">
        <f t="shared" si="51"/>
        <v>拉西地平片/三精司乐平片4mg*15片</v>
      </c>
      <c r="X1583" s="6" t="s">
        <v>2907</v>
      </c>
    </row>
    <row r="1584" spans="1:24" x14ac:dyDescent="0.15">
      <c r="A1584" s="7" t="str">
        <f t="shared" si="52"/>
        <v>201806</v>
      </c>
      <c r="C1584" s="6" t="str">
        <f>INDEX(工厂基础数据!$A$2:$A$1024,MATCH(X1584,工厂基础数据!$D$2:$D$1024,0))</f>
        <v>02029238</v>
      </c>
      <c r="E1584" s="6" t="str">
        <f>INDEX(工厂基础数据!$B$2:$B$1024,MATCH(X1584,工厂基础数据!$D$2:$D$1024,0))</f>
        <v>山东康为医药有限公司</v>
      </c>
      <c r="F1584" s="6" t="e">
        <f>INDEX(商业2转码!$B$2:$B$10000,MATCH(E1584,商业2转码!$A$2:$A$10000,0))</f>
        <v>#N/A</v>
      </c>
      <c r="G1584" s="6">
        <f>INDEX(品种2编码!$A$2:$A$1048576,MATCH(W1584,品种2编码!$D$2:$D$1048576,0))</f>
        <v>0</v>
      </c>
      <c r="H1584" s="6" t="s">
        <v>3448</v>
      </c>
      <c r="I1584" s="6" t="s">
        <v>411</v>
      </c>
      <c r="J1584" s="6" t="s">
        <v>3040</v>
      </c>
      <c r="L1584" s="6" t="s">
        <v>3346</v>
      </c>
      <c r="M1584" s="6" t="e">
        <f>INDEX(医院2县区2人!$B$2:$B$1048576,MATCH(L1584,医院2县区2人!$A$2:$A$1048576,0))</f>
        <v>#N/A</v>
      </c>
      <c r="N1584" s="6" t="e">
        <f>INDEX(医院2县区2人!$C$2:$C$1048576,MATCH(L1584,医院2县区2人!$A$2:$A$1048576,0))</f>
        <v>#N/A</v>
      </c>
      <c r="P1584" s="7">
        <v>43252</v>
      </c>
      <c r="Q1584" s="6">
        <v>20</v>
      </c>
      <c r="S1584" s="6">
        <v>17122922</v>
      </c>
      <c r="T1584" s="6" t="e">
        <f>INDEX(医院2县区2人!$D$2:$D$1048576,MATCH(L1584,医院2县区2人!$A$2:$A$1048576,0))</f>
        <v>#N/A</v>
      </c>
      <c r="W1584" s="6" t="str">
        <f t="shared" si="51"/>
        <v>葡萄糖酸钙口服溶液（含糖型）10ml*12支</v>
      </c>
      <c r="X1584" s="6" t="s">
        <v>2907</v>
      </c>
    </row>
    <row r="1585" spans="1:24" x14ac:dyDescent="0.15">
      <c r="A1585" s="7" t="str">
        <f t="shared" si="52"/>
        <v>201806</v>
      </c>
      <c r="C1585" s="6" t="str">
        <f>INDEX(工厂基础数据!$A$2:$A$1024,MATCH(X1585,工厂基础数据!$D$2:$D$1024,0))</f>
        <v>02029238</v>
      </c>
      <c r="E1585" s="6" t="str">
        <f>INDEX(工厂基础数据!$B$2:$B$1024,MATCH(X1585,工厂基础数据!$D$2:$D$1024,0))</f>
        <v>山东康为医药有限公司</v>
      </c>
      <c r="F1585" s="6" t="e">
        <f>INDEX(商业2转码!$B$2:$B$10000,MATCH(E1585,商业2转码!$A$2:$A$10000,0))</f>
        <v>#N/A</v>
      </c>
      <c r="G1585" s="6" t="str">
        <f>INDEX(品种2编码!$A$2:$A$1048576,MATCH(W1585,品种2编码!$D$2:$D$1048576,0))</f>
        <v>0020030001SJZY0009</v>
      </c>
      <c r="H1585" s="6" t="s">
        <v>1949</v>
      </c>
      <c r="I1585" s="6" t="s">
        <v>411</v>
      </c>
      <c r="J1585" s="6" t="s">
        <v>3040</v>
      </c>
      <c r="L1585" s="6" t="s">
        <v>3346</v>
      </c>
      <c r="M1585" s="6" t="e">
        <f>INDEX(医院2县区2人!$B$2:$B$1048576,MATCH(L1585,医院2县区2人!$A$2:$A$1048576,0))</f>
        <v>#N/A</v>
      </c>
      <c r="N1585" s="6" t="e">
        <f>INDEX(医院2县区2人!$C$2:$C$1048576,MATCH(L1585,医院2县区2人!$A$2:$A$1048576,0))</f>
        <v>#N/A</v>
      </c>
      <c r="P1585" s="7">
        <v>43252</v>
      </c>
      <c r="Q1585" s="6">
        <v>30</v>
      </c>
      <c r="S1585" s="6">
        <v>18020527</v>
      </c>
      <c r="T1585" s="6" t="e">
        <f>INDEX(医院2县区2人!$D$2:$D$1048576,MATCH(L1585,医院2县区2人!$A$2:$A$1048576,0))</f>
        <v>#N/A</v>
      </c>
      <c r="W1585" s="6" t="str">
        <f t="shared" si="51"/>
        <v>葡萄糖酸锌口服溶液10ml*12支</v>
      </c>
      <c r="X1585" s="6" t="s">
        <v>2907</v>
      </c>
    </row>
    <row r="1586" spans="1:24" x14ac:dyDescent="0.15">
      <c r="A1586" s="7" t="str">
        <f t="shared" si="52"/>
        <v>201806</v>
      </c>
      <c r="C1586" s="6" t="str">
        <f>INDEX(工厂基础数据!$A$2:$A$1024,MATCH(X1586,工厂基础数据!$D$2:$D$1024,0))</f>
        <v>02029238</v>
      </c>
      <c r="E1586" s="6" t="str">
        <f>INDEX(工厂基础数据!$B$2:$B$1024,MATCH(X1586,工厂基础数据!$D$2:$D$1024,0))</f>
        <v>山东康为医药有限公司</v>
      </c>
      <c r="F1586" s="6" t="e">
        <f>INDEX(商业2转码!$B$2:$B$10000,MATCH(E1586,商业2转码!$A$2:$A$10000,0))</f>
        <v>#N/A</v>
      </c>
      <c r="G1586" s="6">
        <f>INDEX(品种2编码!$A$2:$A$1048576,MATCH(W1586,品种2编码!$D$2:$D$1048576,0))</f>
        <v>0</v>
      </c>
      <c r="H1586" s="6" t="s">
        <v>3448</v>
      </c>
      <c r="I1586" s="6" t="s">
        <v>411</v>
      </c>
      <c r="J1586" s="6" t="s">
        <v>3040</v>
      </c>
      <c r="L1586" s="6" t="s">
        <v>3347</v>
      </c>
      <c r="M1586" s="6" t="e">
        <f>INDEX(医院2县区2人!$B$2:$B$1048576,MATCH(L1586,医院2县区2人!$A$2:$A$1048576,0))</f>
        <v>#N/A</v>
      </c>
      <c r="N1586" s="6" t="e">
        <f>INDEX(医院2县区2人!$C$2:$C$1048576,MATCH(L1586,医院2县区2人!$A$2:$A$1048576,0))</f>
        <v>#N/A</v>
      </c>
      <c r="P1586" s="7">
        <v>43252</v>
      </c>
      <c r="Q1586" s="6">
        <v>10</v>
      </c>
      <c r="S1586" s="6">
        <v>17122922</v>
      </c>
      <c r="T1586" s="6" t="e">
        <f>INDEX(医院2县区2人!$D$2:$D$1048576,MATCH(L1586,医院2县区2人!$A$2:$A$1048576,0))</f>
        <v>#N/A</v>
      </c>
      <c r="W1586" s="6" t="str">
        <f t="shared" si="51"/>
        <v>葡萄糖酸钙口服溶液（含糖型）10ml*12支</v>
      </c>
      <c r="X1586" s="6" t="s">
        <v>2907</v>
      </c>
    </row>
    <row r="1587" spans="1:24" x14ac:dyDescent="0.15">
      <c r="A1587" s="7" t="str">
        <f t="shared" si="52"/>
        <v>201806</v>
      </c>
      <c r="C1587" s="6" t="str">
        <f>INDEX(工厂基础数据!$A$2:$A$1024,MATCH(X1587,工厂基础数据!$D$2:$D$1024,0))</f>
        <v>02029238</v>
      </c>
      <c r="E1587" s="6" t="str">
        <f>INDEX(工厂基础数据!$B$2:$B$1024,MATCH(X1587,工厂基础数据!$D$2:$D$1024,0))</f>
        <v>山东康为医药有限公司</v>
      </c>
      <c r="F1587" s="6" t="e">
        <f>INDEX(商业2转码!$B$2:$B$10000,MATCH(E1587,商业2转码!$A$2:$A$10000,0))</f>
        <v>#N/A</v>
      </c>
      <c r="G1587" s="6">
        <f>INDEX(品种2编码!$A$2:$A$1048576,MATCH(W1587,品种2编码!$D$2:$D$1048576,0))</f>
        <v>0</v>
      </c>
      <c r="H1587" s="6" t="s">
        <v>3447</v>
      </c>
      <c r="I1587" s="6" t="s">
        <v>1838</v>
      </c>
      <c r="J1587" s="6" t="s">
        <v>3036</v>
      </c>
      <c r="L1587" s="6" t="s">
        <v>3348</v>
      </c>
      <c r="M1587" s="6" t="e">
        <f>INDEX(医院2县区2人!$B$2:$B$1048576,MATCH(L1587,医院2县区2人!$A$2:$A$1048576,0))</f>
        <v>#N/A</v>
      </c>
      <c r="N1587" s="6" t="e">
        <f>INDEX(医院2县区2人!$C$2:$C$1048576,MATCH(L1587,医院2县区2人!$A$2:$A$1048576,0))</f>
        <v>#N/A</v>
      </c>
      <c r="P1587" s="7">
        <v>43252</v>
      </c>
      <c r="Q1587" s="6">
        <v>10</v>
      </c>
      <c r="S1587" s="6">
        <v>171243</v>
      </c>
      <c r="T1587" s="6" t="e">
        <f>INDEX(医院2县区2人!$D$2:$D$1048576,MATCH(L1587,医院2县区2人!$A$2:$A$1048576,0))</f>
        <v>#N/A</v>
      </c>
      <c r="W1587" s="6" t="str">
        <f t="shared" si="51"/>
        <v>新盖中盖高钙片/成人2.5g*36片</v>
      </c>
      <c r="X1587" s="6" t="s">
        <v>2907</v>
      </c>
    </row>
    <row r="1588" spans="1:24" x14ac:dyDescent="0.15">
      <c r="A1588" s="7" t="str">
        <f t="shared" si="52"/>
        <v>201806</v>
      </c>
      <c r="C1588" s="6" t="str">
        <f>INDEX(工厂基础数据!$A$2:$A$1024,MATCH(X1588,工厂基础数据!$D$2:$D$1024,0))</f>
        <v>02029238</v>
      </c>
      <c r="E1588" s="6" t="str">
        <f>INDEX(工厂基础数据!$B$2:$B$1024,MATCH(X1588,工厂基础数据!$D$2:$D$1024,0))</f>
        <v>山东康为医药有限公司</v>
      </c>
      <c r="F1588" s="6" t="e">
        <f>INDEX(商业2转码!$B$2:$B$10000,MATCH(E1588,商业2转码!$A$2:$A$10000,0))</f>
        <v>#N/A</v>
      </c>
      <c r="G1588" s="6" t="str">
        <f>INDEX(品种2编码!$A$2:$A$1048576,MATCH(W1588,品种2编码!$D$2:$D$1048576,0))</f>
        <v>0020030001SJZY0009</v>
      </c>
      <c r="H1588" s="6" t="s">
        <v>1949</v>
      </c>
      <c r="I1588" s="6" t="s">
        <v>411</v>
      </c>
      <c r="J1588" s="6" t="s">
        <v>3040</v>
      </c>
      <c r="L1588" s="6" t="s">
        <v>3348</v>
      </c>
      <c r="M1588" s="6" t="e">
        <f>INDEX(医院2县区2人!$B$2:$B$1048576,MATCH(L1588,医院2县区2人!$A$2:$A$1048576,0))</f>
        <v>#N/A</v>
      </c>
      <c r="N1588" s="6" t="e">
        <f>INDEX(医院2县区2人!$C$2:$C$1048576,MATCH(L1588,医院2县区2人!$A$2:$A$1048576,0))</f>
        <v>#N/A</v>
      </c>
      <c r="P1588" s="7">
        <v>43252</v>
      </c>
      <c r="Q1588" s="6">
        <v>10</v>
      </c>
      <c r="S1588" s="6">
        <v>18020527</v>
      </c>
      <c r="T1588" s="6" t="e">
        <f>INDEX(医院2县区2人!$D$2:$D$1048576,MATCH(L1588,医院2县区2人!$A$2:$A$1048576,0))</f>
        <v>#N/A</v>
      </c>
      <c r="W1588" s="6" t="str">
        <f t="shared" si="51"/>
        <v>葡萄糖酸锌口服溶液10ml*12支</v>
      </c>
      <c r="X1588" s="6" t="s">
        <v>2907</v>
      </c>
    </row>
    <row r="1589" spans="1:24" x14ac:dyDescent="0.15">
      <c r="A1589" s="7" t="str">
        <f t="shared" si="52"/>
        <v>201806</v>
      </c>
      <c r="C1589" s="6" t="str">
        <f>INDEX(工厂基础数据!$A$2:$A$1024,MATCH(X1589,工厂基础数据!$D$2:$D$1024,0))</f>
        <v>02029238</v>
      </c>
      <c r="E1589" s="6" t="str">
        <f>INDEX(工厂基础数据!$B$2:$B$1024,MATCH(X1589,工厂基础数据!$D$2:$D$1024,0))</f>
        <v>山东康为医药有限公司</v>
      </c>
      <c r="F1589" s="6" t="e">
        <f>INDEX(商业2转码!$B$2:$B$10000,MATCH(E1589,商业2转码!$A$2:$A$10000,0))</f>
        <v>#N/A</v>
      </c>
      <c r="G1589" s="6">
        <f>INDEX(品种2编码!$A$2:$A$1048576,MATCH(W1589,品种2编码!$D$2:$D$1048576,0))</f>
        <v>0</v>
      </c>
      <c r="H1589" s="6" t="s">
        <v>3450</v>
      </c>
      <c r="I1589" s="6" t="s">
        <v>1871</v>
      </c>
      <c r="J1589" s="6" t="s">
        <v>3045</v>
      </c>
      <c r="L1589" s="6" t="s">
        <v>3349</v>
      </c>
      <c r="M1589" s="6" t="e">
        <f>INDEX(医院2县区2人!$B$2:$B$1048576,MATCH(L1589,医院2县区2人!$A$2:$A$1048576,0))</f>
        <v>#N/A</v>
      </c>
      <c r="N1589" s="6" t="e">
        <f>INDEX(医院2县区2人!$C$2:$C$1048576,MATCH(L1589,医院2县区2人!$A$2:$A$1048576,0))</f>
        <v>#N/A</v>
      </c>
      <c r="P1589" s="7">
        <v>43252</v>
      </c>
      <c r="Q1589" s="6">
        <v>10</v>
      </c>
      <c r="S1589" s="6">
        <v>1709003</v>
      </c>
      <c r="T1589" s="6" t="e">
        <f>INDEX(医院2县区2人!$D$2:$D$1048576,MATCH(L1589,医院2县区2人!$A$2:$A$1048576,0))</f>
        <v>#N/A</v>
      </c>
      <c r="W1589" s="6" t="str">
        <f t="shared" si="51"/>
        <v>复方铝酸铋片/胃必治50片</v>
      </c>
      <c r="X1589" s="6" t="s">
        <v>2907</v>
      </c>
    </row>
    <row r="1590" spans="1:24" x14ac:dyDescent="0.15">
      <c r="A1590" s="7" t="str">
        <f t="shared" si="52"/>
        <v>201806</v>
      </c>
      <c r="C1590" s="6" t="str">
        <f>INDEX(工厂基础数据!$A$2:$A$1024,MATCH(X1590,工厂基础数据!$D$2:$D$1024,0))</f>
        <v>02029238</v>
      </c>
      <c r="E1590" s="6" t="str">
        <f>INDEX(工厂基础数据!$B$2:$B$1024,MATCH(X1590,工厂基础数据!$D$2:$D$1024,0))</f>
        <v>山东康为医药有限公司</v>
      </c>
      <c r="F1590" s="6" t="e">
        <f>INDEX(商业2转码!$B$2:$B$10000,MATCH(E1590,商业2转码!$A$2:$A$10000,0))</f>
        <v>#N/A</v>
      </c>
      <c r="G1590" s="6" t="str">
        <f>INDEX(品种2编码!$A$2:$A$1048576,MATCH(W1590,品种2编码!$D$2:$D$1048576,0))</f>
        <v>0020050090SJZY0001</v>
      </c>
      <c r="H1590" s="6" t="s">
        <v>630</v>
      </c>
      <c r="I1590" s="6" t="s">
        <v>1850</v>
      </c>
      <c r="J1590" s="6" t="s">
        <v>3040</v>
      </c>
      <c r="L1590" s="6" t="s">
        <v>3349</v>
      </c>
      <c r="M1590" s="6" t="e">
        <f>INDEX(医院2县区2人!$B$2:$B$1048576,MATCH(L1590,医院2县区2人!$A$2:$A$1048576,0))</f>
        <v>#N/A</v>
      </c>
      <c r="N1590" s="6" t="e">
        <f>INDEX(医院2县区2人!$C$2:$C$1048576,MATCH(L1590,医院2县区2人!$A$2:$A$1048576,0))</f>
        <v>#N/A</v>
      </c>
      <c r="P1590" s="7">
        <v>43252</v>
      </c>
      <c r="Q1590" s="6">
        <v>20</v>
      </c>
      <c r="S1590" s="6">
        <v>18010723</v>
      </c>
      <c r="T1590" s="6" t="e">
        <f>INDEX(医院2县区2人!$D$2:$D$1048576,MATCH(L1590,医院2县区2人!$A$2:$A$1048576,0))</f>
        <v>#N/A</v>
      </c>
      <c r="W1590" s="6" t="str">
        <f t="shared" si="51"/>
        <v>双黄连口服液10ml*10支</v>
      </c>
      <c r="X1590" s="6" t="s">
        <v>2907</v>
      </c>
    </row>
    <row r="1591" spans="1:24" x14ac:dyDescent="0.15">
      <c r="A1591" s="7" t="str">
        <f t="shared" si="52"/>
        <v>201806</v>
      </c>
      <c r="C1591" s="6" t="str">
        <f>INDEX(工厂基础数据!$A$2:$A$1024,MATCH(X1591,工厂基础数据!$D$2:$D$1024,0))</f>
        <v>02029238</v>
      </c>
      <c r="E1591" s="6" t="str">
        <f>INDEX(工厂基础数据!$B$2:$B$1024,MATCH(X1591,工厂基础数据!$D$2:$D$1024,0))</f>
        <v>山东康为医药有限公司</v>
      </c>
      <c r="F1591" s="6" t="e">
        <f>INDEX(商业2转码!$B$2:$B$10000,MATCH(E1591,商业2转码!$A$2:$A$10000,0))</f>
        <v>#N/A</v>
      </c>
      <c r="G1591" s="6" t="str">
        <f>INDEX(品种2编码!$A$2:$A$1048576,MATCH(W1591,品种2编码!$D$2:$D$1048576,0))</f>
        <v>0020020021ZYLC0005</v>
      </c>
      <c r="H1591" s="6" t="s">
        <v>1840</v>
      </c>
      <c r="I1591" s="6" t="s">
        <v>1841</v>
      </c>
      <c r="J1591" s="6" t="s">
        <v>3036</v>
      </c>
      <c r="L1591" s="6" t="s">
        <v>3350</v>
      </c>
      <c r="M1591" s="6" t="e">
        <f>INDEX(医院2县区2人!$B$2:$B$1048576,MATCH(L1591,医院2县区2人!$A$2:$A$1048576,0))</f>
        <v>#N/A</v>
      </c>
      <c r="N1591" s="6" t="e">
        <f>INDEX(医院2县区2人!$C$2:$C$1048576,MATCH(L1591,医院2县区2人!$A$2:$A$1048576,0))</f>
        <v>#N/A</v>
      </c>
      <c r="P1591" s="7">
        <v>43252</v>
      </c>
      <c r="Q1591" s="6">
        <v>5</v>
      </c>
      <c r="S1591" s="6">
        <v>161102</v>
      </c>
      <c r="T1591" s="6" t="e">
        <f>INDEX(医院2县区2人!$D$2:$D$1048576,MATCH(L1591,医院2县区2人!$A$2:$A$1048576,0))</f>
        <v>#N/A</v>
      </c>
      <c r="W1591" s="6" t="str">
        <f t="shared" si="51"/>
        <v>罗红霉素分散片/小严迪50mg*12片</v>
      </c>
      <c r="X1591" s="6" t="s">
        <v>2907</v>
      </c>
    </row>
    <row r="1592" spans="1:24" x14ac:dyDescent="0.15">
      <c r="A1592" s="7" t="str">
        <f t="shared" si="52"/>
        <v>201806</v>
      </c>
      <c r="C1592" s="6" t="str">
        <f>INDEX(工厂基础数据!$A$2:$A$1024,MATCH(X1592,工厂基础数据!$D$2:$D$1024,0))</f>
        <v>02029238</v>
      </c>
      <c r="E1592" s="6" t="str">
        <f>INDEX(工厂基础数据!$B$2:$B$1024,MATCH(X1592,工厂基础数据!$D$2:$D$1024,0))</f>
        <v>山东康为医药有限公司</v>
      </c>
      <c r="F1592" s="6" t="e">
        <f>INDEX(商业2转码!$B$2:$B$10000,MATCH(E1592,商业2转码!$A$2:$A$10000,0))</f>
        <v>#N/A</v>
      </c>
      <c r="G1592" s="6" t="str">
        <f>INDEX(品种2编码!$A$2:$A$1048576,MATCH(W1592,品种2编码!$D$2:$D$1048576,0))</f>
        <v>0020070000ZYLC0055</v>
      </c>
      <c r="H1592" s="6" t="s">
        <v>557</v>
      </c>
      <c r="I1592" s="6" t="s">
        <v>411</v>
      </c>
      <c r="J1592" s="6" t="s">
        <v>3036</v>
      </c>
      <c r="L1592" s="6" t="s">
        <v>3350</v>
      </c>
      <c r="M1592" s="6" t="e">
        <f>INDEX(医院2县区2人!$B$2:$B$1048576,MATCH(L1592,医院2县区2人!$A$2:$A$1048576,0))</f>
        <v>#N/A</v>
      </c>
      <c r="N1592" s="6" t="e">
        <f>INDEX(医院2县区2人!$C$2:$C$1048576,MATCH(L1592,医院2县区2人!$A$2:$A$1048576,0))</f>
        <v>#N/A</v>
      </c>
      <c r="P1592" s="7">
        <v>43252</v>
      </c>
      <c r="Q1592" s="6">
        <v>5</v>
      </c>
      <c r="S1592" s="6">
        <v>171038</v>
      </c>
      <c r="T1592" s="6" t="e">
        <f>INDEX(医院2县区2人!$D$2:$D$1048576,MATCH(L1592,医院2县区2人!$A$2:$A$1048576,0))</f>
        <v>#N/A</v>
      </c>
      <c r="W1592" s="6" t="str">
        <f t="shared" si="51"/>
        <v>朴雪乳酸亚铁口服液10ml*12支</v>
      </c>
      <c r="X1592" s="6" t="s">
        <v>2907</v>
      </c>
    </row>
    <row r="1593" spans="1:24" x14ac:dyDescent="0.15">
      <c r="A1593" s="7" t="str">
        <f t="shared" si="52"/>
        <v>201806</v>
      </c>
      <c r="C1593" s="6" t="str">
        <f>INDEX(工厂基础数据!$A$2:$A$1024,MATCH(X1593,工厂基础数据!$D$2:$D$1024,0))</f>
        <v>02029238</v>
      </c>
      <c r="E1593" s="6" t="str">
        <f>INDEX(工厂基础数据!$B$2:$B$1024,MATCH(X1593,工厂基础数据!$D$2:$D$1024,0))</f>
        <v>山东康为医药有限公司</v>
      </c>
      <c r="F1593" s="6" t="e">
        <f>INDEX(商业2转码!$B$2:$B$10000,MATCH(E1593,商业2转码!$A$2:$A$10000,0))</f>
        <v>#N/A</v>
      </c>
      <c r="G1593" s="6" t="str">
        <f>INDEX(品种2编码!$A$2:$A$1048576,MATCH(W1593,品种2编码!$D$2:$D$1048576,0))</f>
        <v>0020020020SJMS0008</v>
      </c>
      <c r="H1593" s="6" t="s">
        <v>1904</v>
      </c>
      <c r="I1593" s="6" t="s">
        <v>1873</v>
      </c>
      <c r="J1593" s="6" t="s">
        <v>3046</v>
      </c>
      <c r="L1593" s="6" t="s">
        <v>3351</v>
      </c>
      <c r="M1593" s="6" t="e">
        <f>INDEX(医院2县区2人!$B$2:$B$1048576,MATCH(L1593,医院2县区2人!$A$2:$A$1048576,0))</f>
        <v>#N/A</v>
      </c>
      <c r="N1593" s="6" t="e">
        <f>INDEX(医院2县区2人!$C$2:$C$1048576,MATCH(L1593,医院2县区2人!$A$2:$A$1048576,0))</f>
        <v>#N/A</v>
      </c>
      <c r="P1593" s="7">
        <v>43255</v>
      </c>
      <c r="Q1593" s="6">
        <v>10</v>
      </c>
      <c r="S1593" s="6">
        <v>1801004</v>
      </c>
      <c r="T1593" s="6" t="e">
        <f>INDEX(医院2县区2人!$D$2:$D$1048576,MATCH(L1593,医院2县区2人!$A$2:$A$1048576,0))</f>
        <v>#N/A</v>
      </c>
      <c r="W1593" s="6" t="str">
        <f t="shared" si="51"/>
        <v>拉西地平片/三精司乐平片4mg*15片</v>
      </c>
      <c r="X1593" s="6" t="s">
        <v>2907</v>
      </c>
    </row>
    <row r="1594" spans="1:24" x14ac:dyDescent="0.15">
      <c r="A1594" s="7" t="str">
        <f t="shared" si="52"/>
        <v>201806</v>
      </c>
      <c r="C1594" s="6" t="str">
        <f>INDEX(工厂基础数据!$A$2:$A$1024,MATCH(X1594,工厂基础数据!$D$2:$D$1024,0))</f>
        <v>02029238</v>
      </c>
      <c r="E1594" s="6" t="str">
        <f>INDEX(工厂基础数据!$B$2:$B$1024,MATCH(X1594,工厂基础数据!$D$2:$D$1024,0))</f>
        <v>山东康为医药有限公司</v>
      </c>
      <c r="F1594" s="6" t="e">
        <f>INDEX(商业2转码!$B$2:$B$10000,MATCH(E1594,商业2转码!$A$2:$A$10000,0))</f>
        <v>#N/A</v>
      </c>
      <c r="G1594" s="6" t="str">
        <f>INDEX(品种2编码!$A$2:$A$1048576,MATCH(W1594,品种2编码!$D$2:$D$1048576,0))</f>
        <v>0020020020ZYZC0473</v>
      </c>
      <c r="H1594" s="6" t="s">
        <v>745</v>
      </c>
      <c r="I1594" s="6" t="s">
        <v>290</v>
      </c>
      <c r="J1594" s="6" t="s">
        <v>3038</v>
      </c>
      <c r="L1594" s="6" t="s">
        <v>3352</v>
      </c>
      <c r="M1594" s="6" t="e">
        <f>INDEX(医院2县区2人!$B$2:$B$1048576,MATCH(L1594,医院2县区2人!$A$2:$A$1048576,0))</f>
        <v>#N/A</v>
      </c>
      <c r="N1594" s="6" t="e">
        <f>INDEX(医院2县区2人!$C$2:$C$1048576,MATCH(L1594,医院2县区2人!$A$2:$A$1048576,0))</f>
        <v>#N/A</v>
      </c>
      <c r="P1594" s="7">
        <v>43255</v>
      </c>
      <c r="Q1594" s="6">
        <v>20</v>
      </c>
      <c r="S1594" s="6" t="s">
        <v>3056</v>
      </c>
      <c r="T1594" s="6" t="e">
        <f>INDEX(医院2县区2人!$D$2:$D$1048576,MATCH(L1594,医院2县区2人!$A$2:$A$1048576,0))</f>
        <v>#N/A</v>
      </c>
      <c r="W1594" s="6" t="str">
        <f t="shared" si="51"/>
        <v>盐酸环丙沙星片0.25g*12片</v>
      </c>
      <c r="X1594" s="6" t="s">
        <v>2907</v>
      </c>
    </row>
    <row r="1595" spans="1:24" x14ac:dyDescent="0.15">
      <c r="A1595" s="7" t="str">
        <f t="shared" si="52"/>
        <v>201806</v>
      </c>
      <c r="C1595" s="6" t="str">
        <f>INDEX(工厂基础数据!$A$2:$A$1024,MATCH(X1595,工厂基础数据!$D$2:$D$1024,0))</f>
        <v>02029238</v>
      </c>
      <c r="E1595" s="6" t="str">
        <f>INDEX(工厂基础数据!$B$2:$B$1024,MATCH(X1595,工厂基础数据!$D$2:$D$1024,0))</f>
        <v>山东康为医药有限公司</v>
      </c>
      <c r="F1595" s="6" t="e">
        <f>INDEX(商业2转码!$B$2:$B$10000,MATCH(E1595,商业2转码!$A$2:$A$10000,0))</f>
        <v>#N/A</v>
      </c>
      <c r="G1595" s="6" t="str">
        <f>INDEX(品种2编码!$A$2:$A$1048576,MATCH(W1595,品种2编码!$D$2:$D$1048576,0))</f>
        <v>0020040001SHYT0026</v>
      </c>
      <c r="H1595" s="6" t="s">
        <v>715</v>
      </c>
      <c r="I1595" s="6" t="s">
        <v>1867</v>
      </c>
      <c r="J1595" s="6" t="s">
        <v>3037</v>
      </c>
      <c r="L1595" s="6" t="s">
        <v>3352</v>
      </c>
      <c r="M1595" s="6" t="e">
        <f>INDEX(医院2县区2人!$B$2:$B$1048576,MATCH(L1595,医院2县区2人!$A$2:$A$1048576,0))</f>
        <v>#N/A</v>
      </c>
      <c r="N1595" s="6" t="e">
        <f>INDEX(医院2县区2人!$C$2:$C$1048576,MATCH(L1595,医院2县区2人!$A$2:$A$1048576,0))</f>
        <v>#N/A</v>
      </c>
      <c r="P1595" s="7">
        <v>43255</v>
      </c>
      <c r="Q1595" s="6">
        <v>10</v>
      </c>
      <c r="S1595" s="6">
        <v>1801108</v>
      </c>
      <c r="T1595" s="6" t="e">
        <f>INDEX(医院2县区2人!$D$2:$D$1048576,MATCH(L1595,医院2县区2人!$A$2:$A$1048576,0))</f>
        <v>#N/A</v>
      </c>
      <c r="W1595" s="6" t="str">
        <f t="shared" si="51"/>
        <v>小活络丸3g*10丸</v>
      </c>
      <c r="X1595" s="6" t="s">
        <v>2907</v>
      </c>
    </row>
    <row r="1596" spans="1:24" x14ac:dyDescent="0.15">
      <c r="A1596" s="7" t="str">
        <f t="shared" si="52"/>
        <v>201806</v>
      </c>
      <c r="C1596" s="6" t="str">
        <f>INDEX(工厂基础数据!$A$2:$A$1024,MATCH(X1596,工厂基础数据!$D$2:$D$1024,0))</f>
        <v>02029238</v>
      </c>
      <c r="E1596" s="6" t="str">
        <f>INDEX(工厂基础数据!$B$2:$B$1024,MATCH(X1596,工厂基础数据!$D$2:$D$1024,0))</f>
        <v>山东康为医药有限公司</v>
      </c>
      <c r="F1596" s="6" t="e">
        <f>INDEX(商业2转码!$B$2:$B$10000,MATCH(E1596,商业2转码!$A$2:$A$10000,0))</f>
        <v>#N/A</v>
      </c>
      <c r="G1596" s="6" t="str">
        <f>INDEX(品种2编码!$A$2:$A$1048576,MATCH(W1596,品种2编码!$D$2:$D$1048576,0))</f>
        <v>0020020021ZYLC0004</v>
      </c>
      <c r="H1596" s="6" t="s">
        <v>1868</v>
      </c>
      <c r="I1596" s="6" t="s">
        <v>1869</v>
      </c>
      <c r="J1596" s="6" t="s">
        <v>3036</v>
      </c>
      <c r="L1596" s="6" t="s">
        <v>3353</v>
      </c>
      <c r="M1596" s="6" t="e">
        <f>INDEX(医院2县区2人!$B$2:$B$1048576,MATCH(L1596,医院2县区2人!$A$2:$A$1048576,0))</f>
        <v>#N/A</v>
      </c>
      <c r="N1596" s="6" t="e">
        <f>INDEX(医院2县区2人!$C$2:$C$1048576,MATCH(L1596,医院2县区2人!$A$2:$A$1048576,0))</f>
        <v>#N/A</v>
      </c>
      <c r="P1596" s="7">
        <v>43255</v>
      </c>
      <c r="Q1596" s="6">
        <v>5</v>
      </c>
      <c r="S1596" s="6">
        <v>171101</v>
      </c>
      <c r="T1596" s="6" t="e">
        <f>INDEX(医院2县区2人!$D$2:$D$1048576,MATCH(L1596,医院2县区2人!$A$2:$A$1048576,0))</f>
        <v>#N/A</v>
      </c>
      <c r="W1596" s="6" t="str">
        <f t="shared" si="51"/>
        <v>罗红霉素分散片/大严迪75mg*12片</v>
      </c>
      <c r="X1596" s="6" t="s">
        <v>2907</v>
      </c>
    </row>
    <row r="1597" spans="1:24" x14ac:dyDescent="0.15">
      <c r="A1597" s="7" t="str">
        <f t="shared" si="52"/>
        <v>201806</v>
      </c>
      <c r="C1597" s="6" t="str">
        <f>INDEX(工厂基础数据!$A$2:$A$1024,MATCH(X1597,工厂基础数据!$D$2:$D$1024,0))</f>
        <v>02029238</v>
      </c>
      <c r="E1597" s="6" t="str">
        <f>INDEX(工厂基础数据!$B$2:$B$1024,MATCH(X1597,工厂基础数据!$D$2:$D$1024,0))</f>
        <v>山东康为医药有限公司</v>
      </c>
      <c r="F1597" s="6" t="e">
        <f>INDEX(商业2转码!$B$2:$B$10000,MATCH(E1597,商业2转码!$A$2:$A$10000,0))</f>
        <v>#N/A</v>
      </c>
      <c r="G1597" s="6" t="str">
        <f>INDEX(品种2编码!$A$2:$A$1048576,MATCH(W1597,品种2编码!$D$2:$D$1048576,0))</f>
        <v>0020020020SJMS0008</v>
      </c>
      <c r="H1597" s="6" t="s">
        <v>1904</v>
      </c>
      <c r="I1597" s="6" t="s">
        <v>1873</v>
      </c>
      <c r="J1597" s="6" t="s">
        <v>3046</v>
      </c>
      <c r="L1597" s="6" t="s">
        <v>3354</v>
      </c>
      <c r="M1597" s="6" t="e">
        <f>INDEX(医院2县区2人!$B$2:$B$1048576,MATCH(L1597,医院2县区2人!$A$2:$A$1048576,0))</f>
        <v>#N/A</v>
      </c>
      <c r="N1597" s="6" t="e">
        <f>INDEX(医院2县区2人!$C$2:$C$1048576,MATCH(L1597,医院2县区2人!$A$2:$A$1048576,0))</f>
        <v>#N/A</v>
      </c>
      <c r="P1597" s="7">
        <v>43255</v>
      </c>
      <c r="Q1597" s="6">
        <v>5</v>
      </c>
      <c r="S1597" s="6">
        <v>1801004</v>
      </c>
      <c r="T1597" s="6" t="e">
        <f>INDEX(医院2县区2人!$D$2:$D$1048576,MATCH(L1597,医院2县区2人!$A$2:$A$1048576,0))</f>
        <v>#N/A</v>
      </c>
      <c r="W1597" s="6" t="str">
        <f t="shared" si="51"/>
        <v>拉西地平片/三精司乐平片4mg*15片</v>
      </c>
      <c r="X1597" s="6" t="s">
        <v>2907</v>
      </c>
    </row>
    <row r="1598" spans="1:24" x14ac:dyDescent="0.15">
      <c r="A1598" s="7" t="str">
        <f t="shared" si="52"/>
        <v>201806</v>
      </c>
      <c r="C1598" s="6" t="str">
        <f>INDEX(工厂基础数据!$A$2:$A$1024,MATCH(X1598,工厂基础数据!$D$2:$D$1024,0))</f>
        <v>02029238</v>
      </c>
      <c r="E1598" s="6" t="str">
        <f>INDEX(工厂基础数据!$B$2:$B$1024,MATCH(X1598,工厂基础数据!$D$2:$D$1024,0))</f>
        <v>山东康为医药有限公司</v>
      </c>
      <c r="F1598" s="6" t="e">
        <f>INDEX(商业2转码!$B$2:$B$10000,MATCH(E1598,商业2转码!$A$2:$A$10000,0))</f>
        <v>#N/A</v>
      </c>
      <c r="G1598" s="6" t="str">
        <f>INDEX(品种2编码!$A$2:$A$1048576,MATCH(W1598,品种2编码!$D$2:$D$1048576,0))</f>
        <v>0020020020SJMS0008</v>
      </c>
      <c r="H1598" s="6" t="s">
        <v>1904</v>
      </c>
      <c r="I1598" s="6" t="s">
        <v>1873</v>
      </c>
      <c r="J1598" s="6" t="s">
        <v>3046</v>
      </c>
      <c r="L1598" s="6" t="s">
        <v>3355</v>
      </c>
      <c r="M1598" s="6" t="e">
        <f>INDEX(医院2县区2人!$B$2:$B$1048576,MATCH(L1598,医院2县区2人!$A$2:$A$1048576,0))</f>
        <v>#N/A</v>
      </c>
      <c r="N1598" s="6" t="e">
        <f>INDEX(医院2县区2人!$C$2:$C$1048576,MATCH(L1598,医院2县区2人!$A$2:$A$1048576,0))</f>
        <v>#N/A</v>
      </c>
      <c r="P1598" s="7">
        <v>43255</v>
      </c>
      <c r="Q1598" s="6">
        <v>60</v>
      </c>
      <c r="S1598" s="6">
        <v>1801004</v>
      </c>
      <c r="T1598" s="6" t="e">
        <f>INDEX(医院2县区2人!$D$2:$D$1048576,MATCH(L1598,医院2县区2人!$A$2:$A$1048576,0))</f>
        <v>#N/A</v>
      </c>
      <c r="W1598" s="6" t="str">
        <f t="shared" si="51"/>
        <v>拉西地平片/三精司乐平片4mg*15片</v>
      </c>
      <c r="X1598" s="6" t="s">
        <v>2907</v>
      </c>
    </row>
    <row r="1599" spans="1:24" x14ac:dyDescent="0.15">
      <c r="A1599" s="7" t="str">
        <f t="shared" si="52"/>
        <v>201806</v>
      </c>
      <c r="C1599" s="6" t="str">
        <f>INDEX(工厂基础数据!$A$2:$A$1024,MATCH(X1599,工厂基础数据!$D$2:$D$1024,0))</f>
        <v>02029238</v>
      </c>
      <c r="E1599" s="6" t="str">
        <f>INDEX(工厂基础数据!$B$2:$B$1024,MATCH(X1599,工厂基础数据!$D$2:$D$1024,0))</f>
        <v>山东康为医药有限公司</v>
      </c>
      <c r="F1599" s="6" t="e">
        <f>INDEX(商业2转码!$B$2:$B$10000,MATCH(E1599,商业2转码!$A$2:$A$10000,0))</f>
        <v>#N/A</v>
      </c>
      <c r="G1599" s="6">
        <f>INDEX(品种2编码!$A$2:$A$1048576,MATCH(W1599,品种2编码!$D$2:$D$1048576,0))</f>
        <v>0</v>
      </c>
      <c r="H1599" s="6" t="s">
        <v>3448</v>
      </c>
      <c r="I1599" s="6" t="s">
        <v>411</v>
      </c>
      <c r="J1599" s="6" t="s">
        <v>3040</v>
      </c>
      <c r="L1599" s="6" t="s">
        <v>3355</v>
      </c>
      <c r="M1599" s="6" t="e">
        <f>INDEX(医院2县区2人!$B$2:$B$1048576,MATCH(L1599,医院2县区2人!$A$2:$A$1048576,0))</f>
        <v>#N/A</v>
      </c>
      <c r="N1599" s="6" t="e">
        <f>INDEX(医院2县区2人!$C$2:$C$1048576,MATCH(L1599,医院2县区2人!$A$2:$A$1048576,0))</f>
        <v>#N/A</v>
      </c>
      <c r="P1599" s="7">
        <v>43255</v>
      </c>
      <c r="Q1599" s="6">
        <v>10</v>
      </c>
      <c r="S1599" s="6">
        <v>17122922</v>
      </c>
      <c r="T1599" s="6" t="e">
        <f>INDEX(医院2县区2人!$D$2:$D$1048576,MATCH(L1599,医院2县区2人!$A$2:$A$1048576,0))</f>
        <v>#N/A</v>
      </c>
      <c r="W1599" s="6" t="str">
        <f t="shared" ref="W1599:W1662" si="53">H1599&amp;I1599</f>
        <v>葡萄糖酸钙口服溶液（含糖型）10ml*12支</v>
      </c>
      <c r="X1599" s="6" t="s">
        <v>2907</v>
      </c>
    </row>
    <row r="1600" spans="1:24" x14ac:dyDescent="0.15">
      <c r="A1600" s="7" t="str">
        <f t="shared" ref="A1600:A1663" si="54">IF(MONTH(P1600)&lt;10,YEAR(P1600)&amp;"0"&amp;MONTH(P1600),YEAR(P1600)&amp;MONTH(P1600))</f>
        <v>201806</v>
      </c>
      <c r="C1600" s="6" t="str">
        <f>INDEX(工厂基础数据!$A$2:$A$1024,MATCH(X1600,工厂基础数据!$D$2:$D$1024,0))</f>
        <v>02029238</v>
      </c>
      <c r="E1600" s="6" t="str">
        <f>INDEX(工厂基础数据!$B$2:$B$1024,MATCH(X1600,工厂基础数据!$D$2:$D$1024,0))</f>
        <v>山东康为医药有限公司</v>
      </c>
      <c r="F1600" s="6" t="e">
        <f>INDEX(商业2转码!$B$2:$B$10000,MATCH(E1600,商业2转码!$A$2:$A$10000,0))</f>
        <v>#N/A</v>
      </c>
      <c r="G1600" s="6" t="str">
        <f>INDEX(品种2编码!$A$2:$A$1048576,MATCH(W1600,品种2编码!$D$2:$D$1048576,0))</f>
        <v>0020030001SJZY0009</v>
      </c>
      <c r="H1600" s="6" t="s">
        <v>1949</v>
      </c>
      <c r="I1600" s="6" t="s">
        <v>411</v>
      </c>
      <c r="J1600" s="6" t="s">
        <v>3040</v>
      </c>
      <c r="L1600" s="6" t="s">
        <v>3355</v>
      </c>
      <c r="M1600" s="6" t="e">
        <f>INDEX(医院2县区2人!$B$2:$B$1048576,MATCH(L1600,医院2县区2人!$A$2:$A$1048576,0))</f>
        <v>#N/A</v>
      </c>
      <c r="N1600" s="6" t="e">
        <f>INDEX(医院2县区2人!$C$2:$C$1048576,MATCH(L1600,医院2县区2人!$A$2:$A$1048576,0))</f>
        <v>#N/A</v>
      </c>
      <c r="P1600" s="7">
        <v>43255</v>
      </c>
      <c r="Q1600" s="6">
        <v>10</v>
      </c>
      <c r="S1600" s="6">
        <v>18020527</v>
      </c>
      <c r="T1600" s="6" t="e">
        <f>INDEX(医院2县区2人!$D$2:$D$1048576,MATCH(L1600,医院2县区2人!$A$2:$A$1048576,0))</f>
        <v>#N/A</v>
      </c>
      <c r="W1600" s="6" t="str">
        <f t="shared" si="53"/>
        <v>葡萄糖酸锌口服溶液10ml*12支</v>
      </c>
      <c r="X1600" s="6" t="s">
        <v>2907</v>
      </c>
    </row>
    <row r="1601" spans="1:24" x14ac:dyDescent="0.15">
      <c r="A1601" s="7" t="str">
        <f t="shared" si="54"/>
        <v>201806</v>
      </c>
      <c r="C1601" s="6" t="str">
        <f>INDEX(工厂基础数据!$A$2:$A$1024,MATCH(X1601,工厂基础数据!$D$2:$D$1024,0))</f>
        <v>02029238</v>
      </c>
      <c r="E1601" s="6" t="str">
        <f>INDEX(工厂基础数据!$B$2:$B$1024,MATCH(X1601,工厂基础数据!$D$2:$D$1024,0))</f>
        <v>山东康为医药有限公司</v>
      </c>
      <c r="F1601" s="6" t="e">
        <f>INDEX(商业2转码!$B$2:$B$10000,MATCH(E1601,商业2转码!$A$2:$A$10000,0))</f>
        <v>#N/A</v>
      </c>
      <c r="G1601" s="6">
        <f>INDEX(品种2编码!$A$2:$A$1048576,MATCH(W1601,品种2编码!$D$2:$D$1048576,0))</f>
        <v>0</v>
      </c>
      <c r="H1601" s="6" t="s">
        <v>3448</v>
      </c>
      <c r="I1601" s="6" t="s">
        <v>411</v>
      </c>
      <c r="J1601" s="6" t="s">
        <v>3040</v>
      </c>
      <c r="L1601" s="6" t="s">
        <v>3356</v>
      </c>
      <c r="M1601" s="6" t="e">
        <f>INDEX(医院2县区2人!$B$2:$B$1048576,MATCH(L1601,医院2县区2人!$A$2:$A$1048576,0))</f>
        <v>#N/A</v>
      </c>
      <c r="N1601" s="6" t="e">
        <f>INDEX(医院2县区2人!$C$2:$C$1048576,MATCH(L1601,医院2县区2人!$A$2:$A$1048576,0))</f>
        <v>#N/A</v>
      </c>
      <c r="P1601" s="7">
        <v>43255</v>
      </c>
      <c r="Q1601" s="6">
        <v>10</v>
      </c>
      <c r="S1601" s="6">
        <v>17122922</v>
      </c>
      <c r="T1601" s="6" t="e">
        <f>INDEX(医院2县区2人!$D$2:$D$1048576,MATCH(L1601,医院2县区2人!$A$2:$A$1048576,0))</f>
        <v>#N/A</v>
      </c>
      <c r="W1601" s="6" t="str">
        <f t="shared" si="53"/>
        <v>葡萄糖酸钙口服溶液（含糖型）10ml*12支</v>
      </c>
      <c r="X1601" s="6" t="s">
        <v>2907</v>
      </c>
    </row>
    <row r="1602" spans="1:24" x14ac:dyDescent="0.15">
      <c r="A1602" s="7" t="str">
        <f t="shared" si="54"/>
        <v>201806</v>
      </c>
      <c r="C1602" s="6" t="str">
        <f>INDEX(工厂基础数据!$A$2:$A$1024,MATCH(X1602,工厂基础数据!$D$2:$D$1024,0))</f>
        <v>02029238</v>
      </c>
      <c r="E1602" s="6" t="str">
        <f>INDEX(工厂基础数据!$B$2:$B$1024,MATCH(X1602,工厂基础数据!$D$2:$D$1024,0))</f>
        <v>山东康为医药有限公司</v>
      </c>
      <c r="F1602" s="6" t="e">
        <f>INDEX(商业2转码!$B$2:$B$10000,MATCH(E1602,商业2转码!$A$2:$A$10000,0))</f>
        <v>#N/A</v>
      </c>
      <c r="G1602" s="6" t="str">
        <f>INDEX(品种2编码!$A$2:$A$1048576,MATCH(W1602,品种2编码!$D$2:$D$1048576,0))</f>
        <v>0020030001SJZY0009</v>
      </c>
      <c r="H1602" s="6" t="s">
        <v>1949</v>
      </c>
      <c r="I1602" s="6" t="s">
        <v>411</v>
      </c>
      <c r="J1602" s="6" t="s">
        <v>3040</v>
      </c>
      <c r="L1602" s="6" t="s">
        <v>3356</v>
      </c>
      <c r="M1602" s="6" t="e">
        <f>INDEX(医院2县区2人!$B$2:$B$1048576,MATCH(L1602,医院2县区2人!$A$2:$A$1048576,0))</f>
        <v>#N/A</v>
      </c>
      <c r="N1602" s="6" t="e">
        <f>INDEX(医院2县区2人!$C$2:$C$1048576,MATCH(L1602,医院2县区2人!$A$2:$A$1048576,0))</f>
        <v>#N/A</v>
      </c>
      <c r="P1602" s="7">
        <v>43255</v>
      </c>
      <c r="Q1602" s="6">
        <v>5</v>
      </c>
      <c r="S1602" s="6">
        <v>18020527</v>
      </c>
      <c r="T1602" s="6" t="e">
        <f>INDEX(医院2县区2人!$D$2:$D$1048576,MATCH(L1602,医院2县区2人!$A$2:$A$1048576,0))</f>
        <v>#N/A</v>
      </c>
      <c r="W1602" s="6" t="str">
        <f t="shared" si="53"/>
        <v>葡萄糖酸锌口服溶液10ml*12支</v>
      </c>
      <c r="X1602" s="6" t="s">
        <v>2907</v>
      </c>
    </row>
    <row r="1603" spans="1:24" x14ac:dyDescent="0.15">
      <c r="A1603" s="7" t="str">
        <f t="shared" si="54"/>
        <v>201806</v>
      </c>
      <c r="C1603" s="6" t="str">
        <f>INDEX(工厂基础数据!$A$2:$A$1024,MATCH(X1603,工厂基础数据!$D$2:$D$1024,0))</f>
        <v>02029238</v>
      </c>
      <c r="E1603" s="6" t="str">
        <f>INDEX(工厂基础数据!$B$2:$B$1024,MATCH(X1603,工厂基础数据!$D$2:$D$1024,0))</f>
        <v>山东康为医药有限公司</v>
      </c>
      <c r="F1603" s="6" t="e">
        <f>INDEX(商业2转码!$B$2:$B$10000,MATCH(E1603,商业2转码!$A$2:$A$10000,0))</f>
        <v>#N/A</v>
      </c>
      <c r="G1603" s="6">
        <f>INDEX(品种2编码!$A$2:$A$1048576,MATCH(W1603,品种2编码!$D$2:$D$1048576,0))</f>
        <v>0</v>
      </c>
      <c r="H1603" s="6" t="s">
        <v>3448</v>
      </c>
      <c r="I1603" s="6" t="s">
        <v>411</v>
      </c>
      <c r="J1603" s="6" t="s">
        <v>3040</v>
      </c>
      <c r="L1603" s="6" t="s">
        <v>3357</v>
      </c>
      <c r="M1603" s="6" t="e">
        <f>INDEX(医院2县区2人!$B$2:$B$1048576,MATCH(L1603,医院2县区2人!$A$2:$A$1048576,0))</f>
        <v>#N/A</v>
      </c>
      <c r="N1603" s="6" t="e">
        <f>INDEX(医院2县区2人!$C$2:$C$1048576,MATCH(L1603,医院2县区2人!$A$2:$A$1048576,0))</f>
        <v>#N/A</v>
      </c>
      <c r="P1603" s="7">
        <v>43256</v>
      </c>
      <c r="Q1603" s="6">
        <v>80</v>
      </c>
      <c r="S1603" s="6">
        <v>17122922</v>
      </c>
      <c r="T1603" s="6" t="e">
        <f>INDEX(医院2县区2人!$D$2:$D$1048576,MATCH(L1603,医院2县区2人!$A$2:$A$1048576,0))</f>
        <v>#N/A</v>
      </c>
      <c r="W1603" s="6" t="str">
        <f t="shared" si="53"/>
        <v>葡萄糖酸钙口服溶液（含糖型）10ml*12支</v>
      </c>
      <c r="X1603" s="6" t="s">
        <v>2907</v>
      </c>
    </row>
    <row r="1604" spans="1:24" x14ac:dyDescent="0.15">
      <c r="A1604" s="7" t="str">
        <f t="shared" si="54"/>
        <v>201806</v>
      </c>
      <c r="C1604" s="6" t="str">
        <f>INDEX(工厂基础数据!$A$2:$A$1024,MATCH(X1604,工厂基础数据!$D$2:$D$1024,0))</f>
        <v>02029238</v>
      </c>
      <c r="E1604" s="6" t="str">
        <f>INDEX(工厂基础数据!$B$2:$B$1024,MATCH(X1604,工厂基础数据!$D$2:$D$1024,0))</f>
        <v>山东康为医药有限公司</v>
      </c>
      <c r="F1604" s="6" t="e">
        <f>INDEX(商业2转码!$B$2:$B$10000,MATCH(E1604,商业2转码!$A$2:$A$10000,0))</f>
        <v>#N/A</v>
      </c>
      <c r="G1604" s="6" t="str">
        <f>INDEX(品种2编码!$A$2:$A$1048576,MATCH(W1604,品种2编码!$D$2:$D$1048576,0))</f>
        <v>0020030001SJZY0009</v>
      </c>
      <c r="H1604" s="6" t="s">
        <v>1949</v>
      </c>
      <c r="I1604" s="6" t="s">
        <v>411</v>
      </c>
      <c r="J1604" s="6" t="s">
        <v>3040</v>
      </c>
      <c r="L1604" s="6" t="s">
        <v>3357</v>
      </c>
      <c r="M1604" s="6" t="e">
        <f>INDEX(医院2县区2人!$B$2:$B$1048576,MATCH(L1604,医院2县区2人!$A$2:$A$1048576,0))</f>
        <v>#N/A</v>
      </c>
      <c r="N1604" s="6" t="e">
        <f>INDEX(医院2县区2人!$C$2:$C$1048576,MATCH(L1604,医院2县区2人!$A$2:$A$1048576,0))</f>
        <v>#N/A</v>
      </c>
      <c r="P1604" s="7">
        <v>43256</v>
      </c>
      <c r="Q1604" s="6">
        <v>80</v>
      </c>
      <c r="S1604" s="6">
        <v>18020527</v>
      </c>
      <c r="T1604" s="6" t="e">
        <f>INDEX(医院2县区2人!$D$2:$D$1048576,MATCH(L1604,医院2县区2人!$A$2:$A$1048576,0))</f>
        <v>#N/A</v>
      </c>
      <c r="W1604" s="6" t="str">
        <f t="shared" si="53"/>
        <v>葡萄糖酸锌口服溶液10ml*12支</v>
      </c>
      <c r="X1604" s="6" t="s">
        <v>2907</v>
      </c>
    </row>
    <row r="1605" spans="1:24" x14ac:dyDescent="0.15">
      <c r="A1605" s="7" t="str">
        <f t="shared" si="54"/>
        <v>201806</v>
      </c>
      <c r="C1605" s="6" t="str">
        <f>INDEX(工厂基础数据!$A$2:$A$1024,MATCH(X1605,工厂基础数据!$D$2:$D$1024,0))</f>
        <v>02029238</v>
      </c>
      <c r="E1605" s="6" t="str">
        <f>INDEX(工厂基础数据!$B$2:$B$1024,MATCH(X1605,工厂基础数据!$D$2:$D$1024,0))</f>
        <v>山东康为医药有限公司</v>
      </c>
      <c r="F1605" s="6" t="e">
        <f>INDEX(商业2转码!$B$2:$B$10000,MATCH(E1605,商业2转码!$A$2:$A$10000,0))</f>
        <v>#N/A</v>
      </c>
      <c r="G1605" s="6">
        <f>INDEX(品种2编码!$A$2:$A$1048576,MATCH(W1605,品种2编码!$D$2:$D$1048576,0))</f>
        <v>0</v>
      </c>
      <c r="H1605" s="6" t="s">
        <v>3448</v>
      </c>
      <c r="I1605" s="6" t="s">
        <v>411</v>
      </c>
      <c r="J1605" s="6" t="s">
        <v>3040</v>
      </c>
      <c r="L1605" s="6" t="s">
        <v>3358</v>
      </c>
      <c r="M1605" s="6" t="e">
        <f>INDEX(医院2县区2人!$B$2:$B$1048576,MATCH(L1605,医院2县区2人!$A$2:$A$1048576,0))</f>
        <v>#N/A</v>
      </c>
      <c r="N1605" s="6" t="e">
        <f>INDEX(医院2县区2人!$C$2:$C$1048576,MATCH(L1605,医院2县区2人!$A$2:$A$1048576,0))</f>
        <v>#N/A</v>
      </c>
      <c r="P1605" s="7">
        <v>43256</v>
      </c>
      <c r="Q1605" s="6">
        <v>30</v>
      </c>
      <c r="S1605" s="6">
        <v>17122922</v>
      </c>
      <c r="T1605" s="6" t="e">
        <f>INDEX(医院2县区2人!$D$2:$D$1048576,MATCH(L1605,医院2县区2人!$A$2:$A$1048576,0))</f>
        <v>#N/A</v>
      </c>
      <c r="W1605" s="6" t="str">
        <f t="shared" si="53"/>
        <v>葡萄糖酸钙口服溶液（含糖型）10ml*12支</v>
      </c>
      <c r="X1605" s="6" t="s">
        <v>2907</v>
      </c>
    </row>
    <row r="1606" spans="1:24" x14ac:dyDescent="0.15">
      <c r="A1606" s="7" t="str">
        <f t="shared" si="54"/>
        <v>201806</v>
      </c>
      <c r="C1606" s="6" t="str">
        <f>INDEX(工厂基础数据!$A$2:$A$1024,MATCH(X1606,工厂基础数据!$D$2:$D$1024,0))</f>
        <v>02029238</v>
      </c>
      <c r="E1606" s="6" t="str">
        <f>INDEX(工厂基础数据!$B$2:$B$1024,MATCH(X1606,工厂基础数据!$D$2:$D$1024,0))</f>
        <v>山东康为医药有限公司</v>
      </c>
      <c r="F1606" s="6" t="e">
        <f>INDEX(商业2转码!$B$2:$B$10000,MATCH(E1606,商业2转码!$A$2:$A$10000,0))</f>
        <v>#N/A</v>
      </c>
      <c r="G1606" s="6" t="str">
        <f>INDEX(品种2编码!$A$2:$A$1048576,MATCH(W1606,品种2编码!$D$2:$D$1048576,0))</f>
        <v>0020030001SJZY0009</v>
      </c>
      <c r="H1606" s="6" t="s">
        <v>1949</v>
      </c>
      <c r="I1606" s="6" t="s">
        <v>411</v>
      </c>
      <c r="J1606" s="6" t="s">
        <v>3040</v>
      </c>
      <c r="L1606" s="6" t="s">
        <v>3358</v>
      </c>
      <c r="M1606" s="6" t="e">
        <f>INDEX(医院2县区2人!$B$2:$B$1048576,MATCH(L1606,医院2县区2人!$A$2:$A$1048576,0))</f>
        <v>#N/A</v>
      </c>
      <c r="N1606" s="6" t="e">
        <f>INDEX(医院2县区2人!$C$2:$C$1048576,MATCH(L1606,医院2县区2人!$A$2:$A$1048576,0))</f>
        <v>#N/A</v>
      </c>
      <c r="P1606" s="7">
        <v>43256</v>
      </c>
      <c r="Q1606" s="6">
        <v>30</v>
      </c>
      <c r="S1606" s="6">
        <v>18020527</v>
      </c>
      <c r="T1606" s="6" t="e">
        <f>INDEX(医院2县区2人!$D$2:$D$1048576,MATCH(L1606,医院2县区2人!$A$2:$A$1048576,0))</f>
        <v>#N/A</v>
      </c>
      <c r="W1606" s="6" t="str">
        <f t="shared" si="53"/>
        <v>葡萄糖酸锌口服溶液10ml*12支</v>
      </c>
      <c r="X1606" s="6" t="s">
        <v>2907</v>
      </c>
    </row>
    <row r="1607" spans="1:24" x14ac:dyDescent="0.15">
      <c r="A1607" s="7" t="str">
        <f t="shared" si="54"/>
        <v>201806</v>
      </c>
      <c r="C1607" s="6" t="str">
        <f>INDEX(工厂基础数据!$A$2:$A$1024,MATCH(X1607,工厂基础数据!$D$2:$D$1024,0))</f>
        <v>02029238</v>
      </c>
      <c r="E1607" s="6" t="str">
        <f>INDEX(工厂基础数据!$B$2:$B$1024,MATCH(X1607,工厂基础数据!$D$2:$D$1024,0))</f>
        <v>山东康为医药有限公司</v>
      </c>
      <c r="F1607" s="6" t="e">
        <f>INDEX(商业2转码!$B$2:$B$10000,MATCH(E1607,商业2转码!$A$2:$A$10000,0))</f>
        <v>#N/A</v>
      </c>
      <c r="G1607" s="6">
        <f>INDEX(品种2编码!$A$2:$A$1048576,MATCH(W1607,品种2编码!$D$2:$D$1048576,0))</f>
        <v>0</v>
      </c>
      <c r="H1607" s="6" t="s">
        <v>3448</v>
      </c>
      <c r="I1607" s="6" t="s">
        <v>411</v>
      </c>
      <c r="J1607" s="6" t="s">
        <v>3040</v>
      </c>
      <c r="L1607" s="6" t="s">
        <v>3359</v>
      </c>
      <c r="M1607" s="6" t="e">
        <f>INDEX(医院2县区2人!$B$2:$B$1048576,MATCH(L1607,医院2县区2人!$A$2:$A$1048576,0))</f>
        <v>#N/A</v>
      </c>
      <c r="N1607" s="6" t="e">
        <f>INDEX(医院2县区2人!$C$2:$C$1048576,MATCH(L1607,医院2县区2人!$A$2:$A$1048576,0))</f>
        <v>#N/A</v>
      </c>
      <c r="P1607" s="7">
        <v>43256</v>
      </c>
      <c r="Q1607" s="6">
        <v>30</v>
      </c>
      <c r="S1607" s="6">
        <v>17122922</v>
      </c>
      <c r="T1607" s="6" t="e">
        <f>INDEX(医院2县区2人!$D$2:$D$1048576,MATCH(L1607,医院2县区2人!$A$2:$A$1048576,0))</f>
        <v>#N/A</v>
      </c>
      <c r="W1607" s="6" t="str">
        <f t="shared" si="53"/>
        <v>葡萄糖酸钙口服溶液（含糖型）10ml*12支</v>
      </c>
      <c r="X1607" s="6" t="s">
        <v>2907</v>
      </c>
    </row>
    <row r="1608" spans="1:24" x14ac:dyDescent="0.15">
      <c r="A1608" s="7" t="str">
        <f t="shared" si="54"/>
        <v>201806</v>
      </c>
      <c r="C1608" s="6" t="str">
        <f>INDEX(工厂基础数据!$A$2:$A$1024,MATCH(X1608,工厂基础数据!$D$2:$D$1024,0))</f>
        <v>02029238</v>
      </c>
      <c r="E1608" s="6" t="str">
        <f>INDEX(工厂基础数据!$B$2:$B$1024,MATCH(X1608,工厂基础数据!$D$2:$D$1024,0))</f>
        <v>山东康为医药有限公司</v>
      </c>
      <c r="F1608" s="6" t="e">
        <f>INDEX(商业2转码!$B$2:$B$10000,MATCH(E1608,商业2转码!$A$2:$A$10000,0))</f>
        <v>#N/A</v>
      </c>
      <c r="G1608" s="6" t="str">
        <f>INDEX(品种2编码!$A$2:$A$1048576,MATCH(W1608,品种2编码!$D$2:$D$1048576,0))</f>
        <v>0020030001SJZY0009</v>
      </c>
      <c r="H1608" s="6" t="s">
        <v>1949</v>
      </c>
      <c r="I1608" s="6" t="s">
        <v>411</v>
      </c>
      <c r="J1608" s="6" t="s">
        <v>3040</v>
      </c>
      <c r="L1608" s="6" t="s">
        <v>3359</v>
      </c>
      <c r="M1608" s="6" t="e">
        <f>INDEX(医院2县区2人!$B$2:$B$1048576,MATCH(L1608,医院2县区2人!$A$2:$A$1048576,0))</f>
        <v>#N/A</v>
      </c>
      <c r="N1608" s="6" t="e">
        <f>INDEX(医院2县区2人!$C$2:$C$1048576,MATCH(L1608,医院2县区2人!$A$2:$A$1048576,0))</f>
        <v>#N/A</v>
      </c>
      <c r="P1608" s="7">
        <v>43256</v>
      </c>
      <c r="Q1608" s="6">
        <v>30</v>
      </c>
      <c r="S1608" s="6">
        <v>18020527</v>
      </c>
      <c r="T1608" s="6" t="e">
        <f>INDEX(医院2县区2人!$D$2:$D$1048576,MATCH(L1608,医院2县区2人!$A$2:$A$1048576,0))</f>
        <v>#N/A</v>
      </c>
      <c r="W1608" s="6" t="str">
        <f t="shared" si="53"/>
        <v>葡萄糖酸锌口服溶液10ml*12支</v>
      </c>
      <c r="X1608" s="6" t="s">
        <v>2907</v>
      </c>
    </row>
    <row r="1609" spans="1:24" x14ac:dyDescent="0.15">
      <c r="A1609" s="7" t="str">
        <f t="shared" si="54"/>
        <v>201806</v>
      </c>
      <c r="C1609" s="6" t="str">
        <f>INDEX(工厂基础数据!$A$2:$A$1024,MATCH(X1609,工厂基础数据!$D$2:$D$1024,0))</f>
        <v>02029238</v>
      </c>
      <c r="E1609" s="6" t="str">
        <f>INDEX(工厂基础数据!$B$2:$B$1024,MATCH(X1609,工厂基础数据!$D$2:$D$1024,0))</f>
        <v>山东康为医药有限公司</v>
      </c>
      <c r="F1609" s="6" t="e">
        <f>INDEX(商业2转码!$B$2:$B$10000,MATCH(E1609,商业2转码!$A$2:$A$10000,0))</f>
        <v>#N/A</v>
      </c>
      <c r="G1609" s="6">
        <f>INDEX(品种2编码!$A$2:$A$1048576,MATCH(W1609,品种2编码!$D$2:$D$1048576,0))</f>
        <v>0</v>
      </c>
      <c r="H1609" s="6" t="s">
        <v>3448</v>
      </c>
      <c r="I1609" s="6" t="s">
        <v>411</v>
      </c>
      <c r="J1609" s="6" t="s">
        <v>3040</v>
      </c>
      <c r="L1609" s="6" t="s">
        <v>3360</v>
      </c>
      <c r="M1609" s="6" t="e">
        <f>INDEX(医院2县区2人!$B$2:$B$1048576,MATCH(L1609,医院2县区2人!$A$2:$A$1048576,0))</f>
        <v>#N/A</v>
      </c>
      <c r="N1609" s="6" t="e">
        <f>INDEX(医院2县区2人!$C$2:$C$1048576,MATCH(L1609,医院2县区2人!$A$2:$A$1048576,0))</f>
        <v>#N/A</v>
      </c>
      <c r="P1609" s="7">
        <v>43256</v>
      </c>
      <c r="Q1609" s="6">
        <v>30</v>
      </c>
      <c r="S1609" s="6">
        <v>17122922</v>
      </c>
      <c r="T1609" s="6" t="e">
        <f>INDEX(医院2县区2人!$D$2:$D$1048576,MATCH(L1609,医院2县区2人!$A$2:$A$1048576,0))</f>
        <v>#N/A</v>
      </c>
      <c r="W1609" s="6" t="str">
        <f t="shared" si="53"/>
        <v>葡萄糖酸钙口服溶液（含糖型）10ml*12支</v>
      </c>
      <c r="X1609" s="6" t="s">
        <v>2907</v>
      </c>
    </row>
    <row r="1610" spans="1:24" x14ac:dyDescent="0.15">
      <c r="A1610" s="7" t="str">
        <f t="shared" si="54"/>
        <v>201806</v>
      </c>
      <c r="C1610" s="6" t="str">
        <f>INDEX(工厂基础数据!$A$2:$A$1024,MATCH(X1610,工厂基础数据!$D$2:$D$1024,0))</f>
        <v>02029238</v>
      </c>
      <c r="E1610" s="6" t="str">
        <f>INDEX(工厂基础数据!$B$2:$B$1024,MATCH(X1610,工厂基础数据!$D$2:$D$1024,0))</f>
        <v>山东康为医药有限公司</v>
      </c>
      <c r="F1610" s="6" t="e">
        <f>INDEX(商业2转码!$B$2:$B$10000,MATCH(E1610,商业2转码!$A$2:$A$10000,0))</f>
        <v>#N/A</v>
      </c>
      <c r="G1610" s="6" t="str">
        <f>INDEX(品种2编码!$A$2:$A$1048576,MATCH(W1610,品种2编码!$D$2:$D$1048576,0))</f>
        <v>0020030001SJZY0009</v>
      </c>
      <c r="H1610" s="6" t="s">
        <v>1949</v>
      </c>
      <c r="I1610" s="6" t="s">
        <v>411</v>
      </c>
      <c r="J1610" s="6" t="s">
        <v>3040</v>
      </c>
      <c r="L1610" s="6" t="s">
        <v>3360</v>
      </c>
      <c r="M1610" s="6" t="e">
        <f>INDEX(医院2县区2人!$B$2:$B$1048576,MATCH(L1610,医院2县区2人!$A$2:$A$1048576,0))</f>
        <v>#N/A</v>
      </c>
      <c r="N1610" s="6" t="e">
        <f>INDEX(医院2县区2人!$C$2:$C$1048576,MATCH(L1610,医院2县区2人!$A$2:$A$1048576,0))</f>
        <v>#N/A</v>
      </c>
      <c r="P1610" s="7">
        <v>43256</v>
      </c>
      <c r="Q1610" s="6">
        <v>30</v>
      </c>
      <c r="S1610" s="6">
        <v>18020527</v>
      </c>
      <c r="T1610" s="6" t="e">
        <f>INDEX(医院2县区2人!$D$2:$D$1048576,MATCH(L1610,医院2县区2人!$A$2:$A$1048576,0))</f>
        <v>#N/A</v>
      </c>
      <c r="W1610" s="6" t="str">
        <f t="shared" si="53"/>
        <v>葡萄糖酸锌口服溶液10ml*12支</v>
      </c>
      <c r="X1610" s="6" t="s">
        <v>2907</v>
      </c>
    </row>
    <row r="1611" spans="1:24" x14ac:dyDescent="0.15">
      <c r="A1611" s="7" t="str">
        <f t="shared" si="54"/>
        <v>201806</v>
      </c>
      <c r="C1611" s="6" t="str">
        <f>INDEX(工厂基础数据!$A$2:$A$1024,MATCH(X1611,工厂基础数据!$D$2:$D$1024,0))</f>
        <v>02029238</v>
      </c>
      <c r="E1611" s="6" t="str">
        <f>INDEX(工厂基础数据!$B$2:$B$1024,MATCH(X1611,工厂基础数据!$D$2:$D$1024,0))</f>
        <v>山东康为医药有限公司</v>
      </c>
      <c r="F1611" s="6" t="e">
        <f>INDEX(商业2转码!$B$2:$B$10000,MATCH(E1611,商业2转码!$A$2:$A$10000,0))</f>
        <v>#N/A</v>
      </c>
      <c r="G1611" s="6">
        <f>INDEX(品种2编码!$A$2:$A$1048576,MATCH(W1611,品种2编码!$D$2:$D$1048576,0))</f>
        <v>0</v>
      </c>
      <c r="H1611" s="6" t="s">
        <v>3448</v>
      </c>
      <c r="I1611" s="6" t="s">
        <v>411</v>
      </c>
      <c r="J1611" s="6" t="s">
        <v>3040</v>
      </c>
      <c r="L1611" s="6" t="s">
        <v>3361</v>
      </c>
      <c r="M1611" s="6" t="e">
        <f>INDEX(医院2县区2人!$B$2:$B$1048576,MATCH(L1611,医院2县区2人!$A$2:$A$1048576,0))</f>
        <v>#N/A</v>
      </c>
      <c r="N1611" s="6" t="e">
        <f>INDEX(医院2县区2人!$C$2:$C$1048576,MATCH(L1611,医院2县区2人!$A$2:$A$1048576,0))</f>
        <v>#N/A</v>
      </c>
      <c r="P1611" s="7">
        <v>43256</v>
      </c>
      <c r="Q1611" s="6">
        <v>30</v>
      </c>
      <c r="S1611" s="6">
        <v>17122922</v>
      </c>
      <c r="T1611" s="6" t="e">
        <f>INDEX(医院2县区2人!$D$2:$D$1048576,MATCH(L1611,医院2县区2人!$A$2:$A$1048576,0))</f>
        <v>#N/A</v>
      </c>
      <c r="W1611" s="6" t="str">
        <f t="shared" si="53"/>
        <v>葡萄糖酸钙口服溶液（含糖型）10ml*12支</v>
      </c>
      <c r="X1611" s="6" t="s">
        <v>2907</v>
      </c>
    </row>
    <row r="1612" spans="1:24" x14ac:dyDescent="0.15">
      <c r="A1612" s="7" t="str">
        <f t="shared" si="54"/>
        <v>201806</v>
      </c>
      <c r="C1612" s="6" t="str">
        <f>INDEX(工厂基础数据!$A$2:$A$1024,MATCH(X1612,工厂基础数据!$D$2:$D$1024,0))</f>
        <v>02029238</v>
      </c>
      <c r="E1612" s="6" t="str">
        <f>INDEX(工厂基础数据!$B$2:$B$1024,MATCH(X1612,工厂基础数据!$D$2:$D$1024,0))</f>
        <v>山东康为医药有限公司</v>
      </c>
      <c r="F1612" s="6" t="e">
        <f>INDEX(商业2转码!$B$2:$B$10000,MATCH(E1612,商业2转码!$A$2:$A$10000,0))</f>
        <v>#N/A</v>
      </c>
      <c r="G1612" s="6" t="str">
        <f>INDEX(品种2编码!$A$2:$A$1048576,MATCH(W1612,品种2编码!$D$2:$D$1048576,0))</f>
        <v>0020030001SJZY0009</v>
      </c>
      <c r="H1612" s="6" t="s">
        <v>1949</v>
      </c>
      <c r="I1612" s="6" t="s">
        <v>411</v>
      </c>
      <c r="J1612" s="6" t="s">
        <v>3040</v>
      </c>
      <c r="L1612" s="6" t="s">
        <v>3361</v>
      </c>
      <c r="M1612" s="6" t="e">
        <f>INDEX(医院2县区2人!$B$2:$B$1048576,MATCH(L1612,医院2县区2人!$A$2:$A$1048576,0))</f>
        <v>#N/A</v>
      </c>
      <c r="N1612" s="6" t="e">
        <f>INDEX(医院2县区2人!$C$2:$C$1048576,MATCH(L1612,医院2县区2人!$A$2:$A$1048576,0))</f>
        <v>#N/A</v>
      </c>
      <c r="P1612" s="7">
        <v>43256</v>
      </c>
      <c r="Q1612" s="6">
        <v>20</v>
      </c>
      <c r="S1612" s="6">
        <v>18020527</v>
      </c>
      <c r="T1612" s="6" t="e">
        <f>INDEX(医院2县区2人!$D$2:$D$1048576,MATCH(L1612,医院2县区2人!$A$2:$A$1048576,0))</f>
        <v>#N/A</v>
      </c>
      <c r="W1612" s="6" t="str">
        <f t="shared" si="53"/>
        <v>葡萄糖酸锌口服溶液10ml*12支</v>
      </c>
      <c r="X1612" s="6" t="s">
        <v>2907</v>
      </c>
    </row>
    <row r="1613" spans="1:24" x14ac:dyDescent="0.15">
      <c r="A1613" s="7" t="str">
        <f t="shared" si="54"/>
        <v>201806</v>
      </c>
      <c r="C1613" s="6" t="str">
        <f>INDEX(工厂基础数据!$A$2:$A$1024,MATCH(X1613,工厂基础数据!$D$2:$D$1024,0))</f>
        <v>02029238</v>
      </c>
      <c r="E1613" s="6" t="str">
        <f>INDEX(工厂基础数据!$B$2:$B$1024,MATCH(X1613,工厂基础数据!$D$2:$D$1024,0))</f>
        <v>山东康为医药有限公司</v>
      </c>
      <c r="F1613" s="6" t="e">
        <f>INDEX(商业2转码!$B$2:$B$10000,MATCH(E1613,商业2转码!$A$2:$A$10000,0))</f>
        <v>#N/A</v>
      </c>
      <c r="G1613" s="6">
        <f>INDEX(品种2编码!$A$2:$A$1048576,MATCH(W1613,品种2编码!$D$2:$D$1048576,0))</f>
        <v>0</v>
      </c>
      <c r="H1613" s="6" t="s">
        <v>3448</v>
      </c>
      <c r="I1613" s="6" t="s">
        <v>411</v>
      </c>
      <c r="J1613" s="6" t="s">
        <v>3040</v>
      </c>
      <c r="L1613" s="6" t="s">
        <v>3362</v>
      </c>
      <c r="M1613" s="6" t="e">
        <f>INDEX(医院2县区2人!$B$2:$B$1048576,MATCH(L1613,医院2县区2人!$A$2:$A$1048576,0))</f>
        <v>#N/A</v>
      </c>
      <c r="N1613" s="6" t="e">
        <f>INDEX(医院2县区2人!$C$2:$C$1048576,MATCH(L1613,医院2县区2人!$A$2:$A$1048576,0))</f>
        <v>#N/A</v>
      </c>
      <c r="P1613" s="7">
        <v>43256</v>
      </c>
      <c r="Q1613" s="6">
        <v>10</v>
      </c>
      <c r="S1613" s="6">
        <v>17122922</v>
      </c>
      <c r="T1613" s="6" t="e">
        <f>INDEX(医院2县区2人!$D$2:$D$1048576,MATCH(L1613,医院2县区2人!$A$2:$A$1048576,0))</f>
        <v>#N/A</v>
      </c>
      <c r="W1613" s="6" t="str">
        <f t="shared" si="53"/>
        <v>葡萄糖酸钙口服溶液（含糖型）10ml*12支</v>
      </c>
      <c r="X1613" s="6" t="s">
        <v>2907</v>
      </c>
    </row>
    <row r="1614" spans="1:24" x14ac:dyDescent="0.15">
      <c r="A1614" s="7" t="str">
        <f t="shared" si="54"/>
        <v>201806</v>
      </c>
      <c r="C1614" s="6" t="str">
        <f>INDEX(工厂基础数据!$A$2:$A$1024,MATCH(X1614,工厂基础数据!$D$2:$D$1024,0))</f>
        <v>02029238</v>
      </c>
      <c r="E1614" s="6" t="str">
        <f>INDEX(工厂基础数据!$B$2:$B$1024,MATCH(X1614,工厂基础数据!$D$2:$D$1024,0))</f>
        <v>山东康为医药有限公司</v>
      </c>
      <c r="F1614" s="6" t="e">
        <f>INDEX(商业2转码!$B$2:$B$10000,MATCH(E1614,商业2转码!$A$2:$A$10000,0))</f>
        <v>#N/A</v>
      </c>
      <c r="G1614" s="6" t="str">
        <f>INDEX(品种2编码!$A$2:$A$1048576,MATCH(W1614,品种2编码!$D$2:$D$1048576,0))</f>
        <v>0020030001SJZY0009</v>
      </c>
      <c r="H1614" s="6" t="s">
        <v>1949</v>
      </c>
      <c r="I1614" s="6" t="s">
        <v>411</v>
      </c>
      <c r="J1614" s="6" t="s">
        <v>3040</v>
      </c>
      <c r="L1614" s="6" t="s">
        <v>3362</v>
      </c>
      <c r="M1614" s="6" t="e">
        <f>INDEX(医院2县区2人!$B$2:$B$1048576,MATCH(L1614,医院2县区2人!$A$2:$A$1048576,0))</f>
        <v>#N/A</v>
      </c>
      <c r="N1614" s="6" t="e">
        <f>INDEX(医院2县区2人!$C$2:$C$1048576,MATCH(L1614,医院2县区2人!$A$2:$A$1048576,0))</f>
        <v>#N/A</v>
      </c>
      <c r="P1614" s="7">
        <v>43256</v>
      </c>
      <c r="Q1614" s="6">
        <v>10</v>
      </c>
      <c r="S1614" s="6">
        <v>18020527</v>
      </c>
      <c r="T1614" s="6" t="e">
        <f>INDEX(医院2县区2人!$D$2:$D$1048576,MATCH(L1614,医院2县区2人!$A$2:$A$1048576,0))</f>
        <v>#N/A</v>
      </c>
      <c r="W1614" s="6" t="str">
        <f t="shared" si="53"/>
        <v>葡萄糖酸锌口服溶液10ml*12支</v>
      </c>
      <c r="X1614" s="6" t="s">
        <v>2907</v>
      </c>
    </row>
    <row r="1615" spans="1:24" x14ac:dyDescent="0.15">
      <c r="A1615" s="7" t="str">
        <f t="shared" si="54"/>
        <v>201806</v>
      </c>
      <c r="C1615" s="6" t="str">
        <f>INDEX(工厂基础数据!$A$2:$A$1024,MATCH(X1615,工厂基础数据!$D$2:$D$1024,0))</f>
        <v>02029238</v>
      </c>
      <c r="E1615" s="6" t="str">
        <f>INDEX(工厂基础数据!$B$2:$B$1024,MATCH(X1615,工厂基础数据!$D$2:$D$1024,0))</f>
        <v>山东康为医药有限公司</v>
      </c>
      <c r="F1615" s="6" t="e">
        <f>INDEX(商业2转码!$B$2:$B$10000,MATCH(E1615,商业2转码!$A$2:$A$10000,0))</f>
        <v>#N/A</v>
      </c>
      <c r="G1615" s="6" t="str">
        <f>INDEX(品种2编码!$A$2:$A$1048576,MATCH(W1615,品种2编码!$D$2:$D$1048576,0))</f>
        <v>0020050090SJZY0001</v>
      </c>
      <c r="H1615" s="6" t="s">
        <v>630</v>
      </c>
      <c r="I1615" s="6" t="s">
        <v>1850</v>
      </c>
      <c r="J1615" s="6" t="s">
        <v>3040</v>
      </c>
      <c r="L1615" s="6" t="s">
        <v>3363</v>
      </c>
      <c r="M1615" s="6" t="e">
        <f>INDEX(医院2县区2人!$B$2:$B$1048576,MATCH(L1615,医院2县区2人!$A$2:$A$1048576,0))</f>
        <v>#N/A</v>
      </c>
      <c r="N1615" s="6" t="e">
        <f>INDEX(医院2县区2人!$C$2:$C$1048576,MATCH(L1615,医院2县区2人!$A$2:$A$1048576,0))</f>
        <v>#N/A</v>
      </c>
      <c r="P1615" s="7">
        <v>43256</v>
      </c>
      <c r="Q1615" s="6">
        <v>30</v>
      </c>
      <c r="S1615" s="6">
        <v>18010723</v>
      </c>
      <c r="T1615" s="6" t="e">
        <f>INDEX(医院2县区2人!$D$2:$D$1048576,MATCH(L1615,医院2县区2人!$A$2:$A$1048576,0))</f>
        <v>#N/A</v>
      </c>
      <c r="W1615" s="6" t="str">
        <f t="shared" si="53"/>
        <v>双黄连口服液10ml*10支</v>
      </c>
      <c r="X1615" s="6" t="s">
        <v>2907</v>
      </c>
    </row>
    <row r="1616" spans="1:24" x14ac:dyDescent="0.15">
      <c r="A1616" s="7" t="str">
        <f t="shared" si="54"/>
        <v>201806</v>
      </c>
      <c r="C1616" s="6" t="str">
        <f>INDEX(工厂基础数据!$A$2:$A$1024,MATCH(X1616,工厂基础数据!$D$2:$D$1024,0))</f>
        <v>02029238</v>
      </c>
      <c r="E1616" s="6" t="str">
        <f>INDEX(工厂基础数据!$B$2:$B$1024,MATCH(X1616,工厂基础数据!$D$2:$D$1024,0))</f>
        <v>山东康为医药有限公司</v>
      </c>
      <c r="F1616" s="6" t="e">
        <f>INDEX(商业2转码!$B$2:$B$10000,MATCH(E1616,商业2转码!$A$2:$A$10000,0))</f>
        <v>#N/A</v>
      </c>
      <c r="G1616" s="6">
        <f>INDEX(品种2编码!$A$2:$A$1048576,MATCH(W1616,品种2编码!$D$2:$D$1048576,0))</f>
        <v>0</v>
      </c>
      <c r="H1616" s="6" t="s">
        <v>3448</v>
      </c>
      <c r="I1616" s="6" t="s">
        <v>411</v>
      </c>
      <c r="J1616" s="6" t="s">
        <v>3040</v>
      </c>
      <c r="L1616" s="6" t="s">
        <v>3363</v>
      </c>
      <c r="M1616" s="6" t="e">
        <f>INDEX(医院2县区2人!$B$2:$B$1048576,MATCH(L1616,医院2县区2人!$A$2:$A$1048576,0))</f>
        <v>#N/A</v>
      </c>
      <c r="N1616" s="6" t="e">
        <f>INDEX(医院2县区2人!$C$2:$C$1048576,MATCH(L1616,医院2县区2人!$A$2:$A$1048576,0))</f>
        <v>#N/A</v>
      </c>
      <c r="P1616" s="7">
        <v>43256</v>
      </c>
      <c r="Q1616" s="6">
        <v>30</v>
      </c>
      <c r="S1616" s="6">
        <v>17122922</v>
      </c>
      <c r="T1616" s="6" t="e">
        <f>INDEX(医院2县区2人!$D$2:$D$1048576,MATCH(L1616,医院2县区2人!$A$2:$A$1048576,0))</f>
        <v>#N/A</v>
      </c>
      <c r="W1616" s="6" t="str">
        <f t="shared" si="53"/>
        <v>葡萄糖酸钙口服溶液（含糖型）10ml*12支</v>
      </c>
      <c r="X1616" s="6" t="s">
        <v>2907</v>
      </c>
    </row>
    <row r="1617" spans="1:24" x14ac:dyDescent="0.15">
      <c r="A1617" s="7" t="str">
        <f t="shared" si="54"/>
        <v>201806</v>
      </c>
      <c r="C1617" s="6" t="str">
        <f>INDEX(工厂基础数据!$A$2:$A$1024,MATCH(X1617,工厂基础数据!$D$2:$D$1024,0))</f>
        <v>02029238</v>
      </c>
      <c r="E1617" s="6" t="str">
        <f>INDEX(工厂基础数据!$B$2:$B$1024,MATCH(X1617,工厂基础数据!$D$2:$D$1024,0))</f>
        <v>山东康为医药有限公司</v>
      </c>
      <c r="F1617" s="6" t="e">
        <f>INDEX(商业2转码!$B$2:$B$10000,MATCH(E1617,商业2转码!$A$2:$A$10000,0))</f>
        <v>#N/A</v>
      </c>
      <c r="G1617" s="6">
        <f>INDEX(品种2编码!$A$2:$A$1048576,MATCH(W1617,品种2编码!$D$2:$D$1048576,0))</f>
        <v>0</v>
      </c>
      <c r="H1617" s="6" t="s">
        <v>317</v>
      </c>
      <c r="I1617" s="6" t="s">
        <v>3291</v>
      </c>
      <c r="J1617" s="6" t="s">
        <v>3037</v>
      </c>
      <c r="L1617" s="6" t="s">
        <v>3363</v>
      </c>
      <c r="M1617" s="6" t="e">
        <f>INDEX(医院2县区2人!$B$2:$B$1048576,MATCH(L1617,医院2县区2人!$A$2:$A$1048576,0))</f>
        <v>#N/A</v>
      </c>
      <c r="N1617" s="6" t="e">
        <f>INDEX(医院2县区2人!$C$2:$C$1048576,MATCH(L1617,医院2县区2人!$A$2:$A$1048576,0))</f>
        <v>#N/A</v>
      </c>
      <c r="P1617" s="7">
        <v>43256</v>
      </c>
      <c r="Q1617" s="6">
        <v>10</v>
      </c>
      <c r="S1617" s="6">
        <v>1611617</v>
      </c>
      <c r="T1617" s="6" t="e">
        <f>INDEX(医院2县区2人!$D$2:$D$1048576,MATCH(L1617,医院2县区2人!$A$2:$A$1048576,0))</f>
        <v>#N/A</v>
      </c>
      <c r="W1617" s="6" t="str">
        <f t="shared" si="53"/>
        <v>布洛芬颗粒0.2g*12包</v>
      </c>
      <c r="X1617" s="6" t="s">
        <v>2907</v>
      </c>
    </row>
    <row r="1618" spans="1:24" x14ac:dyDescent="0.15">
      <c r="A1618" s="7" t="str">
        <f t="shared" si="54"/>
        <v>201806</v>
      </c>
      <c r="C1618" s="6" t="str">
        <f>INDEX(工厂基础数据!$A$2:$A$1024,MATCH(X1618,工厂基础数据!$D$2:$D$1024,0))</f>
        <v>02029238</v>
      </c>
      <c r="E1618" s="6" t="str">
        <f>INDEX(工厂基础数据!$B$2:$B$1024,MATCH(X1618,工厂基础数据!$D$2:$D$1024,0))</f>
        <v>山东康为医药有限公司</v>
      </c>
      <c r="F1618" s="6" t="e">
        <f>INDEX(商业2转码!$B$2:$B$10000,MATCH(E1618,商业2转码!$A$2:$A$10000,0))</f>
        <v>#N/A</v>
      </c>
      <c r="G1618" s="6" t="str">
        <f>INDEX(品种2编码!$A$2:$A$1048576,MATCH(W1618,品种2编码!$D$2:$D$1048576,0))</f>
        <v>0020030001SJZY0009</v>
      </c>
      <c r="H1618" s="6" t="s">
        <v>1949</v>
      </c>
      <c r="I1618" s="6" t="s">
        <v>411</v>
      </c>
      <c r="J1618" s="6" t="s">
        <v>3040</v>
      </c>
      <c r="L1618" s="6" t="s">
        <v>3363</v>
      </c>
      <c r="M1618" s="6" t="e">
        <f>INDEX(医院2县区2人!$B$2:$B$1048576,MATCH(L1618,医院2县区2人!$A$2:$A$1048576,0))</f>
        <v>#N/A</v>
      </c>
      <c r="N1618" s="6" t="e">
        <f>INDEX(医院2县区2人!$C$2:$C$1048576,MATCH(L1618,医院2县区2人!$A$2:$A$1048576,0))</f>
        <v>#N/A</v>
      </c>
      <c r="P1618" s="7">
        <v>43256</v>
      </c>
      <c r="Q1618" s="6">
        <v>30</v>
      </c>
      <c r="S1618" s="6">
        <v>18020527</v>
      </c>
      <c r="T1618" s="6" t="e">
        <f>INDEX(医院2县区2人!$D$2:$D$1048576,MATCH(L1618,医院2县区2人!$A$2:$A$1048576,0))</f>
        <v>#N/A</v>
      </c>
      <c r="W1618" s="6" t="str">
        <f t="shared" si="53"/>
        <v>葡萄糖酸锌口服溶液10ml*12支</v>
      </c>
      <c r="X1618" s="6" t="s">
        <v>2907</v>
      </c>
    </row>
    <row r="1619" spans="1:24" x14ac:dyDescent="0.15">
      <c r="A1619" s="7" t="str">
        <f t="shared" si="54"/>
        <v>201806</v>
      </c>
      <c r="C1619" s="6" t="str">
        <f>INDEX(工厂基础数据!$A$2:$A$1024,MATCH(X1619,工厂基础数据!$D$2:$D$1024,0))</f>
        <v>02029238</v>
      </c>
      <c r="E1619" s="6" t="str">
        <f>INDEX(工厂基础数据!$B$2:$B$1024,MATCH(X1619,工厂基础数据!$D$2:$D$1024,0))</f>
        <v>山东康为医药有限公司</v>
      </c>
      <c r="F1619" s="6" t="e">
        <f>INDEX(商业2转码!$B$2:$B$10000,MATCH(E1619,商业2转码!$A$2:$A$10000,0))</f>
        <v>#N/A</v>
      </c>
      <c r="G1619" s="6">
        <f>INDEX(品种2编码!$A$2:$A$1048576,MATCH(W1619,品种2编码!$D$2:$D$1048576,0))</f>
        <v>0</v>
      </c>
      <c r="H1619" s="6" t="s">
        <v>3448</v>
      </c>
      <c r="I1619" s="6" t="s">
        <v>411</v>
      </c>
      <c r="J1619" s="6" t="s">
        <v>3040</v>
      </c>
      <c r="L1619" s="6" t="s">
        <v>3364</v>
      </c>
      <c r="M1619" s="6" t="e">
        <f>INDEX(医院2县区2人!$B$2:$B$1048576,MATCH(L1619,医院2县区2人!$A$2:$A$1048576,0))</f>
        <v>#N/A</v>
      </c>
      <c r="N1619" s="6" t="e">
        <f>INDEX(医院2县区2人!$C$2:$C$1048576,MATCH(L1619,医院2县区2人!$A$2:$A$1048576,0))</f>
        <v>#N/A</v>
      </c>
      <c r="P1619" s="7">
        <v>43256</v>
      </c>
      <c r="Q1619" s="6">
        <v>20</v>
      </c>
      <c r="S1619" s="6">
        <v>17122922</v>
      </c>
      <c r="T1619" s="6" t="e">
        <f>INDEX(医院2县区2人!$D$2:$D$1048576,MATCH(L1619,医院2县区2人!$A$2:$A$1048576,0))</f>
        <v>#N/A</v>
      </c>
      <c r="W1619" s="6" t="str">
        <f t="shared" si="53"/>
        <v>葡萄糖酸钙口服溶液（含糖型）10ml*12支</v>
      </c>
      <c r="X1619" s="6" t="s">
        <v>2907</v>
      </c>
    </row>
    <row r="1620" spans="1:24" x14ac:dyDescent="0.15">
      <c r="A1620" s="7" t="str">
        <f t="shared" si="54"/>
        <v>201806</v>
      </c>
      <c r="C1620" s="6" t="str">
        <f>INDEX(工厂基础数据!$A$2:$A$1024,MATCH(X1620,工厂基础数据!$D$2:$D$1024,0))</f>
        <v>02029238</v>
      </c>
      <c r="E1620" s="6" t="str">
        <f>INDEX(工厂基础数据!$B$2:$B$1024,MATCH(X1620,工厂基础数据!$D$2:$D$1024,0))</f>
        <v>山东康为医药有限公司</v>
      </c>
      <c r="F1620" s="6" t="e">
        <f>INDEX(商业2转码!$B$2:$B$10000,MATCH(E1620,商业2转码!$A$2:$A$10000,0))</f>
        <v>#N/A</v>
      </c>
      <c r="G1620" s="6" t="str">
        <f>INDEX(品种2编码!$A$2:$A$1048576,MATCH(W1620,品种2编码!$D$2:$D$1048576,0))</f>
        <v>0020030001SJZY0009</v>
      </c>
      <c r="H1620" s="6" t="s">
        <v>1949</v>
      </c>
      <c r="I1620" s="6" t="s">
        <v>411</v>
      </c>
      <c r="J1620" s="6" t="s">
        <v>3040</v>
      </c>
      <c r="L1620" s="6" t="s">
        <v>3364</v>
      </c>
      <c r="M1620" s="6" t="e">
        <f>INDEX(医院2县区2人!$B$2:$B$1048576,MATCH(L1620,医院2县区2人!$A$2:$A$1048576,0))</f>
        <v>#N/A</v>
      </c>
      <c r="N1620" s="6" t="e">
        <f>INDEX(医院2县区2人!$C$2:$C$1048576,MATCH(L1620,医院2县区2人!$A$2:$A$1048576,0))</f>
        <v>#N/A</v>
      </c>
      <c r="P1620" s="7">
        <v>43256</v>
      </c>
      <c r="Q1620" s="6">
        <v>20</v>
      </c>
      <c r="S1620" s="6">
        <v>18020527</v>
      </c>
      <c r="T1620" s="6" t="e">
        <f>INDEX(医院2县区2人!$D$2:$D$1048576,MATCH(L1620,医院2县区2人!$A$2:$A$1048576,0))</f>
        <v>#N/A</v>
      </c>
      <c r="W1620" s="6" t="str">
        <f t="shared" si="53"/>
        <v>葡萄糖酸锌口服溶液10ml*12支</v>
      </c>
      <c r="X1620" s="6" t="s">
        <v>2907</v>
      </c>
    </row>
    <row r="1621" spans="1:24" x14ac:dyDescent="0.15">
      <c r="A1621" s="7" t="str">
        <f t="shared" si="54"/>
        <v>201806</v>
      </c>
      <c r="C1621" s="6" t="str">
        <f>INDEX(工厂基础数据!$A$2:$A$1024,MATCH(X1621,工厂基础数据!$D$2:$D$1024,0))</f>
        <v>02029238</v>
      </c>
      <c r="E1621" s="6" t="str">
        <f>INDEX(工厂基础数据!$B$2:$B$1024,MATCH(X1621,工厂基础数据!$D$2:$D$1024,0))</f>
        <v>山东康为医药有限公司</v>
      </c>
      <c r="F1621" s="6" t="e">
        <f>INDEX(商业2转码!$B$2:$B$10000,MATCH(E1621,商业2转码!$A$2:$A$10000,0))</f>
        <v>#N/A</v>
      </c>
      <c r="G1621" s="6" t="str">
        <f>INDEX(品种2编码!$A$2:$A$1048576,MATCH(W1621,品种2编码!$D$2:$D$1048576,0))</f>
        <v>0020020030ZYZC0264</v>
      </c>
      <c r="H1621" s="6" t="s">
        <v>245</v>
      </c>
      <c r="I1621" s="6" t="s">
        <v>254</v>
      </c>
      <c r="J1621" s="6" t="s">
        <v>3038</v>
      </c>
      <c r="L1621" s="6" t="s">
        <v>3365</v>
      </c>
      <c r="M1621" s="6" t="e">
        <f>INDEX(医院2县区2人!$B$2:$B$1048576,MATCH(L1621,医院2县区2人!$A$2:$A$1048576,0))</f>
        <v>#N/A</v>
      </c>
      <c r="N1621" s="6" t="e">
        <f>INDEX(医院2县区2人!$C$2:$C$1048576,MATCH(L1621,医院2县区2人!$A$2:$A$1048576,0))</f>
        <v>#N/A</v>
      </c>
      <c r="P1621" s="7">
        <v>43256</v>
      </c>
      <c r="Q1621" s="6">
        <v>20</v>
      </c>
      <c r="S1621" s="6" t="s">
        <v>3052</v>
      </c>
      <c r="T1621" s="6" t="e">
        <f>INDEX(医院2县区2人!$D$2:$D$1048576,MATCH(L1621,医院2县区2人!$A$2:$A$1048576,0))</f>
        <v>#N/A</v>
      </c>
      <c r="W1621" s="6" t="str">
        <f t="shared" si="53"/>
        <v>阿莫西林胶囊0.5g*20粒</v>
      </c>
      <c r="X1621" s="6" t="s">
        <v>2907</v>
      </c>
    </row>
    <row r="1622" spans="1:24" x14ac:dyDescent="0.15">
      <c r="A1622" s="7" t="str">
        <f t="shared" si="54"/>
        <v>201806</v>
      </c>
      <c r="C1622" s="6" t="str">
        <f>INDEX(工厂基础数据!$A$2:$A$1024,MATCH(X1622,工厂基础数据!$D$2:$D$1024,0))</f>
        <v>02029238</v>
      </c>
      <c r="E1622" s="6" t="str">
        <f>INDEX(工厂基础数据!$B$2:$B$1024,MATCH(X1622,工厂基础数据!$D$2:$D$1024,0))</f>
        <v>山东康为医药有限公司</v>
      </c>
      <c r="F1622" s="6" t="e">
        <f>INDEX(商业2转码!$B$2:$B$10000,MATCH(E1622,商业2转码!$A$2:$A$10000,0))</f>
        <v>#N/A</v>
      </c>
      <c r="G1622" s="6" t="str">
        <f>INDEX(品种2编码!$A$2:$A$1048576,MATCH(W1622,品种2编码!$D$2:$D$1048576,0))</f>
        <v>0020020030ZYZC0264</v>
      </c>
      <c r="H1622" s="6" t="s">
        <v>245</v>
      </c>
      <c r="I1622" s="6" t="s">
        <v>254</v>
      </c>
      <c r="J1622" s="6" t="s">
        <v>3038</v>
      </c>
      <c r="L1622" s="6" t="s">
        <v>3365</v>
      </c>
      <c r="M1622" s="6" t="e">
        <f>INDEX(医院2县区2人!$B$2:$B$1048576,MATCH(L1622,医院2县区2人!$A$2:$A$1048576,0))</f>
        <v>#N/A</v>
      </c>
      <c r="N1622" s="6" t="e">
        <f>INDEX(医院2县区2人!$C$2:$C$1048576,MATCH(L1622,医院2县区2人!$A$2:$A$1048576,0))</f>
        <v>#N/A</v>
      </c>
      <c r="P1622" s="7">
        <v>43256</v>
      </c>
      <c r="Q1622" s="6">
        <v>2</v>
      </c>
      <c r="S1622" s="6" t="s">
        <v>3052</v>
      </c>
      <c r="T1622" s="6" t="e">
        <f>INDEX(医院2县区2人!$D$2:$D$1048576,MATCH(L1622,医院2县区2人!$A$2:$A$1048576,0))</f>
        <v>#N/A</v>
      </c>
      <c r="W1622" s="6" t="str">
        <f t="shared" si="53"/>
        <v>阿莫西林胶囊0.5g*20粒</v>
      </c>
      <c r="X1622" s="6" t="s">
        <v>2907</v>
      </c>
    </row>
    <row r="1623" spans="1:24" x14ac:dyDescent="0.15">
      <c r="A1623" s="7" t="str">
        <f t="shared" si="54"/>
        <v>201806</v>
      </c>
      <c r="C1623" s="6" t="str">
        <f>INDEX(工厂基础数据!$A$2:$A$1024,MATCH(X1623,工厂基础数据!$D$2:$D$1024,0))</f>
        <v>02029238</v>
      </c>
      <c r="E1623" s="6" t="str">
        <f>INDEX(工厂基础数据!$B$2:$B$1024,MATCH(X1623,工厂基础数据!$D$2:$D$1024,0))</f>
        <v>山东康为医药有限公司</v>
      </c>
      <c r="F1623" s="6" t="e">
        <f>INDEX(商业2转码!$B$2:$B$10000,MATCH(E1623,商业2转码!$A$2:$A$10000,0))</f>
        <v>#N/A</v>
      </c>
      <c r="G1623" s="6">
        <f>INDEX(品种2编码!$A$2:$A$1048576,MATCH(W1623,品种2编码!$D$2:$D$1048576,0))</f>
        <v>0</v>
      </c>
      <c r="H1623" s="6" t="s">
        <v>3448</v>
      </c>
      <c r="I1623" s="6" t="s">
        <v>411</v>
      </c>
      <c r="J1623" s="6" t="s">
        <v>3040</v>
      </c>
      <c r="L1623" s="6" t="s">
        <v>3366</v>
      </c>
      <c r="M1623" s="6" t="e">
        <f>INDEX(医院2县区2人!$B$2:$B$1048576,MATCH(L1623,医院2县区2人!$A$2:$A$1048576,0))</f>
        <v>#N/A</v>
      </c>
      <c r="N1623" s="6" t="e">
        <f>INDEX(医院2县区2人!$C$2:$C$1048576,MATCH(L1623,医院2县区2人!$A$2:$A$1048576,0))</f>
        <v>#N/A</v>
      </c>
      <c r="P1623" s="7">
        <v>43256</v>
      </c>
      <c r="Q1623" s="6">
        <v>5</v>
      </c>
      <c r="S1623" s="6">
        <v>17122922</v>
      </c>
      <c r="T1623" s="6" t="e">
        <f>INDEX(医院2县区2人!$D$2:$D$1048576,MATCH(L1623,医院2县区2人!$A$2:$A$1048576,0))</f>
        <v>#N/A</v>
      </c>
      <c r="W1623" s="6" t="str">
        <f t="shared" si="53"/>
        <v>葡萄糖酸钙口服溶液（含糖型）10ml*12支</v>
      </c>
      <c r="X1623" s="6" t="s">
        <v>2907</v>
      </c>
    </row>
    <row r="1624" spans="1:24" x14ac:dyDescent="0.15">
      <c r="A1624" s="7" t="str">
        <f t="shared" si="54"/>
        <v>201806</v>
      </c>
      <c r="C1624" s="6" t="str">
        <f>INDEX(工厂基础数据!$A$2:$A$1024,MATCH(X1624,工厂基础数据!$D$2:$D$1024,0))</f>
        <v>02029238</v>
      </c>
      <c r="E1624" s="6" t="str">
        <f>INDEX(工厂基础数据!$B$2:$B$1024,MATCH(X1624,工厂基础数据!$D$2:$D$1024,0))</f>
        <v>山东康为医药有限公司</v>
      </c>
      <c r="F1624" s="6" t="e">
        <f>INDEX(商业2转码!$B$2:$B$10000,MATCH(E1624,商业2转码!$A$2:$A$10000,0))</f>
        <v>#N/A</v>
      </c>
      <c r="G1624" s="6" t="str">
        <f>INDEX(品种2编码!$A$2:$A$1048576,MATCH(W1624,品种2编码!$D$2:$D$1048576,0))</f>
        <v>0020030001SJZY0009</v>
      </c>
      <c r="H1624" s="6" t="s">
        <v>1949</v>
      </c>
      <c r="I1624" s="6" t="s">
        <v>411</v>
      </c>
      <c r="J1624" s="6" t="s">
        <v>3040</v>
      </c>
      <c r="L1624" s="6" t="s">
        <v>3366</v>
      </c>
      <c r="M1624" s="6" t="e">
        <f>INDEX(医院2县区2人!$B$2:$B$1048576,MATCH(L1624,医院2县区2人!$A$2:$A$1048576,0))</f>
        <v>#N/A</v>
      </c>
      <c r="N1624" s="6" t="e">
        <f>INDEX(医院2县区2人!$C$2:$C$1048576,MATCH(L1624,医院2县区2人!$A$2:$A$1048576,0))</f>
        <v>#N/A</v>
      </c>
      <c r="P1624" s="7">
        <v>43256</v>
      </c>
      <c r="Q1624" s="6">
        <v>5</v>
      </c>
      <c r="S1624" s="6">
        <v>18020527</v>
      </c>
      <c r="T1624" s="6" t="e">
        <f>INDEX(医院2县区2人!$D$2:$D$1048576,MATCH(L1624,医院2县区2人!$A$2:$A$1048576,0))</f>
        <v>#N/A</v>
      </c>
      <c r="W1624" s="6" t="str">
        <f t="shared" si="53"/>
        <v>葡萄糖酸锌口服溶液10ml*12支</v>
      </c>
      <c r="X1624" s="6" t="s">
        <v>2907</v>
      </c>
    </row>
    <row r="1625" spans="1:24" x14ac:dyDescent="0.15">
      <c r="A1625" s="7" t="str">
        <f t="shared" si="54"/>
        <v>201806</v>
      </c>
      <c r="C1625" s="6" t="str">
        <f>INDEX(工厂基础数据!$A$2:$A$1024,MATCH(X1625,工厂基础数据!$D$2:$D$1024,0))</f>
        <v>02029238</v>
      </c>
      <c r="E1625" s="6" t="str">
        <f>INDEX(工厂基础数据!$B$2:$B$1024,MATCH(X1625,工厂基础数据!$D$2:$D$1024,0))</f>
        <v>山东康为医药有限公司</v>
      </c>
      <c r="F1625" s="6" t="e">
        <f>INDEX(商业2转码!$B$2:$B$10000,MATCH(E1625,商业2转码!$A$2:$A$10000,0))</f>
        <v>#N/A</v>
      </c>
      <c r="G1625" s="6" t="str">
        <f>INDEX(品种2编码!$A$2:$A$1048576,MATCH(W1625,品种2编码!$D$2:$D$1048576,0))</f>
        <v>0020050090SJZY0001</v>
      </c>
      <c r="H1625" s="6" t="s">
        <v>630</v>
      </c>
      <c r="I1625" s="6" t="s">
        <v>1850</v>
      </c>
      <c r="J1625" s="6" t="s">
        <v>3040</v>
      </c>
      <c r="L1625" s="6" t="s">
        <v>2411</v>
      </c>
      <c r="M1625" s="6">
        <f>INDEX(医院2县区2人!$B$2:$B$1048576,MATCH(L1625,医院2县区2人!$A$2:$A$1048576,0))</f>
        <v>1</v>
      </c>
      <c r="N1625" s="6" t="str">
        <f>INDEX(医院2县区2人!$C$2:$C$1048576,MATCH(L1625,医院2县区2人!$A$2:$A$1048576,0))</f>
        <v>1755</v>
      </c>
      <c r="P1625" s="7">
        <v>43256</v>
      </c>
      <c r="Q1625" s="6">
        <v>90</v>
      </c>
      <c r="S1625" s="6">
        <v>18010723</v>
      </c>
      <c r="T1625" s="6">
        <f>INDEX(医院2县区2人!$D$2:$D$1048576,MATCH(L1625,医院2县区2人!$A$2:$A$1048576,0))</f>
        <v>0</v>
      </c>
      <c r="W1625" s="6" t="str">
        <f t="shared" si="53"/>
        <v>双黄连口服液10ml*10支</v>
      </c>
      <c r="X1625" s="6" t="s">
        <v>2907</v>
      </c>
    </row>
    <row r="1626" spans="1:24" x14ac:dyDescent="0.15">
      <c r="A1626" s="7" t="str">
        <f t="shared" si="54"/>
        <v>201806</v>
      </c>
      <c r="C1626" s="6" t="str">
        <f>INDEX(工厂基础数据!$A$2:$A$1024,MATCH(X1626,工厂基础数据!$D$2:$D$1024,0))</f>
        <v>02029238</v>
      </c>
      <c r="E1626" s="6" t="str">
        <f>INDEX(工厂基础数据!$B$2:$B$1024,MATCH(X1626,工厂基础数据!$D$2:$D$1024,0))</f>
        <v>山东康为医药有限公司</v>
      </c>
      <c r="F1626" s="6" t="e">
        <f>INDEX(商业2转码!$B$2:$B$10000,MATCH(E1626,商业2转码!$A$2:$A$10000,0))</f>
        <v>#N/A</v>
      </c>
      <c r="G1626" s="6" t="str">
        <f>INDEX(品种2编码!$A$2:$A$1048576,MATCH(W1626,品种2编码!$D$2:$D$1048576,0))</f>
        <v>0020020030ZYZC0264</v>
      </c>
      <c r="H1626" s="6" t="s">
        <v>245</v>
      </c>
      <c r="I1626" s="6" t="s">
        <v>254</v>
      </c>
      <c r="J1626" s="6" t="s">
        <v>3038</v>
      </c>
      <c r="L1626" s="6" t="s">
        <v>2411</v>
      </c>
      <c r="M1626" s="6">
        <f>INDEX(医院2县区2人!$B$2:$B$1048576,MATCH(L1626,医院2县区2人!$A$2:$A$1048576,0))</f>
        <v>1</v>
      </c>
      <c r="N1626" s="6" t="str">
        <f>INDEX(医院2县区2人!$C$2:$C$1048576,MATCH(L1626,医院2县区2人!$A$2:$A$1048576,0))</f>
        <v>1755</v>
      </c>
      <c r="P1626" s="7">
        <v>43256</v>
      </c>
      <c r="Q1626" s="6">
        <v>50</v>
      </c>
      <c r="S1626" s="6" t="s">
        <v>3052</v>
      </c>
      <c r="T1626" s="6">
        <f>INDEX(医院2县区2人!$D$2:$D$1048576,MATCH(L1626,医院2县区2人!$A$2:$A$1048576,0))</f>
        <v>0</v>
      </c>
      <c r="W1626" s="6" t="str">
        <f t="shared" si="53"/>
        <v>阿莫西林胶囊0.5g*20粒</v>
      </c>
      <c r="X1626" s="6" t="s">
        <v>2907</v>
      </c>
    </row>
    <row r="1627" spans="1:24" x14ac:dyDescent="0.15">
      <c r="A1627" s="7" t="str">
        <f t="shared" si="54"/>
        <v>201806</v>
      </c>
      <c r="C1627" s="6" t="str">
        <f>INDEX(工厂基础数据!$A$2:$A$1024,MATCH(X1627,工厂基础数据!$D$2:$D$1024,0))</f>
        <v>02029238</v>
      </c>
      <c r="E1627" s="6" t="str">
        <f>INDEX(工厂基础数据!$B$2:$B$1024,MATCH(X1627,工厂基础数据!$D$2:$D$1024,0))</f>
        <v>山东康为医药有限公司</v>
      </c>
      <c r="F1627" s="6" t="e">
        <f>INDEX(商业2转码!$B$2:$B$10000,MATCH(E1627,商业2转码!$A$2:$A$10000,0))</f>
        <v>#N/A</v>
      </c>
      <c r="G1627" s="6">
        <f>INDEX(品种2编码!$A$2:$A$1048576,MATCH(W1627,品种2编码!$D$2:$D$1048576,0))</f>
        <v>0</v>
      </c>
      <c r="H1627" s="6" t="s">
        <v>3448</v>
      </c>
      <c r="I1627" s="6" t="s">
        <v>411</v>
      </c>
      <c r="J1627" s="6" t="s">
        <v>3040</v>
      </c>
      <c r="L1627" s="6" t="s">
        <v>2411</v>
      </c>
      <c r="M1627" s="6">
        <f>INDEX(医院2县区2人!$B$2:$B$1048576,MATCH(L1627,医院2县区2人!$A$2:$A$1048576,0))</f>
        <v>1</v>
      </c>
      <c r="N1627" s="6" t="str">
        <f>INDEX(医院2县区2人!$C$2:$C$1048576,MATCH(L1627,医院2县区2人!$A$2:$A$1048576,0))</f>
        <v>1755</v>
      </c>
      <c r="P1627" s="7">
        <v>43256</v>
      </c>
      <c r="Q1627" s="6">
        <v>80</v>
      </c>
      <c r="S1627" s="6">
        <v>17122922</v>
      </c>
      <c r="T1627" s="6">
        <f>INDEX(医院2县区2人!$D$2:$D$1048576,MATCH(L1627,医院2县区2人!$A$2:$A$1048576,0))</f>
        <v>0</v>
      </c>
      <c r="W1627" s="6" t="str">
        <f t="shared" si="53"/>
        <v>葡萄糖酸钙口服溶液（含糖型）10ml*12支</v>
      </c>
      <c r="X1627" s="6" t="s">
        <v>2907</v>
      </c>
    </row>
    <row r="1628" spans="1:24" x14ac:dyDescent="0.15">
      <c r="A1628" s="7" t="str">
        <f t="shared" si="54"/>
        <v>201806</v>
      </c>
      <c r="C1628" s="6" t="str">
        <f>INDEX(工厂基础数据!$A$2:$A$1024,MATCH(X1628,工厂基础数据!$D$2:$D$1024,0))</f>
        <v>02029238</v>
      </c>
      <c r="E1628" s="6" t="str">
        <f>INDEX(工厂基础数据!$B$2:$B$1024,MATCH(X1628,工厂基础数据!$D$2:$D$1024,0))</f>
        <v>山东康为医药有限公司</v>
      </c>
      <c r="F1628" s="6" t="e">
        <f>INDEX(商业2转码!$B$2:$B$10000,MATCH(E1628,商业2转码!$A$2:$A$10000,0))</f>
        <v>#N/A</v>
      </c>
      <c r="G1628" s="6" t="str">
        <f>INDEX(品种2编码!$A$2:$A$1048576,MATCH(W1628,品种2编码!$D$2:$D$1048576,0))</f>
        <v>0020030001SJZY0009</v>
      </c>
      <c r="H1628" s="6" t="s">
        <v>1949</v>
      </c>
      <c r="I1628" s="6" t="s">
        <v>411</v>
      </c>
      <c r="J1628" s="6" t="s">
        <v>3040</v>
      </c>
      <c r="L1628" s="6" t="s">
        <v>2411</v>
      </c>
      <c r="M1628" s="6">
        <f>INDEX(医院2县区2人!$B$2:$B$1048576,MATCH(L1628,医院2县区2人!$A$2:$A$1048576,0))</f>
        <v>1</v>
      </c>
      <c r="N1628" s="6" t="str">
        <f>INDEX(医院2县区2人!$C$2:$C$1048576,MATCH(L1628,医院2县区2人!$A$2:$A$1048576,0))</f>
        <v>1755</v>
      </c>
      <c r="P1628" s="7">
        <v>43256</v>
      </c>
      <c r="Q1628" s="6">
        <v>80</v>
      </c>
      <c r="S1628" s="6">
        <v>18020527</v>
      </c>
      <c r="T1628" s="6">
        <f>INDEX(医院2县区2人!$D$2:$D$1048576,MATCH(L1628,医院2县区2人!$A$2:$A$1048576,0))</f>
        <v>0</v>
      </c>
      <c r="W1628" s="6" t="str">
        <f t="shared" si="53"/>
        <v>葡萄糖酸锌口服溶液10ml*12支</v>
      </c>
      <c r="X1628" s="6" t="s">
        <v>2907</v>
      </c>
    </row>
    <row r="1629" spans="1:24" x14ac:dyDescent="0.15">
      <c r="A1629" s="7" t="str">
        <f t="shared" si="54"/>
        <v>201806</v>
      </c>
      <c r="C1629" s="6" t="str">
        <f>INDEX(工厂基础数据!$A$2:$A$1024,MATCH(X1629,工厂基础数据!$D$2:$D$1024,0))</f>
        <v>02029238</v>
      </c>
      <c r="E1629" s="6" t="str">
        <f>INDEX(工厂基础数据!$B$2:$B$1024,MATCH(X1629,工厂基础数据!$D$2:$D$1024,0))</f>
        <v>山东康为医药有限公司</v>
      </c>
      <c r="F1629" s="6" t="e">
        <f>INDEX(商业2转码!$B$2:$B$10000,MATCH(E1629,商业2转码!$A$2:$A$10000,0))</f>
        <v>#N/A</v>
      </c>
      <c r="G1629" s="6">
        <f>INDEX(品种2编码!$A$2:$A$1048576,MATCH(W1629,品种2编码!$D$2:$D$1048576,0))</f>
        <v>0</v>
      </c>
      <c r="H1629" s="6" t="s">
        <v>768</v>
      </c>
      <c r="I1629" s="6" t="s">
        <v>3293</v>
      </c>
      <c r="J1629" s="6" t="s">
        <v>3036</v>
      </c>
      <c r="L1629" s="6" t="s">
        <v>2411</v>
      </c>
      <c r="M1629" s="6">
        <f>INDEX(医院2县区2人!$B$2:$B$1048576,MATCH(L1629,医院2县区2人!$A$2:$A$1048576,0))</f>
        <v>1</v>
      </c>
      <c r="N1629" s="6" t="str">
        <f>INDEX(医院2县区2人!$C$2:$C$1048576,MATCH(L1629,医院2县区2人!$A$2:$A$1048576,0))</f>
        <v>1755</v>
      </c>
      <c r="P1629" s="7">
        <v>43256</v>
      </c>
      <c r="Q1629" s="6">
        <v>200</v>
      </c>
      <c r="S1629" s="6">
        <v>20180105</v>
      </c>
      <c r="T1629" s="6">
        <f>INDEX(医院2县区2人!$D$2:$D$1048576,MATCH(L1629,医院2县区2人!$A$2:$A$1048576,0))</f>
        <v>0</v>
      </c>
      <c r="W1629" s="6" t="str">
        <f t="shared" si="53"/>
        <v>医用退热贴40*110mm*2贴</v>
      </c>
      <c r="X1629" s="6" t="s">
        <v>2907</v>
      </c>
    </row>
    <row r="1630" spans="1:24" x14ac:dyDescent="0.15">
      <c r="A1630" s="7" t="str">
        <f t="shared" si="54"/>
        <v>201806</v>
      </c>
      <c r="C1630" s="6" t="str">
        <f>INDEX(工厂基础数据!$A$2:$A$1024,MATCH(X1630,工厂基础数据!$D$2:$D$1024,0))</f>
        <v>02029238</v>
      </c>
      <c r="E1630" s="6" t="str">
        <f>INDEX(工厂基础数据!$B$2:$B$1024,MATCH(X1630,工厂基础数据!$D$2:$D$1024,0))</f>
        <v>山东康为医药有限公司</v>
      </c>
      <c r="F1630" s="6" t="e">
        <f>INDEX(商业2转码!$B$2:$B$10000,MATCH(E1630,商业2转码!$A$2:$A$10000,0))</f>
        <v>#N/A</v>
      </c>
      <c r="G1630" s="6">
        <f>INDEX(品种2编码!$A$2:$A$1048576,MATCH(W1630,品种2编码!$D$2:$D$1048576,0))</f>
        <v>0</v>
      </c>
      <c r="H1630" s="6" t="s">
        <v>338</v>
      </c>
      <c r="I1630" s="6" t="s">
        <v>341</v>
      </c>
      <c r="J1630" s="6" t="s">
        <v>3037</v>
      </c>
      <c r="L1630" s="6" t="s">
        <v>3367</v>
      </c>
      <c r="M1630" s="6" t="e">
        <f>INDEX(医院2县区2人!$B$2:$B$1048576,MATCH(L1630,医院2县区2人!$A$2:$A$1048576,0))</f>
        <v>#N/A</v>
      </c>
      <c r="N1630" s="6" t="e">
        <f>INDEX(医院2县区2人!$C$2:$C$1048576,MATCH(L1630,医院2县区2人!$A$2:$A$1048576,0))</f>
        <v>#N/A</v>
      </c>
      <c r="P1630" s="7">
        <v>43256</v>
      </c>
      <c r="Q1630" s="6">
        <v>2</v>
      </c>
      <c r="S1630" s="6">
        <v>1503509</v>
      </c>
      <c r="T1630" s="6" t="e">
        <f>INDEX(医院2县区2人!$D$2:$D$1048576,MATCH(L1630,医院2县区2人!$A$2:$A$1048576,0))</f>
        <v>#N/A</v>
      </c>
      <c r="W1630" s="6" t="str">
        <f t="shared" si="53"/>
        <v>丹佛胃尔康颗粒10g*8袋</v>
      </c>
      <c r="X1630" s="6" t="s">
        <v>2907</v>
      </c>
    </row>
    <row r="1631" spans="1:24" x14ac:dyDescent="0.15">
      <c r="A1631" s="7" t="str">
        <f t="shared" si="54"/>
        <v>201806</v>
      </c>
      <c r="C1631" s="6" t="str">
        <f>INDEX(工厂基础数据!$A$2:$A$1024,MATCH(X1631,工厂基础数据!$D$2:$D$1024,0))</f>
        <v>02029238</v>
      </c>
      <c r="E1631" s="6" t="str">
        <f>INDEX(工厂基础数据!$B$2:$B$1024,MATCH(X1631,工厂基础数据!$D$2:$D$1024,0))</f>
        <v>山东康为医药有限公司</v>
      </c>
      <c r="F1631" s="6" t="e">
        <f>INDEX(商业2转码!$B$2:$B$10000,MATCH(E1631,商业2转码!$A$2:$A$10000,0))</f>
        <v>#N/A</v>
      </c>
      <c r="G1631" s="6" t="str">
        <f>INDEX(品种2编码!$A$2:$A$1048576,MATCH(W1631,品种2编码!$D$2:$D$1048576,0))</f>
        <v>0020040020SHYT0007</v>
      </c>
      <c r="H1631" s="6" t="s">
        <v>338</v>
      </c>
      <c r="I1631" s="6" t="s">
        <v>1866</v>
      </c>
      <c r="J1631" s="6" t="s">
        <v>3037</v>
      </c>
      <c r="L1631" s="6" t="s">
        <v>3367</v>
      </c>
      <c r="M1631" s="6" t="e">
        <f>INDEX(医院2县区2人!$B$2:$B$1048576,MATCH(L1631,医院2县区2人!$A$2:$A$1048576,0))</f>
        <v>#N/A</v>
      </c>
      <c r="N1631" s="6" t="e">
        <f>INDEX(医院2县区2人!$C$2:$C$1048576,MATCH(L1631,医院2县区2人!$A$2:$A$1048576,0))</f>
        <v>#N/A</v>
      </c>
      <c r="P1631" s="7">
        <v>43256</v>
      </c>
      <c r="Q1631" s="6">
        <v>8</v>
      </c>
      <c r="S1631" s="6">
        <v>1703506</v>
      </c>
      <c r="T1631" s="6" t="e">
        <f>INDEX(医院2县区2人!$D$2:$D$1048576,MATCH(L1631,医院2县区2人!$A$2:$A$1048576,0))</f>
        <v>#N/A</v>
      </c>
      <c r="W1631" s="6" t="str">
        <f t="shared" si="53"/>
        <v>丹佛胃尔康颗粒10g*6袋</v>
      </c>
      <c r="X1631" s="6" t="s">
        <v>2907</v>
      </c>
    </row>
    <row r="1632" spans="1:24" x14ac:dyDescent="0.15">
      <c r="A1632" s="7" t="str">
        <f t="shared" si="54"/>
        <v>201806</v>
      </c>
      <c r="C1632" s="6" t="str">
        <f>INDEX(工厂基础数据!$A$2:$A$1024,MATCH(X1632,工厂基础数据!$D$2:$D$1024,0))</f>
        <v>02029238</v>
      </c>
      <c r="E1632" s="6" t="str">
        <f>INDEX(工厂基础数据!$B$2:$B$1024,MATCH(X1632,工厂基础数据!$D$2:$D$1024,0))</f>
        <v>山东康为医药有限公司</v>
      </c>
      <c r="F1632" s="6" t="e">
        <f>INDEX(商业2转码!$B$2:$B$10000,MATCH(E1632,商业2转码!$A$2:$A$10000,0))</f>
        <v>#N/A</v>
      </c>
      <c r="G1632" s="6" t="str">
        <f>INDEX(品种2编码!$A$2:$A$1048576,MATCH(W1632,品种2编码!$D$2:$D$1048576,0))</f>
        <v>0020040020SHYT0007</v>
      </c>
      <c r="H1632" s="6" t="s">
        <v>338</v>
      </c>
      <c r="I1632" s="6" t="s">
        <v>1866</v>
      </c>
      <c r="J1632" s="6" t="s">
        <v>3037</v>
      </c>
      <c r="L1632" s="6" t="s">
        <v>3368</v>
      </c>
      <c r="M1632" s="6" t="e">
        <f>INDEX(医院2县区2人!$B$2:$B$1048576,MATCH(L1632,医院2县区2人!$A$2:$A$1048576,0))</f>
        <v>#N/A</v>
      </c>
      <c r="N1632" s="6" t="e">
        <f>INDEX(医院2县区2人!$C$2:$C$1048576,MATCH(L1632,医院2县区2人!$A$2:$A$1048576,0))</f>
        <v>#N/A</v>
      </c>
      <c r="P1632" s="7">
        <v>43256</v>
      </c>
      <c r="Q1632" s="6">
        <v>7</v>
      </c>
      <c r="S1632" s="6">
        <v>1703506</v>
      </c>
      <c r="T1632" s="6" t="e">
        <f>INDEX(医院2县区2人!$D$2:$D$1048576,MATCH(L1632,医院2县区2人!$A$2:$A$1048576,0))</f>
        <v>#N/A</v>
      </c>
      <c r="W1632" s="6" t="str">
        <f t="shared" si="53"/>
        <v>丹佛胃尔康颗粒10g*6袋</v>
      </c>
      <c r="X1632" s="6" t="s">
        <v>2907</v>
      </c>
    </row>
    <row r="1633" spans="1:24" x14ac:dyDescent="0.15">
      <c r="A1633" s="7" t="str">
        <f t="shared" si="54"/>
        <v>201806</v>
      </c>
      <c r="C1633" s="6" t="str">
        <f>INDEX(工厂基础数据!$A$2:$A$1024,MATCH(X1633,工厂基础数据!$D$2:$D$1024,0))</f>
        <v>02029238</v>
      </c>
      <c r="E1633" s="6" t="str">
        <f>INDEX(工厂基础数据!$B$2:$B$1024,MATCH(X1633,工厂基础数据!$D$2:$D$1024,0))</f>
        <v>山东康为医药有限公司</v>
      </c>
      <c r="F1633" s="6" t="e">
        <f>INDEX(商业2转码!$B$2:$B$10000,MATCH(E1633,商业2转码!$A$2:$A$10000,0))</f>
        <v>#N/A</v>
      </c>
      <c r="G1633" s="6" t="str">
        <f>INDEX(品种2编码!$A$2:$A$1048576,MATCH(W1633,品种2编码!$D$2:$D$1048576,0))</f>
        <v>0020040020SHYT0007</v>
      </c>
      <c r="H1633" s="6" t="s">
        <v>338</v>
      </c>
      <c r="I1633" s="6" t="s">
        <v>1866</v>
      </c>
      <c r="J1633" s="6" t="s">
        <v>3037</v>
      </c>
      <c r="L1633" s="6" t="s">
        <v>3369</v>
      </c>
      <c r="M1633" s="6" t="e">
        <f>INDEX(医院2县区2人!$B$2:$B$1048576,MATCH(L1633,医院2县区2人!$A$2:$A$1048576,0))</f>
        <v>#N/A</v>
      </c>
      <c r="N1633" s="6" t="e">
        <f>INDEX(医院2县区2人!$C$2:$C$1048576,MATCH(L1633,医院2县区2人!$A$2:$A$1048576,0))</f>
        <v>#N/A</v>
      </c>
      <c r="P1633" s="7">
        <v>43256</v>
      </c>
      <c r="Q1633" s="6">
        <v>8</v>
      </c>
      <c r="S1633" s="6">
        <v>1703506</v>
      </c>
      <c r="T1633" s="6" t="e">
        <f>INDEX(医院2县区2人!$D$2:$D$1048576,MATCH(L1633,医院2县区2人!$A$2:$A$1048576,0))</f>
        <v>#N/A</v>
      </c>
      <c r="W1633" s="6" t="str">
        <f t="shared" si="53"/>
        <v>丹佛胃尔康颗粒10g*6袋</v>
      </c>
      <c r="X1633" s="6" t="s">
        <v>2907</v>
      </c>
    </row>
    <row r="1634" spans="1:24" x14ac:dyDescent="0.15">
      <c r="A1634" s="7" t="str">
        <f t="shared" si="54"/>
        <v>201806</v>
      </c>
      <c r="C1634" s="6" t="str">
        <f>INDEX(工厂基础数据!$A$2:$A$1024,MATCH(X1634,工厂基础数据!$D$2:$D$1024,0))</f>
        <v>02029238</v>
      </c>
      <c r="E1634" s="6" t="str">
        <f>INDEX(工厂基础数据!$B$2:$B$1024,MATCH(X1634,工厂基础数据!$D$2:$D$1024,0))</f>
        <v>山东康为医药有限公司</v>
      </c>
      <c r="F1634" s="6" t="e">
        <f>INDEX(商业2转码!$B$2:$B$10000,MATCH(E1634,商业2转码!$A$2:$A$10000,0))</f>
        <v>#N/A</v>
      </c>
      <c r="G1634" s="6" t="str">
        <f>INDEX(品种2编码!$A$2:$A$1048576,MATCH(W1634,品种2编码!$D$2:$D$1048576,0))</f>
        <v>0020020021ZYLC0004</v>
      </c>
      <c r="H1634" s="6" t="s">
        <v>1868</v>
      </c>
      <c r="I1634" s="6" t="s">
        <v>1869</v>
      </c>
      <c r="J1634" s="6" t="s">
        <v>3036</v>
      </c>
      <c r="L1634" s="6" t="s">
        <v>3369</v>
      </c>
      <c r="M1634" s="6" t="e">
        <f>INDEX(医院2县区2人!$B$2:$B$1048576,MATCH(L1634,医院2县区2人!$A$2:$A$1048576,0))</f>
        <v>#N/A</v>
      </c>
      <c r="N1634" s="6" t="e">
        <f>INDEX(医院2县区2人!$C$2:$C$1048576,MATCH(L1634,医院2县区2人!$A$2:$A$1048576,0))</f>
        <v>#N/A</v>
      </c>
      <c r="P1634" s="7">
        <v>43256</v>
      </c>
      <c r="Q1634" s="6">
        <v>150</v>
      </c>
      <c r="S1634" s="6">
        <v>171101</v>
      </c>
      <c r="T1634" s="6" t="e">
        <f>INDEX(医院2县区2人!$D$2:$D$1048576,MATCH(L1634,医院2县区2人!$A$2:$A$1048576,0))</f>
        <v>#N/A</v>
      </c>
      <c r="W1634" s="6" t="str">
        <f t="shared" si="53"/>
        <v>罗红霉素分散片/大严迪75mg*12片</v>
      </c>
      <c r="X1634" s="6" t="s">
        <v>2907</v>
      </c>
    </row>
    <row r="1635" spans="1:24" x14ac:dyDescent="0.15">
      <c r="A1635" s="7" t="str">
        <f t="shared" si="54"/>
        <v>201806</v>
      </c>
      <c r="C1635" s="6" t="str">
        <f>INDEX(工厂基础数据!$A$2:$A$1024,MATCH(X1635,工厂基础数据!$D$2:$D$1024,0))</f>
        <v>02029238</v>
      </c>
      <c r="E1635" s="6" t="str">
        <f>INDEX(工厂基础数据!$B$2:$B$1024,MATCH(X1635,工厂基础数据!$D$2:$D$1024,0))</f>
        <v>山东康为医药有限公司</v>
      </c>
      <c r="F1635" s="6" t="e">
        <f>INDEX(商业2转码!$B$2:$B$10000,MATCH(E1635,商业2转码!$A$2:$A$10000,0))</f>
        <v>#N/A</v>
      </c>
      <c r="G1635" s="6">
        <f>INDEX(品种2编码!$A$2:$A$1048576,MATCH(W1635,品种2编码!$D$2:$D$1048576,0))</f>
        <v>0</v>
      </c>
      <c r="H1635" s="6" t="s">
        <v>1857</v>
      </c>
      <c r="I1635" s="6" t="s">
        <v>3454</v>
      </c>
      <c r="J1635" s="6" t="s">
        <v>3037</v>
      </c>
      <c r="L1635" s="6" t="s">
        <v>3369</v>
      </c>
      <c r="M1635" s="6" t="e">
        <f>INDEX(医院2县区2人!$B$2:$B$1048576,MATCH(L1635,医院2县区2人!$A$2:$A$1048576,0))</f>
        <v>#N/A</v>
      </c>
      <c r="N1635" s="6" t="e">
        <f>INDEX(医院2县区2人!$C$2:$C$1048576,MATCH(L1635,医院2县区2人!$A$2:$A$1048576,0))</f>
        <v>#N/A</v>
      </c>
      <c r="P1635" s="7">
        <v>43256</v>
      </c>
      <c r="Q1635" s="6">
        <v>5</v>
      </c>
      <c r="S1635" s="6">
        <v>1703407</v>
      </c>
      <c r="T1635" s="6" t="e">
        <f>INDEX(医院2县区2人!$D$2:$D$1048576,MATCH(L1635,医院2县区2人!$A$2:$A$1048576,0))</f>
        <v>#N/A</v>
      </c>
      <c r="W1635" s="6" t="str">
        <f t="shared" si="53"/>
        <v>妇宁栓7枚</v>
      </c>
      <c r="X1635" s="6" t="s">
        <v>2907</v>
      </c>
    </row>
    <row r="1636" spans="1:24" x14ac:dyDescent="0.15">
      <c r="A1636" s="7" t="str">
        <f t="shared" si="54"/>
        <v>201806</v>
      </c>
      <c r="C1636" s="6" t="str">
        <f>INDEX(工厂基础数据!$A$2:$A$1024,MATCH(X1636,工厂基础数据!$D$2:$D$1024,0))</f>
        <v>02029238</v>
      </c>
      <c r="E1636" s="6" t="str">
        <f>INDEX(工厂基础数据!$B$2:$B$1024,MATCH(X1636,工厂基础数据!$D$2:$D$1024,0))</f>
        <v>山东康为医药有限公司</v>
      </c>
      <c r="F1636" s="6" t="e">
        <f>INDEX(商业2转码!$B$2:$B$10000,MATCH(E1636,商业2转码!$A$2:$A$10000,0))</f>
        <v>#N/A</v>
      </c>
      <c r="G1636" s="6" t="str">
        <f>INDEX(品种2编码!$A$2:$A$1048576,MATCH(W1636,品种2编码!$D$2:$D$1048576,0))</f>
        <v>0020030001SJZY0009</v>
      </c>
      <c r="H1636" s="6" t="s">
        <v>1949</v>
      </c>
      <c r="I1636" s="6" t="s">
        <v>411</v>
      </c>
      <c r="J1636" s="6" t="s">
        <v>3040</v>
      </c>
      <c r="L1636" s="6" t="s">
        <v>3369</v>
      </c>
      <c r="M1636" s="6" t="e">
        <f>INDEX(医院2县区2人!$B$2:$B$1048576,MATCH(L1636,医院2县区2人!$A$2:$A$1048576,0))</f>
        <v>#N/A</v>
      </c>
      <c r="N1636" s="6" t="e">
        <f>INDEX(医院2县区2人!$C$2:$C$1048576,MATCH(L1636,医院2县区2人!$A$2:$A$1048576,0))</f>
        <v>#N/A</v>
      </c>
      <c r="P1636" s="7">
        <v>43256</v>
      </c>
      <c r="Q1636" s="6">
        <v>10</v>
      </c>
      <c r="S1636" s="6">
        <v>18020527</v>
      </c>
      <c r="T1636" s="6" t="e">
        <f>INDEX(医院2县区2人!$D$2:$D$1048576,MATCH(L1636,医院2县区2人!$A$2:$A$1048576,0))</f>
        <v>#N/A</v>
      </c>
      <c r="W1636" s="6" t="str">
        <f t="shared" si="53"/>
        <v>葡萄糖酸锌口服溶液10ml*12支</v>
      </c>
      <c r="X1636" s="6" t="s">
        <v>2907</v>
      </c>
    </row>
    <row r="1637" spans="1:24" x14ac:dyDescent="0.15">
      <c r="A1637" s="7" t="str">
        <f t="shared" si="54"/>
        <v>201806</v>
      </c>
      <c r="C1637" s="6" t="str">
        <f>INDEX(工厂基础数据!$A$2:$A$1024,MATCH(X1637,工厂基础数据!$D$2:$D$1024,0))</f>
        <v>02029238</v>
      </c>
      <c r="E1637" s="6" t="str">
        <f>INDEX(工厂基础数据!$B$2:$B$1024,MATCH(X1637,工厂基础数据!$D$2:$D$1024,0))</f>
        <v>山东康为医药有限公司</v>
      </c>
      <c r="F1637" s="6" t="e">
        <f>INDEX(商业2转码!$B$2:$B$10000,MATCH(E1637,商业2转码!$A$2:$A$10000,0))</f>
        <v>#N/A</v>
      </c>
      <c r="G1637" s="6" t="str">
        <f>INDEX(品种2编码!$A$2:$A$1048576,MATCH(W1637,品种2编码!$D$2:$D$1048576,0))</f>
        <v>0020050090ZYEC0007</v>
      </c>
      <c r="H1637" s="6" t="s">
        <v>607</v>
      </c>
      <c r="I1637" s="6" t="s">
        <v>1850</v>
      </c>
      <c r="J1637" s="6" t="s">
        <v>3041</v>
      </c>
      <c r="L1637" s="6" t="s">
        <v>3369</v>
      </c>
      <c r="M1637" s="6" t="e">
        <f>INDEX(医院2县区2人!$B$2:$B$1048576,MATCH(L1637,医院2县区2人!$A$2:$A$1048576,0))</f>
        <v>#N/A</v>
      </c>
      <c r="N1637" s="6" t="e">
        <f>INDEX(医院2县区2人!$C$2:$C$1048576,MATCH(L1637,医院2县区2人!$A$2:$A$1048576,0))</f>
        <v>#N/A</v>
      </c>
      <c r="P1637" s="7">
        <v>43256</v>
      </c>
      <c r="Q1637" s="6">
        <v>5</v>
      </c>
      <c r="S1637" s="6">
        <v>180102</v>
      </c>
      <c r="T1637" s="6" t="e">
        <f>INDEX(医院2县区2人!$D$2:$D$1048576,MATCH(L1637,医院2县区2人!$A$2:$A$1048576,0))</f>
        <v>#N/A</v>
      </c>
      <c r="W1637" s="6" t="str">
        <f t="shared" si="53"/>
        <v>生脉饮（党参方）10ml*10支</v>
      </c>
      <c r="X1637" s="6" t="s">
        <v>2907</v>
      </c>
    </row>
    <row r="1638" spans="1:24" x14ac:dyDescent="0.15">
      <c r="A1638" s="7" t="str">
        <f t="shared" si="54"/>
        <v>201806</v>
      </c>
      <c r="C1638" s="6" t="str">
        <f>INDEX(工厂基础数据!$A$2:$A$1024,MATCH(X1638,工厂基础数据!$D$2:$D$1024,0))</f>
        <v>02029238</v>
      </c>
      <c r="E1638" s="6" t="str">
        <f>INDEX(工厂基础数据!$B$2:$B$1024,MATCH(X1638,工厂基础数据!$D$2:$D$1024,0))</f>
        <v>山东康为医药有限公司</v>
      </c>
      <c r="F1638" s="6" t="e">
        <f>INDEX(商业2转码!$B$2:$B$10000,MATCH(E1638,商业2转码!$A$2:$A$10000,0))</f>
        <v>#N/A</v>
      </c>
      <c r="G1638" s="6">
        <f>INDEX(品种2编码!$A$2:$A$1048576,MATCH(W1638,品种2编码!$D$2:$D$1048576,0))</f>
        <v>0</v>
      </c>
      <c r="H1638" s="6" t="s">
        <v>3447</v>
      </c>
      <c r="I1638" s="6" t="s">
        <v>1838</v>
      </c>
      <c r="J1638" s="6" t="s">
        <v>3036</v>
      </c>
      <c r="L1638" s="6" t="s">
        <v>3349</v>
      </c>
      <c r="M1638" s="6" t="e">
        <f>INDEX(医院2县区2人!$B$2:$B$1048576,MATCH(L1638,医院2县区2人!$A$2:$A$1048576,0))</f>
        <v>#N/A</v>
      </c>
      <c r="N1638" s="6" t="e">
        <f>INDEX(医院2县区2人!$C$2:$C$1048576,MATCH(L1638,医院2县区2人!$A$2:$A$1048576,0))</f>
        <v>#N/A</v>
      </c>
      <c r="P1638" s="7">
        <v>43256</v>
      </c>
      <c r="Q1638" s="6">
        <v>20</v>
      </c>
      <c r="S1638" s="6">
        <v>171243</v>
      </c>
      <c r="T1638" s="6" t="e">
        <f>INDEX(医院2县区2人!$D$2:$D$1048576,MATCH(L1638,医院2县区2人!$A$2:$A$1048576,0))</f>
        <v>#N/A</v>
      </c>
      <c r="W1638" s="6" t="str">
        <f t="shared" si="53"/>
        <v>新盖中盖高钙片/成人2.5g*36片</v>
      </c>
      <c r="X1638" s="6" t="s">
        <v>2907</v>
      </c>
    </row>
    <row r="1639" spans="1:24" x14ac:dyDescent="0.15">
      <c r="A1639" s="7" t="str">
        <f t="shared" si="54"/>
        <v>201806</v>
      </c>
      <c r="C1639" s="6" t="str">
        <f>INDEX(工厂基础数据!$A$2:$A$1024,MATCH(X1639,工厂基础数据!$D$2:$D$1024,0))</f>
        <v>02029238</v>
      </c>
      <c r="E1639" s="6" t="str">
        <f>INDEX(工厂基础数据!$B$2:$B$1024,MATCH(X1639,工厂基础数据!$D$2:$D$1024,0))</f>
        <v>山东康为医药有限公司</v>
      </c>
      <c r="F1639" s="6" t="e">
        <f>INDEX(商业2转码!$B$2:$B$10000,MATCH(E1639,商业2转码!$A$2:$A$10000,0))</f>
        <v>#N/A</v>
      </c>
      <c r="G1639" s="6">
        <f>INDEX(品种2编码!$A$2:$A$1048576,MATCH(W1639,品种2编码!$D$2:$D$1048576,0))</f>
        <v>0</v>
      </c>
      <c r="H1639" s="6" t="s">
        <v>3448</v>
      </c>
      <c r="I1639" s="6" t="s">
        <v>411</v>
      </c>
      <c r="J1639" s="6" t="s">
        <v>3040</v>
      </c>
      <c r="L1639" s="6" t="s">
        <v>3349</v>
      </c>
      <c r="M1639" s="6" t="e">
        <f>INDEX(医院2县区2人!$B$2:$B$1048576,MATCH(L1639,医院2县区2人!$A$2:$A$1048576,0))</f>
        <v>#N/A</v>
      </c>
      <c r="N1639" s="6" t="e">
        <f>INDEX(医院2县区2人!$C$2:$C$1048576,MATCH(L1639,医院2县区2人!$A$2:$A$1048576,0))</f>
        <v>#N/A</v>
      </c>
      <c r="P1639" s="7">
        <v>43256</v>
      </c>
      <c r="Q1639" s="6">
        <v>30</v>
      </c>
      <c r="S1639" s="6">
        <v>17122922</v>
      </c>
      <c r="T1639" s="6" t="e">
        <f>INDEX(医院2县区2人!$D$2:$D$1048576,MATCH(L1639,医院2县区2人!$A$2:$A$1048576,0))</f>
        <v>#N/A</v>
      </c>
      <c r="W1639" s="6" t="str">
        <f t="shared" si="53"/>
        <v>葡萄糖酸钙口服溶液（含糖型）10ml*12支</v>
      </c>
      <c r="X1639" s="6" t="s">
        <v>2907</v>
      </c>
    </row>
    <row r="1640" spans="1:24" x14ac:dyDescent="0.15">
      <c r="A1640" s="7" t="str">
        <f t="shared" si="54"/>
        <v>201806</v>
      </c>
      <c r="C1640" s="6" t="str">
        <f>INDEX(工厂基础数据!$A$2:$A$1024,MATCH(X1640,工厂基础数据!$D$2:$D$1024,0))</f>
        <v>02029238</v>
      </c>
      <c r="E1640" s="6" t="str">
        <f>INDEX(工厂基础数据!$B$2:$B$1024,MATCH(X1640,工厂基础数据!$D$2:$D$1024,0))</f>
        <v>山东康为医药有限公司</v>
      </c>
      <c r="F1640" s="6" t="e">
        <f>INDEX(商业2转码!$B$2:$B$10000,MATCH(E1640,商业2转码!$A$2:$A$10000,0))</f>
        <v>#N/A</v>
      </c>
      <c r="G1640" s="6">
        <f>INDEX(品种2编码!$A$2:$A$1048576,MATCH(W1640,品种2编码!$D$2:$D$1048576,0))</f>
        <v>0</v>
      </c>
      <c r="H1640" s="6" t="s">
        <v>3450</v>
      </c>
      <c r="I1640" s="6" t="s">
        <v>1871</v>
      </c>
      <c r="J1640" s="6" t="s">
        <v>3045</v>
      </c>
      <c r="L1640" s="6" t="s">
        <v>3370</v>
      </c>
      <c r="M1640" s="6" t="e">
        <f>INDEX(医院2县区2人!$B$2:$B$1048576,MATCH(L1640,医院2县区2人!$A$2:$A$1048576,0))</f>
        <v>#N/A</v>
      </c>
      <c r="N1640" s="6" t="e">
        <f>INDEX(医院2县区2人!$C$2:$C$1048576,MATCH(L1640,医院2县区2人!$A$2:$A$1048576,0))</f>
        <v>#N/A</v>
      </c>
      <c r="P1640" s="7">
        <v>43257</v>
      </c>
      <c r="Q1640" s="6">
        <v>5</v>
      </c>
      <c r="S1640" s="6">
        <v>1709003</v>
      </c>
      <c r="T1640" s="6" t="e">
        <f>INDEX(医院2县区2人!$D$2:$D$1048576,MATCH(L1640,医院2县区2人!$A$2:$A$1048576,0))</f>
        <v>#N/A</v>
      </c>
      <c r="W1640" s="6" t="str">
        <f t="shared" si="53"/>
        <v>复方铝酸铋片/胃必治50片</v>
      </c>
      <c r="X1640" s="6" t="s">
        <v>2907</v>
      </c>
    </row>
    <row r="1641" spans="1:24" x14ac:dyDescent="0.15">
      <c r="A1641" s="7" t="str">
        <f t="shared" si="54"/>
        <v>201806</v>
      </c>
      <c r="C1641" s="6" t="str">
        <f>INDEX(工厂基础数据!$A$2:$A$1024,MATCH(X1641,工厂基础数据!$D$2:$D$1024,0))</f>
        <v>02029238</v>
      </c>
      <c r="E1641" s="6" t="str">
        <f>INDEX(工厂基础数据!$B$2:$B$1024,MATCH(X1641,工厂基础数据!$D$2:$D$1024,0))</f>
        <v>山东康为医药有限公司</v>
      </c>
      <c r="F1641" s="6" t="e">
        <f>INDEX(商业2转码!$B$2:$B$10000,MATCH(E1641,商业2转码!$A$2:$A$10000,0))</f>
        <v>#N/A</v>
      </c>
      <c r="G1641" s="6">
        <f>INDEX(品种2编码!$A$2:$A$1048576,MATCH(W1641,品种2编码!$D$2:$D$1048576,0))</f>
        <v>0</v>
      </c>
      <c r="H1641" s="6" t="s">
        <v>3448</v>
      </c>
      <c r="I1641" s="6" t="s">
        <v>411</v>
      </c>
      <c r="J1641" s="6" t="s">
        <v>3040</v>
      </c>
      <c r="L1641" s="6" t="s">
        <v>3370</v>
      </c>
      <c r="M1641" s="6" t="e">
        <f>INDEX(医院2县区2人!$B$2:$B$1048576,MATCH(L1641,医院2县区2人!$A$2:$A$1048576,0))</f>
        <v>#N/A</v>
      </c>
      <c r="N1641" s="6" t="e">
        <f>INDEX(医院2县区2人!$C$2:$C$1048576,MATCH(L1641,医院2县区2人!$A$2:$A$1048576,0))</f>
        <v>#N/A</v>
      </c>
      <c r="P1641" s="7">
        <v>43257</v>
      </c>
      <c r="Q1641" s="6">
        <v>10</v>
      </c>
      <c r="S1641" s="6">
        <v>17122922</v>
      </c>
      <c r="T1641" s="6" t="e">
        <f>INDEX(医院2县区2人!$D$2:$D$1048576,MATCH(L1641,医院2县区2人!$A$2:$A$1048576,0))</f>
        <v>#N/A</v>
      </c>
      <c r="W1641" s="6" t="str">
        <f t="shared" si="53"/>
        <v>葡萄糖酸钙口服溶液（含糖型）10ml*12支</v>
      </c>
      <c r="X1641" s="6" t="s">
        <v>2907</v>
      </c>
    </row>
    <row r="1642" spans="1:24" x14ac:dyDescent="0.15">
      <c r="A1642" s="7" t="str">
        <f t="shared" si="54"/>
        <v>201806</v>
      </c>
      <c r="C1642" s="6" t="str">
        <f>INDEX(工厂基础数据!$A$2:$A$1024,MATCH(X1642,工厂基础数据!$D$2:$D$1024,0))</f>
        <v>02029238</v>
      </c>
      <c r="E1642" s="6" t="str">
        <f>INDEX(工厂基础数据!$B$2:$B$1024,MATCH(X1642,工厂基础数据!$D$2:$D$1024,0))</f>
        <v>山东康为医药有限公司</v>
      </c>
      <c r="F1642" s="6" t="e">
        <f>INDEX(商业2转码!$B$2:$B$10000,MATCH(E1642,商业2转码!$A$2:$A$10000,0))</f>
        <v>#N/A</v>
      </c>
      <c r="G1642" s="6" t="str">
        <f>INDEX(品种2编码!$A$2:$A$1048576,MATCH(W1642,品种2编码!$D$2:$D$1048576,0))</f>
        <v>0020030001SJZY0009</v>
      </c>
      <c r="H1642" s="6" t="s">
        <v>1949</v>
      </c>
      <c r="I1642" s="6" t="s">
        <v>411</v>
      </c>
      <c r="J1642" s="6" t="s">
        <v>3040</v>
      </c>
      <c r="L1642" s="6" t="s">
        <v>3370</v>
      </c>
      <c r="M1642" s="6" t="e">
        <f>INDEX(医院2县区2人!$B$2:$B$1048576,MATCH(L1642,医院2县区2人!$A$2:$A$1048576,0))</f>
        <v>#N/A</v>
      </c>
      <c r="N1642" s="6" t="e">
        <f>INDEX(医院2县区2人!$C$2:$C$1048576,MATCH(L1642,医院2县区2人!$A$2:$A$1048576,0))</f>
        <v>#N/A</v>
      </c>
      <c r="P1642" s="7">
        <v>43257</v>
      </c>
      <c r="Q1642" s="6">
        <v>20</v>
      </c>
      <c r="S1642" s="6">
        <v>18020527</v>
      </c>
      <c r="T1642" s="6" t="e">
        <f>INDEX(医院2县区2人!$D$2:$D$1048576,MATCH(L1642,医院2县区2人!$A$2:$A$1048576,0))</f>
        <v>#N/A</v>
      </c>
      <c r="W1642" s="6" t="str">
        <f t="shared" si="53"/>
        <v>葡萄糖酸锌口服溶液10ml*12支</v>
      </c>
      <c r="X1642" s="6" t="s">
        <v>2907</v>
      </c>
    </row>
    <row r="1643" spans="1:24" x14ac:dyDescent="0.15">
      <c r="A1643" s="7" t="str">
        <f t="shared" si="54"/>
        <v>201806</v>
      </c>
      <c r="C1643" s="6" t="str">
        <f>INDEX(工厂基础数据!$A$2:$A$1024,MATCH(X1643,工厂基础数据!$D$2:$D$1024,0))</f>
        <v>02029238</v>
      </c>
      <c r="E1643" s="6" t="str">
        <f>INDEX(工厂基础数据!$B$2:$B$1024,MATCH(X1643,工厂基础数据!$D$2:$D$1024,0))</f>
        <v>山东康为医药有限公司</v>
      </c>
      <c r="F1643" s="6" t="e">
        <f>INDEX(商业2转码!$B$2:$B$10000,MATCH(E1643,商业2转码!$A$2:$A$10000,0))</f>
        <v>#N/A</v>
      </c>
      <c r="G1643" s="6" t="str">
        <f>INDEX(品种2编码!$A$2:$A$1048576,MATCH(W1643,品种2编码!$D$2:$D$1048576,0))</f>
        <v>0020020020SJMS0008</v>
      </c>
      <c r="H1643" s="6" t="s">
        <v>1904</v>
      </c>
      <c r="I1643" s="6" t="s">
        <v>1873</v>
      </c>
      <c r="J1643" s="6" t="s">
        <v>3046</v>
      </c>
      <c r="L1643" s="6" t="s">
        <v>3371</v>
      </c>
      <c r="M1643" s="6" t="e">
        <f>INDEX(医院2县区2人!$B$2:$B$1048576,MATCH(L1643,医院2县区2人!$A$2:$A$1048576,0))</f>
        <v>#N/A</v>
      </c>
      <c r="N1643" s="6" t="e">
        <f>INDEX(医院2县区2人!$C$2:$C$1048576,MATCH(L1643,医院2县区2人!$A$2:$A$1048576,0))</f>
        <v>#N/A</v>
      </c>
      <c r="P1643" s="7">
        <v>43257</v>
      </c>
      <c r="Q1643" s="6">
        <v>10</v>
      </c>
      <c r="S1643" s="6">
        <v>1801004</v>
      </c>
      <c r="T1643" s="6" t="e">
        <f>INDEX(医院2县区2人!$D$2:$D$1048576,MATCH(L1643,医院2县区2人!$A$2:$A$1048576,0))</f>
        <v>#N/A</v>
      </c>
      <c r="W1643" s="6" t="str">
        <f t="shared" si="53"/>
        <v>拉西地平片/三精司乐平片4mg*15片</v>
      </c>
      <c r="X1643" s="6" t="s">
        <v>2907</v>
      </c>
    </row>
    <row r="1644" spans="1:24" x14ac:dyDescent="0.15">
      <c r="A1644" s="7" t="str">
        <f t="shared" si="54"/>
        <v>201806</v>
      </c>
      <c r="C1644" s="6" t="str">
        <f>INDEX(工厂基础数据!$A$2:$A$1024,MATCH(X1644,工厂基础数据!$D$2:$D$1024,0))</f>
        <v>02029238</v>
      </c>
      <c r="E1644" s="6" t="str">
        <f>INDEX(工厂基础数据!$B$2:$B$1024,MATCH(X1644,工厂基础数据!$D$2:$D$1024,0))</f>
        <v>山东康为医药有限公司</v>
      </c>
      <c r="F1644" s="6" t="e">
        <f>INDEX(商业2转码!$B$2:$B$10000,MATCH(E1644,商业2转码!$A$2:$A$10000,0))</f>
        <v>#N/A</v>
      </c>
      <c r="G1644" s="6" t="str">
        <f>INDEX(品种2编码!$A$2:$A$1048576,MATCH(W1644,品种2编码!$D$2:$D$1048576,0))</f>
        <v>0020020021ZYLC0012</v>
      </c>
      <c r="H1644" s="6" t="s">
        <v>292</v>
      </c>
      <c r="I1644" s="6" t="s">
        <v>1959</v>
      </c>
      <c r="J1644" s="6" t="s">
        <v>3036</v>
      </c>
      <c r="L1644" s="6" t="s">
        <v>3372</v>
      </c>
      <c r="M1644" s="6" t="e">
        <f>INDEX(医院2县区2人!$B$2:$B$1048576,MATCH(L1644,医院2县区2人!$A$2:$A$1048576,0))</f>
        <v>#N/A</v>
      </c>
      <c r="N1644" s="6" t="e">
        <f>INDEX(医院2县区2人!$C$2:$C$1048576,MATCH(L1644,医院2县区2人!$A$2:$A$1048576,0))</f>
        <v>#N/A</v>
      </c>
      <c r="P1644" s="7">
        <v>43257</v>
      </c>
      <c r="Q1644" s="6">
        <v>50</v>
      </c>
      <c r="S1644" s="6">
        <v>180201</v>
      </c>
      <c r="T1644" s="6" t="e">
        <f>INDEX(医院2县区2人!$D$2:$D$1048576,MATCH(L1644,医院2县区2人!$A$2:$A$1048576,0))</f>
        <v>#N/A</v>
      </c>
      <c r="W1644" s="6" t="str">
        <f t="shared" si="53"/>
        <v>阿奇霉素分散片0.25g*6片</v>
      </c>
      <c r="X1644" s="6" t="s">
        <v>2907</v>
      </c>
    </row>
    <row r="1645" spans="1:24" x14ac:dyDescent="0.15">
      <c r="A1645" s="7" t="str">
        <f t="shared" si="54"/>
        <v>201806</v>
      </c>
      <c r="C1645" s="6" t="str">
        <f>INDEX(工厂基础数据!$A$2:$A$1024,MATCH(X1645,工厂基础数据!$D$2:$D$1024,0))</f>
        <v>02029238</v>
      </c>
      <c r="E1645" s="6" t="str">
        <f>INDEX(工厂基础数据!$B$2:$B$1024,MATCH(X1645,工厂基础数据!$D$2:$D$1024,0))</f>
        <v>山东康为医药有限公司</v>
      </c>
      <c r="F1645" s="6" t="e">
        <f>INDEX(商业2转码!$B$2:$B$10000,MATCH(E1645,商业2转码!$A$2:$A$10000,0))</f>
        <v>#N/A</v>
      </c>
      <c r="G1645" s="6">
        <f>INDEX(品种2编码!$A$2:$A$1048576,MATCH(W1645,品种2编码!$D$2:$D$1048576,0))</f>
        <v>0</v>
      </c>
      <c r="H1645" s="6" t="s">
        <v>3448</v>
      </c>
      <c r="I1645" s="6" t="s">
        <v>411</v>
      </c>
      <c r="J1645" s="6" t="s">
        <v>3040</v>
      </c>
      <c r="L1645" s="6" t="s">
        <v>3373</v>
      </c>
      <c r="M1645" s="6" t="e">
        <f>INDEX(医院2县区2人!$B$2:$B$1048576,MATCH(L1645,医院2县区2人!$A$2:$A$1048576,0))</f>
        <v>#N/A</v>
      </c>
      <c r="N1645" s="6" t="e">
        <f>INDEX(医院2县区2人!$C$2:$C$1048576,MATCH(L1645,医院2县区2人!$A$2:$A$1048576,0))</f>
        <v>#N/A</v>
      </c>
      <c r="P1645" s="7">
        <v>43257</v>
      </c>
      <c r="Q1645" s="6">
        <v>20</v>
      </c>
      <c r="S1645" s="6">
        <v>17122922</v>
      </c>
      <c r="T1645" s="6" t="e">
        <f>INDEX(医院2县区2人!$D$2:$D$1048576,MATCH(L1645,医院2县区2人!$A$2:$A$1048576,0))</f>
        <v>#N/A</v>
      </c>
      <c r="W1645" s="6" t="str">
        <f t="shared" si="53"/>
        <v>葡萄糖酸钙口服溶液（含糖型）10ml*12支</v>
      </c>
      <c r="X1645" s="6" t="s">
        <v>2907</v>
      </c>
    </row>
    <row r="1646" spans="1:24" x14ac:dyDescent="0.15">
      <c r="A1646" s="7" t="str">
        <f t="shared" si="54"/>
        <v>201806</v>
      </c>
      <c r="C1646" s="6" t="str">
        <f>INDEX(工厂基础数据!$A$2:$A$1024,MATCH(X1646,工厂基础数据!$D$2:$D$1024,0))</f>
        <v>02029238</v>
      </c>
      <c r="E1646" s="6" t="str">
        <f>INDEX(工厂基础数据!$B$2:$B$1024,MATCH(X1646,工厂基础数据!$D$2:$D$1024,0))</f>
        <v>山东康为医药有限公司</v>
      </c>
      <c r="F1646" s="6" t="e">
        <f>INDEX(商业2转码!$B$2:$B$10000,MATCH(E1646,商业2转码!$A$2:$A$10000,0))</f>
        <v>#N/A</v>
      </c>
      <c r="G1646" s="6" t="str">
        <f>INDEX(品种2编码!$A$2:$A$1048576,MATCH(W1646,品种2编码!$D$2:$D$1048576,0))</f>
        <v>0020030001SJZY0009</v>
      </c>
      <c r="H1646" s="6" t="s">
        <v>1949</v>
      </c>
      <c r="I1646" s="6" t="s">
        <v>411</v>
      </c>
      <c r="J1646" s="6" t="s">
        <v>3040</v>
      </c>
      <c r="L1646" s="6" t="s">
        <v>3373</v>
      </c>
      <c r="M1646" s="6" t="e">
        <f>INDEX(医院2县区2人!$B$2:$B$1048576,MATCH(L1646,医院2县区2人!$A$2:$A$1048576,0))</f>
        <v>#N/A</v>
      </c>
      <c r="N1646" s="6" t="e">
        <f>INDEX(医院2县区2人!$C$2:$C$1048576,MATCH(L1646,医院2县区2人!$A$2:$A$1048576,0))</f>
        <v>#N/A</v>
      </c>
      <c r="P1646" s="7">
        <v>43257</v>
      </c>
      <c r="Q1646" s="6">
        <v>20</v>
      </c>
      <c r="S1646" s="6">
        <v>18020527</v>
      </c>
      <c r="T1646" s="6" t="e">
        <f>INDEX(医院2县区2人!$D$2:$D$1048576,MATCH(L1646,医院2县区2人!$A$2:$A$1048576,0))</f>
        <v>#N/A</v>
      </c>
      <c r="W1646" s="6" t="str">
        <f t="shared" si="53"/>
        <v>葡萄糖酸锌口服溶液10ml*12支</v>
      </c>
      <c r="X1646" s="6" t="s">
        <v>2907</v>
      </c>
    </row>
    <row r="1647" spans="1:24" x14ac:dyDescent="0.15">
      <c r="A1647" s="7" t="str">
        <f t="shared" si="54"/>
        <v>201806</v>
      </c>
      <c r="C1647" s="6" t="str">
        <f>INDEX(工厂基础数据!$A$2:$A$1024,MATCH(X1647,工厂基础数据!$D$2:$D$1024,0))</f>
        <v>02029238</v>
      </c>
      <c r="E1647" s="6" t="str">
        <f>INDEX(工厂基础数据!$B$2:$B$1024,MATCH(X1647,工厂基础数据!$D$2:$D$1024,0))</f>
        <v>山东康为医药有限公司</v>
      </c>
      <c r="F1647" s="6" t="e">
        <f>INDEX(商业2转码!$B$2:$B$10000,MATCH(E1647,商业2转码!$A$2:$A$10000,0))</f>
        <v>#N/A</v>
      </c>
      <c r="G1647" s="6" t="str">
        <f>INDEX(品种2编码!$A$2:$A$1048576,MATCH(W1647,品种2编码!$D$2:$D$1048576,0))</f>
        <v>0020020021ZYLC0012</v>
      </c>
      <c r="H1647" s="6" t="s">
        <v>292</v>
      </c>
      <c r="I1647" s="6" t="s">
        <v>1959</v>
      </c>
      <c r="J1647" s="6" t="s">
        <v>3036</v>
      </c>
      <c r="L1647" s="6" t="s">
        <v>3374</v>
      </c>
      <c r="M1647" s="6" t="e">
        <f>INDEX(医院2县区2人!$B$2:$B$1048576,MATCH(L1647,医院2县区2人!$A$2:$A$1048576,0))</f>
        <v>#N/A</v>
      </c>
      <c r="N1647" s="6" t="e">
        <f>INDEX(医院2县区2人!$C$2:$C$1048576,MATCH(L1647,医院2县区2人!$A$2:$A$1048576,0))</f>
        <v>#N/A</v>
      </c>
      <c r="P1647" s="7">
        <v>43258</v>
      </c>
      <c r="Q1647" s="6">
        <v>20</v>
      </c>
      <c r="S1647" s="6">
        <v>180201</v>
      </c>
      <c r="T1647" s="6" t="e">
        <f>INDEX(医院2县区2人!$D$2:$D$1048576,MATCH(L1647,医院2县区2人!$A$2:$A$1048576,0))</f>
        <v>#N/A</v>
      </c>
      <c r="W1647" s="6" t="str">
        <f t="shared" si="53"/>
        <v>阿奇霉素分散片0.25g*6片</v>
      </c>
      <c r="X1647" s="6" t="s">
        <v>2907</v>
      </c>
    </row>
    <row r="1648" spans="1:24" x14ac:dyDescent="0.15">
      <c r="A1648" s="7" t="str">
        <f t="shared" si="54"/>
        <v>201806</v>
      </c>
      <c r="C1648" s="6" t="str">
        <f>INDEX(工厂基础数据!$A$2:$A$1024,MATCH(X1648,工厂基础数据!$D$2:$D$1024,0))</f>
        <v>02029238</v>
      </c>
      <c r="E1648" s="6" t="str">
        <f>INDEX(工厂基础数据!$B$2:$B$1024,MATCH(X1648,工厂基础数据!$D$2:$D$1024,0))</f>
        <v>山东康为医药有限公司</v>
      </c>
      <c r="F1648" s="6" t="e">
        <f>INDEX(商业2转码!$B$2:$B$10000,MATCH(E1648,商业2转码!$A$2:$A$10000,0))</f>
        <v>#N/A</v>
      </c>
      <c r="G1648" s="6" t="str">
        <f>INDEX(品种2编码!$A$2:$A$1048576,MATCH(W1648,品种2编码!$D$2:$D$1048576,0))</f>
        <v>0020020021ZYLC0004</v>
      </c>
      <c r="H1648" s="6" t="s">
        <v>1868</v>
      </c>
      <c r="I1648" s="6" t="s">
        <v>1869</v>
      </c>
      <c r="J1648" s="6" t="s">
        <v>3036</v>
      </c>
      <c r="L1648" s="6" t="s">
        <v>3375</v>
      </c>
      <c r="M1648" s="6" t="e">
        <f>INDEX(医院2县区2人!$B$2:$B$1048576,MATCH(L1648,医院2县区2人!$A$2:$A$1048576,0))</f>
        <v>#N/A</v>
      </c>
      <c r="N1648" s="6" t="e">
        <f>INDEX(医院2县区2人!$C$2:$C$1048576,MATCH(L1648,医院2县区2人!$A$2:$A$1048576,0))</f>
        <v>#N/A</v>
      </c>
      <c r="P1648" s="7">
        <v>43258</v>
      </c>
      <c r="Q1648" s="6">
        <v>20</v>
      </c>
      <c r="S1648" s="6">
        <v>171101</v>
      </c>
      <c r="T1648" s="6" t="e">
        <f>INDEX(医院2县区2人!$D$2:$D$1048576,MATCH(L1648,医院2县区2人!$A$2:$A$1048576,0))</f>
        <v>#N/A</v>
      </c>
      <c r="W1648" s="6" t="str">
        <f t="shared" si="53"/>
        <v>罗红霉素分散片/大严迪75mg*12片</v>
      </c>
      <c r="X1648" s="6" t="s">
        <v>2907</v>
      </c>
    </row>
    <row r="1649" spans="1:24" x14ac:dyDescent="0.15">
      <c r="A1649" s="7" t="str">
        <f t="shared" si="54"/>
        <v>201806</v>
      </c>
      <c r="C1649" s="6" t="str">
        <f>INDEX(工厂基础数据!$A$2:$A$1024,MATCH(X1649,工厂基础数据!$D$2:$D$1024,0))</f>
        <v>02029238</v>
      </c>
      <c r="E1649" s="6" t="str">
        <f>INDEX(工厂基础数据!$B$2:$B$1024,MATCH(X1649,工厂基础数据!$D$2:$D$1024,0))</f>
        <v>山东康为医药有限公司</v>
      </c>
      <c r="F1649" s="6" t="e">
        <f>INDEX(商业2转码!$B$2:$B$10000,MATCH(E1649,商业2转码!$A$2:$A$10000,0))</f>
        <v>#N/A</v>
      </c>
      <c r="G1649" s="6">
        <f>INDEX(品种2编码!$A$2:$A$1048576,MATCH(W1649,品种2编码!$D$2:$D$1048576,0))</f>
        <v>0</v>
      </c>
      <c r="H1649" s="6" t="s">
        <v>3448</v>
      </c>
      <c r="I1649" s="6" t="s">
        <v>411</v>
      </c>
      <c r="J1649" s="6" t="s">
        <v>3040</v>
      </c>
      <c r="L1649" s="6" t="s">
        <v>3375</v>
      </c>
      <c r="M1649" s="6" t="e">
        <f>INDEX(医院2县区2人!$B$2:$B$1048576,MATCH(L1649,医院2县区2人!$A$2:$A$1048576,0))</f>
        <v>#N/A</v>
      </c>
      <c r="N1649" s="6" t="e">
        <f>INDEX(医院2县区2人!$C$2:$C$1048576,MATCH(L1649,医院2县区2人!$A$2:$A$1048576,0))</f>
        <v>#N/A</v>
      </c>
      <c r="P1649" s="7">
        <v>43258</v>
      </c>
      <c r="Q1649" s="6">
        <v>10</v>
      </c>
      <c r="S1649" s="6">
        <v>17122922</v>
      </c>
      <c r="T1649" s="6" t="e">
        <f>INDEX(医院2县区2人!$D$2:$D$1048576,MATCH(L1649,医院2县区2人!$A$2:$A$1048576,0))</f>
        <v>#N/A</v>
      </c>
      <c r="W1649" s="6" t="str">
        <f t="shared" si="53"/>
        <v>葡萄糖酸钙口服溶液（含糖型）10ml*12支</v>
      </c>
      <c r="X1649" s="6" t="s">
        <v>2907</v>
      </c>
    </row>
    <row r="1650" spans="1:24" x14ac:dyDescent="0.15">
      <c r="A1650" s="7" t="str">
        <f t="shared" si="54"/>
        <v>201806</v>
      </c>
      <c r="C1650" s="6" t="str">
        <f>INDEX(工厂基础数据!$A$2:$A$1024,MATCH(X1650,工厂基础数据!$D$2:$D$1024,0))</f>
        <v>02029238</v>
      </c>
      <c r="E1650" s="6" t="str">
        <f>INDEX(工厂基础数据!$B$2:$B$1024,MATCH(X1650,工厂基础数据!$D$2:$D$1024,0))</f>
        <v>山东康为医药有限公司</v>
      </c>
      <c r="F1650" s="6" t="e">
        <f>INDEX(商业2转码!$B$2:$B$10000,MATCH(E1650,商业2转码!$A$2:$A$10000,0))</f>
        <v>#N/A</v>
      </c>
      <c r="G1650" s="6" t="str">
        <f>INDEX(品种2编码!$A$2:$A$1048576,MATCH(W1650,品种2编码!$D$2:$D$1048576,0))</f>
        <v>0020030001SJZY0009</v>
      </c>
      <c r="H1650" s="6" t="s">
        <v>1949</v>
      </c>
      <c r="I1650" s="6" t="s">
        <v>411</v>
      </c>
      <c r="J1650" s="6" t="s">
        <v>3040</v>
      </c>
      <c r="L1650" s="6" t="s">
        <v>3375</v>
      </c>
      <c r="M1650" s="6" t="e">
        <f>INDEX(医院2县区2人!$B$2:$B$1048576,MATCH(L1650,医院2县区2人!$A$2:$A$1048576,0))</f>
        <v>#N/A</v>
      </c>
      <c r="N1650" s="6" t="e">
        <f>INDEX(医院2县区2人!$C$2:$C$1048576,MATCH(L1650,医院2县区2人!$A$2:$A$1048576,0))</f>
        <v>#N/A</v>
      </c>
      <c r="P1650" s="7">
        <v>43258</v>
      </c>
      <c r="Q1650" s="6">
        <v>10</v>
      </c>
      <c r="S1650" s="6">
        <v>18020527</v>
      </c>
      <c r="T1650" s="6" t="e">
        <f>INDEX(医院2县区2人!$D$2:$D$1048576,MATCH(L1650,医院2县区2人!$A$2:$A$1048576,0))</f>
        <v>#N/A</v>
      </c>
      <c r="W1650" s="6" t="str">
        <f t="shared" si="53"/>
        <v>葡萄糖酸锌口服溶液10ml*12支</v>
      </c>
      <c r="X1650" s="6" t="s">
        <v>2907</v>
      </c>
    </row>
    <row r="1651" spans="1:24" x14ac:dyDescent="0.15">
      <c r="A1651" s="7" t="str">
        <f t="shared" si="54"/>
        <v>201806</v>
      </c>
      <c r="C1651" s="6" t="str">
        <f>INDEX(工厂基础数据!$A$2:$A$1024,MATCH(X1651,工厂基础数据!$D$2:$D$1024,0))</f>
        <v>02029238</v>
      </c>
      <c r="E1651" s="6" t="str">
        <f>INDEX(工厂基础数据!$B$2:$B$1024,MATCH(X1651,工厂基础数据!$D$2:$D$1024,0))</f>
        <v>山东康为医药有限公司</v>
      </c>
      <c r="F1651" s="6" t="e">
        <f>INDEX(商业2转码!$B$2:$B$10000,MATCH(E1651,商业2转码!$A$2:$A$10000,0))</f>
        <v>#N/A</v>
      </c>
      <c r="G1651" s="6">
        <f>INDEX(品种2编码!$A$2:$A$1048576,MATCH(W1651,品种2编码!$D$2:$D$1048576,0))</f>
        <v>0</v>
      </c>
      <c r="H1651" s="6" t="s">
        <v>3447</v>
      </c>
      <c r="I1651" s="6" t="s">
        <v>1838</v>
      </c>
      <c r="J1651" s="6" t="s">
        <v>3036</v>
      </c>
      <c r="L1651" s="6" t="s">
        <v>3376</v>
      </c>
      <c r="M1651" s="6" t="e">
        <f>INDEX(医院2县区2人!$B$2:$B$1048576,MATCH(L1651,医院2县区2人!$A$2:$A$1048576,0))</f>
        <v>#N/A</v>
      </c>
      <c r="N1651" s="6" t="e">
        <f>INDEX(医院2县区2人!$C$2:$C$1048576,MATCH(L1651,医院2县区2人!$A$2:$A$1048576,0))</f>
        <v>#N/A</v>
      </c>
      <c r="P1651" s="7">
        <v>43258</v>
      </c>
      <c r="Q1651" s="6">
        <v>3</v>
      </c>
      <c r="S1651" s="6">
        <v>171241</v>
      </c>
      <c r="T1651" s="6" t="e">
        <f>INDEX(医院2县区2人!$D$2:$D$1048576,MATCH(L1651,医院2县区2人!$A$2:$A$1048576,0))</f>
        <v>#N/A</v>
      </c>
      <c r="W1651" s="6" t="str">
        <f t="shared" si="53"/>
        <v>新盖中盖高钙片/成人2.5g*36片</v>
      </c>
      <c r="X1651" s="6" t="s">
        <v>2907</v>
      </c>
    </row>
    <row r="1652" spans="1:24" x14ac:dyDescent="0.15">
      <c r="A1652" s="7" t="str">
        <f t="shared" si="54"/>
        <v>201806</v>
      </c>
      <c r="C1652" s="6" t="str">
        <f>INDEX(工厂基础数据!$A$2:$A$1024,MATCH(X1652,工厂基础数据!$D$2:$D$1024,0))</f>
        <v>02029238</v>
      </c>
      <c r="E1652" s="6" t="str">
        <f>INDEX(工厂基础数据!$B$2:$B$1024,MATCH(X1652,工厂基础数据!$D$2:$D$1024,0))</f>
        <v>山东康为医药有限公司</v>
      </c>
      <c r="F1652" s="6" t="e">
        <f>INDEX(商业2转码!$B$2:$B$10000,MATCH(E1652,商业2转码!$A$2:$A$10000,0))</f>
        <v>#N/A</v>
      </c>
      <c r="G1652" s="6">
        <f>INDEX(品种2编码!$A$2:$A$1048576,MATCH(W1652,品种2编码!$D$2:$D$1048576,0))</f>
        <v>0</v>
      </c>
      <c r="H1652" s="6" t="s">
        <v>3447</v>
      </c>
      <c r="I1652" s="6" t="s">
        <v>1838</v>
      </c>
      <c r="J1652" s="6" t="s">
        <v>3036</v>
      </c>
      <c r="L1652" s="6" t="s">
        <v>3376</v>
      </c>
      <c r="M1652" s="6" t="e">
        <f>INDEX(医院2县区2人!$B$2:$B$1048576,MATCH(L1652,医院2县区2人!$A$2:$A$1048576,0))</f>
        <v>#N/A</v>
      </c>
      <c r="N1652" s="6" t="e">
        <f>INDEX(医院2县区2人!$C$2:$C$1048576,MATCH(L1652,医院2县区2人!$A$2:$A$1048576,0))</f>
        <v>#N/A</v>
      </c>
      <c r="P1652" s="7">
        <v>43258</v>
      </c>
      <c r="Q1652" s="6">
        <v>7</v>
      </c>
      <c r="S1652" s="6">
        <v>171243</v>
      </c>
      <c r="T1652" s="6" t="e">
        <f>INDEX(医院2县区2人!$D$2:$D$1048576,MATCH(L1652,医院2县区2人!$A$2:$A$1048576,0))</f>
        <v>#N/A</v>
      </c>
      <c r="W1652" s="6" t="str">
        <f t="shared" si="53"/>
        <v>新盖中盖高钙片/成人2.5g*36片</v>
      </c>
      <c r="X1652" s="6" t="s">
        <v>2907</v>
      </c>
    </row>
    <row r="1653" spans="1:24" x14ac:dyDescent="0.15">
      <c r="A1653" s="7" t="str">
        <f t="shared" si="54"/>
        <v>201806</v>
      </c>
      <c r="C1653" s="6" t="str">
        <f>INDEX(工厂基础数据!$A$2:$A$1024,MATCH(X1653,工厂基础数据!$D$2:$D$1024,0))</f>
        <v>02029238</v>
      </c>
      <c r="E1653" s="6" t="str">
        <f>INDEX(工厂基础数据!$B$2:$B$1024,MATCH(X1653,工厂基础数据!$D$2:$D$1024,0))</f>
        <v>山东康为医药有限公司</v>
      </c>
      <c r="F1653" s="6" t="e">
        <f>INDEX(商业2转码!$B$2:$B$10000,MATCH(E1653,商业2转码!$A$2:$A$10000,0))</f>
        <v>#N/A</v>
      </c>
      <c r="G1653" s="6" t="str">
        <f>INDEX(品种2编码!$A$2:$A$1048576,MATCH(W1653,品种2编码!$D$2:$D$1048576,0))</f>
        <v>0020070000ZYLC0052</v>
      </c>
      <c r="H1653" s="6" t="s">
        <v>402</v>
      </c>
      <c r="I1653" s="6" t="s">
        <v>411</v>
      </c>
      <c r="J1653" s="6" t="s">
        <v>3036</v>
      </c>
      <c r="L1653" s="6" t="s">
        <v>3376</v>
      </c>
      <c r="M1653" s="6" t="e">
        <f>INDEX(医院2县区2人!$B$2:$B$1048576,MATCH(L1653,医院2县区2人!$A$2:$A$1048576,0))</f>
        <v>#N/A</v>
      </c>
      <c r="N1653" s="6" t="e">
        <f>INDEX(医院2县区2人!$C$2:$C$1048576,MATCH(L1653,医院2县区2人!$A$2:$A$1048576,0))</f>
        <v>#N/A</v>
      </c>
      <c r="P1653" s="7">
        <v>43258</v>
      </c>
      <c r="Q1653" s="6">
        <v>10</v>
      </c>
      <c r="S1653" s="6">
        <v>170938</v>
      </c>
      <c r="T1653" s="6" t="e">
        <f>INDEX(医院2县区2人!$D$2:$D$1048576,MATCH(L1653,医院2县区2人!$A$2:$A$1048576,0))</f>
        <v>#N/A</v>
      </c>
      <c r="W1653" s="6" t="str">
        <f t="shared" si="53"/>
        <v>钙加锌口服液10ml*12支</v>
      </c>
      <c r="X1653" s="6" t="s">
        <v>2907</v>
      </c>
    </row>
    <row r="1654" spans="1:24" x14ac:dyDescent="0.15">
      <c r="A1654" s="7" t="str">
        <f t="shared" si="54"/>
        <v>201806</v>
      </c>
      <c r="C1654" s="6" t="str">
        <f>INDEX(工厂基础数据!$A$2:$A$1024,MATCH(X1654,工厂基础数据!$D$2:$D$1024,0))</f>
        <v>02029238</v>
      </c>
      <c r="E1654" s="6" t="str">
        <f>INDEX(工厂基础数据!$B$2:$B$1024,MATCH(X1654,工厂基础数据!$D$2:$D$1024,0))</f>
        <v>山东康为医药有限公司</v>
      </c>
      <c r="F1654" s="6" t="e">
        <f>INDEX(商业2转码!$B$2:$B$10000,MATCH(E1654,商业2转码!$A$2:$A$10000,0))</f>
        <v>#N/A</v>
      </c>
      <c r="G1654" s="6" t="str">
        <f>INDEX(品种2编码!$A$2:$A$1048576,MATCH(W1654,品种2编码!$D$2:$D$1048576,0))</f>
        <v>0020030020ZYLC0013</v>
      </c>
      <c r="H1654" s="6" t="s">
        <v>591</v>
      </c>
      <c r="I1654" s="6" t="s">
        <v>1839</v>
      </c>
      <c r="J1654" s="6" t="s">
        <v>3036</v>
      </c>
      <c r="L1654" s="6" t="s">
        <v>3376</v>
      </c>
      <c r="M1654" s="6" t="e">
        <f>INDEX(医院2县区2人!$B$2:$B$1048576,MATCH(L1654,医院2县区2人!$A$2:$A$1048576,0))</f>
        <v>#N/A</v>
      </c>
      <c r="N1654" s="6" t="e">
        <f>INDEX(医院2县区2人!$C$2:$C$1048576,MATCH(L1654,医院2县区2人!$A$2:$A$1048576,0))</f>
        <v>#N/A</v>
      </c>
      <c r="P1654" s="7">
        <v>43258</v>
      </c>
      <c r="Q1654" s="6">
        <v>20</v>
      </c>
      <c r="S1654" s="6">
        <v>180105</v>
      </c>
      <c r="T1654" s="6" t="e">
        <f>INDEX(医院2县区2人!$D$2:$D$1048576,MATCH(L1654,医院2县区2人!$A$2:$A$1048576,0))</f>
        <v>#N/A</v>
      </c>
      <c r="W1654" s="6" t="str">
        <f t="shared" si="53"/>
        <v>乳酸菌素片0.4g*36片</v>
      </c>
      <c r="X1654" s="6" t="s">
        <v>2907</v>
      </c>
    </row>
    <row r="1655" spans="1:24" x14ac:dyDescent="0.15">
      <c r="A1655" s="7" t="str">
        <f t="shared" si="54"/>
        <v>201806</v>
      </c>
      <c r="C1655" s="6" t="str">
        <f>INDEX(工厂基础数据!$A$2:$A$1024,MATCH(X1655,工厂基础数据!$D$2:$D$1024,0))</f>
        <v>02029238</v>
      </c>
      <c r="E1655" s="6" t="str">
        <f>INDEX(工厂基础数据!$B$2:$B$1024,MATCH(X1655,工厂基础数据!$D$2:$D$1024,0))</f>
        <v>山东康为医药有限公司</v>
      </c>
      <c r="F1655" s="6" t="e">
        <f>INDEX(商业2转码!$B$2:$B$10000,MATCH(E1655,商业2转码!$A$2:$A$10000,0))</f>
        <v>#N/A</v>
      </c>
      <c r="G1655" s="6" t="str">
        <f>INDEX(品种2编码!$A$2:$A$1048576,MATCH(W1655,品种2编码!$D$2:$D$1048576,0))</f>
        <v>0020030001SJZY0009</v>
      </c>
      <c r="H1655" s="6" t="s">
        <v>1949</v>
      </c>
      <c r="I1655" s="6" t="s">
        <v>411</v>
      </c>
      <c r="J1655" s="6" t="s">
        <v>3040</v>
      </c>
      <c r="L1655" s="6" t="s">
        <v>3376</v>
      </c>
      <c r="M1655" s="6" t="e">
        <f>INDEX(医院2县区2人!$B$2:$B$1048576,MATCH(L1655,医院2县区2人!$A$2:$A$1048576,0))</f>
        <v>#N/A</v>
      </c>
      <c r="N1655" s="6" t="e">
        <f>INDEX(医院2县区2人!$C$2:$C$1048576,MATCH(L1655,医院2县区2人!$A$2:$A$1048576,0))</f>
        <v>#N/A</v>
      </c>
      <c r="P1655" s="7">
        <v>43258</v>
      </c>
      <c r="Q1655" s="6">
        <v>10</v>
      </c>
      <c r="S1655" s="6">
        <v>18020527</v>
      </c>
      <c r="T1655" s="6" t="e">
        <f>INDEX(医院2县区2人!$D$2:$D$1048576,MATCH(L1655,医院2县区2人!$A$2:$A$1048576,0))</f>
        <v>#N/A</v>
      </c>
      <c r="W1655" s="6" t="str">
        <f t="shared" si="53"/>
        <v>葡萄糖酸锌口服溶液10ml*12支</v>
      </c>
      <c r="X1655" s="6" t="s">
        <v>2907</v>
      </c>
    </row>
    <row r="1656" spans="1:24" x14ac:dyDescent="0.15">
      <c r="A1656" s="7" t="str">
        <f t="shared" si="54"/>
        <v>201806</v>
      </c>
      <c r="C1656" s="6" t="str">
        <f>INDEX(工厂基础数据!$A$2:$A$1024,MATCH(X1656,工厂基础数据!$D$2:$D$1024,0))</f>
        <v>02029238</v>
      </c>
      <c r="E1656" s="6" t="str">
        <f>INDEX(工厂基础数据!$B$2:$B$1024,MATCH(X1656,工厂基础数据!$D$2:$D$1024,0))</f>
        <v>山东康为医药有限公司</v>
      </c>
      <c r="F1656" s="6" t="e">
        <f>INDEX(商业2转码!$B$2:$B$10000,MATCH(E1656,商业2转码!$A$2:$A$10000,0))</f>
        <v>#N/A</v>
      </c>
      <c r="G1656" s="6" t="str">
        <f>INDEX(品种2编码!$A$2:$A$1048576,MATCH(W1656,品种2编码!$D$2:$D$1048576,0))</f>
        <v>0020020020SJMS0008</v>
      </c>
      <c r="H1656" s="6" t="s">
        <v>1904</v>
      </c>
      <c r="I1656" s="6" t="s">
        <v>1873</v>
      </c>
      <c r="J1656" s="6" t="s">
        <v>3046</v>
      </c>
      <c r="L1656" s="6" t="s">
        <v>3361</v>
      </c>
      <c r="M1656" s="6" t="e">
        <f>INDEX(医院2县区2人!$B$2:$B$1048576,MATCH(L1656,医院2县区2人!$A$2:$A$1048576,0))</f>
        <v>#N/A</v>
      </c>
      <c r="N1656" s="6" t="e">
        <f>INDEX(医院2县区2人!$C$2:$C$1048576,MATCH(L1656,医院2县区2人!$A$2:$A$1048576,0))</f>
        <v>#N/A</v>
      </c>
      <c r="P1656" s="7">
        <v>43258</v>
      </c>
      <c r="Q1656" s="6">
        <v>50</v>
      </c>
      <c r="S1656" s="6">
        <v>1801004</v>
      </c>
      <c r="T1656" s="6" t="e">
        <f>INDEX(医院2县区2人!$D$2:$D$1048576,MATCH(L1656,医院2县区2人!$A$2:$A$1048576,0))</f>
        <v>#N/A</v>
      </c>
      <c r="W1656" s="6" t="str">
        <f t="shared" si="53"/>
        <v>拉西地平片/三精司乐平片4mg*15片</v>
      </c>
      <c r="X1656" s="6" t="s">
        <v>2907</v>
      </c>
    </row>
    <row r="1657" spans="1:24" x14ac:dyDescent="0.15">
      <c r="A1657" s="7" t="str">
        <f t="shared" si="54"/>
        <v>201806</v>
      </c>
      <c r="C1657" s="6" t="str">
        <f>INDEX(工厂基础数据!$A$2:$A$1024,MATCH(X1657,工厂基础数据!$D$2:$D$1024,0))</f>
        <v>02029238</v>
      </c>
      <c r="E1657" s="6" t="str">
        <f>INDEX(工厂基础数据!$B$2:$B$1024,MATCH(X1657,工厂基础数据!$D$2:$D$1024,0))</f>
        <v>山东康为医药有限公司</v>
      </c>
      <c r="F1657" s="6" t="e">
        <f>INDEX(商业2转码!$B$2:$B$10000,MATCH(E1657,商业2转码!$A$2:$A$10000,0))</f>
        <v>#N/A</v>
      </c>
      <c r="G1657" s="6" t="str">
        <f>INDEX(品种2编码!$A$2:$A$1048576,MATCH(W1657,品种2编码!$D$2:$D$1048576,0))</f>
        <v>0020020020SJMS0008</v>
      </c>
      <c r="H1657" s="6" t="s">
        <v>1904</v>
      </c>
      <c r="I1657" s="6" t="s">
        <v>1873</v>
      </c>
      <c r="J1657" s="6" t="s">
        <v>3046</v>
      </c>
      <c r="L1657" s="6" t="s">
        <v>3357</v>
      </c>
      <c r="M1657" s="6" t="e">
        <f>INDEX(医院2县区2人!$B$2:$B$1048576,MATCH(L1657,医院2县区2人!$A$2:$A$1048576,0))</f>
        <v>#N/A</v>
      </c>
      <c r="N1657" s="6" t="e">
        <f>INDEX(医院2县区2人!$C$2:$C$1048576,MATCH(L1657,医院2县区2人!$A$2:$A$1048576,0))</f>
        <v>#N/A</v>
      </c>
      <c r="P1657" s="7">
        <v>43258</v>
      </c>
      <c r="Q1657" s="6">
        <v>50</v>
      </c>
      <c r="S1657" s="6">
        <v>1801004</v>
      </c>
      <c r="T1657" s="6" t="e">
        <f>INDEX(医院2县区2人!$D$2:$D$1048576,MATCH(L1657,医院2县区2人!$A$2:$A$1048576,0))</f>
        <v>#N/A</v>
      </c>
      <c r="W1657" s="6" t="str">
        <f t="shared" si="53"/>
        <v>拉西地平片/三精司乐平片4mg*15片</v>
      </c>
      <c r="X1657" s="6" t="s">
        <v>2907</v>
      </c>
    </row>
    <row r="1658" spans="1:24" x14ac:dyDescent="0.15">
      <c r="A1658" s="7" t="str">
        <f t="shared" si="54"/>
        <v>201806</v>
      </c>
      <c r="C1658" s="6" t="str">
        <f>INDEX(工厂基础数据!$A$2:$A$1024,MATCH(X1658,工厂基础数据!$D$2:$D$1024,0))</f>
        <v>02029238</v>
      </c>
      <c r="E1658" s="6" t="str">
        <f>INDEX(工厂基础数据!$B$2:$B$1024,MATCH(X1658,工厂基础数据!$D$2:$D$1024,0))</f>
        <v>山东康为医药有限公司</v>
      </c>
      <c r="F1658" s="6" t="e">
        <f>INDEX(商业2转码!$B$2:$B$10000,MATCH(E1658,商业2转码!$A$2:$A$10000,0))</f>
        <v>#N/A</v>
      </c>
      <c r="G1658" s="6">
        <f>INDEX(品种2编码!$A$2:$A$1048576,MATCH(W1658,品种2编码!$D$2:$D$1048576,0))</f>
        <v>0</v>
      </c>
      <c r="H1658" s="6" t="s">
        <v>338</v>
      </c>
      <c r="I1658" s="6" t="s">
        <v>341</v>
      </c>
      <c r="J1658" s="6" t="s">
        <v>3037</v>
      </c>
      <c r="L1658" s="6" t="s">
        <v>3368</v>
      </c>
      <c r="M1658" s="6" t="e">
        <f>INDEX(医院2县区2人!$B$2:$B$1048576,MATCH(L1658,医院2县区2人!$A$2:$A$1048576,0))</f>
        <v>#N/A</v>
      </c>
      <c r="N1658" s="6" t="e">
        <f>INDEX(医院2县区2人!$C$2:$C$1048576,MATCH(L1658,医院2县区2人!$A$2:$A$1048576,0))</f>
        <v>#N/A</v>
      </c>
      <c r="P1658" s="7">
        <v>43258</v>
      </c>
      <c r="Q1658" s="6">
        <v>10</v>
      </c>
      <c r="S1658" s="6">
        <v>1503509</v>
      </c>
      <c r="T1658" s="6" t="e">
        <f>INDEX(医院2县区2人!$D$2:$D$1048576,MATCH(L1658,医院2县区2人!$A$2:$A$1048576,0))</f>
        <v>#N/A</v>
      </c>
      <c r="W1658" s="6" t="str">
        <f t="shared" si="53"/>
        <v>丹佛胃尔康颗粒10g*8袋</v>
      </c>
      <c r="X1658" s="6" t="s">
        <v>2907</v>
      </c>
    </row>
    <row r="1659" spans="1:24" x14ac:dyDescent="0.15">
      <c r="A1659" s="7" t="str">
        <f t="shared" si="54"/>
        <v>201806</v>
      </c>
      <c r="C1659" s="6" t="str">
        <f>INDEX(工厂基础数据!$A$2:$A$1024,MATCH(X1659,工厂基础数据!$D$2:$D$1024,0))</f>
        <v>02029238</v>
      </c>
      <c r="E1659" s="6" t="str">
        <f>INDEX(工厂基础数据!$B$2:$B$1024,MATCH(X1659,工厂基础数据!$D$2:$D$1024,0))</f>
        <v>山东康为医药有限公司</v>
      </c>
      <c r="F1659" s="6" t="e">
        <f>INDEX(商业2转码!$B$2:$B$10000,MATCH(E1659,商业2转码!$A$2:$A$10000,0))</f>
        <v>#N/A</v>
      </c>
      <c r="G1659" s="6">
        <f>INDEX(品种2编码!$A$2:$A$1048576,MATCH(W1659,品种2编码!$D$2:$D$1048576,0))</f>
        <v>0</v>
      </c>
      <c r="H1659" s="6" t="s">
        <v>3447</v>
      </c>
      <c r="I1659" s="6" t="s">
        <v>1838</v>
      </c>
      <c r="J1659" s="6" t="s">
        <v>3036</v>
      </c>
      <c r="L1659" s="6" t="s">
        <v>3377</v>
      </c>
      <c r="M1659" s="6" t="e">
        <f>INDEX(医院2县区2人!$B$2:$B$1048576,MATCH(L1659,医院2县区2人!$A$2:$A$1048576,0))</f>
        <v>#N/A</v>
      </c>
      <c r="N1659" s="6" t="e">
        <f>INDEX(医院2县区2人!$C$2:$C$1048576,MATCH(L1659,医院2县区2人!$A$2:$A$1048576,0))</f>
        <v>#N/A</v>
      </c>
      <c r="P1659" s="7">
        <v>43258</v>
      </c>
      <c r="Q1659" s="6">
        <v>20</v>
      </c>
      <c r="S1659" s="6">
        <v>171243</v>
      </c>
      <c r="T1659" s="6" t="e">
        <f>INDEX(医院2县区2人!$D$2:$D$1048576,MATCH(L1659,医院2县区2人!$A$2:$A$1048576,0))</f>
        <v>#N/A</v>
      </c>
      <c r="W1659" s="6" t="str">
        <f t="shared" si="53"/>
        <v>新盖中盖高钙片/成人2.5g*36片</v>
      </c>
      <c r="X1659" s="6" t="s">
        <v>2907</v>
      </c>
    </row>
    <row r="1660" spans="1:24" x14ac:dyDescent="0.15">
      <c r="A1660" s="7" t="str">
        <f t="shared" si="54"/>
        <v>201806</v>
      </c>
      <c r="C1660" s="6" t="str">
        <f>INDEX(工厂基础数据!$A$2:$A$1024,MATCH(X1660,工厂基础数据!$D$2:$D$1024,0))</f>
        <v>02029238</v>
      </c>
      <c r="E1660" s="6" t="str">
        <f>INDEX(工厂基础数据!$B$2:$B$1024,MATCH(X1660,工厂基础数据!$D$2:$D$1024,0))</f>
        <v>山东康为医药有限公司</v>
      </c>
      <c r="F1660" s="6" t="e">
        <f>INDEX(商业2转码!$B$2:$B$10000,MATCH(E1660,商业2转码!$A$2:$A$10000,0))</f>
        <v>#N/A</v>
      </c>
      <c r="G1660" s="6" t="str">
        <f>INDEX(品种2编码!$A$2:$A$1048576,MATCH(W1660,品种2编码!$D$2:$D$1048576,0))</f>
        <v>0020070001ZYZC0369</v>
      </c>
      <c r="H1660" s="6" t="s">
        <v>1849</v>
      </c>
      <c r="I1660" s="6" t="s">
        <v>411</v>
      </c>
      <c r="J1660" s="6" t="s">
        <v>3038</v>
      </c>
      <c r="L1660" s="6" t="s">
        <v>3378</v>
      </c>
      <c r="M1660" s="6" t="e">
        <f>INDEX(医院2县区2人!$B$2:$B$1048576,MATCH(L1660,医院2县区2人!$A$2:$A$1048576,0))</f>
        <v>#N/A</v>
      </c>
      <c r="N1660" s="6" t="e">
        <f>INDEX(医院2县区2人!$C$2:$C$1048576,MATCH(L1660,医院2县区2人!$A$2:$A$1048576,0))</f>
        <v>#N/A</v>
      </c>
      <c r="P1660" s="7">
        <v>43259</v>
      </c>
      <c r="Q1660" s="6">
        <v>7</v>
      </c>
      <c r="S1660" s="6">
        <v>1801029</v>
      </c>
      <c r="T1660" s="6" t="e">
        <f>INDEX(医院2县区2人!$D$2:$D$1048576,MATCH(L1660,医院2县区2人!$A$2:$A$1048576,0))</f>
        <v>#N/A</v>
      </c>
      <c r="W1660" s="6" t="str">
        <f t="shared" si="53"/>
        <v>哈药牌钙铁锌口服液10ml*12支</v>
      </c>
      <c r="X1660" s="6" t="s">
        <v>2907</v>
      </c>
    </row>
    <row r="1661" spans="1:24" x14ac:dyDescent="0.15">
      <c r="A1661" s="7" t="str">
        <f t="shared" si="54"/>
        <v>201806</v>
      </c>
      <c r="C1661" s="6" t="str">
        <f>INDEX(工厂基础数据!$A$2:$A$1024,MATCH(X1661,工厂基础数据!$D$2:$D$1024,0))</f>
        <v>02029238</v>
      </c>
      <c r="E1661" s="6" t="str">
        <f>INDEX(工厂基础数据!$B$2:$B$1024,MATCH(X1661,工厂基础数据!$D$2:$D$1024,0))</f>
        <v>山东康为医药有限公司</v>
      </c>
      <c r="F1661" s="6" t="e">
        <f>INDEX(商业2转码!$B$2:$B$10000,MATCH(E1661,商业2转码!$A$2:$A$10000,0))</f>
        <v>#N/A</v>
      </c>
      <c r="G1661" s="6" t="str">
        <f>INDEX(品种2编码!$A$2:$A$1048576,MATCH(W1661,品种2编码!$D$2:$D$1048576,0))</f>
        <v>0020020020SJMS0008</v>
      </c>
      <c r="H1661" s="6" t="s">
        <v>1904</v>
      </c>
      <c r="I1661" s="6" t="s">
        <v>1873</v>
      </c>
      <c r="J1661" s="6" t="s">
        <v>3046</v>
      </c>
      <c r="L1661" s="6" t="s">
        <v>2618</v>
      </c>
      <c r="M1661" s="6">
        <f>INDEX(医院2县区2人!$B$2:$B$1048576,MATCH(L1661,医院2县区2人!$A$2:$A$1048576,0))</f>
        <v>1</v>
      </c>
      <c r="N1661" s="6" t="str">
        <f>INDEX(医院2县区2人!$C$2:$C$1048576,MATCH(L1661,医院2县区2人!$A$2:$A$1048576,0))</f>
        <v>1757</v>
      </c>
      <c r="P1661" s="7">
        <v>43259</v>
      </c>
      <c r="Q1661" s="6">
        <v>10</v>
      </c>
      <c r="S1661" s="6">
        <v>1801004</v>
      </c>
      <c r="T1661" s="6">
        <f>INDEX(医院2县区2人!$D$2:$D$1048576,MATCH(L1661,医院2县区2人!$A$2:$A$1048576,0))</f>
        <v>0</v>
      </c>
      <c r="W1661" s="6" t="str">
        <f t="shared" si="53"/>
        <v>拉西地平片/三精司乐平片4mg*15片</v>
      </c>
      <c r="X1661" s="6" t="s">
        <v>2907</v>
      </c>
    </row>
    <row r="1662" spans="1:24" x14ac:dyDescent="0.15">
      <c r="A1662" s="7" t="str">
        <f t="shared" si="54"/>
        <v>201806</v>
      </c>
      <c r="C1662" s="6" t="str">
        <f>INDEX(工厂基础数据!$A$2:$A$1024,MATCH(X1662,工厂基础数据!$D$2:$D$1024,0))</f>
        <v>02029238</v>
      </c>
      <c r="E1662" s="6" t="str">
        <f>INDEX(工厂基础数据!$B$2:$B$1024,MATCH(X1662,工厂基础数据!$D$2:$D$1024,0))</f>
        <v>山东康为医药有限公司</v>
      </c>
      <c r="F1662" s="6" t="e">
        <f>INDEX(商业2转码!$B$2:$B$10000,MATCH(E1662,商业2转码!$A$2:$A$10000,0))</f>
        <v>#N/A</v>
      </c>
      <c r="G1662" s="6">
        <f>INDEX(品种2编码!$A$2:$A$1048576,MATCH(W1662,品种2编码!$D$2:$D$1048576,0))</f>
        <v>0</v>
      </c>
      <c r="H1662" s="6" t="s">
        <v>3448</v>
      </c>
      <c r="I1662" s="6" t="s">
        <v>411</v>
      </c>
      <c r="J1662" s="6" t="s">
        <v>3040</v>
      </c>
      <c r="L1662" s="6" t="s">
        <v>3379</v>
      </c>
      <c r="M1662" s="6" t="e">
        <f>INDEX(医院2县区2人!$B$2:$B$1048576,MATCH(L1662,医院2县区2人!$A$2:$A$1048576,0))</f>
        <v>#N/A</v>
      </c>
      <c r="N1662" s="6" t="e">
        <f>INDEX(医院2县区2人!$C$2:$C$1048576,MATCH(L1662,医院2县区2人!$A$2:$A$1048576,0))</f>
        <v>#N/A</v>
      </c>
      <c r="P1662" s="7">
        <v>43259</v>
      </c>
      <c r="Q1662" s="6">
        <v>50</v>
      </c>
      <c r="S1662" s="6">
        <v>17122922</v>
      </c>
      <c r="T1662" s="6" t="e">
        <f>INDEX(医院2县区2人!$D$2:$D$1048576,MATCH(L1662,医院2县区2人!$A$2:$A$1048576,0))</f>
        <v>#N/A</v>
      </c>
      <c r="W1662" s="6" t="str">
        <f t="shared" si="53"/>
        <v>葡萄糖酸钙口服溶液（含糖型）10ml*12支</v>
      </c>
      <c r="X1662" s="6" t="s">
        <v>2907</v>
      </c>
    </row>
    <row r="1663" spans="1:24" x14ac:dyDescent="0.15">
      <c r="A1663" s="7" t="str">
        <f t="shared" si="54"/>
        <v>201806</v>
      </c>
      <c r="C1663" s="6" t="str">
        <f>INDEX(工厂基础数据!$A$2:$A$1024,MATCH(X1663,工厂基础数据!$D$2:$D$1024,0))</f>
        <v>02029238</v>
      </c>
      <c r="E1663" s="6" t="str">
        <f>INDEX(工厂基础数据!$B$2:$B$1024,MATCH(X1663,工厂基础数据!$D$2:$D$1024,0))</f>
        <v>山东康为医药有限公司</v>
      </c>
      <c r="F1663" s="6" t="e">
        <f>INDEX(商业2转码!$B$2:$B$10000,MATCH(E1663,商业2转码!$A$2:$A$10000,0))</f>
        <v>#N/A</v>
      </c>
      <c r="G1663" s="6" t="str">
        <f>INDEX(品种2编码!$A$2:$A$1048576,MATCH(W1663,品种2编码!$D$2:$D$1048576,0))</f>
        <v>0020030001SJZY0009</v>
      </c>
      <c r="H1663" s="6" t="s">
        <v>1949</v>
      </c>
      <c r="I1663" s="6" t="s">
        <v>411</v>
      </c>
      <c r="J1663" s="6" t="s">
        <v>3040</v>
      </c>
      <c r="L1663" s="6" t="s">
        <v>3379</v>
      </c>
      <c r="M1663" s="6" t="e">
        <f>INDEX(医院2县区2人!$B$2:$B$1048576,MATCH(L1663,医院2县区2人!$A$2:$A$1048576,0))</f>
        <v>#N/A</v>
      </c>
      <c r="N1663" s="6" t="e">
        <f>INDEX(医院2县区2人!$C$2:$C$1048576,MATCH(L1663,医院2县区2人!$A$2:$A$1048576,0))</f>
        <v>#N/A</v>
      </c>
      <c r="P1663" s="7">
        <v>43259</v>
      </c>
      <c r="Q1663" s="6">
        <v>50</v>
      </c>
      <c r="S1663" s="6">
        <v>18031227</v>
      </c>
      <c r="T1663" s="6" t="e">
        <f>INDEX(医院2县区2人!$D$2:$D$1048576,MATCH(L1663,医院2县区2人!$A$2:$A$1048576,0))</f>
        <v>#N/A</v>
      </c>
      <c r="W1663" s="6" t="str">
        <f t="shared" ref="W1663:W1726" si="55">H1663&amp;I1663</f>
        <v>葡萄糖酸锌口服溶液10ml*12支</v>
      </c>
      <c r="X1663" s="6" t="s">
        <v>2907</v>
      </c>
    </row>
    <row r="1664" spans="1:24" x14ac:dyDescent="0.15">
      <c r="A1664" s="7" t="str">
        <f t="shared" ref="A1664:A1727" si="56">IF(MONTH(P1664)&lt;10,YEAR(P1664)&amp;"0"&amp;MONTH(P1664),YEAR(P1664)&amp;MONTH(P1664))</f>
        <v>201806</v>
      </c>
      <c r="C1664" s="6" t="str">
        <f>INDEX(工厂基础数据!$A$2:$A$1024,MATCH(X1664,工厂基础数据!$D$2:$D$1024,0))</f>
        <v>02029238</v>
      </c>
      <c r="E1664" s="6" t="str">
        <f>INDEX(工厂基础数据!$B$2:$B$1024,MATCH(X1664,工厂基础数据!$D$2:$D$1024,0))</f>
        <v>山东康为医药有限公司</v>
      </c>
      <c r="F1664" s="6" t="e">
        <f>INDEX(商业2转码!$B$2:$B$10000,MATCH(E1664,商业2转码!$A$2:$A$10000,0))</f>
        <v>#N/A</v>
      </c>
      <c r="G1664" s="6">
        <f>INDEX(品种2编码!$A$2:$A$1048576,MATCH(W1664,品种2编码!$D$2:$D$1048576,0))</f>
        <v>0</v>
      </c>
      <c r="H1664" s="6" t="s">
        <v>3450</v>
      </c>
      <c r="I1664" s="6" t="s">
        <v>1871</v>
      </c>
      <c r="J1664" s="6" t="s">
        <v>3045</v>
      </c>
      <c r="L1664" s="6" t="s">
        <v>3380</v>
      </c>
      <c r="M1664" s="6" t="e">
        <f>INDEX(医院2县区2人!$B$2:$B$1048576,MATCH(L1664,医院2县区2人!$A$2:$A$1048576,0))</f>
        <v>#N/A</v>
      </c>
      <c r="N1664" s="6" t="e">
        <f>INDEX(医院2县区2人!$C$2:$C$1048576,MATCH(L1664,医院2县区2人!$A$2:$A$1048576,0))</f>
        <v>#N/A</v>
      </c>
      <c r="P1664" s="7">
        <v>43259</v>
      </c>
      <c r="Q1664" s="6">
        <v>5</v>
      </c>
      <c r="S1664" s="6">
        <v>1709003</v>
      </c>
      <c r="T1664" s="6" t="e">
        <f>INDEX(医院2县区2人!$D$2:$D$1048576,MATCH(L1664,医院2县区2人!$A$2:$A$1048576,0))</f>
        <v>#N/A</v>
      </c>
      <c r="W1664" s="6" t="str">
        <f t="shared" si="55"/>
        <v>复方铝酸铋片/胃必治50片</v>
      </c>
      <c r="X1664" s="6" t="s">
        <v>2907</v>
      </c>
    </row>
    <row r="1665" spans="1:24" x14ac:dyDescent="0.15">
      <c r="A1665" s="7" t="str">
        <f t="shared" si="56"/>
        <v>201806</v>
      </c>
      <c r="C1665" s="6" t="str">
        <f>INDEX(工厂基础数据!$A$2:$A$1024,MATCH(X1665,工厂基础数据!$D$2:$D$1024,0))</f>
        <v>02029238</v>
      </c>
      <c r="E1665" s="6" t="str">
        <f>INDEX(工厂基础数据!$B$2:$B$1024,MATCH(X1665,工厂基础数据!$D$2:$D$1024,0))</f>
        <v>山东康为医药有限公司</v>
      </c>
      <c r="F1665" s="6" t="e">
        <f>INDEX(商业2转码!$B$2:$B$10000,MATCH(E1665,商业2转码!$A$2:$A$10000,0))</f>
        <v>#N/A</v>
      </c>
      <c r="G1665" s="6" t="str">
        <f>INDEX(品种2编码!$A$2:$A$1048576,MATCH(W1665,品种2编码!$D$2:$D$1048576,0))</f>
        <v>0020030020ZYLC0013</v>
      </c>
      <c r="H1665" s="6" t="s">
        <v>591</v>
      </c>
      <c r="I1665" s="6" t="s">
        <v>1839</v>
      </c>
      <c r="J1665" s="6" t="s">
        <v>3036</v>
      </c>
      <c r="L1665" s="6" t="s">
        <v>3380</v>
      </c>
      <c r="M1665" s="6" t="e">
        <f>INDEX(医院2县区2人!$B$2:$B$1048576,MATCH(L1665,医院2县区2人!$A$2:$A$1048576,0))</f>
        <v>#N/A</v>
      </c>
      <c r="N1665" s="6" t="e">
        <f>INDEX(医院2县区2人!$C$2:$C$1048576,MATCH(L1665,医院2县区2人!$A$2:$A$1048576,0))</f>
        <v>#N/A</v>
      </c>
      <c r="P1665" s="7">
        <v>43259</v>
      </c>
      <c r="Q1665" s="6">
        <v>10</v>
      </c>
      <c r="S1665" s="6">
        <v>180105</v>
      </c>
      <c r="T1665" s="6" t="e">
        <f>INDEX(医院2县区2人!$D$2:$D$1048576,MATCH(L1665,医院2县区2人!$A$2:$A$1048576,0))</f>
        <v>#N/A</v>
      </c>
      <c r="W1665" s="6" t="str">
        <f t="shared" si="55"/>
        <v>乳酸菌素片0.4g*36片</v>
      </c>
      <c r="X1665" s="6" t="s">
        <v>2907</v>
      </c>
    </row>
    <row r="1666" spans="1:24" x14ac:dyDescent="0.15">
      <c r="A1666" s="7" t="str">
        <f t="shared" si="56"/>
        <v>201806</v>
      </c>
      <c r="C1666" s="6" t="str">
        <f>INDEX(工厂基础数据!$A$2:$A$1024,MATCH(X1666,工厂基础数据!$D$2:$D$1024,0))</f>
        <v>02029238</v>
      </c>
      <c r="E1666" s="6" t="str">
        <f>INDEX(工厂基础数据!$B$2:$B$1024,MATCH(X1666,工厂基础数据!$D$2:$D$1024,0))</f>
        <v>山东康为医药有限公司</v>
      </c>
      <c r="F1666" s="6" t="e">
        <f>INDEX(商业2转码!$B$2:$B$10000,MATCH(E1666,商业2转码!$A$2:$A$10000,0))</f>
        <v>#N/A</v>
      </c>
      <c r="G1666" s="6" t="str">
        <f>INDEX(品种2编码!$A$2:$A$1048576,MATCH(W1666,品种2编码!$D$2:$D$1048576,0))</f>
        <v>0020070000ZYLC0055</v>
      </c>
      <c r="H1666" s="6" t="s">
        <v>557</v>
      </c>
      <c r="I1666" s="6" t="s">
        <v>411</v>
      </c>
      <c r="J1666" s="6" t="s">
        <v>3036</v>
      </c>
      <c r="L1666" s="6" t="s">
        <v>3381</v>
      </c>
      <c r="M1666" s="6" t="e">
        <f>INDEX(医院2县区2人!$B$2:$B$1048576,MATCH(L1666,医院2县区2人!$A$2:$A$1048576,0))</f>
        <v>#N/A</v>
      </c>
      <c r="N1666" s="6" t="e">
        <f>INDEX(医院2县区2人!$C$2:$C$1048576,MATCH(L1666,医院2县区2人!$A$2:$A$1048576,0))</f>
        <v>#N/A</v>
      </c>
      <c r="P1666" s="7">
        <v>43259</v>
      </c>
      <c r="Q1666" s="6">
        <v>20</v>
      </c>
      <c r="S1666" s="6">
        <v>171038</v>
      </c>
      <c r="T1666" s="6" t="e">
        <f>INDEX(医院2县区2人!$D$2:$D$1048576,MATCH(L1666,医院2县区2人!$A$2:$A$1048576,0))</f>
        <v>#N/A</v>
      </c>
      <c r="W1666" s="6" t="str">
        <f t="shared" si="55"/>
        <v>朴雪乳酸亚铁口服液10ml*12支</v>
      </c>
      <c r="X1666" s="6" t="s">
        <v>2907</v>
      </c>
    </row>
    <row r="1667" spans="1:24" x14ac:dyDescent="0.15">
      <c r="A1667" s="7" t="str">
        <f t="shared" si="56"/>
        <v>201806</v>
      </c>
      <c r="C1667" s="6" t="str">
        <f>INDEX(工厂基础数据!$A$2:$A$1024,MATCH(X1667,工厂基础数据!$D$2:$D$1024,0))</f>
        <v>02029238</v>
      </c>
      <c r="E1667" s="6" t="str">
        <f>INDEX(工厂基础数据!$B$2:$B$1024,MATCH(X1667,工厂基础数据!$D$2:$D$1024,0))</f>
        <v>山东康为医药有限公司</v>
      </c>
      <c r="F1667" s="6" t="e">
        <f>INDEX(商业2转码!$B$2:$B$10000,MATCH(E1667,商业2转码!$A$2:$A$10000,0))</f>
        <v>#N/A</v>
      </c>
      <c r="G1667" s="6">
        <f>INDEX(品种2编码!$A$2:$A$1048576,MATCH(W1667,品种2编码!$D$2:$D$1048576,0))</f>
        <v>0</v>
      </c>
      <c r="H1667" s="6" t="s">
        <v>3450</v>
      </c>
      <c r="I1667" s="6" t="s">
        <v>1871</v>
      </c>
      <c r="J1667" s="6" t="s">
        <v>3045</v>
      </c>
      <c r="L1667" s="6" t="s">
        <v>3382</v>
      </c>
      <c r="M1667" s="6" t="e">
        <f>INDEX(医院2县区2人!$B$2:$B$1048576,MATCH(L1667,医院2县区2人!$A$2:$A$1048576,0))</f>
        <v>#N/A</v>
      </c>
      <c r="N1667" s="6" t="e">
        <f>INDEX(医院2县区2人!$C$2:$C$1048576,MATCH(L1667,医院2县区2人!$A$2:$A$1048576,0))</f>
        <v>#N/A</v>
      </c>
      <c r="P1667" s="7">
        <v>43259</v>
      </c>
      <c r="Q1667" s="6">
        <v>10</v>
      </c>
      <c r="S1667" s="6">
        <v>1709003</v>
      </c>
      <c r="T1667" s="6" t="e">
        <f>INDEX(医院2县区2人!$D$2:$D$1048576,MATCH(L1667,医院2县区2人!$A$2:$A$1048576,0))</f>
        <v>#N/A</v>
      </c>
      <c r="W1667" s="6" t="str">
        <f t="shared" si="55"/>
        <v>复方铝酸铋片/胃必治50片</v>
      </c>
      <c r="X1667" s="6" t="s">
        <v>2907</v>
      </c>
    </row>
    <row r="1668" spans="1:24" x14ac:dyDescent="0.15">
      <c r="A1668" s="7" t="str">
        <f t="shared" si="56"/>
        <v>201806</v>
      </c>
      <c r="C1668" s="6" t="str">
        <f>INDEX(工厂基础数据!$A$2:$A$1024,MATCH(X1668,工厂基础数据!$D$2:$D$1024,0))</f>
        <v>02029238</v>
      </c>
      <c r="E1668" s="6" t="str">
        <f>INDEX(工厂基础数据!$B$2:$B$1024,MATCH(X1668,工厂基础数据!$D$2:$D$1024,0))</f>
        <v>山东康为医药有限公司</v>
      </c>
      <c r="F1668" s="6" t="e">
        <f>INDEX(商业2转码!$B$2:$B$10000,MATCH(E1668,商业2转码!$A$2:$A$10000,0))</f>
        <v>#N/A</v>
      </c>
      <c r="G1668" s="6">
        <f>INDEX(品种2编码!$A$2:$A$1048576,MATCH(W1668,品种2编码!$D$2:$D$1048576,0))</f>
        <v>0</v>
      </c>
      <c r="H1668" s="6" t="s">
        <v>3447</v>
      </c>
      <c r="I1668" s="6" t="s">
        <v>1838</v>
      </c>
      <c r="J1668" s="6" t="s">
        <v>3036</v>
      </c>
      <c r="L1668" s="6" t="s">
        <v>3382</v>
      </c>
      <c r="M1668" s="6" t="e">
        <f>INDEX(医院2县区2人!$B$2:$B$1048576,MATCH(L1668,医院2县区2人!$A$2:$A$1048576,0))</f>
        <v>#N/A</v>
      </c>
      <c r="N1668" s="6" t="e">
        <f>INDEX(医院2县区2人!$C$2:$C$1048576,MATCH(L1668,医院2县区2人!$A$2:$A$1048576,0))</f>
        <v>#N/A</v>
      </c>
      <c r="P1668" s="7">
        <v>43259</v>
      </c>
      <c r="Q1668" s="6">
        <v>10</v>
      </c>
      <c r="S1668" s="6">
        <v>171243</v>
      </c>
      <c r="T1668" s="6" t="e">
        <f>INDEX(医院2县区2人!$D$2:$D$1048576,MATCH(L1668,医院2县区2人!$A$2:$A$1048576,0))</f>
        <v>#N/A</v>
      </c>
      <c r="W1668" s="6" t="str">
        <f t="shared" si="55"/>
        <v>新盖中盖高钙片/成人2.5g*36片</v>
      </c>
      <c r="X1668" s="6" t="s">
        <v>2907</v>
      </c>
    </row>
    <row r="1669" spans="1:24" x14ac:dyDescent="0.15">
      <c r="A1669" s="7" t="str">
        <f t="shared" si="56"/>
        <v>201806</v>
      </c>
      <c r="C1669" s="6" t="str">
        <f>INDEX(工厂基础数据!$A$2:$A$1024,MATCH(X1669,工厂基础数据!$D$2:$D$1024,0))</f>
        <v>02029238</v>
      </c>
      <c r="E1669" s="6" t="str">
        <f>INDEX(工厂基础数据!$B$2:$B$1024,MATCH(X1669,工厂基础数据!$D$2:$D$1024,0))</f>
        <v>山东康为医药有限公司</v>
      </c>
      <c r="F1669" s="6" t="e">
        <f>INDEX(商业2转码!$B$2:$B$10000,MATCH(E1669,商业2转码!$A$2:$A$10000,0))</f>
        <v>#N/A</v>
      </c>
      <c r="G1669" s="6" t="str">
        <f>INDEX(品种2编码!$A$2:$A$1048576,MATCH(W1669,品种2编码!$D$2:$D$1048576,0))</f>
        <v>0020020020SJMS0008</v>
      </c>
      <c r="H1669" s="6" t="s">
        <v>1904</v>
      </c>
      <c r="I1669" s="6" t="s">
        <v>1873</v>
      </c>
      <c r="J1669" s="6" t="s">
        <v>3046</v>
      </c>
      <c r="L1669" s="6" t="s">
        <v>3382</v>
      </c>
      <c r="M1669" s="6" t="e">
        <f>INDEX(医院2县区2人!$B$2:$B$1048576,MATCH(L1669,医院2县区2人!$A$2:$A$1048576,0))</f>
        <v>#N/A</v>
      </c>
      <c r="N1669" s="6" t="e">
        <f>INDEX(医院2县区2人!$C$2:$C$1048576,MATCH(L1669,医院2县区2人!$A$2:$A$1048576,0))</f>
        <v>#N/A</v>
      </c>
      <c r="P1669" s="7">
        <v>43259</v>
      </c>
      <c r="Q1669" s="6">
        <v>5</v>
      </c>
      <c r="S1669" s="6">
        <v>1801004</v>
      </c>
      <c r="T1669" s="6" t="e">
        <f>INDEX(医院2县区2人!$D$2:$D$1048576,MATCH(L1669,医院2县区2人!$A$2:$A$1048576,0))</f>
        <v>#N/A</v>
      </c>
      <c r="W1669" s="6" t="str">
        <f t="shared" si="55"/>
        <v>拉西地平片/三精司乐平片4mg*15片</v>
      </c>
      <c r="X1669" s="6" t="s">
        <v>2907</v>
      </c>
    </row>
    <row r="1670" spans="1:24" x14ac:dyDescent="0.15">
      <c r="A1670" s="7" t="str">
        <f t="shared" si="56"/>
        <v>201806</v>
      </c>
      <c r="C1670" s="6" t="str">
        <f>INDEX(工厂基础数据!$A$2:$A$1024,MATCH(X1670,工厂基础数据!$D$2:$D$1024,0))</f>
        <v>02029238</v>
      </c>
      <c r="E1670" s="6" t="str">
        <f>INDEX(工厂基础数据!$B$2:$B$1024,MATCH(X1670,工厂基础数据!$D$2:$D$1024,0))</f>
        <v>山东康为医药有限公司</v>
      </c>
      <c r="F1670" s="6" t="e">
        <f>INDEX(商业2转码!$B$2:$B$10000,MATCH(E1670,商业2转码!$A$2:$A$10000,0))</f>
        <v>#N/A</v>
      </c>
      <c r="G1670" s="6" t="str">
        <f>INDEX(品种2编码!$A$2:$A$1048576,MATCH(W1670,品种2编码!$D$2:$D$1048576,0))</f>
        <v>0020050090SJZY0001</v>
      </c>
      <c r="H1670" s="6" t="s">
        <v>630</v>
      </c>
      <c r="I1670" s="6" t="s">
        <v>1850</v>
      </c>
      <c r="J1670" s="6" t="s">
        <v>3040</v>
      </c>
      <c r="L1670" s="6" t="s">
        <v>3382</v>
      </c>
      <c r="M1670" s="6" t="e">
        <f>INDEX(医院2县区2人!$B$2:$B$1048576,MATCH(L1670,医院2县区2人!$A$2:$A$1048576,0))</f>
        <v>#N/A</v>
      </c>
      <c r="N1670" s="6" t="e">
        <f>INDEX(医院2县区2人!$C$2:$C$1048576,MATCH(L1670,医院2县区2人!$A$2:$A$1048576,0))</f>
        <v>#N/A</v>
      </c>
      <c r="P1670" s="7">
        <v>43259</v>
      </c>
      <c r="Q1670" s="6">
        <v>20</v>
      </c>
      <c r="S1670" s="6">
        <v>18010723</v>
      </c>
      <c r="T1670" s="6" t="e">
        <f>INDEX(医院2县区2人!$D$2:$D$1048576,MATCH(L1670,医院2县区2人!$A$2:$A$1048576,0))</f>
        <v>#N/A</v>
      </c>
      <c r="W1670" s="6" t="str">
        <f t="shared" si="55"/>
        <v>双黄连口服液10ml*10支</v>
      </c>
      <c r="X1670" s="6" t="s">
        <v>2907</v>
      </c>
    </row>
    <row r="1671" spans="1:24" x14ac:dyDescent="0.15">
      <c r="A1671" s="7" t="str">
        <f t="shared" si="56"/>
        <v>201806</v>
      </c>
      <c r="C1671" s="6" t="str">
        <f>INDEX(工厂基础数据!$A$2:$A$1024,MATCH(X1671,工厂基础数据!$D$2:$D$1024,0))</f>
        <v>02029238</v>
      </c>
      <c r="E1671" s="6" t="str">
        <f>INDEX(工厂基础数据!$B$2:$B$1024,MATCH(X1671,工厂基础数据!$D$2:$D$1024,0))</f>
        <v>山东康为医药有限公司</v>
      </c>
      <c r="F1671" s="6" t="e">
        <f>INDEX(商业2转码!$B$2:$B$10000,MATCH(E1671,商业2转码!$A$2:$A$10000,0))</f>
        <v>#N/A</v>
      </c>
      <c r="G1671" s="6" t="str">
        <f>INDEX(品种2编码!$A$2:$A$1048576,MATCH(W1671,品种2编码!$D$2:$D$1048576,0))</f>
        <v>0020030020ZYLC0013</v>
      </c>
      <c r="H1671" s="6" t="s">
        <v>591</v>
      </c>
      <c r="I1671" s="6" t="s">
        <v>1839</v>
      </c>
      <c r="J1671" s="6" t="s">
        <v>3036</v>
      </c>
      <c r="L1671" s="6" t="s">
        <v>3382</v>
      </c>
      <c r="M1671" s="6" t="e">
        <f>INDEX(医院2县区2人!$B$2:$B$1048576,MATCH(L1671,医院2县区2人!$A$2:$A$1048576,0))</f>
        <v>#N/A</v>
      </c>
      <c r="N1671" s="6" t="e">
        <f>INDEX(医院2县区2人!$C$2:$C$1048576,MATCH(L1671,医院2县区2人!$A$2:$A$1048576,0))</f>
        <v>#N/A</v>
      </c>
      <c r="P1671" s="7">
        <v>43259</v>
      </c>
      <c r="Q1671" s="6">
        <v>10</v>
      </c>
      <c r="S1671" s="6">
        <v>180105</v>
      </c>
      <c r="T1671" s="6" t="e">
        <f>INDEX(医院2县区2人!$D$2:$D$1048576,MATCH(L1671,医院2县区2人!$A$2:$A$1048576,0))</f>
        <v>#N/A</v>
      </c>
      <c r="W1671" s="6" t="str">
        <f t="shared" si="55"/>
        <v>乳酸菌素片0.4g*36片</v>
      </c>
      <c r="X1671" s="6" t="s">
        <v>2907</v>
      </c>
    </row>
    <row r="1672" spans="1:24" x14ac:dyDescent="0.15">
      <c r="A1672" s="7" t="str">
        <f t="shared" si="56"/>
        <v>201806</v>
      </c>
      <c r="C1672" s="6" t="str">
        <f>INDEX(工厂基础数据!$A$2:$A$1024,MATCH(X1672,工厂基础数据!$D$2:$D$1024,0))</f>
        <v>02029238</v>
      </c>
      <c r="E1672" s="6" t="str">
        <f>INDEX(工厂基础数据!$B$2:$B$1024,MATCH(X1672,工厂基础数据!$D$2:$D$1024,0))</f>
        <v>山东康为医药有限公司</v>
      </c>
      <c r="F1672" s="6" t="e">
        <f>INDEX(商业2转码!$B$2:$B$10000,MATCH(E1672,商业2转码!$A$2:$A$10000,0))</f>
        <v>#N/A</v>
      </c>
      <c r="G1672" s="6">
        <f>INDEX(品种2编码!$A$2:$A$1048576,MATCH(W1672,品种2编码!$D$2:$D$1048576,0))</f>
        <v>0</v>
      </c>
      <c r="H1672" s="6" t="s">
        <v>3451</v>
      </c>
      <c r="I1672" s="6" t="s">
        <v>381</v>
      </c>
      <c r="J1672" s="6" t="s">
        <v>3036</v>
      </c>
      <c r="L1672" s="6" t="s">
        <v>3382</v>
      </c>
      <c r="M1672" s="6" t="e">
        <f>INDEX(医院2县区2人!$B$2:$B$1048576,MATCH(L1672,医院2县区2人!$A$2:$A$1048576,0))</f>
        <v>#N/A</v>
      </c>
      <c r="N1672" s="6" t="e">
        <f>INDEX(医院2县区2人!$C$2:$C$1048576,MATCH(L1672,医院2县区2人!$A$2:$A$1048576,0))</f>
        <v>#N/A</v>
      </c>
      <c r="P1672" s="7">
        <v>43259</v>
      </c>
      <c r="Q1672" s="6">
        <v>10</v>
      </c>
      <c r="S1672" s="6">
        <v>170706</v>
      </c>
      <c r="T1672" s="6" t="e">
        <f>INDEX(医院2县区2人!$D$2:$D$1048576,MATCH(L1672,医院2县区2人!$A$2:$A$1048576,0))</f>
        <v>#N/A</v>
      </c>
      <c r="W1672" s="6" t="str">
        <f t="shared" si="55"/>
        <v>颠茄磺苄啶片/泻利停12片</v>
      </c>
      <c r="X1672" s="6" t="s">
        <v>2907</v>
      </c>
    </row>
    <row r="1673" spans="1:24" x14ac:dyDescent="0.15">
      <c r="A1673" s="7" t="str">
        <f t="shared" si="56"/>
        <v>201806</v>
      </c>
      <c r="C1673" s="6" t="str">
        <f>INDEX(工厂基础数据!$A$2:$A$1024,MATCH(X1673,工厂基础数据!$D$2:$D$1024,0))</f>
        <v>02029238</v>
      </c>
      <c r="E1673" s="6" t="str">
        <f>INDEX(工厂基础数据!$B$2:$B$1024,MATCH(X1673,工厂基础数据!$D$2:$D$1024,0))</f>
        <v>山东康为医药有限公司</v>
      </c>
      <c r="F1673" s="6" t="e">
        <f>INDEX(商业2转码!$B$2:$B$10000,MATCH(E1673,商业2转码!$A$2:$A$10000,0))</f>
        <v>#N/A</v>
      </c>
      <c r="G1673" s="6">
        <f>INDEX(品种2编码!$A$2:$A$1048576,MATCH(W1673,品种2编码!$D$2:$D$1048576,0))</f>
        <v>0</v>
      </c>
      <c r="H1673" s="6" t="s">
        <v>3448</v>
      </c>
      <c r="I1673" s="6" t="s">
        <v>411</v>
      </c>
      <c r="J1673" s="6" t="s">
        <v>3040</v>
      </c>
      <c r="L1673" s="6" t="s">
        <v>2589</v>
      </c>
      <c r="M1673" s="6">
        <f>INDEX(医院2县区2人!$B$2:$B$1048576,MATCH(L1673,医院2县区2人!$A$2:$A$1048576,0))</f>
        <v>1</v>
      </c>
      <c r="N1673" s="6" t="str">
        <f>INDEX(医院2县区2人!$C$2:$C$1048576,MATCH(L1673,医院2县区2人!$A$2:$A$1048576,0))</f>
        <v>1757</v>
      </c>
      <c r="P1673" s="7">
        <v>43259</v>
      </c>
      <c r="Q1673" s="6">
        <v>10</v>
      </c>
      <c r="S1673" s="6">
        <v>17122922</v>
      </c>
      <c r="T1673" s="6">
        <f>INDEX(医院2县区2人!$D$2:$D$1048576,MATCH(L1673,医院2县区2人!$A$2:$A$1048576,0))</f>
        <v>0</v>
      </c>
      <c r="W1673" s="6" t="str">
        <f t="shared" si="55"/>
        <v>葡萄糖酸钙口服溶液（含糖型）10ml*12支</v>
      </c>
      <c r="X1673" s="6" t="s">
        <v>2907</v>
      </c>
    </row>
    <row r="1674" spans="1:24" x14ac:dyDescent="0.15">
      <c r="A1674" s="7" t="str">
        <f t="shared" si="56"/>
        <v>201806</v>
      </c>
      <c r="C1674" s="6" t="str">
        <f>INDEX(工厂基础数据!$A$2:$A$1024,MATCH(X1674,工厂基础数据!$D$2:$D$1024,0))</f>
        <v>02029238</v>
      </c>
      <c r="E1674" s="6" t="str">
        <f>INDEX(工厂基础数据!$B$2:$B$1024,MATCH(X1674,工厂基础数据!$D$2:$D$1024,0))</f>
        <v>山东康为医药有限公司</v>
      </c>
      <c r="F1674" s="6" t="e">
        <f>INDEX(商业2转码!$B$2:$B$10000,MATCH(E1674,商业2转码!$A$2:$A$10000,0))</f>
        <v>#N/A</v>
      </c>
      <c r="G1674" s="6" t="str">
        <f>INDEX(品种2编码!$A$2:$A$1048576,MATCH(W1674,品种2编码!$D$2:$D$1048576,0))</f>
        <v>0020030001SJZY0009</v>
      </c>
      <c r="H1674" s="6" t="s">
        <v>1949</v>
      </c>
      <c r="I1674" s="6" t="s">
        <v>411</v>
      </c>
      <c r="J1674" s="6" t="s">
        <v>3040</v>
      </c>
      <c r="L1674" s="6" t="s">
        <v>2589</v>
      </c>
      <c r="M1674" s="6">
        <f>INDEX(医院2县区2人!$B$2:$B$1048576,MATCH(L1674,医院2县区2人!$A$2:$A$1048576,0))</f>
        <v>1</v>
      </c>
      <c r="N1674" s="6" t="str">
        <f>INDEX(医院2县区2人!$C$2:$C$1048576,MATCH(L1674,医院2县区2人!$A$2:$A$1048576,0))</f>
        <v>1757</v>
      </c>
      <c r="P1674" s="7">
        <v>43259</v>
      </c>
      <c r="Q1674" s="6">
        <v>10</v>
      </c>
      <c r="S1674" s="6">
        <v>18031227</v>
      </c>
      <c r="T1674" s="6">
        <f>INDEX(医院2县区2人!$D$2:$D$1048576,MATCH(L1674,医院2县区2人!$A$2:$A$1048576,0))</f>
        <v>0</v>
      </c>
      <c r="W1674" s="6" t="str">
        <f t="shared" si="55"/>
        <v>葡萄糖酸锌口服溶液10ml*12支</v>
      </c>
      <c r="X1674" s="6" t="s">
        <v>2907</v>
      </c>
    </row>
    <row r="1675" spans="1:24" x14ac:dyDescent="0.15">
      <c r="A1675" s="7" t="str">
        <f t="shared" si="56"/>
        <v>201806</v>
      </c>
      <c r="C1675" s="6" t="str">
        <f>INDEX(工厂基础数据!$A$2:$A$1024,MATCH(X1675,工厂基础数据!$D$2:$D$1024,0))</f>
        <v>02029238</v>
      </c>
      <c r="E1675" s="6" t="str">
        <f>INDEX(工厂基础数据!$B$2:$B$1024,MATCH(X1675,工厂基础数据!$D$2:$D$1024,0))</f>
        <v>山东康为医药有限公司</v>
      </c>
      <c r="F1675" s="6" t="e">
        <f>INDEX(商业2转码!$B$2:$B$10000,MATCH(E1675,商业2转码!$A$2:$A$10000,0))</f>
        <v>#N/A</v>
      </c>
      <c r="G1675" s="6" t="str">
        <f>INDEX(品种2编码!$A$2:$A$1048576,MATCH(W1675,品种2编码!$D$2:$D$1048576,0))</f>
        <v>0020020021ZYLC0010</v>
      </c>
      <c r="H1675" s="6" t="s">
        <v>469</v>
      </c>
      <c r="I1675" s="6" t="s">
        <v>1916</v>
      </c>
      <c r="J1675" s="6" t="s">
        <v>3036</v>
      </c>
      <c r="L1675" s="6" t="s">
        <v>3383</v>
      </c>
      <c r="M1675" s="6" t="e">
        <f>INDEX(医院2县区2人!$B$2:$B$1048576,MATCH(L1675,医院2县区2人!$A$2:$A$1048576,0))</f>
        <v>#N/A</v>
      </c>
      <c r="N1675" s="6" t="e">
        <f>INDEX(医院2县区2人!$C$2:$C$1048576,MATCH(L1675,医院2县区2人!$A$2:$A$1048576,0))</f>
        <v>#N/A</v>
      </c>
      <c r="P1675" s="7">
        <v>43259</v>
      </c>
      <c r="Q1675" s="6">
        <v>10</v>
      </c>
      <c r="S1675" s="6">
        <v>171201</v>
      </c>
      <c r="T1675" s="6" t="e">
        <f>INDEX(医院2县区2人!$D$2:$D$1048576,MATCH(L1675,医院2县区2人!$A$2:$A$1048576,0))</f>
        <v>#N/A</v>
      </c>
      <c r="W1675" s="6" t="str">
        <f t="shared" si="55"/>
        <v>克拉霉素分散片0.125g*12片</v>
      </c>
      <c r="X1675" s="6" t="s">
        <v>2907</v>
      </c>
    </row>
    <row r="1676" spans="1:24" x14ac:dyDescent="0.15">
      <c r="A1676" s="7" t="str">
        <f t="shared" si="56"/>
        <v>201806</v>
      </c>
      <c r="C1676" s="6" t="str">
        <f>INDEX(工厂基础数据!$A$2:$A$1024,MATCH(X1676,工厂基础数据!$D$2:$D$1024,0))</f>
        <v>02029238</v>
      </c>
      <c r="E1676" s="6" t="str">
        <f>INDEX(工厂基础数据!$B$2:$B$1024,MATCH(X1676,工厂基础数据!$D$2:$D$1024,0))</f>
        <v>山东康为医药有限公司</v>
      </c>
      <c r="F1676" s="6" t="e">
        <f>INDEX(商业2转码!$B$2:$B$10000,MATCH(E1676,商业2转码!$A$2:$A$10000,0))</f>
        <v>#N/A</v>
      </c>
      <c r="G1676" s="6">
        <f>INDEX(品种2编码!$A$2:$A$1048576,MATCH(W1676,品种2编码!$D$2:$D$1048576,0))</f>
        <v>0</v>
      </c>
      <c r="H1676" s="6" t="s">
        <v>3448</v>
      </c>
      <c r="I1676" s="6" t="s">
        <v>411</v>
      </c>
      <c r="J1676" s="6" t="s">
        <v>3040</v>
      </c>
      <c r="L1676" s="6" t="s">
        <v>3373</v>
      </c>
      <c r="M1676" s="6" t="e">
        <f>INDEX(医院2县区2人!$B$2:$B$1048576,MATCH(L1676,医院2县区2人!$A$2:$A$1048576,0))</f>
        <v>#N/A</v>
      </c>
      <c r="N1676" s="6" t="e">
        <f>INDEX(医院2县区2人!$C$2:$C$1048576,MATCH(L1676,医院2县区2人!$A$2:$A$1048576,0))</f>
        <v>#N/A</v>
      </c>
      <c r="P1676" s="7">
        <v>43259</v>
      </c>
      <c r="Q1676" s="6">
        <v>20</v>
      </c>
      <c r="S1676" s="6">
        <v>17122922</v>
      </c>
      <c r="T1676" s="6" t="e">
        <f>INDEX(医院2县区2人!$D$2:$D$1048576,MATCH(L1676,医院2县区2人!$A$2:$A$1048576,0))</f>
        <v>#N/A</v>
      </c>
      <c r="W1676" s="6" t="str">
        <f t="shared" si="55"/>
        <v>葡萄糖酸钙口服溶液（含糖型）10ml*12支</v>
      </c>
      <c r="X1676" s="6" t="s">
        <v>2907</v>
      </c>
    </row>
    <row r="1677" spans="1:24" x14ac:dyDescent="0.15">
      <c r="A1677" s="7" t="str">
        <f t="shared" si="56"/>
        <v>201806</v>
      </c>
      <c r="C1677" s="6" t="str">
        <f>INDEX(工厂基础数据!$A$2:$A$1024,MATCH(X1677,工厂基础数据!$D$2:$D$1024,0))</f>
        <v>02029238</v>
      </c>
      <c r="E1677" s="6" t="str">
        <f>INDEX(工厂基础数据!$B$2:$B$1024,MATCH(X1677,工厂基础数据!$D$2:$D$1024,0))</f>
        <v>山东康为医药有限公司</v>
      </c>
      <c r="F1677" s="6" t="e">
        <f>INDEX(商业2转码!$B$2:$B$10000,MATCH(E1677,商业2转码!$A$2:$A$10000,0))</f>
        <v>#N/A</v>
      </c>
      <c r="G1677" s="6" t="str">
        <f>INDEX(品种2编码!$A$2:$A$1048576,MATCH(W1677,品种2编码!$D$2:$D$1048576,0))</f>
        <v>0020030001SJZY0009</v>
      </c>
      <c r="H1677" s="6" t="s">
        <v>1949</v>
      </c>
      <c r="I1677" s="6" t="s">
        <v>411</v>
      </c>
      <c r="J1677" s="6" t="s">
        <v>3040</v>
      </c>
      <c r="L1677" s="6" t="s">
        <v>3373</v>
      </c>
      <c r="M1677" s="6" t="e">
        <f>INDEX(医院2县区2人!$B$2:$B$1048576,MATCH(L1677,医院2县区2人!$A$2:$A$1048576,0))</f>
        <v>#N/A</v>
      </c>
      <c r="N1677" s="6" t="e">
        <f>INDEX(医院2县区2人!$C$2:$C$1048576,MATCH(L1677,医院2县区2人!$A$2:$A$1048576,0))</f>
        <v>#N/A</v>
      </c>
      <c r="P1677" s="7">
        <v>43259</v>
      </c>
      <c r="Q1677" s="6">
        <v>20</v>
      </c>
      <c r="S1677" s="6">
        <v>18031227</v>
      </c>
      <c r="T1677" s="6" t="e">
        <f>INDEX(医院2县区2人!$D$2:$D$1048576,MATCH(L1677,医院2县区2人!$A$2:$A$1048576,0))</f>
        <v>#N/A</v>
      </c>
      <c r="W1677" s="6" t="str">
        <f t="shared" si="55"/>
        <v>葡萄糖酸锌口服溶液10ml*12支</v>
      </c>
      <c r="X1677" s="6" t="s">
        <v>2907</v>
      </c>
    </row>
    <row r="1678" spans="1:24" x14ac:dyDescent="0.15">
      <c r="A1678" s="7" t="str">
        <f t="shared" si="56"/>
        <v>201806</v>
      </c>
      <c r="C1678" s="6" t="str">
        <f>INDEX(工厂基础数据!$A$2:$A$1024,MATCH(X1678,工厂基础数据!$D$2:$D$1024,0))</f>
        <v>02029238</v>
      </c>
      <c r="E1678" s="6" t="str">
        <f>INDEX(工厂基础数据!$B$2:$B$1024,MATCH(X1678,工厂基础数据!$D$2:$D$1024,0))</f>
        <v>山东康为医药有限公司</v>
      </c>
      <c r="F1678" s="6" t="e">
        <f>INDEX(商业2转码!$B$2:$B$10000,MATCH(E1678,商业2转码!$A$2:$A$10000,0))</f>
        <v>#N/A</v>
      </c>
      <c r="G1678" s="6">
        <f>INDEX(品种2编码!$A$2:$A$1048576,MATCH(W1678,品种2编码!$D$2:$D$1048576,0))</f>
        <v>0</v>
      </c>
      <c r="H1678" s="6" t="s">
        <v>3450</v>
      </c>
      <c r="I1678" s="6" t="s">
        <v>1871</v>
      </c>
      <c r="J1678" s="6" t="s">
        <v>3045</v>
      </c>
      <c r="L1678" s="6" t="s">
        <v>3384</v>
      </c>
      <c r="M1678" s="6" t="e">
        <f>INDEX(医院2县区2人!$B$2:$B$1048576,MATCH(L1678,医院2县区2人!$A$2:$A$1048576,0))</f>
        <v>#N/A</v>
      </c>
      <c r="N1678" s="6" t="e">
        <f>INDEX(医院2县区2人!$C$2:$C$1048576,MATCH(L1678,医院2县区2人!$A$2:$A$1048576,0))</f>
        <v>#N/A</v>
      </c>
      <c r="P1678" s="7">
        <v>43259</v>
      </c>
      <c r="Q1678" s="6">
        <v>10</v>
      </c>
      <c r="S1678" s="6">
        <v>1709003</v>
      </c>
      <c r="T1678" s="6" t="e">
        <f>INDEX(医院2县区2人!$D$2:$D$1048576,MATCH(L1678,医院2县区2人!$A$2:$A$1048576,0))</f>
        <v>#N/A</v>
      </c>
      <c r="W1678" s="6" t="str">
        <f t="shared" si="55"/>
        <v>复方铝酸铋片/胃必治50片</v>
      </c>
      <c r="X1678" s="6" t="s">
        <v>2907</v>
      </c>
    </row>
    <row r="1679" spans="1:24" x14ac:dyDescent="0.15">
      <c r="A1679" s="7" t="str">
        <f t="shared" si="56"/>
        <v>201806</v>
      </c>
      <c r="C1679" s="6" t="str">
        <f>INDEX(工厂基础数据!$A$2:$A$1024,MATCH(X1679,工厂基础数据!$D$2:$D$1024,0))</f>
        <v>02029238</v>
      </c>
      <c r="E1679" s="6" t="str">
        <f>INDEX(工厂基础数据!$B$2:$B$1024,MATCH(X1679,工厂基础数据!$D$2:$D$1024,0))</f>
        <v>山东康为医药有限公司</v>
      </c>
      <c r="F1679" s="6" t="e">
        <f>INDEX(商业2转码!$B$2:$B$10000,MATCH(E1679,商业2转码!$A$2:$A$10000,0))</f>
        <v>#N/A</v>
      </c>
      <c r="G1679" s="6">
        <f>INDEX(品种2编码!$A$2:$A$1048576,MATCH(W1679,品种2编码!$D$2:$D$1048576,0))</f>
        <v>0</v>
      </c>
      <c r="H1679" s="6" t="s">
        <v>1857</v>
      </c>
      <c r="I1679" s="6" t="s">
        <v>3454</v>
      </c>
      <c r="J1679" s="6" t="s">
        <v>3037</v>
      </c>
      <c r="L1679" s="6" t="s">
        <v>3384</v>
      </c>
      <c r="M1679" s="6" t="e">
        <f>INDEX(医院2县区2人!$B$2:$B$1048576,MATCH(L1679,医院2县区2人!$A$2:$A$1048576,0))</f>
        <v>#N/A</v>
      </c>
      <c r="N1679" s="6" t="e">
        <f>INDEX(医院2县区2人!$C$2:$C$1048576,MATCH(L1679,医院2县区2人!$A$2:$A$1048576,0))</f>
        <v>#N/A</v>
      </c>
      <c r="P1679" s="7">
        <v>43259</v>
      </c>
      <c r="Q1679" s="6">
        <v>10</v>
      </c>
      <c r="S1679" s="6">
        <v>1703407</v>
      </c>
      <c r="T1679" s="6" t="e">
        <f>INDEX(医院2县区2人!$D$2:$D$1048576,MATCH(L1679,医院2县区2人!$A$2:$A$1048576,0))</f>
        <v>#N/A</v>
      </c>
      <c r="W1679" s="6" t="str">
        <f t="shared" si="55"/>
        <v>妇宁栓7枚</v>
      </c>
      <c r="X1679" s="6" t="s">
        <v>2907</v>
      </c>
    </row>
    <row r="1680" spans="1:24" x14ac:dyDescent="0.15">
      <c r="A1680" s="7" t="str">
        <f t="shared" si="56"/>
        <v>201806</v>
      </c>
      <c r="C1680" s="6" t="str">
        <f>INDEX(工厂基础数据!$A$2:$A$1024,MATCH(X1680,工厂基础数据!$D$2:$D$1024,0))</f>
        <v>02029238</v>
      </c>
      <c r="E1680" s="6" t="str">
        <f>INDEX(工厂基础数据!$B$2:$B$1024,MATCH(X1680,工厂基础数据!$D$2:$D$1024,0))</f>
        <v>山东康为医药有限公司</v>
      </c>
      <c r="F1680" s="6" t="e">
        <f>INDEX(商业2转码!$B$2:$B$10000,MATCH(E1680,商业2转码!$A$2:$A$10000,0))</f>
        <v>#N/A</v>
      </c>
      <c r="G1680" s="6" t="str">
        <f>INDEX(品种2编码!$A$2:$A$1048576,MATCH(W1680,品种2编码!$D$2:$D$1048576,0))</f>
        <v>0020070001ZYZC0383</v>
      </c>
      <c r="H1680" s="6" t="s">
        <v>1849</v>
      </c>
      <c r="I1680" s="6" t="s">
        <v>1850</v>
      </c>
      <c r="J1680" s="6" t="s">
        <v>3038</v>
      </c>
      <c r="L1680" s="6" t="s">
        <v>3384</v>
      </c>
      <c r="M1680" s="6" t="e">
        <f>INDEX(医院2县区2人!$B$2:$B$1048576,MATCH(L1680,医院2县区2人!$A$2:$A$1048576,0))</f>
        <v>#N/A</v>
      </c>
      <c r="N1680" s="6" t="e">
        <f>INDEX(医院2县区2人!$C$2:$C$1048576,MATCH(L1680,医院2县区2人!$A$2:$A$1048576,0))</f>
        <v>#N/A</v>
      </c>
      <c r="P1680" s="7">
        <v>43259</v>
      </c>
      <c r="Q1680" s="6">
        <v>10</v>
      </c>
      <c r="S1680" s="6" t="s">
        <v>3278</v>
      </c>
      <c r="T1680" s="6" t="e">
        <f>INDEX(医院2县区2人!$D$2:$D$1048576,MATCH(L1680,医院2县区2人!$A$2:$A$1048576,0))</f>
        <v>#N/A</v>
      </c>
      <c r="W1680" s="6" t="str">
        <f t="shared" si="55"/>
        <v>哈药牌钙铁锌口服液10ml*10支</v>
      </c>
      <c r="X1680" s="6" t="s">
        <v>2907</v>
      </c>
    </row>
    <row r="1681" spans="1:24" x14ac:dyDescent="0.15">
      <c r="A1681" s="7" t="str">
        <f t="shared" si="56"/>
        <v>201806</v>
      </c>
      <c r="C1681" s="6" t="str">
        <f>INDEX(工厂基础数据!$A$2:$A$1024,MATCH(X1681,工厂基础数据!$D$2:$D$1024,0))</f>
        <v>02029238</v>
      </c>
      <c r="E1681" s="6" t="str">
        <f>INDEX(工厂基础数据!$B$2:$B$1024,MATCH(X1681,工厂基础数据!$D$2:$D$1024,0))</f>
        <v>山东康为医药有限公司</v>
      </c>
      <c r="F1681" s="6" t="e">
        <f>INDEX(商业2转码!$B$2:$B$10000,MATCH(E1681,商业2转码!$A$2:$A$10000,0))</f>
        <v>#N/A</v>
      </c>
      <c r="G1681" s="6">
        <f>INDEX(品种2编码!$A$2:$A$1048576,MATCH(W1681,品种2编码!$D$2:$D$1048576,0))</f>
        <v>0</v>
      </c>
      <c r="H1681" s="6" t="s">
        <v>3448</v>
      </c>
      <c r="I1681" s="6" t="s">
        <v>411</v>
      </c>
      <c r="J1681" s="6" t="s">
        <v>3040</v>
      </c>
      <c r="L1681" s="6" t="s">
        <v>3384</v>
      </c>
      <c r="M1681" s="6" t="e">
        <f>INDEX(医院2县区2人!$B$2:$B$1048576,MATCH(L1681,医院2县区2人!$A$2:$A$1048576,0))</f>
        <v>#N/A</v>
      </c>
      <c r="N1681" s="6" t="e">
        <f>INDEX(医院2县区2人!$C$2:$C$1048576,MATCH(L1681,医院2县区2人!$A$2:$A$1048576,0))</f>
        <v>#N/A</v>
      </c>
      <c r="P1681" s="7">
        <v>43259</v>
      </c>
      <c r="Q1681" s="6">
        <v>20</v>
      </c>
      <c r="S1681" s="6">
        <v>17122922</v>
      </c>
      <c r="T1681" s="6" t="e">
        <f>INDEX(医院2县区2人!$D$2:$D$1048576,MATCH(L1681,医院2县区2人!$A$2:$A$1048576,0))</f>
        <v>#N/A</v>
      </c>
      <c r="W1681" s="6" t="str">
        <f t="shared" si="55"/>
        <v>葡萄糖酸钙口服溶液（含糖型）10ml*12支</v>
      </c>
      <c r="X1681" s="6" t="s">
        <v>2907</v>
      </c>
    </row>
    <row r="1682" spans="1:24" x14ac:dyDescent="0.15">
      <c r="A1682" s="7" t="str">
        <f t="shared" si="56"/>
        <v>201806</v>
      </c>
      <c r="C1682" s="6" t="str">
        <f>INDEX(工厂基础数据!$A$2:$A$1024,MATCH(X1682,工厂基础数据!$D$2:$D$1024,0))</f>
        <v>02029238</v>
      </c>
      <c r="E1682" s="6" t="str">
        <f>INDEX(工厂基础数据!$B$2:$B$1024,MATCH(X1682,工厂基础数据!$D$2:$D$1024,0))</f>
        <v>山东康为医药有限公司</v>
      </c>
      <c r="F1682" s="6" t="e">
        <f>INDEX(商业2转码!$B$2:$B$10000,MATCH(E1682,商业2转码!$A$2:$A$10000,0))</f>
        <v>#N/A</v>
      </c>
      <c r="G1682" s="6">
        <f>INDEX(品种2编码!$A$2:$A$1048576,MATCH(W1682,品种2编码!$D$2:$D$1048576,0))</f>
        <v>0</v>
      </c>
      <c r="H1682" s="6" t="s">
        <v>3452</v>
      </c>
      <c r="I1682" s="6" t="s">
        <v>3455</v>
      </c>
      <c r="J1682" s="6" t="s">
        <v>3038</v>
      </c>
      <c r="L1682" s="6" t="s">
        <v>3384</v>
      </c>
      <c r="M1682" s="6" t="e">
        <f>INDEX(医院2县区2人!$B$2:$B$1048576,MATCH(L1682,医院2县区2人!$A$2:$A$1048576,0))</f>
        <v>#N/A</v>
      </c>
      <c r="N1682" s="6" t="e">
        <f>INDEX(医院2县区2人!$C$2:$C$1048576,MATCH(L1682,医院2县区2人!$A$2:$A$1048576,0))</f>
        <v>#N/A</v>
      </c>
      <c r="P1682" s="7">
        <v>43259</v>
      </c>
      <c r="Q1682" s="6">
        <v>30</v>
      </c>
      <c r="S1682" s="6" t="s">
        <v>3801</v>
      </c>
      <c r="T1682" s="6" t="e">
        <f>INDEX(医院2县区2人!$D$2:$D$1048576,MATCH(L1682,医院2县区2人!$A$2:$A$1048576,0))</f>
        <v>#N/A</v>
      </c>
      <c r="W1682" s="6" t="str">
        <f t="shared" si="55"/>
        <v>阿莫西林胶囊 益萨林0.5g*12粒*3板</v>
      </c>
      <c r="X1682" s="6" t="s">
        <v>2907</v>
      </c>
    </row>
    <row r="1683" spans="1:24" x14ac:dyDescent="0.15">
      <c r="A1683" s="7" t="str">
        <f t="shared" si="56"/>
        <v>201806</v>
      </c>
      <c r="C1683" s="6" t="str">
        <f>INDEX(工厂基础数据!$A$2:$A$1024,MATCH(X1683,工厂基础数据!$D$2:$D$1024,0))</f>
        <v>02029238</v>
      </c>
      <c r="E1683" s="6" t="str">
        <f>INDEX(工厂基础数据!$B$2:$B$1024,MATCH(X1683,工厂基础数据!$D$2:$D$1024,0))</f>
        <v>山东康为医药有限公司</v>
      </c>
      <c r="F1683" s="6" t="e">
        <f>INDEX(商业2转码!$B$2:$B$10000,MATCH(E1683,商业2转码!$A$2:$A$10000,0))</f>
        <v>#N/A</v>
      </c>
      <c r="G1683" s="6" t="str">
        <f>INDEX(品种2编码!$A$2:$A$1048576,MATCH(W1683,品种2编码!$D$2:$D$1048576,0))</f>
        <v>0020030001SJZY0009</v>
      </c>
      <c r="H1683" s="6" t="s">
        <v>1949</v>
      </c>
      <c r="I1683" s="6" t="s">
        <v>411</v>
      </c>
      <c r="J1683" s="6" t="s">
        <v>3040</v>
      </c>
      <c r="L1683" s="6" t="s">
        <v>3384</v>
      </c>
      <c r="M1683" s="6" t="e">
        <f>INDEX(医院2县区2人!$B$2:$B$1048576,MATCH(L1683,医院2县区2人!$A$2:$A$1048576,0))</f>
        <v>#N/A</v>
      </c>
      <c r="N1683" s="6" t="e">
        <f>INDEX(医院2县区2人!$C$2:$C$1048576,MATCH(L1683,医院2县区2人!$A$2:$A$1048576,0))</f>
        <v>#N/A</v>
      </c>
      <c r="P1683" s="7">
        <v>43259</v>
      </c>
      <c r="Q1683" s="6">
        <v>30</v>
      </c>
      <c r="S1683" s="6">
        <v>18031227</v>
      </c>
      <c r="T1683" s="6" t="e">
        <f>INDEX(医院2县区2人!$D$2:$D$1048576,MATCH(L1683,医院2县区2人!$A$2:$A$1048576,0))</f>
        <v>#N/A</v>
      </c>
      <c r="W1683" s="6" t="str">
        <f t="shared" si="55"/>
        <v>葡萄糖酸锌口服溶液10ml*12支</v>
      </c>
      <c r="X1683" s="6" t="s">
        <v>2907</v>
      </c>
    </row>
    <row r="1684" spans="1:24" x14ac:dyDescent="0.15">
      <c r="A1684" s="7" t="str">
        <f t="shared" si="56"/>
        <v>201806</v>
      </c>
      <c r="C1684" s="6" t="str">
        <f>INDEX(工厂基础数据!$A$2:$A$1024,MATCH(X1684,工厂基础数据!$D$2:$D$1024,0))</f>
        <v>02029238</v>
      </c>
      <c r="E1684" s="6" t="str">
        <f>INDEX(工厂基础数据!$B$2:$B$1024,MATCH(X1684,工厂基础数据!$D$2:$D$1024,0))</f>
        <v>山东康为医药有限公司</v>
      </c>
      <c r="F1684" s="6" t="e">
        <f>INDEX(商业2转码!$B$2:$B$10000,MATCH(E1684,商业2转码!$A$2:$A$10000,0))</f>
        <v>#N/A</v>
      </c>
      <c r="G1684" s="6" t="str">
        <f>INDEX(品种2编码!$A$2:$A$1048576,MATCH(W1684,品种2编码!$D$2:$D$1048576,0))</f>
        <v>0020070001ZYZC0383</v>
      </c>
      <c r="H1684" s="6" t="s">
        <v>1849</v>
      </c>
      <c r="I1684" s="6" t="s">
        <v>1850</v>
      </c>
      <c r="J1684" s="6" t="s">
        <v>3038</v>
      </c>
      <c r="L1684" s="6" t="s">
        <v>3385</v>
      </c>
      <c r="M1684" s="6" t="e">
        <f>INDEX(医院2县区2人!$B$2:$B$1048576,MATCH(L1684,医院2县区2人!$A$2:$A$1048576,0))</f>
        <v>#N/A</v>
      </c>
      <c r="N1684" s="6" t="e">
        <f>INDEX(医院2县区2人!$C$2:$C$1048576,MATCH(L1684,医院2县区2人!$A$2:$A$1048576,0))</f>
        <v>#N/A</v>
      </c>
      <c r="P1684" s="7">
        <v>43259</v>
      </c>
      <c r="Q1684" s="6">
        <v>20</v>
      </c>
      <c r="S1684" s="6" t="s">
        <v>3278</v>
      </c>
      <c r="T1684" s="6" t="e">
        <f>INDEX(医院2县区2人!$D$2:$D$1048576,MATCH(L1684,医院2县区2人!$A$2:$A$1048576,0))</f>
        <v>#N/A</v>
      </c>
      <c r="W1684" s="6" t="str">
        <f t="shared" si="55"/>
        <v>哈药牌钙铁锌口服液10ml*10支</v>
      </c>
      <c r="X1684" s="6" t="s">
        <v>2907</v>
      </c>
    </row>
    <row r="1685" spans="1:24" x14ac:dyDescent="0.15">
      <c r="A1685" s="7" t="str">
        <f t="shared" si="56"/>
        <v>201806</v>
      </c>
      <c r="C1685" s="6" t="str">
        <f>INDEX(工厂基础数据!$A$2:$A$1024,MATCH(X1685,工厂基础数据!$D$2:$D$1024,0))</f>
        <v>02029238</v>
      </c>
      <c r="E1685" s="6" t="str">
        <f>INDEX(工厂基础数据!$B$2:$B$1024,MATCH(X1685,工厂基础数据!$D$2:$D$1024,0))</f>
        <v>山东康为医药有限公司</v>
      </c>
      <c r="F1685" s="6" t="e">
        <f>INDEX(商业2转码!$B$2:$B$10000,MATCH(E1685,商业2转码!$A$2:$A$10000,0))</f>
        <v>#N/A</v>
      </c>
      <c r="G1685" s="6" t="str">
        <f>INDEX(品种2编码!$A$2:$A$1048576,MATCH(W1685,品种2编码!$D$2:$D$1048576,0))</f>
        <v>0020020020SJMS0008</v>
      </c>
      <c r="H1685" s="6" t="s">
        <v>1904</v>
      </c>
      <c r="I1685" s="6" t="s">
        <v>1873</v>
      </c>
      <c r="J1685" s="6" t="s">
        <v>3046</v>
      </c>
      <c r="L1685" s="6" t="s">
        <v>3349</v>
      </c>
      <c r="M1685" s="6" t="e">
        <f>INDEX(医院2县区2人!$B$2:$B$1048576,MATCH(L1685,医院2县区2人!$A$2:$A$1048576,0))</f>
        <v>#N/A</v>
      </c>
      <c r="N1685" s="6" t="e">
        <f>INDEX(医院2县区2人!$C$2:$C$1048576,MATCH(L1685,医院2县区2人!$A$2:$A$1048576,0))</f>
        <v>#N/A</v>
      </c>
      <c r="P1685" s="7">
        <v>43259</v>
      </c>
      <c r="Q1685" s="6">
        <v>5</v>
      </c>
      <c r="S1685" s="6">
        <v>1801004</v>
      </c>
      <c r="T1685" s="6" t="e">
        <f>INDEX(医院2县区2人!$D$2:$D$1048576,MATCH(L1685,医院2县区2人!$A$2:$A$1048576,0))</f>
        <v>#N/A</v>
      </c>
      <c r="W1685" s="6" t="str">
        <f t="shared" si="55"/>
        <v>拉西地平片/三精司乐平片4mg*15片</v>
      </c>
      <c r="X1685" s="6" t="s">
        <v>2907</v>
      </c>
    </row>
    <row r="1686" spans="1:24" x14ac:dyDescent="0.15">
      <c r="A1686" s="7" t="str">
        <f t="shared" si="56"/>
        <v>201806</v>
      </c>
      <c r="C1686" s="6" t="str">
        <f>INDEX(工厂基础数据!$A$2:$A$1024,MATCH(X1686,工厂基础数据!$D$2:$D$1024,0))</f>
        <v>02029238</v>
      </c>
      <c r="E1686" s="6" t="str">
        <f>INDEX(工厂基础数据!$B$2:$B$1024,MATCH(X1686,工厂基础数据!$D$2:$D$1024,0))</f>
        <v>山东康为医药有限公司</v>
      </c>
      <c r="F1686" s="6" t="e">
        <f>INDEX(商业2转码!$B$2:$B$10000,MATCH(E1686,商业2转码!$A$2:$A$10000,0))</f>
        <v>#N/A</v>
      </c>
      <c r="G1686" s="6" t="str">
        <f>INDEX(品种2编码!$A$2:$A$1048576,MATCH(W1686,品种2编码!$D$2:$D$1048576,0))</f>
        <v>0020020020SJMS0008</v>
      </c>
      <c r="H1686" s="6" t="s">
        <v>1904</v>
      </c>
      <c r="I1686" s="6" t="s">
        <v>1873</v>
      </c>
      <c r="J1686" s="6" t="s">
        <v>3046</v>
      </c>
      <c r="L1686" s="6" t="s">
        <v>3386</v>
      </c>
      <c r="M1686" s="6" t="e">
        <f>INDEX(医院2县区2人!$B$2:$B$1048576,MATCH(L1686,医院2县区2人!$A$2:$A$1048576,0))</f>
        <v>#N/A</v>
      </c>
      <c r="N1686" s="6" t="e">
        <f>INDEX(医院2县区2人!$C$2:$C$1048576,MATCH(L1686,医院2县区2人!$A$2:$A$1048576,0))</f>
        <v>#N/A</v>
      </c>
      <c r="P1686" s="7">
        <v>43259</v>
      </c>
      <c r="Q1686" s="6">
        <v>5</v>
      </c>
      <c r="S1686" s="6">
        <v>1801004</v>
      </c>
      <c r="T1686" s="6" t="e">
        <f>INDEX(医院2县区2人!$D$2:$D$1048576,MATCH(L1686,医院2县区2人!$A$2:$A$1048576,0))</f>
        <v>#N/A</v>
      </c>
      <c r="W1686" s="6" t="str">
        <f t="shared" si="55"/>
        <v>拉西地平片/三精司乐平片4mg*15片</v>
      </c>
      <c r="X1686" s="6" t="s">
        <v>2907</v>
      </c>
    </row>
    <row r="1687" spans="1:24" x14ac:dyDescent="0.15">
      <c r="A1687" s="7" t="str">
        <f t="shared" si="56"/>
        <v>201806</v>
      </c>
      <c r="C1687" s="6" t="str">
        <f>INDEX(工厂基础数据!$A$2:$A$1024,MATCH(X1687,工厂基础数据!$D$2:$D$1024,0))</f>
        <v>02029238</v>
      </c>
      <c r="E1687" s="6" t="str">
        <f>INDEX(工厂基础数据!$B$2:$B$1024,MATCH(X1687,工厂基础数据!$D$2:$D$1024,0))</f>
        <v>山东康为医药有限公司</v>
      </c>
      <c r="F1687" s="6" t="e">
        <f>INDEX(商业2转码!$B$2:$B$10000,MATCH(E1687,商业2转码!$A$2:$A$10000,0))</f>
        <v>#N/A</v>
      </c>
      <c r="G1687" s="6">
        <f>INDEX(品种2编码!$A$2:$A$1048576,MATCH(W1687,品种2编码!$D$2:$D$1048576,0))</f>
        <v>0</v>
      </c>
      <c r="H1687" s="6" t="s">
        <v>3448</v>
      </c>
      <c r="I1687" s="6" t="s">
        <v>411</v>
      </c>
      <c r="J1687" s="6" t="s">
        <v>3040</v>
      </c>
      <c r="L1687" s="6" t="s">
        <v>3387</v>
      </c>
      <c r="M1687" s="6" t="e">
        <f>INDEX(医院2县区2人!$B$2:$B$1048576,MATCH(L1687,医院2县区2人!$A$2:$A$1048576,0))</f>
        <v>#N/A</v>
      </c>
      <c r="N1687" s="6" t="e">
        <f>INDEX(医院2县区2人!$C$2:$C$1048576,MATCH(L1687,医院2县区2人!$A$2:$A$1048576,0))</f>
        <v>#N/A</v>
      </c>
      <c r="P1687" s="7">
        <v>43259</v>
      </c>
      <c r="Q1687" s="6">
        <v>20</v>
      </c>
      <c r="S1687" s="6">
        <v>17122922</v>
      </c>
      <c r="T1687" s="6" t="e">
        <f>INDEX(医院2县区2人!$D$2:$D$1048576,MATCH(L1687,医院2县区2人!$A$2:$A$1048576,0))</f>
        <v>#N/A</v>
      </c>
      <c r="W1687" s="6" t="str">
        <f t="shared" si="55"/>
        <v>葡萄糖酸钙口服溶液（含糖型）10ml*12支</v>
      </c>
      <c r="X1687" s="6" t="s">
        <v>2907</v>
      </c>
    </row>
    <row r="1688" spans="1:24" x14ac:dyDescent="0.15">
      <c r="A1688" s="7" t="str">
        <f t="shared" si="56"/>
        <v>201806</v>
      </c>
      <c r="C1688" s="6" t="str">
        <f>INDEX(工厂基础数据!$A$2:$A$1024,MATCH(X1688,工厂基础数据!$D$2:$D$1024,0))</f>
        <v>02029238</v>
      </c>
      <c r="E1688" s="6" t="str">
        <f>INDEX(工厂基础数据!$B$2:$B$1024,MATCH(X1688,工厂基础数据!$D$2:$D$1024,0))</f>
        <v>山东康为医药有限公司</v>
      </c>
      <c r="F1688" s="6" t="e">
        <f>INDEX(商业2转码!$B$2:$B$10000,MATCH(E1688,商业2转码!$A$2:$A$10000,0))</f>
        <v>#N/A</v>
      </c>
      <c r="G1688" s="6" t="str">
        <f>INDEX(品种2编码!$A$2:$A$1048576,MATCH(W1688,品种2编码!$D$2:$D$1048576,0))</f>
        <v>0020020021ZYLC0012</v>
      </c>
      <c r="H1688" s="6" t="s">
        <v>292</v>
      </c>
      <c r="I1688" s="6" t="s">
        <v>1959</v>
      </c>
      <c r="J1688" s="6" t="s">
        <v>3036</v>
      </c>
      <c r="L1688" s="6" t="s">
        <v>3350</v>
      </c>
      <c r="M1688" s="6" t="e">
        <f>INDEX(医院2县区2人!$B$2:$B$1048576,MATCH(L1688,医院2县区2人!$A$2:$A$1048576,0))</f>
        <v>#N/A</v>
      </c>
      <c r="N1688" s="6" t="e">
        <f>INDEX(医院2县区2人!$C$2:$C$1048576,MATCH(L1688,医院2县区2人!$A$2:$A$1048576,0))</f>
        <v>#N/A</v>
      </c>
      <c r="P1688" s="7">
        <v>43259</v>
      </c>
      <c r="Q1688" s="6">
        <v>30</v>
      </c>
      <c r="S1688" s="6">
        <v>180201</v>
      </c>
      <c r="T1688" s="6" t="e">
        <f>INDEX(医院2县区2人!$D$2:$D$1048576,MATCH(L1688,医院2县区2人!$A$2:$A$1048576,0))</f>
        <v>#N/A</v>
      </c>
      <c r="W1688" s="6" t="str">
        <f t="shared" si="55"/>
        <v>阿奇霉素分散片0.25g*6片</v>
      </c>
      <c r="X1688" s="6" t="s">
        <v>2907</v>
      </c>
    </row>
    <row r="1689" spans="1:24" x14ac:dyDescent="0.15">
      <c r="A1689" s="7" t="str">
        <f t="shared" si="56"/>
        <v>201806</v>
      </c>
      <c r="C1689" s="6" t="str">
        <f>INDEX(工厂基础数据!$A$2:$A$1024,MATCH(X1689,工厂基础数据!$D$2:$D$1024,0))</f>
        <v>02029238</v>
      </c>
      <c r="E1689" s="6" t="str">
        <f>INDEX(工厂基础数据!$B$2:$B$1024,MATCH(X1689,工厂基础数据!$D$2:$D$1024,0))</f>
        <v>山东康为医药有限公司</v>
      </c>
      <c r="F1689" s="6" t="e">
        <f>INDEX(商业2转码!$B$2:$B$10000,MATCH(E1689,商业2转码!$A$2:$A$10000,0))</f>
        <v>#N/A</v>
      </c>
      <c r="G1689" s="6" t="str">
        <f>INDEX(品种2编码!$A$2:$A$1048576,MATCH(W1689,品种2编码!$D$2:$D$1048576,0))</f>
        <v>0020030040ZYLC0001</v>
      </c>
      <c r="H1689" s="6" t="s">
        <v>1852</v>
      </c>
      <c r="I1689" s="6" t="s">
        <v>1853</v>
      </c>
      <c r="J1689" s="6" t="s">
        <v>3036</v>
      </c>
      <c r="L1689" s="6" t="s">
        <v>3388</v>
      </c>
      <c r="M1689" s="6" t="e">
        <f>INDEX(医院2县区2人!$B$2:$B$1048576,MATCH(L1689,医院2县区2人!$A$2:$A$1048576,0))</f>
        <v>#N/A</v>
      </c>
      <c r="N1689" s="6" t="e">
        <f>INDEX(医院2县区2人!$C$2:$C$1048576,MATCH(L1689,医院2县区2人!$A$2:$A$1048576,0))</f>
        <v>#N/A</v>
      </c>
      <c r="P1689" s="7">
        <v>43259</v>
      </c>
      <c r="Q1689" s="6">
        <v>5</v>
      </c>
      <c r="S1689" s="6">
        <v>171116</v>
      </c>
      <c r="T1689" s="6" t="e">
        <f>INDEX(医院2县区2人!$D$2:$D$1048576,MATCH(L1689,医院2县区2人!$A$2:$A$1048576,0))</f>
        <v>#N/A</v>
      </c>
      <c r="W1689" s="6" t="str">
        <f t="shared" si="55"/>
        <v>小儿氨酚黄那敏颗粒/护彤2g*12袋</v>
      </c>
      <c r="X1689" s="6" t="s">
        <v>2907</v>
      </c>
    </row>
    <row r="1690" spans="1:24" x14ac:dyDescent="0.15">
      <c r="A1690" s="7" t="str">
        <f t="shared" si="56"/>
        <v>201806</v>
      </c>
      <c r="C1690" s="6" t="str">
        <f>INDEX(工厂基础数据!$A$2:$A$1024,MATCH(X1690,工厂基础数据!$D$2:$D$1024,0))</f>
        <v>02029238</v>
      </c>
      <c r="E1690" s="6" t="str">
        <f>INDEX(工厂基础数据!$B$2:$B$1024,MATCH(X1690,工厂基础数据!$D$2:$D$1024,0))</f>
        <v>山东康为医药有限公司</v>
      </c>
      <c r="F1690" s="6" t="e">
        <f>INDEX(商业2转码!$B$2:$B$10000,MATCH(E1690,商业2转码!$A$2:$A$10000,0))</f>
        <v>#N/A</v>
      </c>
      <c r="G1690" s="6" t="str">
        <f>INDEX(品种2编码!$A$2:$A$1048576,MATCH(W1690,品种2编码!$D$2:$D$1048576,0))</f>
        <v>0020040030SHYT0002</v>
      </c>
      <c r="H1690" s="6" t="s">
        <v>537</v>
      </c>
      <c r="I1690" s="6" t="s">
        <v>1910</v>
      </c>
      <c r="J1690" s="6" t="s">
        <v>3037</v>
      </c>
      <c r="L1690" s="6" t="s">
        <v>3388</v>
      </c>
      <c r="M1690" s="6" t="e">
        <f>INDEX(医院2县区2人!$B$2:$B$1048576,MATCH(L1690,医院2县区2人!$A$2:$A$1048576,0))</f>
        <v>#N/A</v>
      </c>
      <c r="N1690" s="6" t="e">
        <f>INDEX(医院2县区2人!$C$2:$C$1048576,MATCH(L1690,医院2县区2人!$A$2:$A$1048576,0))</f>
        <v>#N/A</v>
      </c>
      <c r="P1690" s="7">
        <v>43259</v>
      </c>
      <c r="Q1690" s="6">
        <v>10</v>
      </c>
      <c r="S1690" s="6">
        <v>1707302</v>
      </c>
      <c r="T1690" s="6" t="e">
        <f>INDEX(医院2县区2人!$D$2:$D$1048576,MATCH(L1690,医院2县区2人!$A$2:$A$1048576,0))</f>
        <v>#N/A</v>
      </c>
      <c r="W1690" s="6" t="str">
        <f t="shared" si="55"/>
        <v>牛黄消炎片24片</v>
      </c>
      <c r="X1690" s="6" t="s">
        <v>2907</v>
      </c>
    </row>
    <row r="1691" spans="1:24" x14ac:dyDescent="0.15">
      <c r="A1691" s="7" t="str">
        <f t="shared" si="56"/>
        <v>201806</v>
      </c>
      <c r="C1691" s="6" t="str">
        <f>INDEX(工厂基础数据!$A$2:$A$1024,MATCH(X1691,工厂基础数据!$D$2:$D$1024,0))</f>
        <v>02029238</v>
      </c>
      <c r="E1691" s="6" t="str">
        <f>INDEX(工厂基础数据!$B$2:$B$1024,MATCH(X1691,工厂基础数据!$D$2:$D$1024,0))</f>
        <v>山东康为医药有限公司</v>
      </c>
      <c r="F1691" s="6" t="e">
        <f>INDEX(商业2转码!$B$2:$B$10000,MATCH(E1691,商业2转码!$A$2:$A$10000,0))</f>
        <v>#N/A</v>
      </c>
      <c r="G1691" s="6" t="str">
        <f>INDEX(品种2编码!$A$2:$A$1048576,MATCH(W1691,品种2编码!$D$2:$D$1048576,0))</f>
        <v>0020020020SJMS0008</v>
      </c>
      <c r="H1691" s="6" t="s">
        <v>1904</v>
      </c>
      <c r="I1691" s="6" t="s">
        <v>1873</v>
      </c>
      <c r="J1691" s="6" t="s">
        <v>3046</v>
      </c>
      <c r="L1691" s="6" t="s">
        <v>3377</v>
      </c>
      <c r="M1691" s="6" t="e">
        <f>INDEX(医院2县区2人!$B$2:$B$1048576,MATCH(L1691,医院2县区2人!$A$2:$A$1048576,0))</f>
        <v>#N/A</v>
      </c>
      <c r="N1691" s="6" t="e">
        <f>INDEX(医院2县区2人!$C$2:$C$1048576,MATCH(L1691,医院2县区2人!$A$2:$A$1048576,0))</f>
        <v>#N/A</v>
      </c>
      <c r="P1691" s="7">
        <v>43262</v>
      </c>
      <c r="Q1691" s="6">
        <v>30</v>
      </c>
      <c r="S1691" s="6">
        <v>1801004</v>
      </c>
      <c r="T1691" s="6" t="e">
        <f>INDEX(医院2县区2人!$D$2:$D$1048576,MATCH(L1691,医院2县区2人!$A$2:$A$1048576,0))</f>
        <v>#N/A</v>
      </c>
      <c r="W1691" s="6" t="str">
        <f t="shared" si="55"/>
        <v>拉西地平片/三精司乐平片4mg*15片</v>
      </c>
      <c r="X1691" s="6" t="s">
        <v>2907</v>
      </c>
    </row>
    <row r="1692" spans="1:24" x14ac:dyDescent="0.15">
      <c r="A1692" s="7" t="str">
        <f t="shared" si="56"/>
        <v>201806</v>
      </c>
      <c r="C1692" s="6" t="str">
        <f>INDEX(工厂基础数据!$A$2:$A$1024,MATCH(X1692,工厂基础数据!$D$2:$D$1024,0))</f>
        <v>02029238</v>
      </c>
      <c r="E1692" s="6" t="str">
        <f>INDEX(工厂基础数据!$B$2:$B$1024,MATCH(X1692,工厂基础数据!$D$2:$D$1024,0))</f>
        <v>山东康为医药有限公司</v>
      </c>
      <c r="F1692" s="6" t="e">
        <f>INDEX(商业2转码!$B$2:$B$10000,MATCH(E1692,商业2转码!$A$2:$A$10000,0))</f>
        <v>#N/A</v>
      </c>
      <c r="G1692" s="6" t="str">
        <f>INDEX(品种2编码!$A$2:$A$1048576,MATCH(W1692,品种2编码!$D$2:$D$1048576,0))</f>
        <v>0020050090SJZY0001</v>
      </c>
      <c r="H1692" s="6" t="s">
        <v>630</v>
      </c>
      <c r="I1692" s="6" t="s">
        <v>1850</v>
      </c>
      <c r="J1692" s="6" t="s">
        <v>3040</v>
      </c>
      <c r="L1692" s="6" t="s">
        <v>3377</v>
      </c>
      <c r="M1692" s="6" t="e">
        <f>INDEX(医院2县区2人!$B$2:$B$1048576,MATCH(L1692,医院2县区2人!$A$2:$A$1048576,0))</f>
        <v>#N/A</v>
      </c>
      <c r="N1692" s="6" t="e">
        <f>INDEX(医院2县区2人!$C$2:$C$1048576,MATCH(L1692,医院2县区2人!$A$2:$A$1048576,0))</f>
        <v>#N/A</v>
      </c>
      <c r="P1692" s="7">
        <v>43262</v>
      </c>
      <c r="Q1692" s="6">
        <v>50</v>
      </c>
      <c r="S1692" s="6">
        <v>18010723</v>
      </c>
      <c r="T1692" s="6" t="e">
        <f>INDEX(医院2县区2人!$D$2:$D$1048576,MATCH(L1692,医院2县区2人!$A$2:$A$1048576,0))</f>
        <v>#N/A</v>
      </c>
      <c r="W1692" s="6" t="str">
        <f t="shared" si="55"/>
        <v>双黄连口服液10ml*10支</v>
      </c>
      <c r="X1692" s="6" t="s">
        <v>2907</v>
      </c>
    </row>
    <row r="1693" spans="1:24" x14ac:dyDescent="0.15">
      <c r="A1693" s="7" t="str">
        <f t="shared" si="56"/>
        <v>201806</v>
      </c>
      <c r="C1693" s="6" t="str">
        <f>INDEX(工厂基础数据!$A$2:$A$1024,MATCH(X1693,工厂基础数据!$D$2:$D$1024,0))</f>
        <v>02029238</v>
      </c>
      <c r="E1693" s="6" t="str">
        <f>INDEX(工厂基础数据!$B$2:$B$1024,MATCH(X1693,工厂基础数据!$D$2:$D$1024,0))</f>
        <v>山东康为医药有限公司</v>
      </c>
      <c r="F1693" s="6" t="e">
        <f>INDEX(商业2转码!$B$2:$B$10000,MATCH(E1693,商业2转码!$A$2:$A$10000,0))</f>
        <v>#N/A</v>
      </c>
      <c r="G1693" s="6" t="str">
        <f>INDEX(品种2编码!$A$2:$A$1048576,MATCH(W1693,品种2编码!$D$2:$D$1048576,0))</f>
        <v>0020040001SHYT0018</v>
      </c>
      <c r="H1693" s="6" t="s">
        <v>732</v>
      </c>
      <c r="I1693" s="6" t="s">
        <v>444</v>
      </c>
      <c r="J1693" s="6" t="s">
        <v>3037</v>
      </c>
      <c r="L1693" s="6" t="s">
        <v>3389</v>
      </c>
      <c r="M1693" s="6" t="e">
        <f>INDEX(医院2县区2人!$B$2:$B$1048576,MATCH(L1693,医院2县区2人!$A$2:$A$1048576,0))</f>
        <v>#N/A</v>
      </c>
      <c r="N1693" s="6" t="e">
        <f>INDEX(医院2县区2人!$C$2:$C$1048576,MATCH(L1693,医院2县区2人!$A$2:$A$1048576,0))</f>
        <v>#N/A</v>
      </c>
      <c r="P1693" s="7">
        <v>43262</v>
      </c>
      <c r="Q1693" s="6">
        <v>10</v>
      </c>
      <c r="S1693" s="6">
        <v>1612106</v>
      </c>
      <c r="T1693" s="6" t="e">
        <f>INDEX(医院2县区2人!$D$2:$D$1048576,MATCH(L1693,医院2县区2人!$A$2:$A$1048576,0))</f>
        <v>#N/A</v>
      </c>
      <c r="W1693" s="6" t="str">
        <f t="shared" si="55"/>
        <v>血府逐瘀丸9g*10丸</v>
      </c>
      <c r="X1693" s="6" t="s">
        <v>2907</v>
      </c>
    </row>
    <row r="1694" spans="1:24" x14ac:dyDescent="0.15">
      <c r="A1694" s="7" t="str">
        <f t="shared" si="56"/>
        <v>201806</v>
      </c>
      <c r="C1694" s="6" t="str">
        <f>INDEX(工厂基础数据!$A$2:$A$1024,MATCH(X1694,工厂基础数据!$D$2:$D$1024,0))</f>
        <v>02029238</v>
      </c>
      <c r="E1694" s="6" t="str">
        <f>INDEX(工厂基础数据!$B$2:$B$1024,MATCH(X1694,工厂基础数据!$D$2:$D$1024,0))</f>
        <v>山东康为医药有限公司</v>
      </c>
      <c r="F1694" s="6" t="e">
        <f>INDEX(商业2转码!$B$2:$B$10000,MATCH(E1694,商业2转码!$A$2:$A$10000,0))</f>
        <v>#N/A</v>
      </c>
      <c r="G1694" s="6" t="str">
        <f>INDEX(品种2编码!$A$2:$A$1048576,MATCH(W1694,品种2编码!$D$2:$D$1048576,0))</f>
        <v>0020040001SHYT0018</v>
      </c>
      <c r="H1694" s="6" t="s">
        <v>732</v>
      </c>
      <c r="I1694" s="6" t="s">
        <v>444</v>
      </c>
      <c r="J1694" s="6" t="s">
        <v>3037</v>
      </c>
      <c r="L1694" s="6" t="s">
        <v>3389</v>
      </c>
      <c r="M1694" s="6" t="e">
        <f>INDEX(医院2县区2人!$B$2:$B$1048576,MATCH(L1694,医院2县区2人!$A$2:$A$1048576,0))</f>
        <v>#N/A</v>
      </c>
      <c r="N1694" s="6" t="e">
        <f>INDEX(医院2县区2人!$C$2:$C$1048576,MATCH(L1694,医院2县区2人!$A$2:$A$1048576,0))</f>
        <v>#N/A</v>
      </c>
      <c r="P1694" s="7">
        <v>43262</v>
      </c>
      <c r="Q1694" s="6">
        <v>20</v>
      </c>
      <c r="S1694" s="6">
        <v>1801106</v>
      </c>
      <c r="T1694" s="6" t="e">
        <f>INDEX(医院2县区2人!$D$2:$D$1048576,MATCH(L1694,医院2县区2人!$A$2:$A$1048576,0))</f>
        <v>#N/A</v>
      </c>
      <c r="W1694" s="6" t="str">
        <f t="shared" si="55"/>
        <v>血府逐瘀丸9g*10丸</v>
      </c>
      <c r="X1694" s="6" t="s">
        <v>2907</v>
      </c>
    </row>
    <row r="1695" spans="1:24" x14ac:dyDescent="0.15">
      <c r="A1695" s="7" t="str">
        <f t="shared" si="56"/>
        <v>201806</v>
      </c>
      <c r="C1695" s="6" t="str">
        <f>INDEX(工厂基础数据!$A$2:$A$1024,MATCH(X1695,工厂基础数据!$D$2:$D$1024,0))</f>
        <v>02029238</v>
      </c>
      <c r="E1695" s="6" t="str">
        <f>INDEX(工厂基础数据!$B$2:$B$1024,MATCH(X1695,工厂基础数据!$D$2:$D$1024,0))</f>
        <v>山东康为医药有限公司</v>
      </c>
      <c r="F1695" s="6" t="e">
        <f>INDEX(商业2转码!$B$2:$B$10000,MATCH(E1695,商业2转码!$A$2:$A$10000,0))</f>
        <v>#N/A</v>
      </c>
      <c r="G1695" s="6">
        <f>INDEX(品种2编码!$A$2:$A$1048576,MATCH(W1695,品种2编码!$D$2:$D$1048576,0))</f>
        <v>0</v>
      </c>
      <c r="H1695" s="6" t="s">
        <v>3450</v>
      </c>
      <c r="I1695" s="6" t="s">
        <v>1871</v>
      </c>
      <c r="J1695" s="6" t="s">
        <v>3045</v>
      </c>
      <c r="L1695" s="6" t="s">
        <v>2692</v>
      </c>
      <c r="M1695" s="6">
        <f>INDEX(医院2县区2人!$B$2:$B$1048576,MATCH(L1695,医院2县区2人!$A$2:$A$1048576,0))</f>
        <v>1</v>
      </c>
      <c r="N1695" s="6" t="str">
        <f>INDEX(医院2县区2人!$C$2:$C$1048576,MATCH(L1695,医院2县区2人!$A$2:$A$1048576,0))</f>
        <v>1755</v>
      </c>
      <c r="P1695" s="7">
        <v>43262</v>
      </c>
      <c r="Q1695" s="6">
        <v>10</v>
      </c>
      <c r="S1695" s="6">
        <v>1709003</v>
      </c>
      <c r="T1695" s="6" t="str">
        <f>INDEX(医院2县区2人!$D$2:$D$1048576,MATCH(L1695,医院2县区2人!$A$2:$A$1048576,0))</f>
        <v>201602151421097</v>
      </c>
      <c r="W1695" s="6" t="str">
        <f t="shared" si="55"/>
        <v>复方铝酸铋片/胃必治50片</v>
      </c>
      <c r="X1695" s="6" t="s">
        <v>2907</v>
      </c>
    </row>
    <row r="1696" spans="1:24" x14ac:dyDescent="0.15">
      <c r="A1696" s="7" t="str">
        <f t="shared" si="56"/>
        <v>201806</v>
      </c>
      <c r="C1696" s="6" t="str">
        <f>INDEX(工厂基础数据!$A$2:$A$1024,MATCH(X1696,工厂基础数据!$D$2:$D$1024,0))</f>
        <v>02029238</v>
      </c>
      <c r="E1696" s="6" t="str">
        <f>INDEX(工厂基础数据!$B$2:$B$1024,MATCH(X1696,工厂基础数据!$D$2:$D$1024,0))</f>
        <v>山东康为医药有限公司</v>
      </c>
      <c r="F1696" s="6" t="e">
        <f>INDEX(商业2转码!$B$2:$B$10000,MATCH(E1696,商业2转码!$A$2:$A$10000,0))</f>
        <v>#N/A</v>
      </c>
      <c r="G1696" s="6" t="str">
        <f>INDEX(品种2编码!$A$2:$A$1048576,MATCH(W1696,品种2编码!$D$2:$D$1048576,0))</f>
        <v>0020030040ZYLC0001</v>
      </c>
      <c r="H1696" s="6" t="s">
        <v>1852</v>
      </c>
      <c r="I1696" s="6" t="s">
        <v>1853</v>
      </c>
      <c r="J1696" s="6" t="s">
        <v>3036</v>
      </c>
      <c r="L1696" s="6" t="s">
        <v>2692</v>
      </c>
      <c r="M1696" s="6">
        <f>INDEX(医院2县区2人!$B$2:$B$1048576,MATCH(L1696,医院2县区2人!$A$2:$A$1048576,0))</f>
        <v>1</v>
      </c>
      <c r="N1696" s="6" t="str">
        <f>INDEX(医院2县区2人!$C$2:$C$1048576,MATCH(L1696,医院2县区2人!$A$2:$A$1048576,0))</f>
        <v>1755</v>
      </c>
      <c r="P1696" s="7">
        <v>43262</v>
      </c>
      <c r="Q1696" s="6">
        <v>10</v>
      </c>
      <c r="S1696" s="6">
        <v>171116</v>
      </c>
      <c r="T1696" s="6" t="str">
        <f>INDEX(医院2县区2人!$D$2:$D$1048576,MATCH(L1696,医院2县区2人!$A$2:$A$1048576,0))</f>
        <v>201602151421097</v>
      </c>
      <c r="W1696" s="6" t="str">
        <f t="shared" si="55"/>
        <v>小儿氨酚黄那敏颗粒/护彤2g*12袋</v>
      </c>
      <c r="X1696" s="6" t="s">
        <v>2907</v>
      </c>
    </row>
    <row r="1697" spans="1:24" x14ac:dyDescent="0.15">
      <c r="A1697" s="7" t="str">
        <f t="shared" si="56"/>
        <v>201806</v>
      </c>
      <c r="C1697" s="6" t="str">
        <f>INDEX(工厂基础数据!$A$2:$A$1024,MATCH(X1697,工厂基础数据!$D$2:$D$1024,0))</f>
        <v>02029238</v>
      </c>
      <c r="E1697" s="6" t="str">
        <f>INDEX(工厂基础数据!$B$2:$B$1024,MATCH(X1697,工厂基础数据!$D$2:$D$1024,0))</f>
        <v>山东康为医药有限公司</v>
      </c>
      <c r="F1697" s="6" t="e">
        <f>INDEX(商业2转码!$B$2:$B$10000,MATCH(E1697,商业2转码!$A$2:$A$10000,0))</f>
        <v>#N/A</v>
      </c>
      <c r="G1697" s="6">
        <f>INDEX(品种2编码!$A$2:$A$1048576,MATCH(W1697,品种2编码!$D$2:$D$1048576,0))</f>
        <v>0</v>
      </c>
      <c r="H1697" s="6" t="s">
        <v>3451</v>
      </c>
      <c r="I1697" s="6" t="s">
        <v>381</v>
      </c>
      <c r="J1697" s="6" t="s">
        <v>3036</v>
      </c>
      <c r="L1697" s="6" t="s">
        <v>2692</v>
      </c>
      <c r="M1697" s="6">
        <f>INDEX(医院2县区2人!$B$2:$B$1048576,MATCH(L1697,医院2县区2人!$A$2:$A$1048576,0))</f>
        <v>1</v>
      </c>
      <c r="N1697" s="6" t="str">
        <f>INDEX(医院2县区2人!$C$2:$C$1048576,MATCH(L1697,医院2县区2人!$A$2:$A$1048576,0))</f>
        <v>1755</v>
      </c>
      <c r="P1697" s="7">
        <v>43262</v>
      </c>
      <c r="Q1697" s="6">
        <v>10</v>
      </c>
      <c r="S1697" s="6">
        <v>170706</v>
      </c>
      <c r="T1697" s="6" t="str">
        <f>INDEX(医院2县区2人!$D$2:$D$1048576,MATCH(L1697,医院2县区2人!$A$2:$A$1048576,0))</f>
        <v>201602151421097</v>
      </c>
      <c r="W1697" s="6" t="str">
        <f t="shared" si="55"/>
        <v>颠茄磺苄啶片/泻利停12片</v>
      </c>
      <c r="X1697" s="6" t="s">
        <v>2907</v>
      </c>
    </row>
    <row r="1698" spans="1:24" x14ac:dyDescent="0.15">
      <c r="A1698" s="7" t="str">
        <f t="shared" si="56"/>
        <v>201806</v>
      </c>
      <c r="C1698" s="6" t="str">
        <f>INDEX(工厂基础数据!$A$2:$A$1024,MATCH(X1698,工厂基础数据!$D$2:$D$1024,0))</f>
        <v>02029238</v>
      </c>
      <c r="E1698" s="6" t="str">
        <f>INDEX(工厂基础数据!$B$2:$B$1024,MATCH(X1698,工厂基础数据!$D$2:$D$1024,0))</f>
        <v>山东康为医药有限公司</v>
      </c>
      <c r="F1698" s="6" t="e">
        <f>INDEX(商业2转码!$B$2:$B$10000,MATCH(E1698,商业2转码!$A$2:$A$10000,0))</f>
        <v>#N/A</v>
      </c>
      <c r="G1698" s="6">
        <f>INDEX(品种2编码!$A$2:$A$1048576,MATCH(W1698,品种2编码!$D$2:$D$1048576,0))</f>
        <v>0</v>
      </c>
      <c r="H1698" s="6" t="s">
        <v>3447</v>
      </c>
      <c r="I1698" s="6" t="s">
        <v>1838</v>
      </c>
      <c r="J1698" s="6" t="s">
        <v>3036</v>
      </c>
      <c r="L1698" s="6" t="s">
        <v>3390</v>
      </c>
      <c r="M1698" s="6" t="e">
        <f>INDEX(医院2县区2人!$B$2:$B$1048576,MATCH(L1698,医院2县区2人!$A$2:$A$1048576,0))</f>
        <v>#N/A</v>
      </c>
      <c r="N1698" s="6" t="e">
        <f>INDEX(医院2县区2人!$C$2:$C$1048576,MATCH(L1698,医院2县区2人!$A$2:$A$1048576,0))</f>
        <v>#N/A</v>
      </c>
      <c r="P1698" s="7">
        <v>43262</v>
      </c>
      <c r="Q1698" s="6">
        <v>5</v>
      </c>
      <c r="S1698" s="6">
        <v>171243</v>
      </c>
      <c r="T1698" s="6" t="e">
        <f>INDEX(医院2县区2人!$D$2:$D$1048576,MATCH(L1698,医院2县区2人!$A$2:$A$1048576,0))</f>
        <v>#N/A</v>
      </c>
      <c r="W1698" s="6" t="str">
        <f t="shared" si="55"/>
        <v>新盖中盖高钙片/成人2.5g*36片</v>
      </c>
      <c r="X1698" s="6" t="s">
        <v>2907</v>
      </c>
    </row>
    <row r="1699" spans="1:24" x14ac:dyDescent="0.15">
      <c r="A1699" s="7" t="str">
        <f t="shared" si="56"/>
        <v>201806</v>
      </c>
      <c r="C1699" s="6" t="str">
        <f>INDEX(工厂基础数据!$A$2:$A$1024,MATCH(X1699,工厂基础数据!$D$2:$D$1024,0))</f>
        <v>02029238</v>
      </c>
      <c r="E1699" s="6" t="str">
        <f>INDEX(工厂基础数据!$B$2:$B$1024,MATCH(X1699,工厂基础数据!$D$2:$D$1024,0))</f>
        <v>山东康为医药有限公司</v>
      </c>
      <c r="F1699" s="6" t="e">
        <f>INDEX(商业2转码!$B$2:$B$10000,MATCH(E1699,商业2转码!$A$2:$A$10000,0))</f>
        <v>#N/A</v>
      </c>
      <c r="G1699" s="6">
        <f>INDEX(品种2编码!$A$2:$A$1048576,MATCH(W1699,品种2编码!$D$2:$D$1048576,0))</f>
        <v>0</v>
      </c>
      <c r="H1699" s="6" t="s">
        <v>3452</v>
      </c>
      <c r="I1699" s="6" t="s">
        <v>3455</v>
      </c>
      <c r="J1699" s="6" t="s">
        <v>3038</v>
      </c>
      <c r="L1699" s="6" t="s">
        <v>3390</v>
      </c>
      <c r="M1699" s="6" t="e">
        <f>INDEX(医院2县区2人!$B$2:$B$1048576,MATCH(L1699,医院2县区2人!$A$2:$A$1048576,0))</f>
        <v>#N/A</v>
      </c>
      <c r="N1699" s="6" t="e">
        <f>INDEX(医院2县区2人!$C$2:$C$1048576,MATCH(L1699,医院2县区2人!$A$2:$A$1048576,0))</f>
        <v>#N/A</v>
      </c>
      <c r="P1699" s="7">
        <v>43262</v>
      </c>
      <c r="Q1699" s="6">
        <v>20</v>
      </c>
      <c r="S1699" s="6" t="s">
        <v>3801</v>
      </c>
      <c r="T1699" s="6" t="e">
        <f>INDEX(医院2县区2人!$D$2:$D$1048576,MATCH(L1699,医院2县区2人!$A$2:$A$1048576,0))</f>
        <v>#N/A</v>
      </c>
      <c r="W1699" s="6" t="str">
        <f t="shared" si="55"/>
        <v>阿莫西林胶囊 益萨林0.5g*12粒*3板</v>
      </c>
      <c r="X1699" s="6" t="s">
        <v>2907</v>
      </c>
    </row>
    <row r="1700" spans="1:24" x14ac:dyDescent="0.15">
      <c r="A1700" s="7" t="str">
        <f t="shared" si="56"/>
        <v>201806</v>
      </c>
      <c r="C1700" s="6" t="str">
        <f>INDEX(工厂基础数据!$A$2:$A$1024,MATCH(X1700,工厂基础数据!$D$2:$D$1024,0))</f>
        <v>02029238</v>
      </c>
      <c r="E1700" s="6" t="str">
        <f>INDEX(工厂基础数据!$B$2:$B$1024,MATCH(X1700,工厂基础数据!$D$2:$D$1024,0))</f>
        <v>山东康为医药有限公司</v>
      </c>
      <c r="F1700" s="6" t="e">
        <f>INDEX(商业2转码!$B$2:$B$10000,MATCH(E1700,商业2转码!$A$2:$A$10000,0))</f>
        <v>#N/A</v>
      </c>
      <c r="G1700" s="6">
        <f>INDEX(品种2编码!$A$2:$A$1048576,MATCH(W1700,品种2编码!$D$2:$D$1048576,0))</f>
        <v>0</v>
      </c>
      <c r="H1700" s="6" t="s">
        <v>3451</v>
      </c>
      <c r="I1700" s="6" t="s">
        <v>381</v>
      </c>
      <c r="J1700" s="6" t="s">
        <v>3036</v>
      </c>
      <c r="L1700" s="6" t="s">
        <v>3390</v>
      </c>
      <c r="M1700" s="6" t="e">
        <f>INDEX(医院2县区2人!$B$2:$B$1048576,MATCH(L1700,医院2县区2人!$A$2:$A$1048576,0))</f>
        <v>#N/A</v>
      </c>
      <c r="N1700" s="6" t="e">
        <f>INDEX(医院2县区2人!$C$2:$C$1048576,MATCH(L1700,医院2县区2人!$A$2:$A$1048576,0))</f>
        <v>#N/A</v>
      </c>
      <c r="P1700" s="7">
        <v>43262</v>
      </c>
      <c r="Q1700" s="6">
        <v>10</v>
      </c>
      <c r="S1700" s="6">
        <v>170706</v>
      </c>
      <c r="T1700" s="6" t="e">
        <f>INDEX(医院2县区2人!$D$2:$D$1048576,MATCH(L1700,医院2县区2人!$A$2:$A$1048576,0))</f>
        <v>#N/A</v>
      </c>
      <c r="W1700" s="6" t="str">
        <f t="shared" si="55"/>
        <v>颠茄磺苄啶片/泻利停12片</v>
      </c>
      <c r="X1700" s="6" t="s">
        <v>2907</v>
      </c>
    </row>
    <row r="1701" spans="1:24" x14ac:dyDescent="0.15">
      <c r="A1701" s="7" t="str">
        <f t="shared" si="56"/>
        <v>201806</v>
      </c>
      <c r="C1701" s="6" t="str">
        <f>INDEX(工厂基础数据!$A$2:$A$1024,MATCH(X1701,工厂基础数据!$D$2:$D$1024,0))</f>
        <v>02029238</v>
      </c>
      <c r="E1701" s="6" t="str">
        <f>INDEX(工厂基础数据!$B$2:$B$1024,MATCH(X1701,工厂基础数据!$D$2:$D$1024,0))</f>
        <v>山东康为医药有限公司</v>
      </c>
      <c r="F1701" s="6" t="e">
        <f>INDEX(商业2转码!$B$2:$B$10000,MATCH(E1701,商业2转码!$A$2:$A$10000,0))</f>
        <v>#N/A</v>
      </c>
      <c r="G1701" s="6">
        <f>INDEX(品种2编码!$A$2:$A$1048576,MATCH(W1701,品种2编码!$D$2:$D$1048576,0))</f>
        <v>0</v>
      </c>
      <c r="H1701" s="6" t="s">
        <v>3447</v>
      </c>
      <c r="I1701" s="6" t="s">
        <v>1838</v>
      </c>
      <c r="J1701" s="6" t="s">
        <v>3036</v>
      </c>
      <c r="L1701" s="6" t="s">
        <v>3391</v>
      </c>
      <c r="M1701" s="6" t="e">
        <f>INDEX(医院2县区2人!$B$2:$B$1048576,MATCH(L1701,医院2县区2人!$A$2:$A$1048576,0))</f>
        <v>#N/A</v>
      </c>
      <c r="N1701" s="6" t="e">
        <f>INDEX(医院2县区2人!$C$2:$C$1048576,MATCH(L1701,医院2县区2人!$A$2:$A$1048576,0))</f>
        <v>#N/A</v>
      </c>
      <c r="P1701" s="7">
        <v>43262</v>
      </c>
      <c r="Q1701" s="6">
        <v>10</v>
      </c>
      <c r="S1701" s="6">
        <v>171243</v>
      </c>
      <c r="T1701" s="6" t="e">
        <f>INDEX(医院2县区2人!$D$2:$D$1048576,MATCH(L1701,医院2县区2人!$A$2:$A$1048576,0))</f>
        <v>#N/A</v>
      </c>
      <c r="W1701" s="6" t="str">
        <f t="shared" si="55"/>
        <v>新盖中盖高钙片/成人2.5g*36片</v>
      </c>
      <c r="X1701" s="6" t="s">
        <v>2907</v>
      </c>
    </row>
    <row r="1702" spans="1:24" x14ac:dyDescent="0.15">
      <c r="A1702" s="7" t="str">
        <f t="shared" si="56"/>
        <v>201806</v>
      </c>
      <c r="C1702" s="6" t="str">
        <f>INDEX(工厂基础数据!$A$2:$A$1024,MATCH(X1702,工厂基础数据!$D$2:$D$1024,0))</f>
        <v>02029238</v>
      </c>
      <c r="E1702" s="6" t="str">
        <f>INDEX(工厂基础数据!$B$2:$B$1024,MATCH(X1702,工厂基础数据!$D$2:$D$1024,0))</f>
        <v>山东康为医药有限公司</v>
      </c>
      <c r="F1702" s="6" t="e">
        <f>INDEX(商业2转码!$B$2:$B$10000,MATCH(E1702,商业2转码!$A$2:$A$10000,0))</f>
        <v>#N/A</v>
      </c>
      <c r="G1702" s="6" t="str">
        <f>INDEX(品种2编码!$A$2:$A$1048576,MATCH(W1702,品种2编码!$D$2:$D$1048576,0))</f>
        <v>0020070001ZYZC0383</v>
      </c>
      <c r="H1702" s="6" t="s">
        <v>1849</v>
      </c>
      <c r="I1702" s="6" t="s">
        <v>1850</v>
      </c>
      <c r="J1702" s="6" t="s">
        <v>3038</v>
      </c>
      <c r="L1702" s="6" t="s">
        <v>3391</v>
      </c>
      <c r="M1702" s="6" t="e">
        <f>INDEX(医院2县区2人!$B$2:$B$1048576,MATCH(L1702,医院2县区2人!$A$2:$A$1048576,0))</f>
        <v>#N/A</v>
      </c>
      <c r="N1702" s="6" t="e">
        <f>INDEX(医院2县区2人!$C$2:$C$1048576,MATCH(L1702,医院2县区2人!$A$2:$A$1048576,0))</f>
        <v>#N/A</v>
      </c>
      <c r="P1702" s="7">
        <v>43262</v>
      </c>
      <c r="Q1702" s="6">
        <v>20</v>
      </c>
      <c r="S1702" s="6" t="s">
        <v>3278</v>
      </c>
      <c r="T1702" s="6" t="e">
        <f>INDEX(医院2县区2人!$D$2:$D$1048576,MATCH(L1702,医院2县区2人!$A$2:$A$1048576,0))</f>
        <v>#N/A</v>
      </c>
      <c r="W1702" s="6" t="str">
        <f t="shared" si="55"/>
        <v>哈药牌钙铁锌口服液10ml*10支</v>
      </c>
      <c r="X1702" s="6" t="s">
        <v>2907</v>
      </c>
    </row>
    <row r="1703" spans="1:24" x14ac:dyDescent="0.15">
      <c r="A1703" s="7" t="str">
        <f t="shared" si="56"/>
        <v>201806</v>
      </c>
      <c r="C1703" s="6" t="str">
        <f>INDEX(工厂基础数据!$A$2:$A$1024,MATCH(X1703,工厂基础数据!$D$2:$D$1024,0))</f>
        <v>02029238</v>
      </c>
      <c r="E1703" s="6" t="str">
        <f>INDEX(工厂基础数据!$B$2:$B$1024,MATCH(X1703,工厂基础数据!$D$2:$D$1024,0))</f>
        <v>山东康为医药有限公司</v>
      </c>
      <c r="F1703" s="6" t="e">
        <f>INDEX(商业2转码!$B$2:$B$10000,MATCH(E1703,商业2转码!$A$2:$A$10000,0))</f>
        <v>#N/A</v>
      </c>
      <c r="G1703" s="6" t="str">
        <f>INDEX(品种2编码!$A$2:$A$1048576,MATCH(W1703,品种2编码!$D$2:$D$1048576,0))</f>
        <v>0020020020SJMS0008</v>
      </c>
      <c r="H1703" s="6" t="s">
        <v>1904</v>
      </c>
      <c r="I1703" s="6" t="s">
        <v>1873</v>
      </c>
      <c r="J1703" s="6" t="s">
        <v>3046</v>
      </c>
      <c r="L1703" s="6" t="s">
        <v>3392</v>
      </c>
      <c r="M1703" s="6" t="e">
        <f>INDEX(医院2县区2人!$B$2:$B$1048576,MATCH(L1703,医院2县区2人!$A$2:$A$1048576,0))</f>
        <v>#N/A</v>
      </c>
      <c r="N1703" s="6" t="e">
        <f>INDEX(医院2县区2人!$C$2:$C$1048576,MATCH(L1703,医院2县区2人!$A$2:$A$1048576,0))</f>
        <v>#N/A</v>
      </c>
      <c r="P1703" s="7">
        <v>43262</v>
      </c>
      <c r="Q1703" s="6">
        <v>10</v>
      </c>
      <c r="S1703" s="6">
        <v>1801004</v>
      </c>
      <c r="T1703" s="6" t="e">
        <f>INDEX(医院2县区2人!$D$2:$D$1048576,MATCH(L1703,医院2县区2人!$A$2:$A$1048576,0))</f>
        <v>#N/A</v>
      </c>
      <c r="W1703" s="6" t="str">
        <f t="shared" si="55"/>
        <v>拉西地平片/三精司乐平片4mg*15片</v>
      </c>
      <c r="X1703" s="6" t="s">
        <v>2907</v>
      </c>
    </row>
    <row r="1704" spans="1:24" x14ac:dyDescent="0.15">
      <c r="A1704" s="7" t="str">
        <f t="shared" si="56"/>
        <v>201806</v>
      </c>
      <c r="C1704" s="6" t="str">
        <f>INDEX(工厂基础数据!$A$2:$A$1024,MATCH(X1704,工厂基础数据!$D$2:$D$1024,0))</f>
        <v>02029238</v>
      </c>
      <c r="E1704" s="6" t="str">
        <f>INDEX(工厂基础数据!$B$2:$B$1024,MATCH(X1704,工厂基础数据!$D$2:$D$1024,0))</f>
        <v>山东康为医药有限公司</v>
      </c>
      <c r="F1704" s="6" t="e">
        <f>INDEX(商业2转码!$B$2:$B$10000,MATCH(E1704,商业2转码!$A$2:$A$10000,0))</f>
        <v>#N/A</v>
      </c>
      <c r="G1704" s="6" t="str">
        <f>INDEX(品种2编码!$A$2:$A$1048576,MATCH(W1704,品种2编码!$D$2:$D$1048576,0))</f>
        <v>0020020020SJMS0008</v>
      </c>
      <c r="H1704" s="6" t="s">
        <v>1904</v>
      </c>
      <c r="I1704" s="6" t="s">
        <v>1873</v>
      </c>
      <c r="J1704" s="6" t="s">
        <v>3046</v>
      </c>
      <c r="L1704" s="6" t="s">
        <v>3354</v>
      </c>
      <c r="M1704" s="6" t="e">
        <f>INDEX(医院2县区2人!$B$2:$B$1048576,MATCH(L1704,医院2县区2人!$A$2:$A$1048576,0))</f>
        <v>#N/A</v>
      </c>
      <c r="N1704" s="6" t="e">
        <f>INDEX(医院2县区2人!$C$2:$C$1048576,MATCH(L1704,医院2县区2人!$A$2:$A$1048576,0))</f>
        <v>#N/A</v>
      </c>
      <c r="P1704" s="7">
        <v>43262</v>
      </c>
      <c r="Q1704" s="6">
        <v>5</v>
      </c>
      <c r="S1704" s="6">
        <v>1801004</v>
      </c>
      <c r="T1704" s="6" t="e">
        <f>INDEX(医院2县区2人!$D$2:$D$1048576,MATCH(L1704,医院2县区2人!$A$2:$A$1048576,0))</f>
        <v>#N/A</v>
      </c>
      <c r="W1704" s="6" t="str">
        <f t="shared" si="55"/>
        <v>拉西地平片/三精司乐平片4mg*15片</v>
      </c>
      <c r="X1704" s="6" t="s">
        <v>2907</v>
      </c>
    </row>
    <row r="1705" spans="1:24" x14ac:dyDescent="0.15">
      <c r="A1705" s="7" t="str">
        <f t="shared" si="56"/>
        <v>201806</v>
      </c>
      <c r="C1705" s="6" t="str">
        <f>INDEX(工厂基础数据!$A$2:$A$1024,MATCH(X1705,工厂基础数据!$D$2:$D$1024,0))</f>
        <v>02029238</v>
      </c>
      <c r="E1705" s="6" t="str">
        <f>INDEX(工厂基础数据!$B$2:$B$1024,MATCH(X1705,工厂基础数据!$D$2:$D$1024,0))</f>
        <v>山东康为医药有限公司</v>
      </c>
      <c r="F1705" s="6" t="e">
        <f>INDEX(商业2转码!$B$2:$B$10000,MATCH(E1705,商业2转码!$A$2:$A$10000,0))</f>
        <v>#N/A</v>
      </c>
      <c r="G1705" s="6" t="str">
        <f>INDEX(品种2编码!$A$2:$A$1048576,MATCH(W1705,品种2编码!$D$2:$D$1048576,0))</f>
        <v>0020030001SJZY0009</v>
      </c>
      <c r="H1705" s="6" t="s">
        <v>1949</v>
      </c>
      <c r="I1705" s="6" t="s">
        <v>411</v>
      </c>
      <c r="J1705" s="6" t="s">
        <v>3040</v>
      </c>
      <c r="L1705" s="6" t="s">
        <v>3393</v>
      </c>
      <c r="M1705" s="6" t="e">
        <f>INDEX(医院2县区2人!$B$2:$B$1048576,MATCH(L1705,医院2县区2人!$A$2:$A$1048576,0))</f>
        <v>#N/A</v>
      </c>
      <c r="N1705" s="6" t="e">
        <f>INDEX(医院2县区2人!$C$2:$C$1048576,MATCH(L1705,医院2县区2人!$A$2:$A$1048576,0))</f>
        <v>#N/A</v>
      </c>
      <c r="P1705" s="7">
        <v>43262</v>
      </c>
      <c r="Q1705" s="6">
        <v>30</v>
      </c>
      <c r="S1705" s="6">
        <v>18031227</v>
      </c>
      <c r="T1705" s="6" t="e">
        <f>INDEX(医院2县区2人!$D$2:$D$1048576,MATCH(L1705,医院2县区2人!$A$2:$A$1048576,0))</f>
        <v>#N/A</v>
      </c>
      <c r="W1705" s="6" t="str">
        <f t="shared" si="55"/>
        <v>葡萄糖酸锌口服溶液10ml*12支</v>
      </c>
      <c r="X1705" s="6" t="s">
        <v>2907</v>
      </c>
    </row>
    <row r="1706" spans="1:24" x14ac:dyDescent="0.15">
      <c r="A1706" s="7" t="str">
        <f t="shared" si="56"/>
        <v>201806</v>
      </c>
      <c r="C1706" s="6" t="str">
        <f>INDEX(工厂基础数据!$A$2:$A$1024,MATCH(X1706,工厂基础数据!$D$2:$D$1024,0))</f>
        <v>02029238</v>
      </c>
      <c r="E1706" s="6" t="str">
        <f>INDEX(工厂基础数据!$B$2:$B$1024,MATCH(X1706,工厂基础数据!$D$2:$D$1024,0))</f>
        <v>山东康为医药有限公司</v>
      </c>
      <c r="F1706" s="6" t="e">
        <f>INDEX(商业2转码!$B$2:$B$10000,MATCH(E1706,商业2转码!$A$2:$A$10000,0))</f>
        <v>#N/A</v>
      </c>
      <c r="G1706" s="6" t="str">
        <f>INDEX(品种2编码!$A$2:$A$1048576,MATCH(W1706,品种2编码!$D$2:$D$1048576,0))</f>
        <v>0020020020SJMS0008</v>
      </c>
      <c r="H1706" s="6" t="s">
        <v>1904</v>
      </c>
      <c r="I1706" s="6" t="s">
        <v>1873</v>
      </c>
      <c r="J1706" s="6" t="s">
        <v>3046</v>
      </c>
      <c r="L1706" s="6" t="s">
        <v>3394</v>
      </c>
      <c r="M1706" s="6" t="e">
        <f>INDEX(医院2县区2人!$B$2:$B$1048576,MATCH(L1706,医院2县区2人!$A$2:$A$1048576,0))</f>
        <v>#N/A</v>
      </c>
      <c r="N1706" s="6" t="e">
        <f>INDEX(医院2县区2人!$C$2:$C$1048576,MATCH(L1706,医院2县区2人!$A$2:$A$1048576,0))</f>
        <v>#N/A</v>
      </c>
      <c r="P1706" s="7">
        <v>43262</v>
      </c>
      <c r="Q1706" s="6">
        <v>10</v>
      </c>
      <c r="S1706" s="6">
        <v>1801004</v>
      </c>
      <c r="T1706" s="6" t="e">
        <f>INDEX(医院2县区2人!$D$2:$D$1048576,MATCH(L1706,医院2县区2人!$A$2:$A$1048576,0))</f>
        <v>#N/A</v>
      </c>
      <c r="W1706" s="6" t="str">
        <f t="shared" si="55"/>
        <v>拉西地平片/三精司乐平片4mg*15片</v>
      </c>
      <c r="X1706" s="6" t="s">
        <v>2907</v>
      </c>
    </row>
    <row r="1707" spans="1:24" x14ac:dyDescent="0.15">
      <c r="A1707" s="7" t="str">
        <f t="shared" si="56"/>
        <v>201806</v>
      </c>
      <c r="C1707" s="6" t="str">
        <f>INDEX(工厂基础数据!$A$2:$A$1024,MATCH(X1707,工厂基础数据!$D$2:$D$1024,0))</f>
        <v>02029238</v>
      </c>
      <c r="E1707" s="6" t="str">
        <f>INDEX(工厂基础数据!$B$2:$B$1024,MATCH(X1707,工厂基础数据!$D$2:$D$1024,0))</f>
        <v>山东康为医药有限公司</v>
      </c>
      <c r="F1707" s="6" t="e">
        <f>INDEX(商业2转码!$B$2:$B$10000,MATCH(E1707,商业2转码!$A$2:$A$10000,0))</f>
        <v>#N/A</v>
      </c>
      <c r="G1707" s="6">
        <f>INDEX(品种2编码!$A$2:$A$1048576,MATCH(W1707,品种2编码!$D$2:$D$1048576,0))</f>
        <v>0</v>
      </c>
      <c r="H1707" s="6" t="s">
        <v>3448</v>
      </c>
      <c r="I1707" s="6" t="s">
        <v>411</v>
      </c>
      <c r="J1707" s="6" t="s">
        <v>3040</v>
      </c>
      <c r="L1707" s="6" t="s">
        <v>3394</v>
      </c>
      <c r="M1707" s="6" t="e">
        <f>INDEX(医院2县区2人!$B$2:$B$1048576,MATCH(L1707,医院2县区2人!$A$2:$A$1048576,0))</f>
        <v>#N/A</v>
      </c>
      <c r="N1707" s="6" t="e">
        <f>INDEX(医院2县区2人!$C$2:$C$1048576,MATCH(L1707,医院2县区2人!$A$2:$A$1048576,0))</f>
        <v>#N/A</v>
      </c>
      <c r="P1707" s="7">
        <v>43262</v>
      </c>
      <c r="Q1707" s="6">
        <v>30</v>
      </c>
      <c r="S1707" s="6">
        <v>17122922</v>
      </c>
      <c r="T1707" s="6" t="e">
        <f>INDEX(医院2县区2人!$D$2:$D$1048576,MATCH(L1707,医院2县区2人!$A$2:$A$1048576,0))</f>
        <v>#N/A</v>
      </c>
      <c r="W1707" s="6" t="str">
        <f t="shared" si="55"/>
        <v>葡萄糖酸钙口服溶液（含糖型）10ml*12支</v>
      </c>
      <c r="X1707" s="6" t="s">
        <v>2907</v>
      </c>
    </row>
    <row r="1708" spans="1:24" x14ac:dyDescent="0.15">
      <c r="A1708" s="7" t="str">
        <f t="shared" si="56"/>
        <v>201806</v>
      </c>
      <c r="C1708" s="6" t="str">
        <f>INDEX(工厂基础数据!$A$2:$A$1024,MATCH(X1708,工厂基础数据!$D$2:$D$1024,0))</f>
        <v>02029238</v>
      </c>
      <c r="E1708" s="6" t="str">
        <f>INDEX(工厂基础数据!$B$2:$B$1024,MATCH(X1708,工厂基础数据!$D$2:$D$1024,0))</f>
        <v>山东康为医药有限公司</v>
      </c>
      <c r="F1708" s="6" t="e">
        <f>INDEX(商业2转码!$B$2:$B$10000,MATCH(E1708,商业2转码!$A$2:$A$10000,0))</f>
        <v>#N/A</v>
      </c>
      <c r="G1708" s="6" t="str">
        <f>INDEX(品种2编码!$A$2:$A$1048576,MATCH(W1708,品种2编码!$D$2:$D$1048576,0))</f>
        <v>0020020021ZYLC0012</v>
      </c>
      <c r="H1708" s="6" t="s">
        <v>292</v>
      </c>
      <c r="I1708" s="6" t="s">
        <v>1959</v>
      </c>
      <c r="J1708" s="6" t="s">
        <v>3036</v>
      </c>
      <c r="L1708" s="6" t="s">
        <v>3395</v>
      </c>
      <c r="M1708" s="6" t="e">
        <f>INDEX(医院2县区2人!$B$2:$B$1048576,MATCH(L1708,医院2县区2人!$A$2:$A$1048576,0))</f>
        <v>#N/A</v>
      </c>
      <c r="N1708" s="6" t="e">
        <f>INDEX(医院2县区2人!$C$2:$C$1048576,MATCH(L1708,医院2县区2人!$A$2:$A$1048576,0))</f>
        <v>#N/A</v>
      </c>
      <c r="P1708" s="7">
        <v>43262</v>
      </c>
      <c r="Q1708" s="6">
        <v>50</v>
      </c>
      <c r="S1708" s="6">
        <v>180201</v>
      </c>
      <c r="T1708" s="6" t="e">
        <f>INDEX(医院2县区2人!$D$2:$D$1048576,MATCH(L1708,医院2县区2人!$A$2:$A$1048576,0))</f>
        <v>#N/A</v>
      </c>
      <c r="W1708" s="6" t="str">
        <f t="shared" si="55"/>
        <v>阿奇霉素分散片0.25g*6片</v>
      </c>
      <c r="X1708" s="6" t="s">
        <v>2907</v>
      </c>
    </row>
    <row r="1709" spans="1:24" x14ac:dyDescent="0.15">
      <c r="A1709" s="7" t="str">
        <f t="shared" si="56"/>
        <v>201806</v>
      </c>
      <c r="C1709" s="6" t="str">
        <f>INDEX(工厂基础数据!$A$2:$A$1024,MATCH(X1709,工厂基础数据!$D$2:$D$1024,0))</f>
        <v>02029238</v>
      </c>
      <c r="E1709" s="6" t="str">
        <f>INDEX(工厂基础数据!$B$2:$B$1024,MATCH(X1709,工厂基础数据!$D$2:$D$1024,0))</f>
        <v>山东康为医药有限公司</v>
      </c>
      <c r="F1709" s="6" t="e">
        <f>INDEX(商业2转码!$B$2:$B$10000,MATCH(E1709,商业2转码!$A$2:$A$10000,0))</f>
        <v>#N/A</v>
      </c>
      <c r="G1709" s="6" t="str">
        <f>INDEX(品种2编码!$A$2:$A$1048576,MATCH(W1709,品种2编码!$D$2:$D$1048576,0))</f>
        <v>0020030040ZYLC0001</v>
      </c>
      <c r="H1709" s="6" t="s">
        <v>1852</v>
      </c>
      <c r="I1709" s="6" t="s">
        <v>1853</v>
      </c>
      <c r="J1709" s="6" t="s">
        <v>3036</v>
      </c>
      <c r="L1709" s="6" t="s">
        <v>3396</v>
      </c>
      <c r="M1709" s="6" t="e">
        <f>INDEX(医院2县区2人!$B$2:$B$1048576,MATCH(L1709,医院2县区2人!$A$2:$A$1048576,0))</f>
        <v>#N/A</v>
      </c>
      <c r="N1709" s="6" t="e">
        <f>INDEX(医院2县区2人!$C$2:$C$1048576,MATCH(L1709,医院2县区2人!$A$2:$A$1048576,0))</f>
        <v>#N/A</v>
      </c>
      <c r="P1709" s="7">
        <v>43263</v>
      </c>
      <c r="Q1709" s="6">
        <v>10</v>
      </c>
      <c r="S1709" s="6">
        <v>171116</v>
      </c>
      <c r="T1709" s="6" t="e">
        <f>INDEX(医院2县区2人!$D$2:$D$1048576,MATCH(L1709,医院2县区2人!$A$2:$A$1048576,0))</f>
        <v>#N/A</v>
      </c>
      <c r="W1709" s="6" t="str">
        <f t="shared" si="55"/>
        <v>小儿氨酚黄那敏颗粒/护彤2g*12袋</v>
      </c>
      <c r="X1709" s="6" t="s">
        <v>2907</v>
      </c>
    </row>
    <row r="1710" spans="1:24" x14ac:dyDescent="0.15">
      <c r="A1710" s="7" t="str">
        <f t="shared" si="56"/>
        <v>201806</v>
      </c>
      <c r="C1710" s="6" t="str">
        <f>INDEX(工厂基础数据!$A$2:$A$1024,MATCH(X1710,工厂基础数据!$D$2:$D$1024,0))</f>
        <v>02029238</v>
      </c>
      <c r="E1710" s="6" t="str">
        <f>INDEX(工厂基础数据!$B$2:$B$1024,MATCH(X1710,工厂基础数据!$D$2:$D$1024,0))</f>
        <v>山东康为医药有限公司</v>
      </c>
      <c r="F1710" s="6" t="e">
        <f>INDEX(商业2转码!$B$2:$B$10000,MATCH(E1710,商业2转码!$A$2:$A$10000,0))</f>
        <v>#N/A</v>
      </c>
      <c r="G1710" s="6" t="str">
        <f>INDEX(品种2编码!$A$2:$A$1048576,MATCH(W1710,品种2编码!$D$2:$D$1048576,0))</f>
        <v>0020020021ZYLC0010</v>
      </c>
      <c r="H1710" s="6" t="s">
        <v>469</v>
      </c>
      <c r="I1710" s="6" t="s">
        <v>1916</v>
      </c>
      <c r="J1710" s="6" t="s">
        <v>3036</v>
      </c>
      <c r="L1710" s="6" t="s">
        <v>3396</v>
      </c>
      <c r="M1710" s="6" t="e">
        <f>INDEX(医院2县区2人!$B$2:$B$1048576,MATCH(L1710,医院2县区2人!$A$2:$A$1048576,0))</f>
        <v>#N/A</v>
      </c>
      <c r="N1710" s="6" t="e">
        <f>INDEX(医院2县区2人!$C$2:$C$1048576,MATCH(L1710,医院2县区2人!$A$2:$A$1048576,0))</f>
        <v>#N/A</v>
      </c>
      <c r="P1710" s="7">
        <v>43263</v>
      </c>
      <c r="Q1710" s="6">
        <v>50</v>
      </c>
      <c r="S1710" s="6">
        <v>171201</v>
      </c>
      <c r="T1710" s="6" t="e">
        <f>INDEX(医院2县区2人!$D$2:$D$1048576,MATCH(L1710,医院2县区2人!$A$2:$A$1048576,0))</f>
        <v>#N/A</v>
      </c>
      <c r="W1710" s="6" t="str">
        <f t="shared" si="55"/>
        <v>克拉霉素分散片0.125g*12片</v>
      </c>
      <c r="X1710" s="6" t="s">
        <v>2907</v>
      </c>
    </row>
    <row r="1711" spans="1:24" x14ac:dyDescent="0.15">
      <c r="A1711" s="7" t="str">
        <f t="shared" si="56"/>
        <v>201806</v>
      </c>
      <c r="C1711" s="6" t="str">
        <f>INDEX(工厂基础数据!$A$2:$A$1024,MATCH(X1711,工厂基础数据!$D$2:$D$1024,0))</f>
        <v>02029238</v>
      </c>
      <c r="E1711" s="6" t="str">
        <f>INDEX(工厂基础数据!$B$2:$B$1024,MATCH(X1711,工厂基础数据!$D$2:$D$1024,0))</f>
        <v>山东康为医药有限公司</v>
      </c>
      <c r="F1711" s="6" t="e">
        <f>INDEX(商业2转码!$B$2:$B$10000,MATCH(E1711,商业2转码!$A$2:$A$10000,0))</f>
        <v>#N/A</v>
      </c>
      <c r="G1711" s="6" t="str">
        <f>INDEX(品种2编码!$A$2:$A$1048576,MATCH(W1711,品种2编码!$D$2:$D$1048576,0))</f>
        <v>0020020021ZYLC0012</v>
      </c>
      <c r="H1711" s="6" t="s">
        <v>292</v>
      </c>
      <c r="I1711" s="6" t="s">
        <v>1959</v>
      </c>
      <c r="J1711" s="6" t="s">
        <v>3036</v>
      </c>
      <c r="L1711" s="6" t="s">
        <v>3396</v>
      </c>
      <c r="M1711" s="6" t="e">
        <f>INDEX(医院2县区2人!$B$2:$B$1048576,MATCH(L1711,医院2县区2人!$A$2:$A$1048576,0))</f>
        <v>#N/A</v>
      </c>
      <c r="N1711" s="6" t="e">
        <f>INDEX(医院2县区2人!$C$2:$C$1048576,MATCH(L1711,医院2县区2人!$A$2:$A$1048576,0))</f>
        <v>#N/A</v>
      </c>
      <c r="P1711" s="7">
        <v>43263</v>
      </c>
      <c r="Q1711" s="6">
        <v>30</v>
      </c>
      <c r="S1711" s="6">
        <v>180201</v>
      </c>
      <c r="T1711" s="6" t="e">
        <f>INDEX(医院2县区2人!$D$2:$D$1048576,MATCH(L1711,医院2县区2人!$A$2:$A$1048576,0))</f>
        <v>#N/A</v>
      </c>
      <c r="W1711" s="6" t="str">
        <f t="shared" si="55"/>
        <v>阿奇霉素分散片0.25g*6片</v>
      </c>
      <c r="X1711" s="6" t="s">
        <v>2907</v>
      </c>
    </row>
    <row r="1712" spans="1:24" x14ac:dyDescent="0.15">
      <c r="A1712" s="7" t="str">
        <f t="shared" si="56"/>
        <v>201806</v>
      </c>
      <c r="C1712" s="6" t="str">
        <f>INDEX(工厂基础数据!$A$2:$A$1024,MATCH(X1712,工厂基础数据!$D$2:$D$1024,0))</f>
        <v>02029238</v>
      </c>
      <c r="E1712" s="6" t="str">
        <f>INDEX(工厂基础数据!$B$2:$B$1024,MATCH(X1712,工厂基础数据!$D$2:$D$1024,0))</f>
        <v>山东康为医药有限公司</v>
      </c>
      <c r="F1712" s="6" t="e">
        <f>INDEX(商业2转码!$B$2:$B$10000,MATCH(E1712,商业2转码!$A$2:$A$10000,0))</f>
        <v>#N/A</v>
      </c>
      <c r="G1712" s="6" t="str">
        <f>INDEX(品种2编码!$A$2:$A$1048576,MATCH(W1712,品种2编码!$D$2:$D$1048576,0))</f>
        <v>0020020020ZYZC0473</v>
      </c>
      <c r="H1712" s="6" t="s">
        <v>745</v>
      </c>
      <c r="I1712" s="6" t="s">
        <v>290</v>
      </c>
      <c r="J1712" s="6" t="s">
        <v>3038</v>
      </c>
      <c r="L1712" s="6" t="s">
        <v>3396</v>
      </c>
      <c r="M1712" s="6" t="e">
        <f>INDEX(医院2县区2人!$B$2:$B$1048576,MATCH(L1712,医院2县区2人!$A$2:$A$1048576,0))</f>
        <v>#N/A</v>
      </c>
      <c r="N1712" s="6" t="e">
        <f>INDEX(医院2县区2人!$C$2:$C$1048576,MATCH(L1712,医院2县区2人!$A$2:$A$1048576,0))</f>
        <v>#N/A</v>
      </c>
      <c r="P1712" s="7">
        <v>43263</v>
      </c>
      <c r="Q1712" s="6">
        <v>30</v>
      </c>
      <c r="S1712" s="6" t="s">
        <v>3056</v>
      </c>
      <c r="T1712" s="6" t="e">
        <f>INDEX(医院2县区2人!$D$2:$D$1048576,MATCH(L1712,医院2县区2人!$A$2:$A$1048576,0))</f>
        <v>#N/A</v>
      </c>
      <c r="W1712" s="6" t="str">
        <f t="shared" si="55"/>
        <v>盐酸环丙沙星片0.25g*12片</v>
      </c>
      <c r="X1712" s="6" t="s">
        <v>2907</v>
      </c>
    </row>
    <row r="1713" spans="1:24" x14ac:dyDescent="0.15">
      <c r="A1713" s="7" t="str">
        <f t="shared" si="56"/>
        <v>201806</v>
      </c>
      <c r="C1713" s="6" t="str">
        <f>INDEX(工厂基础数据!$A$2:$A$1024,MATCH(X1713,工厂基础数据!$D$2:$D$1024,0))</f>
        <v>02029238</v>
      </c>
      <c r="E1713" s="6" t="str">
        <f>INDEX(工厂基础数据!$B$2:$B$1024,MATCH(X1713,工厂基础数据!$D$2:$D$1024,0))</f>
        <v>山东康为医药有限公司</v>
      </c>
      <c r="F1713" s="6" t="e">
        <f>INDEX(商业2转码!$B$2:$B$10000,MATCH(E1713,商业2转码!$A$2:$A$10000,0))</f>
        <v>#N/A</v>
      </c>
      <c r="G1713" s="6">
        <f>INDEX(品种2编码!$A$2:$A$1048576,MATCH(W1713,品种2编码!$D$2:$D$1048576,0))</f>
        <v>0</v>
      </c>
      <c r="H1713" s="6" t="s">
        <v>2020</v>
      </c>
      <c r="I1713" s="6" t="s">
        <v>3290</v>
      </c>
      <c r="J1713" s="6" t="s">
        <v>3036</v>
      </c>
      <c r="L1713" s="6" t="s">
        <v>3396</v>
      </c>
      <c r="M1713" s="6" t="e">
        <f>INDEX(医院2县区2人!$B$2:$B$1048576,MATCH(L1713,医院2县区2人!$A$2:$A$1048576,0))</f>
        <v>#N/A</v>
      </c>
      <c r="N1713" s="6" t="e">
        <f>INDEX(医院2县区2人!$C$2:$C$1048576,MATCH(L1713,医院2县区2人!$A$2:$A$1048576,0))</f>
        <v>#N/A</v>
      </c>
      <c r="P1713" s="7">
        <v>43263</v>
      </c>
      <c r="Q1713" s="6">
        <v>20</v>
      </c>
      <c r="S1713" s="6">
        <v>170601</v>
      </c>
      <c r="T1713" s="6" t="e">
        <f>INDEX(医院2县区2人!$D$2:$D$1048576,MATCH(L1713,医院2县区2人!$A$2:$A$1048576,0))</f>
        <v>#N/A</v>
      </c>
      <c r="W1713" s="6" t="str">
        <f t="shared" si="55"/>
        <v>盐酸氟桂利嗪片5mg*20片</v>
      </c>
      <c r="X1713" s="6" t="s">
        <v>2907</v>
      </c>
    </row>
    <row r="1714" spans="1:24" x14ac:dyDescent="0.15">
      <c r="A1714" s="7" t="str">
        <f t="shared" si="56"/>
        <v>201806</v>
      </c>
      <c r="C1714" s="6" t="str">
        <f>INDEX(工厂基础数据!$A$2:$A$1024,MATCH(X1714,工厂基础数据!$D$2:$D$1024,0))</f>
        <v>02029238</v>
      </c>
      <c r="E1714" s="6" t="str">
        <f>INDEX(工厂基础数据!$B$2:$B$1024,MATCH(X1714,工厂基础数据!$D$2:$D$1024,0))</f>
        <v>山东康为医药有限公司</v>
      </c>
      <c r="F1714" s="6" t="e">
        <f>INDEX(商业2转码!$B$2:$B$10000,MATCH(E1714,商业2转码!$A$2:$A$10000,0))</f>
        <v>#N/A</v>
      </c>
      <c r="G1714" s="6">
        <f>INDEX(品种2编码!$A$2:$A$1048576,MATCH(W1714,品种2编码!$D$2:$D$1048576,0))</f>
        <v>0</v>
      </c>
      <c r="H1714" s="6" t="s">
        <v>3448</v>
      </c>
      <c r="I1714" s="6" t="s">
        <v>411</v>
      </c>
      <c r="J1714" s="6" t="s">
        <v>3040</v>
      </c>
      <c r="L1714" s="6" t="s">
        <v>3396</v>
      </c>
      <c r="M1714" s="6" t="e">
        <f>INDEX(医院2县区2人!$B$2:$B$1048576,MATCH(L1714,医院2县区2人!$A$2:$A$1048576,0))</f>
        <v>#N/A</v>
      </c>
      <c r="N1714" s="6" t="e">
        <f>INDEX(医院2县区2人!$C$2:$C$1048576,MATCH(L1714,医院2县区2人!$A$2:$A$1048576,0))</f>
        <v>#N/A</v>
      </c>
      <c r="P1714" s="7">
        <v>43263</v>
      </c>
      <c r="Q1714" s="6">
        <v>30</v>
      </c>
      <c r="S1714" s="6">
        <v>17122922</v>
      </c>
      <c r="T1714" s="6" t="e">
        <f>INDEX(医院2县区2人!$D$2:$D$1048576,MATCH(L1714,医院2县区2人!$A$2:$A$1048576,0))</f>
        <v>#N/A</v>
      </c>
      <c r="W1714" s="6" t="str">
        <f t="shared" si="55"/>
        <v>葡萄糖酸钙口服溶液（含糖型）10ml*12支</v>
      </c>
      <c r="X1714" s="6" t="s">
        <v>2907</v>
      </c>
    </row>
    <row r="1715" spans="1:24" x14ac:dyDescent="0.15">
      <c r="A1715" s="7" t="str">
        <f t="shared" si="56"/>
        <v>201806</v>
      </c>
      <c r="C1715" s="6" t="str">
        <f>INDEX(工厂基础数据!$A$2:$A$1024,MATCH(X1715,工厂基础数据!$D$2:$D$1024,0))</f>
        <v>02029238</v>
      </c>
      <c r="E1715" s="6" t="str">
        <f>INDEX(工厂基础数据!$B$2:$B$1024,MATCH(X1715,工厂基础数据!$D$2:$D$1024,0))</f>
        <v>山东康为医药有限公司</v>
      </c>
      <c r="F1715" s="6" t="e">
        <f>INDEX(商业2转码!$B$2:$B$10000,MATCH(E1715,商业2转码!$A$2:$A$10000,0))</f>
        <v>#N/A</v>
      </c>
      <c r="G1715" s="6" t="str">
        <f>INDEX(品种2编码!$A$2:$A$1048576,MATCH(W1715,品种2编码!$D$2:$D$1048576,0))</f>
        <v>0020030001SJZY0009</v>
      </c>
      <c r="H1715" s="6" t="s">
        <v>1949</v>
      </c>
      <c r="I1715" s="6" t="s">
        <v>411</v>
      </c>
      <c r="J1715" s="6" t="s">
        <v>3040</v>
      </c>
      <c r="L1715" s="6" t="s">
        <v>3396</v>
      </c>
      <c r="M1715" s="6" t="e">
        <f>INDEX(医院2县区2人!$B$2:$B$1048576,MATCH(L1715,医院2县区2人!$A$2:$A$1048576,0))</f>
        <v>#N/A</v>
      </c>
      <c r="N1715" s="6" t="e">
        <f>INDEX(医院2县区2人!$C$2:$C$1048576,MATCH(L1715,医院2县区2人!$A$2:$A$1048576,0))</f>
        <v>#N/A</v>
      </c>
      <c r="P1715" s="7">
        <v>43263</v>
      </c>
      <c r="Q1715" s="6">
        <v>20</v>
      </c>
      <c r="S1715" s="6">
        <v>18031227</v>
      </c>
      <c r="T1715" s="6" t="e">
        <f>INDEX(医院2县区2人!$D$2:$D$1048576,MATCH(L1715,医院2县区2人!$A$2:$A$1048576,0))</f>
        <v>#N/A</v>
      </c>
      <c r="W1715" s="6" t="str">
        <f t="shared" si="55"/>
        <v>葡萄糖酸锌口服溶液10ml*12支</v>
      </c>
      <c r="X1715" s="6" t="s">
        <v>2907</v>
      </c>
    </row>
    <row r="1716" spans="1:24" x14ac:dyDescent="0.15">
      <c r="A1716" s="7" t="str">
        <f t="shared" si="56"/>
        <v>201806</v>
      </c>
      <c r="C1716" s="6" t="str">
        <f>INDEX(工厂基础数据!$A$2:$A$1024,MATCH(X1716,工厂基础数据!$D$2:$D$1024,0))</f>
        <v>02029238</v>
      </c>
      <c r="E1716" s="6" t="str">
        <f>INDEX(工厂基础数据!$B$2:$B$1024,MATCH(X1716,工厂基础数据!$D$2:$D$1024,0))</f>
        <v>山东康为医药有限公司</v>
      </c>
      <c r="F1716" s="6" t="e">
        <f>INDEX(商业2转码!$B$2:$B$10000,MATCH(E1716,商业2转码!$A$2:$A$10000,0))</f>
        <v>#N/A</v>
      </c>
      <c r="G1716" s="6">
        <f>INDEX(品种2编码!$A$2:$A$1048576,MATCH(W1716,品种2编码!$D$2:$D$1048576,0))</f>
        <v>0</v>
      </c>
      <c r="H1716" s="6" t="s">
        <v>3448</v>
      </c>
      <c r="I1716" s="6" t="s">
        <v>411</v>
      </c>
      <c r="J1716" s="6" t="s">
        <v>3040</v>
      </c>
      <c r="L1716" s="6" t="s">
        <v>3350</v>
      </c>
      <c r="M1716" s="6" t="e">
        <f>INDEX(医院2县区2人!$B$2:$B$1048576,MATCH(L1716,医院2县区2人!$A$2:$A$1048576,0))</f>
        <v>#N/A</v>
      </c>
      <c r="N1716" s="6" t="e">
        <f>INDEX(医院2县区2人!$C$2:$C$1048576,MATCH(L1716,医院2县区2人!$A$2:$A$1048576,0))</f>
        <v>#N/A</v>
      </c>
      <c r="P1716" s="7">
        <v>43263</v>
      </c>
      <c r="Q1716" s="6">
        <v>5</v>
      </c>
      <c r="S1716" s="6">
        <v>17122922</v>
      </c>
      <c r="T1716" s="6" t="e">
        <f>INDEX(医院2县区2人!$D$2:$D$1048576,MATCH(L1716,医院2县区2人!$A$2:$A$1048576,0))</f>
        <v>#N/A</v>
      </c>
      <c r="W1716" s="6" t="str">
        <f t="shared" si="55"/>
        <v>葡萄糖酸钙口服溶液（含糖型）10ml*12支</v>
      </c>
      <c r="X1716" s="6" t="s">
        <v>2907</v>
      </c>
    </row>
    <row r="1717" spans="1:24" x14ac:dyDescent="0.15">
      <c r="A1717" s="7" t="str">
        <f t="shared" si="56"/>
        <v>201806</v>
      </c>
      <c r="C1717" s="6" t="str">
        <f>INDEX(工厂基础数据!$A$2:$A$1024,MATCH(X1717,工厂基础数据!$D$2:$D$1024,0))</f>
        <v>02029238</v>
      </c>
      <c r="E1717" s="6" t="str">
        <f>INDEX(工厂基础数据!$B$2:$B$1024,MATCH(X1717,工厂基础数据!$D$2:$D$1024,0))</f>
        <v>山东康为医药有限公司</v>
      </c>
      <c r="F1717" s="6" t="e">
        <f>INDEX(商业2转码!$B$2:$B$10000,MATCH(E1717,商业2转码!$A$2:$A$10000,0))</f>
        <v>#N/A</v>
      </c>
      <c r="G1717" s="6" t="str">
        <f>INDEX(品种2编码!$A$2:$A$1048576,MATCH(W1717,品种2编码!$D$2:$D$1048576,0))</f>
        <v>0020030001SJZY0009</v>
      </c>
      <c r="H1717" s="6" t="s">
        <v>1949</v>
      </c>
      <c r="I1717" s="6" t="s">
        <v>411</v>
      </c>
      <c r="J1717" s="6" t="s">
        <v>3040</v>
      </c>
      <c r="L1717" s="6" t="s">
        <v>3350</v>
      </c>
      <c r="M1717" s="6" t="e">
        <f>INDEX(医院2县区2人!$B$2:$B$1048576,MATCH(L1717,医院2县区2人!$A$2:$A$1048576,0))</f>
        <v>#N/A</v>
      </c>
      <c r="N1717" s="6" t="e">
        <f>INDEX(医院2县区2人!$C$2:$C$1048576,MATCH(L1717,医院2县区2人!$A$2:$A$1048576,0))</f>
        <v>#N/A</v>
      </c>
      <c r="P1717" s="7">
        <v>43263</v>
      </c>
      <c r="Q1717" s="6">
        <v>5</v>
      </c>
      <c r="S1717" s="6">
        <v>18020527</v>
      </c>
      <c r="T1717" s="6" t="e">
        <f>INDEX(医院2县区2人!$D$2:$D$1048576,MATCH(L1717,医院2县区2人!$A$2:$A$1048576,0))</f>
        <v>#N/A</v>
      </c>
      <c r="W1717" s="6" t="str">
        <f t="shared" si="55"/>
        <v>葡萄糖酸锌口服溶液10ml*12支</v>
      </c>
      <c r="X1717" s="6" t="s">
        <v>2907</v>
      </c>
    </row>
    <row r="1718" spans="1:24" x14ac:dyDescent="0.15">
      <c r="A1718" s="7" t="str">
        <f t="shared" si="56"/>
        <v>201806</v>
      </c>
      <c r="C1718" s="6" t="str">
        <f>INDEX(工厂基础数据!$A$2:$A$1024,MATCH(X1718,工厂基础数据!$D$2:$D$1024,0))</f>
        <v>02029238</v>
      </c>
      <c r="E1718" s="6" t="str">
        <f>INDEX(工厂基础数据!$B$2:$B$1024,MATCH(X1718,工厂基础数据!$D$2:$D$1024,0))</f>
        <v>山东康为医药有限公司</v>
      </c>
      <c r="F1718" s="6" t="e">
        <f>INDEX(商业2转码!$B$2:$B$10000,MATCH(E1718,商业2转码!$A$2:$A$10000,0))</f>
        <v>#N/A</v>
      </c>
      <c r="G1718" s="6" t="str">
        <f>INDEX(品种2编码!$A$2:$A$1048576,MATCH(W1718,品种2编码!$D$2:$D$1048576,0))</f>
        <v>0020070000ZYLC0052</v>
      </c>
      <c r="H1718" s="6" t="s">
        <v>402</v>
      </c>
      <c r="I1718" s="6" t="s">
        <v>411</v>
      </c>
      <c r="J1718" s="6" t="s">
        <v>3036</v>
      </c>
      <c r="L1718" s="6" t="s">
        <v>3396</v>
      </c>
      <c r="M1718" s="6" t="e">
        <f>INDEX(医院2县区2人!$B$2:$B$1048576,MATCH(L1718,医院2县区2人!$A$2:$A$1048576,0))</f>
        <v>#N/A</v>
      </c>
      <c r="N1718" s="6" t="e">
        <f>INDEX(医院2县区2人!$C$2:$C$1048576,MATCH(L1718,医院2县区2人!$A$2:$A$1048576,0))</f>
        <v>#N/A</v>
      </c>
      <c r="P1718" s="7">
        <v>43263</v>
      </c>
      <c r="Q1718" s="6">
        <v>5</v>
      </c>
      <c r="S1718" s="6">
        <v>170938</v>
      </c>
      <c r="T1718" s="6" t="e">
        <f>INDEX(医院2县区2人!$D$2:$D$1048576,MATCH(L1718,医院2县区2人!$A$2:$A$1048576,0))</f>
        <v>#N/A</v>
      </c>
      <c r="W1718" s="6" t="str">
        <f t="shared" si="55"/>
        <v>钙加锌口服液10ml*12支</v>
      </c>
      <c r="X1718" s="6" t="s">
        <v>2907</v>
      </c>
    </row>
    <row r="1719" spans="1:24" x14ac:dyDescent="0.15">
      <c r="A1719" s="7" t="str">
        <f t="shared" si="56"/>
        <v>201806</v>
      </c>
      <c r="C1719" s="6" t="str">
        <f>INDEX(工厂基础数据!$A$2:$A$1024,MATCH(X1719,工厂基础数据!$D$2:$D$1024,0))</f>
        <v>02029238</v>
      </c>
      <c r="E1719" s="6" t="str">
        <f>INDEX(工厂基础数据!$B$2:$B$1024,MATCH(X1719,工厂基础数据!$D$2:$D$1024,0))</f>
        <v>山东康为医药有限公司</v>
      </c>
      <c r="F1719" s="6" t="e">
        <f>INDEX(商业2转码!$B$2:$B$10000,MATCH(E1719,商业2转码!$A$2:$A$10000,0))</f>
        <v>#N/A</v>
      </c>
      <c r="G1719" s="6">
        <f>INDEX(品种2编码!$A$2:$A$1048576,MATCH(W1719,品种2编码!$D$2:$D$1048576,0))</f>
        <v>0</v>
      </c>
      <c r="H1719" s="6" t="s">
        <v>3447</v>
      </c>
      <c r="I1719" s="6" t="s">
        <v>1838</v>
      </c>
      <c r="J1719" s="6" t="s">
        <v>3036</v>
      </c>
      <c r="L1719" s="6" t="s">
        <v>3397</v>
      </c>
      <c r="M1719" s="6" t="e">
        <f>INDEX(医院2县区2人!$B$2:$B$1048576,MATCH(L1719,医院2县区2人!$A$2:$A$1048576,0))</f>
        <v>#N/A</v>
      </c>
      <c r="N1719" s="6" t="e">
        <f>INDEX(医院2县区2人!$C$2:$C$1048576,MATCH(L1719,医院2县区2人!$A$2:$A$1048576,0))</f>
        <v>#N/A</v>
      </c>
      <c r="P1719" s="7">
        <v>43263</v>
      </c>
      <c r="Q1719" s="6">
        <v>5</v>
      </c>
      <c r="S1719" s="6">
        <v>171243</v>
      </c>
      <c r="T1719" s="6" t="e">
        <f>INDEX(医院2县区2人!$D$2:$D$1048576,MATCH(L1719,医院2县区2人!$A$2:$A$1048576,0))</f>
        <v>#N/A</v>
      </c>
      <c r="W1719" s="6" t="str">
        <f t="shared" si="55"/>
        <v>新盖中盖高钙片/成人2.5g*36片</v>
      </c>
      <c r="X1719" s="6" t="s">
        <v>2907</v>
      </c>
    </row>
    <row r="1720" spans="1:24" x14ac:dyDescent="0.15">
      <c r="A1720" s="7" t="str">
        <f t="shared" si="56"/>
        <v>201806</v>
      </c>
      <c r="C1720" s="6" t="str">
        <f>INDEX(工厂基础数据!$A$2:$A$1024,MATCH(X1720,工厂基础数据!$D$2:$D$1024,0))</f>
        <v>02029238</v>
      </c>
      <c r="E1720" s="6" t="str">
        <f>INDEX(工厂基础数据!$B$2:$B$1024,MATCH(X1720,工厂基础数据!$D$2:$D$1024,0))</f>
        <v>山东康为医药有限公司</v>
      </c>
      <c r="F1720" s="6" t="e">
        <f>INDEX(商业2转码!$B$2:$B$10000,MATCH(E1720,商业2转码!$A$2:$A$10000,0))</f>
        <v>#N/A</v>
      </c>
      <c r="G1720" s="6" t="str">
        <f>INDEX(品种2编码!$A$2:$A$1048576,MATCH(W1720,品种2编码!$D$2:$D$1048576,0))</f>
        <v>0020020021ZYLC0010</v>
      </c>
      <c r="H1720" s="6" t="s">
        <v>469</v>
      </c>
      <c r="I1720" s="6" t="s">
        <v>1916</v>
      </c>
      <c r="J1720" s="6" t="s">
        <v>3036</v>
      </c>
      <c r="L1720" s="6" t="s">
        <v>3397</v>
      </c>
      <c r="M1720" s="6" t="e">
        <f>INDEX(医院2县区2人!$B$2:$B$1048576,MATCH(L1720,医院2县区2人!$A$2:$A$1048576,0))</f>
        <v>#N/A</v>
      </c>
      <c r="N1720" s="6" t="e">
        <f>INDEX(医院2县区2人!$C$2:$C$1048576,MATCH(L1720,医院2县区2人!$A$2:$A$1048576,0))</f>
        <v>#N/A</v>
      </c>
      <c r="P1720" s="7">
        <v>43263</v>
      </c>
      <c r="Q1720" s="6">
        <v>10</v>
      </c>
      <c r="S1720" s="6">
        <v>171201</v>
      </c>
      <c r="T1720" s="6" t="e">
        <f>INDEX(医院2县区2人!$D$2:$D$1048576,MATCH(L1720,医院2县区2人!$A$2:$A$1048576,0))</f>
        <v>#N/A</v>
      </c>
      <c r="W1720" s="6" t="str">
        <f t="shared" si="55"/>
        <v>克拉霉素分散片0.125g*12片</v>
      </c>
      <c r="X1720" s="6" t="s">
        <v>2907</v>
      </c>
    </row>
    <row r="1721" spans="1:24" x14ac:dyDescent="0.15">
      <c r="A1721" s="7" t="str">
        <f t="shared" si="56"/>
        <v>201806</v>
      </c>
      <c r="C1721" s="6" t="str">
        <f>INDEX(工厂基础数据!$A$2:$A$1024,MATCH(X1721,工厂基础数据!$D$2:$D$1024,0))</f>
        <v>02029238</v>
      </c>
      <c r="E1721" s="6" t="str">
        <f>INDEX(工厂基础数据!$B$2:$B$1024,MATCH(X1721,工厂基础数据!$D$2:$D$1024,0))</f>
        <v>山东康为医药有限公司</v>
      </c>
      <c r="F1721" s="6" t="e">
        <f>INDEX(商业2转码!$B$2:$B$10000,MATCH(E1721,商业2转码!$A$2:$A$10000,0))</f>
        <v>#N/A</v>
      </c>
      <c r="G1721" s="6" t="str">
        <f>INDEX(品种2编码!$A$2:$A$1048576,MATCH(W1721,品种2编码!$D$2:$D$1048576,0))</f>
        <v>0020020021ZYLC0012</v>
      </c>
      <c r="H1721" s="6" t="s">
        <v>292</v>
      </c>
      <c r="I1721" s="6" t="s">
        <v>1959</v>
      </c>
      <c r="J1721" s="6" t="s">
        <v>3036</v>
      </c>
      <c r="L1721" s="6" t="s">
        <v>3397</v>
      </c>
      <c r="M1721" s="6" t="e">
        <f>INDEX(医院2县区2人!$B$2:$B$1048576,MATCH(L1721,医院2县区2人!$A$2:$A$1048576,0))</f>
        <v>#N/A</v>
      </c>
      <c r="N1721" s="6" t="e">
        <f>INDEX(医院2县区2人!$C$2:$C$1048576,MATCH(L1721,医院2县区2人!$A$2:$A$1048576,0))</f>
        <v>#N/A</v>
      </c>
      <c r="P1721" s="7">
        <v>43263</v>
      </c>
      <c r="Q1721" s="6">
        <v>10</v>
      </c>
      <c r="S1721" s="6">
        <v>180201</v>
      </c>
      <c r="T1721" s="6" t="e">
        <f>INDEX(医院2县区2人!$D$2:$D$1048576,MATCH(L1721,医院2县区2人!$A$2:$A$1048576,0))</f>
        <v>#N/A</v>
      </c>
      <c r="W1721" s="6" t="str">
        <f t="shared" si="55"/>
        <v>阿奇霉素分散片0.25g*6片</v>
      </c>
      <c r="X1721" s="6" t="s">
        <v>2907</v>
      </c>
    </row>
    <row r="1722" spans="1:24" x14ac:dyDescent="0.15">
      <c r="A1722" s="7" t="str">
        <f t="shared" si="56"/>
        <v>201806</v>
      </c>
      <c r="C1722" s="6" t="str">
        <f>INDEX(工厂基础数据!$A$2:$A$1024,MATCH(X1722,工厂基础数据!$D$2:$D$1024,0))</f>
        <v>02029238</v>
      </c>
      <c r="E1722" s="6" t="str">
        <f>INDEX(工厂基础数据!$B$2:$B$1024,MATCH(X1722,工厂基础数据!$D$2:$D$1024,0))</f>
        <v>山东康为医药有限公司</v>
      </c>
      <c r="F1722" s="6" t="e">
        <f>INDEX(商业2转码!$B$2:$B$10000,MATCH(E1722,商业2转码!$A$2:$A$10000,0))</f>
        <v>#N/A</v>
      </c>
      <c r="G1722" s="6">
        <f>INDEX(品种2编码!$A$2:$A$1048576,MATCH(W1722,品种2编码!$D$2:$D$1048576,0))</f>
        <v>0</v>
      </c>
      <c r="H1722" s="6" t="s">
        <v>3451</v>
      </c>
      <c r="I1722" s="6" t="s">
        <v>381</v>
      </c>
      <c r="J1722" s="6" t="s">
        <v>3036</v>
      </c>
      <c r="L1722" s="6" t="s">
        <v>3397</v>
      </c>
      <c r="M1722" s="6" t="e">
        <f>INDEX(医院2县区2人!$B$2:$B$1048576,MATCH(L1722,医院2县区2人!$A$2:$A$1048576,0))</f>
        <v>#N/A</v>
      </c>
      <c r="N1722" s="6" t="e">
        <f>INDEX(医院2县区2人!$C$2:$C$1048576,MATCH(L1722,医院2县区2人!$A$2:$A$1048576,0))</f>
        <v>#N/A</v>
      </c>
      <c r="P1722" s="7">
        <v>43263</v>
      </c>
      <c r="Q1722" s="6">
        <v>10</v>
      </c>
      <c r="S1722" s="6">
        <v>170706</v>
      </c>
      <c r="T1722" s="6" t="e">
        <f>INDEX(医院2县区2人!$D$2:$D$1048576,MATCH(L1722,医院2县区2人!$A$2:$A$1048576,0))</f>
        <v>#N/A</v>
      </c>
      <c r="W1722" s="6" t="str">
        <f t="shared" si="55"/>
        <v>颠茄磺苄啶片/泻利停12片</v>
      </c>
      <c r="X1722" s="6" t="s">
        <v>2907</v>
      </c>
    </row>
    <row r="1723" spans="1:24" x14ac:dyDescent="0.15">
      <c r="A1723" s="7" t="str">
        <f t="shared" si="56"/>
        <v>201806</v>
      </c>
      <c r="C1723" s="6" t="str">
        <f>INDEX(工厂基础数据!$A$2:$A$1024,MATCH(X1723,工厂基础数据!$D$2:$D$1024,0))</f>
        <v>02029238</v>
      </c>
      <c r="E1723" s="6" t="str">
        <f>INDEX(工厂基础数据!$B$2:$B$1024,MATCH(X1723,工厂基础数据!$D$2:$D$1024,0))</f>
        <v>山东康为医药有限公司</v>
      </c>
      <c r="F1723" s="6" t="e">
        <f>INDEX(商业2转码!$B$2:$B$10000,MATCH(E1723,商业2转码!$A$2:$A$10000,0))</f>
        <v>#N/A</v>
      </c>
      <c r="G1723" s="6" t="str">
        <f>INDEX(品种2编码!$A$2:$A$1048576,MATCH(W1723,品种2编码!$D$2:$D$1048576,0))</f>
        <v>0020030001SJZY0009</v>
      </c>
      <c r="H1723" s="6" t="s">
        <v>1949</v>
      </c>
      <c r="I1723" s="6" t="s">
        <v>411</v>
      </c>
      <c r="J1723" s="6" t="s">
        <v>3040</v>
      </c>
      <c r="L1723" s="6" t="s">
        <v>3397</v>
      </c>
      <c r="M1723" s="6" t="e">
        <f>INDEX(医院2县区2人!$B$2:$B$1048576,MATCH(L1723,医院2县区2人!$A$2:$A$1048576,0))</f>
        <v>#N/A</v>
      </c>
      <c r="N1723" s="6" t="e">
        <f>INDEX(医院2县区2人!$C$2:$C$1048576,MATCH(L1723,医院2县区2人!$A$2:$A$1048576,0))</f>
        <v>#N/A</v>
      </c>
      <c r="P1723" s="7">
        <v>43263</v>
      </c>
      <c r="Q1723" s="6">
        <v>10</v>
      </c>
      <c r="S1723" s="6">
        <v>18031227</v>
      </c>
      <c r="T1723" s="6" t="e">
        <f>INDEX(医院2县区2人!$D$2:$D$1048576,MATCH(L1723,医院2县区2人!$A$2:$A$1048576,0))</f>
        <v>#N/A</v>
      </c>
      <c r="W1723" s="6" t="str">
        <f t="shared" si="55"/>
        <v>葡萄糖酸锌口服溶液10ml*12支</v>
      </c>
      <c r="X1723" s="6" t="s">
        <v>2907</v>
      </c>
    </row>
    <row r="1724" spans="1:24" x14ac:dyDescent="0.15">
      <c r="A1724" s="7" t="str">
        <f t="shared" si="56"/>
        <v>201806</v>
      </c>
      <c r="C1724" s="6" t="str">
        <f>INDEX(工厂基础数据!$A$2:$A$1024,MATCH(X1724,工厂基础数据!$D$2:$D$1024,0))</f>
        <v>02029238</v>
      </c>
      <c r="E1724" s="6" t="str">
        <f>INDEX(工厂基础数据!$B$2:$B$1024,MATCH(X1724,工厂基础数据!$D$2:$D$1024,0))</f>
        <v>山东康为医药有限公司</v>
      </c>
      <c r="F1724" s="6" t="e">
        <f>INDEX(商业2转码!$B$2:$B$10000,MATCH(E1724,商业2转码!$A$2:$A$10000,0))</f>
        <v>#N/A</v>
      </c>
      <c r="G1724" s="6">
        <f>INDEX(品种2编码!$A$2:$A$1048576,MATCH(W1724,品种2编码!$D$2:$D$1048576,0))</f>
        <v>0</v>
      </c>
      <c r="H1724" s="6" t="s">
        <v>3447</v>
      </c>
      <c r="I1724" s="6" t="s">
        <v>1838</v>
      </c>
      <c r="J1724" s="6" t="s">
        <v>3036</v>
      </c>
      <c r="L1724" s="6" t="s">
        <v>3398</v>
      </c>
      <c r="M1724" s="6" t="e">
        <f>INDEX(医院2县区2人!$B$2:$B$1048576,MATCH(L1724,医院2县区2人!$A$2:$A$1048576,0))</f>
        <v>#N/A</v>
      </c>
      <c r="N1724" s="6" t="e">
        <f>INDEX(医院2县区2人!$C$2:$C$1048576,MATCH(L1724,医院2县区2人!$A$2:$A$1048576,0))</f>
        <v>#N/A</v>
      </c>
      <c r="P1724" s="7">
        <v>43263</v>
      </c>
      <c r="Q1724" s="6">
        <v>5</v>
      </c>
      <c r="S1724" s="6">
        <v>171243</v>
      </c>
      <c r="T1724" s="6" t="e">
        <f>INDEX(医院2县区2人!$D$2:$D$1048576,MATCH(L1724,医院2县区2人!$A$2:$A$1048576,0))</f>
        <v>#N/A</v>
      </c>
      <c r="W1724" s="6" t="str">
        <f t="shared" si="55"/>
        <v>新盖中盖高钙片/成人2.5g*36片</v>
      </c>
      <c r="X1724" s="6" t="s">
        <v>2907</v>
      </c>
    </row>
    <row r="1725" spans="1:24" x14ac:dyDescent="0.15">
      <c r="A1725" s="7" t="str">
        <f t="shared" si="56"/>
        <v>201806</v>
      </c>
      <c r="C1725" s="6" t="str">
        <f>INDEX(工厂基础数据!$A$2:$A$1024,MATCH(X1725,工厂基础数据!$D$2:$D$1024,0))</f>
        <v>02029238</v>
      </c>
      <c r="E1725" s="6" t="str">
        <f>INDEX(工厂基础数据!$B$2:$B$1024,MATCH(X1725,工厂基础数据!$D$2:$D$1024,0))</f>
        <v>山东康为医药有限公司</v>
      </c>
      <c r="F1725" s="6" t="e">
        <f>INDEX(商业2转码!$B$2:$B$10000,MATCH(E1725,商业2转码!$A$2:$A$10000,0))</f>
        <v>#N/A</v>
      </c>
      <c r="G1725" s="6" t="str">
        <f>INDEX(品种2编码!$A$2:$A$1048576,MATCH(W1725,品种2编码!$D$2:$D$1048576,0))</f>
        <v>0020070001ZYZC0369</v>
      </c>
      <c r="H1725" s="6" t="s">
        <v>1849</v>
      </c>
      <c r="I1725" s="6" t="s">
        <v>411</v>
      </c>
      <c r="J1725" s="6" t="s">
        <v>3038</v>
      </c>
      <c r="L1725" s="6" t="s">
        <v>3398</v>
      </c>
      <c r="M1725" s="6" t="e">
        <f>INDEX(医院2县区2人!$B$2:$B$1048576,MATCH(L1725,医院2县区2人!$A$2:$A$1048576,0))</f>
        <v>#N/A</v>
      </c>
      <c r="N1725" s="6" t="e">
        <f>INDEX(医院2县区2人!$C$2:$C$1048576,MATCH(L1725,医院2县区2人!$A$2:$A$1048576,0))</f>
        <v>#N/A</v>
      </c>
      <c r="P1725" s="7">
        <v>43263</v>
      </c>
      <c r="Q1725" s="6">
        <v>20</v>
      </c>
      <c r="S1725" s="6">
        <v>1801029</v>
      </c>
      <c r="T1725" s="6" t="e">
        <f>INDEX(医院2县区2人!$D$2:$D$1048576,MATCH(L1725,医院2县区2人!$A$2:$A$1048576,0))</f>
        <v>#N/A</v>
      </c>
      <c r="W1725" s="6" t="str">
        <f t="shared" si="55"/>
        <v>哈药牌钙铁锌口服液10ml*12支</v>
      </c>
      <c r="X1725" s="6" t="s">
        <v>2907</v>
      </c>
    </row>
    <row r="1726" spans="1:24" x14ac:dyDescent="0.15">
      <c r="A1726" s="7" t="str">
        <f t="shared" si="56"/>
        <v>201806</v>
      </c>
      <c r="C1726" s="6" t="str">
        <f>INDEX(工厂基础数据!$A$2:$A$1024,MATCH(X1726,工厂基础数据!$D$2:$D$1024,0))</f>
        <v>02029238</v>
      </c>
      <c r="E1726" s="6" t="str">
        <f>INDEX(工厂基础数据!$B$2:$B$1024,MATCH(X1726,工厂基础数据!$D$2:$D$1024,0))</f>
        <v>山东康为医药有限公司</v>
      </c>
      <c r="F1726" s="6" t="e">
        <f>INDEX(商业2转码!$B$2:$B$10000,MATCH(E1726,商业2转码!$A$2:$A$10000,0))</f>
        <v>#N/A</v>
      </c>
      <c r="G1726" s="6">
        <f>INDEX(品种2编码!$A$2:$A$1048576,MATCH(W1726,品种2编码!$D$2:$D$1048576,0))</f>
        <v>0</v>
      </c>
      <c r="H1726" s="6" t="s">
        <v>3447</v>
      </c>
      <c r="I1726" s="6" t="s">
        <v>1838</v>
      </c>
      <c r="J1726" s="6" t="s">
        <v>3036</v>
      </c>
      <c r="L1726" s="6" t="s">
        <v>3399</v>
      </c>
      <c r="M1726" s="6" t="e">
        <f>INDEX(医院2县区2人!$B$2:$B$1048576,MATCH(L1726,医院2县区2人!$A$2:$A$1048576,0))</f>
        <v>#N/A</v>
      </c>
      <c r="N1726" s="6" t="e">
        <f>INDEX(医院2县区2人!$C$2:$C$1048576,MATCH(L1726,医院2县区2人!$A$2:$A$1048576,0))</f>
        <v>#N/A</v>
      </c>
      <c r="P1726" s="7">
        <v>43263</v>
      </c>
      <c r="Q1726" s="6">
        <v>5</v>
      </c>
      <c r="S1726" s="6">
        <v>171243</v>
      </c>
      <c r="T1726" s="6" t="e">
        <f>INDEX(医院2县区2人!$D$2:$D$1048576,MATCH(L1726,医院2县区2人!$A$2:$A$1048576,0))</f>
        <v>#N/A</v>
      </c>
      <c r="W1726" s="6" t="str">
        <f t="shared" si="55"/>
        <v>新盖中盖高钙片/成人2.5g*36片</v>
      </c>
      <c r="X1726" s="6" t="s">
        <v>2907</v>
      </c>
    </row>
    <row r="1727" spans="1:24" x14ac:dyDescent="0.15">
      <c r="A1727" s="7" t="str">
        <f t="shared" si="56"/>
        <v>201806</v>
      </c>
      <c r="C1727" s="6" t="str">
        <f>INDEX(工厂基础数据!$A$2:$A$1024,MATCH(X1727,工厂基础数据!$D$2:$D$1024,0))</f>
        <v>02029238</v>
      </c>
      <c r="E1727" s="6" t="str">
        <f>INDEX(工厂基础数据!$B$2:$B$1024,MATCH(X1727,工厂基础数据!$D$2:$D$1024,0))</f>
        <v>山东康为医药有限公司</v>
      </c>
      <c r="F1727" s="6" t="e">
        <f>INDEX(商业2转码!$B$2:$B$10000,MATCH(E1727,商业2转码!$A$2:$A$10000,0))</f>
        <v>#N/A</v>
      </c>
      <c r="G1727" s="6" t="str">
        <f>INDEX(品种2编码!$A$2:$A$1048576,MATCH(W1727,品种2编码!$D$2:$D$1048576,0))</f>
        <v>0020050090SJZY0001</v>
      </c>
      <c r="H1727" s="6" t="s">
        <v>630</v>
      </c>
      <c r="I1727" s="6" t="s">
        <v>1850</v>
      </c>
      <c r="J1727" s="6" t="s">
        <v>3040</v>
      </c>
      <c r="L1727" s="6" t="s">
        <v>3399</v>
      </c>
      <c r="M1727" s="6" t="e">
        <f>INDEX(医院2县区2人!$B$2:$B$1048576,MATCH(L1727,医院2县区2人!$A$2:$A$1048576,0))</f>
        <v>#N/A</v>
      </c>
      <c r="N1727" s="6" t="e">
        <f>INDEX(医院2县区2人!$C$2:$C$1048576,MATCH(L1727,医院2县区2人!$A$2:$A$1048576,0))</f>
        <v>#N/A</v>
      </c>
      <c r="P1727" s="7">
        <v>43263</v>
      </c>
      <c r="Q1727" s="6">
        <v>5</v>
      </c>
      <c r="S1727" s="6">
        <v>18010723</v>
      </c>
      <c r="T1727" s="6" t="e">
        <f>INDEX(医院2县区2人!$D$2:$D$1048576,MATCH(L1727,医院2县区2人!$A$2:$A$1048576,0))</f>
        <v>#N/A</v>
      </c>
      <c r="W1727" s="6" t="str">
        <f t="shared" ref="W1727:W1790" si="57">H1727&amp;I1727</f>
        <v>双黄连口服液10ml*10支</v>
      </c>
      <c r="X1727" s="6" t="s">
        <v>2907</v>
      </c>
    </row>
    <row r="1728" spans="1:24" x14ac:dyDescent="0.15">
      <c r="A1728" s="7" t="str">
        <f t="shared" ref="A1728:A1791" si="58">IF(MONTH(P1728)&lt;10,YEAR(P1728)&amp;"0"&amp;MONTH(P1728),YEAR(P1728)&amp;MONTH(P1728))</f>
        <v>201806</v>
      </c>
      <c r="C1728" s="6" t="str">
        <f>INDEX(工厂基础数据!$A$2:$A$1024,MATCH(X1728,工厂基础数据!$D$2:$D$1024,0))</f>
        <v>02029238</v>
      </c>
      <c r="E1728" s="6" t="str">
        <f>INDEX(工厂基础数据!$B$2:$B$1024,MATCH(X1728,工厂基础数据!$D$2:$D$1024,0))</f>
        <v>山东康为医药有限公司</v>
      </c>
      <c r="F1728" s="6" t="e">
        <f>INDEX(商业2转码!$B$2:$B$10000,MATCH(E1728,商业2转码!$A$2:$A$10000,0))</f>
        <v>#N/A</v>
      </c>
      <c r="G1728" s="6" t="str">
        <f>INDEX(品种2编码!$A$2:$A$1048576,MATCH(W1728,品种2编码!$D$2:$D$1048576,0))</f>
        <v>0020070001ZYZC0383</v>
      </c>
      <c r="H1728" s="6" t="s">
        <v>1849</v>
      </c>
      <c r="I1728" s="6" t="s">
        <v>1850</v>
      </c>
      <c r="J1728" s="6" t="s">
        <v>3038</v>
      </c>
      <c r="L1728" s="6" t="s">
        <v>3399</v>
      </c>
      <c r="M1728" s="6" t="e">
        <f>INDEX(医院2县区2人!$B$2:$B$1048576,MATCH(L1728,医院2县区2人!$A$2:$A$1048576,0))</f>
        <v>#N/A</v>
      </c>
      <c r="N1728" s="6" t="e">
        <f>INDEX(医院2县区2人!$C$2:$C$1048576,MATCH(L1728,医院2县区2人!$A$2:$A$1048576,0))</f>
        <v>#N/A</v>
      </c>
      <c r="P1728" s="7">
        <v>43263</v>
      </c>
      <c r="Q1728" s="6">
        <v>5</v>
      </c>
      <c r="S1728" s="6" t="s">
        <v>3278</v>
      </c>
      <c r="T1728" s="6" t="e">
        <f>INDEX(医院2县区2人!$D$2:$D$1048576,MATCH(L1728,医院2县区2人!$A$2:$A$1048576,0))</f>
        <v>#N/A</v>
      </c>
      <c r="W1728" s="6" t="str">
        <f t="shared" si="57"/>
        <v>哈药牌钙铁锌口服液10ml*10支</v>
      </c>
      <c r="X1728" s="6" t="s">
        <v>2907</v>
      </c>
    </row>
    <row r="1729" spans="1:24" x14ac:dyDescent="0.15">
      <c r="A1729" s="7" t="str">
        <f t="shared" si="58"/>
        <v>201806</v>
      </c>
      <c r="C1729" s="6" t="str">
        <f>INDEX(工厂基础数据!$A$2:$A$1024,MATCH(X1729,工厂基础数据!$D$2:$D$1024,0))</f>
        <v>02029238</v>
      </c>
      <c r="E1729" s="6" t="str">
        <f>INDEX(工厂基础数据!$B$2:$B$1024,MATCH(X1729,工厂基础数据!$D$2:$D$1024,0))</f>
        <v>山东康为医药有限公司</v>
      </c>
      <c r="F1729" s="6" t="e">
        <f>INDEX(商业2转码!$B$2:$B$10000,MATCH(E1729,商业2转码!$A$2:$A$10000,0))</f>
        <v>#N/A</v>
      </c>
      <c r="G1729" s="6" t="str">
        <f>INDEX(品种2编码!$A$2:$A$1048576,MATCH(W1729,品种2编码!$D$2:$D$1048576,0))</f>
        <v>0020070001ZYZC0369</v>
      </c>
      <c r="H1729" s="6" t="s">
        <v>1849</v>
      </c>
      <c r="I1729" s="6" t="s">
        <v>411</v>
      </c>
      <c r="J1729" s="6" t="s">
        <v>3038</v>
      </c>
      <c r="L1729" s="6" t="s">
        <v>3400</v>
      </c>
      <c r="M1729" s="6" t="e">
        <f>INDEX(医院2县区2人!$B$2:$B$1048576,MATCH(L1729,医院2县区2人!$A$2:$A$1048576,0))</f>
        <v>#N/A</v>
      </c>
      <c r="N1729" s="6" t="e">
        <f>INDEX(医院2县区2人!$C$2:$C$1048576,MATCH(L1729,医院2县区2人!$A$2:$A$1048576,0))</f>
        <v>#N/A</v>
      </c>
      <c r="P1729" s="7">
        <v>43263</v>
      </c>
      <c r="Q1729" s="6">
        <v>5</v>
      </c>
      <c r="S1729" s="6">
        <v>1801029</v>
      </c>
      <c r="T1729" s="6" t="e">
        <f>INDEX(医院2县区2人!$D$2:$D$1048576,MATCH(L1729,医院2县区2人!$A$2:$A$1048576,0))</f>
        <v>#N/A</v>
      </c>
      <c r="W1729" s="6" t="str">
        <f t="shared" si="57"/>
        <v>哈药牌钙铁锌口服液10ml*12支</v>
      </c>
      <c r="X1729" s="6" t="s">
        <v>2907</v>
      </c>
    </row>
    <row r="1730" spans="1:24" x14ac:dyDescent="0.15">
      <c r="A1730" s="7" t="str">
        <f t="shared" si="58"/>
        <v>201806</v>
      </c>
      <c r="C1730" s="6" t="str">
        <f>INDEX(工厂基础数据!$A$2:$A$1024,MATCH(X1730,工厂基础数据!$D$2:$D$1024,0))</f>
        <v>02029238</v>
      </c>
      <c r="E1730" s="6" t="str">
        <f>INDEX(工厂基础数据!$B$2:$B$1024,MATCH(X1730,工厂基础数据!$D$2:$D$1024,0))</f>
        <v>山东康为医药有限公司</v>
      </c>
      <c r="F1730" s="6" t="e">
        <f>INDEX(商业2转码!$B$2:$B$10000,MATCH(E1730,商业2转码!$A$2:$A$10000,0))</f>
        <v>#N/A</v>
      </c>
      <c r="G1730" s="6" t="str">
        <f>INDEX(品种2编码!$A$2:$A$1048576,MATCH(W1730,品种2编码!$D$2:$D$1048576,0))</f>
        <v>0020050090SJZY0001</v>
      </c>
      <c r="H1730" s="6" t="s">
        <v>630</v>
      </c>
      <c r="I1730" s="6" t="s">
        <v>1850</v>
      </c>
      <c r="J1730" s="6" t="s">
        <v>3040</v>
      </c>
      <c r="L1730" s="6" t="s">
        <v>3386</v>
      </c>
      <c r="M1730" s="6" t="e">
        <f>INDEX(医院2县区2人!$B$2:$B$1048576,MATCH(L1730,医院2县区2人!$A$2:$A$1048576,0))</f>
        <v>#N/A</v>
      </c>
      <c r="N1730" s="6" t="e">
        <f>INDEX(医院2县区2人!$C$2:$C$1048576,MATCH(L1730,医院2县区2人!$A$2:$A$1048576,0))</f>
        <v>#N/A</v>
      </c>
      <c r="P1730" s="7">
        <v>43263</v>
      </c>
      <c r="Q1730" s="6">
        <v>30</v>
      </c>
      <c r="S1730" s="6">
        <v>18010723</v>
      </c>
      <c r="T1730" s="6" t="e">
        <f>INDEX(医院2县区2人!$D$2:$D$1048576,MATCH(L1730,医院2县区2人!$A$2:$A$1048576,0))</f>
        <v>#N/A</v>
      </c>
      <c r="W1730" s="6" t="str">
        <f t="shared" si="57"/>
        <v>双黄连口服液10ml*10支</v>
      </c>
      <c r="X1730" s="6" t="s">
        <v>2907</v>
      </c>
    </row>
    <row r="1731" spans="1:24" x14ac:dyDescent="0.15">
      <c r="A1731" s="7" t="str">
        <f t="shared" si="58"/>
        <v>201806</v>
      </c>
      <c r="C1731" s="6" t="str">
        <f>INDEX(工厂基础数据!$A$2:$A$1024,MATCH(X1731,工厂基础数据!$D$2:$D$1024,0))</f>
        <v>02029238</v>
      </c>
      <c r="E1731" s="6" t="str">
        <f>INDEX(工厂基础数据!$B$2:$B$1024,MATCH(X1731,工厂基础数据!$D$2:$D$1024,0))</f>
        <v>山东康为医药有限公司</v>
      </c>
      <c r="F1731" s="6" t="e">
        <f>INDEX(商业2转码!$B$2:$B$10000,MATCH(E1731,商业2转码!$A$2:$A$10000,0))</f>
        <v>#N/A</v>
      </c>
      <c r="G1731" s="6">
        <f>INDEX(品种2编码!$A$2:$A$1048576,MATCH(W1731,品种2编码!$D$2:$D$1048576,0))</f>
        <v>0</v>
      </c>
      <c r="H1731" s="6" t="s">
        <v>3448</v>
      </c>
      <c r="I1731" s="6" t="s">
        <v>411</v>
      </c>
      <c r="J1731" s="6" t="s">
        <v>3040</v>
      </c>
      <c r="L1731" s="6" t="s">
        <v>3355</v>
      </c>
      <c r="M1731" s="6" t="e">
        <f>INDEX(医院2县区2人!$B$2:$B$1048576,MATCH(L1731,医院2县区2人!$A$2:$A$1048576,0))</f>
        <v>#N/A</v>
      </c>
      <c r="N1731" s="6" t="e">
        <f>INDEX(医院2县区2人!$C$2:$C$1048576,MATCH(L1731,医院2县区2人!$A$2:$A$1048576,0))</f>
        <v>#N/A</v>
      </c>
      <c r="P1731" s="7">
        <v>43264</v>
      </c>
      <c r="Q1731" s="6">
        <v>80</v>
      </c>
      <c r="S1731" s="6">
        <v>17122922</v>
      </c>
      <c r="T1731" s="6" t="e">
        <f>INDEX(医院2县区2人!$D$2:$D$1048576,MATCH(L1731,医院2县区2人!$A$2:$A$1048576,0))</f>
        <v>#N/A</v>
      </c>
      <c r="W1731" s="6" t="str">
        <f t="shared" si="57"/>
        <v>葡萄糖酸钙口服溶液（含糖型）10ml*12支</v>
      </c>
      <c r="X1731" s="6" t="s">
        <v>2907</v>
      </c>
    </row>
    <row r="1732" spans="1:24" x14ac:dyDescent="0.15">
      <c r="A1732" s="7" t="str">
        <f t="shared" si="58"/>
        <v>201806</v>
      </c>
      <c r="C1732" s="6" t="str">
        <f>INDEX(工厂基础数据!$A$2:$A$1024,MATCH(X1732,工厂基础数据!$D$2:$D$1024,0))</f>
        <v>02029238</v>
      </c>
      <c r="E1732" s="6" t="str">
        <f>INDEX(工厂基础数据!$B$2:$B$1024,MATCH(X1732,工厂基础数据!$D$2:$D$1024,0))</f>
        <v>山东康为医药有限公司</v>
      </c>
      <c r="F1732" s="6" t="e">
        <f>INDEX(商业2转码!$B$2:$B$10000,MATCH(E1732,商业2转码!$A$2:$A$10000,0))</f>
        <v>#N/A</v>
      </c>
      <c r="G1732" s="6" t="str">
        <f>INDEX(品种2编码!$A$2:$A$1048576,MATCH(W1732,品种2编码!$D$2:$D$1048576,0))</f>
        <v>0020070001ZYZC0369</v>
      </c>
      <c r="H1732" s="6" t="s">
        <v>1849</v>
      </c>
      <c r="I1732" s="6" t="s">
        <v>411</v>
      </c>
      <c r="J1732" s="6" t="s">
        <v>3038</v>
      </c>
      <c r="L1732" s="6" t="s">
        <v>3401</v>
      </c>
      <c r="M1732" s="6" t="e">
        <f>INDEX(医院2县区2人!$B$2:$B$1048576,MATCH(L1732,医院2县区2人!$A$2:$A$1048576,0))</f>
        <v>#N/A</v>
      </c>
      <c r="N1732" s="6" t="e">
        <f>INDEX(医院2县区2人!$C$2:$C$1048576,MATCH(L1732,医院2县区2人!$A$2:$A$1048576,0))</f>
        <v>#N/A</v>
      </c>
      <c r="P1732" s="7">
        <v>43265</v>
      </c>
      <c r="Q1732" s="6">
        <v>10</v>
      </c>
      <c r="S1732" s="6">
        <v>1801029</v>
      </c>
      <c r="T1732" s="6" t="e">
        <f>INDEX(医院2县区2人!$D$2:$D$1048576,MATCH(L1732,医院2县区2人!$A$2:$A$1048576,0))</f>
        <v>#N/A</v>
      </c>
      <c r="W1732" s="6" t="str">
        <f t="shared" si="57"/>
        <v>哈药牌钙铁锌口服液10ml*12支</v>
      </c>
      <c r="X1732" s="6" t="s">
        <v>2907</v>
      </c>
    </row>
    <row r="1733" spans="1:24" x14ac:dyDescent="0.15">
      <c r="A1733" s="7" t="str">
        <f t="shared" si="58"/>
        <v>201806</v>
      </c>
      <c r="C1733" s="6" t="str">
        <f>INDEX(工厂基础数据!$A$2:$A$1024,MATCH(X1733,工厂基础数据!$D$2:$D$1024,0))</f>
        <v>02029238</v>
      </c>
      <c r="E1733" s="6" t="str">
        <f>INDEX(工厂基础数据!$B$2:$B$1024,MATCH(X1733,工厂基础数据!$D$2:$D$1024,0))</f>
        <v>山东康为医药有限公司</v>
      </c>
      <c r="F1733" s="6" t="e">
        <f>INDEX(商业2转码!$B$2:$B$10000,MATCH(E1733,商业2转码!$A$2:$A$10000,0))</f>
        <v>#N/A</v>
      </c>
      <c r="G1733" s="6" t="str">
        <f>INDEX(品种2编码!$A$2:$A$1048576,MATCH(W1733,品种2编码!$D$2:$D$1048576,0))</f>
        <v>0020030001SJZY0009</v>
      </c>
      <c r="H1733" s="6" t="s">
        <v>1949</v>
      </c>
      <c r="I1733" s="6" t="s">
        <v>411</v>
      </c>
      <c r="J1733" s="6" t="s">
        <v>3040</v>
      </c>
      <c r="L1733" s="6" t="s">
        <v>3402</v>
      </c>
      <c r="M1733" s="6" t="e">
        <f>INDEX(医院2县区2人!$B$2:$B$1048576,MATCH(L1733,医院2县区2人!$A$2:$A$1048576,0))</f>
        <v>#N/A</v>
      </c>
      <c r="N1733" s="6" t="e">
        <f>INDEX(医院2县区2人!$C$2:$C$1048576,MATCH(L1733,医院2县区2人!$A$2:$A$1048576,0))</f>
        <v>#N/A</v>
      </c>
      <c r="P1733" s="7">
        <v>43265</v>
      </c>
      <c r="Q1733" s="6">
        <v>20</v>
      </c>
      <c r="S1733" s="6">
        <v>18031227</v>
      </c>
      <c r="T1733" s="6" t="e">
        <f>INDEX(医院2县区2人!$D$2:$D$1048576,MATCH(L1733,医院2县区2人!$A$2:$A$1048576,0))</f>
        <v>#N/A</v>
      </c>
      <c r="W1733" s="6" t="str">
        <f t="shared" si="57"/>
        <v>葡萄糖酸锌口服溶液10ml*12支</v>
      </c>
      <c r="X1733" s="6" t="s">
        <v>2907</v>
      </c>
    </row>
    <row r="1734" spans="1:24" x14ac:dyDescent="0.15">
      <c r="A1734" s="7" t="str">
        <f t="shared" si="58"/>
        <v>201806</v>
      </c>
      <c r="C1734" s="6" t="str">
        <f>INDEX(工厂基础数据!$A$2:$A$1024,MATCH(X1734,工厂基础数据!$D$2:$D$1024,0))</f>
        <v>02029238</v>
      </c>
      <c r="E1734" s="6" t="str">
        <f>INDEX(工厂基础数据!$B$2:$B$1024,MATCH(X1734,工厂基础数据!$D$2:$D$1024,0))</f>
        <v>山东康为医药有限公司</v>
      </c>
      <c r="F1734" s="6" t="e">
        <f>INDEX(商业2转码!$B$2:$B$10000,MATCH(E1734,商业2转码!$A$2:$A$10000,0))</f>
        <v>#N/A</v>
      </c>
      <c r="G1734" s="6">
        <f>INDEX(品种2编码!$A$2:$A$1048576,MATCH(W1734,品种2编码!$D$2:$D$1048576,0))</f>
        <v>0</v>
      </c>
      <c r="H1734" s="6" t="s">
        <v>3448</v>
      </c>
      <c r="I1734" s="6" t="s">
        <v>411</v>
      </c>
      <c r="J1734" s="6" t="s">
        <v>3040</v>
      </c>
      <c r="L1734" s="6" t="s">
        <v>3364</v>
      </c>
      <c r="M1734" s="6" t="e">
        <f>INDEX(医院2县区2人!$B$2:$B$1048576,MATCH(L1734,医院2县区2人!$A$2:$A$1048576,0))</f>
        <v>#N/A</v>
      </c>
      <c r="N1734" s="6" t="e">
        <f>INDEX(医院2县区2人!$C$2:$C$1048576,MATCH(L1734,医院2县区2人!$A$2:$A$1048576,0))</f>
        <v>#N/A</v>
      </c>
      <c r="P1734" s="7">
        <v>43266</v>
      </c>
      <c r="Q1734" s="6">
        <v>20</v>
      </c>
      <c r="S1734" s="6">
        <v>17122922</v>
      </c>
      <c r="T1734" s="6" t="e">
        <f>INDEX(医院2县区2人!$D$2:$D$1048576,MATCH(L1734,医院2县区2人!$A$2:$A$1048576,0))</f>
        <v>#N/A</v>
      </c>
      <c r="W1734" s="6" t="str">
        <f t="shared" si="57"/>
        <v>葡萄糖酸钙口服溶液（含糖型）10ml*12支</v>
      </c>
      <c r="X1734" s="6" t="s">
        <v>2907</v>
      </c>
    </row>
    <row r="1735" spans="1:24" x14ac:dyDescent="0.15">
      <c r="A1735" s="7" t="str">
        <f t="shared" si="58"/>
        <v>201806</v>
      </c>
      <c r="C1735" s="6" t="str">
        <f>INDEX(工厂基础数据!$A$2:$A$1024,MATCH(X1735,工厂基础数据!$D$2:$D$1024,0))</f>
        <v>02029238</v>
      </c>
      <c r="E1735" s="6" t="str">
        <f>INDEX(工厂基础数据!$B$2:$B$1024,MATCH(X1735,工厂基础数据!$D$2:$D$1024,0))</f>
        <v>山东康为医药有限公司</v>
      </c>
      <c r="F1735" s="6" t="e">
        <f>INDEX(商业2转码!$B$2:$B$10000,MATCH(E1735,商业2转码!$A$2:$A$10000,0))</f>
        <v>#N/A</v>
      </c>
      <c r="G1735" s="6" t="str">
        <f>INDEX(品种2编码!$A$2:$A$1048576,MATCH(W1735,品种2编码!$D$2:$D$1048576,0))</f>
        <v>0020030001SJZY0009</v>
      </c>
      <c r="H1735" s="6" t="s">
        <v>1949</v>
      </c>
      <c r="I1735" s="6" t="s">
        <v>411</v>
      </c>
      <c r="J1735" s="6" t="s">
        <v>3040</v>
      </c>
      <c r="L1735" s="6" t="s">
        <v>3364</v>
      </c>
      <c r="M1735" s="6" t="e">
        <f>INDEX(医院2县区2人!$B$2:$B$1048576,MATCH(L1735,医院2县区2人!$A$2:$A$1048576,0))</f>
        <v>#N/A</v>
      </c>
      <c r="N1735" s="6" t="e">
        <f>INDEX(医院2县区2人!$C$2:$C$1048576,MATCH(L1735,医院2县区2人!$A$2:$A$1048576,0))</f>
        <v>#N/A</v>
      </c>
      <c r="P1735" s="7">
        <v>43266</v>
      </c>
      <c r="Q1735" s="6">
        <v>20</v>
      </c>
      <c r="S1735" s="6">
        <v>18031227</v>
      </c>
      <c r="T1735" s="6" t="e">
        <f>INDEX(医院2县区2人!$D$2:$D$1048576,MATCH(L1735,医院2县区2人!$A$2:$A$1048576,0))</f>
        <v>#N/A</v>
      </c>
      <c r="W1735" s="6" t="str">
        <f t="shared" si="57"/>
        <v>葡萄糖酸锌口服溶液10ml*12支</v>
      </c>
      <c r="X1735" s="6" t="s">
        <v>2907</v>
      </c>
    </row>
    <row r="1736" spans="1:24" x14ac:dyDescent="0.15">
      <c r="A1736" s="7" t="str">
        <f t="shared" si="58"/>
        <v>201806</v>
      </c>
      <c r="C1736" s="6" t="str">
        <f>INDEX(工厂基础数据!$A$2:$A$1024,MATCH(X1736,工厂基础数据!$D$2:$D$1024,0))</f>
        <v>02029238</v>
      </c>
      <c r="E1736" s="6" t="str">
        <f>INDEX(工厂基础数据!$B$2:$B$1024,MATCH(X1736,工厂基础数据!$D$2:$D$1024,0))</f>
        <v>山东康为医药有限公司</v>
      </c>
      <c r="F1736" s="6" t="e">
        <f>INDEX(商业2转码!$B$2:$B$10000,MATCH(E1736,商业2转码!$A$2:$A$10000,0))</f>
        <v>#N/A</v>
      </c>
      <c r="G1736" s="6" t="str">
        <f>INDEX(品种2编码!$A$2:$A$1048576,MATCH(W1736,品种2编码!$D$2:$D$1048576,0))</f>
        <v>0020030040ZYLC0001</v>
      </c>
      <c r="H1736" s="6" t="s">
        <v>1852</v>
      </c>
      <c r="I1736" s="6" t="s">
        <v>1853</v>
      </c>
      <c r="J1736" s="6" t="s">
        <v>3036</v>
      </c>
      <c r="L1736" s="6" t="s">
        <v>3346</v>
      </c>
      <c r="M1736" s="6" t="e">
        <f>INDEX(医院2县区2人!$B$2:$B$1048576,MATCH(L1736,医院2县区2人!$A$2:$A$1048576,0))</f>
        <v>#N/A</v>
      </c>
      <c r="N1736" s="6" t="e">
        <f>INDEX(医院2县区2人!$C$2:$C$1048576,MATCH(L1736,医院2县区2人!$A$2:$A$1048576,0))</f>
        <v>#N/A</v>
      </c>
      <c r="P1736" s="7">
        <v>43266</v>
      </c>
      <c r="Q1736" s="6">
        <v>30</v>
      </c>
      <c r="S1736" s="6">
        <v>171116</v>
      </c>
      <c r="T1736" s="6" t="e">
        <f>INDEX(医院2县区2人!$D$2:$D$1048576,MATCH(L1736,医院2县区2人!$A$2:$A$1048576,0))</f>
        <v>#N/A</v>
      </c>
      <c r="W1736" s="6" t="str">
        <f t="shared" si="57"/>
        <v>小儿氨酚黄那敏颗粒/护彤2g*12袋</v>
      </c>
      <c r="X1736" s="6" t="s">
        <v>2907</v>
      </c>
    </row>
    <row r="1737" spans="1:24" x14ac:dyDescent="0.15">
      <c r="A1737" s="7" t="str">
        <f t="shared" si="58"/>
        <v>201806</v>
      </c>
      <c r="C1737" s="6" t="str">
        <f>INDEX(工厂基础数据!$A$2:$A$1024,MATCH(X1737,工厂基础数据!$D$2:$D$1024,0))</f>
        <v>02029238</v>
      </c>
      <c r="E1737" s="6" t="str">
        <f>INDEX(工厂基础数据!$B$2:$B$1024,MATCH(X1737,工厂基础数据!$D$2:$D$1024,0))</f>
        <v>山东康为医药有限公司</v>
      </c>
      <c r="F1737" s="6" t="e">
        <f>INDEX(商业2转码!$B$2:$B$10000,MATCH(E1737,商业2转码!$A$2:$A$10000,0))</f>
        <v>#N/A</v>
      </c>
      <c r="G1737" s="6" t="str">
        <f>INDEX(品种2编码!$A$2:$A$1048576,MATCH(W1737,品种2编码!$D$2:$D$1048576,0))</f>
        <v>0020020020ZYZC0473</v>
      </c>
      <c r="H1737" s="6" t="s">
        <v>745</v>
      </c>
      <c r="I1737" s="6" t="s">
        <v>290</v>
      </c>
      <c r="J1737" s="6" t="s">
        <v>3038</v>
      </c>
      <c r="L1737" s="6" t="s">
        <v>3403</v>
      </c>
      <c r="M1737" s="6" t="e">
        <f>INDEX(医院2县区2人!$B$2:$B$1048576,MATCH(L1737,医院2县区2人!$A$2:$A$1048576,0))</f>
        <v>#N/A</v>
      </c>
      <c r="N1737" s="6" t="e">
        <f>INDEX(医院2县区2人!$C$2:$C$1048576,MATCH(L1737,医院2县区2人!$A$2:$A$1048576,0))</f>
        <v>#N/A</v>
      </c>
      <c r="P1737" s="7">
        <v>43266</v>
      </c>
      <c r="Q1737" s="6">
        <v>3</v>
      </c>
      <c r="S1737" s="6" t="s">
        <v>3056</v>
      </c>
      <c r="T1737" s="6" t="e">
        <f>INDEX(医院2县区2人!$D$2:$D$1048576,MATCH(L1737,医院2县区2人!$A$2:$A$1048576,0))</f>
        <v>#N/A</v>
      </c>
      <c r="W1737" s="6" t="str">
        <f t="shared" si="57"/>
        <v>盐酸环丙沙星片0.25g*12片</v>
      </c>
      <c r="X1737" s="6" t="s">
        <v>2907</v>
      </c>
    </row>
    <row r="1738" spans="1:24" x14ac:dyDescent="0.15">
      <c r="A1738" s="7" t="str">
        <f t="shared" si="58"/>
        <v>201806</v>
      </c>
      <c r="C1738" s="6" t="str">
        <f>INDEX(工厂基础数据!$A$2:$A$1024,MATCH(X1738,工厂基础数据!$D$2:$D$1024,0))</f>
        <v>02029238</v>
      </c>
      <c r="E1738" s="6" t="str">
        <f>INDEX(工厂基础数据!$B$2:$B$1024,MATCH(X1738,工厂基础数据!$D$2:$D$1024,0))</f>
        <v>山东康为医药有限公司</v>
      </c>
      <c r="F1738" s="6" t="e">
        <f>INDEX(商业2转码!$B$2:$B$10000,MATCH(E1738,商业2转码!$A$2:$A$10000,0))</f>
        <v>#N/A</v>
      </c>
      <c r="G1738" s="6">
        <f>INDEX(品种2编码!$A$2:$A$1048576,MATCH(W1738,品种2编码!$D$2:$D$1048576,0))</f>
        <v>0</v>
      </c>
      <c r="H1738" s="6" t="s">
        <v>3447</v>
      </c>
      <c r="I1738" s="6" t="s">
        <v>1838</v>
      </c>
      <c r="J1738" s="6" t="s">
        <v>3036</v>
      </c>
      <c r="L1738" s="6" t="s">
        <v>3404</v>
      </c>
      <c r="M1738" s="6" t="e">
        <f>INDEX(医院2县区2人!$B$2:$B$1048576,MATCH(L1738,医院2县区2人!$A$2:$A$1048576,0))</f>
        <v>#N/A</v>
      </c>
      <c r="N1738" s="6" t="e">
        <f>INDEX(医院2县区2人!$C$2:$C$1048576,MATCH(L1738,医院2县区2人!$A$2:$A$1048576,0))</f>
        <v>#N/A</v>
      </c>
      <c r="P1738" s="7">
        <v>43266</v>
      </c>
      <c r="Q1738" s="6">
        <v>2</v>
      </c>
      <c r="S1738" s="6">
        <v>171243</v>
      </c>
      <c r="T1738" s="6" t="e">
        <f>INDEX(医院2县区2人!$D$2:$D$1048576,MATCH(L1738,医院2县区2人!$A$2:$A$1048576,0))</f>
        <v>#N/A</v>
      </c>
      <c r="W1738" s="6" t="str">
        <f t="shared" si="57"/>
        <v>新盖中盖高钙片/成人2.5g*36片</v>
      </c>
      <c r="X1738" s="6" t="s">
        <v>2907</v>
      </c>
    </row>
    <row r="1739" spans="1:24" x14ac:dyDescent="0.15">
      <c r="A1739" s="7" t="str">
        <f t="shared" si="58"/>
        <v>201806</v>
      </c>
      <c r="C1739" s="6" t="str">
        <f>INDEX(工厂基础数据!$A$2:$A$1024,MATCH(X1739,工厂基础数据!$D$2:$D$1024,0))</f>
        <v>02029238</v>
      </c>
      <c r="E1739" s="6" t="str">
        <f>INDEX(工厂基础数据!$B$2:$B$1024,MATCH(X1739,工厂基础数据!$D$2:$D$1024,0))</f>
        <v>山东康为医药有限公司</v>
      </c>
      <c r="F1739" s="6" t="e">
        <f>INDEX(商业2转码!$B$2:$B$10000,MATCH(E1739,商业2转码!$A$2:$A$10000,0))</f>
        <v>#N/A</v>
      </c>
      <c r="G1739" s="6">
        <f>INDEX(品种2编码!$A$2:$A$1048576,MATCH(W1739,品种2编码!$D$2:$D$1048576,0))</f>
        <v>0</v>
      </c>
      <c r="H1739" s="6" t="s">
        <v>3447</v>
      </c>
      <c r="I1739" s="6" t="s">
        <v>1838</v>
      </c>
      <c r="J1739" s="6" t="s">
        <v>3036</v>
      </c>
      <c r="L1739" s="6" t="s">
        <v>3405</v>
      </c>
      <c r="M1739" s="6" t="e">
        <f>INDEX(医院2县区2人!$B$2:$B$1048576,MATCH(L1739,医院2县区2人!$A$2:$A$1048576,0))</f>
        <v>#N/A</v>
      </c>
      <c r="N1739" s="6" t="e">
        <f>INDEX(医院2县区2人!$C$2:$C$1048576,MATCH(L1739,医院2县区2人!$A$2:$A$1048576,0))</f>
        <v>#N/A</v>
      </c>
      <c r="P1739" s="7">
        <v>43266</v>
      </c>
      <c r="Q1739" s="6">
        <v>5</v>
      </c>
      <c r="S1739" s="6">
        <v>171243</v>
      </c>
      <c r="T1739" s="6" t="e">
        <f>INDEX(医院2县区2人!$D$2:$D$1048576,MATCH(L1739,医院2县区2人!$A$2:$A$1048576,0))</f>
        <v>#N/A</v>
      </c>
      <c r="W1739" s="6" t="str">
        <f t="shared" si="57"/>
        <v>新盖中盖高钙片/成人2.5g*36片</v>
      </c>
      <c r="X1739" s="6" t="s">
        <v>2907</v>
      </c>
    </row>
    <row r="1740" spans="1:24" x14ac:dyDescent="0.15">
      <c r="A1740" s="7" t="str">
        <f t="shared" si="58"/>
        <v>201806</v>
      </c>
      <c r="C1740" s="6" t="str">
        <f>INDEX(工厂基础数据!$A$2:$A$1024,MATCH(X1740,工厂基础数据!$D$2:$D$1024,0))</f>
        <v>02029238</v>
      </c>
      <c r="E1740" s="6" t="str">
        <f>INDEX(工厂基础数据!$B$2:$B$1024,MATCH(X1740,工厂基础数据!$D$2:$D$1024,0))</f>
        <v>山东康为医药有限公司</v>
      </c>
      <c r="F1740" s="6" t="e">
        <f>INDEX(商业2转码!$B$2:$B$10000,MATCH(E1740,商业2转码!$A$2:$A$10000,0))</f>
        <v>#N/A</v>
      </c>
      <c r="G1740" s="6">
        <f>INDEX(品种2编码!$A$2:$A$1048576,MATCH(W1740,品种2编码!$D$2:$D$1048576,0))</f>
        <v>0</v>
      </c>
      <c r="H1740" s="6" t="s">
        <v>3448</v>
      </c>
      <c r="I1740" s="6" t="s">
        <v>411</v>
      </c>
      <c r="J1740" s="6" t="s">
        <v>3040</v>
      </c>
      <c r="L1740" s="6" t="s">
        <v>3405</v>
      </c>
      <c r="M1740" s="6" t="e">
        <f>INDEX(医院2县区2人!$B$2:$B$1048576,MATCH(L1740,医院2县区2人!$A$2:$A$1048576,0))</f>
        <v>#N/A</v>
      </c>
      <c r="N1740" s="6" t="e">
        <f>INDEX(医院2县区2人!$C$2:$C$1048576,MATCH(L1740,医院2县区2人!$A$2:$A$1048576,0))</f>
        <v>#N/A</v>
      </c>
      <c r="P1740" s="7">
        <v>43266</v>
      </c>
      <c r="Q1740" s="6">
        <v>10</v>
      </c>
      <c r="S1740" s="6">
        <v>17122922</v>
      </c>
      <c r="T1740" s="6" t="e">
        <f>INDEX(医院2县区2人!$D$2:$D$1048576,MATCH(L1740,医院2县区2人!$A$2:$A$1048576,0))</f>
        <v>#N/A</v>
      </c>
      <c r="W1740" s="6" t="str">
        <f t="shared" si="57"/>
        <v>葡萄糖酸钙口服溶液（含糖型）10ml*12支</v>
      </c>
      <c r="X1740" s="6" t="s">
        <v>2907</v>
      </c>
    </row>
    <row r="1741" spans="1:24" x14ac:dyDescent="0.15">
      <c r="A1741" s="7" t="str">
        <f t="shared" si="58"/>
        <v>201806</v>
      </c>
      <c r="C1741" s="6" t="str">
        <f>INDEX(工厂基础数据!$A$2:$A$1024,MATCH(X1741,工厂基础数据!$D$2:$D$1024,0))</f>
        <v>02029238</v>
      </c>
      <c r="E1741" s="6" t="str">
        <f>INDEX(工厂基础数据!$B$2:$B$1024,MATCH(X1741,工厂基础数据!$D$2:$D$1024,0))</f>
        <v>山东康为医药有限公司</v>
      </c>
      <c r="F1741" s="6" t="e">
        <f>INDEX(商业2转码!$B$2:$B$10000,MATCH(E1741,商业2转码!$A$2:$A$10000,0))</f>
        <v>#N/A</v>
      </c>
      <c r="G1741" s="6" t="str">
        <f>INDEX(品种2编码!$A$2:$A$1048576,MATCH(W1741,品种2编码!$D$2:$D$1048576,0))</f>
        <v>0020030001SJZY0009</v>
      </c>
      <c r="H1741" s="6" t="s">
        <v>1949</v>
      </c>
      <c r="I1741" s="6" t="s">
        <v>411</v>
      </c>
      <c r="J1741" s="6" t="s">
        <v>3040</v>
      </c>
      <c r="L1741" s="6" t="s">
        <v>3405</v>
      </c>
      <c r="M1741" s="6" t="e">
        <f>INDEX(医院2县区2人!$B$2:$B$1048576,MATCH(L1741,医院2县区2人!$A$2:$A$1048576,0))</f>
        <v>#N/A</v>
      </c>
      <c r="N1741" s="6" t="e">
        <f>INDEX(医院2县区2人!$C$2:$C$1048576,MATCH(L1741,医院2县区2人!$A$2:$A$1048576,0))</f>
        <v>#N/A</v>
      </c>
      <c r="P1741" s="7">
        <v>43266</v>
      </c>
      <c r="Q1741" s="6">
        <v>10</v>
      </c>
      <c r="S1741" s="6">
        <v>18031227</v>
      </c>
      <c r="T1741" s="6" t="e">
        <f>INDEX(医院2县区2人!$D$2:$D$1048576,MATCH(L1741,医院2县区2人!$A$2:$A$1048576,0))</f>
        <v>#N/A</v>
      </c>
      <c r="W1741" s="6" t="str">
        <f t="shared" si="57"/>
        <v>葡萄糖酸锌口服溶液10ml*12支</v>
      </c>
      <c r="X1741" s="6" t="s">
        <v>2907</v>
      </c>
    </row>
    <row r="1742" spans="1:24" x14ac:dyDescent="0.15">
      <c r="A1742" s="7" t="str">
        <f t="shared" si="58"/>
        <v>201806</v>
      </c>
      <c r="C1742" s="6" t="str">
        <f>INDEX(工厂基础数据!$A$2:$A$1024,MATCH(X1742,工厂基础数据!$D$2:$D$1024,0))</f>
        <v>02029238</v>
      </c>
      <c r="E1742" s="6" t="str">
        <f>INDEX(工厂基础数据!$B$2:$B$1024,MATCH(X1742,工厂基础数据!$D$2:$D$1024,0))</f>
        <v>山东康为医药有限公司</v>
      </c>
      <c r="F1742" s="6" t="e">
        <f>INDEX(商业2转码!$B$2:$B$10000,MATCH(E1742,商业2转码!$A$2:$A$10000,0))</f>
        <v>#N/A</v>
      </c>
      <c r="G1742" s="6" t="str">
        <f>INDEX(品种2编码!$A$2:$A$1048576,MATCH(W1742,品种2编码!$D$2:$D$1048576,0))</f>
        <v>0020030001SJZY0009</v>
      </c>
      <c r="H1742" s="6" t="s">
        <v>1949</v>
      </c>
      <c r="I1742" s="6" t="s">
        <v>411</v>
      </c>
      <c r="J1742" s="6" t="s">
        <v>3040</v>
      </c>
      <c r="L1742" s="6" t="s">
        <v>3406</v>
      </c>
      <c r="M1742" s="6" t="e">
        <f>INDEX(医院2县区2人!$B$2:$B$1048576,MATCH(L1742,医院2县区2人!$A$2:$A$1048576,0))</f>
        <v>#N/A</v>
      </c>
      <c r="N1742" s="6" t="e">
        <f>INDEX(医院2县区2人!$C$2:$C$1048576,MATCH(L1742,医院2县区2人!$A$2:$A$1048576,0))</f>
        <v>#N/A</v>
      </c>
      <c r="P1742" s="7">
        <v>43266</v>
      </c>
      <c r="Q1742" s="6">
        <v>20</v>
      </c>
      <c r="S1742" s="6">
        <v>18031227</v>
      </c>
      <c r="T1742" s="6" t="e">
        <f>INDEX(医院2县区2人!$D$2:$D$1048576,MATCH(L1742,医院2县区2人!$A$2:$A$1048576,0))</f>
        <v>#N/A</v>
      </c>
      <c r="W1742" s="6" t="str">
        <f t="shared" si="57"/>
        <v>葡萄糖酸锌口服溶液10ml*12支</v>
      </c>
      <c r="X1742" s="6" t="s">
        <v>2907</v>
      </c>
    </row>
    <row r="1743" spans="1:24" x14ac:dyDescent="0.15">
      <c r="A1743" s="7" t="str">
        <f t="shared" si="58"/>
        <v>201806</v>
      </c>
      <c r="C1743" s="6" t="str">
        <f>INDEX(工厂基础数据!$A$2:$A$1024,MATCH(X1743,工厂基础数据!$D$2:$D$1024,0))</f>
        <v>02029238</v>
      </c>
      <c r="E1743" s="6" t="str">
        <f>INDEX(工厂基础数据!$B$2:$B$1024,MATCH(X1743,工厂基础数据!$D$2:$D$1024,0))</f>
        <v>山东康为医药有限公司</v>
      </c>
      <c r="F1743" s="6" t="e">
        <f>INDEX(商业2转码!$B$2:$B$10000,MATCH(E1743,商业2转码!$A$2:$A$10000,0))</f>
        <v>#N/A</v>
      </c>
      <c r="G1743" s="6" t="str">
        <f>INDEX(品种2编码!$A$2:$A$1048576,MATCH(W1743,品种2编码!$D$2:$D$1048576,0))</f>
        <v>0020030001SJZY0009</v>
      </c>
      <c r="H1743" s="6" t="s">
        <v>1949</v>
      </c>
      <c r="I1743" s="6" t="s">
        <v>411</v>
      </c>
      <c r="J1743" s="6" t="s">
        <v>3040</v>
      </c>
      <c r="L1743" s="6" t="s">
        <v>3407</v>
      </c>
      <c r="M1743" s="6" t="e">
        <f>INDEX(医院2县区2人!$B$2:$B$1048576,MATCH(L1743,医院2县区2人!$A$2:$A$1048576,0))</f>
        <v>#N/A</v>
      </c>
      <c r="N1743" s="6" t="e">
        <f>INDEX(医院2县区2人!$C$2:$C$1048576,MATCH(L1743,医院2县区2人!$A$2:$A$1048576,0))</f>
        <v>#N/A</v>
      </c>
      <c r="P1743" s="7">
        <v>43266</v>
      </c>
      <c r="Q1743" s="6">
        <v>80</v>
      </c>
      <c r="S1743" s="6">
        <v>18031227</v>
      </c>
      <c r="T1743" s="6" t="e">
        <f>INDEX(医院2县区2人!$D$2:$D$1048576,MATCH(L1743,医院2县区2人!$A$2:$A$1048576,0))</f>
        <v>#N/A</v>
      </c>
      <c r="W1743" s="6" t="str">
        <f t="shared" si="57"/>
        <v>葡萄糖酸锌口服溶液10ml*12支</v>
      </c>
      <c r="X1743" s="6" t="s">
        <v>2907</v>
      </c>
    </row>
    <row r="1744" spans="1:24" x14ac:dyDescent="0.15">
      <c r="A1744" s="7" t="str">
        <f t="shared" si="58"/>
        <v>201806</v>
      </c>
      <c r="C1744" s="6" t="str">
        <f>INDEX(工厂基础数据!$A$2:$A$1024,MATCH(X1744,工厂基础数据!$D$2:$D$1024,0))</f>
        <v>02029238</v>
      </c>
      <c r="E1744" s="6" t="str">
        <f>INDEX(工厂基础数据!$B$2:$B$1024,MATCH(X1744,工厂基础数据!$D$2:$D$1024,0))</f>
        <v>山东康为医药有限公司</v>
      </c>
      <c r="F1744" s="6" t="e">
        <f>INDEX(商业2转码!$B$2:$B$10000,MATCH(E1744,商业2转码!$A$2:$A$10000,0))</f>
        <v>#N/A</v>
      </c>
      <c r="G1744" s="6">
        <f>INDEX(品种2编码!$A$2:$A$1048576,MATCH(W1744,品种2编码!$D$2:$D$1048576,0))</f>
        <v>0</v>
      </c>
      <c r="H1744" s="6" t="s">
        <v>1936</v>
      </c>
      <c r="I1744" s="6" t="s">
        <v>3456</v>
      </c>
      <c r="J1744" s="6" t="s">
        <v>3038</v>
      </c>
      <c r="L1744" s="6" t="s">
        <v>3396</v>
      </c>
      <c r="M1744" s="6" t="e">
        <f>INDEX(医院2县区2人!$B$2:$B$1048576,MATCH(L1744,医院2县区2人!$A$2:$A$1048576,0))</f>
        <v>#N/A</v>
      </c>
      <c r="N1744" s="6" t="e">
        <f>INDEX(医院2县区2人!$C$2:$C$1048576,MATCH(L1744,医院2县区2人!$A$2:$A$1048576,0))</f>
        <v>#N/A</v>
      </c>
      <c r="P1744" s="7">
        <v>43267</v>
      </c>
      <c r="Q1744" s="6">
        <v>1</v>
      </c>
      <c r="S1744" s="6" t="s">
        <v>3275</v>
      </c>
      <c r="T1744" s="6" t="e">
        <f>INDEX(医院2县区2人!$D$2:$D$1048576,MATCH(L1744,医院2县区2人!$A$2:$A$1048576,0))</f>
        <v>#N/A</v>
      </c>
      <c r="W1744" s="6" t="str">
        <f t="shared" si="57"/>
        <v>阿莫西林克拉维酸钾分散片228.5mg*12片</v>
      </c>
      <c r="X1744" s="6" t="s">
        <v>2907</v>
      </c>
    </row>
    <row r="1745" spans="1:24" x14ac:dyDescent="0.15">
      <c r="A1745" s="7" t="str">
        <f t="shared" si="58"/>
        <v>201806</v>
      </c>
      <c r="C1745" s="6" t="str">
        <f>INDEX(工厂基础数据!$A$2:$A$1024,MATCH(X1745,工厂基础数据!$D$2:$D$1024,0))</f>
        <v>02029238</v>
      </c>
      <c r="E1745" s="6" t="str">
        <f>INDEX(工厂基础数据!$B$2:$B$1024,MATCH(X1745,工厂基础数据!$D$2:$D$1024,0))</f>
        <v>山东康为医药有限公司</v>
      </c>
      <c r="F1745" s="6" t="e">
        <f>INDEX(商业2转码!$B$2:$B$10000,MATCH(E1745,商业2转码!$A$2:$A$10000,0))</f>
        <v>#N/A</v>
      </c>
      <c r="G1745" s="6" t="str">
        <f>INDEX(品种2编码!$A$2:$A$1048576,MATCH(W1745,品种2编码!$D$2:$D$1048576,0))</f>
        <v>0020020021ZYLC0004</v>
      </c>
      <c r="H1745" s="6" t="s">
        <v>1868</v>
      </c>
      <c r="I1745" s="6" t="s">
        <v>1869</v>
      </c>
      <c r="J1745" s="6" t="s">
        <v>3036</v>
      </c>
      <c r="L1745" s="6" t="s">
        <v>3408</v>
      </c>
      <c r="M1745" s="6" t="e">
        <f>INDEX(医院2县区2人!$B$2:$B$1048576,MATCH(L1745,医院2县区2人!$A$2:$A$1048576,0))</f>
        <v>#N/A</v>
      </c>
      <c r="N1745" s="6" t="e">
        <f>INDEX(医院2县区2人!$C$2:$C$1048576,MATCH(L1745,医院2县区2人!$A$2:$A$1048576,0))</f>
        <v>#N/A</v>
      </c>
      <c r="P1745" s="7">
        <v>43267</v>
      </c>
      <c r="Q1745" s="6">
        <v>20</v>
      </c>
      <c r="S1745" s="6">
        <v>171101</v>
      </c>
      <c r="T1745" s="6" t="e">
        <f>INDEX(医院2县区2人!$D$2:$D$1048576,MATCH(L1745,医院2县区2人!$A$2:$A$1048576,0))</f>
        <v>#N/A</v>
      </c>
      <c r="W1745" s="6" t="str">
        <f t="shared" si="57"/>
        <v>罗红霉素分散片/大严迪75mg*12片</v>
      </c>
      <c r="X1745" s="6" t="s">
        <v>2907</v>
      </c>
    </row>
    <row r="1746" spans="1:24" x14ac:dyDescent="0.15">
      <c r="A1746" s="7" t="str">
        <f t="shared" si="58"/>
        <v>201806</v>
      </c>
      <c r="C1746" s="6" t="str">
        <f>INDEX(工厂基础数据!$A$2:$A$1024,MATCH(X1746,工厂基础数据!$D$2:$D$1024,0))</f>
        <v>02029238</v>
      </c>
      <c r="E1746" s="6" t="str">
        <f>INDEX(工厂基础数据!$B$2:$B$1024,MATCH(X1746,工厂基础数据!$D$2:$D$1024,0))</f>
        <v>山东康为医药有限公司</v>
      </c>
      <c r="F1746" s="6" t="e">
        <f>INDEX(商业2转码!$B$2:$B$10000,MATCH(E1746,商业2转码!$A$2:$A$10000,0))</f>
        <v>#N/A</v>
      </c>
      <c r="G1746" s="6" t="str">
        <f>INDEX(品种2编码!$A$2:$A$1048576,MATCH(W1746,品种2编码!$D$2:$D$1048576,0))</f>
        <v>0020040070ZYEC0005</v>
      </c>
      <c r="H1746" s="6" t="s">
        <v>708</v>
      </c>
      <c r="I1746" s="6" t="s">
        <v>1851</v>
      </c>
      <c r="J1746" s="6" t="s">
        <v>3041</v>
      </c>
      <c r="L1746" s="6" t="s">
        <v>3408</v>
      </c>
      <c r="M1746" s="6" t="e">
        <f>INDEX(医院2县区2人!$B$2:$B$1048576,MATCH(L1746,医院2县区2人!$A$2:$A$1048576,0))</f>
        <v>#N/A</v>
      </c>
      <c r="N1746" s="6" t="e">
        <f>INDEX(医院2县区2人!$C$2:$C$1048576,MATCH(L1746,医院2县区2人!$A$2:$A$1048576,0))</f>
        <v>#N/A</v>
      </c>
      <c r="P1746" s="7">
        <v>43267</v>
      </c>
      <c r="Q1746" s="6">
        <v>10</v>
      </c>
      <c r="S1746" s="6">
        <v>180301</v>
      </c>
      <c r="T1746" s="6" t="e">
        <f>INDEX(医院2县区2人!$D$2:$D$1048576,MATCH(L1746,医院2县区2人!$A$2:$A$1048576,0))</f>
        <v>#N/A</v>
      </c>
      <c r="W1746" s="6" t="str">
        <f t="shared" si="57"/>
        <v>小儿百部止咳糖浆100ml</v>
      </c>
      <c r="X1746" s="6" t="s">
        <v>2907</v>
      </c>
    </row>
    <row r="1747" spans="1:24" x14ac:dyDescent="0.15">
      <c r="A1747" s="7" t="str">
        <f t="shared" si="58"/>
        <v>201806</v>
      </c>
      <c r="C1747" s="6" t="str">
        <f>INDEX(工厂基础数据!$A$2:$A$1024,MATCH(X1747,工厂基础数据!$D$2:$D$1024,0))</f>
        <v>02029238</v>
      </c>
      <c r="E1747" s="6" t="str">
        <f>INDEX(工厂基础数据!$B$2:$B$1024,MATCH(X1747,工厂基础数据!$D$2:$D$1024,0))</f>
        <v>山东康为医药有限公司</v>
      </c>
      <c r="F1747" s="6" t="e">
        <f>INDEX(商业2转码!$B$2:$B$10000,MATCH(E1747,商业2转码!$A$2:$A$10000,0))</f>
        <v>#N/A</v>
      </c>
      <c r="G1747" s="6" t="str">
        <f>INDEX(品种2编码!$A$2:$A$1048576,MATCH(W1747,品种2编码!$D$2:$D$1048576,0))</f>
        <v>0020040003SHYT0002</v>
      </c>
      <c r="H1747" s="6" t="s">
        <v>452</v>
      </c>
      <c r="I1747" s="6" t="s">
        <v>1945</v>
      </c>
      <c r="J1747" s="6" t="s">
        <v>3037</v>
      </c>
      <c r="L1747" s="6" t="s">
        <v>3408</v>
      </c>
      <c r="M1747" s="6" t="e">
        <f>INDEX(医院2县区2人!$B$2:$B$1048576,MATCH(L1747,医院2县区2人!$A$2:$A$1048576,0))</f>
        <v>#N/A</v>
      </c>
      <c r="N1747" s="6" t="e">
        <f>INDEX(医院2县区2人!$C$2:$C$1048576,MATCH(L1747,医院2县区2人!$A$2:$A$1048576,0))</f>
        <v>#N/A</v>
      </c>
      <c r="P1747" s="7">
        <v>43267</v>
      </c>
      <c r="Q1747" s="6">
        <v>10</v>
      </c>
      <c r="S1747" s="6">
        <v>1712708</v>
      </c>
      <c r="T1747" s="6" t="e">
        <f>INDEX(医院2县区2人!$D$2:$D$1048576,MATCH(L1747,医院2县区2人!$A$2:$A$1048576,0))</f>
        <v>#N/A</v>
      </c>
      <c r="W1747" s="6" t="str">
        <f t="shared" si="57"/>
        <v>金匮肾气丸72g</v>
      </c>
      <c r="X1747" s="6" t="s">
        <v>2907</v>
      </c>
    </row>
    <row r="1748" spans="1:24" x14ac:dyDescent="0.15">
      <c r="A1748" s="7" t="str">
        <f t="shared" si="58"/>
        <v>201806</v>
      </c>
      <c r="C1748" s="6" t="str">
        <f>INDEX(工厂基础数据!$A$2:$A$1024,MATCH(X1748,工厂基础数据!$D$2:$D$1024,0))</f>
        <v>02029238</v>
      </c>
      <c r="E1748" s="6" t="str">
        <f>INDEX(工厂基础数据!$B$2:$B$1024,MATCH(X1748,工厂基础数据!$D$2:$D$1024,0))</f>
        <v>山东康为医药有限公司</v>
      </c>
      <c r="F1748" s="6" t="e">
        <f>INDEX(商业2转码!$B$2:$B$10000,MATCH(E1748,商业2转码!$A$2:$A$10000,0))</f>
        <v>#N/A</v>
      </c>
      <c r="G1748" s="6" t="str">
        <f>INDEX(品种2编码!$A$2:$A$1048576,MATCH(W1748,品种2编码!$D$2:$D$1048576,0))</f>
        <v>0020050090ZYEC0005</v>
      </c>
      <c r="H1748" s="6" t="s">
        <v>581</v>
      </c>
      <c r="I1748" s="6" t="s">
        <v>1850</v>
      </c>
      <c r="J1748" s="6" t="s">
        <v>3041</v>
      </c>
      <c r="L1748" s="6" t="s">
        <v>3408</v>
      </c>
      <c r="M1748" s="6" t="e">
        <f>INDEX(医院2县区2人!$B$2:$B$1048576,MATCH(L1748,医院2县区2人!$A$2:$A$1048576,0))</f>
        <v>#N/A</v>
      </c>
      <c r="N1748" s="6" t="e">
        <f>INDEX(医院2县区2人!$C$2:$C$1048576,MATCH(L1748,医院2县区2人!$A$2:$A$1048576,0))</f>
        <v>#N/A</v>
      </c>
      <c r="P1748" s="7">
        <v>43267</v>
      </c>
      <c r="Q1748" s="6">
        <v>5</v>
      </c>
      <c r="S1748" s="6">
        <v>160502</v>
      </c>
      <c r="T1748" s="6" t="e">
        <f>INDEX(医院2县区2人!$D$2:$D$1048576,MATCH(L1748,医院2县区2人!$A$2:$A$1048576,0))</f>
        <v>#N/A</v>
      </c>
      <c r="W1748" s="6" t="str">
        <f t="shared" si="57"/>
        <v>清热解毒口服液10ml*10支</v>
      </c>
      <c r="X1748" s="6" t="s">
        <v>2907</v>
      </c>
    </row>
    <row r="1749" spans="1:24" x14ac:dyDescent="0.15">
      <c r="A1749" s="7" t="str">
        <f t="shared" si="58"/>
        <v>201806</v>
      </c>
      <c r="C1749" s="6" t="str">
        <f>INDEX(工厂基础数据!$A$2:$A$1024,MATCH(X1749,工厂基础数据!$D$2:$D$1024,0))</f>
        <v>02029238</v>
      </c>
      <c r="E1749" s="6" t="str">
        <f>INDEX(工厂基础数据!$B$2:$B$1024,MATCH(X1749,工厂基础数据!$D$2:$D$1024,0))</f>
        <v>山东康为医药有限公司</v>
      </c>
      <c r="F1749" s="6" t="e">
        <f>INDEX(商业2转码!$B$2:$B$10000,MATCH(E1749,商业2转码!$A$2:$A$10000,0))</f>
        <v>#N/A</v>
      </c>
      <c r="G1749" s="6" t="str">
        <f>INDEX(品种2编码!$A$2:$A$1048576,MATCH(W1749,品种2编码!$D$2:$D$1048576,0))</f>
        <v>0020030170ZYEC0003</v>
      </c>
      <c r="H1749" s="6" t="s">
        <v>1835</v>
      </c>
      <c r="I1749" s="6" t="s">
        <v>1836</v>
      </c>
      <c r="J1749" s="6" t="s">
        <v>3041</v>
      </c>
      <c r="L1749" s="6" t="s">
        <v>3351</v>
      </c>
      <c r="M1749" s="6" t="e">
        <f>INDEX(医院2县区2人!$B$2:$B$1048576,MATCH(L1749,医院2县区2人!$A$2:$A$1048576,0))</f>
        <v>#N/A</v>
      </c>
      <c r="N1749" s="6" t="e">
        <f>INDEX(医院2县区2人!$C$2:$C$1048576,MATCH(L1749,医院2县区2人!$A$2:$A$1048576,0))</f>
        <v>#N/A</v>
      </c>
      <c r="P1749" s="7">
        <v>43269</v>
      </c>
      <c r="Q1749" s="6">
        <v>10</v>
      </c>
      <c r="S1749" s="6">
        <v>170511</v>
      </c>
      <c r="T1749" s="6" t="e">
        <f>INDEX(医院2县区2人!$D$2:$D$1048576,MATCH(L1749,医院2县区2人!$A$2:$A$1048576,0))</f>
        <v>#N/A</v>
      </c>
      <c r="W1749" s="6" t="str">
        <f t="shared" si="57"/>
        <v>蒙脱石散3g*12袋</v>
      </c>
      <c r="X1749" s="6" t="s">
        <v>2907</v>
      </c>
    </row>
    <row r="1750" spans="1:24" x14ac:dyDescent="0.15">
      <c r="A1750" s="7" t="str">
        <f t="shared" si="58"/>
        <v>201806</v>
      </c>
      <c r="C1750" s="6" t="str">
        <f>INDEX(工厂基础数据!$A$2:$A$1024,MATCH(X1750,工厂基础数据!$D$2:$D$1024,0))</f>
        <v>02029238</v>
      </c>
      <c r="E1750" s="6" t="str">
        <f>INDEX(工厂基础数据!$B$2:$B$1024,MATCH(X1750,工厂基础数据!$D$2:$D$1024,0))</f>
        <v>山东康为医药有限公司</v>
      </c>
      <c r="F1750" s="6" t="e">
        <f>INDEX(商业2转码!$B$2:$B$10000,MATCH(E1750,商业2转码!$A$2:$A$10000,0))</f>
        <v>#N/A</v>
      </c>
      <c r="G1750" s="6">
        <f>INDEX(品种2编码!$A$2:$A$1048576,MATCH(W1750,品种2编码!$D$2:$D$1048576,0))</f>
        <v>0</v>
      </c>
      <c r="H1750" s="6" t="s">
        <v>3450</v>
      </c>
      <c r="I1750" s="6" t="s">
        <v>1871</v>
      </c>
      <c r="J1750" s="6" t="s">
        <v>3045</v>
      </c>
      <c r="L1750" s="6" t="s">
        <v>3392</v>
      </c>
      <c r="M1750" s="6" t="e">
        <f>INDEX(医院2县区2人!$B$2:$B$1048576,MATCH(L1750,医院2县区2人!$A$2:$A$1048576,0))</f>
        <v>#N/A</v>
      </c>
      <c r="N1750" s="6" t="e">
        <f>INDEX(医院2县区2人!$C$2:$C$1048576,MATCH(L1750,医院2县区2人!$A$2:$A$1048576,0))</f>
        <v>#N/A</v>
      </c>
      <c r="P1750" s="7">
        <v>43269</v>
      </c>
      <c r="Q1750" s="6">
        <v>10</v>
      </c>
      <c r="S1750" s="6">
        <v>1709003</v>
      </c>
      <c r="T1750" s="6" t="e">
        <f>INDEX(医院2县区2人!$D$2:$D$1048576,MATCH(L1750,医院2县区2人!$A$2:$A$1048576,0))</f>
        <v>#N/A</v>
      </c>
      <c r="W1750" s="6" t="str">
        <f t="shared" si="57"/>
        <v>复方铝酸铋片/胃必治50片</v>
      </c>
      <c r="X1750" s="6" t="s">
        <v>2907</v>
      </c>
    </row>
    <row r="1751" spans="1:24" x14ac:dyDescent="0.15">
      <c r="A1751" s="7" t="str">
        <f t="shared" si="58"/>
        <v>201806</v>
      </c>
      <c r="C1751" s="6" t="str">
        <f>INDEX(工厂基础数据!$A$2:$A$1024,MATCH(X1751,工厂基础数据!$D$2:$D$1024,0))</f>
        <v>02029238</v>
      </c>
      <c r="E1751" s="6" t="str">
        <f>INDEX(工厂基础数据!$B$2:$B$1024,MATCH(X1751,工厂基础数据!$D$2:$D$1024,0))</f>
        <v>山东康为医药有限公司</v>
      </c>
      <c r="F1751" s="6" t="e">
        <f>INDEX(商业2转码!$B$2:$B$10000,MATCH(E1751,商业2转码!$A$2:$A$10000,0))</f>
        <v>#N/A</v>
      </c>
      <c r="G1751" s="6" t="str">
        <f>INDEX(品种2编码!$A$2:$A$1048576,MATCH(W1751,品种2编码!$D$2:$D$1048576,0))</f>
        <v>0020020020SJMS0008</v>
      </c>
      <c r="H1751" s="6" t="s">
        <v>1904</v>
      </c>
      <c r="I1751" s="6" t="s">
        <v>1873</v>
      </c>
      <c r="J1751" s="6" t="s">
        <v>3046</v>
      </c>
      <c r="L1751" s="6" t="s">
        <v>3354</v>
      </c>
      <c r="M1751" s="6" t="e">
        <f>INDEX(医院2县区2人!$B$2:$B$1048576,MATCH(L1751,医院2县区2人!$A$2:$A$1048576,0))</f>
        <v>#N/A</v>
      </c>
      <c r="N1751" s="6" t="e">
        <f>INDEX(医院2县区2人!$C$2:$C$1048576,MATCH(L1751,医院2县区2人!$A$2:$A$1048576,0))</f>
        <v>#N/A</v>
      </c>
      <c r="P1751" s="7">
        <v>43269</v>
      </c>
      <c r="Q1751" s="6">
        <v>5</v>
      </c>
      <c r="S1751" s="6">
        <v>1801004</v>
      </c>
      <c r="T1751" s="6" t="e">
        <f>INDEX(医院2县区2人!$D$2:$D$1048576,MATCH(L1751,医院2县区2人!$A$2:$A$1048576,0))</f>
        <v>#N/A</v>
      </c>
      <c r="W1751" s="6" t="str">
        <f t="shared" si="57"/>
        <v>拉西地平片/三精司乐平片4mg*15片</v>
      </c>
      <c r="X1751" s="6" t="s">
        <v>2907</v>
      </c>
    </row>
    <row r="1752" spans="1:24" x14ac:dyDescent="0.15">
      <c r="A1752" s="7" t="str">
        <f t="shared" si="58"/>
        <v>201806</v>
      </c>
      <c r="C1752" s="6" t="str">
        <f>INDEX(工厂基础数据!$A$2:$A$1024,MATCH(X1752,工厂基础数据!$D$2:$D$1024,0))</f>
        <v>02029238</v>
      </c>
      <c r="E1752" s="6" t="str">
        <f>INDEX(工厂基础数据!$B$2:$B$1024,MATCH(X1752,工厂基础数据!$D$2:$D$1024,0))</f>
        <v>山东康为医药有限公司</v>
      </c>
      <c r="F1752" s="6" t="e">
        <f>INDEX(商业2转码!$B$2:$B$10000,MATCH(E1752,商业2转码!$A$2:$A$10000,0))</f>
        <v>#N/A</v>
      </c>
      <c r="G1752" s="6">
        <f>INDEX(品种2编码!$A$2:$A$1048576,MATCH(W1752,品种2编码!$D$2:$D$1048576,0))</f>
        <v>0</v>
      </c>
      <c r="H1752" s="6" t="s">
        <v>3448</v>
      </c>
      <c r="I1752" s="6" t="s">
        <v>411</v>
      </c>
      <c r="J1752" s="6" t="s">
        <v>3040</v>
      </c>
      <c r="L1752" s="6" t="s">
        <v>3409</v>
      </c>
      <c r="M1752" s="6" t="e">
        <f>INDEX(医院2县区2人!$B$2:$B$1048576,MATCH(L1752,医院2县区2人!$A$2:$A$1048576,0))</f>
        <v>#N/A</v>
      </c>
      <c r="N1752" s="6" t="e">
        <f>INDEX(医院2县区2人!$C$2:$C$1048576,MATCH(L1752,医院2县区2人!$A$2:$A$1048576,0))</f>
        <v>#N/A</v>
      </c>
      <c r="P1752" s="7">
        <v>43269</v>
      </c>
      <c r="Q1752" s="6">
        <v>10</v>
      </c>
      <c r="S1752" s="6">
        <v>17122922</v>
      </c>
      <c r="T1752" s="6" t="e">
        <f>INDEX(医院2县区2人!$D$2:$D$1048576,MATCH(L1752,医院2县区2人!$A$2:$A$1048576,0))</f>
        <v>#N/A</v>
      </c>
      <c r="W1752" s="6" t="str">
        <f t="shared" si="57"/>
        <v>葡萄糖酸钙口服溶液（含糖型）10ml*12支</v>
      </c>
      <c r="X1752" s="6" t="s">
        <v>2907</v>
      </c>
    </row>
    <row r="1753" spans="1:24" x14ac:dyDescent="0.15">
      <c r="A1753" s="7" t="str">
        <f t="shared" si="58"/>
        <v>201806</v>
      </c>
      <c r="C1753" s="6" t="str">
        <f>INDEX(工厂基础数据!$A$2:$A$1024,MATCH(X1753,工厂基础数据!$D$2:$D$1024,0))</f>
        <v>02029238</v>
      </c>
      <c r="E1753" s="6" t="str">
        <f>INDEX(工厂基础数据!$B$2:$B$1024,MATCH(X1753,工厂基础数据!$D$2:$D$1024,0))</f>
        <v>山东康为医药有限公司</v>
      </c>
      <c r="F1753" s="6" t="e">
        <f>INDEX(商业2转码!$B$2:$B$10000,MATCH(E1753,商业2转码!$A$2:$A$10000,0))</f>
        <v>#N/A</v>
      </c>
      <c r="G1753" s="6" t="str">
        <f>INDEX(品种2编码!$A$2:$A$1048576,MATCH(W1753,品种2编码!$D$2:$D$1048576,0))</f>
        <v>0020030020ZYLC0013</v>
      </c>
      <c r="H1753" s="6" t="s">
        <v>591</v>
      </c>
      <c r="I1753" s="6" t="s">
        <v>1839</v>
      </c>
      <c r="J1753" s="6" t="s">
        <v>3036</v>
      </c>
      <c r="L1753" s="6" t="s">
        <v>3409</v>
      </c>
      <c r="M1753" s="6" t="e">
        <f>INDEX(医院2县区2人!$B$2:$B$1048576,MATCH(L1753,医院2县区2人!$A$2:$A$1048576,0))</f>
        <v>#N/A</v>
      </c>
      <c r="N1753" s="6" t="e">
        <f>INDEX(医院2县区2人!$C$2:$C$1048576,MATCH(L1753,医院2县区2人!$A$2:$A$1048576,0))</f>
        <v>#N/A</v>
      </c>
      <c r="P1753" s="7">
        <v>43269</v>
      </c>
      <c r="Q1753" s="6">
        <v>10</v>
      </c>
      <c r="S1753" s="6">
        <v>180105</v>
      </c>
      <c r="T1753" s="6" t="e">
        <f>INDEX(医院2县区2人!$D$2:$D$1048576,MATCH(L1753,医院2县区2人!$A$2:$A$1048576,0))</f>
        <v>#N/A</v>
      </c>
      <c r="W1753" s="6" t="str">
        <f t="shared" si="57"/>
        <v>乳酸菌素片0.4g*36片</v>
      </c>
      <c r="X1753" s="6" t="s">
        <v>2907</v>
      </c>
    </row>
    <row r="1754" spans="1:24" x14ac:dyDescent="0.15">
      <c r="A1754" s="7" t="str">
        <f t="shared" si="58"/>
        <v>201806</v>
      </c>
      <c r="C1754" s="6" t="str">
        <f>INDEX(工厂基础数据!$A$2:$A$1024,MATCH(X1754,工厂基础数据!$D$2:$D$1024,0))</f>
        <v>02029238</v>
      </c>
      <c r="E1754" s="6" t="str">
        <f>INDEX(工厂基础数据!$B$2:$B$1024,MATCH(X1754,工厂基础数据!$D$2:$D$1024,0))</f>
        <v>山东康为医药有限公司</v>
      </c>
      <c r="F1754" s="6" t="e">
        <f>INDEX(商业2转码!$B$2:$B$10000,MATCH(E1754,商业2转码!$A$2:$A$10000,0))</f>
        <v>#N/A</v>
      </c>
      <c r="G1754" s="6" t="str">
        <f>INDEX(品种2编码!$A$2:$A$1048576,MATCH(W1754,品种2编码!$D$2:$D$1048576,0))</f>
        <v>0020020021ZYLC0005</v>
      </c>
      <c r="H1754" s="6" t="s">
        <v>1840</v>
      </c>
      <c r="I1754" s="6" t="s">
        <v>1841</v>
      </c>
      <c r="J1754" s="6" t="s">
        <v>3036</v>
      </c>
      <c r="L1754" s="6" t="s">
        <v>3410</v>
      </c>
      <c r="M1754" s="6" t="e">
        <f>INDEX(医院2县区2人!$B$2:$B$1048576,MATCH(L1754,医院2县区2人!$A$2:$A$1048576,0))</f>
        <v>#N/A</v>
      </c>
      <c r="N1754" s="6" t="e">
        <f>INDEX(医院2县区2人!$C$2:$C$1048576,MATCH(L1754,医院2县区2人!$A$2:$A$1048576,0))</f>
        <v>#N/A</v>
      </c>
      <c r="P1754" s="7">
        <v>43269</v>
      </c>
      <c r="Q1754" s="6">
        <v>6</v>
      </c>
      <c r="S1754" s="6">
        <v>161102</v>
      </c>
      <c r="T1754" s="6" t="e">
        <f>INDEX(医院2县区2人!$D$2:$D$1048576,MATCH(L1754,医院2县区2人!$A$2:$A$1048576,0))</f>
        <v>#N/A</v>
      </c>
      <c r="W1754" s="6" t="str">
        <f t="shared" si="57"/>
        <v>罗红霉素分散片/小严迪50mg*12片</v>
      </c>
      <c r="X1754" s="6" t="s">
        <v>2907</v>
      </c>
    </row>
    <row r="1755" spans="1:24" x14ac:dyDescent="0.15">
      <c r="A1755" s="7" t="str">
        <f t="shared" si="58"/>
        <v>201806</v>
      </c>
      <c r="C1755" s="6" t="str">
        <f>INDEX(工厂基础数据!$A$2:$A$1024,MATCH(X1755,工厂基础数据!$D$2:$D$1024,0))</f>
        <v>02029238</v>
      </c>
      <c r="E1755" s="6" t="str">
        <f>INDEX(工厂基础数据!$B$2:$B$1024,MATCH(X1755,工厂基础数据!$D$2:$D$1024,0))</f>
        <v>山东康为医药有限公司</v>
      </c>
      <c r="F1755" s="6" t="e">
        <f>INDEX(商业2转码!$B$2:$B$10000,MATCH(E1755,商业2转码!$A$2:$A$10000,0))</f>
        <v>#N/A</v>
      </c>
      <c r="G1755" s="6" t="str">
        <f>INDEX(品种2编码!$A$2:$A$1048576,MATCH(W1755,品种2编码!$D$2:$D$1048576,0))</f>
        <v>0020020021ZYLC0004</v>
      </c>
      <c r="H1755" s="6" t="s">
        <v>1868</v>
      </c>
      <c r="I1755" s="6" t="s">
        <v>1869</v>
      </c>
      <c r="J1755" s="6" t="s">
        <v>3036</v>
      </c>
      <c r="L1755" s="6" t="s">
        <v>3410</v>
      </c>
      <c r="M1755" s="6" t="e">
        <f>INDEX(医院2县区2人!$B$2:$B$1048576,MATCH(L1755,医院2县区2人!$A$2:$A$1048576,0))</f>
        <v>#N/A</v>
      </c>
      <c r="N1755" s="6" t="e">
        <f>INDEX(医院2县区2人!$C$2:$C$1048576,MATCH(L1755,医院2县区2人!$A$2:$A$1048576,0))</f>
        <v>#N/A</v>
      </c>
      <c r="P1755" s="7">
        <v>43269</v>
      </c>
      <c r="Q1755" s="6">
        <v>6</v>
      </c>
      <c r="S1755" s="6">
        <v>171101</v>
      </c>
      <c r="T1755" s="6" t="e">
        <f>INDEX(医院2县区2人!$D$2:$D$1048576,MATCH(L1755,医院2县区2人!$A$2:$A$1048576,0))</f>
        <v>#N/A</v>
      </c>
      <c r="W1755" s="6" t="str">
        <f t="shared" si="57"/>
        <v>罗红霉素分散片/大严迪75mg*12片</v>
      </c>
      <c r="X1755" s="6" t="s">
        <v>2907</v>
      </c>
    </row>
    <row r="1756" spans="1:24" x14ac:dyDescent="0.15">
      <c r="A1756" s="7" t="str">
        <f t="shared" si="58"/>
        <v>201806</v>
      </c>
      <c r="C1756" s="6" t="str">
        <f>INDEX(工厂基础数据!$A$2:$A$1024,MATCH(X1756,工厂基础数据!$D$2:$D$1024,0))</f>
        <v>02029238</v>
      </c>
      <c r="E1756" s="6" t="str">
        <f>INDEX(工厂基础数据!$B$2:$B$1024,MATCH(X1756,工厂基础数据!$D$2:$D$1024,0))</f>
        <v>山东康为医药有限公司</v>
      </c>
      <c r="F1756" s="6" t="e">
        <f>INDEX(商业2转码!$B$2:$B$10000,MATCH(E1756,商业2转码!$A$2:$A$10000,0))</f>
        <v>#N/A</v>
      </c>
      <c r="G1756" s="6" t="str">
        <f>INDEX(品种2编码!$A$2:$A$1048576,MATCH(W1756,品种2编码!$D$2:$D$1048576,0))</f>
        <v>0020020020SJMS0008</v>
      </c>
      <c r="H1756" s="6" t="s">
        <v>1904</v>
      </c>
      <c r="I1756" s="6" t="s">
        <v>1873</v>
      </c>
      <c r="J1756" s="6" t="s">
        <v>3046</v>
      </c>
      <c r="L1756" s="6" t="s">
        <v>3410</v>
      </c>
      <c r="M1756" s="6" t="e">
        <f>INDEX(医院2县区2人!$B$2:$B$1048576,MATCH(L1756,医院2县区2人!$A$2:$A$1048576,0))</f>
        <v>#N/A</v>
      </c>
      <c r="N1756" s="6" t="e">
        <f>INDEX(医院2县区2人!$C$2:$C$1048576,MATCH(L1756,医院2县区2人!$A$2:$A$1048576,0))</f>
        <v>#N/A</v>
      </c>
      <c r="P1756" s="7">
        <v>43269</v>
      </c>
      <c r="Q1756" s="6">
        <v>10</v>
      </c>
      <c r="S1756" s="6">
        <v>1801004</v>
      </c>
      <c r="T1756" s="6" t="e">
        <f>INDEX(医院2县区2人!$D$2:$D$1048576,MATCH(L1756,医院2县区2人!$A$2:$A$1048576,0))</f>
        <v>#N/A</v>
      </c>
      <c r="W1756" s="6" t="str">
        <f t="shared" si="57"/>
        <v>拉西地平片/三精司乐平片4mg*15片</v>
      </c>
      <c r="X1756" s="6" t="s">
        <v>2907</v>
      </c>
    </row>
    <row r="1757" spans="1:24" x14ac:dyDescent="0.15">
      <c r="A1757" s="7" t="str">
        <f t="shared" si="58"/>
        <v>201806</v>
      </c>
      <c r="C1757" s="6" t="str">
        <f>INDEX(工厂基础数据!$A$2:$A$1024,MATCH(X1757,工厂基础数据!$D$2:$D$1024,0))</f>
        <v>02029238</v>
      </c>
      <c r="E1757" s="6" t="str">
        <f>INDEX(工厂基础数据!$B$2:$B$1024,MATCH(X1757,工厂基础数据!$D$2:$D$1024,0))</f>
        <v>山东康为医药有限公司</v>
      </c>
      <c r="F1757" s="6" t="e">
        <f>INDEX(商业2转码!$B$2:$B$10000,MATCH(E1757,商业2转码!$A$2:$A$10000,0))</f>
        <v>#N/A</v>
      </c>
      <c r="G1757" s="6" t="str">
        <f>INDEX(品种2编码!$A$2:$A$1048576,MATCH(W1757,品种2编码!$D$2:$D$1048576,0))</f>
        <v>0020020021ZYLC0005</v>
      </c>
      <c r="H1757" s="6" t="s">
        <v>1840</v>
      </c>
      <c r="I1757" s="6" t="s">
        <v>1841</v>
      </c>
      <c r="J1757" s="6" t="s">
        <v>3036</v>
      </c>
      <c r="L1757" s="6" t="s">
        <v>3411</v>
      </c>
      <c r="M1757" s="6" t="e">
        <f>INDEX(医院2县区2人!$B$2:$B$1048576,MATCH(L1757,医院2县区2人!$A$2:$A$1048576,0))</f>
        <v>#N/A</v>
      </c>
      <c r="N1757" s="6" t="e">
        <f>INDEX(医院2县区2人!$C$2:$C$1048576,MATCH(L1757,医院2县区2人!$A$2:$A$1048576,0))</f>
        <v>#N/A</v>
      </c>
      <c r="P1757" s="7">
        <v>43269</v>
      </c>
      <c r="Q1757" s="6">
        <v>7</v>
      </c>
      <c r="S1757" s="6">
        <v>161102</v>
      </c>
      <c r="T1757" s="6" t="e">
        <f>INDEX(医院2县区2人!$D$2:$D$1048576,MATCH(L1757,医院2县区2人!$A$2:$A$1048576,0))</f>
        <v>#N/A</v>
      </c>
      <c r="W1757" s="6" t="str">
        <f t="shared" si="57"/>
        <v>罗红霉素分散片/小严迪50mg*12片</v>
      </c>
      <c r="X1757" s="6" t="s">
        <v>2907</v>
      </c>
    </row>
    <row r="1758" spans="1:24" x14ac:dyDescent="0.15">
      <c r="A1758" s="7" t="str">
        <f t="shared" si="58"/>
        <v>201806</v>
      </c>
      <c r="C1758" s="6" t="str">
        <f>INDEX(工厂基础数据!$A$2:$A$1024,MATCH(X1758,工厂基础数据!$D$2:$D$1024,0))</f>
        <v>02029238</v>
      </c>
      <c r="E1758" s="6" t="str">
        <f>INDEX(工厂基础数据!$B$2:$B$1024,MATCH(X1758,工厂基础数据!$D$2:$D$1024,0))</f>
        <v>山东康为医药有限公司</v>
      </c>
      <c r="F1758" s="6" t="e">
        <f>INDEX(商业2转码!$B$2:$B$10000,MATCH(E1758,商业2转码!$A$2:$A$10000,0))</f>
        <v>#N/A</v>
      </c>
      <c r="G1758" s="6" t="str">
        <f>INDEX(品种2编码!$A$2:$A$1048576,MATCH(W1758,品种2编码!$D$2:$D$1048576,0))</f>
        <v>0020020021ZYLC0005</v>
      </c>
      <c r="H1758" s="6" t="s">
        <v>1840</v>
      </c>
      <c r="I1758" s="6" t="s">
        <v>1841</v>
      </c>
      <c r="J1758" s="6" t="s">
        <v>3036</v>
      </c>
      <c r="L1758" s="6" t="s">
        <v>3411</v>
      </c>
      <c r="M1758" s="6" t="e">
        <f>INDEX(医院2县区2人!$B$2:$B$1048576,MATCH(L1758,医院2县区2人!$A$2:$A$1048576,0))</f>
        <v>#N/A</v>
      </c>
      <c r="N1758" s="6" t="e">
        <f>INDEX(医院2县区2人!$C$2:$C$1048576,MATCH(L1758,医院2县区2人!$A$2:$A$1048576,0))</f>
        <v>#N/A</v>
      </c>
      <c r="P1758" s="7">
        <v>43269</v>
      </c>
      <c r="Q1758" s="6">
        <v>3</v>
      </c>
      <c r="S1758" s="6">
        <v>161102</v>
      </c>
      <c r="T1758" s="6" t="e">
        <f>INDEX(医院2县区2人!$D$2:$D$1048576,MATCH(L1758,医院2县区2人!$A$2:$A$1048576,0))</f>
        <v>#N/A</v>
      </c>
      <c r="W1758" s="6" t="str">
        <f t="shared" si="57"/>
        <v>罗红霉素分散片/小严迪50mg*12片</v>
      </c>
      <c r="X1758" s="6" t="s">
        <v>2907</v>
      </c>
    </row>
    <row r="1759" spans="1:24" x14ac:dyDescent="0.15">
      <c r="A1759" s="7" t="str">
        <f t="shared" si="58"/>
        <v>201806</v>
      </c>
      <c r="C1759" s="6" t="str">
        <f>INDEX(工厂基础数据!$A$2:$A$1024,MATCH(X1759,工厂基础数据!$D$2:$D$1024,0))</f>
        <v>02029238</v>
      </c>
      <c r="E1759" s="6" t="str">
        <f>INDEX(工厂基础数据!$B$2:$B$1024,MATCH(X1759,工厂基础数据!$D$2:$D$1024,0))</f>
        <v>山东康为医药有限公司</v>
      </c>
      <c r="F1759" s="6" t="e">
        <f>INDEX(商业2转码!$B$2:$B$10000,MATCH(E1759,商业2转码!$A$2:$A$10000,0))</f>
        <v>#N/A</v>
      </c>
      <c r="G1759" s="6" t="str">
        <f>INDEX(品种2编码!$A$2:$A$1048576,MATCH(W1759,品种2编码!$D$2:$D$1048576,0))</f>
        <v>0020020021ZYLC0004</v>
      </c>
      <c r="H1759" s="6" t="s">
        <v>1868</v>
      </c>
      <c r="I1759" s="6" t="s">
        <v>1869</v>
      </c>
      <c r="J1759" s="6" t="s">
        <v>3036</v>
      </c>
      <c r="L1759" s="6" t="s">
        <v>3411</v>
      </c>
      <c r="M1759" s="6" t="e">
        <f>INDEX(医院2县区2人!$B$2:$B$1048576,MATCH(L1759,医院2县区2人!$A$2:$A$1048576,0))</f>
        <v>#N/A</v>
      </c>
      <c r="N1759" s="6" t="e">
        <f>INDEX(医院2县区2人!$C$2:$C$1048576,MATCH(L1759,医院2县区2人!$A$2:$A$1048576,0))</f>
        <v>#N/A</v>
      </c>
      <c r="P1759" s="7">
        <v>43269</v>
      </c>
      <c r="Q1759" s="6">
        <v>10</v>
      </c>
      <c r="S1759" s="6">
        <v>171101</v>
      </c>
      <c r="T1759" s="6" t="e">
        <f>INDEX(医院2县区2人!$D$2:$D$1048576,MATCH(L1759,医院2县区2人!$A$2:$A$1048576,0))</f>
        <v>#N/A</v>
      </c>
      <c r="W1759" s="6" t="str">
        <f t="shared" si="57"/>
        <v>罗红霉素分散片/大严迪75mg*12片</v>
      </c>
      <c r="X1759" s="6" t="s">
        <v>2907</v>
      </c>
    </row>
    <row r="1760" spans="1:24" x14ac:dyDescent="0.15">
      <c r="A1760" s="7" t="str">
        <f t="shared" si="58"/>
        <v>201806</v>
      </c>
      <c r="C1760" s="6" t="str">
        <f>INDEX(工厂基础数据!$A$2:$A$1024,MATCH(X1760,工厂基础数据!$D$2:$D$1024,0))</f>
        <v>02029238</v>
      </c>
      <c r="E1760" s="6" t="str">
        <f>INDEX(工厂基础数据!$B$2:$B$1024,MATCH(X1760,工厂基础数据!$D$2:$D$1024,0))</f>
        <v>山东康为医药有限公司</v>
      </c>
      <c r="F1760" s="6" t="e">
        <f>INDEX(商业2转码!$B$2:$B$10000,MATCH(E1760,商业2转码!$A$2:$A$10000,0))</f>
        <v>#N/A</v>
      </c>
      <c r="G1760" s="6" t="str">
        <f>INDEX(品种2编码!$A$2:$A$1048576,MATCH(W1760,品种2编码!$D$2:$D$1048576,0))</f>
        <v>0020020020SJMS0008</v>
      </c>
      <c r="H1760" s="6" t="s">
        <v>1904</v>
      </c>
      <c r="I1760" s="6" t="s">
        <v>1873</v>
      </c>
      <c r="J1760" s="6" t="s">
        <v>3046</v>
      </c>
      <c r="L1760" s="6" t="s">
        <v>3411</v>
      </c>
      <c r="M1760" s="6" t="e">
        <f>INDEX(医院2县区2人!$B$2:$B$1048576,MATCH(L1760,医院2县区2人!$A$2:$A$1048576,0))</f>
        <v>#N/A</v>
      </c>
      <c r="N1760" s="6" t="e">
        <f>INDEX(医院2县区2人!$C$2:$C$1048576,MATCH(L1760,医院2县区2人!$A$2:$A$1048576,0))</f>
        <v>#N/A</v>
      </c>
      <c r="P1760" s="7">
        <v>43269</v>
      </c>
      <c r="Q1760" s="6">
        <v>20</v>
      </c>
      <c r="S1760" s="6">
        <v>1801004</v>
      </c>
      <c r="T1760" s="6" t="e">
        <f>INDEX(医院2县区2人!$D$2:$D$1048576,MATCH(L1760,医院2县区2人!$A$2:$A$1048576,0))</f>
        <v>#N/A</v>
      </c>
      <c r="W1760" s="6" t="str">
        <f t="shared" si="57"/>
        <v>拉西地平片/三精司乐平片4mg*15片</v>
      </c>
      <c r="X1760" s="6" t="s">
        <v>2907</v>
      </c>
    </row>
    <row r="1761" spans="1:24" x14ac:dyDescent="0.15">
      <c r="A1761" s="7" t="str">
        <f t="shared" si="58"/>
        <v>201806</v>
      </c>
      <c r="C1761" s="6" t="str">
        <f>INDEX(工厂基础数据!$A$2:$A$1024,MATCH(X1761,工厂基础数据!$D$2:$D$1024,0))</f>
        <v>02029238</v>
      </c>
      <c r="E1761" s="6" t="str">
        <f>INDEX(工厂基础数据!$B$2:$B$1024,MATCH(X1761,工厂基础数据!$D$2:$D$1024,0))</f>
        <v>山东康为医药有限公司</v>
      </c>
      <c r="F1761" s="6" t="e">
        <f>INDEX(商业2转码!$B$2:$B$10000,MATCH(E1761,商业2转码!$A$2:$A$10000,0))</f>
        <v>#N/A</v>
      </c>
      <c r="G1761" s="6" t="str">
        <f>INDEX(品种2编码!$A$2:$A$1048576,MATCH(W1761,品种2编码!$D$2:$D$1048576,0))</f>
        <v>0020020020SJMS0008</v>
      </c>
      <c r="H1761" s="6" t="s">
        <v>1904</v>
      </c>
      <c r="I1761" s="6" t="s">
        <v>1873</v>
      </c>
      <c r="J1761" s="6" t="s">
        <v>3046</v>
      </c>
      <c r="L1761" s="6" t="s">
        <v>3374</v>
      </c>
      <c r="M1761" s="6" t="e">
        <f>INDEX(医院2县区2人!$B$2:$B$1048576,MATCH(L1761,医院2县区2人!$A$2:$A$1048576,0))</f>
        <v>#N/A</v>
      </c>
      <c r="N1761" s="6" t="e">
        <f>INDEX(医院2县区2人!$C$2:$C$1048576,MATCH(L1761,医院2县区2人!$A$2:$A$1048576,0))</f>
        <v>#N/A</v>
      </c>
      <c r="P1761" s="7">
        <v>43269</v>
      </c>
      <c r="Q1761" s="6">
        <v>30</v>
      </c>
      <c r="S1761" s="6">
        <v>1801004</v>
      </c>
      <c r="T1761" s="6" t="e">
        <f>INDEX(医院2县区2人!$D$2:$D$1048576,MATCH(L1761,医院2县区2人!$A$2:$A$1048576,0))</f>
        <v>#N/A</v>
      </c>
      <c r="W1761" s="6" t="str">
        <f t="shared" si="57"/>
        <v>拉西地平片/三精司乐平片4mg*15片</v>
      </c>
      <c r="X1761" s="6" t="s">
        <v>2907</v>
      </c>
    </row>
    <row r="1762" spans="1:24" x14ac:dyDescent="0.15">
      <c r="A1762" s="7" t="str">
        <f t="shared" si="58"/>
        <v>201806</v>
      </c>
      <c r="C1762" s="6" t="str">
        <f>INDEX(工厂基础数据!$A$2:$A$1024,MATCH(X1762,工厂基础数据!$D$2:$D$1024,0))</f>
        <v>02029238</v>
      </c>
      <c r="E1762" s="6" t="str">
        <f>INDEX(工厂基础数据!$B$2:$B$1024,MATCH(X1762,工厂基础数据!$D$2:$D$1024,0))</f>
        <v>山东康为医药有限公司</v>
      </c>
      <c r="F1762" s="6" t="e">
        <f>INDEX(商业2转码!$B$2:$B$10000,MATCH(E1762,商业2转码!$A$2:$A$10000,0))</f>
        <v>#N/A</v>
      </c>
      <c r="G1762" s="6">
        <f>INDEX(品种2编码!$A$2:$A$1048576,MATCH(W1762,品种2编码!$D$2:$D$1048576,0))</f>
        <v>0</v>
      </c>
      <c r="H1762" s="6" t="s">
        <v>3448</v>
      </c>
      <c r="I1762" s="6" t="s">
        <v>411</v>
      </c>
      <c r="J1762" s="6" t="s">
        <v>3040</v>
      </c>
      <c r="L1762" s="6" t="s">
        <v>3412</v>
      </c>
      <c r="M1762" s="6" t="e">
        <f>INDEX(医院2县区2人!$B$2:$B$1048576,MATCH(L1762,医院2县区2人!$A$2:$A$1048576,0))</f>
        <v>#N/A</v>
      </c>
      <c r="N1762" s="6" t="e">
        <f>INDEX(医院2县区2人!$C$2:$C$1048576,MATCH(L1762,医院2县区2人!$A$2:$A$1048576,0))</f>
        <v>#N/A</v>
      </c>
      <c r="P1762" s="7">
        <v>43269</v>
      </c>
      <c r="Q1762" s="6">
        <v>10</v>
      </c>
      <c r="S1762" s="6">
        <v>17122922</v>
      </c>
      <c r="T1762" s="6" t="e">
        <f>INDEX(医院2县区2人!$D$2:$D$1048576,MATCH(L1762,医院2县区2人!$A$2:$A$1048576,0))</f>
        <v>#N/A</v>
      </c>
      <c r="W1762" s="6" t="str">
        <f t="shared" si="57"/>
        <v>葡萄糖酸钙口服溶液（含糖型）10ml*12支</v>
      </c>
      <c r="X1762" s="6" t="s">
        <v>2907</v>
      </c>
    </row>
    <row r="1763" spans="1:24" x14ac:dyDescent="0.15">
      <c r="A1763" s="7" t="str">
        <f t="shared" si="58"/>
        <v>201806</v>
      </c>
      <c r="C1763" s="6" t="str">
        <f>INDEX(工厂基础数据!$A$2:$A$1024,MATCH(X1763,工厂基础数据!$D$2:$D$1024,0))</f>
        <v>02029238</v>
      </c>
      <c r="E1763" s="6" t="str">
        <f>INDEX(工厂基础数据!$B$2:$B$1024,MATCH(X1763,工厂基础数据!$D$2:$D$1024,0))</f>
        <v>山东康为医药有限公司</v>
      </c>
      <c r="F1763" s="6" t="e">
        <f>INDEX(商业2转码!$B$2:$B$10000,MATCH(E1763,商业2转码!$A$2:$A$10000,0))</f>
        <v>#N/A</v>
      </c>
      <c r="G1763" s="6" t="str">
        <f>INDEX(品种2编码!$A$2:$A$1048576,MATCH(W1763,品种2编码!$D$2:$D$1048576,0))</f>
        <v>0020030001SJZY0009</v>
      </c>
      <c r="H1763" s="6" t="s">
        <v>1949</v>
      </c>
      <c r="I1763" s="6" t="s">
        <v>411</v>
      </c>
      <c r="J1763" s="6" t="s">
        <v>3040</v>
      </c>
      <c r="L1763" s="6" t="s">
        <v>3412</v>
      </c>
      <c r="M1763" s="6" t="e">
        <f>INDEX(医院2县区2人!$B$2:$B$1048576,MATCH(L1763,医院2县区2人!$A$2:$A$1048576,0))</f>
        <v>#N/A</v>
      </c>
      <c r="N1763" s="6" t="e">
        <f>INDEX(医院2县区2人!$C$2:$C$1048576,MATCH(L1763,医院2县区2人!$A$2:$A$1048576,0))</f>
        <v>#N/A</v>
      </c>
      <c r="P1763" s="7">
        <v>43269</v>
      </c>
      <c r="Q1763" s="6">
        <v>10</v>
      </c>
      <c r="S1763" s="6">
        <v>18031227</v>
      </c>
      <c r="T1763" s="6" t="e">
        <f>INDEX(医院2县区2人!$D$2:$D$1048576,MATCH(L1763,医院2县区2人!$A$2:$A$1048576,0))</f>
        <v>#N/A</v>
      </c>
      <c r="W1763" s="6" t="str">
        <f t="shared" si="57"/>
        <v>葡萄糖酸锌口服溶液10ml*12支</v>
      </c>
      <c r="X1763" s="6" t="s">
        <v>2907</v>
      </c>
    </row>
    <row r="1764" spans="1:24" x14ac:dyDescent="0.15">
      <c r="A1764" s="7" t="str">
        <f t="shared" si="58"/>
        <v>201806</v>
      </c>
      <c r="C1764" s="6" t="str">
        <f>INDEX(工厂基础数据!$A$2:$A$1024,MATCH(X1764,工厂基础数据!$D$2:$D$1024,0))</f>
        <v>02029238</v>
      </c>
      <c r="E1764" s="6" t="str">
        <f>INDEX(工厂基础数据!$B$2:$B$1024,MATCH(X1764,工厂基础数据!$D$2:$D$1024,0))</f>
        <v>山东康为医药有限公司</v>
      </c>
      <c r="F1764" s="6" t="e">
        <f>INDEX(商业2转码!$B$2:$B$10000,MATCH(E1764,商业2转码!$A$2:$A$10000,0))</f>
        <v>#N/A</v>
      </c>
      <c r="G1764" s="6">
        <f>INDEX(品种2编码!$A$2:$A$1048576,MATCH(W1764,品种2编码!$D$2:$D$1048576,0))</f>
        <v>0</v>
      </c>
      <c r="H1764" s="6" t="s">
        <v>3447</v>
      </c>
      <c r="I1764" s="6" t="s">
        <v>1838</v>
      </c>
      <c r="J1764" s="6" t="s">
        <v>3036</v>
      </c>
      <c r="L1764" s="6" t="s">
        <v>3374</v>
      </c>
      <c r="M1764" s="6" t="e">
        <f>INDEX(医院2县区2人!$B$2:$B$1048576,MATCH(L1764,医院2县区2人!$A$2:$A$1048576,0))</f>
        <v>#N/A</v>
      </c>
      <c r="N1764" s="6" t="e">
        <f>INDEX(医院2县区2人!$C$2:$C$1048576,MATCH(L1764,医院2县区2人!$A$2:$A$1048576,0))</f>
        <v>#N/A</v>
      </c>
      <c r="P1764" s="7">
        <v>43269</v>
      </c>
      <c r="Q1764" s="6">
        <v>5</v>
      </c>
      <c r="S1764" s="6">
        <v>171243</v>
      </c>
      <c r="T1764" s="6" t="e">
        <f>INDEX(医院2县区2人!$D$2:$D$1048576,MATCH(L1764,医院2县区2人!$A$2:$A$1048576,0))</f>
        <v>#N/A</v>
      </c>
      <c r="W1764" s="6" t="str">
        <f t="shared" si="57"/>
        <v>新盖中盖高钙片/成人2.5g*36片</v>
      </c>
      <c r="X1764" s="6" t="s">
        <v>2907</v>
      </c>
    </row>
    <row r="1765" spans="1:24" x14ac:dyDescent="0.15">
      <c r="A1765" s="7" t="str">
        <f t="shared" si="58"/>
        <v>201806</v>
      </c>
      <c r="C1765" s="6" t="str">
        <f>INDEX(工厂基础数据!$A$2:$A$1024,MATCH(X1765,工厂基础数据!$D$2:$D$1024,0))</f>
        <v>02029238</v>
      </c>
      <c r="E1765" s="6" t="str">
        <f>INDEX(工厂基础数据!$B$2:$B$1024,MATCH(X1765,工厂基础数据!$D$2:$D$1024,0))</f>
        <v>山东康为医药有限公司</v>
      </c>
      <c r="F1765" s="6" t="e">
        <f>INDEX(商业2转码!$B$2:$B$10000,MATCH(E1765,商业2转码!$A$2:$A$10000,0))</f>
        <v>#N/A</v>
      </c>
      <c r="G1765" s="6">
        <f>INDEX(品种2编码!$A$2:$A$1048576,MATCH(W1765,品种2编码!$D$2:$D$1048576,0))</f>
        <v>0</v>
      </c>
      <c r="H1765" s="6" t="s">
        <v>3448</v>
      </c>
      <c r="I1765" s="6" t="s">
        <v>411</v>
      </c>
      <c r="J1765" s="6" t="s">
        <v>3040</v>
      </c>
      <c r="L1765" s="6" t="s">
        <v>3413</v>
      </c>
      <c r="M1765" s="6" t="e">
        <f>INDEX(医院2县区2人!$B$2:$B$1048576,MATCH(L1765,医院2县区2人!$A$2:$A$1048576,0))</f>
        <v>#N/A</v>
      </c>
      <c r="N1765" s="6" t="e">
        <f>INDEX(医院2县区2人!$C$2:$C$1048576,MATCH(L1765,医院2县区2人!$A$2:$A$1048576,0))</f>
        <v>#N/A</v>
      </c>
      <c r="P1765" s="7">
        <v>43270</v>
      </c>
      <c r="Q1765" s="6">
        <v>20</v>
      </c>
      <c r="S1765" s="6">
        <v>17122922</v>
      </c>
      <c r="T1765" s="6" t="e">
        <f>INDEX(医院2县区2人!$D$2:$D$1048576,MATCH(L1765,医院2县区2人!$A$2:$A$1048576,0))</f>
        <v>#N/A</v>
      </c>
      <c r="W1765" s="6" t="str">
        <f t="shared" si="57"/>
        <v>葡萄糖酸钙口服溶液（含糖型）10ml*12支</v>
      </c>
      <c r="X1765" s="6" t="s">
        <v>2907</v>
      </c>
    </row>
    <row r="1766" spans="1:24" x14ac:dyDescent="0.15">
      <c r="A1766" s="7" t="str">
        <f t="shared" si="58"/>
        <v>201806</v>
      </c>
      <c r="C1766" s="6" t="str">
        <f>INDEX(工厂基础数据!$A$2:$A$1024,MATCH(X1766,工厂基础数据!$D$2:$D$1024,0))</f>
        <v>02029238</v>
      </c>
      <c r="E1766" s="6" t="str">
        <f>INDEX(工厂基础数据!$B$2:$B$1024,MATCH(X1766,工厂基础数据!$D$2:$D$1024,0))</f>
        <v>山东康为医药有限公司</v>
      </c>
      <c r="F1766" s="6" t="e">
        <f>INDEX(商业2转码!$B$2:$B$10000,MATCH(E1766,商业2转码!$A$2:$A$10000,0))</f>
        <v>#N/A</v>
      </c>
      <c r="G1766" s="6" t="str">
        <f>INDEX(品种2编码!$A$2:$A$1048576,MATCH(W1766,品种2编码!$D$2:$D$1048576,0))</f>
        <v>0020030001SJZY0009</v>
      </c>
      <c r="H1766" s="6" t="s">
        <v>1949</v>
      </c>
      <c r="I1766" s="6" t="s">
        <v>411</v>
      </c>
      <c r="J1766" s="6" t="s">
        <v>3040</v>
      </c>
      <c r="L1766" s="6" t="s">
        <v>3413</v>
      </c>
      <c r="M1766" s="6" t="e">
        <f>INDEX(医院2县区2人!$B$2:$B$1048576,MATCH(L1766,医院2县区2人!$A$2:$A$1048576,0))</f>
        <v>#N/A</v>
      </c>
      <c r="N1766" s="6" t="e">
        <f>INDEX(医院2县区2人!$C$2:$C$1048576,MATCH(L1766,医院2县区2人!$A$2:$A$1048576,0))</f>
        <v>#N/A</v>
      </c>
      <c r="P1766" s="7">
        <v>43270</v>
      </c>
      <c r="Q1766" s="6">
        <v>30</v>
      </c>
      <c r="S1766" s="6">
        <v>18031227</v>
      </c>
      <c r="T1766" s="6" t="e">
        <f>INDEX(医院2县区2人!$D$2:$D$1048576,MATCH(L1766,医院2县区2人!$A$2:$A$1048576,0))</f>
        <v>#N/A</v>
      </c>
      <c r="W1766" s="6" t="str">
        <f t="shared" si="57"/>
        <v>葡萄糖酸锌口服溶液10ml*12支</v>
      </c>
      <c r="X1766" s="6" t="s">
        <v>2907</v>
      </c>
    </row>
    <row r="1767" spans="1:24" x14ac:dyDescent="0.15">
      <c r="A1767" s="7" t="str">
        <f t="shared" si="58"/>
        <v>201806</v>
      </c>
      <c r="C1767" s="6" t="str">
        <f>INDEX(工厂基础数据!$A$2:$A$1024,MATCH(X1767,工厂基础数据!$D$2:$D$1024,0))</f>
        <v>02029238</v>
      </c>
      <c r="E1767" s="6" t="str">
        <f>INDEX(工厂基础数据!$B$2:$B$1024,MATCH(X1767,工厂基础数据!$D$2:$D$1024,0))</f>
        <v>山东康为医药有限公司</v>
      </c>
      <c r="F1767" s="6" t="e">
        <f>INDEX(商业2转码!$B$2:$B$10000,MATCH(E1767,商业2转码!$A$2:$A$10000,0))</f>
        <v>#N/A</v>
      </c>
      <c r="G1767" s="6" t="str">
        <f>INDEX(品种2编码!$A$2:$A$1048576,MATCH(W1767,品种2编码!$D$2:$D$1048576,0))</f>
        <v>0020030020SJSC0025</v>
      </c>
      <c r="H1767" s="6" t="s">
        <v>380</v>
      </c>
      <c r="I1767" s="6" t="s">
        <v>381</v>
      </c>
      <c r="J1767" s="6" t="s">
        <v>3045</v>
      </c>
      <c r="L1767" s="6" t="s">
        <v>2692</v>
      </c>
      <c r="M1767" s="6">
        <f>INDEX(医院2县区2人!$B$2:$B$1048576,MATCH(L1767,医院2县区2人!$A$2:$A$1048576,0))</f>
        <v>1</v>
      </c>
      <c r="N1767" s="6" t="str">
        <f>INDEX(医院2县区2人!$C$2:$C$1048576,MATCH(L1767,医院2县区2人!$A$2:$A$1048576,0))</f>
        <v>1755</v>
      </c>
      <c r="P1767" s="7">
        <v>43270</v>
      </c>
      <c r="Q1767" s="6">
        <v>10</v>
      </c>
      <c r="S1767" s="6">
        <v>1712002</v>
      </c>
      <c r="T1767" s="6" t="str">
        <f>INDEX(医院2县区2人!$D$2:$D$1048576,MATCH(L1767,医院2县区2人!$A$2:$A$1048576,0))</f>
        <v>201602151421097</v>
      </c>
      <c r="W1767" s="6" t="str">
        <f t="shared" si="57"/>
        <v>复方氨酚烷胺片12片</v>
      </c>
      <c r="X1767" s="6" t="s">
        <v>2907</v>
      </c>
    </row>
    <row r="1768" spans="1:24" x14ac:dyDescent="0.15">
      <c r="A1768" s="7" t="str">
        <f t="shared" si="58"/>
        <v>201806</v>
      </c>
      <c r="C1768" s="6" t="str">
        <f>INDEX(工厂基础数据!$A$2:$A$1024,MATCH(X1768,工厂基础数据!$D$2:$D$1024,0))</f>
        <v>02029238</v>
      </c>
      <c r="E1768" s="6" t="str">
        <f>INDEX(工厂基础数据!$B$2:$B$1024,MATCH(X1768,工厂基础数据!$D$2:$D$1024,0))</f>
        <v>山东康为医药有限公司</v>
      </c>
      <c r="F1768" s="6" t="e">
        <f>INDEX(商业2转码!$B$2:$B$10000,MATCH(E1768,商业2转码!$A$2:$A$10000,0))</f>
        <v>#N/A</v>
      </c>
      <c r="G1768" s="6" t="str">
        <f>INDEX(品种2编码!$A$2:$A$1048576,MATCH(W1768,品种2编码!$D$2:$D$1048576,0))</f>
        <v>0020030020ZYLC0013</v>
      </c>
      <c r="H1768" s="6" t="s">
        <v>591</v>
      </c>
      <c r="I1768" s="6" t="s">
        <v>1839</v>
      </c>
      <c r="J1768" s="6" t="s">
        <v>3036</v>
      </c>
      <c r="L1768" s="6" t="s">
        <v>2692</v>
      </c>
      <c r="M1768" s="6">
        <f>INDEX(医院2县区2人!$B$2:$B$1048576,MATCH(L1768,医院2县区2人!$A$2:$A$1048576,0))</f>
        <v>1</v>
      </c>
      <c r="N1768" s="6" t="str">
        <f>INDEX(医院2县区2人!$C$2:$C$1048576,MATCH(L1768,医院2县区2人!$A$2:$A$1048576,0))</f>
        <v>1755</v>
      </c>
      <c r="P1768" s="7">
        <v>43270</v>
      </c>
      <c r="Q1768" s="6">
        <v>10</v>
      </c>
      <c r="S1768" s="6">
        <v>180105</v>
      </c>
      <c r="T1768" s="6" t="str">
        <f>INDEX(医院2县区2人!$D$2:$D$1048576,MATCH(L1768,医院2县区2人!$A$2:$A$1048576,0))</f>
        <v>201602151421097</v>
      </c>
      <c r="W1768" s="6" t="str">
        <f t="shared" si="57"/>
        <v>乳酸菌素片0.4g*36片</v>
      </c>
      <c r="X1768" s="6" t="s">
        <v>2907</v>
      </c>
    </row>
    <row r="1769" spans="1:24" x14ac:dyDescent="0.15">
      <c r="A1769" s="7" t="str">
        <f t="shared" si="58"/>
        <v>201806</v>
      </c>
      <c r="C1769" s="6" t="str">
        <f>INDEX(工厂基础数据!$A$2:$A$1024,MATCH(X1769,工厂基础数据!$D$2:$D$1024,0))</f>
        <v>02029238</v>
      </c>
      <c r="E1769" s="6" t="str">
        <f>INDEX(工厂基础数据!$B$2:$B$1024,MATCH(X1769,工厂基础数据!$D$2:$D$1024,0))</f>
        <v>山东康为医药有限公司</v>
      </c>
      <c r="F1769" s="6" t="e">
        <f>INDEX(商业2转码!$B$2:$B$10000,MATCH(E1769,商业2转码!$A$2:$A$10000,0))</f>
        <v>#N/A</v>
      </c>
      <c r="G1769" s="6">
        <f>INDEX(品种2编码!$A$2:$A$1048576,MATCH(W1769,品种2编码!$D$2:$D$1048576,0))</f>
        <v>0</v>
      </c>
      <c r="H1769" s="6" t="s">
        <v>3448</v>
      </c>
      <c r="I1769" s="6" t="s">
        <v>411</v>
      </c>
      <c r="J1769" s="6" t="s">
        <v>3040</v>
      </c>
      <c r="L1769" s="6" t="s">
        <v>3392</v>
      </c>
      <c r="M1769" s="6" t="e">
        <f>INDEX(医院2县区2人!$B$2:$B$1048576,MATCH(L1769,医院2县区2人!$A$2:$A$1048576,0))</f>
        <v>#N/A</v>
      </c>
      <c r="N1769" s="6" t="e">
        <f>INDEX(医院2县区2人!$C$2:$C$1048576,MATCH(L1769,医院2县区2人!$A$2:$A$1048576,0))</f>
        <v>#N/A</v>
      </c>
      <c r="P1769" s="7">
        <v>43270</v>
      </c>
      <c r="Q1769" s="6">
        <v>20</v>
      </c>
      <c r="S1769" s="6">
        <v>17122922</v>
      </c>
      <c r="T1769" s="6" t="e">
        <f>INDEX(医院2县区2人!$D$2:$D$1048576,MATCH(L1769,医院2县区2人!$A$2:$A$1048576,0))</f>
        <v>#N/A</v>
      </c>
      <c r="W1769" s="6" t="str">
        <f t="shared" si="57"/>
        <v>葡萄糖酸钙口服溶液（含糖型）10ml*12支</v>
      </c>
      <c r="X1769" s="6" t="s">
        <v>2907</v>
      </c>
    </row>
    <row r="1770" spans="1:24" x14ac:dyDescent="0.15">
      <c r="A1770" s="7" t="str">
        <f t="shared" si="58"/>
        <v>201806</v>
      </c>
      <c r="C1770" s="6" t="str">
        <f>INDEX(工厂基础数据!$A$2:$A$1024,MATCH(X1770,工厂基础数据!$D$2:$D$1024,0))</f>
        <v>02029238</v>
      </c>
      <c r="E1770" s="6" t="str">
        <f>INDEX(工厂基础数据!$B$2:$B$1024,MATCH(X1770,工厂基础数据!$D$2:$D$1024,0))</f>
        <v>山东康为医药有限公司</v>
      </c>
      <c r="F1770" s="6" t="e">
        <f>INDEX(商业2转码!$B$2:$B$10000,MATCH(E1770,商业2转码!$A$2:$A$10000,0))</f>
        <v>#N/A</v>
      </c>
      <c r="G1770" s="6" t="str">
        <f>INDEX(品种2编码!$A$2:$A$1048576,MATCH(W1770,品种2编码!$D$2:$D$1048576,0))</f>
        <v>0020030001SJZY0009</v>
      </c>
      <c r="H1770" s="6" t="s">
        <v>1949</v>
      </c>
      <c r="I1770" s="6" t="s">
        <v>411</v>
      </c>
      <c r="J1770" s="6" t="s">
        <v>3040</v>
      </c>
      <c r="L1770" s="6" t="s">
        <v>3392</v>
      </c>
      <c r="M1770" s="6" t="e">
        <f>INDEX(医院2县区2人!$B$2:$B$1048576,MATCH(L1770,医院2县区2人!$A$2:$A$1048576,0))</f>
        <v>#N/A</v>
      </c>
      <c r="N1770" s="6" t="e">
        <f>INDEX(医院2县区2人!$C$2:$C$1048576,MATCH(L1770,医院2县区2人!$A$2:$A$1048576,0))</f>
        <v>#N/A</v>
      </c>
      <c r="P1770" s="7">
        <v>43270</v>
      </c>
      <c r="Q1770" s="6">
        <v>20</v>
      </c>
      <c r="S1770" s="6">
        <v>18031227</v>
      </c>
      <c r="T1770" s="6" t="e">
        <f>INDEX(医院2县区2人!$D$2:$D$1048576,MATCH(L1770,医院2县区2人!$A$2:$A$1048576,0))</f>
        <v>#N/A</v>
      </c>
      <c r="W1770" s="6" t="str">
        <f t="shared" si="57"/>
        <v>葡萄糖酸锌口服溶液10ml*12支</v>
      </c>
      <c r="X1770" s="6" t="s">
        <v>2907</v>
      </c>
    </row>
    <row r="1771" spans="1:24" x14ac:dyDescent="0.15">
      <c r="A1771" s="7" t="str">
        <f t="shared" si="58"/>
        <v>201806</v>
      </c>
      <c r="C1771" s="6" t="str">
        <f>INDEX(工厂基础数据!$A$2:$A$1024,MATCH(X1771,工厂基础数据!$D$2:$D$1024,0))</f>
        <v>02029238</v>
      </c>
      <c r="E1771" s="6" t="str">
        <f>INDEX(工厂基础数据!$B$2:$B$1024,MATCH(X1771,工厂基础数据!$D$2:$D$1024,0))</f>
        <v>山东康为医药有限公司</v>
      </c>
      <c r="F1771" s="6" t="e">
        <f>INDEX(商业2转码!$B$2:$B$10000,MATCH(E1771,商业2转码!$A$2:$A$10000,0))</f>
        <v>#N/A</v>
      </c>
      <c r="G1771" s="6" t="str">
        <f>INDEX(品种2编码!$A$2:$A$1048576,MATCH(W1771,品种2编码!$D$2:$D$1048576,0))</f>
        <v>0020020020SJMS0008</v>
      </c>
      <c r="H1771" s="6" t="s">
        <v>1904</v>
      </c>
      <c r="I1771" s="6" t="s">
        <v>1873</v>
      </c>
      <c r="J1771" s="6" t="s">
        <v>3046</v>
      </c>
      <c r="L1771" s="6" t="s">
        <v>3355</v>
      </c>
      <c r="M1771" s="6" t="e">
        <f>INDEX(医院2县区2人!$B$2:$B$1048576,MATCH(L1771,医院2县区2人!$A$2:$A$1048576,0))</f>
        <v>#N/A</v>
      </c>
      <c r="N1771" s="6" t="e">
        <f>INDEX(医院2县区2人!$C$2:$C$1048576,MATCH(L1771,医院2县区2人!$A$2:$A$1048576,0))</f>
        <v>#N/A</v>
      </c>
      <c r="P1771" s="7">
        <v>43270</v>
      </c>
      <c r="Q1771" s="6">
        <v>60</v>
      </c>
      <c r="S1771" s="6">
        <v>1801004</v>
      </c>
      <c r="T1771" s="6" t="e">
        <f>INDEX(医院2县区2人!$D$2:$D$1048576,MATCH(L1771,医院2县区2人!$A$2:$A$1048576,0))</f>
        <v>#N/A</v>
      </c>
      <c r="W1771" s="6" t="str">
        <f t="shared" si="57"/>
        <v>拉西地平片/三精司乐平片4mg*15片</v>
      </c>
      <c r="X1771" s="6" t="s">
        <v>2907</v>
      </c>
    </row>
    <row r="1772" spans="1:24" x14ac:dyDescent="0.15">
      <c r="A1772" s="7" t="str">
        <f t="shared" si="58"/>
        <v>201806</v>
      </c>
      <c r="C1772" s="6" t="str">
        <f>INDEX(工厂基础数据!$A$2:$A$1024,MATCH(X1772,工厂基础数据!$D$2:$D$1024,0))</f>
        <v>02029238</v>
      </c>
      <c r="E1772" s="6" t="str">
        <f>INDEX(工厂基础数据!$B$2:$B$1024,MATCH(X1772,工厂基础数据!$D$2:$D$1024,0))</f>
        <v>山东康为医药有限公司</v>
      </c>
      <c r="F1772" s="6" t="e">
        <f>INDEX(商业2转码!$B$2:$B$10000,MATCH(E1772,商业2转码!$A$2:$A$10000,0))</f>
        <v>#N/A</v>
      </c>
      <c r="G1772" s="6" t="str">
        <f>INDEX(品种2编码!$A$2:$A$1048576,MATCH(W1772,品种2编码!$D$2:$D$1048576,0))</f>
        <v>0020030001SJZY0009</v>
      </c>
      <c r="H1772" s="6" t="s">
        <v>1949</v>
      </c>
      <c r="I1772" s="6" t="s">
        <v>411</v>
      </c>
      <c r="J1772" s="6" t="s">
        <v>3040</v>
      </c>
      <c r="L1772" s="6" t="s">
        <v>3355</v>
      </c>
      <c r="M1772" s="6" t="e">
        <f>INDEX(医院2县区2人!$B$2:$B$1048576,MATCH(L1772,医院2县区2人!$A$2:$A$1048576,0))</f>
        <v>#N/A</v>
      </c>
      <c r="N1772" s="6" t="e">
        <f>INDEX(医院2县区2人!$C$2:$C$1048576,MATCH(L1772,医院2县区2人!$A$2:$A$1048576,0))</f>
        <v>#N/A</v>
      </c>
      <c r="P1772" s="7">
        <v>43270</v>
      </c>
      <c r="Q1772" s="6">
        <v>20</v>
      </c>
      <c r="S1772" s="6">
        <v>18031227</v>
      </c>
      <c r="T1772" s="6" t="e">
        <f>INDEX(医院2县区2人!$D$2:$D$1048576,MATCH(L1772,医院2县区2人!$A$2:$A$1048576,0))</f>
        <v>#N/A</v>
      </c>
      <c r="W1772" s="6" t="str">
        <f t="shared" si="57"/>
        <v>葡萄糖酸锌口服溶液10ml*12支</v>
      </c>
      <c r="X1772" s="6" t="s">
        <v>2907</v>
      </c>
    </row>
    <row r="1773" spans="1:24" x14ac:dyDescent="0.15">
      <c r="A1773" s="7" t="str">
        <f t="shared" si="58"/>
        <v>201806</v>
      </c>
      <c r="C1773" s="6" t="str">
        <f>INDEX(工厂基础数据!$A$2:$A$1024,MATCH(X1773,工厂基础数据!$D$2:$D$1024,0))</f>
        <v>02029238</v>
      </c>
      <c r="E1773" s="6" t="str">
        <f>INDEX(工厂基础数据!$B$2:$B$1024,MATCH(X1773,工厂基础数据!$D$2:$D$1024,0))</f>
        <v>山东康为医药有限公司</v>
      </c>
      <c r="F1773" s="6" t="e">
        <f>INDEX(商业2转码!$B$2:$B$10000,MATCH(E1773,商业2转码!$A$2:$A$10000,0))</f>
        <v>#N/A</v>
      </c>
      <c r="G1773" s="6" t="str">
        <f>INDEX(品种2编码!$A$2:$A$1048576,MATCH(W1773,品种2编码!$D$2:$D$1048576,0))</f>
        <v>0020020021ZYLC0005</v>
      </c>
      <c r="H1773" s="6" t="s">
        <v>1840</v>
      </c>
      <c r="I1773" s="6" t="s">
        <v>1841</v>
      </c>
      <c r="J1773" s="6" t="s">
        <v>3036</v>
      </c>
      <c r="L1773" s="6" t="s">
        <v>3342</v>
      </c>
      <c r="M1773" s="6" t="e">
        <f>INDEX(医院2县区2人!$B$2:$B$1048576,MATCH(L1773,医院2县区2人!$A$2:$A$1048576,0))</f>
        <v>#N/A</v>
      </c>
      <c r="N1773" s="6" t="e">
        <f>INDEX(医院2县区2人!$C$2:$C$1048576,MATCH(L1773,医院2县区2人!$A$2:$A$1048576,0))</f>
        <v>#N/A</v>
      </c>
      <c r="P1773" s="7">
        <v>43270</v>
      </c>
      <c r="Q1773" s="6">
        <v>1</v>
      </c>
      <c r="S1773" s="6">
        <v>161102</v>
      </c>
      <c r="T1773" s="6" t="e">
        <f>INDEX(医院2县区2人!$D$2:$D$1048576,MATCH(L1773,医院2县区2人!$A$2:$A$1048576,0))</f>
        <v>#N/A</v>
      </c>
      <c r="W1773" s="6" t="str">
        <f t="shared" si="57"/>
        <v>罗红霉素分散片/小严迪50mg*12片</v>
      </c>
      <c r="X1773" s="6" t="s">
        <v>2907</v>
      </c>
    </row>
    <row r="1774" spans="1:24" x14ac:dyDescent="0.15">
      <c r="A1774" s="7" t="str">
        <f t="shared" si="58"/>
        <v>201806</v>
      </c>
      <c r="C1774" s="6" t="str">
        <f>INDEX(工厂基础数据!$A$2:$A$1024,MATCH(X1774,工厂基础数据!$D$2:$D$1024,0))</f>
        <v>02029238</v>
      </c>
      <c r="E1774" s="6" t="str">
        <f>INDEX(工厂基础数据!$B$2:$B$1024,MATCH(X1774,工厂基础数据!$D$2:$D$1024,0))</f>
        <v>山东康为医药有限公司</v>
      </c>
      <c r="F1774" s="6" t="e">
        <f>INDEX(商业2转码!$B$2:$B$10000,MATCH(E1774,商业2转码!$A$2:$A$10000,0))</f>
        <v>#N/A</v>
      </c>
      <c r="G1774" s="6" t="str">
        <f>INDEX(品种2编码!$A$2:$A$1048576,MATCH(W1774,品种2编码!$D$2:$D$1048576,0))</f>
        <v>0020020021ZYLC0005</v>
      </c>
      <c r="H1774" s="6" t="s">
        <v>1840</v>
      </c>
      <c r="I1774" s="6" t="s">
        <v>1841</v>
      </c>
      <c r="J1774" s="6" t="s">
        <v>3036</v>
      </c>
      <c r="L1774" s="6" t="s">
        <v>3341</v>
      </c>
      <c r="M1774" s="6" t="e">
        <f>INDEX(医院2县区2人!$B$2:$B$1048576,MATCH(L1774,医院2县区2人!$A$2:$A$1048576,0))</f>
        <v>#N/A</v>
      </c>
      <c r="N1774" s="6" t="e">
        <f>INDEX(医院2县区2人!$C$2:$C$1048576,MATCH(L1774,医院2县区2人!$A$2:$A$1048576,0))</f>
        <v>#N/A</v>
      </c>
      <c r="P1774" s="7">
        <v>43270</v>
      </c>
      <c r="Q1774" s="6">
        <v>1</v>
      </c>
      <c r="S1774" s="6">
        <v>161102</v>
      </c>
      <c r="T1774" s="6" t="e">
        <f>INDEX(医院2县区2人!$D$2:$D$1048576,MATCH(L1774,医院2县区2人!$A$2:$A$1048576,0))</f>
        <v>#N/A</v>
      </c>
      <c r="W1774" s="6" t="str">
        <f t="shared" si="57"/>
        <v>罗红霉素分散片/小严迪50mg*12片</v>
      </c>
      <c r="X1774" s="6" t="s">
        <v>2907</v>
      </c>
    </row>
    <row r="1775" spans="1:24" x14ac:dyDescent="0.15">
      <c r="A1775" s="7" t="str">
        <f t="shared" si="58"/>
        <v>201806</v>
      </c>
      <c r="C1775" s="6" t="str">
        <f>INDEX(工厂基础数据!$A$2:$A$1024,MATCH(X1775,工厂基础数据!$D$2:$D$1024,0))</f>
        <v>02029238</v>
      </c>
      <c r="E1775" s="6" t="str">
        <f>INDEX(工厂基础数据!$B$2:$B$1024,MATCH(X1775,工厂基础数据!$D$2:$D$1024,0))</f>
        <v>山东康为医药有限公司</v>
      </c>
      <c r="F1775" s="6" t="e">
        <f>INDEX(商业2转码!$B$2:$B$10000,MATCH(E1775,商业2转码!$A$2:$A$10000,0))</f>
        <v>#N/A</v>
      </c>
      <c r="G1775" s="6" t="str">
        <f>INDEX(品种2编码!$A$2:$A$1048576,MATCH(W1775,品种2编码!$D$2:$D$1048576,0))</f>
        <v>0020050090SJZY0001</v>
      </c>
      <c r="H1775" s="6" t="s">
        <v>630</v>
      </c>
      <c r="I1775" s="6" t="s">
        <v>1850</v>
      </c>
      <c r="J1775" s="6" t="s">
        <v>3040</v>
      </c>
      <c r="L1775" s="6" t="s">
        <v>3398</v>
      </c>
      <c r="M1775" s="6" t="e">
        <f>INDEX(医院2县区2人!$B$2:$B$1048576,MATCH(L1775,医院2县区2人!$A$2:$A$1048576,0))</f>
        <v>#N/A</v>
      </c>
      <c r="N1775" s="6" t="e">
        <f>INDEX(医院2县区2人!$C$2:$C$1048576,MATCH(L1775,医院2县区2人!$A$2:$A$1048576,0))</f>
        <v>#N/A</v>
      </c>
      <c r="P1775" s="7">
        <v>43270</v>
      </c>
      <c r="Q1775" s="6">
        <v>20</v>
      </c>
      <c r="S1775" s="6">
        <v>18010723</v>
      </c>
      <c r="T1775" s="6" t="e">
        <f>INDEX(医院2县区2人!$D$2:$D$1048576,MATCH(L1775,医院2县区2人!$A$2:$A$1048576,0))</f>
        <v>#N/A</v>
      </c>
      <c r="W1775" s="6" t="str">
        <f t="shared" si="57"/>
        <v>双黄连口服液10ml*10支</v>
      </c>
      <c r="X1775" s="6" t="s">
        <v>2907</v>
      </c>
    </row>
    <row r="1776" spans="1:24" x14ac:dyDescent="0.15">
      <c r="A1776" s="7" t="str">
        <f t="shared" si="58"/>
        <v>201806</v>
      </c>
      <c r="C1776" s="6" t="str">
        <f>INDEX(工厂基础数据!$A$2:$A$1024,MATCH(X1776,工厂基础数据!$D$2:$D$1024,0))</f>
        <v>02029238</v>
      </c>
      <c r="E1776" s="6" t="str">
        <f>INDEX(工厂基础数据!$B$2:$B$1024,MATCH(X1776,工厂基础数据!$D$2:$D$1024,0))</f>
        <v>山东康为医药有限公司</v>
      </c>
      <c r="F1776" s="6" t="e">
        <f>INDEX(商业2转码!$B$2:$B$10000,MATCH(E1776,商业2转码!$A$2:$A$10000,0))</f>
        <v>#N/A</v>
      </c>
      <c r="G1776" s="6" t="str">
        <f>INDEX(品种2编码!$A$2:$A$1048576,MATCH(W1776,品种2编码!$D$2:$D$1048576,0))</f>
        <v>0020020021ZYLC0004</v>
      </c>
      <c r="H1776" s="6" t="s">
        <v>1868</v>
      </c>
      <c r="I1776" s="6" t="s">
        <v>1869</v>
      </c>
      <c r="J1776" s="6" t="s">
        <v>3036</v>
      </c>
      <c r="L1776" s="6" t="s">
        <v>3414</v>
      </c>
      <c r="M1776" s="6" t="e">
        <f>INDEX(医院2县区2人!$B$2:$B$1048576,MATCH(L1776,医院2县区2人!$A$2:$A$1048576,0))</f>
        <v>#N/A</v>
      </c>
      <c r="N1776" s="6" t="e">
        <f>INDEX(医院2县区2人!$C$2:$C$1048576,MATCH(L1776,医院2县区2人!$A$2:$A$1048576,0))</f>
        <v>#N/A</v>
      </c>
      <c r="P1776" s="7">
        <v>43270</v>
      </c>
      <c r="Q1776" s="6">
        <v>100</v>
      </c>
      <c r="S1776" s="6">
        <v>171101</v>
      </c>
      <c r="T1776" s="6" t="e">
        <f>INDEX(医院2县区2人!$D$2:$D$1048576,MATCH(L1776,医院2县区2人!$A$2:$A$1048576,0))</f>
        <v>#N/A</v>
      </c>
      <c r="W1776" s="6" t="str">
        <f t="shared" si="57"/>
        <v>罗红霉素分散片/大严迪75mg*12片</v>
      </c>
      <c r="X1776" s="6" t="s">
        <v>2907</v>
      </c>
    </row>
    <row r="1777" spans="1:24" x14ac:dyDescent="0.15">
      <c r="A1777" s="7" t="str">
        <f t="shared" si="58"/>
        <v>201806</v>
      </c>
      <c r="C1777" s="6" t="str">
        <f>INDEX(工厂基础数据!$A$2:$A$1024,MATCH(X1777,工厂基础数据!$D$2:$D$1024,0))</f>
        <v>02029238</v>
      </c>
      <c r="E1777" s="6" t="str">
        <f>INDEX(工厂基础数据!$B$2:$B$1024,MATCH(X1777,工厂基础数据!$D$2:$D$1024,0))</f>
        <v>山东康为医药有限公司</v>
      </c>
      <c r="F1777" s="6" t="e">
        <f>INDEX(商业2转码!$B$2:$B$10000,MATCH(E1777,商业2转码!$A$2:$A$10000,0))</f>
        <v>#N/A</v>
      </c>
      <c r="G1777" s="6">
        <f>INDEX(品种2编码!$A$2:$A$1048576,MATCH(W1777,品种2编码!$D$2:$D$1048576,0))</f>
        <v>0</v>
      </c>
      <c r="H1777" s="6" t="s">
        <v>3447</v>
      </c>
      <c r="I1777" s="6" t="s">
        <v>1838</v>
      </c>
      <c r="J1777" s="6" t="s">
        <v>3036</v>
      </c>
      <c r="L1777" s="6" t="s">
        <v>3414</v>
      </c>
      <c r="M1777" s="6" t="e">
        <f>INDEX(医院2县区2人!$B$2:$B$1048576,MATCH(L1777,医院2县区2人!$A$2:$A$1048576,0))</f>
        <v>#N/A</v>
      </c>
      <c r="N1777" s="6" t="e">
        <f>INDEX(医院2县区2人!$C$2:$C$1048576,MATCH(L1777,医院2县区2人!$A$2:$A$1048576,0))</f>
        <v>#N/A</v>
      </c>
      <c r="P1777" s="7">
        <v>43270</v>
      </c>
      <c r="Q1777" s="6">
        <v>200</v>
      </c>
      <c r="S1777" s="6">
        <v>171243</v>
      </c>
      <c r="T1777" s="6" t="e">
        <f>INDEX(医院2县区2人!$D$2:$D$1048576,MATCH(L1777,医院2县区2人!$A$2:$A$1048576,0))</f>
        <v>#N/A</v>
      </c>
      <c r="W1777" s="6" t="str">
        <f t="shared" si="57"/>
        <v>新盖中盖高钙片/成人2.5g*36片</v>
      </c>
      <c r="X1777" s="6" t="s">
        <v>2907</v>
      </c>
    </row>
    <row r="1778" spans="1:24" x14ac:dyDescent="0.15">
      <c r="A1778" s="7" t="str">
        <f t="shared" si="58"/>
        <v>201806</v>
      </c>
      <c r="C1778" s="6" t="str">
        <f>INDEX(工厂基础数据!$A$2:$A$1024,MATCH(X1778,工厂基础数据!$D$2:$D$1024,0))</f>
        <v>02029238</v>
      </c>
      <c r="E1778" s="6" t="str">
        <f>INDEX(工厂基础数据!$B$2:$B$1024,MATCH(X1778,工厂基础数据!$D$2:$D$1024,0))</f>
        <v>山东康为医药有限公司</v>
      </c>
      <c r="F1778" s="6" t="e">
        <f>INDEX(商业2转码!$B$2:$B$10000,MATCH(E1778,商业2转码!$A$2:$A$10000,0))</f>
        <v>#N/A</v>
      </c>
      <c r="G1778" s="6">
        <f>INDEX(品种2编码!$A$2:$A$1048576,MATCH(W1778,品种2编码!$D$2:$D$1048576,0))</f>
        <v>0</v>
      </c>
      <c r="H1778" s="6" t="s">
        <v>1857</v>
      </c>
      <c r="I1778" s="6" t="s">
        <v>3457</v>
      </c>
      <c r="J1778" s="6" t="s">
        <v>3037</v>
      </c>
      <c r="L1778" s="6" t="s">
        <v>3414</v>
      </c>
      <c r="M1778" s="6" t="e">
        <f>INDEX(医院2县区2人!$B$2:$B$1048576,MATCH(L1778,医院2县区2人!$A$2:$A$1048576,0))</f>
        <v>#N/A</v>
      </c>
      <c r="N1778" s="6" t="e">
        <f>INDEX(医院2县区2人!$C$2:$C$1048576,MATCH(L1778,医院2县区2人!$A$2:$A$1048576,0))</f>
        <v>#N/A</v>
      </c>
      <c r="P1778" s="7">
        <v>43270</v>
      </c>
      <c r="Q1778" s="6">
        <v>100</v>
      </c>
      <c r="S1778" s="6">
        <v>1705419</v>
      </c>
      <c r="T1778" s="6" t="e">
        <f>INDEX(医院2县区2人!$D$2:$D$1048576,MATCH(L1778,医院2县区2人!$A$2:$A$1048576,0))</f>
        <v>#N/A</v>
      </c>
      <c r="W1778" s="6" t="str">
        <f t="shared" si="57"/>
        <v>妇宁栓8粒</v>
      </c>
      <c r="X1778" s="6" t="s">
        <v>2907</v>
      </c>
    </row>
    <row r="1779" spans="1:24" x14ac:dyDescent="0.15">
      <c r="A1779" s="7" t="str">
        <f t="shared" si="58"/>
        <v>201806</v>
      </c>
      <c r="C1779" s="6" t="str">
        <f>INDEX(工厂基础数据!$A$2:$A$1024,MATCH(X1779,工厂基础数据!$D$2:$D$1024,0))</f>
        <v>02029238</v>
      </c>
      <c r="E1779" s="6" t="str">
        <f>INDEX(工厂基础数据!$B$2:$B$1024,MATCH(X1779,工厂基础数据!$D$2:$D$1024,0))</f>
        <v>山东康为医药有限公司</v>
      </c>
      <c r="F1779" s="6" t="e">
        <f>INDEX(商业2转码!$B$2:$B$10000,MATCH(E1779,商业2转码!$A$2:$A$10000,0))</f>
        <v>#N/A</v>
      </c>
      <c r="G1779" s="6">
        <f>INDEX(品种2编码!$A$2:$A$1048576,MATCH(W1779,品种2编码!$D$2:$D$1048576,0))</f>
        <v>0</v>
      </c>
      <c r="H1779" s="6" t="s">
        <v>3451</v>
      </c>
      <c r="I1779" s="6" t="s">
        <v>381</v>
      </c>
      <c r="J1779" s="6" t="s">
        <v>3036</v>
      </c>
      <c r="L1779" s="6" t="s">
        <v>3414</v>
      </c>
      <c r="M1779" s="6" t="e">
        <f>INDEX(医院2县区2人!$B$2:$B$1048576,MATCH(L1779,医院2县区2人!$A$2:$A$1048576,0))</f>
        <v>#N/A</v>
      </c>
      <c r="N1779" s="6" t="e">
        <f>INDEX(医院2县区2人!$C$2:$C$1048576,MATCH(L1779,医院2县区2人!$A$2:$A$1048576,0))</f>
        <v>#N/A</v>
      </c>
      <c r="P1779" s="7">
        <v>43270</v>
      </c>
      <c r="Q1779" s="6">
        <v>100</v>
      </c>
      <c r="S1779" s="6">
        <v>170706</v>
      </c>
      <c r="T1779" s="6" t="e">
        <f>INDEX(医院2县区2人!$D$2:$D$1048576,MATCH(L1779,医院2县区2人!$A$2:$A$1048576,0))</f>
        <v>#N/A</v>
      </c>
      <c r="W1779" s="6" t="str">
        <f t="shared" si="57"/>
        <v>颠茄磺苄啶片/泻利停12片</v>
      </c>
      <c r="X1779" s="6" t="s">
        <v>2907</v>
      </c>
    </row>
    <row r="1780" spans="1:24" x14ac:dyDescent="0.15">
      <c r="A1780" s="7" t="str">
        <f t="shared" si="58"/>
        <v>201806</v>
      </c>
      <c r="C1780" s="6" t="str">
        <f>INDEX(工厂基础数据!$A$2:$A$1024,MATCH(X1780,工厂基础数据!$D$2:$D$1024,0))</f>
        <v>02029238</v>
      </c>
      <c r="E1780" s="6" t="str">
        <f>INDEX(工厂基础数据!$B$2:$B$1024,MATCH(X1780,工厂基础数据!$D$2:$D$1024,0))</f>
        <v>山东康为医药有限公司</v>
      </c>
      <c r="F1780" s="6" t="e">
        <f>INDEX(商业2转码!$B$2:$B$10000,MATCH(E1780,商业2转码!$A$2:$A$10000,0))</f>
        <v>#N/A</v>
      </c>
      <c r="G1780" s="6" t="str">
        <f>INDEX(品种2编码!$A$2:$A$1048576,MATCH(W1780,品种2编码!$D$2:$D$1048576,0))</f>
        <v>0020030001SJZY0009</v>
      </c>
      <c r="H1780" s="6" t="s">
        <v>1949</v>
      </c>
      <c r="I1780" s="6" t="s">
        <v>411</v>
      </c>
      <c r="J1780" s="6" t="s">
        <v>3040</v>
      </c>
      <c r="L1780" s="6" t="s">
        <v>3362</v>
      </c>
      <c r="M1780" s="6" t="e">
        <f>INDEX(医院2县区2人!$B$2:$B$1048576,MATCH(L1780,医院2县区2人!$A$2:$A$1048576,0))</f>
        <v>#N/A</v>
      </c>
      <c r="N1780" s="6" t="e">
        <f>INDEX(医院2县区2人!$C$2:$C$1048576,MATCH(L1780,医院2县区2人!$A$2:$A$1048576,0))</f>
        <v>#N/A</v>
      </c>
      <c r="P1780" s="7">
        <v>43270</v>
      </c>
      <c r="Q1780" s="6">
        <v>10</v>
      </c>
      <c r="S1780" s="6">
        <v>18031227</v>
      </c>
      <c r="T1780" s="6" t="e">
        <f>INDEX(医院2县区2人!$D$2:$D$1048576,MATCH(L1780,医院2县区2人!$A$2:$A$1048576,0))</f>
        <v>#N/A</v>
      </c>
      <c r="W1780" s="6" t="str">
        <f t="shared" si="57"/>
        <v>葡萄糖酸锌口服溶液10ml*12支</v>
      </c>
      <c r="X1780" s="6" t="s">
        <v>2907</v>
      </c>
    </row>
    <row r="1781" spans="1:24" x14ac:dyDescent="0.15">
      <c r="A1781" s="7" t="str">
        <f t="shared" si="58"/>
        <v>201806</v>
      </c>
      <c r="C1781" s="6" t="str">
        <f>INDEX(工厂基础数据!$A$2:$A$1024,MATCH(X1781,工厂基础数据!$D$2:$D$1024,0))</f>
        <v>02029238</v>
      </c>
      <c r="E1781" s="6" t="str">
        <f>INDEX(工厂基础数据!$B$2:$B$1024,MATCH(X1781,工厂基础数据!$D$2:$D$1024,0))</f>
        <v>山东康为医药有限公司</v>
      </c>
      <c r="F1781" s="6" t="e">
        <f>INDEX(商业2转码!$B$2:$B$10000,MATCH(E1781,商业2转码!$A$2:$A$10000,0))</f>
        <v>#N/A</v>
      </c>
      <c r="G1781" s="6">
        <f>INDEX(品种2编码!$A$2:$A$1048576,MATCH(W1781,品种2编码!$D$2:$D$1048576,0))</f>
        <v>0</v>
      </c>
      <c r="H1781" s="6" t="s">
        <v>3447</v>
      </c>
      <c r="I1781" s="6" t="s">
        <v>1838</v>
      </c>
      <c r="J1781" s="6" t="s">
        <v>3036</v>
      </c>
      <c r="L1781" s="6" t="s">
        <v>3415</v>
      </c>
      <c r="M1781" s="6" t="e">
        <f>INDEX(医院2县区2人!$B$2:$B$1048576,MATCH(L1781,医院2县区2人!$A$2:$A$1048576,0))</f>
        <v>#N/A</v>
      </c>
      <c r="N1781" s="6" t="e">
        <f>INDEX(医院2县区2人!$C$2:$C$1048576,MATCH(L1781,医院2县区2人!$A$2:$A$1048576,0))</f>
        <v>#N/A</v>
      </c>
      <c r="P1781" s="7">
        <v>43270</v>
      </c>
      <c r="Q1781" s="6">
        <v>10</v>
      </c>
      <c r="S1781" s="6">
        <v>171243</v>
      </c>
      <c r="T1781" s="6" t="e">
        <f>INDEX(医院2县区2人!$D$2:$D$1048576,MATCH(L1781,医院2县区2人!$A$2:$A$1048576,0))</f>
        <v>#N/A</v>
      </c>
      <c r="W1781" s="6" t="str">
        <f t="shared" si="57"/>
        <v>新盖中盖高钙片/成人2.5g*36片</v>
      </c>
      <c r="X1781" s="6" t="s">
        <v>2907</v>
      </c>
    </row>
    <row r="1782" spans="1:24" x14ac:dyDescent="0.15">
      <c r="A1782" s="7" t="str">
        <f t="shared" si="58"/>
        <v>201806</v>
      </c>
      <c r="C1782" s="6" t="str">
        <f>INDEX(工厂基础数据!$A$2:$A$1024,MATCH(X1782,工厂基础数据!$D$2:$D$1024,0))</f>
        <v>02029238</v>
      </c>
      <c r="E1782" s="6" t="str">
        <f>INDEX(工厂基础数据!$B$2:$B$1024,MATCH(X1782,工厂基础数据!$D$2:$D$1024,0))</f>
        <v>山东康为医药有限公司</v>
      </c>
      <c r="F1782" s="6" t="e">
        <f>INDEX(商业2转码!$B$2:$B$10000,MATCH(E1782,商业2转码!$A$2:$A$10000,0))</f>
        <v>#N/A</v>
      </c>
      <c r="G1782" s="6" t="str">
        <f>INDEX(品种2编码!$A$2:$A$1048576,MATCH(W1782,品种2编码!$D$2:$D$1048576,0))</f>
        <v>0020030001SJZY0009</v>
      </c>
      <c r="H1782" s="6" t="s">
        <v>1949</v>
      </c>
      <c r="I1782" s="6" t="s">
        <v>411</v>
      </c>
      <c r="J1782" s="6" t="s">
        <v>3040</v>
      </c>
      <c r="L1782" s="6" t="s">
        <v>3415</v>
      </c>
      <c r="M1782" s="6" t="e">
        <f>INDEX(医院2县区2人!$B$2:$B$1048576,MATCH(L1782,医院2县区2人!$A$2:$A$1048576,0))</f>
        <v>#N/A</v>
      </c>
      <c r="N1782" s="6" t="e">
        <f>INDEX(医院2县区2人!$C$2:$C$1048576,MATCH(L1782,医院2县区2人!$A$2:$A$1048576,0))</f>
        <v>#N/A</v>
      </c>
      <c r="P1782" s="7">
        <v>43270</v>
      </c>
      <c r="Q1782" s="6">
        <v>20</v>
      </c>
      <c r="S1782" s="6">
        <v>18031227</v>
      </c>
      <c r="T1782" s="6" t="e">
        <f>INDEX(医院2县区2人!$D$2:$D$1048576,MATCH(L1782,医院2县区2人!$A$2:$A$1048576,0))</f>
        <v>#N/A</v>
      </c>
      <c r="W1782" s="6" t="str">
        <f t="shared" si="57"/>
        <v>葡萄糖酸锌口服溶液10ml*12支</v>
      </c>
      <c r="X1782" s="6" t="s">
        <v>2907</v>
      </c>
    </row>
    <row r="1783" spans="1:24" x14ac:dyDescent="0.15">
      <c r="A1783" s="7" t="str">
        <f t="shared" si="58"/>
        <v>201806</v>
      </c>
      <c r="C1783" s="6" t="str">
        <f>INDEX(工厂基础数据!$A$2:$A$1024,MATCH(X1783,工厂基础数据!$D$2:$D$1024,0))</f>
        <v>02029238</v>
      </c>
      <c r="E1783" s="6" t="str">
        <f>INDEX(工厂基础数据!$B$2:$B$1024,MATCH(X1783,工厂基础数据!$D$2:$D$1024,0))</f>
        <v>山东康为医药有限公司</v>
      </c>
      <c r="F1783" s="6" t="e">
        <f>INDEX(商业2转码!$B$2:$B$10000,MATCH(E1783,商业2转码!$A$2:$A$10000,0))</f>
        <v>#N/A</v>
      </c>
      <c r="G1783" s="6">
        <f>INDEX(品种2编码!$A$2:$A$1048576,MATCH(W1783,品种2编码!$D$2:$D$1048576,0))</f>
        <v>0</v>
      </c>
      <c r="H1783" s="6" t="s">
        <v>3447</v>
      </c>
      <c r="I1783" s="6" t="s">
        <v>1838</v>
      </c>
      <c r="J1783" s="6" t="s">
        <v>3036</v>
      </c>
      <c r="L1783" s="6" t="s">
        <v>3398</v>
      </c>
      <c r="M1783" s="6" t="e">
        <f>INDEX(医院2县区2人!$B$2:$B$1048576,MATCH(L1783,医院2县区2人!$A$2:$A$1048576,0))</f>
        <v>#N/A</v>
      </c>
      <c r="N1783" s="6" t="e">
        <f>INDEX(医院2县区2人!$C$2:$C$1048576,MATCH(L1783,医院2县区2人!$A$2:$A$1048576,0))</f>
        <v>#N/A</v>
      </c>
      <c r="P1783" s="7">
        <v>43270</v>
      </c>
      <c r="Q1783" s="6">
        <v>10</v>
      </c>
      <c r="S1783" s="6">
        <v>171243</v>
      </c>
      <c r="T1783" s="6" t="e">
        <f>INDEX(医院2县区2人!$D$2:$D$1048576,MATCH(L1783,医院2县区2人!$A$2:$A$1048576,0))</f>
        <v>#N/A</v>
      </c>
      <c r="W1783" s="6" t="str">
        <f t="shared" si="57"/>
        <v>新盖中盖高钙片/成人2.5g*36片</v>
      </c>
      <c r="X1783" s="6" t="s">
        <v>2907</v>
      </c>
    </row>
    <row r="1784" spans="1:24" x14ac:dyDescent="0.15">
      <c r="A1784" s="7" t="str">
        <f t="shared" si="58"/>
        <v>201806</v>
      </c>
      <c r="C1784" s="6" t="str">
        <f>INDEX(工厂基础数据!$A$2:$A$1024,MATCH(X1784,工厂基础数据!$D$2:$D$1024,0))</f>
        <v>02029238</v>
      </c>
      <c r="E1784" s="6" t="str">
        <f>INDEX(工厂基础数据!$B$2:$B$1024,MATCH(X1784,工厂基础数据!$D$2:$D$1024,0))</f>
        <v>山东康为医药有限公司</v>
      </c>
      <c r="F1784" s="6" t="e">
        <f>INDEX(商业2转码!$B$2:$B$10000,MATCH(E1784,商业2转码!$A$2:$A$10000,0))</f>
        <v>#N/A</v>
      </c>
      <c r="G1784" s="6" t="str">
        <f>INDEX(品种2编码!$A$2:$A$1048576,MATCH(W1784,品种2编码!$D$2:$D$1048576,0))</f>
        <v>0020050090SJZY0001</v>
      </c>
      <c r="H1784" s="6" t="s">
        <v>630</v>
      </c>
      <c r="I1784" s="6" t="s">
        <v>1850</v>
      </c>
      <c r="J1784" s="6" t="s">
        <v>3040</v>
      </c>
      <c r="L1784" s="6" t="s">
        <v>3398</v>
      </c>
      <c r="M1784" s="6" t="e">
        <f>INDEX(医院2县区2人!$B$2:$B$1048576,MATCH(L1784,医院2县区2人!$A$2:$A$1048576,0))</f>
        <v>#N/A</v>
      </c>
      <c r="N1784" s="6" t="e">
        <f>INDEX(医院2县区2人!$C$2:$C$1048576,MATCH(L1784,医院2县区2人!$A$2:$A$1048576,0))</f>
        <v>#N/A</v>
      </c>
      <c r="P1784" s="7">
        <v>43270</v>
      </c>
      <c r="Q1784" s="6">
        <v>10</v>
      </c>
      <c r="S1784" s="6">
        <v>18010723</v>
      </c>
      <c r="T1784" s="6" t="e">
        <f>INDEX(医院2县区2人!$D$2:$D$1048576,MATCH(L1784,医院2县区2人!$A$2:$A$1048576,0))</f>
        <v>#N/A</v>
      </c>
      <c r="W1784" s="6" t="str">
        <f t="shared" si="57"/>
        <v>双黄连口服液10ml*10支</v>
      </c>
      <c r="X1784" s="6" t="s">
        <v>2907</v>
      </c>
    </row>
    <row r="1785" spans="1:24" x14ac:dyDescent="0.15">
      <c r="A1785" s="7" t="str">
        <f t="shared" si="58"/>
        <v>201806</v>
      </c>
      <c r="C1785" s="6" t="str">
        <f>INDEX(工厂基础数据!$A$2:$A$1024,MATCH(X1785,工厂基础数据!$D$2:$D$1024,0))</f>
        <v>02029238</v>
      </c>
      <c r="E1785" s="6" t="str">
        <f>INDEX(工厂基础数据!$B$2:$B$1024,MATCH(X1785,工厂基础数据!$D$2:$D$1024,0))</f>
        <v>山东康为医药有限公司</v>
      </c>
      <c r="F1785" s="6" t="e">
        <f>INDEX(商业2转码!$B$2:$B$10000,MATCH(E1785,商业2转码!$A$2:$A$10000,0))</f>
        <v>#N/A</v>
      </c>
      <c r="G1785" s="6">
        <f>INDEX(品种2编码!$A$2:$A$1048576,MATCH(W1785,品种2编码!$D$2:$D$1048576,0))</f>
        <v>0</v>
      </c>
      <c r="H1785" s="6" t="s">
        <v>1857</v>
      </c>
      <c r="I1785" s="6" t="s">
        <v>3454</v>
      </c>
      <c r="J1785" s="6" t="s">
        <v>3037</v>
      </c>
      <c r="L1785" s="6" t="s">
        <v>3398</v>
      </c>
      <c r="M1785" s="6" t="e">
        <f>INDEX(医院2县区2人!$B$2:$B$1048576,MATCH(L1785,医院2县区2人!$A$2:$A$1048576,0))</f>
        <v>#N/A</v>
      </c>
      <c r="N1785" s="6" t="e">
        <f>INDEX(医院2县区2人!$C$2:$C$1048576,MATCH(L1785,医院2县区2人!$A$2:$A$1048576,0))</f>
        <v>#N/A</v>
      </c>
      <c r="P1785" s="7">
        <v>43270</v>
      </c>
      <c r="Q1785" s="6">
        <v>10</v>
      </c>
      <c r="S1785" s="6">
        <v>1703407</v>
      </c>
      <c r="T1785" s="6" t="e">
        <f>INDEX(医院2县区2人!$D$2:$D$1048576,MATCH(L1785,医院2县区2人!$A$2:$A$1048576,0))</f>
        <v>#N/A</v>
      </c>
      <c r="W1785" s="6" t="str">
        <f t="shared" si="57"/>
        <v>妇宁栓7枚</v>
      </c>
      <c r="X1785" s="6" t="s">
        <v>2907</v>
      </c>
    </row>
    <row r="1786" spans="1:24" x14ac:dyDescent="0.15">
      <c r="A1786" s="7" t="str">
        <f t="shared" si="58"/>
        <v>201806</v>
      </c>
      <c r="C1786" s="6" t="str">
        <f>INDEX(工厂基础数据!$A$2:$A$1024,MATCH(X1786,工厂基础数据!$D$2:$D$1024,0))</f>
        <v>02029238</v>
      </c>
      <c r="E1786" s="6" t="str">
        <f>INDEX(工厂基础数据!$B$2:$B$1024,MATCH(X1786,工厂基础数据!$D$2:$D$1024,0))</f>
        <v>山东康为医药有限公司</v>
      </c>
      <c r="F1786" s="6" t="e">
        <f>INDEX(商业2转码!$B$2:$B$10000,MATCH(E1786,商业2转码!$A$2:$A$10000,0))</f>
        <v>#N/A</v>
      </c>
      <c r="G1786" s="6">
        <f>INDEX(品种2编码!$A$2:$A$1048576,MATCH(W1786,品种2编码!$D$2:$D$1048576,0))</f>
        <v>0</v>
      </c>
      <c r="H1786" s="6" t="s">
        <v>3450</v>
      </c>
      <c r="I1786" s="6" t="s">
        <v>1871</v>
      </c>
      <c r="J1786" s="6" t="s">
        <v>3045</v>
      </c>
      <c r="L1786" s="6" t="s">
        <v>3375</v>
      </c>
      <c r="M1786" s="6" t="e">
        <f>INDEX(医院2县区2人!$B$2:$B$1048576,MATCH(L1786,医院2县区2人!$A$2:$A$1048576,0))</f>
        <v>#N/A</v>
      </c>
      <c r="N1786" s="6" t="e">
        <f>INDEX(医院2县区2人!$C$2:$C$1048576,MATCH(L1786,医院2县区2人!$A$2:$A$1048576,0))</f>
        <v>#N/A</v>
      </c>
      <c r="P1786" s="7">
        <v>43271</v>
      </c>
      <c r="Q1786" s="6">
        <v>10</v>
      </c>
      <c r="S1786" s="6">
        <v>1709003</v>
      </c>
      <c r="T1786" s="6" t="e">
        <f>INDEX(医院2县区2人!$D$2:$D$1048576,MATCH(L1786,医院2县区2人!$A$2:$A$1048576,0))</f>
        <v>#N/A</v>
      </c>
      <c r="W1786" s="6" t="str">
        <f t="shared" si="57"/>
        <v>复方铝酸铋片/胃必治50片</v>
      </c>
      <c r="X1786" s="6" t="s">
        <v>2907</v>
      </c>
    </row>
    <row r="1787" spans="1:24" x14ac:dyDescent="0.15">
      <c r="A1787" s="7" t="str">
        <f t="shared" si="58"/>
        <v>201806</v>
      </c>
      <c r="C1787" s="6" t="str">
        <f>INDEX(工厂基础数据!$A$2:$A$1024,MATCH(X1787,工厂基础数据!$D$2:$D$1024,0))</f>
        <v>02029238</v>
      </c>
      <c r="E1787" s="6" t="str">
        <f>INDEX(工厂基础数据!$B$2:$B$1024,MATCH(X1787,工厂基础数据!$D$2:$D$1024,0))</f>
        <v>山东康为医药有限公司</v>
      </c>
      <c r="F1787" s="6" t="e">
        <f>INDEX(商业2转码!$B$2:$B$10000,MATCH(E1787,商业2转码!$A$2:$A$10000,0))</f>
        <v>#N/A</v>
      </c>
      <c r="G1787" s="6" t="str">
        <f>INDEX(品种2编码!$A$2:$A$1048576,MATCH(W1787,品种2编码!$D$2:$D$1048576,0))</f>
        <v>0020020030ZYZC0264</v>
      </c>
      <c r="H1787" s="6" t="s">
        <v>245</v>
      </c>
      <c r="I1787" s="6" t="s">
        <v>254</v>
      </c>
      <c r="J1787" s="6" t="s">
        <v>3038</v>
      </c>
      <c r="L1787" s="6" t="s">
        <v>3375</v>
      </c>
      <c r="M1787" s="6" t="e">
        <f>INDEX(医院2县区2人!$B$2:$B$1048576,MATCH(L1787,医院2县区2人!$A$2:$A$1048576,0))</f>
        <v>#N/A</v>
      </c>
      <c r="N1787" s="6" t="e">
        <f>INDEX(医院2县区2人!$C$2:$C$1048576,MATCH(L1787,医院2县区2人!$A$2:$A$1048576,0))</f>
        <v>#N/A</v>
      </c>
      <c r="P1787" s="7">
        <v>43271</v>
      </c>
      <c r="Q1787" s="6">
        <v>11</v>
      </c>
      <c r="S1787" s="6" t="s">
        <v>3052</v>
      </c>
      <c r="T1787" s="6" t="e">
        <f>INDEX(医院2县区2人!$D$2:$D$1048576,MATCH(L1787,医院2县区2人!$A$2:$A$1048576,0))</f>
        <v>#N/A</v>
      </c>
      <c r="W1787" s="6" t="str">
        <f t="shared" si="57"/>
        <v>阿莫西林胶囊0.5g*20粒</v>
      </c>
      <c r="X1787" s="6" t="s">
        <v>2907</v>
      </c>
    </row>
    <row r="1788" spans="1:24" x14ac:dyDescent="0.15">
      <c r="A1788" s="7" t="str">
        <f t="shared" si="58"/>
        <v>201806</v>
      </c>
      <c r="C1788" s="6" t="str">
        <f>INDEX(工厂基础数据!$A$2:$A$1024,MATCH(X1788,工厂基础数据!$D$2:$D$1024,0))</f>
        <v>02029238</v>
      </c>
      <c r="E1788" s="6" t="str">
        <f>INDEX(工厂基础数据!$B$2:$B$1024,MATCH(X1788,工厂基础数据!$D$2:$D$1024,0))</f>
        <v>山东康为医药有限公司</v>
      </c>
      <c r="F1788" s="6" t="e">
        <f>INDEX(商业2转码!$B$2:$B$10000,MATCH(E1788,商业2转码!$A$2:$A$10000,0))</f>
        <v>#N/A</v>
      </c>
      <c r="G1788" s="6" t="str">
        <f>INDEX(品种2编码!$A$2:$A$1048576,MATCH(W1788,品种2编码!$D$2:$D$1048576,0))</f>
        <v>0020020020SJMS0008</v>
      </c>
      <c r="H1788" s="6" t="s">
        <v>1904</v>
      </c>
      <c r="I1788" s="6" t="s">
        <v>1873</v>
      </c>
      <c r="J1788" s="6" t="s">
        <v>3046</v>
      </c>
      <c r="L1788" s="6" t="s">
        <v>3370</v>
      </c>
      <c r="M1788" s="6" t="e">
        <f>INDEX(医院2县区2人!$B$2:$B$1048576,MATCH(L1788,医院2县区2人!$A$2:$A$1048576,0))</f>
        <v>#N/A</v>
      </c>
      <c r="N1788" s="6" t="e">
        <f>INDEX(医院2县区2人!$C$2:$C$1048576,MATCH(L1788,医院2县区2人!$A$2:$A$1048576,0))</f>
        <v>#N/A</v>
      </c>
      <c r="P1788" s="7">
        <v>43271</v>
      </c>
      <c r="Q1788" s="6">
        <v>10</v>
      </c>
      <c r="S1788" s="6">
        <v>1801004</v>
      </c>
      <c r="T1788" s="6" t="e">
        <f>INDEX(医院2县区2人!$D$2:$D$1048576,MATCH(L1788,医院2县区2人!$A$2:$A$1048576,0))</f>
        <v>#N/A</v>
      </c>
      <c r="W1788" s="6" t="str">
        <f t="shared" si="57"/>
        <v>拉西地平片/三精司乐平片4mg*15片</v>
      </c>
      <c r="X1788" s="6" t="s">
        <v>2907</v>
      </c>
    </row>
    <row r="1789" spans="1:24" x14ac:dyDescent="0.15">
      <c r="A1789" s="7" t="str">
        <f t="shared" si="58"/>
        <v>201806</v>
      </c>
      <c r="C1789" s="6" t="str">
        <f>INDEX(工厂基础数据!$A$2:$A$1024,MATCH(X1789,工厂基础数据!$D$2:$D$1024,0))</f>
        <v>02029238</v>
      </c>
      <c r="E1789" s="6" t="str">
        <f>INDEX(工厂基础数据!$B$2:$B$1024,MATCH(X1789,工厂基础数据!$D$2:$D$1024,0))</f>
        <v>山东康为医药有限公司</v>
      </c>
      <c r="F1789" s="6" t="e">
        <f>INDEX(商业2转码!$B$2:$B$10000,MATCH(E1789,商业2转码!$A$2:$A$10000,0))</f>
        <v>#N/A</v>
      </c>
      <c r="G1789" s="6" t="str">
        <f>INDEX(品种2编码!$A$2:$A$1048576,MATCH(W1789,品种2编码!$D$2:$D$1048576,0))</f>
        <v>0020030040ZYLC0001</v>
      </c>
      <c r="H1789" s="6" t="s">
        <v>1852</v>
      </c>
      <c r="I1789" s="6" t="s">
        <v>1853</v>
      </c>
      <c r="J1789" s="6" t="s">
        <v>3036</v>
      </c>
      <c r="L1789" s="6" t="s">
        <v>3416</v>
      </c>
      <c r="M1789" s="6" t="e">
        <f>INDEX(医院2县区2人!$B$2:$B$1048576,MATCH(L1789,医院2县区2人!$A$2:$A$1048576,0))</f>
        <v>#N/A</v>
      </c>
      <c r="N1789" s="6" t="e">
        <f>INDEX(医院2县区2人!$C$2:$C$1048576,MATCH(L1789,医院2县区2人!$A$2:$A$1048576,0))</f>
        <v>#N/A</v>
      </c>
      <c r="P1789" s="7">
        <v>43272</v>
      </c>
      <c r="Q1789" s="6">
        <v>50</v>
      </c>
      <c r="S1789" s="6">
        <v>171116</v>
      </c>
      <c r="T1789" s="6" t="e">
        <f>INDEX(医院2县区2人!$D$2:$D$1048576,MATCH(L1789,医院2县区2人!$A$2:$A$1048576,0))</f>
        <v>#N/A</v>
      </c>
      <c r="W1789" s="6" t="str">
        <f t="shared" si="57"/>
        <v>小儿氨酚黄那敏颗粒/护彤2g*12袋</v>
      </c>
      <c r="X1789" s="6" t="s">
        <v>2907</v>
      </c>
    </row>
    <row r="1790" spans="1:24" x14ac:dyDescent="0.15">
      <c r="A1790" s="7" t="str">
        <f t="shared" si="58"/>
        <v>201806</v>
      </c>
      <c r="C1790" s="6" t="str">
        <f>INDEX(工厂基础数据!$A$2:$A$1024,MATCH(X1790,工厂基础数据!$D$2:$D$1024,0))</f>
        <v>02029238</v>
      </c>
      <c r="E1790" s="6" t="str">
        <f>INDEX(工厂基础数据!$B$2:$B$1024,MATCH(X1790,工厂基础数据!$D$2:$D$1024,0))</f>
        <v>山东康为医药有限公司</v>
      </c>
      <c r="F1790" s="6" t="e">
        <f>INDEX(商业2转码!$B$2:$B$10000,MATCH(E1790,商业2转码!$A$2:$A$10000,0))</f>
        <v>#N/A</v>
      </c>
      <c r="G1790" s="6">
        <f>INDEX(品种2编码!$A$2:$A$1048576,MATCH(W1790,品种2编码!$D$2:$D$1048576,0))</f>
        <v>0</v>
      </c>
      <c r="H1790" s="6" t="s">
        <v>3447</v>
      </c>
      <c r="I1790" s="6" t="s">
        <v>1838</v>
      </c>
      <c r="J1790" s="6" t="s">
        <v>3036</v>
      </c>
      <c r="L1790" s="6" t="s">
        <v>3416</v>
      </c>
      <c r="M1790" s="6" t="e">
        <f>INDEX(医院2县区2人!$B$2:$B$1048576,MATCH(L1790,医院2县区2人!$A$2:$A$1048576,0))</f>
        <v>#N/A</v>
      </c>
      <c r="N1790" s="6" t="e">
        <f>INDEX(医院2县区2人!$C$2:$C$1048576,MATCH(L1790,医院2县区2人!$A$2:$A$1048576,0))</f>
        <v>#N/A</v>
      </c>
      <c r="P1790" s="7">
        <v>43272</v>
      </c>
      <c r="Q1790" s="6">
        <v>60</v>
      </c>
      <c r="S1790" s="6">
        <v>171251</v>
      </c>
      <c r="T1790" s="6" t="e">
        <f>INDEX(医院2县区2人!$D$2:$D$1048576,MATCH(L1790,医院2县区2人!$A$2:$A$1048576,0))</f>
        <v>#N/A</v>
      </c>
      <c r="W1790" s="6" t="str">
        <f t="shared" si="57"/>
        <v>新盖中盖高钙片/成人2.5g*36片</v>
      </c>
      <c r="X1790" s="6" t="s">
        <v>2907</v>
      </c>
    </row>
    <row r="1791" spans="1:24" x14ac:dyDescent="0.15">
      <c r="A1791" s="7" t="str">
        <f t="shared" si="58"/>
        <v>201806</v>
      </c>
      <c r="C1791" s="6" t="str">
        <f>INDEX(工厂基础数据!$A$2:$A$1024,MATCH(X1791,工厂基础数据!$D$2:$D$1024,0))</f>
        <v>02029238</v>
      </c>
      <c r="E1791" s="6" t="str">
        <f>INDEX(工厂基础数据!$B$2:$B$1024,MATCH(X1791,工厂基础数据!$D$2:$D$1024,0))</f>
        <v>山东康为医药有限公司</v>
      </c>
      <c r="F1791" s="6" t="e">
        <f>INDEX(商业2转码!$B$2:$B$10000,MATCH(E1791,商业2转码!$A$2:$A$10000,0))</f>
        <v>#N/A</v>
      </c>
      <c r="G1791" s="6">
        <f>INDEX(品种2编码!$A$2:$A$1048576,MATCH(W1791,品种2编码!$D$2:$D$1048576,0))</f>
        <v>0</v>
      </c>
      <c r="H1791" s="6" t="s">
        <v>3451</v>
      </c>
      <c r="I1791" s="6" t="s">
        <v>381</v>
      </c>
      <c r="J1791" s="6" t="s">
        <v>3036</v>
      </c>
      <c r="L1791" s="6" t="s">
        <v>3417</v>
      </c>
      <c r="M1791" s="6" t="e">
        <f>INDEX(医院2县区2人!$B$2:$B$1048576,MATCH(L1791,医院2县区2人!$A$2:$A$1048576,0))</f>
        <v>#N/A</v>
      </c>
      <c r="N1791" s="6" t="e">
        <f>INDEX(医院2县区2人!$C$2:$C$1048576,MATCH(L1791,医院2县区2人!$A$2:$A$1048576,0))</f>
        <v>#N/A</v>
      </c>
      <c r="P1791" s="7">
        <v>43272</v>
      </c>
      <c r="Q1791" s="6">
        <v>20</v>
      </c>
      <c r="S1791" s="6">
        <v>170706</v>
      </c>
      <c r="T1791" s="6" t="e">
        <f>INDEX(医院2县区2人!$D$2:$D$1048576,MATCH(L1791,医院2县区2人!$A$2:$A$1048576,0))</f>
        <v>#N/A</v>
      </c>
      <c r="W1791" s="6" t="str">
        <f t="shared" ref="W1791:W1854" si="59">H1791&amp;I1791</f>
        <v>颠茄磺苄啶片/泻利停12片</v>
      </c>
      <c r="X1791" s="6" t="s">
        <v>2907</v>
      </c>
    </row>
    <row r="1792" spans="1:24" x14ac:dyDescent="0.15">
      <c r="A1792" s="7" t="str">
        <f t="shared" ref="A1792:A1855" si="60">IF(MONTH(P1792)&lt;10,YEAR(P1792)&amp;"0"&amp;MONTH(P1792),YEAR(P1792)&amp;MONTH(P1792))</f>
        <v>201806</v>
      </c>
      <c r="C1792" s="6" t="str">
        <f>INDEX(工厂基础数据!$A$2:$A$1024,MATCH(X1792,工厂基础数据!$D$2:$D$1024,0))</f>
        <v>02029238</v>
      </c>
      <c r="E1792" s="6" t="str">
        <f>INDEX(工厂基础数据!$B$2:$B$1024,MATCH(X1792,工厂基础数据!$D$2:$D$1024,0))</f>
        <v>山东康为医药有限公司</v>
      </c>
      <c r="F1792" s="6" t="e">
        <f>INDEX(商业2转码!$B$2:$B$10000,MATCH(E1792,商业2转码!$A$2:$A$10000,0))</f>
        <v>#N/A</v>
      </c>
      <c r="G1792" s="6" t="str">
        <f>INDEX(品种2编码!$A$2:$A$1048576,MATCH(W1792,品种2编码!$D$2:$D$1048576,0))</f>
        <v>0020070001ZYZC0369</v>
      </c>
      <c r="H1792" s="6" t="s">
        <v>1849</v>
      </c>
      <c r="I1792" s="6" t="s">
        <v>411</v>
      </c>
      <c r="J1792" s="6" t="s">
        <v>3038</v>
      </c>
      <c r="L1792" s="6" t="s">
        <v>3418</v>
      </c>
      <c r="M1792" s="6" t="e">
        <f>INDEX(医院2县区2人!$B$2:$B$1048576,MATCH(L1792,医院2县区2人!$A$2:$A$1048576,0))</f>
        <v>#N/A</v>
      </c>
      <c r="N1792" s="6" t="e">
        <f>INDEX(医院2县区2人!$C$2:$C$1048576,MATCH(L1792,医院2县区2人!$A$2:$A$1048576,0))</f>
        <v>#N/A</v>
      </c>
      <c r="P1792" s="7">
        <v>43272</v>
      </c>
      <c r="Q1792" s="6">
        <v>60</v>
      </c>
      <c r="S1792" s="6">
        <v>1801029</v>
      </c>
      <c r="T1792" s="6" t="e">
        <f>INDEX(医院2县区2人!$D$2:$D$1048576,MATCH(L1792,医院2县区2人!$A$2:$A$1048576,0))</f>
        <v>#N/A</v>
      </c>
      <c r="W1792" s="6" t="str">
        <f t="shared" si="59"/>
        <v>哈药牌钙铁锌口服液10ml*12支</v>
      </c>
      <c r="X1792" s="6" t="s">
        <v>2907</v>
      </c>
    </row>
    <row r="1793" spans="1:24" x14ac:dyDescent="0.15">
      <c r="A1793" s="7" t="str">
        <f t="shared" si="60"/>
        <v>201806</v>
      </c>
      <c r="C1793" s="6" t="str">
        <f>INDEX(工厂基础数据!$A$2:$A$1024,MATCH(X1793,工厂基础数据!$D$2:$D$1024,0))</f>
        <v>02029238</v>
      </c>
      <c r="E1793" s="6" t="str">
        <f>INDEX(工厂基础数据!$B$2:$B$1024,MATCH(X1793,工厂基础数据!$D$2:$D$1024,0))</f>
        <v>山东康为医药有限公司</v>
      </c>
      <c r="F1793" s="6" t="e">
        <f>INDEX(商业2转码!$B$2:$B$10000,MATCH(E1793,商业2转码!$A$2:$A$10000,0))</f>
        <v>#N/A</v>
      </c>
      <c r="G1793" s="6" t="str">
        <f>INDEX(品种2编码!$A$2:$A$1048576,MATCH(W1793,品种2编码!$D$2:$D$1048576,0))</f>
        <v>0020030170ZYEC0003</v>
      </c>
      <c r="H1793" s="6" t="s">
        <v>1835</v>
      </c>
      <c r="I1793" s="6" t="s">
        <v>1836</v>
      </c>
      <c r="J1793" s="6" t="s">
        <v>3041</v>
      </c>
      <c r="L1793" s="6" t="s">
        <v>3419</v>
      </c>
      <c r="M1793" s="6" t="e">
        <f>INDEX(医院2县区2人!$B$2:$B$1048576,MATCH(L1793,医院2县区2人!$A$2:$A$1048576,0))</f>
        <v>#N/A</v>
      </c>
      <c r="N1793" s="6" t="e">
        <f>INDEX(医院2县区2人!$C$2:$C$1048576,MATCH(L1793,医院2县区2人!$A$2:$A$1048576,0))</f>
        <v>#N/A</v>
      </c>
      <c r="P1793" s="7">
        <v>43273</v>
      </c>
      <c r="Q1793" s="6">
        <v>10</v>
      </c>
      <c r="S1793" s="6">
        <v>170511</v>
      </c>
      <c r="T1793" s="6" t="e">
        <f>INDEX(医院2县区2人!$D$2:$D$1048576,MATCH(L1793,医院2县区2人!$A$2:$A$1048576,0))</f>
        <v>#N/A</v>
      </c>
      <c r="W1793" s="6" t="str">
        <f t="shared" si="59"/>
        <v>蒙脱石散3g*12袋</v>
      </c>
      <c r="X1793" s="6" t="s">
        <v>2907</v>
      </c>
    </row>
    <row r="1794" spans="1:24" x14ac:dyDescent="0.15">
      <c r="A1794" s="7" t="str">
        <f t="shared" si="60"/>
        <v>201806</v>
      </c>
      <c r="C1794" s="6" t="str">
        <f>INDEX(工厂基础数据!$A$2:$A$1024,MATCH(X1794,工厂基础数据!$D$2:$D$1024,0))</f>
        <v>02029238</v>
      </c>
      <c r="E1794" s="6" t="str">
        <f>INDEX(工厂基础数据!$B$2:$B$1024,MATCH(X1794,工厂基础数据!$D$2:$D$1024,0))</f>
        <v>山东康为医药有限公司</v>
      </c>
      <c r="F1794" s="6" t="e">
        <f>INDEX(商业2转码!$B$2:$B$10000,MATCH(E1794,商业2转码!$A$2:$A$10000,0))</f>
        <v>#N/A</v>
      </c>
      <c r="G1794" s="6" t="str">
        <f>INDEX(品种2编码!$A$2:$A$1048576,MATCH(W1794,品种2编码!$D$2:$D$1048576,0))</f>
        <v>0020020020SJMS0008</v>
      </c>
      <c r="H1794" s="6" t="s">
        <v>1904</v>
      </c>
      <c r="I1794" s="6" t="s">
        <v>1873</v>
      </c>
      <c r="J1794" s="6" t="s">
        <v>3046</v>
      </c>
      <c r="L1794" s="6" t="s">
        <v>3420</v>
      </c>
      <c r="M1794" s="6" t="e">
        <f>INDEX(医院2县区2人!$B$2:$B$1048576,MATCH(L1794,医院2县区2人!$A$2:$A$1048576,0))</f>
        <v>#N/A</v>
      </c>
      <c r="N1794" s="6" t="e">
        <f>INDEX(医院2县区2人!$C$2:$C$1048576,MATCH(L1794,医院2县区2人!$A$2:$A$1048576,0))</f>
        <v>#N/A</v>
      </c>
      <c r="P1794" s="7">
        <v>43273</v>
      </c>
      <c r="Q1794" s="6">
        <v>30</v>
      </c>
      <c r="S1794" s="6">
        <v>1801004</v>
      </c>
      <c r="T1794" s="6" t="e">
        <f>INDEX(医院2县区2人!$D$2:$D$1048576,MATCH(L1794,医院2县区2人!$A$2:$A$1048576,0))</f>
        <v>#N/A</v>
      </c>
      <c r="W1794" s="6" t="str">
        <f t="shared" si="59"/>
        <v>拉西地平片/三精司乐平片4mg*15片</v>
      </c>
      <c r="X1794" s="6" t="s">
        <v>2907</v>
      </c>
    </row>
    <row r="1795" spans="1:24" x14ac:dyDescent="0.15">
      <c r="A1795" s="7" t="str">
        <f t="shared" si="60"/>
        <v>201806</v>
      </c>
      <c r="C1795" s="6" t="str">
        <f>INDEX(工厂基础数据!$A$2:$A$1024,MATCH(X1795,工厂基础数据!$D$2:$D$1024,0))</f>
        <v>02029238</v>
      </c>
      <c r="E1795" s="6" t="str">
        <f>INDEX(工厂基础数据!$B$2:$B$1024,MATCH(X1795,工厂基础数据!$D$2:$D$1024,0))</f>
        <v>山东康为医药有限公司</v>
      </c>
      <c r="F1795" s="6" t="e">
        <f>INDEX(商业2转码!$B$2:$B$10000,MATCH(E1795,商业2转码!$A$2:$A$10000,0))</f>
        <v>#N/A</v>
      </c>
      <c r="G1795" s="6" t="str">
        <f>INDEX(品种2编码!$A$2:$A$1048576,MATCH(W1795,品种2编码!$D$2:$D$1048576,0))</f>
        <v>0020020021ZYLC0004</v>
      </c>
      <c r="H1795" s="6" t="s">
        <v>1868</v>
      </c>
      <c r="I1795" s="6" t="s">
        <v>1869</v>
      </c>
      <c r="J1795" s="6" t="s">
        <v>3036</v>
      </c>
      <c r="L1795" s="6" t="s">
        <v>3421</v>
      </c>
      <c r="M1795" s="6" t="e">
        <f>INDEX(医院2县区2人!$B$2:$B$1048576,MATCH(L1795,医院2县区2人!$A$2:$A$1048576,0))</f>
        <v>#N/A</v>
      </c>
      <c r="N1795" s="6" t="e">
        <f>INDEX(医院2县区2人!$C$2:$C$1048576,MATCH(L1795,医院2县区2人!$A$2:$A$1048576,0))</f>
        <v>#N/A</v>
      </c>
      <c r="P1795" s="7">
        <v>43273</v>
      </c>
      <c r="Q1795" s="6">
        <v>30</v>
      </c>
      <c r="S1795" s="6">
        <v>171101</v>
      </c>
      <c r="T1795" s="6" t="e">
        <f>INDEX(医院2县区2人!$D$2:$D$1048576,MATCH(L1795,医院2县区2人!$A$2:$A$1048576,0))</f>
        <v>#N/A</v>
      </c>
      <c r="W1795" s="6" t="str">
        <f t="shared" si="59"/>
        <v>罗红霉素分散片/大严迪75mg*12片</v>
      </c>
      <c r="X1795" s="6" t="s">
        <v>2907</v>
      </c>
    </row>
    <row r="1796" spans="1:24" x14ac:dyDescent="0.15">
      <c r="A1796" s="7" t="str">
        <f t="shared" si="60"/>
        <v>201806</v>
      </c>
      <c r="C1796" s="6" t="str">
        <f>INDEX(工厂基础数据!$A$2:$A$1024,MATCH(X1796,工厂基础数据!$D$2:$D$1024,0))</f>
        <v>02029238</v>
      </c>
      <c r="E1796" s="6" t="str">
        <f>INDEX(工厂基础数据!$B$2:$B$1024,MATCH(X1796,工厂基础数据!$D$2:$D$1024,0))</f>
        <v>山东康为医药有限公司</v>
      </c>
      <c r="F1796" s="6" t="e">
        <f>INDEX(商业2转码!$B$2:$B$10000,MATCH(E1796,商业2转码!$A$2:$A$10000,0))</f>
        <v>#N/A</v>
      </c>
      <c r="G1796" s="6">
        <f>INDEX(品种2编码!$A$2:$A$1048576,MATCH(W1796,品种2编码!$D$2:$D$1048576,0))</f>
        <v>0</v>
      </c>
      <c r="H1796" s="6" t="s">
        <v>3447</v>
      </c>
      <c r="I1796" s="6" t="s">
        <v>1838</v>
      </c>
      <c r="J1796" s="6" t="s">
        <v>3036</v>
      </c>
      <c r="L1796" s="6" t="s">
        <v>3421</v>
      </c>
      <c r="M1796" s="6" t="e">
        <f>INDEX(医院2县区2人!$B$2:$B$1048576,MATCH(L1796,医院2县区2人!$A$2:$A$1048576,0))</f>
        <v>#N/A</v>
      </c>
      <c r="N1796" s="6" t="e">
        <f>INDEX(医院2县区2人!$C$2:$C$1048576,MATCH(L1796,医院2县区2人!$A$2:$A$1048576,0))</f>
        <v>#N/A</v>
      </c>
      <c r="P1796" s="7">
        <v>43273</v>
      </c>
      <c r="Q1796" s="6">
        <v>10</v>
      </c>
      <c r="S1796" s="6">
        <v>171243</v>
      </c>
      <c r="T1796" s="6" t="e">
        <f>INDEX(医院2县区2人!$D$2:$D$1048576,MATCH(L1796,医院2县区2人!$A$2:$A$1048576,0))</f>
        <v>#N/A</v>
      </c>
      <c r="W1796" s="6" t="str">
        <f t="shared" si="59"/>
        <v>新盖中盖高钙片/成人2.5g*36片</v>
      </c>
      <c r="X1796" s="6" t="s">
        <v>2907</v>
      </c>
    </row>
    <row r="1797" spans="1:24" x14ac:dyDescent="0.15">
      <c r="A1797" s="7" t="str">
        <f t="shared" si="60"/>
        <v>201806</v>
      </c>
      <c r="C1797" s="6" t="str">
        <f>INDEX(工厂基础数据!$A$2:$A$1024,MATCH(X1797,工厂基础数据!$D$2:$D$1024,0))</f>
        <v>02029238</v>
      </c>
      <c r="E1797" s="6" t="str">
        <f>INDEX(工厂基础数据!$B$2:$B$1024,MATCH(X1797,工厂基础数据!$D$2:$D$1024,0))</f>
        <v>山东康为医药有限公司</v>
      </c>
      <c r="F1797" s="6" t="e">
        <f>INDEX(商业2转码!$B$2:$B$10000,MATCH(E1797,商业2转码!$A$2:$A$10000,0))</f>
        <v>#N/A</v>
      </c>
      <c r="G1797" s="6">
        <f>INDEX(品种2编码!$A$2:$A$1048576,MATCH(W1797,品种2编码!$D$2:$D$1048576,0))</f>
        <v>0</v>
      </c>
      <c r="H1797" s="6" t="s">
        <v>3450</v>
      </c>
      <c r="I1797" s="6" t="s">
        <v>1871</v>
      </c>
      <c r="J1797" s="6" t="s">
        <v>3045</v>
      </c>
      <c r="L1797" s="6" t="s">
        <v>3368</v>
      </c>
      <c r="M1797" s="6" t="e">
        <f>INDEX(医院2县区2人!$B$2:$B$1048576,MATCH(L1797,医院2县区2人!$A$2:$A$1048576,0))</f>
        <v>#N/A</v>
      </c>
      <c r="N1797" s="6" t="e">
        <f>INDEX(医院2县区2人!$C$2:$C$1048576,MATCH(L1797,医院2县区2人!$A$2:$A$1048576,0))</f>
        <v>#N/A</v>
      </c>
      <c r="P1797" s="7">
        <v>43273</v>
      </c>
      <c r="Q1797" s="6">
        <v>7</v>
      </c>
      <c r="S1797" s="6">
        <v>1709003</v>
      </c>
      <c r="T1797" s="6" t="e">
        <f>INDEX(医院2县区2人!$D$2:$D$1048576,MATCH(L1797,医院2县区2人!$A$2:$A$1048576,0))</f>
        <v>#N/A</v>
      </c>
      <c r="W1797" s="6" t="str">
        <f t="shared" si="59"/>
        <v>复方铝酸铋片/胃必治50片</v>
      </c>
      <c r="X1797" s="6" t="s">
        <v>2907</v>
      </c>
    </row>
    <row r="1798" spans="1:24" x14ac:dyDescent="0.15">
      <c r="A1798" s="7" t="str">
        <f t="shared" si="60"/>
        <v>201806</v>
      </c>
      <c r="C1798" s="6" t="str">
        <f>INDEX(工厂基础数据!$A$2:$A$1024,MATCH(X1798,工厂基础数据!$D$2:$D$1024,0))</f>
        <v>02029238</v>
      </c>
      <c r="E1798" s="6" t="str">
        <f>INDEX(工厂基础数据!$B$2:$B$1024,MATCH(X1798,工厂基础数据!$D$2:$D$1024,0))</f>
        <v>山东康为医药有限公司</v>
      </c>
      <c r="F1798" s="6" t="e">
        <f>INDEX(商业2转码!$B$2:$B$10000,MATCH(E1798,商业2转码!$A$2:$A$10000,0))</f>
        <v>#N/A</v>
      </c>
      <c r="G1798" s="6">
        <f>INDEX(品种2编码!$A$2:$A$1048576,MATCH(W1798,品种2编码!$D$2:$D$1048576,0))</f>
        <v>0</v>
      </c>
      <c r="H1798" s="6" t="s">
        <v>3448</v>
      </c>
      <c r="I1798" s="6" t="s">
        <v>411</v>
      </c>
      <c r="J1798" s="6" t="s">
        <v>3040</v>
      </c>
      <c r="L1798" s="6" t="s">
        <v>3368</v>
      </c>
      <c r="M1798" s="6" t="e">
        <f>INDEX(医院2县区2人!$B$2:$B$1048576,MATCH(L1798,医院2县区2人!$A$2:$A$1048576,0))</f>
        <v>#N/A</v>
      </c>
      <c r="N1798" s="6" t="e">
        <f>INDEX(医院2县区2人!$C$2:$C$1048576,MATCH(L1798,医院2县区2人!$A$2:$A$1048576,0))</f>
        <v>#N/A</v>
      </c>
      <c r="P1798" s="7">
        <v>43273</v>
      </c>
      <c r="Q1798" s="6">
        <v>20</v>
      </c>
      <c r="S1798" s="6">
        <v>17122922</v>
      </c>
      <c r="T1798" s="6" t="e">
        <f>INDEX(医院2县区2人!$D$2:$D$1048576,MATCH(L1798,医院2县区2人!$A$2:$A$1048576,0))</f>
        <v>#N/A</v>
      </c>
      <c r="W1798" s="6" t="str">
        <f t="shared" si="59"/>
        <v>葡萄糖酸钙口服溶液（含糖型）10ml*12支</v>
      </c>
      <c r="X1798" s="6" t="s">
        <v>2907</v>
      </c>
    </row>
    <row r="1799" spans="1:24" x14ac:dyDescent="0.15">
      <c r="A1799" s="7" t="str">
        <f t="shared" si="60"/>
        <v>201806</v>
      </c>
      <c r="C1799" s="6" t="str">
        <f>INDEX(工厂基础数据!$A$2:$A$1024,MATCH(X1799,工厂基础数据!$D$2:$D$1024,0))</f>
        <v>02029238</v>
      </c>
      <c r="E1799" s="6" t="str">
        <f>INDEX(工厂基础数据!$B$2:$B$1024,MATCH(X1799,工厂基础数据!$D$2:$D$1024,0))</f>
        <v>山东康为医药有限公司</v>
      </c>
      <c r="F1799" s="6" t="e">
        <f>INDEX(商业2转码!$B$2:$B$10000,MATCH(E1799,商业2转码!$A$2:$A$10000,0))</f>
        <v>#N/A</v>
      </c>
      <c r="G1799" s="6" t="str">
        <f>INDEX(品种2编码!$A$2:$A$1048576,MATCH(W1799,品种2编码!$D$2:$D$1048576,0))</f>
        <v>0020030001SJZY0009</v>
      </c>
      <c r="H1799" s="6" t="s">
        <v>1949</v>
      </c>
      <c r="I1799" s="6" t="s">
        <v>411</v>
      </c>
      <c r="J1799" s="6" t="s">
        <v>3040</v>
      </c>
      <c r="L1799" s="6" t="s">
        <v>3368</v>
      </c>
      <c r="M1799" s="6" t="e">
        <f>INDEX(医院2县区2人!$B$2:$B$1048576,MATCH(L1799,医院2县区2人!$A$2:$A$1048576,0))</f>
        <v>#N/A</v>
      </c>
      <c r="N1799" s="6" t="e">
        <f>INDEX(医院2县区2人!$C$2:$C$1048576,MATCH(L1799,医院2县区2人!$A$2:$A$1048576,0))</f>
        <v>#N/A</v>
      </c>
      <c r="P1799" s="7">
        <v>43273</v>
      </c>
      <c r="Q1799" s="6">
        <v>20</v>
      </c>
      <c r="S1799" s="6">
        <v>18031227</v>
      </c>
      <c r="T1799" s="6" t="e">
        <f>INDEX(医院2县区2人!$D$2:$D$1048576,MATCH(L1799,医院2县区2人!$A$2:$A$1048576,0))</f>
        <v>#N/A</v>
      </c>
      <c r="W1799" s="6" t="str">
        <f t="shared" si="59"/>
        <v>葡萄糖酸锌口服溶液10ml*12支</v>
      </c>
      <c r="X1799" s="6" t="s">
        <v>2907</v>
      </c>
    </row>
    <row r="1800" spans="1:24" x14ac:dyDescent="0.15">
      <c r="A1800" s="7" t="str">
        <f t="shared" si="60"/>
        <v>201806</v>
      </c>
      <c r="C1800" s="6" t="str">
        <f>INDEX(工厂基础数据!$A$2:$A$1024,MATCH(X1800,工厂基础数据!$D$2:$D$1024,0))</f>
        <v>02029238</v>
      </c>
      <c r="E1800" s="6" t="str">
        <f>INDEX(工厂基础数据!$B$2:$B$1024,MATCH(X1800,工厂基础数据!$D$2:$D$1024,0))</f>
        <v>山东康为医药有限公司</v>
      </c>
      <c r="F1800" s="6" t="e">
        <f>INDEX(商业2转码!$B$2:$B$10000,MATCH(E1800,商业2转码!$A$2:$A$10000,0))</f>
        <v>#N/A</v>
      </c>
      <c r="G1800" s="6">
        <f>INDEX(品种2编码!$A$2:$A$1048576,MATCH(W1800,品种2编码!$D$2:$D$1048576,0))</f>
        <v>0</v>
      </c>
      <c r="H1800" s="6" t="s">
        <v>3448</v>
      </c>
      <c r="I1800" s="6" t="s">
        <v>411</v>
      </c>
      <c r="J1800" s="6" t="s">
        <v>3040</v>
      </c>
      <c r="L1800" s="6" t="s">
        <v>3422</v>
      </c>
      <c r="M1800" s="6" t="e">
        <f>INDEX(医院2县区2人!$B$2:$B$1048576,MATCH(L1800,医院2县区2人!$A$2:$A$1048576,0))</f>
        <v>#N/A</v>
      </c>
      <c r="N1800" s="6" t="e">
        <f>INDEX(医院2县区2人!$C$2:$C$1048576,MATCH(L1800,医院2县区2人!$A$2:$A$1048576,0))</f>
        <v>#N/A</v>
      </c>
      <c r="P1800" s="7">
        <v>43273</v>
      </c>
      <c r="Q1800" s="6">
        <v>10</v>
      </c>
      <c r="S1800" s="6">
        <v>17122922</v>
      </c>
      <c r="T1800" s="6" t="e">
        <f>INDEX(医院2县区2人!$D$2:$D$1048576,MATCH(L1800,医院2县区2人!$A$2:$A$1048576,0))</f>
        <v>#N/A</v>
      </c>
      <c r="W1800" s="6" t="str">
        <f t="shared" si="59"/>
        <v>葡萄糖酸钙口服溶液（含糖型）10ml*12支</v>
      </c>
      <c r="X1800" s="6" t="s">
        <v>2907</v>
      </c>
    </row>
    <row r="1801" spans="1:24" x14ac:dyDescent="0.15">
      <c r="A1801" s="7" t="str">
        <f t="shared" si="60"/>
        <v>201806</v>
      </c>
      <c r="C1801" s="6" t="str">
        <f>INDEX(工厂基础数据!$A$2:$A$1024,MATCH(X1801,工厂基础数据!$D$2:$D$1024,0))</f>
        <v>02029238</v>
      </c>
      <c r="E1801" s="6" t="str">
        <f>INDEX(工厂基础数据!$B$2:$B$1024,MATCH(X1801,工厂基础数据!$D$2:$D$1024,0))</f>
        <v>山东康为医药有限公司</v>
      </c>
      <c r="F1801" s="6" t="e">
        <f>INDEX(商业2转码!$B$2:$B$10000,MATCH(E1801,商业2转码!$A$2:$A$10000,0))</f>
        <v>#N/A</v>
      </c>
      <c r="G1801" s="6">
        <f>INDEX(品种2编码!$A$2:$A$1048576,MATCH(W1801,品种2编码!$D$2:$D$1048576,0))</f>
        <v>0</v>
      </c>
      <c r="H1801" s="6" t="s">
        <v>3448</v>
      </c>
      <c r="I1801" s="6" t="s">
        <v>411</v>
      </c>
      <c r="J1801" s="6" t="s">
        <v>3040</v>
      </c>
      <c r="L1801" s="6" t="s">
        <v>3423</v>
      </c>
      <c r="M1801" s="6" t="e">
        <f>INDEX(医院2县区2人!$B$2:$B$1048576,MATCH(L1801,医院2县区2人!$A$2:$A$1048576,0))</f>
        <v>#N/A</v>
      </c>
      <c r="N1801" s="6" t="e">
        <f>INDEX(医院2县区2人!$C$2:$C$1048576,MATCH(L1801,医院2县区2人!$A$2:$A$1048576,0))</f>
        <v>#N/A</v>
      </c>
      <c r="P1801" s="7">
        <v>43273</v>
      </c>
      <c r="Q1801" s="6">
        <v>5</v>
      </c>
      <c r="S1801" s="6">
        <v>17122922</v>
      </c>
      <c r="T1801" s="6" t="e">
        <f>INDEX(医院2县区2人!$D$2:$D$1048576,MATCH(L1801,医院2县区2人!$A$2:$A$1048576,0))</f>
        <v>#N/A</v>
      </c>
      <c r="W1801" s="6" t="str">
        <f t="shared" si="59"/>
        <v>葡萄糖酸钙口服溶液（含糖型）10ml*12支</v>
      </c>
      <c r="X1801" s="6" t="s">
        <v>2907</v>
      </c>
    </row>
    <row r="1802" spans="1:24" x14ac:dyDescent="0.15">
      <c r="A1802" s="7" t="str">
        <f t="shared" si="60"/>
        <v>201806</v>
      </c>
      <c r="C1802" s="6" t="str">
        <f>INDEX(工厂基础数据!$A$2:$A$1024,MATCH(X1802,工厂基础数据!$D$2:$D$1024,0))</f>
        <v>02029238</v>
      </c>
      <c r="E1802" s="6" t="str">
        <f>INDEX(工厂基础数据!$B$2:$B$1024,MATCH(X1802,工厂基础数据!$D$2:$D$1024,0))</f>
        <v>山东康为医药有限公司</v>
      </c>
      <c r="F1802" s="6" t="e">
        <f>INDEX(商业2转码!$B$2:$B$10000,MATCH(E1802,商业2转码!$A$2:$A$10000,0))</f>
        <v>#N/A</v>
      </c>
      <c r="G1802" s="6" t="str">
        <f>INDEX(品种2编码!$A$2:$A$1048576,MATCH(W1802,品种2编码!$D$2:$D$1048576,0))</f>
        <v>0020030001SJZY0009</v>
      </c>
      <c r="H1802" s="6" t="s">
        <v>1949</v>
      </c>
      <c r="I1802" s="6" t="s">
        <v>411</v>
      </c>
      <c r="J1802" s="6" t="s">
        <v>3040</v>
      </c>
      <c r="L1802" s="6" t="s">
        <v>3423</v>
      </c>
      <c r="M1802" s="6" t="e">
        <f>INDEX(医院2县区2人!$B$2:$B$1048576,MATCH(L1802,医院2县区2人!$A$2:$A$1048576,0))</f>
        <v>#N/A</v>
      </c>
      <c r="N1802" s="6" t="e">
        <f>INDEX(医院2县区2人!$C$2:$C$1048576,MATCH(L1802,医院2县区2人!$A$2:$A$1048576,0))</f>
        <v>#N/A</v>
      </c>
      <c r="P1802" s="7">
        <v>43273</v>
      </c>
      <c r="Q1802" s="6">
        <v>5</v>
      </c>
      <c r="S1802" s="6">
        <v>18031227</v>
      </c>
      <c r="T1802" s="6" t="e">
        <f>INDEX(医院2县区2人!$D$2:$D$1048576,MATCH(L1802,医院2县区2人!$A$2:$A$1048576,0))</f>
        <v>#N/A</v>
      </c>
      <c r="W1802" s="6" t="str">
        <f t="shared" si="59"/>
        <v>葡萄糖酸锌口服溶液10ml*12支</v>
      </c>
      <c r="X1802" s="6" t="s">
        <v>2907</v>
      </c>
    </row>
    <row r="1803" spans="1:24" x14ac:dyDescent="0.15">
      <c r="A1803" s="7" t="str">
        <f t="shared" si="60"/>
        <v>201806</v>
      </c>
      <c r="C1803" s="6" t="str">
        <f>INDEX(工厂基础数据!$A$2:$A$1024,MATCH(X1803,工厂基础数据!$D$2:$D$1024,0))</f>
        <v>02029238</v>
      </c>
      <c r="E1803" s="6" t="str">
        <f>INDEX(工厂基础数据!$B$2:$B$1024,MATCH(X1803,工厂基础数据!$D$2:$D$1024,0))</f>
        <v>山东康为医药有限公司</v>
      </c>
      <c r="F1803" s="6" t="e">
        <f>INDEX(商业2转码!$B$2:$B$10000,MATCH(E1803,商业2转码!$A$2:$A$10000,0))</f>
        <v>#N/A</v>
      </c>
      <c r="G1803" s="6" t="str">
        <f>INDEX(品种2编码!$A$2:$A$1048576,MATCH(W1803,品种2编码!$D$2:$D$1048576,0))</f>
        <v>0020030040ZYLC0001</v>
      </c>
      <c r="H1803" s="6" t="s">
        <v>1852</v>
      </c>
      <c r="I1803" s="6" t="s">
        <v>1853</v>
      </c>
      <c r="J1803" s="6" t="s">
        <v>3036</v>
      </c>
      <c r="L1803" s="6" t="s">
        <v>2589</v>
      </c>
      <c r="M1803" s="6">
        <f>INDEX(医院2县区2人!$B$2:$B$1048576,MATCH(L1803,医院2县区2人!$A$2:$A$1048576,0))</f>
        <v>1</v>
      </c>
      <c r="N1803" s="6" t="str">
        <f>INDEX(医院2县区2人!$C$2:$C$1048576,MATCH(L1803,医院2县区2人!$A$2:$A$1048576,0))</f>
        <v>1757</v>
      </c>
      <c r="P1803" s="7">
        <v>43273</v>
      </c>
      <c r="Q1803" s="6">
        <v>20</v>
      </c>
      <c r="S1803" s="6">
        <v>171116</v>
      </c>
      <c r="T1803" s="6">
        <f>INDEX(医院2县区2人!$D$2:$D$1048576,MATCH(L1803,医院2县区2人!$A$2:$A$1048576,0))</f>
        <v>0</v>
      </c>
      <c r="W1803" s="6" t="str">
        <f t="shared" si="59"/>
        <v>小儿氨酚黄那敏颗粒/护彤2g*12袋</v>
      </c>
      <c r="X1803" s="6" t="s">
        <v>2907</v>
      </c>
    </row>
    <row r="1804" spans="1:24" x14ac:dyDescent="0.15">
      <c r="A1804" s="7" t="str">
        <f t="shared" si="60"/>
        <v>201806</v>
      </c>
      <c r="C1804" s="6" t="str">
        <f>INDEX(工厂基础数据!$A$2:$A$1024,MATCH(X1804,工厂基础数据!$D$2:$D$1024,0))</f>
        <v>02029238</v>
      </c>
      <c r="E1804" s="6" t="str">
        <f>INDEX(工厂基础数据!$B$2:$B$1024,MATCH(X1804,工厂基础数据!$D$2:$D$1024,0))</f>
        <v>山东康为医药有限公司</v>
      </c>
      <c r="F1804" s="6" t="e">
        <f>INDEX(商业2转码!$B$2:$B$10000,MATCH(E1804,商业2转码!$A$2:$A$10000,0))</f>
        <v>#N/A</v>
      </c>
      <c r="G1804" s="6" t="str">
        <f>INDEX(品种2编码!$A$2:$A$1048576,MATCH(W1804,品种2编码!$D$2:$D$1048576,0))</f>
        <v>0020030020ZYLC0013</v>
      </c>
      <c r="H1804" s="6" t="s">
        <v>591</v>
      </c>
      <c r="I1804" s="6" t="s">
        <v>1839</v>
      </c>
      <c r="J1804" s="6" t="s">
        <v>3036</v>
      </c>
      <c r="L1804" s="6" t="s">
        <v>2589</v>
      </c>
      <c r="M1804" s="6">
        <f>INDEX(医院2县区2人!$B$2:$B$1048576,MATCH(L1804,医院2县区2人!$A$2:$A$1048576,0))</f>
        <v>1</v>
      </c>
      <c r="N1804" s="6" t="str">
        <f>INDEX(医院2县区2人!$C$2:$C$1048576,MATCH(L1804,医院2县区2人!$A$2:$A$1048576,0))</f>
        <v>1757</v>
      </c>
      <c r="P1804" s="7">
        <v>43273</v>
      </c>
      <c r="Q1804" s="6">
        <v>20</v>
      </c>
      <c r="S1804" s="6">
        <v>180105</v>
      </c>
      <c r="T1804" s="6">
        <f>INDEX(医院2县区2人!$D$2:$D$1048576,MATCH(L1804,医院2县区2人!$A$2:$A$1048576,0))</f>
        <v>0</v>
      </c>
      <c r="W1804" s="6" t="str">
        <f t="shared" si="59"/>
        <v>乳酸菌素片0.4g*36片</v>
      </c>
      <c r="X1804" s="6" t="s">
        <v>2907</v>
      </c>
    </row>
    <row r="1805" spans="1:24" x14ac:dyDescent="0.15">
      <c r="A1805" s="7" t="str">
        <f t="shared" si="60"/>
        <v>201806</v>
      </c>
      <c r="C1805" s="6" t="str">
        <f>INDEX(工厂基础数据!$A$2:$A$1024,MATCH(X1805,工厂基础数据!$D$2:$D$1024,0))</f>
        <v>02029238</v>
      </c>
      <c r="E1805" s="6" t="str">
        <f>INDEX(工厂基础数据!$B$2:$B$1024,MATCH(X1805,工厂基础数据!$D$2:$D$1024,0))</f>
        <v>山东康为医药有限公司</v>
      </c>
      <c r="F1805" s="6" t="e">
        <f>INDEX(商业2转码!$B$2:$B$10000,MATCH(E1805,商业2转码!$A$2:$A$10000,0))</f>
        <v>#N/A</v>
      </c>
      <c r="G1805" s="6" t="str">
        <f>INDEX(品种2编码!$A$2:$A$1048576,MATCH(W1805,品种2编码!$D$2:$D$1048576,0))</f>
        <v>0020070000ZYLC0055</v>
      </c>
      <c r="H1805" s="6" t="s">
        <v>557</v>
      </c>
      <c r="I1805" s="6" t="s">
        <v>411</v>
      </c>
      <c r="J1805" s="6" t="s">
        <v>3036</v>
      </c>
      <c r="L1805" s="6" t="s">
        <v>3424</v>
      </c>
      <c r="M1805" s="6" t="e">
        <f>INDEX(医院2县区2人!$B$2:$B$1048576,MATCH(L1805,医院2县区2人!$A$2:$A$1048576,0))</f>
        <v>#N/A</v>
      </c>
      <c r="N1805" s="6" t="e">
        <f>INDEX(医院2县区2人!$C$2:$C$1048576,MATCH(L1805,医院2县区2人!$A$2:$A$1048576,0))</f>
        <v>#N/A</v>
      </c>
      <c r="P1805" s="7">
        <v>43273</v>
      </c>
      <c r="Q1805" s="6">
        <v>20</v>
      </c>
      <c r="S1805" s="6">
        <v>171038</v>
      </c>
      <c r="T1805" s="6" t="e">
        <f>INDEX(医院2县区2人!$D$2:$D$1048576,MATCH(L1805,医院2县区2人!$A$2:$A$1048576,0))</f>
        <v>#N/A</v>
      </c>
      <c r="W1805" s="6" t="str">
        <f t="shared" si="59"/>
        <v>朴雪乳酸亚铁口服液10ml*12支</v>
      </c>
      <c r="X1805" s="6" t="s">
        <v>2907</v>
      </c>
    </row>
    <row r="1806" spans="1:24" x14ac:dyDescent="0.15">
      <c r="A1806" s="7" t="str">
        <f t="shared" si="60"/>
        <v>201806</v>
      </c>
      <c r="C1806" s="6" t="str">
        <f>INDEX(工厂基础数据!$A$2:$A$1024,MATCH(X1806,工厂基础数据!$D$2:$D$1024,0))</f>
        <v>02029238</v>
      </c>
      <c r="E1806" s="6" t="str">
        <f>INDEX(工厂基础数据!$B$2:$B$1024,MATCH(X1806,工厂基础数据!$D$2:$D$1024,0))</f>
        <v>山东康为医药有限公司</v>
      </c>
      <c r="F1806" s="6" t="e">
        <f>INDEX(商业2转码!$B$2:$B$10000,MATCH(E1806,商业2转码!$A$2:$A$10000,0))</f>
        <v>#N/A</v>
      </c>
      <c r="G1806" s="6" t="str">
        <f>INDEX(品种2编码!$A$2:$A$1048576,MATCH(W1806,品种2编码!$D$2:$D$1048576,0))</f>
        <v>0020070001ZYZC0369</v>
      </c>
      <c r="H1806" s="6" t="s">
        <v>1849</v>
      </c>
      <c r="I1806" s="6" t="s">
        <v>411</v>
      </c>
      <c r="J1806" s="6" t="s">
        <v>3038</v>
      </c>
      <c r="L1806" s="6" t="s">
        <v>3424</v>
      </c>
      <c r="M1806" s="6" t="e">
        <f>INDEX(医院2县区2人!$B$2:$B$1048576,MATCH(L1806,医院2县区2人!$A$2:$A$1048576,0))</f>
        <v>#N/A</v>
      </c>
      <c r="N1806" s="6" t="e">
        <f>INDEX(医院2县区2人!$C$2:$C$1048576,MATCH(L1806,医院2县区2人!$A$2:$A$1048576,0))</f>
        <v>#N/A</v>
      </c>
      <c r="P1806" s="7">
        <v>43273</v>
      </c>
      <c r="Q1806" s="6">
        <v>20</v>
      </c>
      <c r="S1806" s="6">
        <v>1801029</v>
      </c>
      <c r="T1806" s="6" t="e">
        <f>INDEX(医院2县区2人!$D$2:$D$1048576,MATCH(L1806,医院2县区2人!$A$2:$A$1048576,0))</f>
        <v>#N/A</v>
      </c>
      <c r="W1806" s="6" t="str">
        <f t="shared" si="59"/>
        <v>哈药牌钙铁锌口服液10ml*12支</v>
      </c>
      <c r="X1806" s="6" t="s">
        <v>2907</v>
      </c>
    </row>
    <row r="1807" spans="1:24" x14ac:dyDescent="0.15">
      <c r="A1807" s="7" t="str">
        <f t="shared" si="60"/>
        <v>201806</v>
      </c>
      <c r="C1807" s="6" t="str">
        <f>INDEX(工厂基础数据!$A$2:$A$1024,MATCH(X1807,工厂基础数据!$D$2:$D$1024,0))</f>
        <v>02029238</v>
      </c>
      <c r="E1807" s="6" t="str">
        <f>INDEX(工厂基础数据!$B$2:$B$1024,MATCH(X1807,工厂基础数据!$D$2:$D$1024,0))</f>
        <v>山东康为医药有限公司</v>
      </c>
      <c r="F1807" s="6" t="e">
        <f>INDEX(商业2转码!$B$2:$B$10000,MATCH(E1807,商业2转码!$A$2:$A$10000,0))</f>
        <v>#N/A</v>
      </c>
      <c r="G1807" s="6" t="str">
        <f>INDEX(品种2编码!$A$2:$A$1048576,MATCH(W1807,品种2编码!$D$2:$D$1048576,0))</f>
        <v>0020030001SJZY0009</v>
      </c>
      <c r="H1807" s="6" t="s">
        <v>1949</v>
      </c>
      <c r="I1807" s="6" t="s">
        <v>411</v>
      </c>
      <c r="J1807" s="6" t="s">
        <v>3040</v>
      </c>
      <c r="L1807" s="6" t="s">
        <v>3424</v>
      </c>
      <c r="M1807" s="6" t="e">
        <f>INDEX(医院2县区2人!$B$2:$B$1048576,MATCH(L1807,医院2县区2人!$A$2:$A$1048576,0))</f>
        <v>#N/A</v>
      </c>
      <c r="N1807" s="6" t="e">
        <f>INDEX(医院2县区2人!$C$2:$C$1048576,MATCH(L1807,医院2县区2人!$A$2:$A$1048576,0))</f>
        <v>#N/A</v>
      </c>
      <c r="P1807" s="7">
        <v>43273</v>
      </c>
      <c r="Q1807" s="6">
        <v>240</v>
      </c>
      <c r="S1807" s="6">
        <v>18031227</v>
      </c>
      <c r="T1807" s="6" t="e">
        <f>INDEX(医院2县区2人!$D$2:$D$1048576,MATCH(L1807,医院2县区2人!$A$2:$A$1048576,0))</f>
        <v>#N/A</v>
      </c>
      <c r="W1807" s="6" t="str">
        <f t="shared" si="59"/>
        <v>葡萄糖酸锌口服溶液10ml*12支</v>
      </c>
      <c r="X1807" s="6" t="s">
        <v>2907</v>
      </c>
    </row>
    <row r="1808" spans="1:24" x14ac:dyDescent="0.15">
      <c r="A1808" s="7" t="str">
        <f t="shared" si="60"/>
        <v>201806</v>
      </c>
      <c r="C1808" s="6" t="str">
        <f>INDEX(工厂基础数据!$A$2:$A$1024,MATCH(X1808,工厂基础数据!$D$2:$D$1024,0))</f>
        <v>02029238</v>
      </c>
      <c r="E1808" s="6" t="str">
        <f>INDEX(工厂基础数据!$B$2:$B$1024,MATCH(X1808,工厂基础数据!$D$2:$D$1024,0))</f>
        <v>山东康为医药有限公司</v>
      </c>
      <c r="F1808" s="6" t="e">
        <f>INDEX(商业2转码!$B$2:$B$10000,MATCH(E1808,商业2转码!$A$2:$A$10000,0))</f>
        <v>#N/A</v>
      </c>
      <c r="G1808" s="6" t="str">
        <f>INDEX(品种2编码!$A$2:$A$1048576,MATCH(W1808,品种2编码!$D$2:$D$1048576,0))</f>
        <v>0020020021ZYLC0004</v>
      </c>
      <c r="H1808" s="6" t="s">
        <v>1868</v>
      </c>
      <c r="I1808" s="6" t="s">
        <v>1869</v>
      </c>
      <c r="J1808" s="6" t="s">
        <v>3036</v>
      </c>
      <c r="L1808" s="6" t="s">
        <v>3425</v>
      </c>
      <c r="M1808" s="6" t="e">
        <f>INDEX(医院2县区2人!$B$2:$B$1048576,MATCH(L1808,医院2县区2人!$A$2:$A$1048576,0))</f>
        <v>#N/A</v>
      </c>
      <c r="N1808" s="6" t="e">
        <f>INDEX(医院2县区2人!$C$2:$C$1048576,MATCH(L1808,医院2县区2人!$A$2:$A$1048576,0))</f>
        <v>#N/A</v>
      </c>
      <c r="P1808" s="7">
        <v>43274</v>
      </c>
      <c r="Q1808" s="6">
        <v>20</v>
      </c>
      <c r="S1808" s="6">
        <v>171101</v>
      </c>
      <c r="T1808" s="6" t="e">
        <f>INDEX(医院2县区2人!$D$2:$D$1048576,MATCH(L1808,医院2县区2人!$A$2:$A$1048576,0))</f>
        <v>#N/A</v>
      </c>
      <c r="W1808" s="6" t="str">
        <f t="shared" si="59"/>
        <v>罗红霉素分散片/大严迪75mg*12片</v>
      </c>
      <c r="X1808" s="6" t="s">
        <v>2907</v>
      </c>
    </row>
    <row r="1809" spans="1:24" x14ac:dyDescent="0.15">
      <c r="A1809" s="7" t="str">
        <f t="shared" si="60"/>
        <v>201806</v>
      </c>
      <c r="C1809" s="6" t="str">
        <f>INDEX(工厂基础数据!$A$2:$A$1024,MATCH(X1809,工厂基础数据!$D$2:$D$1024,0))</f>
        <v>02029238</v>
      </c>
      <c r="E1809" s="6" t="str">
        <f>INDEX(工厂基础数据!$B$2:$B$1024,MATCH(X1809,工厂基础数据!$D$2:$D$1024,0))</f>
        <v>山东康为医药有限公司</v>
      </c>
      <c r="F1809" s="6" t="e">
        <f>INDEX(商业2转码!$B$2:$B$10000,MATCH(E1809,商业2转码!$A$2:$A$10000,0))</f>
        <v>#N/A</v>
      </c>
      <c r="G1809" s="6">
        <f>INDEX(品种2编码!$A$2:$A$1048576,MATCH(W1809,品种2编码!$D$2:$D$1048576,0))</f>
        <v>0</v>
      </c>
      <c r="H1809" s="6" t="s">
        <v>3448</v>
      </c>
      <c r="I1809" s="6" t="s">
        <v>411</v>
      </c>
      <c r="J1809" s="6" t="s">
        <v>3040</v>
      </c>
      <c r="L1809" s="6" t="s">
        <v>3383</v>
      </c>
      <c r="M1809" s="6" t="e">
        <f>INDEX(医院2县区2人!$B$2:$B$1048576,MATCH(L1809,医院2县区2人!$A$2:$A$1048576,0))</f>
        <v>#N/A</v>
      </c>
      <c r="N1809" s="6" t="e">
        <f>INDEX(医院2县区2人!$C$2:$C$1048576,MATCH(L1809,医院2县区2人!$A$2:$A$1048576,0))</f>
        <v>#N/A</v>
      </c>
      <c r="P1809" s="7">
        <v>43274</v>
      </c>
      <c r="Q1809" s="6">
        <v>1</v>
      </c>
      <c r="S1809" s="6">
        <v>17111812</v>
      </c>
      <c r="T1809" s="6" t="e">
        <f>INDEX(医院2县区2人!$D$2:$D$1048576,MATCH(L1809,医院2县区2人!$A$2:$A$1048576,0))</f>
        <v>#N/A</v>
      </c>
      <c r="W1809" s="6" t="str">
        <f t="shared" si="59"/>
        <v>葡萄糖酸钙口服溶液（含糖型）10ml*12支</v>
      </c>
      <c r="X1809" s="6" t="s">
        <v>2907</v>
      </c>
    </row>
    <row r="1810" spans="1:24" x14ac:dyDescent="0.15">
      <c r="A1810" s="7" t="str">
        <f t="shared" si="60"/>
        <v>201806</v>
      </c>
      <c r="C1810" s="6" t="str">
        <f>INDEX(工厂基础数据!$A$2:$A$1024,MATCH(X1810,工厂基础数据!$D$2:$D$1024,0))</f>
        <v>02029238</v>
      </c>
      <c r="E1810" s="6" t="str">
        <f>INDEX(工厂基础数据!$B$2:$B$1024,MATCH(X1810,工厂基础数据!$D$2:$D$1024,0))</f>
        <v>山东康为医药有限公司</v>
      </c>
      <c r="F1810" s="6" t="e">
        <f>INDEX(商业2转码!$B$2:$B$10000,MATCH(E1810,商业2转码!$A$2:$A$10000,0))</f>
        <v>#N/A</v>
      </c>
      <c r="G1810" s="6">
        <f>INDEX(品种2编码!$A$2:$A$1048576,MATCH(W1810,品种2编码!$D$2:$D$1048576,0))</f>
        <v>0</v>
      </c>
      <c r="H1810" s="6" t="s">
        <v>3448</v>
      </c>
      <c r="I1810" s="6" t="s">
        <v>411</v>
      </c>
      <c r="J1810" s="6" t="s">
        <v>3040</v>
      </c>
      <c r="L1810" s="6" t="s">
        <v>3383</v>
      </c>
      <c r="M1810" s="6" t="e">
        <f>INDEX(医院2县区2人!$B$2:$B$1048576,MATCH(L1810,医院2县区2人!$A$2:$A$1048576,0))</f>
        <v>#N/A</v>
      </c>
      <c r="N1810" s="6" t="e">
        <f>INDEX(医院2县区2人!$C$2:$C$1048576,MATCH(L1810,医院2县区2人!$A$2:$A$1048576,0))</f>
        <v>#N/A</v>
      </c>
      <c r="P1810" s="7">
        <v>43274</v>
      </c>
      <c r="Q1810" s="6">
        <v>4</v>
      </c>
      <c r="S1810" s="6">
        <v>17122922</v>
      </c>
      <c r="T1810" s="6" t="e">
        <f>INDEX(医院2县区2人!$D$2:$D$1048576,MATCH(L1810,医院2县区2人!$A$2:$A$1048576,0))</f>
        <v>#N/A</v>
      </c>
      <c r="W1810" s="6" t="str">
        <f t="shared" si="59"/>
        <v>葡萄糖酸钙口服溶液（含糖型）10ml*12支</v>
      </c>
      <c r="X1810" s="6" t="s">
        <v>2907</v>
      </c>
    </row>
    <row r="1811" spans="1:24" x14ac:dyDescent="0.15">
      <c r="A1811" s="7" t="str">
        <f t="shared" si="60"/>
        <v>201806</v>
      </c>
      <c r="C1811" s="6" t="str">
        <f>INDEX(工厂基础数据!$A$2:$A$1024,MATCH(X1811,工厂基础数据!$D$2:$D$1024,0))</f>
        <v>02029238</v>
      </c>
      <c r="E1811" s="6" t="str">
        <f>INDEX(工厂基础数据!$B$2:$B$1024,MATCH(X1811,工厂基础数据!$D$2:$D$1024,0))</f>
        <v>山东康为医药有限公司</v>
      </c>
      <c r="F1811" s="6" t="e">
        <f>INDEX(商业2转码!$B$2:$B$10000,MATCH(E1811,商业2转码!$A$2:$A$10000,0))</f>
        <v>#N/A</v>
      </c>
      <c r="G1811" s="6" t="str">
        <f>INDEX(品种2编码!$A$2:$A$1048576,MATCH(W1811,品种2编码!$D$2:$D$1048576,0))</f>
        <v>0020070000ZYLC0055</v>
      </c>
      <c r="H1811" s="6" t="s">
        <v>557</v>
      </c>
      <c r="I1811" s="6" t="s">
        <v>411</v>
      </c>
      <c r="J1811" s="6" t="s">
        <v>3036</v>
      </c>
      <c r="L1811" s="6" t="s">
        <v>3383</v>
      </c>
      <c r="M1811" s="6" t="e">
        <f>INDEX(医院2县区2人!$B$2:$B$1048576,MATCH(L1811,医院2县区2人!$A$2:$A$1048576,0))</f>
        <v>#N/A</v>
      </c>
      <c r="N1811" s="6" t="e">
        <f>INDEX(医院2县区2人!$C$2:$C$1048576,MATCH(L1811,医院2县区2人!$A$2:$A$1048576,0))</f>
        <v>#N/A</v>
      </c>
      <c r="P1811" s="7">
        <v>43274</v>
      </c>
      <c r="Q1811" s="6">
        <v>2</v>
      </c>
      <c r="S1811" s="6">
        <v>171038</v>
      </c>
      <c r="T1811" s="6" t="e">
        <f>INDEX(医院2县区2人!$D$2:$D$1048576,MATCH(L1811,医院2县区2人!$A$2:$A$1048576,0))</f>
        <v>#N/A</v>
      </c>
      <c r="W1811" s="6" t="str">
        <f t="shared" si="59"/>
        <v>朴雪乳酸亚铁口服液10ml*12支</v>
      </c>
      <c r="X1811" s="6" t="s">
        <v>2907</v>
      </c>
    </row>
    <row r="1812" spans="1:24" x14ac:dyDescent="0.15">
      <c r="A1812" s="7" t="str">
        <f t="shared" si="60"/>
        <v>201806</v>
      </c>
      <c r="C1812" s="6" t="str">
        <f>INDEX(工厂基础数据!$A$2:$A$1024,MATCH(X1812,工厂基础数据!$D$2:$D$1024,0))</f>
        <v>02029238</v>
      </c>
      <c r="E1812" s="6" t="str">
        <f>INDEX(工厂基础数据!$B$2:$B$1024,MATCH(X1812,工厂基础数据!$D$2:$D$1024,0))</f>
        <v>山东康为医药有限公司</v>
      </c>
      <c r="F1812" s="6" t="e">
        <f>INDEX(商业2转码!$B$2:$B$10000,MATCH(E1812,商业2转码!$A$2:$A$10000,0))</f>
        <v>#N/A</v>
      </c>
      <c r="G1812" s="6" t="str">
        <f>INDEX(品种2编码!$A$2:$A$1048576,MATCH(W1812,品种2编码!$D$2:$D$1048576,0))</f>
        <v>0020070000ZYLC0055</v>
      </c>
      <c r="H1812" s="6" t="s">
        <v>557</v>
      </c>
      <c r="I1812" s="6" t="s">
        <v>411</v>
      </c>
      <c r="J1812" s="6" t="s">
        <v>3036</v>
      </c>
      <c r="L1812" s="6" t="s">
        <v>3383</v>
      </c>
      <c r="M1812" s="6" t="e">
        <f>INDEX(医院2县区2人!$B$2:$B$1048576,MATCH(L1812,医院2县区2人!$A$2:$A$1048576,0))</f>
        <v>#N/A</v>
      </c>
      <c r="N1812" s="6" t="e">
        <f>INDEX(医院2县区2人!$C$2:$C$1048576,MATCH(L1812,医院2县区2人!$A$2:$A$1048576,0))</f>
        <v>#N/A</v>
      </c>
      <c r="P1812" s="7">
        <v>43274</v>
      </c>
      <c r="Q1812" s="6">
        <v>3</v>
      </c>
      <c r="S1812" s="6">
        <v>171038</v>
      </c>
      <c r="T1812" s="6" t="e">
        <f>INDEX(医院2县区2人!$D$2:$D$1048576,MATCH(L1812,医院2县区2人!$A$2:$A$1048576,0))</f>
        <v>#N/A</v>
      </c>
      <c r="W1812" s="6" t="str">
        <f t="shared" si="59"/>
        <v>朴雪乳酸亚铁口服液10ml*12支</v>
      </c>
      <c r="X1812" s="6" t="s">
        <v>2907</v>
      </c>
    </row>
    <row r="1813" spans="1:24" x14ac:dyDescent="0.15">
      <c r="A1813" s="7" t="str">
        <f t="shared" si="60"/>
        <v>201806</v>
      </c>
      <c r="C1813" s="6" t="str">
        <f>INDEX(工厂基础数据!$A$2:$A$1024,MATCH(X1813,工厂基础数据!$D$2:$D$1024,0))</f>
        <v>02029238</v>
      </c>
      <c r="E1813" s="6" t="str">
        <f>INDEX(工厂基础数据!$B$2:$B$1024,MATCH(X1813,工厂基础数据!$D$2:$D$1024,0))</f>
        <v>山东康为医药有限公司</v>
      </c>
      <c r="F1813" s="6" t="e">
        <f>INDEX(商业2转码!$B$2:$B$10000,MATCH(E1813,商业2转码!$A$2:$A$10000,0))</f>
        <v>#N/A</v>
      </c>
      <c r="G1813" s="6" t="str">
        <f>INDEX(品种2编码!$A$2:$A$1048576,MATCH(W1813,品种2编码!$D$2:$D$1048576,0))</f>
        <v>0020030001SJZY0009</v>
      </c>
      <c r="H1813" s="6" t="s">
        <v>1949</v>
      </c>
      <c r="I1813" s="6" t="s">
        <v>411</v>
      </c>
      <c r="J1813" s="6" t="s">
        <v>3040</v>
      </c>
      <c r="L1813" s="6" t="s">
        <v>3383</v>
      </c>
      <c r="M1813" s="6" t="e">
        <f>INDEX(医院2县区2人!$B$2:$B$1048576,MATCH(L1813,医院2县区2人!$A$2:$A$1048576,0))</f>
        <v>#N/A</v>
      </c>
      <c r="N1813" s="6" t="e">
        <f>INDEX(医院2县区2人!$C$2:$C$1048576,MATCH(L1813,医院2县区2人!$A$2:$A$1048576,0))</f>
        <v>#N/A</v>
      </c>
      <c r="P1813" s="7">
        <v>43274</v>
      </c>
      <c r="Q1813" s="6">
        <v>1</v>
      </c>
      <c r="S1813" s="6">
        <v>17112811</v>
      </c>
      <c r="T1813" s="6" t="e">
        <f>INDEX(医院2县区2人!$D$2:$D$1048576,MATCH(L1813,医院2县区2人!$A$2:$A$1048576,0))</f>
        <v>#N/A</v>
      </c>
      <c r="W1813" s="6" t="str">
        <f t="shared" si="59"/>
        <v>葡萄糖酸锌口服溶液10ml*12支</v>
      </c>
      <c r="X1813" s="6" t="s">
        <v>2907</v>
      </c>
    </row>
    <row r="1814" spans="1:24" x14ac:dyDescent="0.15">
      <c r="A1814" s="7" t="str">
        <f t="shared" si="60"/>
        <v>201806</v>
      </c>
      <c r="C1814" s="6" t="str">
        <f>INDEX(工厂基础数据!$A$2:$A$1024,MATCH(X1814,工厂基础数据!$D$2:$D$1024,0))</f>
        <v>02029238</v>
      </c>
      <c r="E1814" s="6" t="str">
        <f>INDEX(工厂基础数据!$B$2:$B$1024,MATCH(X1814,工厂基础数据!$D$2:$D$1024,0))</f>
        <v>山东康为医药有限公司</v>
      </c>
      <c r="F1814" s="6" t="e">
        <f>INDEX(商业2转码!$B$2:$B$10000,MATCH(E1814,商业2转码!$A$2:$A$10000,0))</f>
        <v>#N/A</v>
      </c>
      <c r="G1814" s="6" t="str">
        <f>INDEX(品种2编码!$A$2:$A$1048576,MATCH(W1814,品种2编码!$D$2:$D$1048576,0))</f>
        <v>0020030001SJZY0009</v>
      </c>
      <c r="H1814" s="6" t="s">
        <v>1949</v>
      </c>
      <c r="I1814" s="6" t="s">
        <v>411</v>
      </c>
      <c r="J1814" s="6" t="s">
        <v>3040</v>
      </c>
      <c r="L1814" s="6" t="s">
        <v>3383</v>
      </c>
      <c r="M1814" s="6" t="e">
        <f>INDEX(医院2县区2人!$B$2:$B$1048576,MATCH(L1814,医院2县区2人!$A$2:$A$1048576,0))</f>
        <v>#N/A</v>
      </c>
      <c r="N1814" s="6" t="e">
        <f>INDEX(医院2县区2人!$C$2:$C$1048576,MATCH(L1814,医院2县区2人!$A$2:$A$1048576,0))</f>
        <v>#N/A</v>
      </c>
      <c r="P1814" s="7">
        <v>43274</v>
      </c>
      <c r="Q1814" s="6">
        <v>4</v>
      </c>
      <c r="S1814" s="6">
        <v>18020527</v>
      </c>
      <c r="T1814" s="6" t="e">
        <f>INDEX(医院2县区2人!$D$2:$D$1048576,MATCH(L1814,医院2县区2人!$A$2:$A$1048576,0))</f>
        <v>#N/A</v>
      </c>
      <c r="W1814" s="6" t="str">
        <f t="shared" si="59"/>
        <v>葡萄糖酸锌口服溶液10ml*12支</v>
      </c>
      <c r="X1814" s="6" t="s">
        <v>2907</v>
      </c>
    </row>
    <row r="1815" spans="1:24" x14ac:dyDescent="0.15">
      <c r="A1815" s="7" t="str">
        <f t="shared" si="60"/>
        <v>201806</v>
      </c>
      <c r="C1815" s="6" t="str">
        <f>INDEX(工厂基础数据!$A$2:$A$1024,MATCH(X1815,工厂基础数据!$D$2:$D$1024,0))</f>
        <v>02029238</v>
      </c>
      <c r="E1815" s="6" t="str">
        <f>INDEX(工厂基础数据!$B$2:$B$1024,MATCH(X1815,工厂基础数据!$D$2:$D$1024,0))</f>
        <v>山东康为医药有限公司</v>
      </c>
      <c r="F1815" s="6" t="e">
        <f>INDEX(商业2转码!$B$2:$B$10000,MATCH(E1815,商业2转码!$A$2:$A$10000,0))</f>
        <v>#N/A</v>
      </c>
      <c r="G1815" s="6">
        <f>INDEX(品种2编码!$A$2:$A$1048576,MATCH(W1815,品种2编码!$D$2:$D$1048576,0))</f>
        <v>0</v>
      </c>
      <c r="H1815" s="6" t="s">
        <v>3448</v>
      </c>
      <c r="I1815" s="6" t="s">
        <v>411</v>
      </c>
      <c r="J1815" s="6" t="s">
        <v>3040</v>
      </c>
      <c r="L1815" s="6" t="s">
        <v>3426</v>
      </c>
      <c r="M1815" s="6" t="e">
        <f>INDEX(医院2县区2人!$B$2:$B$1048576,MATCH(L1815,医院2县区2人!$A$2:$A$1048576,0))</f>
        <v>#N/A</v>
      </c>
      <c r="N1815" s="6" t="e">
        <f>INDEX(医院2县区2人!$C$2:$C$1048576,MATCH(L1815,医院2县区2人!$A$2:$A$1048576,0))</f>
        <v>#N/A</v>
      </c>
      <c r="P1815" s="7">
        <v>43276</v>
      </c>
      <c r="Q1815" s="6">
        <v>5</v>
      </c>
      <c r="S1815" s="6">
        <v>17122922</v>
      </c>
      <c r="T1815" s="6" t="e">
        <f>INDEX(医院2县区2人!$D$2:$D$1048576,MATCH(L1815,医院2县区2人!$A$2:$A$1048576,0))</f>
        <v>#N/A</v>
      </c>
      <c r="W1815" s="6" t="str">
        <f t="shared" si="59"/>
        <v>葡萄糖酸钙口服溶液（含糖型）10ml*12支</v>
      </c>
      <c r="X1815" s="6" t="s">
        <v>2907</v>
      </c>
    </row>
    <row r="1816" spans="1:24" x14ac:dyDescent="0.15">
      <c r="A1816" s="7" t="str">
        <f t="shared" si="60"/>
        <v>201806</v>
      </c>
      <c r="C1816" s="6" t="str">
        <f>INDEX(工厂基础数据!$A$2:$A$1024,MATCH(X1816,工厂基础数据!$D$2:$D$1024,0))</f>
        <v>02029238</v>
      </c>
      <c r="E1816" s="6" t="str">
        <f>INDEX(工厂基础数据!$B$2:$B$1024,MATCH(X1816,工厂基础数据!$D$2:$D$1024,0))</f>
        <v>山东康为医药有限公司</v>
      </c>
      <c r="F1816" s="6" t="e">
        <f>INDEX(商业2转码!$B$2:$B$10000,MATCH(E1816,商业2转码!$A$2:$A$10000,0))</f>
        <v>#N/A</v>
      </c>
      <c r="G1816" s="6" t="str">
        <f>INDEX(品种2编码!$A$2:$A$1048576,MATCH(W1816,品种2编码!$D$2:$D$1048576,0))</f>
        <v>0020030001SJZY0009</v>
      </c>
      <c r="H1816" s="6" t="s">
        <v>1949</v>
      </c>
      <c r="I1816" s="6" t="s">
        <v>411</v>
      </c>
      <c r="J1816" s="6" t="s">
        <v>3040</v>
      </c>
      <c r="L1816" s="6" t="s">
        <v>3426</v>
      </c>
      <c r="M1816" s="6" t="e">
        <f>INDEX(医院2县区2人!$B$2:$B$1048576,MATCH(L1816,医院2县区2人!$A$2:$A$1048576,0))</f>
        <v>#N/A</v>
      </c>
      <c r="N1816" s="6" t="e">
        <f>INDEX(医院2县区2人!$C$2:$C$1048576,MATCH(L1816,医院2县区2人!$A$2:$A$1048576,0))</f>
        <v>#N/A</v>
      </c>
      <c r="P1816" s="7">
        <v>43276</v>
      </c>
      <c r="Q1816" s="6">
        <v>5</v>
      </c>
      <c r="S1816" s="6">
        <v>18031227</v>
      </c>
      <c r="T1816" s="6" t="e">
        <f>INDEX(医院2县区2人!$D$2:$D$1048576,MATCH(L1816,医院2县区2人!$A$2:$A$1048576,0))</f>
        <v>#N/A</v>
      </c>
      <c r="W1816" s="6" t="str">
        <f t="shared" si="59"/>
        <v>葡萄糖酸锌口服溶液10ml*12支</v>
      </c>
      <c r="X1816" s="6" t="s">
        <v>2907</v>
      </c>
    </row>
    <row r="1817" spans="1:24" x14ac:dyDescent="0.15">
      <c r="A1817" s="7" t="str">
        <f t="shared" si="60"/>
        <v>201806</v>
      </c>
      <c r="C1817" s="6" t="str">
        <f>INDEX(工厂基础数据!$A$2:$A$1024,MATCH(X1817,工厂基础数据!$D$2:$D$1024,0))</f>
        <v>02029238</v>
      </c>
      <c r="E1817" s="6" t="str">
        <f>INDEX(工厂基础数据!$B$2:$B$1024,MATCH(X1817,工厂基础数据!$D$2:$D$1024,0))</f>
        <v>山东康为医药有限公司</v>
      </c>
      <c r="F1817" s="6" t="e">
        <f>INDEX(商业2转码!$B$2:$B$10000,MATCH(E1817,商业2转码!$A$2:$A$10000,0))</f>
        <v>#N/A</v>
      </c>
      <c r="G1817" s="6" t="str">
        <f>INDEX(品种2编码!$A$2:$A$1048576,MATCH(W1817,品种2编码!$D$2:$D$1048576,0))</f>
        <v>0020020020SJMS0008</v>
      </c>
      <c r="H1817" s="6" t="s">
        <v>1904</v>
      </c>
      <c r="I1817" s="6" t="s">
        <v>1873</v>
      </c>
      <c r="J1817" s="6" t="s">
        <v>3046</v>
      </c>
      <c r="L1817" s="6" t="s">
        <v>3427</v>
      </c>
      <c r="M1817" s="6" t="e">
        <f>INDEX(医院2县区2人!$B$2:$B$1048576,MATCH(L1817,医院2县区2人!$A$2:$A$1048576,0))</f>
        <v>#N/A</v>
      </c>
      <c r="N1817" s="6" t="e">
        <f>INDEX(医院2县区2人!$C$2:$C$1048576,MATCH(L1817,医院2县区2人!$A$2:$A$1048576,0))</f>
        <v>#N/A</v>
      </c>
      <c r="P1817" s="7">
        <v>43276</v>
      </c>
      <c r="Q1817" s="6">
        <v>10</v>
      </c>
      <c r="S1817" s="6">
        <v>1801004</v>
      </c>
      <c r="T1817" s="6" t="e">
        <f>INDEX(医院2县区2人!$D$2:$D$1048576,MATCH(L1817,医院2县区2人!$A$2:$A$1048576,0))</f>
        <v>#N/A</v>
      </c>
      <c r="W1817" s="6" t="str">
        <f t="shared" si="59"/>
        <v>拉西地平片/三精司乐平片4mg*15片</v>
      </c>
      <c r="X1817" s="6" t="s">
        <v>2907</v>
      </c>
    </row>
    <row r="1818" spans="1:24" x14ac:dyDescent="0.15">
      <c r="A1818" s="7" t="str">
        <f t="shared" si="60"/>
        <v>201806</v>
      </c>
      <c r="C1818" s="6" t="str">
        <f>INDEX(工厂基础数据!$A$2:$A$1024,MATCH(X1818,工厂基础数据!$D$2:$D$1024,0))</f>
        <v>02029238</v>
      </c>
      <c r="E1818" s="6" t="str">
        <f>INDEX(工厂基础数据!$B$2:$B$1024,MATCH(X1818,工厂基础数据!$D$2:$D$1024,0))</f>
        <v>山东康为医药有限公司</v>
      </c>
      <c r="F1818" s="6" t="e">
        <f>INDEX(商业2转码!$B$2:$B$10000,MATCH(E1818,商业2转码!$A$2:$A$10000,0))</f>
        <v>#N/A</v>
      </c>
      <c r="G1818" s="6" t="str">
        <f>INDEX(品种2编码!$A$2:$A$1048576,MATCH(W1818,品种2编码!$D$2:$D$1048576,0))</f>
        <v>0020030020ZYLC0013</v>
      </c>
      <c r="H1818" s="6" t="s">
        <v>591</v>
      </c>
      <c r="I1818" s="6" t="s">
        <v>1839</v>
      </c>
      <c r="J1818" s="6" t="s">
        <v>3036</v>
      </c>
      <c r="L1818" s="6" t="s">
        <v>3409</v>
      </c>
      <c r="M1818" s="6" t="e">
        <f>INDEX(医院2县区2人!$B$2:$B$1048576,MATCH(L1818,医院2县区2人!$A$2:$A$1048576,0))</f>
        <v>#N/A</v>
      </c>
      <c r="N1818" s="6" t="e">
        <f>INDEX(医院2县区2人!$C$2:$C$1048576,MATCH(L1818,医院2县区2人!$A$2:$A$1048576,0))</f>
        <v>#N/A</v>
      </c>
      <c r="P1818" s="7">
        <v>43276</v>
      </c>
      <c r="Q1818" s="6">
        <v>10</v>
      </c>
      <c r="S1818" s="6">
        <v>180112</v>
      </c>
      <c r="T1818" s="6" t="e">
        <f>INDEX(医院2县区2人!$D$2:$D$1048576,MATCH(L1818,医院2县区2人!$A$2:$A$1048576,0))</f>
        <v>#N/A</v>
      </c>
      <c r="W1818" s="6" t="str">
        <f t="shared" si="59"/>
        <v>乳酸菌素片0.4g*36片</v>
      </c>
      <c r="X1818" s="6" t="s">
        <v>2907</v>
      </c>
    </row>
    <row r="1819" spans="1:24" x14ac:dyDescent="0.15">
      <c r="A1819" s="7" t="str">
        <f t="shared" si="60"/>
        <v>201806</v>
      </c>
      <c r="C1819" s="6" t="str">
        <f>INDEX(工厂基础数据!$A$2:$A$1024,MATCH(X1819,工厂基础数据!$D$2:$D$1024,0))</f>
        <v>02029238</v>
      </c>
      <c r="E1819" s="6" t="str">
        <f>INDEX(工厂基础数据!$B$2:$B$1024,MATCH(X1819,工厂基础数据!$D$2:$D$1024,0))</f>
        <v>山东康为医药有限公司</v>
      </c>
      <c r="F1819" s="6" t="e">
        <f>INDEX(商业2转码!$B$2:$B$10000,MATCH(E1819,商业2转码!$A$2:$A$10000,0))</f>
        <v>#N/A</v>
      </c>
      <c r="G1819" s="6" t="str">
        <f>INDEX(品种2编码!$A$2:$A$1048576,MATCH(W1819,品种2编码!$D$2:$D$1048576,0))</f>
        <v>0020030001SJZY0009</v>
      </c>
      <c r="H1819" s="6" t="s">
        <v>1949</v>
      </c>
      <c r="I1819" s="6" t="s">
        <v>411</v>
      </c>
      <c r="J1819" s="6" t="s">
        <v>3040</v>
      </c>
      <c r="L1819" s="6" t="s">
        <v>3409</v>
      </c>
      <c r="M1819" s="6" t="e">
        <f>INDEX(医院2县区2人!$B$2:$B$1048576,MATCH(L1819,医院2县区2人!$A$2:$A$1048576,0))</f>
        <v>#N/A</v>
      </c>
      <c r="N1819" s="6" t="e">
        <f>INDEX(医院2县区2人!$C$2:$C$1048576,MATCH(L1819,医院2县区2人!$A$2:$A$1048576,0))</f>
        <v>#N/A</v>
      </c>
      <c r="P1819" s="7">
        <v>43276</v>
      </c>
      <c r="Q1819" s="6">
        <v>20</v>
      </c>
      <c r="S1819" s="6">
        <v>18031227</v>
      </c>
      <c r="T1819" s="6" t="e">
        <f>INDEX(医院2县区2人!$D$2:$D$1048576,MATCH(L1819,医院2县区2人!$A$2:$A$1048576,0))</f>
        <v>#N/A</v>
      </c>
      <c r="W1819" s="6" t="str">
        <f t="shared" si="59"/>
        <v>葡萄糖酸锌口服溶液10ml*12支</v>
      </c>
      <c r="X1819" s="6" t="s">
        <v>2907</v>
      </c>
    </row>
    <row r="1820" spans="1:24" x14ac:dyDescent="0.15">
      <c r="A1820" s="7" t="str">
        <f t="shared" si="60"/>
        <v>201806</v>
      </c>
      <c r="C1820" s="6" t="str">
        <f>INDEX(工厂基础数据!$A$2:$A$1024,MATCH(X1820,工厂基础数据!$D$2:$D$1024,0))</f>
        <v>02029238</v>
      </c>
      <c r="E1820" s="6" t="str">
        <f>INDEX(工厂基础数据!$B$2:$B$1024,MATCH(X1820,工厂基础数据!$D$2:$D$1024,0))</f>
        <v>山东康为医药有限公司</v>
      </c>
      <c r="F1820" s="6" t="e">
        <f>INDEX(商业2转码!$B$2:$B$10000,MATCH(E1820,商业2转码!$A$2:$A$10000,0))</f>
        <v>#N/A</v>
      </c>
      <c r="G1820" s="6" t="str">
        <f>INDEX(品种2编码!$A$2:$A$1048576,MATCH(W1820,品种2编码!$D$2:$D$1048576,0))</f>
        <v>0020030040ZYLC0001</v>
      </c>
      <c r="H1820" s="6" t="s">
        <v>1852</v>
      </c>
      <c r="I1820" s="6" t="s">
        <v>1853</v>
      </c>
      <c r="J1820" s="6" t="s">
        <v>3036</v>
      </c>
      <c r="L1820" s="6" t="s">
        <v>3354</v>
      </c>
      <c r="M1820" s="6" t="e">
        <f>INDEX(医院2县区2人!$B$2:$B$1048576,MATCH(L1820,医院2县区2人!$A$2:$A$1048576,0))</f>
        <v>#N/A</v>
      </c>
      <c r="N1820" s="6" t="e">
        <f>INDEX(医院2县区2人!$C$2:$C$1048576,MATCH(L1820,医院2县区2人!$A$2:$A$1048576,0))</f>
        <v>#N/A</v>
      </c>
      <c r="P1820" s="7">
        <v>43276</v>
      </c>
      <c r="Q1820" s="6">
        <v>5</v>
      </c>
      <c r="S1820" s="6">
        <v>171116</v>
      </c>
      <c r="T1820" s="6" t="e">
        <f>INDEX(医院2县区2人!$D$2:$D$1048576,MATCH(L1820,医院2县区2人!$A$2:$A$1048576,0))</f>
        <v>#N/A</v>
      </c>
      <c r="W1820" s="6" t="str">
        <f t="shared" si="59"/>
        <v>小儿氨酚黄那敏颗粒/护彤2g*12袋</v>
      </c>
      <c r="X1820" s="6" t="s">
        <v>2907</v>
      </c>
    </row>
    <row r="1821" spans="1:24" x14ac:dyDescent="0.15">
      <c r="A1821" s="7" t="str">
        <f t="shared" si="60"/>
        <v>201806</v>
      </c>
      <c r="C1821" s="6" t="str">
        <f>INDEX(工厂基础数据!$A$2:$A$1024,MATCH(X1821,工厂基础数据!$D$2:$D$1024,0))</f>
        <v>02029238</v>
      </c>
      <c r="E1821" s="6" t="str">
        <f>INDEX(工厂基础数据!$B$2:$B$1024,MATCH(X1821,工厂基础数据!$D$2:$D$1024,0))</f>
        <v>山东康为医药有限公司</v>
      </c>
      <c r="F1821" s="6" t="e">
        <f>INDEX(商业2转码!$B$2:$B$10000,MATCH(E1821,商业2转码!$A$2:$A$10000,0))</f>
        <v>#N/A</v>
      </c>
      <c r="G1821" s="6">
        <f>INDEX(品种2编码!$A$2:$A$1048576,MATCH(W1821,品种2编码!$D$2:$D$1048576,0))</f>
        <v>0</v>
      </c>
      <c r="H1821" s="6" t="s">
        <v>3447</v>
      </c>
      <c r="I1821" s="6" t="s">
        <v>1838</v>
      </c>
      <c r="J1821" s="6" t="s">
        <v>3036</v>
      </c>
      <c r="L1821" s="6" t="s">
        <v>3428</v>
      </c>
      <c r="M1821" s="6" t="e">
        <f>INDEX(医院2县区2人!$B$2:$B$1048576,MATCH(L1821,医院2县区2人!$A$2:$A$1048576,0))</f>
        <v>#N/A</v>
      </c>
      <c r="N1821" s="6" t="e">
        <f>INDEX(医院2县区2人!$C$2:$C$1048576,MATCH(L1821,医院2县区2人!$A$2:$A$1048576,0))</f>
        <v>#N/A</v>
      </c>
      <c r="P1821" s="7">
        <v>43276</v>
      </c>
      <c r="Q1821" s="6">
        <v>20</v>
      </c>
      <c r="S1821" s="6">
        <v>171251</v>
      </c>
      <c r="T1821" s="6" t="e">
        <f>INDEX(医院2县区2人!$D$2:$D$1048576,MATCH(L1821,医院2县区2人!$A$2:$A$1048576,0))</f>
        <v>#N/A</v>
      </c>
      <c r="W1821" s="6" t="str">
        <f t="shared" si="59"/>
        <v>新盖中盖高钙片/成人2.5g*36片</v>
      </c>
      <c r="X1821" s="6" t="s">
        <v>2907</v>
      </c>
    </row>
    <row r="1822" spans="1:24" x14ac:dyDescent="0.15">
      <c r="A1822" s="7" t="str">
        <f t="shared" si="60"/>
        <v>201806</v>
      </c>
      <c r="C1822" s="6" t="str">
        <f>INDEX(工厂基础数据!$A$2:$A$1024,MATCH(X1822,工厂基础数据!$D$2:$D$1024,0))</f>
        <v>02029238</v>
      </c>
      <c r="E1822" s="6" t="str">
        <f>INDEX(工厂基础数据!$B$2:$B$1024,MATCH(X1822,工厂基础数据!$D$2:$D$1024,0))</f>
        <v>山东康为医药有限公司</v>
      </c>
      <c r="F1822" s="6" t="e">
        <f>INDEX(商业2转码!$B$2:$B$10000,MATCH(E1822,商业2转码!$A$2:$A$10000,0))</f>
        <v>#N/A</v>
      </c>
      <c r="G1822" s="6" t="str">
        <f>INDEX(品种2编码!$A$2:$A$1048576,MATCH(W1822,品种2编码!$D$2:$D$1048576,0))</f>
        <v>0020030020ZYLC0013</v>
      </c>
      <c r="H1822" s="6" t="s">
        <v>591</v>
      </c>
      <c r="I1822" s="6" t="s">
        <v>1839</v>
      </c>
      <c r="J1822" s="6" t="s">
        <v>3036</v>
      </c>
      <c r="L1822" s="6" t="s">
        <v>3428</v>
      </c>
      <c r="M1822" s="6" t="e">
        <f>INDEX(医院2县区2人!$B$2:$B$1048576,MATCH(L1822,医院2县区2人!$A$2:$A$1048576,0))</f>
        <v>#N/A</v>
      </c>
      <c r="N1822" s="6" t="e">
        <f>INDEX(医院2县区2人!$C$2:$C$1048576,MATCH(L1822,医院2县区2人!$A$2:$A$1048576,0))</f>
        <v>#N/A</v>
      </c>
      <c r="P1822" s="7">
        <v>43276</v>
      </c>
      <c r="Q1822" s="6">
        <v>50</v>
      </c>
      <c r="S1822" s="6">
        <v>180112</v>
      </c>
      <c r="T1822" s="6" t="e">
        <f>INDEX(医院2县区2人!$D$2:$D$1048576,MATCH(L1822,医院2县区2人!$A$2:$A$1048576,0))</f>
        <v>#N/A</v>
      </c>
      <c r="W1822" s="6" t="str">
        <f t="shared" si="59"/>
        <v>乳酸菌素片0.4g*36片</v>
      </c>
      <c r="X1822" s="6" t="s">
        <v>2907</v>
      </c>
    </row>
    <row r="1823" spans="1:24" x14ac:dyDescent="0.15">
      <c r="A1823" s="7" t="str">
        <f t="shared" si="60"/>
        <v>201806</v>
      </c>
      <c r="C1823" s="6" t="str">
        <f>INDEX(工厂基础数据!$A$2:$A$1024,MATCH(X1823,工厂基础数据!$D$2:$D$1024,0))</f>
        <v>02029238</v>
      </c>
      <c r="E1823" s="6" t="str">
        <f>INDEX(工厂基础数据!$B$2:$B$1024,MATCH(X1823,工厂基础数据!$D$2:$D$1024,0))</f>
        <v>山东康为医药有限公司</v>
      </c>
      <c r="F1823" s="6" t="e">
        <f>INDEX(商业2转码!$B$2:$B$10000,MATCH(E1823,商业2转码!$A$2:$A$10000,0))</f>
        <v>#N/A</v>
      </c>
      <c r="G1823" s="6">
        <f>INDEX(品种2编码!$A$2:$A$1048576,MATCH(W1823,品种2编码!$D$2:$D$1048576,0))</f>
        <v>0</v>
      </c>
      <c r="H1823" s="6" t="s">
        <v>3451</v>
      </c>
      <c r="I1823" s="6" t="s">
        <v>381</v>
      </c>
      <c r="J1823" s="6" t="s">
        <v>3036</v>
      </c>
      <c r="L1823" s="6" t="s">
        <v>3428</v>
      </c>
      <c r="M1823" s="6" t="e">
        <f>INDEX(医院2县区2人!$B$2:$B$1048576,MATCH(L1823,医院2县区2人!$A$2:$A$1048576,0))</f>
        <v>#N/A</v>
      </c>
      <c r="N1823" s="6" t="e">
        <f>INDEX(医院2县区2人!$C$2:$C$1048576,MATCH(L1823,医院2县区2人!$A$2:$A$1048576,0))</f>
        <v>#N/A</v>
      </c>
      <c r="P1823" s="7">
        <v>43276</v>
      </c>
      <c r="Q1823" s="6">
        <v>50</v>
      </c>
      <c r="S1823" s="6">
        <v>170706</v>
      </c>
      <c r="T1823" s="6" t="e">
        <f>INDEX(医院2县区2人!$D$2:$D$1048576,MATCH(L1823,医院2县区2人!$A$2:$A$1048576,0))</f>
        <v>#N/A</v>
      </c>
      <c r="W1823" s="6" t="str">
        <f t="shared" si="59"/>
        <v>颠茄磺苄啶片/泻利停12片</v>
      </c>
      <c r="X1823" s="6" t="s">
        <v>2907</v>
      </c>
    </row>
    <row r="1824" spans="1:24" x14ac:dyDescent="0.15">
      <c r="A1824" s="7" t="str">
        <f t="shared" si="60"/>
        <v>201806</v>
      </c>
      <c r="C1824" s="6" t="str">
        <f>INDEX(工厂基础数据!$A$2:$A$1024,MATCH(X1824,工厂基础数据!$D$2:$D$1024,0))</f>
        <v>02029238</v>
      </c>
      <c r="E1824" s="6" t="str">
        <f>INDEX(工厂基础数据!$B$2:$B$1024,MATCH(X1824,工厂基础数据!$D$2:$D$1024,0))</f>
        <v>山东康为医药有限公司</v>
      </c>
      <c r="F1824" s="6" t="e">
        <f>INDEX(商业2转码!$B$2:$B$10000,MATCH(E1824,商业2转码!$A$2:$A$10000,0))</f>
        <v>#N/A</v>
      </c>
      <c r="G1824" s="6" t="str">
        <f>INDEX(品种2编码!$A$2:$A$1048576,MATCH(W1824,品种2编码!$D$2:$D$1048576,0))</f>
        <v>0020030001SJZY0009</v>
      </c>
      <c r="H1824" s="6" t="s">
        <v>1949</v>
      </c>
      <c r="I1824" s="6" t="s">
        <v>411</v>
      </c>
      <c r="J1824" s="6" t="s">
        <v>3040</v>
      </c>
      <c r="L1824" s="6" t="s">
        <v>3428</v>
      </c>
      <c r="M1824" s="6" t="e">
        <f>INDEX(医院2县区2人!$B$2:$B$1048576,MATCH(L1824,医院2县区2人!$A$2:$A$1048576,0))</f>
        <v>#N/A</v>
      </c>
      <c r="N1824" s="6" t="e">
        <f>INDEX(医院2县区2人!$C$2:$C$1048576,MATCH(L1824,医院2县区2人!$A$2:$A$1048576,0))</f>
        <v>#N/A</v>
      </c>
      <c r="P1824" s="7">
        <v>43276</v>
      </c>
      <c r="Q1824" s="6">
        <v>30</v>
      </c>
      <c r="S1824" s="6">
        <v>18031227</v>
      </c>
      <c r="T1824" s="6" t="e">
        <f>INDEX(医院2县区2人!$D$2:$D$1048576,MATCH(L1824,医院2县区2人!$A$2:$A$1048576,0))</f>
        <v>#N/A</v>
      </c>
      <c r="W1824" s="6" t="str">
        <f t="shared" si="59"/>
        <v>葡萄糖酸锌口服溶液10ml*12支</v>
      </c>
      <c r="X1824" s="6" t="s">
        <v>2907</v>
      </c>
    </row>
    <row r="1825" spans="1:24" x14ac:dyDescent="0.15">
      <c r="A1825" s="7" t="str">
        <f t="shared" si="60"/>
        <v>201806</v>
      </c>
      <c r="C1825" s="6" t="str">
        <f>INDEX(工厂基础数据!$A$2:$A$1024,MATCH(X1825,工厂基础数据!$D$2:$D$1024,0))</f>
        <v>02029238</v>
      </c>
      <c r="E1825" s="6" t="str">
        <f>INDEX(工厂基础数据!$B$2:$B$1024,MATCH(X1825,工厂基础数据!$D$2:$D$1024,0))</f>
        <v>山东康为医药有限公司</v>
      </c>
      <c r="F1825" s="6" t="e">
        <f>INDEX(商业2转码!$B$2:$B$10000,MATCH(E1825,商业2转码!$A$2:$A$10000,0))</f>
        <v>#N/A</v>
      </c>
      <c r="G1825" s="6">
        <f>INDEX(品种2编码!$A$2:$A$1048576,MATCH(W1825,品种2编码!$D$2:$D$1048576,0))</f>
        <v>0</v>
      </c>
      <c r="H1825" s="6" t="s">
        <v>3450</v>
      </c>
      <c r="I1825" s="6" t="s">
        <v>1871</v>
      </c>
      <c r="J1825" s="6" t="s">
        <v>3045</v>
      </c>
      <c r="L1825" s="6" t="s">
        <v>3355</v>
      </c>
      <c r="M1825" s="6" t="e">
        <f>INDEX(医院2县区2人!$B$2:$B$1048576,MATCH(L1825,医院2县区2人!$A$2:$A$1048576,0))</f>
        <v>#N/A</v>
      </c>
      <c r="N1825" s="6" t="e">
        <f>INDEX(医院2县区2人!$C$2:$C$1048576,MATCH(L1825,医院2县区2人!$A$2:$A$1048576,0))</f>
        <v>#N/A</v>
      </c>
      <c r="P1825" s="7">
        <v>43276</v>
      </c>
      <c r="Q1825" s="6">
        <v>20</v>
      </c>
      <c r="S1825" s="6">
        <v>1712032</v>
      </c>
      <c r="T1825" s="6" t="e">
        <f>INDEX(医院2县区2人!$D$2:$D$1048576,MATCH(L1825,医院2县区2人!$A$2:$A$1048576,0))</f>
        <v>#N/A</v>
      </c>
      <c r="W1825" s="6" t="str">
        <f t="shared" si="59"/>
        <v>复方铝酸铋片/胃必治50片</v>
      </c>
      <c r="X1825" s="6" t="s">
        <v>2907</v>
      </c>
    </row>
    <row r="1826" spans="1:24" x14ac:dyDescent="0.15">
      <c r="A1826" s="7" t="str">
        <f t="shared" si="60"/>
        <v>201806</v>
      </c>
      <c r="C1826" s="6" t="str">
        <f>INDEX(工厂基础数据!$A$2:$A$1024,MATCH(X1826,工厂基础数据!$D$2:$D$1024,0))</f>
        <v>02029238</v>
      </c>
      <c r="E1826" s="6" t="str">
        <f>INDEX(工厂基础数据!$B$2:$B$1024,MATCH(X1826,工厂基础数据!$D$2:$D$1024,0))</f>
        <v>山东康为医药有限公司</v>
      </c>
      <c r="F1826" s="6" t="e">
        <f>INDEX(商业2转码!$B$2:$B$10000,MATCH(E1826,商业2转码!$A$2:$A$10000,0))</f>
        <v>#N/A</v>
      </c>
      <c r="G1826" s="6" t="str">
        <f>INDEX(品种2编码!$A$2:$A$1048576,MATCH(W1826,品种2编码!$D$2:$D$1048576,0))</f>
        <v>0020030001SJZY0009</v>
      </c>
      <c r="H1826" s="6" t="s">
        <v>1949</v>
      </c>
      <c r="I1826" s="6" t="s">
        <v>411</v>
      </c>
      <c r="J1826" s="6" t="s">
        <v>3040</v>
      </c>
      <c r="L1826" s="6" t="s">
        <v>3355</v>
      </c>
      <c r="M1826" s="6" t="e">
        <f>INDEX(医院2县区2人!$B$2:$B$1048576,MATCH(L1826,医院2县区2人!$A$2:$A$1048576,0))</f>
        <v>#N/A</v>
      </c>
      <c r="N1826" s="6" t="e">
        <f>INDEX(医院2县区2人!$C$2:$C$1048576,MATCH(L1826,医院2县区2人!$A$2:$A$1048576,0))</f>
        <v>#N/A</v>
      </c>
      <c r="P1826" s="7">
        <v>43276</v>
      </c>
      <c r="Q1826" s="6">
        <v>80</v>
      </c>
      <c r="S1826" s="6">
        <v>18031227</v>
      </c>
      <c r="T1826" s="6" t="e">
        <f>INDEX(医院2县区2人!$D$2:$D$1048576,MATCH(L1826,医院2县区2人!$A$2:$A$1048576,0))</f>
        <v>#N/A</v>
      </c>
      <c r="W1826" s="6" t="str">
        <f t="shared" si="59"/>
        <v>葡萄糖酸锌口服溶液10ml*12支</v>
      </c>
      <c r="X1826" s="6" t="s">
        <v>2907</v>
      </c>
    </row>
    <row r="1827" spans="1:24" x14ac:dyDescent="0.15">
      <c r="A1827" s="7" t="str">
        <f t="shared" si="60"/>
        <v>201806</v>
      </c>
      <c r="C1827" s="6" t="str">
        <f>INDEX(工厂基础数据!$A$2:$A$1024,MATCH(X1827,工厂基础数据!$D$2:$D$1024,0))</f>
        <v>02029238</v>
      </c>
      <c r="E1827" s="6" t="str">
        <f>INDEX(工厂基础数据!$B$2:$B$1024,MATCH(X1827,工厂基础数据!$D$2:$D$1024,0))</f>
        <v>山东康为医药有限公司</v>
      </c>
      <c r="F1827" s="6" t="e">
        <f>INDEX(商业2转码!$B$2:$B$10000,MATCH(E1827,商业2转码!$A$2:$A$10000,0))</f>
        <v>#N/A</v>
      </c>
      <c r="G1827" s="6" t="str">
        <f>INDEX(品种2编码!$A$2:$A$1048576,MATCH(W1827,品种2编码!$D$2:$D$1048576,0))</f>
        <v>0020030001SJZY0009</v>
      </c>
      <c r="H1827" s="6" t="s">
        <v>1949</v>
      </c>
      <c r="I1827" s="6" t="s">
        <v>411</v>
      </c>
      <c r="J1827" s="6" t="s">
        <v>3040</v>
      </c>
      <c r="L1827" s="6" t="s">
        <v>3351</v>
      </c>
      <c r="M1827" s="6" t="e">
        <f>INDEX(医院2县区2人!$B$2:$B$1048576,MATCH(L1827,医院2县区2人!$A$2:$A$1048576,0))</f>
        <v>#N/A</v>
      </c>
      <c r="N1827" s="6" t="e">
        <f>INDEX(医院2县区2人!$C$2:$C$1048576,MATCH(L1827,医院2县区2人!$A$2:$A$1048576,0))</f>
        <v>#N/A</v>
      </c>
      <c r="P1827" s="7">
        <v>43276</v>
      </c>
      <c r="Q1827" s="6">
        <v>10</v>
      </c>
      <c r="S1827" s="6">
        <v>18031227</v>
      </c>
      <c r="T1827" s="6" t="e">
        <f>INDEX(医院2县区2人!$D$2:$D$1048576,MATCH(L1827,医院2县区2人!$A$2:$A$1048576,0))</f>
        <v>#N/A</v>
      </c>
      <c r="W1827" s="6" t="str">
        <f t="shared" si="59"/>
        <v>葡萄糖酸锌口服溶液10ml*12支</v>
      </c>
      <c r="X1827" s="6" t="s">
        <v>2907</v>
      </c>
    </row>
    <row r="1828" spans="1:24" x14ac:dyDescent="0.15">
      <c r="A1828" s="7" t="str">
        <f t="shared" si="60"/>
        <v>201806</v>
      </c>
      <c r="C1828" s="6" t="str">
        <f>INDEX(工厂基础数据!$A$2:$A$1024,MATCH(X1828,工厂基础数据!$D$2:$D$1024,0))</f>
        <v>02029238</v>
      </c>
      <c r="E1828" s="6" t="str">
        <f>INDEX(工厂基础数据!$B$2:$B$1024,MATCH(X1828,工厂基础数据!$D$2:$D$1024,0))</f>
        <v>山东康为医药有限公司</v>
      </c>
      <c r="F1828" s="6" t="e">
        <f>INDEX(商业2转码!$B$2:$B$10000,MATCH(E1828,商业2转码!$A$2:$A$10000,0))</f>
        <v>#N/A</v>
      </c>
      <c r="G1828" s="6" t="str">
        <f>INDEX(品种2编码!$A$2:$A$1048576,MATCH(W1828,品种2编码!$D$2:$D$1048576,0))</f>
        <v>0020020020SJMS0008</v>
      </c>
      <c r="H1828" s="6" t="s">
        <v>1904</v>
      </c>
      <c r="I1828" s="6" t="s">
        <v>1873</v>
      </c>
      <c r="J1828" s="6" t="s">
        <v>3046</v>
      </c>
      <c r="L1828" s="6" t="s">
        <v>3360</v>
      </c>
      <c r="M1828" s="6" t="e">
        <f>INDEX(医院2县区2人!$B$2:$B$1048576,MATCH(L1828,医院2县区2人!$A$2:$A$1048576,0))</f>
        <v>#N/A</v>
      </c>
      <c r="N1828" s="6" t="e">
        <f>INDEX(医院2县区2人!$C$2:$C$1048576,MATCH(L1828,医院2县区2人!$A$2:$A$1048576,0))</f>
        <v>#N/A</v>
      </c>
      <c r="P1828" s="7">
        <v>43276</v>
      </c>
      <c r="Q1828" s="6">
        <v>10</v>
      </c>
      <c r="S1828" s="6">
        <v>1801004</v>
      </c>
      <c r="T1828" s="6" t="e">
        <f>INDEX(医院2县区2人!$D$2:$D$1048576,MATCH(L1828,医院2县区2人!$A$2:$A$1048576,0))</f>
        <v>#N/A</v>
      </c>
      <c r="W1828" s="6" t="str">
        <f t="shared" si="59"/>
        <v>拉西地平片/三精司乐平片4mg*15片</v>
      </c>
      <c r="X1828" s="6" t="s">
        <v>2907</v>
      </c>
    </row>
    <row r="1829" spans="1:24" x14ac:dyDescent="0.15">
      <c r="A1829" s="7" t="str">
        <f t="shared" si="60"/>
        <v>201806</v>
      </c>
      <c r="C1829" s="6" t="str">
        <f>INDEX(工厂基础数据!$A$2:$A$1024,MATCH(X1829,工厂基础数据!$D$2:$D$1024,0))</f>
        <v>02029238</v>
      </c>
      <c r="E1829" s="6" t="str">
        <f>INDEX(工厂基础数据!$B$2:$B$1024,MATCH(X1829,工厂基础数据!$D$2:$D$1024,0))</f>
        <v>山东康为医药有限公司</v>
      </c>
      <c r="F1829" s="6" t="e">
        <f>INDEX(商业2转码!$B$2:$B$10000,MATCH(E1829,商业2转码!$A$2:$A$10000,0))</f>
        <v>#N/A</v>
      </c>
      <c r="G1829" s="6" t="str">
        <f>INDEX(品种2编码!$A$2:$A$1048576,MATCH(W1829,品种2编码!$D$2:$D$1048576,0))</f>
        <v>0020020020SJMS0008</v>
      </c>
      <c r="H1829" s="6" t="s">
        <v>1904</v>
      </c>
      <c r="I1829" s="6" t="s">
        <v>1873</v>
      </c>
      <c r="J1829" s="6" t="s">
        <v>3046</v>
      </c>
      <c r="L1829" s="6" t="s">
        <v>3358</v>
      </c>
      <c r="M1829" s="6" t="e">
        <f>INDEX(医院2县区2人!$B$2:$B$1048576,MATCH(L1829,医院2县区2人!$A$2:$A$1048576,0))</f>
        <v>#N/A</v>
      </c>
      <c r="N1829" s="6" t="e">
        <f>INDEX(医院2县区2人!$C$2:$C$1048576,MATCH(L1829,医院2县区2人!$A$2:$A$1048576,0))</f>
        <v>#N/A</v>
      </c>
      <c r="P1829" s="7">
        <v>43276</v>
      </c>
      <c r="Q1829" s="6">
        <v>20</v>
      </c>
      <c r="S1829" s="6">
        <v>1801004</v>
      </c>
      <c r="T1829" s="6" t="e">
        <f>INDEX(医院2县区2人!$D$2:$D$1048576,MATCH(L1829,医院2县区2人!$A$2:$A$1048576,0))</f>
        <v>#N/A</v>
      </c>
      <c r="W1829" s="6" t="str">
        <f t="shared" si="59"/>
        <v>拉西地平片/三精司乐平片4mg*15片</v>
      </c>
      <c r="X1829" s="6" t="s">
        <v>2907</v>
      </c>
    </row>
    <row r="1830" spans="1:24" x14ac:dyDescent="0.15">
      <c r="A1830" s="7" t="str">
        <f t="shared" si="60"/>
        <v>201806</v>
      </c>
      <c r="C1830" s="6" t="str">
        <f>INDEX(工厂基础数据!$A$2:$A$1024,MATCH(X1830,工厂基础数据!$D$2:$D$1024,0))</f>
        <v>02029238</v>
      </c>
      <c r="E1830" s="6" t="str">
        <f>INDEX(工厂基础数据!$B$2:$B$1024,MATCH(X1830,工厂基础数据!$D$2:$D$1024,0))</f>
        <v>山东康为医药有限公司</v>
      </c>
      <c r="F1830" s="6" t="e">
        <f>INDEX(商业2转码!$B$2:$B$10000,MATCH(E1830,商业2转码!$A$2:$A$10000,0))</f>
        <v>#N/A</v>
      </c>
      <c r="G1830" s="6">
        <f>INDEX(品种2编码!$A$2:$A$1048576,MATCH(W1830,品种2编码!$D$2:$D$1048576,0))</f>
        <v>0</v>
      </c>
      <c r="H1830" s="6" t="s">
        <v>3447</v>
      </c>
      <c r="I1830" s="6" t="s">
        <v>1838</v>
      </c>
      <c r="J1830" s="6" t="s">
        <v>3036</v>
      </c>
      <c r="L1830" s="6" t="s">
        <v>3368</v>
      </c>
      <c r="M1830" s="6" t="e">
        <f>INDEX(医院2县区2人!$B$2:$B$1048576,MATCH(L1830,医院2县区2人!$A$2:$A$1048576,0))</f>
        <v>#N/A</v>
      </c>
      <c r="N1830" s="6" t="e">
        <f>INDEX(医院2县区2人!$C$2:$C$1048576,MATCH(L1830,医院2县区2人!$A$2:$A$1048576,0))</f>
        <v>#N/A</v>
      </c>
      <c r="P1830" s="7">
        <v>43276</v>
      </c>
      <c r="Q1830" s="6">
        <v>6</v>
      </c>
      <c r="S1830" s="6">
        <v>171243</v>
      </c>
      <c r="T1830" s="6" t="e">
        <f>INDEX(医院2县区2人!$D$2:$D$1048576,MATCH(L1830,医院2县区2人!$A$2:$A$1048576,0))</f>
        <v>#N/A</v>
      </c>
      <c r="W1830" s="6" t="str">
        <f t="shared" si="59"/>
        <v>新盖中盖高钙片/成人2.5g*36片</v>
      </c>
      <c r="X1830" s="6" t="s">
        <v>2907</v>
      </c>
    </row>
    <row r="1831" spans="1:24" x14ac:dyDescent="0.15">
      <c r="A1831" s="7" t="str">
        <f t="shared" si="60"/>
        <v>201806</v>
      </c>
      <c r="C1831" s="6" t="str">
        <f>INDEX(工厂基础数据!$A$2:$A$1024,MATCH(X1831,工厂基础数据!$D$2:$D$1024,0))</f>
        <v>02029238</v>
      </c>
      <c r="E1831" s="6" t="str">
        <f>INDEX(工厂基础数据!$B$2:$B$1024,MATCH(X1831,工厂基础数据!$D$2:$D$1024,0))</f>
        <v>山东康为医药有限公司</v>
      </c>
      <c r="F1831" s="6" t="e">
        <f>INDEX(商业2转码!$B$2:$B$10000,MATCH(E1831,商业2转码!$A$2:$A$10000,0))</f>
        <v>#N/A</v>
      </c>
      <c r="G1831" s="6">
        <f>INDEX(品种2编码!$A$2:$A$1048576,MATCH(W1831,品种2编码!$D$2:$D$1048576,0))</f>
        <v>0</v>
      </c>
      <c r="H1831" s="6" t="s">
        <v>3447</v>
      </c>
      <c r="I1831" s="6" t="s">
        <v>1838</v>
      </c>
      <c r="J1831" s="6" t="s">
        <v>3036</v>
      </c>
      <c r="L1831" s="6" t="s">
        <v>3368</v>
      </c>
      <c r="M1831" s="6" t="e">
        <f>INDEX(医院2县区2人!$B$2:$B$1048576,MATCH(L1831,医院2县区2人!$A$2:$A$1048576,0))</f>
        <v>#N/A</v>
      </c>
      <c r="N1831" s="6" t="e">
        <f>INDEX(医院2县区2人!$C$2:$C$1048576,MATCH(L1831,医院2县区2人!$A$2:$A$1048576,0))</f>
        <v>#N/A</v>
      </c>
      <c r="P1831" s="7">
        <v>43276</v>
      </c>
      <c r="Q1831" s="6">
        <v>4</v>
      </c>
      <c r="S1831" s="6">
        <v>171251</v>
      </c>
      <c r="T1831" s="6" t="e">
        <f>INDEX(医院2县区2人!$D$2:$D$1048576,MATCH(L1831,医院2县区2人!$A$2:$A$1048576,0))</f>
        <v>#N/A</v>
      </c>
      <c r="W1831" s="6" t="str">
        <f t="shared" si="59"/>
        <v>新盖中盖高钙片/成人2.5g*36片</v>
      </c>
      <c r="X1831" s="6" t="s">
        <v>2907</v>
      </c>
    </row>
    <row r="1832" spans="1:24" x14ac:dyDescent="0.15">
      <c r="A1832" s="7" t="str">
        <f t="shared" si="60"/>
        <v>201806</v>
      </c>
      <c r="C1832" s="6" t="str">
        <f>INDEX(工厂基础数据!$A$2:$A$1024,MATCH(X1832,工厂基础数据!$D$2:$D$1024,0))</f>
        <v>02029238</v>
      </c>
      <c r="E1832" s="6" t="str">
        <f>INDEX(工厂基础数据!$B$2:$B$1024,MATCH(X1832,工厂基础数据!$D$2:$D$1024,0))</f>
        <v>山东康为医药有限公司</v>
      </c>
      <c r="F1832" s="6" t="e">
        <f>INDEX(商业2转码!$B$2:$B$10000,MATCH(E1832,商业2转码!$A$2:$A$10000,0))</f>
        <v>#N/A</v>
      </c>
      <c r="G1832" s="6" t="str">
        <f>INDEX(品种2编码!$A$2:$A$1048576,MATCH(W1832,品种2编码!$D$2:$D$1048576,0))</f>
        <v>0020070000ZYLC0003</v>
      </c>
      <c r="H1832" s="6" t="s">
        <v>722</v>
      </c>
      <c r="I1832" s="6" t="s">
        <v>1993</v>
      </c>
      <c r="J1832" s="6" t="s">
        <v>3036</v>
      </c>
      <c r="L1832" s="6" t="s">
        <v>3368</v>
      </c>
      <c r="M1832" s="6" t="e">
        <f>INDEX(医院2县区2人!$B$2:$B$1048576,MATCH(L1832,医院2县区2人!$A$2:$A$1048576,0))</f>
        <v>#N/A</v>
      </c>
      <c r="N1832" s="6" t="e">
        <f>INDEX(医院2县区2人!$C$2:$C$1048576,MATCH(L1832,医院2县区2人!$A$2:$A$1048576,0))</f>
        <v>#N/A</v>
      </c>
      <c r="P1832" s="7">
        <v>43276</v>
      </c>
      <c r="Q1832" s="6">
        <v>11</v>
      </c>
      <c r="S1832" s="6">
        <v>180102</v>
      </c>
      <c r="T1832" s="6" t="e">
        <f>INDEX(医院2县区2人!$D$2:$D$1048576,MATCH(L1832,医院2县区2人!$A$2:$A$1048576,0))</f>
        <v>#N/A</v>
      </c>
      <c r="W1832" s="6" t="str">
        <f t="shared" si="59"/>
        <v>新盖中盖牌儿童钙片1.75g*36片</v>
      </c>
      <c r="X1832" s="6" t="s">
        <v>2907</v>
      </c>
    </row>
    <row r="1833" spans="1:24" x14ac:dyDescent="0.15">
      <c r="A1833" s="7" t="str">
        <f t="shared" si="60"/>
        <v>201806</v>
      </c>
      <c r="C1833" s="6" t="str">
        <f>INDEX(工厂基础数据!$A$2:$A$1024,MATCH(X1833,工厂基础数据!$D$2:$D$1024,0))</f>
        <v>02029238</v>
      </c>
      <c r="E1833" s="6" t="str">
        <f>INDEX(工厂基础数据!$B$2:$B$1024,MATCH(X1833,工厂基础数据!$D$2:$D$1024,0))</f>
        <v>山东康为医药有限公司</v>
      </c>
      <c r="F1833" s="6" t="e">
        <f>INDEX(商业2转码!$B$2:$B$10000,MATCH(E1833,商业2转码!$A$2:$A$10000,0))</f>
        <v>#N/A</v>
      </c>
      <c r="G1833" s="6">
        <f>INDEX(品种2编码!$A$2:$A$1048576,MATCH(W1833,品种2编码!$D$2:$D$1048576,0))</f>
        <v>0</v>
      </c>
      <c r="H1833" s="6" t="s">
        <v>3451</v>
      </c>
      <c r="I1833" s="6" t="s">
        <v>381</v>
      </c>
      <c r="J1833" s="6" t="s">
        <v>3036</v>
      </c>
      <c r="L1833" s="6" t="s">
        <v>3368</v>
      </c>
      <c r="M1833" s="6" t="e">
        <f>INDEX(医院2县区2人!$B$2:$B$1048576,MATCH(L1833,医院2县区2人!$A$2:$A$1048576,0))</f>
        <v>#N/A</v>
      </c>
      <c r="N1833" s="6" t="e">
        <f>INDEX(医院2县区2人!$C$2:$C$1048576,MATCH(L1833,医院2县区2人!$A$2:$A$1048576,0))</f>
        <v>#N/A</v>
      </c>
      <c r="P1833" s="7">
        <v>43276</v>
      </c>
      <c r="Q1833" s="6">
        <v>3</v>
      </c>
      <c r="S1833" s="6">
        <v>170706</v>
      </c>
      <c r="T1833" s="6" t="e">
        <f>INDEX(医院2县区2人!$D$2:$D$1048576,MATCH(L1833,医院2县区2人!$A$2:$A$1048576,0))</f>
        <v>#N/A</v>
      </c>
      <c r="W1833" s="6" t="str">
        <f t="shared" si="59"/>
        <v>颠茄磺苄啶片/泻利停12片</v>
      </c>
      <c r="X1833" s="6" t="s">
        <v>2907</v>
      </c>
    </row>
    <row r="1834" spans="1:24" x14ac:dyDescent="0.15">
      <c r="A1834" s="7" t="str">
        <f t="shared" si="60"/>
        <v>201806</v>
      </c>
      <c r="C1834" s="6" t="str">
        <f>INDEX(工厂基础数据!$A$2:$A$1024,MATCH(X1834,工厂基础数据!$D$2:$D$1024,0))</f>
        <v>02029238</v>
      </c>
      <c r="E1834" s="6" t="str">
        <f>INDEX(工厂基础数据!$B$2:$B$1024,MATCH(X1834,工厂基础数据!$D$2:$D$1024,0))</f>
        <v>山东康为医药有限公司</v>
      </c>
      <c r="F1834" s="6" t="e">
        <f>INDEX(商业2转码!$B$2:$B$10000,MATCH(E1834,商业2转码!$A$2:$A$10000,0))</f>
        <v>#N/A</v>
      </c>
      <c r="G1834" s="6">
        <f>INDEX(品种2编码!$A$2:$A$1048576,MATCH(W1834,品种2编码!$D$2:$D$1048576,0))</f>
        <v>0</v>
      </c>
      <c r="H1834" s="6" t="s">
        <v>3451</v>
      </c>
      <c r="I1834" s="6" t="s">
        <v>381</v>
      </c>
      <c r="J1834" s="6" t="s">
        <v>3036</v>
      </c>
      <c r="L1834" s="6" t="s">
        <v>3368</v>
      </c>
      <c r="M1834" s="6" t="e">
        <f>INDEX(医院2县区2人!$B$2:$B$1048576,MATCH(L1834,医院2县区2人!$A$2:$A$1048576,0))</f>
        <v>#N/A</v>
      </c>
      <c r="N1834" s="6" t="e">
        <f>INDEX(医院2县区2人!$C$2:$C$1048576,MATCH(L1834,医院2县区2人!$A$2:$A$1048576,0))</f>
        <v>#N/A</v>
      </c>
      <c r="P1834" s="7">
        <v>43276</v>
      </c>
      <c r="Q1834" s="6">
        <v>17</v>
      </c>
      <c r="S1834" s="6">
        <v>170706</v>
      </c>
      <c r="T1834" s="6" t="e">
        <f>INDEX(医院2县区2人!$D$2:$D$1048576,MATCH(L1834,医院2县区2人!$A$2:$A$1048576,0))</f>
        <v>#N/A</v>
      </c>
      <c r="W1834" s="6" t="str">
        <f t="shared" si="59"/>
        <v>颠茄磺苄啶片/泻利停12片</v>
      </c>
      <c r="X1834" s="6" t="s">
        <v>2907</v>
      </c>
    </row>
    <row r="1835" spans="1:24" x14ac:dyDescent="0.15">
      <c r="A1835" s="7" t="str">
        <f t="shared" si="60"/>
        <v>201806</v>
      </c>
      <c r="C1835" s="6" t="str">
        <f>INDEX(工厂基础数据!$A$2:$A$1024,MATCH(X1835,工厂基础数据!$D$2:$D$1024,0))</f>
        <v>02029238</v>
      </c>
      <c r="E1835" s="6" t="str">
        <f>INDEX(工厂基础数据!$B$2:$B$1024,MATCH(X1835,工厂基础数据!$D$2:$D$1024,0))</f>
        <v>山东康为医药有限公司</v>
      </c>
      <c r="F1835" s="6" t="e">
        <f>INDEX(商业2转码!$B$2:$B$10000,MATCH(E1835,商业2转码!$A$2:$A$10000,0))</f>
        <v>#N/A</v>
      </c>
      <c r="G1835" s="6" t="str">
        <f>INDEX(品种2编码!$A$2:$A$1048576,MATCH(W1835,品种2编码!$D$2:$D$1048576,0))</f>
        <v>0020020020SJMS0008</v>
      </c>
      <c r="H1835" s="6" t="s">
        <v>1904</v>
      </c>
      <c r="I1835" s="6" t="s">
        <v>1873</v>
      </c>
      <c r="J1835" s="6" t="s">
        <v>3046</v>
      </c>
      <c r="L1835" s="6" t="s">
        <v>3357</v>
      </c>
      <c r="M1835" s="6" t="e">
        <f>INDEX(医院2县区2人!$B$2:$B$1048576,MATCH(L1835,医院2县区2人!$A$2:$A$1048576,0))</f>
        <v>#N/A</v>
      </c>
      <c r="N1835" s="6" t="e">
        <f>INDEX(医院2县区2人!$C$2:$C$1048576,MATCH(L1835,医院2县区2人!$A$2:$A$1048576,0))</f>
        <v>#N/A</v>
      </c>
      <c r="P1835" s="7">
        <v>43276</v>
      </c>
      <c r="Q1835" s="6">
        <v>20</v>
      </c>
      <c r="S1835" s="6">
        <v>1801004</v>
      </c>
      <c r="T1835" s="6" t="e">
        <f>INDEX(医院2县区2人!$D$2:$D$1048576,MATCH(L1835,医院2县区2人!$A$2:$A$1048576,0))</f>
        <v>#N/A</v>
      </c>
      <c r="W1835" s="6" t="str">
        <f t="shared" si="59"/>
        <v>拉西地平片/三精司乐平片4mg*15片</v>
      </c>
      <c r="X1835" s="6" t="s">
        <v>2907</v>
      </c>
    </row>
    <row r="1836" spans="1:24" x14ac:dyDescent="0.15">
      <c r="A1836" s="7" t="str">
        <f t="shared" si="60"/>
        <v>201806</v>
      </c>
      <c r="C1836" s="6" t="str">
        <f>INDEX(工厂基础数据!$A$2:$A$1024,MATCH(X1836,工厂基础数据!$D$2:$D$1024,0))</f>
        <v>02029238</v>
      </c>
      <c r="E1836" s="6" t="str">
        <f>INDEX(工厂基础数据!$B$2:$B$1024,MATCH(X1836,工厂基础数据!$D$2:$D$1024,0))</f>
        <v>山东康为医药有限公司</v>
      </c>
      <c r="F1836" s="6" t="e">
        <f>INDEX(商业2转码!$B$2:$B$10000,MATCH(E1836,商业2转码!$A$2:$A$10000,0))</f>
        <v>#N/A</v>
      </c>
      <c r="G1836" s="6" t="str">
        <f>INDEX(品种2编码!$A$2:$A$1048576,MATCH(W1836,品种2编码!$D$2:$D$1048576,0))</f>
        <v>0020050090SJZY0001</v>
      </c>
      <c r="H1836" s="6" t="s">
        <v>630</v>
      </c>
      <c r="I1836" s="6" t="s">
        <v>1850</v>
      </c>
      <c r="J1836" s="6" t="s">
        <v>3040</v>
      </c>
      <c r="L1836" s="6" t="s">
        <v>3357</v>
      </c>
      <c r="M1836" s="6" t="e">
        <f>INDEX(医院2县区2人!$B$2:$B$1048576,MATCH(L1836,医院2县区2人!$A$2:$A$1048576,0))</f>
        <v>#N/A</v>
      </c>
      <c r="N1836" s="6" t="e">
        <f>INDEX(医院2县区2人!$C$2:$C$1048576,MATCH(L1836,医院2县区2人!$A$2:$A$1048576,0))</f>
        <v>#N/A</v>
      </c>
      <c r="P1836" s="7">
        <v>43276</v>
      </c>
      <c r="Q1836" s="6">
        <v>10</v>
      </c>
      <c r="S1836" s="6">
        <v>18010723</v>
      </c>
      <c r="T1836" s="6" t="e">
        <f>INDEX(医院2县区2人!$D$2:$D$1048576,MATCH(L1836,医院2县区2人!$A$2:$A$1048576,0))</f>
        <v>#N/A</v>
      </c>
      <c r="W1836" s="6" t="str">
        <f t="shared" si="59"/>
        <v>双黄连口服液10ml*10支</v>
      </c>
      <c r="X1836" s="6" t="s">
        <v>2907</v>
      </c>
    </row>
    <row r="1837" spans="1:24" x14ac:dyDescent="0.15">
      <c r="A1837" s="7" t="str">
        <f t="shared" si="60"/>
        <v>201806</v>
      </c>
      <c r="C1837" s="6" t="str">
        <f>INDEX(工厂基础数据!$A$2:$A$1024,MATCH(X1837,工厂基础数据!$D$2:$D$1024,0))</f>
        <v>02029238</v>
      </c>
      <c r="E1837" s="6" t="str">
        <f>INDEX(工厂基础数据!$B$2:$B$1024,MATCH(X1837,工厂基础数据!$D$2:$D$1024,0))</f>
        <v>山东康为医药有限公司</v>
      </c>
      <c r="F1837" s="6" t="e">
        <f>INDEX(商业2转码!$B$2:$B$10000,MATCH(E1837,商业2转码!$A$2:$A$10000,0))</f>
        <v>#N/A</v>
      </c>
      <c r="G1837" s="6">
        <f>INDEX(品种2编码!$A$2:$A$1048576,MATCH(W1837,品种2编码!$D$2:$D$1048576,0))</f>
        <v>0</v>
      </c>
      <c r="H1837" s="6" t="s">
        <v>3451</v>
      </c>
      <c r="I1837" s="6" t="s">
        <v>381</v>
      </c>
      <c r="J1837" s="6" t="s">
        <v>3036</v>
      </c>
      <c r="L1837" s="6" t="s">
        <v>3357</v>
      </c>
      <c r="M1837" s="6" t="e">
        <f>INDEX(医院2县区2人!$B$2:$B$1048576,MATCH(L1837,医院2县区2人!$A$2:$A$1048576,0))</f>
        <v>#N/A</v>
      </c>
      <c r="N1837" s="6" t="e">
        <f>INDEX(医院2县区2人!$C$2:$C$1048576,MATCH(L1837,医院2县区2人!$A$2:$A$1048576,0))</f>
        <v>#N/A</v>
      </c>
      <c r="P1837" s="7">
        <v>43276</v>
      </c>
      <c r="Q1837" s="6">
        <v>20</v>
      </c>
      <c r="S1837" s="6">
        <v>170706</v>
      </c>
      <c r="T1837" s="6" t="e">
        <f>INDEX(医院2县区2人!$D$2:$D$1048576,MATCH(L1837,医院2县区2人!$A$2:$A$1048576,0))</f>
        <v>#N/A</v>
      </c>
      <c r="W1837" s="6" t="str">
        <f t="shared" si="59"/>
        <v>颠茄磺苄啶片/泻利停12片</v>
      </c>
      <c r="X1837" s="6" t="s">
        <v>2907</v>
      </c>
    </row>
    <row r="1838" spans="1:24" x14ac:dyDescent="0.15">
      <c r="A1838" s="7" t="str">
        <f t="shared" si="60"/>
        <v>201806</v>
      </c>
      <c r="C1838" s="6" t="str">
        <f>INDEX(工厂基础数据!$A$2:$A$1024,MATCH(X1838,工厂基础数据!$D$2:$D$1024,0))</f>
        <v>02029238</v>
      </c>
      <c r="E1838" s="6" t="str">
        <f>INDEX(工厂基础数据!$B$2:$B$1024,MATCH(X1838,工厂基础数据!$D$2:$D$1024,0))</f>
        <v>山东康为医药有限公司</v>
      </c>
      <c r="F1838" s="6" t="e">
        <f>INDEX(商业2转码!$B$2:$B$10000,MATCH(E1838,商业2转码!$A$2:$A$10000,0))</f>
        <v>#N/A</v>
      </c>
      <c r="G1838" s="6" t="str">
        <f>INDEX(品种2编码!$A$2:$A$1048576,MATCH(W1838,品种2编码!$D$2:$D$1048576,0))</f>
        <v>0020020021ZYLC0004</v>
      </c>
      <c r="H1838" s="6" t="s">
        <v>1868</v>
      </c>
      <c r="I1838" s="6" t="s">
        <v>1869</v>
      </c>
      <c r="J1838" s="6" t="s">
        <v>3036</v>
      </c>
      <c r="L1838" s="6" t="s">
        <v>3429</v>
      </c>
      <c r="M1838" s="6" t="e">
        <f>INDEX(医院2县区2人!$B$2:$B$1048576,MATCH(L1838,医院2县区2人!$A$2:$A$1048576,0))</f>
        <v>#N/A</v>
      </c>
      <c r="N1838" s="6" t="e">
        <f>INDEX(医院2县区2人!$C$2:$C$1048576,MATCH(L1838,医院2县区2人!$A$2:$A$1048576,0))</f>
        <v>#N/A</v>
      </c>
      <c r="P1838" s="7">
        <v>43276</v>
      </c>
      <c r="Q1838" s="6">
        <v>10</v>
      </c>
      <c r="S1838" s="6">
        <v>171101</v>
      </c>
      <c r="T1838" s="6" t="e">
        <f>INDEX(医院2县区2人!$D$2:$D$1048576,MATCH(L1838,医院2县区2人!$A$2:$A$1048576,0))</f>
        <v>#N/A</v>
      </c>
      <c r="W1838" s="6" t="str">
        <f t="shared" si="59"/>
        <v>罗红霉素分散片/大严迪75mg*12片</v>
      </c>
      <c r="X1838" s="6" t="s">
        <v>2907</v>
      </c>
    </row>
    <row r="1839" spans="1:24" x14ac:dyDescent="0.15">
      <c r="A1839" s="7" t="str">
        <f t="shared" si="60"/>
        <v>201806</v>
      </c>
      <c r="C1839" s="6" t="str">
        <f>INDEX(工厂基础数据!$A$2:$A$1024,MATCH(X1839,工厂基础数据!$D$2:$D$1024,0))</f>
        <v>02029238</v>
      </c>
      <c r="E1839" s="6" t="str">
        <f>INDEX(工厂基础数据!$B$2:$B$1024,MATCH(X1839,工厂基础数据!$D$2:$D$1024,0))</f>
        <v>山东康为医药有限公司</v>
      </c>
      <c r="F1839" s="6" t="e">
        <f>INDEX(商业2转码!$B$2:$B$10000,MATCH(E1839,商业2转码!$A$2:$A$10000,0))</f>
        <v>#N/A</v>
      </c>
      <c r="G1839" s="6" t="str">
        <f>INDEX(品种2编码!$A$2:$A$1048576,MATCH(W1839,品种2编码!$D$2:$D$1048576,0))</f>
        <v>0020020020SJMS0008</v>
      </c>
      <c r="H1839" s="6" t="s">
        <v>1904</v>
      </c>
      <c r="I1839" s="6" t="s">
        <v>1873</v>
      </c>
      <c r="J1839" s="6" t="s">
        <v>3046</v>
      </c>
      <c r="L1839" s="6" t="s">
        <v>3429</v>
      </c>
      <c r="M1839" s="6" t="e">
        <f>INDEX(医院2县区2人!$B$2:$B$1048576,MATCH(L1839,医院2县区2人!$A$2:$A$1048576,0))</f>
        <v>#N/A</v>
      </c>
      <c r="N1839" s="6" t="e">
        <f>INDEX(医院2县区2人!$C$2:$C$1048576,MATCH(L1839,医院2县区2人!$A$2:$A$1048576,0))</f>
        <v>#N/A</v>
      </c>
      <c r="P1839" s="7">
        <v>43276</v>
      </c>
      <c r="Q1839" s="6">
        <v>10</v>
      </c>
      <c r="S1839" s="6">
        <v>1801004</v>
      </c>
      <c r="T1839" s="6" t="e">
        <f>INDEX(医院2县区2人!$D$2:$D$1048576,MATCH(L1839,医院2县区2人!$A$2:$A$1048576,0))</f>
        <v>#N/A</v>
      </c>
      <c r="W1839" s="6" t="str">
        <f t="shared" si="59"/>
        <v>拉西地平片/三精司乐平片4mg*15片</v>
      </c>
      <c r="X1839" s="6" t="s">
        <v>2907</v>
      </c>
    </row>
    <row r="1840" spans="1:24" x14ac:dyDescent="0.15">
      <c r="A1840" s="7" t="str">
        <f t="shared" si="60"/>
        <v>201806</v>
      </c>
      <c r="C1840" s="6" t="str">
        <f>INDEX(工厂基础数据!$A$2:$A$1024,MATCH(X1840,工厂基础数据!$D$2:$D$1024,0))</f>
        <v>02029238</v>
      </c>
      <c r="E1840" s="6" t="str">
        <f>INDEX(工厂基础数据!$B$2:$B$1024,MATCH(X1840,工厂基础数据!$D$2:$D$1024,0))</f>
        <v>山东康为医药有限公司</v>
      </c>
      <c r="F1840" s="6" t="e">
        <f>INDEX(商业2转码!$B$2:$B$10000,MATCH(E1840,商业2转码!$A$2:$A$10000,0))</f>
        <v>#N/A</v>
      </c>
      <c r="G1840" s="6" t="str">
        <f>INDEX(品种2编码!$A$2:$A$1048576,MATCH(W1840,品种2编码!$D$2:$D$1048576,0))</f>
        <v>0020050090SJZY0001</v>
      </c>
      <c r="H1840" s="6" t="s">
        <v>630</v>
      </c>
      <c r="I1840" s="6" t="s">
        <v>1850</v>
      </c>
      <c r="J1840" s="6" t="s">
        <v>3040</v>
      </c>
      <c r="L1840" s="6" t="s">
        <v>3429</v>
      </c>
      <c r="M1840" s="6" t="e">
        <f>INDEX(医院2县区2人!$B$2:$B$1048576,MATCH(L1840,医院2县区2人!$A$2:$A$1048576,0))</f>
        <v>#N/A</v>
      </c>
      <c r="N1840" s="6" t="e">
        <f>INDEX(医院2县区2人!$C$2:$C$1048576,MATCH(L1840,医院2县区2人!$A$2:$A$1048576,0))</f>
        <v>#N/A</v>
      </c>
      <c r="P1840" s="7">
        <v>43276</v>
      </c>
      <c r="Q1840" s="6">
        <v>10</v>
      </c>
      <c r="S1840" s="6">
        <v>18010723</v>
      </c>
      <c r="T1840" s="6" t="e">
        <f>INDEX(医院2县区2人!$D$2:$D$1048576,MATCH(L1840,医院2县区2人!$A$2:$A$1048576,0))</f>
        <v>#N/A</v>
      </c>
      <c r="W1840" s="6" t="str">
        <f t="shared" si="59"/>
        <v>双黄连口服液10ml*10支</v>
      </c>
      <c r="X1840" s="6" t="s">
        <v>2907</v>
      </c>
    </row>
    <row r="1841" spans="1:24" x14ac:dyDescent="0.15">
      <c r="A1841" s="7" t="str">
        <f t="shared" si="60"/>
        <v>201806</v>
      </c>
      <c r="C1841" s="6" t="str">
        <f>INDEX(工厂基础数据!$A$2:$A$1024,MATCH(X1841,工厂基础数据!$D$2:$D$1024,0))</f>
        <v>02029238</v>
      </c>
      <c r="E1841" s="6" t="str">
        <f>INDEX(工厂基础数据!$B$2:$B$1024,MATCH(X1841,工厂基础数据!$D$2:$D$1024,0))</f>
        <v>山东康为医药有限公司</v>
      </c>
      <c r="F1841" s="6" t="e">
        <f>INDEX(商业2转码!$B$2:$B$10000,MATCH(E1841,商业2转码!$A$2:$A$10000,0))</f>
        <v>#N/A</v>
      </c>
      <c r="G1841" s="6" t="str">
        <f>INDEX(品种2编码!$A$2:$A$1048576,MATCH(W1841,品种2编码!$D$2:$D$1048576,0))</f>
        <v>0020020021ZYLC0012</v>
      </c>
      <c r="H1841" s="6" t="s">
        <v>292</v>
      </c>
      <c r="I1841" s="6" t="s">
        <v>1959</v>
      </c>
      <c r="J1841" s="6" t="s">
        <v>3036</v>
      </c>
      <c r="L1841" s="6" t="s">
        <v>3429</v>
      </c>
      <c r="M1841" s="6" t="e">
        <f>INDEX(医院2县区2人!$B$2:$B$1048576,MATCH(L1841,医院2县区2人!$A$2:$A$1048576,0))</f>
        <v>#N/A</v>
      </c>
      <c r="N1841" s="6" t="e">
        <f>INDEX(医院2县区2人!$C$2:$C$1048576,MATCH(L1841,医院2县区2人!$A$2:$A$1048576,0))</f>
        <v>#N/A</v>
      </c>
      <c r="P1841" s="7">
        <v>43276</v>
      </c>
      <c r="Q1841" s="6">
        <v>10</v>
      </c>
      <c r="S1841" s="6">
        <v>180201</v>
      </c>
      <c r="T1841" s="6" t="e">
        <f>INDEX(医院2县区2人!$D$2:$D$1048576,MATCH(L1841,医院2县区2人!$A$2:$A$1048576,0))</f>
        <v>#N/A</v>
      </c>
      <c r="W1841" s="6" t="str">
        <f t="shared" si="59"/>
        <v>阿奇霉素分散片0.25g*6片</v>
      </c>
      <c r="X1841" s="6" t="s">
        <v>2907</v>
      </c>
    </row>
    <row r="1842" spans="1:24" x14ac:dyDescent="0.15">
      <c r="A1842" s="7" t="str">
        <f t="shared" si="60"/>
        <v>201806</v>
      </c>
      <c r="C1842" s="6" t="str">
        <f>INDEX(工厂基础数据!$A$2:$A$1024,MATCH(X1842,工厂基础数据!$D$2:$D$1024,0))</f>
        <v>02029238</v>
      </c>
      <c r="E1842" s="6" t="str">
        <f>INDEX(工厂基础数据!$B$2:$B$1024,MATCH(X1842,工厂基础数据!$D$2:$D$1024,0))</f>
        <v>山东康为医药有限公司</v>
      </c>
      <c r="F1842" s="6" t="e">
        <f>INDEX(商业2转码!$B$2:$B$10000,MATCH(E1842,商业2转码!$A$2:$A$10000,0))</f>
        <v>#N/A</v>
      </c>
      <c r="G1842" s="6">
        <f>INDEX(品种2编码!$A$2:$A$1048576,MATCH(W1842,品种2编码!$D$2:$D$1048576,0))</f>
        <v>0</v>
      </c>
      <c r="H1842" s="6" t="s">
        <v>3448</v>
      </c>
      <c r="I1842" s="6" t="s">
        <v>411</v>
      </c>
      <c r="J1842" s="6" t="s">
        <v>3040</v>
      </c>
      <c r="L1842" s="6" t="s">
        <v>3356</v>
      </c>
      <c r="M1842" s="6" t="e">
        <f>INDEX(医院2县区2人!$B$2:$B$1048576,MATCH(L1842,医院2县区2人!$A$2:$A$1048576,0))</f>
        <v>#N/A</v>
      </c>
      <c r="N1842" s="6" t="e">
        <f>INDEX(医院2县区2人!$C$2:$C$1048576,MATCH(L1842,医院2县区2人!$A$2:$A$1048576,0))</f>
        <v>#N/A</v>
      </c>
      <c r="P1842" s="7">
        <v>43277</v>
      </c>
      <c r="Q1842" s="6">
        <v>5</v>
      </c>
      <c r="S1842" s="6">
        <v>17122922</v>
      </c>
      <c r="T1842" s="6" t="e">
        <f>INDEX(医院2县区2人!$D$2:$D$1048576,MATCH(L1842,医院2县区2人!$A$2:$A$1048576,0))</f>
        <v>#N/A</v>
      </c>
      <c r="W1842" s="6" t="str">
        <f t="shared" si="59"/>
        <v>葡萄糖酸钙口服溶液（含糖型）10ml*12支</v>
      </c>
      <c r="X1842" s="6" t="s">
        <v>2907</v>
      </c>
    </row>
    <row r="1843" spans="1:24" x14ac:dyDescent="0.15">
      <c r="A1843" s="7" t="str">
        <f t="shared" si="60"/>
        <v>201806</v>
      </c>
      <c r="C1843" s="6" t="str">
        <f>INDEX(工厂基础数据!$A$2:$A$1024,MATCH(X1843,工厂基础数据!$D$2:$D$1024,0))</f>
        <v>02029238</v>
      </c>
      <c r="E1843" s="6" t="str">
        <f>INDEX(工厂基础数据!$B$2:$B$1024,MATCH(X1843,工厂基础数据!$D$2:$D$1024,0))</f>
        <v>山东康为医药有限公司</v>
      </c>
      <c r="F1843" s="6" t="e">
        <f>INDEX(商业2转码!$B$2:$B$10000,MATCH(E1843,商业2转码!$A$2:$A$10000,0))</f>
        <v>#N/A</v>
      </c>
      <c r="G1843" s="6" t="str">
        <f>INDEX(品种2编码!$A$2:$A$1048576,MATCH(W1843,品种2编码!$D$2:$D$1048576,0))</f>
        <v>0020030001SJZY0009</v>
      </c>
      <c r="H1843" s="6" t="s">
        <v>1949</v>
      </c>
      <c r="I1843" s="6" t="s">
        <v>411</v>
      </c>
      <c r="J1843" s="6" t="s">
        <v>3040</v>
      </c>
      <c r="L1843" s="6" t="s">
        <v>3356</v>
      </c>
      <c r="M1843" s="6" t="e">
        <f>INDEX(医院2县区2人!$B$2:$B$1048576,MATCH(L1843,医院2县区2人!$A$2:$A$1048576,0))</f>
        <v>#N/A</v>
      </c>
      <c r="N1843" s="6" t="e">
        <f>INDEX(医院2县区2人!$C$2:$C$1048576,MATCH(L1843,医院2县区2人!$A$2:$A$1048576,0))</f>
        <v>#N/A</v>
      </c>
      <c r="P1843" s="7">
        <v>43277</v>
      </c>
      <c r="Q1843" s="6">
        <v>10</v>
      </c>
      <c r="S1843" s="6">
        <v>18031227</v>
      </c>
      <c r="T1843" s="6" t="e">
        <f>INDEX(医院2县区2人!$D$2:$D$1048576,MATCH(L1843,医院2县区2人!$A$2:$A$1048576,0))</f>
        <v>#N/A</v>
      </c>
      <c r="W1843" s="6" t="str">
        <f t="shared" si="59"/>
        <v>葡萄糖酸锌口服溶液10ml*12支</v>
      </c>
      <c r="X1843" s="6" t="s">
        <v>2907</v>
      </c>
    </row>
    <row r="1844" spans="1:24" x14ac:dyDescent="0.15">
      <c r="A1844" s="7" t="str">
        <f t="shared" si="60"/>
        <v>201806</v>
      </c>
      <c r="C1844" s="6" t="str">
        <f>INDEX(工厂基础数据!$A$2:$A$1024,MATCH(X1844,工厂基础数据!$D$2:$D$1024,0))</f>
        <v>02029238</v>
      </c>
      <c r="E1844" s="6" t="str">
        <f>INDEX(工厂基础数据!$B$2:$B$1024,MATCH(X1844,工厂基础数据!$D$2:$D$1024,0))</f>
        <v>山东康为医药有限公司</v>
      </c>
      <c r="F1844" s="6" t="e">
        <f>INDEX(商业2转码!$B$2:$B$10000,MATCH(E1844,商业2转码!$A$2:$A$10000,0))</f>
        <v>#N/A</v>
      </c>
      <c r="G1844" s="6" t="str">
        <f>INDEX(品种2编码!$A$2:$A$1048576,MATCH(W1844,品种2编码!$D$2:$D$1048576,0))</f>
        <v>0020020021ZYLC0004</v>
      </c>
      <c r="H1844" s="6" t="s">
        <v>1868</v>
      </c>
      <c r="I1844" s="6" t="s">
        <v>1869</v>
      </c>
      <c r="J1844" s="6" t="s">
        <v>3036</v>
      </c>
      <c r="L1844" s="6" t="s">
        <v>3348</v>
      </c>
      <c r="M1844" s="6" t="e">
        <f>INDEX(医院2县区2人!$B$2:$B$1048576,MATCH(L1844,医院2县区2人!$A$2:$A$1048576,0))</f>
        <v>#N/A</v>
      </c>
      <c r="N1844" s="6" t="e">
        <f>INDEX(医院2县区2人!$C$2:$C$1048576,MATCH(L1844,医院2县区2人!$A$2:$A$1048576,0))</f>
        <v>#N/A</v>
      </c>
      <c r="P1844" s="7">
        <v>43277</v>
      </c>
      <c r="Q1844" s="6">
        <v>10</v>
      </c>
      <c r="S1844" s="6">
        <v>171101</v>
      </c>
      <c r="T1844" s="6" t="e">
        <f>INDEX(医院2县区2人!$D$2:$D$1048576,MATCH(L1844,医院2县区2人!$A$2:$A$1048576,0))</f>
        <v>#N/A</v>
      </c>
      <c r="W1844" s="6" t="str">
        <f t="shared" si="59"/>
        <v>罗红霉素分散片/大严迪75mg*12片</v>
      </c>
      <c r="X1844" s="6" t="s">
        <v>2907</v>
      </c>
    </row>
    <row r="1845" spans="1:24" x14ac:dyDescent="0.15">
      <c r="A1845" s="7" t="str">
        <f t="shared" si="60"/>
        <v>201806</v>
      </c>
      <c r="C1845" s="6" t="str">
        <f>INDEX(工厂基础数据!$A$2:$A$1024,MATCH(X1845,工厂基础数据!$D$2:$D$1024,0))</f>
        <v>02029238</v>
      </c>
      <c r="E1845" s="6" t="str">
        <f>INDEX(工厂基础数据!$B$2:$B$1024,MATCH(X1845,工厂基础数据!$D$2:$D$1024,0))</f>
        <v>山东康为医药有限公司</v>
      </c>
      <c r="F1845" s="6" t="e">
        <f>INDEX(商业2转码!$B$2:$B$10000,MATCH(E1845,商业2转码!$A$2:$A$10000,0))</f>
        <v>#N/A</v>
      </c>
      <c r="G1845" s="6">
        <f>INDEX(品种2编码!$A$2:$A$1048576,MATCH(W1845,品种2编码!$D$2:$D$1048576,0))</f>
        <v>0</v>
      </c>
      <c r="H1845" s="6" t="s">
        <v>3447</v>
      </c>
      <c r="I1845" s="6" t="s">
        <v>1838</v>
      </c>
      <c r="J1845" s="6" t="s">
        <v>3036</v>
      </c>
      <c r="L1845" s="6" t="s">
        <v>3348</v>
      </c>
      <c r="M1845" s="6" t="e">
        <f>INDEX(医院2县区2人!$B$2:$B$1048576,MATCH(L1845,医院2县区2人!$A$2:$A$1048576,0))</f>
        <v>#N/A</v>
      </c>
      <c r="N1845" s="6" t="e">
        <f>INDEX(医院2县区2人!$C$2:$C$1048576,MATCH(L1845,医院2县区2人!$A$2:$A$1048576,0))</f>
        <v>#N/A</v>
      </c>
      <c r="P1845" s="7">
        <v>43277</v>
      </c>
      <c r="Q1845" s="6">
        <v>10</v>
      </c>
      <c r="S1845" s="6">
        <v>171251</v>
      </c>
      <c r="T1845" s="6" t="e">
        <f>INDEX(医院2县区2人!$D$2:$D$1048576,MATCH(L1845,医院2县区2人!$A$2:$A$1048576,0))</f>
        <v>#N/A</v>
      </c>
      <c r="W1845" s="6" t="str">
        <f t="shared" si="59"/>
        <v>新盖中盖高钙片/成人2.5g*36片</v>
      </c>
      <c r="X1845" s="6" t="s">
        <v>2907</v>
      </c>
    </row>
    <row r="1846" spans="1:24" x14ac:dyDescent="0.15">
      <c r="A1846" s="7" t="str">
        <f t="shared" si="60"/>
        <v>201806</v>
      </c>
      <c r="C1846" s="6" t="str">
        <f>INDEX(工厂基础数据!$A$2:$A$1024,MATCH(X1846,工厂基础数据!$D$2:$D$1024,0))</f>
        <v>02029238</v>
      </c>
      <c r="E1846" s="6" t="str">
        <f>INDEX(工厂基础数据!$B$2:$B$1024,MATCH(X1846,工厂基础数据!$D$2:$D$1024,0))</f>
        <v>山东康为医药有限公司</v>
      </c>
      <c r="F1846" s="6" t="e">
        <f>INDEX(商业2转码!$B$2:$B$10000,MATCH(E1846,商业2转码!$A$2:$A$10000,0))</f>
        <v>#N/A</v>
      </c>
      <c r="G1846" s="6">
        <f>INDEX(品种2编码!$A$2:$A$1048576,MATCH(W1846,品种2编码!$D$2:$D$1048576,0))</f>
        <v>0</v>
      </c>
      <c r="H1846" s="6" t="s">
        <v>3448</v>
      </c>
      <c r="I1846" s="6" t="s">
        <v>411</v>
      </c>
      <c r="J1846" s="6" t="s">
        <v>3040</v>
      </c>
      <c r="L1846" s="6" t="s">
        <v>3348</v>
      </c>
      <c r="M1846" s="6" t="e">
        <f>INDEX(医院2县区2人!$B$2:$B$1048576,MATCH(L1846,医院2县区2人!$A$2:$A$1048576,0))</f>
        <v>#N/A</v>
      </c>
      <c r="N1846" s="6" t="e">
        <f>INDEX(医院2县区2人!$C$2:$C$1048576,MATCH(L1846,医院2县区2人!$A$2:$A$1048576,0))</f>
        <v>#N/A</v>
      </c>
      <c r="P1846" s="7">
        <v>43277</v>
      </c>
      <c r="Q1846" s="6">
        <v>10</v>
      </c>
      <c r="S1846" s="6">
        <v>17122922</v>
      </c>
      <c r="T1846" s="6" t="e">
        <f>INDEX(医院2县区2人!$D$2:$D$1048576,MATCH(L1846,医院2县区2人!$A$2:$A$1048576,0))</f>
        <v>#N/A</v>
      </c>
      <c r="W1846" s="6" t="str">
        <f t="shared" si="59"/>
        <v>葡萄糖酸钙口服溶液（含糖型）10ml*12支</v>
      </c>
      <c r="X1846" s="6" t="s">
        <v>2907</v>
      </c>
    </row>
    <row r="1847" spans="1:24" x14ac:dyDescent="0.15">
      <c r="A1847" s="7" t="str">
        <f t="shared" si="60"/>
        <v>201806</v>
      </c>
      <c r="C1847" s="6" t="str">
        <f>INDEX(工厂基础数据!$A$2:$A$1024,MATCH(X1847,工厂基础数据!$D$2:$D$1024,0))</f>
        <v>02029238</v>
      </c>
      <c r="E1847" s="6" t="str">
        <f>INDEX(工厂基础数据!$B$2:$B$1024,MATCH(X1847,工厂基础数据!$D$2:$D$1024,0))</f>
        <v>山东康为医药有限公司</v>
      </c>
      <c r="F1847" s="6" t="e">
        <f>INDEX(商业2转码!$B$2:$B$10000,MATCH(E1847,商业2转码!$A$2:$A$10000,0))</f>
        <v>#N/A</v>
      </c>
      <c r="G1847" s="6" t="str">
        <f>INDEX(品种2编码!$A$2:$A$1048576,MATCH(W1847,品种2编码!$D$2:$D$1048576,0))</f>
        <v>0020030001SJZY0009</v>
      </c>
      <c r="H1847" s="6" t="s">
        <v>1949</v>
      </c>
      <c r="I1847" s="6" t="s">
        <v>411</v>
      </c>
      <c r="J1847" s="6" t="s">
        <v>3040</v>
      </c>
      <c r="L1847" s="6" t="s">
        <v>3348</v>
      </c>
      <c r="M1847" s="6" t="e">
        <f>INDEX(医院2县区2人!$B$2:$B$1048576,MATCH(L1847,医院2县区2人!$A$2:$A$1048576,0))</f>
        <v>#N/A</v>
      </c>
      <c r="N1847" s="6" t="e">
        <f>INDEX(医院2县区2人!$C$2:$C$1048576,MATCH(L1847,医院2县区2人!$A$2:$A$1048576,0))</f>
        <v>#N/A</v>
      </c>
      <c r="P1847" s="7">
        <v>43277</v>
      </c>
      <c r="Q1847" s="6">
        <v>10</v>
      </c>
      <c r="S1847" s="6">
        <v>18031227</v>
      </c>
      <c r="T1847" s="6" t="e">
        <f>INDEX(医院2县区2人!$D$2:$D$1048576,MATCH(L1847,医院2县区2人!$A$2:$A$1048576,0))</f>
        <v>#N/A</v>
      </c>
      <c r="W1847" s="6" t="str">
        <f t="shared" si="59"/>
        <v>葡萄糖酸锌口服溶液10ml*12支</v>
      </c>
      <c r="X1847" s="6" t="s">
        <v>2907</v>
      </c>
    </row>
    <row r="1848" spans="1:24" x14ac:dyDescent="0.15">
      <c r="A1848" s="7" t="str">
        <f t="shared" si="60"/>
        <v>201806</v>
      </c>
      <c r="C1848" s="6" t="str">
        <f>INDEX(工厂基础数据!$A$2:$A$1024,MATCH(X1848,工厂基础数据!$D$2:$D$1024,0))</f>
        <v>02029238</v>
      </c>
      <c r="E1848" s="6" t="str">
        <f>INDEX(工厂基础数据!$B$2:$B$1024,MATCH(X1848,工厂基础数据!$D$2:$D$1024,0))</f>
        <v>山东康为医药有限公司</v>
      </c>
      <c r="F1848" s="6" t="e">
        <f>INDEX(商业2转码!$B$2:$B$10000,MATCH(E1848,商业2转码!$A$2:$A$10000,0))</f>
        <v>#N/A</v>
      </c>
      <c r="G1848" s="6">
        <f>INDEX(品种2编码!$A$2:$A$1048576,MATCH(W1848,品种2编码!$D$2:$D$1048576,0))</f>
        <v>0</v>
      </c>
      <c r="H1848" s="6" t="s">
        <v>3450</v>
      </c>
      <c r="I1848" s="6" t="s">
        <v>1871</v>
      </c>
      <c r="J1848" s="6" t="s">
        <v>3045</v>
      </c>
      <c r="L1848" s="6" t="s">
        <v>3386</v>
      </c>
      <c r="M1848" s="6" t="e">
        <f>INDEX(医院2县区2人!$B$2:$B$1048576,MATCH(L1848,医院2县区2人!$A$2:$A$1048576,0))</f>
        <v>#N/A</v>
      </c>
      <c r="N1848" s="6" t="e">
        <f>INDEX(医院2县区2人!$C$2:$C$1048576,MATCH(L1848,医院2县区2人!$A$2:$A$1048576,0))</f>
        <v>#N/A</v>
      </c>
      <c r="P1848" s="7">
        <v>43277</v>
      </c>
      <c r="Q1848" s="6">
        <v>10</v>
      </c>
      <c r="S1848" s="6">
        <v>1712032</v>
      </c>
      <c r="T1848" s="6" t="e">
        <f>INDEX(医院2县区2人!$D$2:$D$1048576,MATCH(L1848,医院2县区2人!$A$2:$A$1048576,0))</f>
        <v>#N/A</v>
      </c>
      <c r="W1848" s="6" t="str">
        <f t="shared" si="59"/>
        <v>复方铝酸铋片/胃必治50片</v>
      </c>
      <c r="X1848" s="6" t="s">
        <v>2907</v>
      </c>
    </row>
    <row r="1849" spans="1:24" x14ac:dyDescent="0.15">
      <c r="A1849" s="7" t="str">
        <f t="shared" si="60"/>
        <v>201806</v>
      </c>
      <c r="C1849" s="6" t="str">
        <f>INDEX(工厂基础数据!$A$2:$A$1024,MATCH(X1849,工厂基础数据!$D$2:$D$1024,0))</f>
        <v>02029238</v>
      </c>
      <c r="E1849" s="6" t="str">
        <f>INDEX(工厂基础数据!$B$2:$B$1024,MATCH(X1849,工厂基础数据!$D$2:$D$1024,0))</f>
        <v>山东康为医药有限公司</v>
      </c>
      <c r="F1849" s="6" t="e">
        <f>INDEX(商业2转码!$B$2:$B$10000,MATCH(E1849,商业2转码!$A$2:$A$10000,0))</f>
        <v>#N/A</v>
      </c>
      <c r="G1849" s="6" t="str">
        <f>INDEX(品种2编码!$A$2:$A$1048576,MATCH(W1849,品种2编码!$D$2:$D$1048576,0))</f>
        <v>0020050090SJZY0001</v>
      </c>
      <c r="H1849" s="6" t="s">
        <v>630</v>
      </c>
      <c r="I1849" s="6" t="s">
        <v>1850</v>
      </c>
      <c r="J1849" s="6" t="s">
        <v>3040</v>
      </c>
      <c r="L1849" s="6" t="s">
        <v>3430</v>
      </c>
      <c r="M1849" s="6" t="e">
        <f>INDEX(医院2县区2人!$B$2:$B$1048576,MATCH(L1849,医院2县区2人!$A$2:$A$1048576,0))</f>
        <v>#N/A</v>
      </c>
      <c r="N1849" s="6" t="e">
        <f>INDEX(医院2县区2人!$C$2:$C$1048576,MATCH(L1849,医院2县区2人!$A$2:$A$1048576,0))</f>
        <v>#N/A</v>
      </c>
      <c r="P1849" s="7">
        <v>43278</v>
      </c>
      <c r="Q1849" s="6">
        <v>10</v>
      </c>
      <c r="S1849" s="6">
        <v>18010723</v>
      </c>
      <c r="T1849" s="6" t="e">
        <f>INDEX(医院2县区2人!$D$2:$D$1048576,MATCH(L1849,医院2县区2人!$A$2:$A$1048576,0))</f>
        <v>#N/A</v>
      </c>
      <c r="W1849" s="6" t="str">
        <f t="shared" si="59"/>
        <v>双黄连口服液10ml*10支</v>
      </c>
      <c r="X1849" s="6" t="s">
        <v>2907</v>
      </c>
    </row>
    <row r="1850" spans="1:24" x14ac:dyDescent="0.15">
      <c r="A1850" s="7" t="str">
        <f t="shared" si="60"/>
        <v>201806</v>
      </c>
      <c r="C1850" s="6" t="str">
        <f>INDEX(工厂基础数据!$A$2:$A$1024,MATCH(X1850,工厂基础数据!$D$2:$D$1024,0))</f>
        <v>02029238</v>
      </c>
      <c r="E1850" s="6" t="str">
        <f>INDEX(工厂基础数据!$B$2:$B$1024,MATCH(X1850,工厂基础数据!$D$2:$D$1024,0))</f>
        <v>山东康为医药有限公司</v>
      </c>
      <c r="F1850" s="6" t="e">
        <f>INDEX(商业2转码!$B$2:$B$10000,MATCH(E1850,商业2转码!$A$2:$A$10000,0))</f>
        <v>#N/A</v>
      </c>
      <c r="G1850" s="6">
        <f>INDEX(品种2编码!$A$2:$A$1048576,MATCH(W1850,品种2编码!$D$2:$D$1048576,0))</f>
        <v>0</v>
      </c>
      <c r="H1850" s="6" t="s">
        <v>3448</v>
      </c>
      <c r="I1850" s="6" t="s">
        <v>411</v>
      </c>
      <c r="J1850" s="6" t="s">
        <v>3040</v>
      </c>
      <c r="L1850" s="6" t="s">
        <v>3430</v>
      </c>
      <c r="M1850" s="6" t="e">
        <f>INDEX(医院2县区2人!$B$2:$B$1048576,MATCH(L1850,医院2县区2人!$A$2:$A$1048576,0))</f>
        <v>#N/A</v>
      </c>
      <c r="N1850" s="6" t="e">
        <f>INDEX(医院2县区2人!$C$2:$C$1048576,MATCH(L1850,医院2县区2人!$A$2:$A$1048576,0))</f>
        <v>#N/A</v>
      </c>
      <c r="P1850" s="7">
        <v>43278</v>
      </c>
      <c r="Q1850" s="6">
        <v>20</v>
      </c>
      <c r="S1850" s="6">
        <v>17122922</v>
      </c>
      <c r="T1850" s="6" t="e">
        <f>INDEX(医院2县区2人!$D$2:$D$1048576,MATCH(L1850,医院2县区2人!$A$2:$A$1048576,0))</f>
        <v>#N/A</v>
      </c>
      <c r="W1850" s="6" t="str">
        <f t="shared" si="59"/>
        <v>葡萄糖酸钙口服溶液（含糖型）10ml*12支</v>
      </c>
      <c r="X1850" s="6" t="s">
        <v>2907</v>
      </c>
    </row>
    <row r="1851" spans="1:24" x14ac:dyDescent="0.15">
      <c r="A1851" s="7" t="str">
        <f t="shared" si="60"/>
        <v>201806</v>
      </c>
      <c r="C1851" s="6" t="str">
        <f>INDEX(工厂基础数据!$A$2:$A$1024,MATCH(X1851,工厂基础数据!$D$2:$D$1024,0))</f>
        <v>02029238</v>
      </c>
      <c r="E1851" s="6" t="str">
        <f>INDEX(工厂基础数据!$B$2:$B$1024,MATCH(X1851,工厂基础数据!$D$2:$D$1024,0))</f>
        <v>山东康为医药有限公司</v>
      </c>
      <c r="F1851" s="6" t="e">
        <f>INDEX(商业2转码!$B$2:$B$10000,MATCH(E1851,商业2转码!$A$2:$A$10000,0))</f>
        <v>#N/A</v>
      </c>
      <c r="G1851" s="6">
        <f>INDEX(品种2编码!$A$2:$A$1048576,MATCH(W1851,品种2编码!$D$2:$D$1048576,0))</f>
        <v>0</v>
      </c>
      <c r="H1851" s="6" t="s">
        <v>3447</v>
      </c>
      <c r="I1851" s="6" t="s">
        <v>1838</v>
      </c>
      <c r="J1851" s="6" t="s">
        <v>3036</v>
      </c>
      <c r="L1851" s="6" t="s">
        <v>3408</v>
      </c>
      <c r="M1851" s="6" t="e">
        <f>INDEX(医院2县区2人!$B$2:$B$1048576,MATCH(L1851,医院2县区2人!$A$2:$A$1048576,0))</f>
        <v>#N/A</v>
      </c>
      <c r="N1851" s="6" t="e">
        <f>INDEX(医院2县区2人!$C$2:$C$1048576,MATCH(L1851,医院2县区2人!$A$2:$A$1048576,0))</f>
        <v>#N/A</v>
      </c>
      <c r="P1851" s="7">
        <v>43279</v>
      </c>
      <c r="Q1851" s="6">
        <v>10</v>
      </c>
      <c r="S1851" s="6">
        <v>171251</v>
      </c>
      <c r="T1851" s="6" t="e">
        <f>INDEX(医院2县区2人!$D$2:$D$1048576,MATCH(L1851,医院2县区2人!$A$2:$A$1048576,0))</f>
        <v>#N/A</v>
      </c>
      <c r="W1851" s="6" t="str">
        <f t="shared" si="59"/>
        <v>新盖中盖高钙片/成人2.5g*36片</v>
      </c>
      <c r="X1851" s="6" t="s">
        <v>2907</v>
      </c>
    </row>
    <row r="1852" spans="1:24" x14ac:dyDescent="0.15">
      <c r="A1852" s="7" t="str">
        <f t="shared" si="60"/>
        <v>201806</v>
      </c>
      <c r="C1852" s="6" t="str">
        <f>INDEX(工厂基础数据!$A$2:$A$1024,MATCH(X1852,工厂基础数据!$D$2:$D$1024,0))</f>
        <v>02029238</v>
      </c>
      <c r="E1852" s="6" t="str">
        <f>INDEX(工厂基础数据!$B$2:$B$1024,MATCH(X1852,工厂基础数据!$D$2:$D$1024,0))</f>
        <v>山东康为医药有限公司</v>
      </c>
      <c r="F1852" s="6" t="e">
        <f>INDEX(商业2转码!$B$2:$B$10000,MATCH(E1852,商业2转码!$A$2:$A$10000,0))</f>
        <v>#N/A</v>
      </c>
      <c r="G1852" s="6" t="str">
        <f>INDEX(品种2编码!$A$2:$A$1048576,MATCH(W1852,品种2编码!$D$2:$D$1048576,0))</f>
        <v>0020020020SJMS0008</v>
      </c>
      <c r="H1852" s="6" t="s">
        <v>1904</v>
      </c>
      <c r="I1852" s="6" t="s">
        <v>1873</v>
      </c>
      <c r="J1852" s="6" t="s">
        <v>3046</v>
      </c>
      <c r="L1852" s="6" t="s">
        <v>3408</v>
      </c>
      <c r="M1852" s="6" t="e">
        <f>INDEX(医院2县区2人!$B$2:$B$1048576,MATCH(L1852,医院2县区2人!$A$2:$A$1048576,0))</f>
        <v>#N/A</v>
      </c>
      <c r="N1852" s="6" t="e">
        <f>INDEX(医院2县区2人!$C$2:$C$1048576,MATCH(L1852,医院2县区2人!$A$2:$A$1048576,0))</f>
        <v>#N/A</v>
      </c>
      <c r="P1852" s="7">
        <v>43279</v>
      </c>
      <c r="Q1852" s="6">
        <v>30</v>
      </c>
      <c r="S1852" s="6">
        <v>1801004</v>
      </c>
      <c r="T1852" s="6" t="e">
        <f>INDEX(医院2县区2人!$D$2:$D$1048576,MATCH(L1852,医院2县区2人!$A$2:$A$1048576,0))</f>
        <v>#N/A</v>
      </c>
      <c r="W1852" s="6" t="str">
        <f t="shared" si="59"/>
        <v>拉西地平片/三精司乐平片4mg*15片</v>
      </c>
      <c r="X1852" s="6" t="s">
        <v>2907</v>
      </c>
    </row>
    <row r="1853" spans="1:24" x14ac:dyDescent="0.15">
      <c r="A1853" s="7" t="str">
        <f t="shared" si="60"/>
        <v>201806</v>
      </c>
      <c r="C1853" s="6" t="str">
        <f>INDEX(工厂基础数据!$A$2:$A$1024,MATCH(X1853,工厂基础数据!$D$2:$D$1024,0))</f>
        <v>02029238</v>
      </c>
      <c r="E1853" s="6" t="str">
        <f>INDEX(工厂基础数据!$B$2:$B$1024,MATCH(X1853,工厂基础数据!$D$2:$D$1024,0))</f>
        <v>山东康为医药有限公司</v>
      </c>
      <c r="F1853" s="6" t="e">
        <f>INDEX(商业2转码!$B$2:$B$10000,MATCH(E1853,商业2转码!$A$2:$A$10000,0))</f>
        <v>#N/A</v>
      </c>
      <c r="G1853" s="6" t="str">
        <f>INDEX(品种2编码!$A$2:$A$1048576,MATCH(W1853,品种2编码!$D$2:$D$1048576,0))</f>
        <v>0020040070ZYEC0005</v>
      </c>
      <c r="H1853" s="6" t="s">
        <v>708</v>
      </c>
      <c r="I1853" s="6" t="s">
        <v>1851</v>
      </c>
      <c r="J1853" s="6" t="s">
        <v>3041</v>
      </c>
      <c r="L1853" s="6" t="s">
        <v>3431</v>
      </c>
      <c r="M1853" s="6" t="e">
        <f>INDEX(医院2县区2人!$B$2:$B$1048576,MATCH(L1853,医院2县区2人!$A$2:$A$1048576,0))</f>
        <v>#N/A</v>
      </c>
      <c r="N1853" s="6" t="e">
        <f>INDEX(医院2县区2人!$C$2:$C$1048576,MATCH(L1853,医院2县区2人!$A$2:$A$1048576,0))</f>
        <v>#N/A</v>
      </c>
      <c r="P1853" s="7">
        <v>43279</v>
      </c>
      <c r="Q1853" s="6">
        <v>30</v>
      </c>
      <c r="S1853" s="6">
        <v>180301</v>
      </c>
      <c r="T1853" s="6" t="e">
        <f>INDEX(医院2县区2人!$D$2:$D$1048576,MATCH(L1853,医院2县区2人!$A$2:$A$1048576,0))</f>
        <v>#N/A</v>
      </c>
      <c r="W1853" s="6" t="str">
        <f t="shared" si="59"/>
        <v>小儿百部止咳糖浆100ml</v>
      </c>
      <c r="X1853" s="6" t="s">
        <v>2907</v>
      </c>
    </row>
    <row r="1854" spans="1:24" x14ac:dyDescent="0.15">
      <c r="A1854" s="7" t="str">
        <f t="shared" si="60"/>
        <v>201806</v>
      </c>
      <c r="C1854" s="6" t="str">
        <f>INDEX(工厂基础数据!$A$2:$A$1024,MATCH(X1854,工厂基础数据!$D$2:$D$1024,0))</f>
        <v>02029238</v>
      </c>
      <c r="E1854" s="6" t="str">
        <f>INDEX(工厂基础数据!$B$2:$B$1024,MATCH(X1854,工厂基础数据!$D$2:$D$1024,0))</f>
        <v>山东康为医药有限公司</v>
      </c>
      <c r="F1854" s="6" t="e">
        <f>INDEX(商业2转码!$B$2:$B$10000,MATCH(E1854,商业2转码!$A$2:$A$10000,0))</f>
        <v>#N/A</v>
      </c>
      <c r="G1854" s="6" t="str">
        <f>INDEX(品种2编码!$A$2:$A$1048576,MATCH(W1854,品种2编码!$D$2:$D$1048576,0))</f>
        <v>0020020021ZYLC0012</v>
      </c>
      <c r="H1854" s="6" t="s">
        <v>292</v>
      </c>
      <c r="I1854" s="6" t="s">
        <v>1959</v>
      </c>
      <c r="J1854" s="6" t="s">
        <v>3036</v>
      </c>
      <c r="L1854" s="6" t="s">
        <v>3431</v>
      </c>
      <c r="M1854" s="6" t="e">
        <f>INDEX(医院2县区2人!$B$2:$B$1048576,MATCH(L1854,医院2县区2人!$A$2:$A$1048576,0))</f>
        <v>#N/A</v>
      </c>
      <c r="N1854" s="6" t="e">
        <f>INDEX(医院2县区2人!$C$2:$C$1048576,MATCH(L1854,医院2县区2人!$A$2:$A$1048576,0))</f>
        <v>#N/A</v>
      </c>
      <c r="P1854" s="7">
        <v>43279</v>
      </c>
      <c r="Q1854" s="6">
        <v>20</v>
      </c>
      <c r="S1854" s="6">
        <v>180201</v>
      </c>
      <c r="T1854" s="6" t="e">
        <f>INDEX(医院2县区2人!$D$2:$D$1048576,MATCH(L1854,医院2县区2人!$A$2:$A$1048576,0))</f>
        <v>#N/A</v>
      </c>
      <c r="W1854" s="6" t="str">
        <f t="shared" si="59"/>
        <v>阿奇霉素分散片0.25g*6片</v>
      </c>
      <c r="X1854" s="6" t="s">
        <v>2907</v>
      </c>
    </row>
    <row r="1855" spans="1:24" x14ac:dyDescent="0.15">
      <c r="A1855" s="7" t="str">
        <f t="shared" si="60"/>
        <v>201806</v>
      </c>
      <c r="C1855" s="6" t="str">
        <f>INDEX(工厂基础数据!$A$2:$A$1024,MATCH(X1855,工厂基础数据!$D$2:$D$1024,0))</f>
        <v>02029238</v>
      </c>
      <c r="E1855" s="6" t="str">
        <f>INDEX(工厂基础数据!$B$2:$B$1024,MATCH(X1855,工厂基础数据!$D$2:$D$1024,0))</f>
        <v>山东康为医药有限公司</v>
      </c>
      <c r="F1855" s="6" t="e">
        <f>INDEX(商业2转码!$B$2:$B$10000,MATCH(E1855,商业2转码!$A$2:$A$10000,0))</f>
        <v>#N/A</v>
      </c>
      <c r="G1855" s="6" t="str">
        <f>INDEX(品种2编码!$A$2:$A$1048576,MATCH(W1855,品种2编码!$D$2:$D$1048576,0))</f>
        <v>0020070001ZYLC0001</v>
      </c>
      <c r="H1855" s="6" t="s">
        <v>1905</v>
      </c>
      <c r="I1855" s="6" t="s">
        <v>411</v>
      </c>
      <c r="J1855" s="6" t="s">
        <v>3036</v>
      </c>
      <c r="L1855" s="6" t="s">
        <v>3396</v>
      </c>
      <c r="M1855" s="6" t="e">
        <f>INDEX(医院2县区2人!$B$2:$B$1048576,MATCH(L1855,医院2县区2人!$A$2:$A$1048576,0))</f>
        <v>#N/A</v>
      </c>
      <c r="N1855" s="6" t="e">
        <f>INDEX(医院2县区2人!$C$2:$C$1048576,MATCH(L1855,医院2县区2人!$A$2:$A$1048576,0))</f>
        <v>#N/A</v>
      </c>
      <c r="P1855" s="7">
        <v>43279</v>
      </c>
      <c r="Q1855" s="6">
        <v>5</v>
      </c>
      <c r="S1855" s="6">
        <v>180118</v>
      </c>
      <c r="T1855" s="6" t="e">
        <f>INDEX(医院2县区2人!$D$2:$D$1048576,MATCH(L1855,医院2县区2人!$A$2:$A$1048576,0))</f>
        <v>#N/A</v>
      </c>
      <c r="W1855" s="6" t="str">
        <f t="shared" ref="W1855:W1918" si="61">H1855&amp;I1855</f>
        <v>哈药六钙锌口服液10ml*12支</v>
      </c>
      <c r="X1855" s="6" t="s">
        <v>2907</v>
      </c>
    </row>
    <row r="1856" spans="1:24" x14ac:dyDescent="0.15">
      <c r="A1856" s="7" t="str">
        <f t="shared" ref="A1856:A1919" si="62">IF(MONTH(P1856)&lt;10,YEAR(P1856)&amp;"0"&amp;MONTH(P1856),YEAR(P1856)&amp;MONTH(P1856))</f>
        <v>201806</v>
      </c>
      <c r="C1856" s="6" t="str">
        <f>INDEX(工厂基础数据!$A$2:$A$1024,MATCH(X1856,工厂基础数据!$D$2:$D$1024,0))</f>
        <v>02029238</v>
      </c>
      <c r="E1856" s="6" t="str">
        <f>INDEX(工厂基础数据!$B$2:$B$1024,MATCH(X1856,工厂基础数据!$D$2:$D$1024,0))</f>
        <v>山东康为医药有限公司</v>
      </c>
      <c r="F1856" s="6" t="e">
        <f>INDEX(商业2转码!$B$2:$B$10000,MATCH(E1856,商业2转码!$A$2:$A$10000,0))</f>
        <v>#N/A</v>
      </c>
      <c r="G1856" s="6">
        <f>INDEX(品种2编码!$A$2:$A$1048576,MATCH(W1856,品种2编码!$D$2:$D$1048576,0))</f>
        <v>0</v>
      </c>
      <c r="H1856" s="6" t="s">
        <v>3447</v>
      </c>
      <c r="I1856" s="6" t="s">
        <v>1838</v>
      </c>
      <c r="J1856" s="6" t="s">
        <v>3036</v>
      </c>
      <c r="L1856" s="6" t="s">
        <v>3432</v>
      </c>
      <c r="M1856" s="6" t="e">
        <f>INDEX(医院2县区2人!$B$2:$B$1048576,MATCH(L1856,医院2县区2人!$A$2:$A$1048576,0))</f>
        <v>#N/A</v>
      </c>
      <c r="N1856" s="6" t="e">
        <f>INDEX(医院2县区2人!$C$2:$C$1048576,MATCH(L1856,医院2县区2人!$A$2:$A$1048576,0))</f>
        <v>#N/A</v>
      </c>
      <c r="P1856" s="7">
        <v>43279</v>
      </c>
      <c r="Q1856" s="6">
        <v>10</v>
      </c>
      <c r="S1856" s="6">
        <v>171251</v>
      </c>
      <c r="T1856" s="6" t="e">
        <f>INDEX(医院2县区2人!$D$2:$D$1048576,MATCH(L1856,医院2县区2人!$A$2:$A$1048576,0))</f>
        <v>#N/A</v>
      </c>
      <c r="W1856" s="6" t="str">
        <f t="shared" si="61"/>
        <v>新盖中盖高钙片/成人2.5g*36片</v>
      </c>
      <c r="X1856" s="6" t="s">
        <v>2907</v>
      </c>
    </row>
    <row r="1857" spans="1:24" x14ac:dyDescent="0.15">
      <c r="A1857" s="7" t="str">
        <f t="shared" si="62"/>
        <v>201806</v>
      </c>
      <c r="C1857" s="6" t="str">
        <f>INDEX(工厂基础数据!$A$2:$A$1024,MATCH(X1857,工厂基础数据!$D$2:$D$1024,0))</f>
        <v>02029238</v>
      </c>
      <c r="E1857" s="6" t="str">
        <f>INDEX(工厂基础数据!$B$2:$B$1024,MATCH(X1857,工厂基础数据!$D$2:$D$1024,0))</f>
        <v>山东康为医药有限公司</v>
      </c>
      <c r="F1857" s="6" t="e">
        <f>INDEX(商业2转码!$B$2:$B$10000,MATCH(E1857,商业2转码!$A$2:$A$10000,0))</f>
        <v>#N/A</v>
      </c>
      <c r="G1857" s="6" t="str">
        <f>INDEX(品种2编码!$A$2:$A$1048576,MATCH(W1857,品种2编码!$D$2:$D$1048576,0))</f>
        <v>0020020020SJMS0008</v>
      </c>
      <c r="H1857" s="6" t="s">
        <v>1904</v>
      </c>
      <c r="I1857" s="6" t="s">
        <v>1873</v>
      </c>
      <c r="J1857" s="6" t="s">
        <v>3046</v>
      </c>
      <c r="L1857" s="6" t="s">
        <v>3432</v>
      </c>
      <c r="M1857" s="6" t="e">
        <f>INDEX(医院2县区2人!$B$2:$B$1048576,MATCH(L1857,医院2县区2人!$A$2:$A$1048576,0))</f>
        <v>#N/A</v>
      </c>
      <c r="N1857" s="6" t="e">
        <f>INDEX(医院2县区2人!$C$2:$C$1048576,MATCH(L1857,医院2县区2人!$A$2:$A$1048576,0))</f>
        <v>#N/A</v>
      </c>
      <c r="P1857" s="7">
        <v>43279</v>
      </c>
      <c r="Q1857" s="6">
        <v>10</v>
      </c>
      <c r="S1857" s="6">
        <v>1801004</v>
      </c>
      <c r="T1857" s="6" t="e">
        <f>INDEX(医院2县区2人!$D$2:$D$1048576,MATCH(L1857,医院2县区2人!$A$2:$A$1048576,0))</f>
        <v>#N/A</v>
      </c>
      <c r="W1857" s="6" t="str">
        <f t="shared" si="61"/>
        <v>拉西地平片/三精司乐平片4mg*15片</v>
      </c>
      <c r="X1857" s="6" t="s">
        <v>2907</v>
      </c>
    </row>
    <row r="1858" spans="1:24" x14ac:dyDescent="0.15">
      <c r="A1858" s="7" t="str">
        <f t="shared" si="62"/>
        <v>201806</v>
      </c>
      <c r="C1858" s="6" t="str">
        <f>INDEX(工厂基础数据!$A$2:$A$1024,MATCH(X1858,工厂基础数据!$D$2:$D$1024,0))</f>
        <v>02029238</v>
      </c>
      <c r="E1858" s="6" t="str">
        <f>INDEX(工厂基础数据!$B$2:$B$1024,MATCH(X1858,工厂基础数据!$D$2:$D$1024,0))</f>
        <v>山东康为医药有限公司</v>
      </c>
      <c r="F1858" s="6" t="e">
        <f>INDEX(商业2转码!$B$2:$B$10000,MATCH(E1858,商业2转码!$A$2:$A$10000,0))</f>
        <v>#N/A</v>
      </c>
      <c r="G1858" s="6">
        <f>INDEX(品种2编码!$A$2:$A$1048576,MATCH(W1858,品种2编码!$D$2:$D$1048576,0))</f>
        <v>0</v>
      </c>
      <c r="H1858" s="6" t="s">
        <v>3448</v>
      </c>
      <c r="I1858" s="6" t="s">
        <v>411</v>
      </c>
      <c r="J1858" s="6" t="s">
        <v>3040</v>
      </c>
      <c r="L1858" s="6" t="s">
        <v>3432</v>
      </c>
      <c r="M1858" s="6" t="e">
        <f>INDEX(医院2县区2人!$B$2:$B$1048576,MATCH(L1858,医院2县区2人!$A$2:$A$1048576,0))</f>
        <v>#N/A</v>
      </c>
      <c r="N1858" s="6" t="e">
        <f>INDEX(医院2县区2人!$C$2:$C$1048576,MATCH(L1858,医院2县区2人!$A$2:$A$1048576,0))</f>
        <v>#N/A</v>
      </c>
      <c r="P1858" s="7">
        <v>43279</v>
      </c>
      <c r="Q1858" s="6">
        <v>30</v>
      </c>
      <c r="S1858" s="6">
        <v>17122922</v>
      </c>
      <c r="T1858" s="6" t="e">
        <f>INDEX(医院2县区2人!$D$2:$D$1048576,MATCH(L1858,医院2县区2人!$A$2:$A$1048576,0))</f>
        <v>#N/A</v>
      </c>
      <c r="W1858" s="6" t="str">
        <f t="shared" si="61"/>
        <v>葡萄糖酸钙口服溶液（含糖型）10ml*12支</v>
      </c>
      <c r="X1858" s="6" t="s">
        <v>2907</v>
      </c>
    </row>
    <row r="1859" spans="1:24" x14ac:dyDescent="0.15">
      <c r="A1859" s="7" t="str">
        <f t="shared" si="62"/>
        <v>201806</v>
      </c>
      <c r="C1859" s="6" t="str">
        <f>INDEX(工厂基础数据!$A$2:$A$1024,MATCH(X1859,工厂基础数据!$D$2:$D$1024,0))</f>
        <v>02029238</v>
      </c>
      <c r="E1859" s="6" t="str">
        <f>INDEX(工厂基础数据!$B$2:$B$1024,MATCH(X1859,工厂基础数据!$D$2:$D$1024,0))</f>
        <v>山东康为医药有限公司</v>
      </c>
      <c r="F1859" s="6" t="e">
        <f>INDEX(商业2转码!$B$2:$B$10000,MATCH(E1859,商业2转码!$A$2:$A$10000,0))</f>
        <v>#N/A</v>
      </c>
      <c r="G1859" s="6" t="str">
        <f>INDEX(品种2编码!$A$2:$A$1048576,MATCH(W1859,品种2编码!$D$2:$D$1048576,0))</f>
        <v>0020030001SJZY0009</v>
      </c>
      <c r="H1859" s="6" t="s">
        <v>1949</v>
      </c>
      <c r="I1859" s="6" t="s">
        <v>411</v>
      </c>
      <c r="J1859" s="6" t="s">
        <v>3040</v>
      </c>
      <c r="L1859" s="6" t="s">
        <v>3432</v>
      </c>
      <c r="M1859" s="6" t="e">
        <f>INDEX(医院2县区2人!$B$2:$B$1048576,MATCH(L1859,医院2县区2人!$A$2:$A$1048576,0))</f>
        <v>#N/A</v>
      </c>
      <c r="N1859" s="6" t="e">
        <f>INDEX(医院2县区2人!$C$2:$C$1048576,MATCH(L1859,医院2县区2人!$A$2:$A$1048576,0))</f>
        <v>#N/A</v>
      </c>
      <c r="P1859" s="7">
        <v>43279</v>
      </c>
      <c r="Q1859" s="6">
        <v>20</v>
      </c>
      <c r="S1859" s="6">
        <v>18031227</v>
      </c>
      <c r="T1859" s="6" t="e">
        <f>INDEX(医院2县区2人!$D$2:$D$1048576,MATCH(L1859,医院2县区2人!$A$2:$A$1048576,0))</f>
        <v>#N/A</v>
      </c>
      <c r="W1859" s="6" t="str">
        <f t="shared" si="61"/>
        <v>葡萄糖酸锌口服溶液10ml*12支</v>
      </c>
      <c r="X1859" s="6" t="s">
        <v>2907</v>
      </c>
    </row>
    <row r="1860" spans="1:24" x14ac:dyDescent="0.15">
      <c r="A1860" s="7" t="str">
        <f t="shared" si="62"/>
        <v>201806</v>
      </c>
      <c r="C1860" s="6" t="str">
        <f>INDEX(工厂基础数据!$A$2:$A$1024,MATCH(X1860,工厂基础数据!$D$2:$D$1024,0))</f>
        <v>02029238</v>
      </c>
      <c r="E1860" s="6" t="str">
        <f>INDEX(工厂基础数据!$B$2:$B$1024,MATCH(X1860,工厂基础数据!$D$2:$D$1024,0))</f>
        <v>山东康为医药有限公司</v>
      </c>
      <c r="F1860" s="6" t="e">
        <f>INDEX(商业2转码!$B$2:$B$10000,MATCH(E1860,商业2转码!$A$2:$A$10000,0))</f>
        <v>#N/A</v>
      </c>
      <c r="G1860" s="6" t="str">
        <f>INDEX(品种2编码!$A$2:$A$1048576,MATCH(W1860,品种2编码!$D$2:$D$1048576,0))</f>
        <v>0020070000ZYLC0055</v>
      </c>
      <c r="H1860" s="6" t="s">
        <v>557</v>
      </c>
      <c r="I1860" s="6" t="s">
        <v>411</v>
      </c>
      <c r="J1860" s="6" t="s">
        <v>3036</v>
      </c>
      <c r="L1860" s="6" t="s">
        <v>3377</v>
      </c>
      <c r="M1860" s="6" t="e">
        <f>INDEX(医院2县区2人!$B$2:$B$1048576,MATCH(L1860,医院2县区2人!$A$2:$A$1048576,0))</f>
        <v>#N/A</v>
      </c>
      <c r="N1860" s="6" t="e">
        <f>INDEX(医院2县区2人!$C$2:$C$1048576,MATCH(L1860,医院2县区2人!$A$2:$A$1048576,0))</f>
        <v>#N/A</v>
      </c>
      <c r="P1860" s="7">
        <v>43279</v>
      </c>
      <c r="Q1860" s="6">
        <v>20</v>
      </c>
      <c r="S1860" s="6">
        <v>171038</v>
      </c>
      <c r="T1860" s="6" t="e">
        <f>INDEX(医院2县区2人!$D$2:$D$1048576,MATCH(L1860,医院2县区2人!$A$2:$A$1048576,0))</f>
        <v>#N/A</v>
      </c>
      <c r="W1860" s="6" t="str">
        <f t="shared" si="61"/>
        <v>朴雪乳酸亚铁口服液10ml*12支</v>
      </c>
      <c r="X1860" s="6" t="s">
        <v>2907</v>
      </c>
    </row>
    <row r="1861" spans="1:24" x14ac:dyDescent="0.15">
      <c r="A1861" s="7" t="str">
        <f t="shared" si="62"/>
        <v>201806</v>
      </c>
      <c r="C1861" s="6" t="str">
        <f>INDEX(工厂基础数据!$A$2:$A$1024,MATCH(X1861,工厂基础数据!$D$2:$D$1024,0))</f>
        <v>02029238</v>
      </c>
      <c r="E1861" s="6" t="str">
        <f>INDEX(工厂基础数据!$B$2:$B$1024,MATCH(X1861,工厂基础数据!$D$2:$D$1024,0))</f>
        <v>山东康为医药有限公司</v>
      </c>
      <c r="F1861" s="6" t="e">
        <f>INDEX(商业2转码!$B$2:$B$10000,MATCH(E1861,商业2转码!$A$2:$A$10000,0))</f>
        <v>#N/A</v>
      </c>
      <c r="G1861" s="6" t="str">
        <f>INDEX(品种2编码!$A$2:$A$1048576,MATCH(W1861,品种2编码!$D$2:$D$1048576,0))</f>
        <v>0020020020SJMS0008</v>
      </c>
      <c r="H1861" s="6" t="s">
        <v>1904</v>
      </c>
      <c r="I1861" s="6" t="s">
        <v>1873</v>
      </c>
      <c r="J1861" s="6" t="s">
        <v>3046</v>
      </c>
      <c r="L1861" s="6" t="s">
        <v>3392</v>
      </c>
      <c r="M1861" s="6" t="e">
        <f>INDEX(医院2县区2人!$B$2:$B$1048576,MATCH(L1861,医院2县区2人!$A$2:$A$1048576,0))</f>
        <v>#N/A</v>
      </c>
      <c r="N1861" s="6" t="e">
        <f>INDEX(医院2县区2人!$C$2:$C$1048576,MATCH(L1861,医院2县区2人!$A$2:$A$1048576,0))</f>
        <v>#N/A</v>
      </c>
      <c r="P1861" s="7">
        <v>43279</v>
      </c>
      <c r="Q1861" s="6">
        <v>30</v>
      </c>
      <c r="S1861" s="6">
        <v>1801004</v>
      </c>
      <c r="T1861" s="6" t="e">
        <f>INDEX(医院2县区2人!$D$2:$D$1048576,MATCH(L1861,医院2县区2人!$A$2:$A$1048576,0))</f>
        <v>#N/A</v>
      </c>
      <c r="W1861" s="6" t="str">
        <f t="shared" si="61"/>
        <v>拉西地平片/三精司乐平片4mg*15片</v>
      </c>
      <c r="X1861" s="6" t="s">
        <v>2907</v>
      </c>
    </row>
    <row r="1862" spans="1:24" x14ac:dyDescent="0.15">
      <c r="A1862" s="7" t="str">
        <f t="shared" si="62"/>
        <v>201806</v>
      </c>
      <c r="C1862" s="6" t="str">
        <f>INDEX(工厂基础数据!$A$2:$A$1024,MATCH(X1862,工厂基础数据!$D$2:$D$1024,0))</f>
        <v>02029238</v>
      </c>
      <c r="E1862" s="6" t="str">
        <f>INDEX(工厂基础数据!$B$2:$B$1024,MATCH(X1862,工厂基础数据!$D$2:$D$1024,0))</f>
        <v>山东康为医药有限公司</v>
      </c>
      <c r="F1862" s="6" t="e">
        <f>INDEX(商业2转码!$B$2:$B$10000,MATCH(E1862,商业2转码!$A$2:$A$10000,0))</f>
        <v>#N/A</v>
      </c>
      <c r="G1862" s="6">
        <f>INDEX(品种2编码!$A$2:$A$1048576,MATCH(W1862,品种2编码!$D$2:$D$1048576,0))</f>
        <v>0</v>
      </c>
      <c r="H1862" s="6" t="s">
        <v>1936</v>
      </c>
      <c r="I1862" s="6" t="s">
        <v>3456</v>
      </c>
      <c r="J1862" s="6" t="s">
        <v>3038</v>
      </c>
      <c r="L1862" s="6" t="s">
        <v>3392</v>
      </c>
      <c r="M1862" s="6" t="e">
        <f>INDEX(医院2县区2人!$B$2:$B$1048576,MATCH(L1862,医院2县区2人!$A$2:$A$1048576,0))</f>
        <v>#N/A</v>
      </c>
      <c r="N1862" s="6" t="e">
        <f>INDEX(医院2县区2人!$C$2:$C$1048576,MATCH(L1862,医院2县区2人!$A$2:$A$1048576,0))</f>
        <v>#N/A</v>
      </c>
      <c r="P1862" s="7">
        <v>43279</v>
      </c>
      <c r="Q1862" s="6">
        <v>10</v>
      </c>
      <c r="S1862" s="6" t="s">
        <v>3275</v>
      </c>
      <c r="T1862" s="6" t="e">
        <f>INDEX(医院2县区2人!$D$2:$D$1048576,MATCH(L1862,医院2县区2人!$A$2:$A$1048576,0))</f>
        <v>#N/A</v>
      </c>
      <c r="W1862" s="6" t="str">
        <f t="shared" si="61"/>
        <v>阿莫西林克拉维酸钾分散片228.5mg*12片</v>
      </c>
      <c r="X1862" s="6" t="s">
        <v>2907</v>
      </c>
    </row>
    <row r="1863" spans="1:24" x14ac:dyDescent="0.15">
      <c r="A1863" s="7" t="str">
        <f t="shared" si="62"/>
        <v>201806</v>
      </c>
      <c r="C1863" s="6" t="str">
        <f>INDEX(工厂基础数据!$A$2:$A$1024,MATCH(X1863,工厂基础数据!$D$2:$D$1024,0))</f>
        <v>02029238</v>
      </c>
      <c r="E1863" s="6" t="str">
        <f>INDEX(工厂基础数据!$B$2:$B$1024,MATCH(X1863,工厂基础数据!$D$2:$D$1024,0))</f>
        <v>山东康为医药有限公司</v>
      </c>
      <c r="F1863" s="6" t="e">
        <f>INDEX(商业2转码!$B$2:$B$10000,MATCH(E1863,商业2转码!$A$2:$A$10000,0))</f>
        <v>#N/A</v>
      </c>
      <c r="G1863" s="6">
        <f>INDEX(品种2编码!$A$2:$A$1048576,MATCH(W1863,品种2编码!$D$2:$D$1048576,0))</f>
        <v>0</v>
      </c>
      <c r="H1863" s="6" t="s">
        <v>3447</v>
      </c>
      <c r="I1863" s="6" t="s">
        <v>1838</v>
      </c>
      <c r="J1863" s="6" t="s">
        <v>3036</v>
      </c>
      <c r="L1863" s="6" t="s">
        <v>3433</v>
      </c>
      <c r="M1863" s="6" t="e">
        <f>INDEX(医院2县区2人!$B$2:$B$1048576,MATCH(L1863,医院2县区2人!$A$2:$A$1048576,0))</f>
        <v>#N/A</v>
      </c>
      <c r="N1863" s="6" t="e">
        <f>INDEX(医院2县区2人!$C$2:$C$1048576,MATCH(L1863,医院2县区2人!$A$2:$A$1048576,0))</f>
        <v>#N/A</v>
      </c>
      <c r="P1863" s="7">
        <v>43279</v>
      </c>
      <c r="Q1863" s="6">
        <v>5</v>
      </c>
      <c r="S1863" s="6">
        <v>171251</v>
      </c>
      <c r="T1863" s="6" t="e">
        <f>INDEX(医院2县区2人!$D$2:$D$1048576,MATCH(L1863,医院2县区2人!$A$2:$A$1048576,0))</f>
        <v>#N/A</v>
      </c>
      <c r="W1863" s="6" t="str">
        <f t="shared" si="61"/>
        <v>新盖中盖高钙片/成人2.5g*36片</v>
      </c>
      <c r="X1863" s="6" t="s">
        <v>2907</v>
      </c>
    </row>
    <row r="1864" spans="1:24" x14ac:dyDescent="0.15">
      <c r="A1864" s="7" t="str">
        <f t="shared" si="62"/>
        <v>201806</v>
      </c>
      <c r="C1864" s="6" t="str">
        <f>INDEX(工厂基础数据!$A$2:$A$1024,MATCH(X1864,工厂基础数据!$D$2:$D$1024,0))</f>
        <v>02029238</v>
      </c>
      <c r="E1864" s="6" t="str">
        <f>INDEX(工厂基础数据!$B$2:$B$1024,MATCH(X1864,工厂基础数据!$D$2:$D$1024,0))</f>
        <v>山东康为医药有限公司</v>
      </c>
      <c r="F1864" s="6" t="e">
        <f>INDEX(商业2转码!$B$2:$B$10000,MATCH(E1864,商业2转码!$A$2:$A$10000,0))</f>
        <v>#N/A</v>
      </c>
      <c r="G1864" s="6" t="str">
        <f>INDEX(品种2编码!$A$2:$A$1048576,MATCH(W1864,品种2编码!$D$2:$D$1048576,0))</f>
        <v>0020030170ZYEC0003</v>
      </c>
      <c r="H1864" s="6" t="s">
        <v>1835</v>
      </c>
      <c r="I1864" s="6" t="s">
        <v>1836</v>
      </c>
      <c r="J1864" s="6" t="s">
        <v>3041</v>
      </c>
      <c r="L1864" s="6" t="s">
        <v>3433</v>
      </c>
      <c r="M1864" s="6" t="e">
        <f>INDEX(医院2县区2人!$B$2:$B$1048576,MATCH(L1864,医院2县区2人!$A$2:$A$1048576,0))</f>
        <v>#N/A</v>
      </c>
      <c r="N1864" s="6" t="e">
        <f>INDEX(医院2县区2人!$C$2:$C$1048576,MATCH(L1864,医院2县区2人!$A$2:$A$1048576,0))</f>
        <v>#N/A</v>
      </c>
      <c r="P1864" s="7">
        <v>43279</v>
      </c>
      <c r="Q1864" s="6">
        <v>5</v>
      </c>
      <c r="S1864" s="6">
        <v>170511</v>
      </c>
      <c r="T1864" s="6" t="e">
        <f>INDEX(医院2县区2人!$D$2:$D$1048576,MATCH(L1864,医院2县区2人!$A$2:$A$1048576,0))</f>
        <v>#N/A</v>
      </c>
      <c r="W1864" s="6" t="str">
        <f t="shared" si="61"/>
        <v>蒙脱石散3g*12袋</v>
      </c>
      <c r="X1864" s="6" t="s">
        <v>2907</v>
      </c>
    </row>
    <row r="1865" spans="1:24" x14ac:dyDescent="0.15">
      <c r="A1865" s="7" t="str">
        <f t="shared" si="62"/>
        <v>201806</v>
      </c>
      <c r="C1865" s="6" t="str">
        <f>INDEX(工厂基础数据!$A$2:$A$1024,MATCH(X1865,工厂基础数据!$D$2:$D$1024,0))</f>
        <v>02029238</v>
      </c>
      <c r="E1865" s="6" t="str">
        <f>INDEX(工厂基础数据!$B$2:$B$1024,MATCH(X1865,工厂基础数据!$D$2:$D$1024,0))</f>
        <v>山东康为医药有限公司</v>
      </c>
      <c r="F1865" s="6" t="e">
        <f>INDEX(商业2转码!$B$2:$B$10000,MATCH(E1865,商业2转码!$A$2:$A$10000,0))</f>
        <v>#N/A</v>
      </c>
      <c r="G1865" s="6">
        <f>INDEX(品种2编码!$A$2:$A$1048576,MATCH(W1865,品种2编码!$D$2:$D$1048576,0))</f>
        <v>0</v>
      </c>
      <c r="H1865" s="6" t="s">
        <v>575</v>
      </c>
      <c r="I1865" s="6" t="s">
        <v>1910</v>
      </c>
      <c r="J1865" s="6" t="s">
        <v>3038</v>
      </c>
      <c r="L1865" s="6" t="s">
        <v>3433</v>
      </c>
      <c r="M1865" s="6" t="e">
        <f>INDEX(医院2县区2人!$B$2:$B$1048576,MATCH(L1865,医院2县区2人!$A$2:$A$1048576,0))</f>
        <v>#N/A</v>
      </c>
      <c r="N1865" s="6" t="e">
        <f>INDEX(医院2县区2人!$C$2:$C$1048576,MATCH(L1865,医院2县区2人!$A$2:$A$1048576,0))</f>
        <v>#N/A</v>
      </c>
      <c r="P1865" s="7">
        <v>43279</v>
      </c>
      <c r="Q1865" s="6">
        <v>10</v>
      </c>
      <c r="S1865" s="6" t="s">
        <v>3273</v>
      </c>
      <c r="T1865" s="6" t="e">
        <f>INDEX(医院2县区2人!$D$2:$D$1048576,MATCH(L1865,医院2县区2人!$A$2:$A$1048576,0))</f>
        <v>#N/A</v>
      </c>
      <c r="W1865" s="6" t="str">
        <f t="shared" si="61"/>
        <v>青霉素V钾片24片</v>
      </c>
      <c r="X1865" s="6" t="s">
        <v>2907</v>
      </c>
    </row>
    <row r="1866" spans="1:24" x14ac:dyDescent="0.15">
      <c r="A1866" s="7" t="str">
        <f t="shared" si="62"/>
        <v>201806</v>
      </c>
      <c r="C1866" s="6" t="str">
        <f>INDEX(工厂基础数据!$A$2:$A$1024,MATCH(X1866,工厂基础数据!$D$2:$D$1024,0))</f>
        <v>02029238</v>
      </c>
      <c r="E1866" s="6" t="str">
        <f>INDEX(工厂基础数据!$B$2:$B$1024,MATCH(X1866,工厂基础数据!$D$2:$D$1024,0))</f>
        <v>山东康为医药有限公司</v>
      </c>
      <c r="F1866" s="6" t="e">
        <f>INDEX(商业2转码!$B$2:$B$10000,MATCH(E1866,商业2转码!$A$2:$A$10000,0))</f>
        <v>#N/A</v>
      </c>
      <c r="G1866" s="6">
        <f>INDEX(品种2编码!$A$2:$A$1048576,MATCH(W1866,品种2编码!$D$2:$D$1048576,0))</f>
        <v>0</v>
      </c>
      <c r="H1866" s="6" t="s">
        <v>317</v>
      </c>
      <c r="I1866" s="6" t="s">
        <v>3291</v>
      </c>
      <c r="J1866" s="6" t="s">
        <v>3037</v>
      </c>
      <c r="L1866" s="6" t="s">
        <v>3433</v>
      </c>
      <c r="M1866" s="6" t="e">
        <f>INDEX(医院2县区2人!$B$2:$B$1048576,MATCH(L1866,医院2县区2人!$A$2:$A$1048576,0))</f>
        <v>#N/A</v>
      </c>
      <c r="N1866" s="6" t="e">
        <f>INDEX(医院2县区2人!$C$2:$C$1048576,MATCH(L1866,医院2县区2人!$A$2:$A$1048576,0))</f>
        <v>#N/A</v>
      </c>
      <c r="P1866" s="7">
        <v>43279</v>
      </c>
      <c r="Q1866" s="6">
        <v>20</v>
      </c>
      <c r="S1866" s="6">
        <v>1611617</v>
      </c>
      <c r="T1866" s="6" t="e">
        <f>INDEX(医院2县区2人!$D$2:$D$1048576,MATCH(L1866,医院2县区2人!$A$2:$A$1048576,0))</f>
        <v>#N/A</v>
      </c>
      <c r="W1866" s="6" t="str">
        <f t="shared" si="61"/>
        <v>布洛芬颗粒0.2g*12包</v>
      </c>
      <c r="X1866" s="6" t="s">
        <v>2907</v>
      </c>
    </row>
    <row r="1867" spans="1:24" x14ac:dyDescent="0.15">
      <c r="A1867" s="7" t="str">
        <f t="shared" si="62"/>
        <v>201806</v>
      </c>
      <c r="C1867" s="6" t="str">
        <f>INDEX(工厂基础数据!$A$2:$A$1024,MATCH(X1867,工厂基础数据!$D$2:$D$1024,0))</f>
        <v>02029238</v>
      </c>
      <c r="E1867" s="6" t="str">
        <f>INDEX(工厂基础数据!$B$2:$B$1024,MATCH(X1867,工厂基础数据!$D$2:$D$1024,0))</f>
        <v>山东康为医药有限公司</v>
      </c>
      <c r="F1867" s="6" t="e">
        <f>INDEX(商业2转码!$B$2:$B$10000,MATCH(E1867,商业2转码!$A$2:$A$10000,0))</f>
        <v>#N/A</v>
      </c>
      <c r="G1867" s="6" t="str">
        <f>INDEX(品种2编码!$A$2:$A$1048576,MATCH(W1867,品种2编码!$D$2:$D$1048576,0))</f>
        <v>0020020020SJMS0008</v>
      </c>
      <c r="H1867" s="6" t="s">
        <v>1904</v>
      </c>
      <c r="I1867" s="6" t="s">
        <v>1873</v>
      </c>
      <c r="J1867" s="6" t="s">
        <v>3046</v>
      </c>
      <c r="L1867" s="6" t="s">
        <v>3345</v>
      </c>
      <c r="M1867" s="6" t="e">
        <f>INDEX(医院2县区2人!$B$2:$B$1048576,MATCH(L1867,医院2县区2人!$A$2:$A$1048576,0))</f>
        <v>#N/A</v>
      </c>
      <c r="N1867" s="6" t="e">
        <f>INDEX(医院2县区2人!$C$2:$C$1048576,MATCH(L1867,医院2县区2人!$A$2:$A$1048576,0))</f>
        <v>#N/A</v>
      </c>
      <c r="P1867" s="7">
        <v>43279</v>
      </c>
      <c r="Q1867" s="6">
        <v>320</v>
      </c>
      <c r="S1867" s="6">
        <v>1801004</v>
      </c>
      <c r="T1867" s="6" t="e">
        <f>INDEX(医院2县区2人!$D$2:$D$1048576,MATCH(L1867,医院2县区2人!$A$2:$A$1048576,0))</f>
        <v>#N/A</v>
      </c>
      <c r="W1867" s="6" t="str">
        <f t="shared" si="61"/>
        <v>拉西地平片/三精司乐平片4mg*15片</v>
      </c>
      <c r="X1867" s="6" t="s">
        <v>2907</v>
      </c>
    </row>
    <row r="1868" spans="1:24" x14ac:dyDescent="0.15">
      <c r="A1868" s="7" t="str">
        <f t="shared" si="62"/>
        <v>201806</v>
      </c>
      <c r="C1868" s="6" t="str">
        <f>INDEX(工厂基础数据!$A$2:$A$1024,MATCH(X1868,工厂基础数据!$D$2:$D$1024,0))</f>
        <v>02029238</v>
      </c>
      <c r="E1868" s="6" t="str">
        <f>INDEX(工厂基础数据!$B$2:$B$1024,MATCH(X1868,工厂基础数据!$D$2:$D$1024,0))</f>
        <v>山东康为医药有限公司</v>
      </c>
      <c r="F1868" s="6" t="e">
        <f>INDEX(商业2转码!$B$2:$B$10000,MATCH(E1868,商业2转码!$A$2:$A$10000,0))</f>
        <v>#N/A</v>
      </c>
      <c r="G1868" s="6">
        <f>INDEX(品种2编码!$A$2:$A$1048576,MATCH(W1868,品种2编码!$D$2:$D$1048576,0))</f>
        <v>0</v>
      </c>
      <c r="H1868" s="6" t="s">
        <v>1857</v>
      </c>
      <c r="I1868" s="6" t="s">
        <v>3454</v>
      </c>
      <c r="J1868" s="6" t="s">
        <v>3037</v>
      </c>
      <c r="L1868" s="6" t="s">
        <v>3360</v>
      </c>
      <c r="M1868" s="6" t="e">
        <f>INDEX(医院2县区2人!$B$2:$B$1048576,MATCH(L1868,医院2县区2人!$A$2:$A$1048576,0))</f>
        <v>#N/A</v>
      </c>
      <c r="N1868" s="6" t="e">
        <f>INDEX(医院2县区2人!$C$2:$C$1048576,MATCH(L1868,医院2县区2人!$A$2:$A$1048576,0))</f>
        <v>#N/A</v>
      </c>
      <c r="P1868" s="7">
        <v>43279</v>
      </c>
      <c r="Q1868" s="6">
        <v>5</v>
      </c>
      <c r="S1868" s="6">
        <v>1703407</v>
      </c>
      <c r="T1868" s="6" t="e">
        <f>INDEX(医院2县区2人!$D$2:$D$1048576,MATCH(L1868,医院2县区2人!$A$2:$A$1048576,0))</f>
        <v>#N/A</v>
      </c>
      <c r="W1868" s="6" t="str">
        <f t="shared" si="61"/>
        <v>妇宁栓7枚</v>
      </c>
      <c r="X1868" s="6" t="s">
        <v>2907</v>
      </c>
    </row>
    <row r="1869" spans="1:24" x14ac:dyDescent="0.15">
      <c r="A1869" s="7" t="str">
        <f t="shared" si="62"/>
        <v>201806</v>
      </c>
      <c r="C1869" s="6" t="str">
        <f>INDEX(工厂基础数据!$A$2:$A$1024,MATCH(X1869,工厂基础数据!$D$2:$D$1024,0))</f>
        <v>02029238</v>
      </c>
      <c r="E1869" s="6" t="str">
        <f>INDEX(工厂基础数据!$B$2:$B$1024,MATCH(X1869,工厂基础数据!$D$2:$D$1024,0))</f>
        <v>山东康为医药有限公司</v>
      </c>
      <c r="F1869" s="6" t="e">
        <f>INDEX(商业2转码!$B$2:$B$10000,MATCH(E1869,商业2转码!$A$2:$A$10000,0))</f>
        <v>#N/A</v>
      </c>
      <c r="G1869" s="6">
        <f>INDEX(品种2编码!$A$2:$A$1048576,MATCH(W1869,品种2编码!$D$2:$D$1048576,0))</f>
        <v>0</v>
      </c>
      <c r="H1869" s="6" t="s">
        <v>3448</v>
      </c>
      <c r="I1869" s="6" t="s">
        <v>411</v>
      </c>
      <c r="J1869" s="6" t="s">
        <v>3040</v>
      </c>
      <c r="L1869" s="6" t="s">
        <v>3434</v>
      </c>
      <c r="M1869" s="6" t="e">
        <f>INDEX(医院2县区2人!$B$2:$B$1048576,MATCH(L1869,医院2县区2人!$A$2:$A$1048576,0))</f>
        <v>#N/A</v>
      </c>
      <c r="N1869" s="6" t="e">
        <f>INDEX(医院2县区2人!$C$2:$C$1048576,MATCH(L1869,医院2县区2人!$A$2:$A$1048576,0))</f>
        <v>#N/A</v>
      </c>
      <c r="P1869" s="7">
        <v>43279</v>
      </c>
      <c r="Q1869" s="6">
        <v>80</v>
      </c>
      <c r="S1869" s="6">
        <v>17122922</v>
      </c>
      <c r="T1869" s="6" t="e">
        <f>INDEX(医院2县区2人!$D$2:$D$1048576,MATCH(L1869,医院2县区2人!$A$2:$A$1048576,0))</f>
        <v>#N/A</v>
      </c>
      <c r="W1869" s="6" t="str">
        <f t="shared" si="61"/>
        <v>葡萄糖酸钙口服溶液（含糖型）10ml*12支</v>
      </c>
      <c r="X1869" s="6" t="s">
        <v>2907</v>
      </c>
    </row>
    <row r="1870" spans="1:24" x14ac:dyDescent="0.15">
      <c r="A1870" s="7" t="str">
        <f t="shared" si="62"/>
        <v>201806</v>
      </c>
      <c r="C1870" s="6" t="str">
        <f>INDEX(工厂基础数据!$A$2:$A$1024,MATCH(X1870,工厂基础数据!$D$2:$D$1024,0))</f>
        <v>02029238</v>
      </c>
      <c r="E1870" s="6" t="str">
        <f>INDEX(工厂基础数据!$B$2:$B$1024,MATCH(X1870,工厂基础数据!$D$2:$D$1024,0))</f>
        <v>山东康为医药有限公司</v>
      </c>
      <c r="F1870" s="6" t="e">
        <f>INDEX(商业2转码!$B$2:$B$10000,MATCH(E1870,商业2转码!$A$2:$A$10000,0))</f>
        <v>#N/A</v>
      </c>
      <c r="G1870" s="6" t="str">
        <f>INDEX(品种2编码!$A$2:$A$1048576,MATCH(W1870,品种2编码!$D$2:$D$1048576,0))</f>
        <v>0020030001SJZY0009</v>
      </c>
      <c r="H1870" s="6" t="s">
        <v>1949</v>
      </c>
      <c r="I1870" s="6" t="s">
        <v>411</v>
      </c>
      <c r="J1870" s="6" t="s">
        <v>3040</v>
      </c>
      <c r="L1870" s="6" t="s">
        <v>3434</v>
      </c>
      <c r="M1870" s="6" t="e">
        <f>INDEX(医院2县区2人!$B$2:$B$1048576,MATCH(L1870,医院2县区2人!$A$2:$A$1048576,0))</f>
        <v>#N/A</v>
      </c>
      <c r="N1870" s="6" t="e">
        <f>INDEX(医院2县区2人!$C$2:$C$1048576,MATCH(L1870,医院2县区2人!$A$2:$A$1048576,0))</f>
        <v>#N/A</v>
      </c>
      <c r="P1870" s="7">
        <v>43279</v>
      </c>
      <c r="Q1870" s="6">
        <v>80</v>
      </c>
      <c r="S1870" s="6">
        <v>18031227</v>
      </c>
      <c r="T1870" s="6" t="e">
        <f>INDEX(医院2县区2人!$D$2:$D$1048576,MATCH(L1870,医院2县区2人!$A$2:$A$1048576,0))</f>
        <v>#N/A</v>
      </c>
      <c r="W1870" s="6" t="str">
        <f t="shared" si="61"/>
        <v>葡萄糖酸锌口服溶液10ml*12支</v>
      </c>
      <c r="X1870" s="6" t="s">
        <v>2907</v>
      </c>
    </row>
    <row r="1871" spans="1:24" x14ac:dyDescent="0.15">
      <c r="A1871" s="7" t="str">
        <f t="shared" si="62"/>
        <v>201806</v>
      </c>
      <c r="C1871" s="6" t="str">
        <f>INDEX(工厂基础数据!$A$2:$A$1024,MATCH(X1871,工厂基础数据!$D$2:$D$1024,0))</f>
        <v>02029238</v>
      </c>
      <c r="E1871" s="6" t="str">
        <f>INDEX(工厂基础数据!$B$2:$B$1024,MATCH(X1871,工厂基础数据!$D$2:$D$1024,0))</f>
        <v>山东康为医药有限公司</v>
      </c>
      <c r="F1871" s="6" t="e">
        <f>INDEX(商业2转码!$B$2:$B$10000,MATCH(E1871,商业2转码!$A$2:$A$10000,0))</f>
        <v>#N/A</v>
      </c>
      <c r="G1871" s="6" t="str">
        <f>INDEX(品种2编码!$A$2:$A$1048576,MATCH(W1871,品种2编码!$D$2:$D$1048576,0))</f>
        <v>0020040110SHYT0002</v>
      </c>
      <c r="H1871" s="6" t="s">
        <v>601</v>
      </c>
      <c r="I1871" s="6" t="s">
        <v>1997</v>
      </c>
      <c r="J1871" s="6" t="s">
        <v>3037</v>
      </c>
      <c r="L1871" s="6" t="s">
        <v>3408</v>
      </c>
      <c r="M1871" s="6" t="e">
        <f>INDEX(医院2县区2人!$B$2:$B$1048576,MATCH(L1871,医院2县区2人!$A$2:$A$1048576,0))</f>
        <v>#N/A</v>
      </c>
      <c r="N1871" s="6" t="e">
        <f>INDEX(医院2县区2人!$C$2:$C$1048576,MATCH(L1871,医院2县区2人!$A$2:$A$1048576,0))</f>
        <v>#N/A</v>
      </c>
      <c r="P1871" s="7">
        <v>43279</v>
      </c>
      <c r="Q1871" s="6">
        <v>10</v>
      </c>
      <c r="S1871" s="6">
        <v>161101</v>
      </c>
      <c r="T1871" s="6" t="e">
        <f>INDEX(医院2县区2人!$D$2:$D$1048576,MATCH(L1871,医院2县区2人!$A$2:$A$1048576,0))</f>
        <v>#N/A</v>
      </c>
      <c r="W1871" s="6" t="str">
        <f t="shared" si="61"/>
        <v>麝香接骨胶囊0.3g*40粒</v>
      </c>
      <c r="X1871" s="6" t="s">
        <v>2907</v>
      </c>
    </row>
    <row r="1872" spans="1:24" x14ac:dyDescent="0.15">
      <c r="A1872" s="7" t="str">
        <f t="shared" si="62"/>
        <v>201806</v>
      </c>
      <c r="C1872" s="6" t="str">
        <f>INDEX(工厂基础数据!$A$2:$A$1024,MATCH(X1872,工厂基础数据!$D$2:$D$1024,0))</f>
        <v>02029238</v>
      </c>
      <c r="E1872" s="6" t="str">
        <f>INDEX(工厂基础数据!$B$2:$B$1024,MATCH(X1872,工厂基础数据!$D$2:$D$1024,0))</f>
        <v>山东康为医药有限公司</v>
      </c>
      <c r="F1872" s="6" t="e">
        <f>INDEX(商业2转码!$B$2:$B$10000,MATCH(E1872,商业2转码!$A$2:$A$10000,0))</f>
        <v>#N/A</v>
      </c>
      <c r="G1872" s="6" t="str">
        <f>INDEX(品种2编码!$A$2:$A$1048576,MATCH(W1872,品种2编码!$D$2:$D$1048576,0))</f>
        <v>0020020020SJMS0008</v>
      </c>
      <c r="H1872" s="6" t="s">
        <v>1904</v>
      </c>
      <c r="I1872" s="6" t="s">
        <v>1873</v>
      </c>
      <c r="J1872" s="6" t="s">
        <v>3046</v>
      </c>
      <c r="L1872" s="6" t="s">
        <v>3357</v>
      </c>
      <c r="M1872" s="6" t="e">
        <f>INDEX(医院2县区2人!$B$2:$B$1048576,MATCH(L1872,医院2县区2人!$A$2:$A$1048576,0))</f>
        <v>#N/A</v>
      </c>
      <c r="N1872" s="6" t="e">
        <f>INDEX(医院2县区2人!$C$2:$C$1048576,MATCH(L1872,医院2县区2人!$A$2:$A$1048576,0))</f>
        <v>#N/A</v>
      </c>
      <c r="P1872" s="7">
        <v>43279</v>
      </c>
      <c r="Q1872" s="6">
        <v>20</v>
      </c>
      <c r="S1872" s="6">
        <v>1801004</v>
      </c>
      <c r="T1872" s="6" t="e">
        <f>INDEX(医院2县区2人!$D$2:$D$1048576,MATCH(L1872,医院2县区2人!$A$2:$A$1048576,0))</f>
        <v>#N/A</v>
      </c>
      <c r="W1872" s="6" t="str">
        <f t="shared" si="61"/>
        <v>拉西地平片/三精司乐平片4mg*15片</v>
      </c>
      <c r="X1872" s="6" t="s">
        <v>2907</v>
      </c>
    </row>
    <row r="1873" spans="1:24" x14ac:dyDescent="0.15">
      <c r="A1873" s="7" t="str">
        <f t="shared" si="62"/>
        <v>201806</v>
      </c>
      <c r="C1873" s="6" t="str">
        <f>INDEX(工厂基础数据!$A$2:$A$1024,MATCH(X1873,工厂基础数据!$D$2:$D$1024,0))</f>
        <v>02029238</v>
      </c>
      <c r="E1873" s="6" t="str">
        <f>INDEX(工厂基础数据!$B$2:$B$1024,MATCH(X1873,工厂基础数据!$D$2:$D$1024,0))</f>
        <v>山东康为医药有限公司</v>
      </c>
      <c r="F1873" s="6" t="e">
        <f>INDEX(商业2转码!$B$2:$B$10000,MATCH(E1873,商业2转码!$A$2:$A$10000,0))</f>
        <v>#N/A</v>
      </c>
      <c r="G1873" s="6">
        <f>INDEX(品种2编码!$A$2:$A$1048576,MATCH(W1873,品种2编码!$D$2:$D$1048576,0))</f>
        <v>0</v>
      </c>
      <c r="H1873" s="6" t="s">
        <v>3448</v>
      </c>
      <c r="I1873" s="6" t="s">
        <v>411</v>
      </c>
      <c r="J1873" s="6" t="s">
        <v>3040</v>
      </c>
      <c r="L1873" s="6" t="s">
        <v>3435</v>
      </c>
      <c r="M1873" s="6" t="e">
        <f>INDEX(医院2县区2人!$B$2:$B$1048576,MATCH(L1873,医院2县区2人!$A$2:$A$1048576,0))</f>
        <v>#N/A</v>
      </c>
      <c r="N1873" s="6" t="e">
        <f>INDEX(医院2县区2人!$C$2:$C$1048576,MATCH(L1873,医院2县区2人!$A$2:$A$1048576,0))</f>
        <v>#N/A</v>
      </c>
      <c r="P1873" s="7">
        <v>43280</v>
      </c>
      <c r="Q1873" s="6">
        <v>20</v>
      </c>
      <c r="S1873" s="6">
        <v>17122922</v>
      </c>
      <c r="T1873" s="6" t="e">
        <f>INDEX(医院2县区2人!$D$2:$D$1048576,MATCH(L1873,医院2县区2人!$A$2:$A$1048576,0))</f>
        <v>#N/A</v>
      </c>
      <c r="W1873" s="6" t="str">
        <f t="shared" si="61"/>
        <v>葡萄糖酸钙口服溶液（含糖型）10ml*12支</v>
      </c>
      <c r="X1873" s="6" t="s">
        <v>2907</v>
      </c>
    </row>
    <row r="1874" spans="1:24" x14ac:dyDescent="0.15">
      <c r="A1874" s="7" t="str">
        <f t="shared" si="62"/>
        <v>201806</v>
      </c>
      <c r="C1874" s="6" t="str">
        <f>INDEX(工厂基础数据!$A$2:$A$1024,MATCH(X1874,工厂基础数据!$D$2:$D$1024,0))</f>
        <v>02029238</v>
      </c>
      <c r="E1874" s="6" t="str">
        <f>INDEX(工厂基础数据!$B$2:$B$1024,MATCH(X1874,工厂基础数据!$D$2:$D$1024,0))</f>
        <v>山东康为医药有限公司</v>
      </c>
      <c r="F1874" s="6" t="e">
        <f>INDEX(商业2转码!$B$2:$B$10000,MATCH(E1874,商业2转码!$A$2:$A$10000,0))</f>
        <v>#N/A</v>
      </c>
      <c r="G1874" s="6" t="str">
        <f>INDEX(品种2编码!$A$2:$A$1048576,MATCH(W1874,品种2编码!$D$2:$D$1048576,0))</f>
        <v>0020050090SJZY0001</v>
      </c>
      <c r="H1874" s="6" t="s">
        <v>630</v>
      </c>
      <c r="I1874" s="6" t="s">
        <v>1850</v>
      </c>
      <c r="J1874" s="6" t="s">
        <v>3040</v>
      </c>
      <c r="L1874" s="6" t="s">
        <v>3436</v>
      </c>
      <c r="M1874" s="6" t="e">
        <f>INDEX(医院2县区2人!$B$2:$B$1048576,MATCH(L1874,医院2县区2人!$A$2:$A$1048576,0))</f>
        <v>#N/A</v>
      </c>
      <c r="N1874" s="6" t="e">
        <f>INDEX(医院2县区2人!$C$2:$C$1048576,MATCH(L1874,医院2县区2人!$A$2:$A$1048576,0))</f>
        <v>#N/A</v>
      </c>
      <c r="P1874" s="7">
        <v>43280</v>
      </c>
      <c r="Q1874" s="6">
        <v>35</v>
      </c>
      <c r="S1874" s="6">
        <v>18010723</v>
      </c>
      <c r="T1874" s="6" t="e">
        <f>INDEX(医院2县区2人!$D$2:$D$1048576,MATCH(L1874,医院2县区2人!$A$2:$A$1048576,0))</f>
        <v>#N/A</v>
      </c>
      <c r="W1874" s="6" t="str">
        <f t="shared" si="61"/>
        <v>双黄连口服液10ml*10支</v>
      </c>
      <c r="X1874" s="6" t="s">
        <v>2907</v>
      </c>
    </row>
    <row r="1875" spans="1:24" x14ac:dyDescent="0.15">
      <c r="A1875" s="7" t="str">
        <f t="shared" si="62"/>
        <v>201806</v>
      </c>
      <c r="C1875" s="6" t="str">
        <f>INDEX(工厂基础数据!$A$2:$A$1024,MATCH(X1875,工厂基础数据!$D$2:$D$1024,0))</f>
        <v>02029238</v>
      </c>
      <c r="E1875" s="6" t="str">
        <f>INDEX(工厂基础数据!$B$2:$B$1024,MATCH(X1875,工厂基础数据!$D$2:$D$1024,0))</f>
        <v>山东康为医药有限公司</v>
      </c>
      <c r="F1875" s="6" t="e">
        <f>INDEX(商业2转码!$B$2:$B$10000,MATCH(E1875,商业2转码!$A$2:$A$10000,0))</f>
        <v>#N/A</v>
      </c>
      <c r="G1875" s="6">
        <f>INDEX(品种2编码!$A$2:$A$1048576,MATCH(W1875,品种2编码!$D$2:$D$1048576,0))</f>
        <v>0</v>
      </c>
      <c r="H1875" s="6" t="s">
        <v>3448</v>
      </c>
      <c r="I1875" s="6" t="s">
        <v>411</v>
      </c>
      <c r="J1875" s="6" t="s">
        <v>3040</v>
      </c>
      <c r="L1875" s="6" t="s">
        <v>3436</v>
      </c>
      <c r="M1875" s="6" t="e">
        <f>INDEX(医院2县区2人!$B$2:$B$1048576,MATCH(L1875,医院2县区2人!$A$2:$A$1048576,0))</f>
        <v>#N/A</v>
      </c>
      <c r="N1875" s="6" t="e">
        <f>INDEX(医院2县区2人!$C$2:$C$1048576,MATCH(L1875,医院2县区2人!$A$2:$A$1048576,0))</f>
        <v>#N/A</v>
      </c>
      <c r="P1875" s="7">
        <v>43280</v>
      </c>
      <c r="Q1875" s="6">
        <v>25</v>
      </c>
      <c r="S1875" s="6">
        <v>17122922</v>
      </c>
      <c r="T1875" s="6" t="e">
        <f>INDEX(医院2县区2人!$D$2:$D$1048576,MATCH(L1875,医院2县区2人!$A$2:$A$1048576,0))</f>
        <v>#N/A</v>
      </c>
      <c r="W1875" s="6" t="str">
        <f t="shared" si="61"/>
        <v>葡萄糖酸钙口服溶液（含糖型）10ml*12支</v>
      </c>
      <c r="X1875" s="6" t="s">
        <v>2907</v>
      </c>
    </row>
    <row r="1876" spans="1:24" x14ac:dyDescent="0.15">
      <c r="A1876" s="7" t="str">
        <f t="shared" si="62"/>
        <v>201806</v>
      </c>
      <c r="C1876" s="6" t="str">
        <f>INDEX(工厂基础数据!$A$2:$A$1024,MATCH(X1876,工厂基础数据!$D$2:$D$1024,0))</f>
        <v>02029238</v>
      </c>
      <c r="E1876" s="6" t="str">
        <f>INDEX(工厂基础数据!$B$2:$B$1024,MATCH(X1876,工厂基础数据!$D$2:$D$1024,0))</f>
        <v>山东康为医药有限公司</v>
      </c>
      <c r="F1876" s="6" t="e">
        <f>INDEX(商业2转码!$B$2:$B$10000,MATCH(E1876,商业2转码!$A$2:$A$10000,0))</f>
        <v>#N/A</v>
      </c>
      <c r="G1876" s="6" t="str">
        <f>INDEX(品种2编码!$A$2:$A$1048576,MATCH(W1876,品种2编码!$D$2:$D$1048576,0))</f>
        <v>0020050090SJZY0001</v>
      </c>
      <c r="H1876" s="6" t="s">
        <v>630</v>
      </c>
      <c r="I1876" s="6" t="s">
        <v>1850</v>
      </c>
      <c r="J1876" s="6" t="s">
        <v>3040</v>
      </c>
      <c r="L1876" s="6" t="s">
        <v>3437</v>
      </c>
      <c r="M1876" s="6" t="e">
        <f>INDEX(医院2县区2人!$B$2:$B$1048576,MATCH(L1876,医院2县区2人!$A$2:$A$1048576,0))</f>
        <v>#N/A</v>
      </c>
      <c r="N1876" s="6" t="e">
        <f>INDEX(医院2县区2人!$C$2:$C$1048576,MATCH(L1876,医院2县区2人!$A$2:$A$1048576,0))</f>
        <v>#N/A</v>
      </c>
      <c r="P1876" s="7">
        <v>43280</v>
      </c>
      <c r="Q1876" s="6">
        <v>45</v>
      </c>
      <c r="S1876" s="6">
        <v>18010723</v>
      </c>
      <c r="T1876" s="6" t="e">
        <f>INDEX(医院2县区2人!$D$2:$D$1048576,MATCH(L1876,医院2县区2人!$A$2:$A$1048576,0))</f>
        <v>#N/A</v>
      </c>
      <c r="W1876" s="6" t="str">
        <f t="shared" si="61"/>
        <v>双黄连口服液10ml*10支</v>
      </c>
      <c r="X1876" s="6" t="s">
        <v>2907</v>
      </c>
    </row>
    <row r="1877" spans="1:24" x14ac:dyDescent="0.15">
      <c r="A1877" s="7" t="str">
        <f t="shared" si="62"/>
        <v>201806</v>
      </c>
      <c r="C1877" s="6" t="str">
        <f>INDEX(工厂基础数据!$A$2:$A$1024,MATCH(X1877,工厂基础数据!$D$2:$D$1024,0))</f>
        <v>02029238</v>
      </c>
      <c r="E1877" s="6" t="str">
        <f>INDEX(工厂基础数据!$B$2:$B$1024,MATCH(X1877,工厂基础数据!$D$2:$D$1024,0))</f>
        <v>山东康为医药有限公司</v>
      </c>
      <c r="F1877" s="6" t="e">
        <f>INDEX(商业2转码!$B$2:$B$10000,MATCH(E1877,商业2转码!$A$2:$A$10000,0))</f>
        <v>#N/A</v>
      </c>
      <c r="G1877" s="6">
        <f>INDEX(品种2编码!$A$2:$A$1048576,MATCH(W1877,品种2编码!$D$2:$D$1048576,0))</f>
        <v>0</v>
      </c>
      <c r="H1877" s="6" t="s">
        <v>3448</v>
      </c>
      <c r="I1877" s="6" t="s">
        <v>411</v>
      </c>
      <c r="J1877" s="6" t="s">
        <v>3040</v>
      </c>
      <c r="L1877" s="6" t="s">
        <v>3437</v>
      </c>
      <c r="M1877" s="6" t="e">
        <f>INDEX(医院2县区2人!$B$2:$B$1048576,MATCH(L1877,医院2县区2人!$A$2:$A$1048576,0))</f>
        <v>#N/A</v>
      </c>
      <c r="N1877" s="6" t="e">
        <f>INDEX(医院2县区2人!$C$2:$C$1048576,MATCH(L1877,医院2县区2人!$A$2:$A$1048576,0))</f>
        <v>#N/A</v>
      </c>
      <c r="P1877" s="7">
        <v>43280</v>
      </c>
      <c r="Q1877" s="6">
        <v>10</v>
      </c>
      <c r="S1877" s="6">
        <v>17122922</v>
      </c>
      <c r="T1877" s="6" t="e">
        <f>INDEX(医院2县区2人!$D$2:$D$1048576,MATCH(L1877,医院2县区2人!$A$2:$A$1048576,0))</f>
        <v>#N/A</v>
      </c>
      <c r="W1877" s="6" t="str">
        <f t="shared" si="61"/>
        <v>葡萄糖酸钙口服溶液（含糖型）10ml*12支</v>
      </c>
      <c r="X1877" s="6" t="s">
        <v>2907</v>
      </c>
    </row>
    <row r="1878" spans="1:24" x14ac:dyDescent="0.15">
      <c r="A1878" s="7" t="str">
        <f t="shared" si="62"/>
        <v>201806</v>
      </c>
      <c r="C1878" s="6" t="str">
        <f>INDEX(工厂基础数据!$A$2:$A$1024,MATCH(X1878,工厂基础数据!$D$2:$D$1024,0))</f>
        <v>02029238</v>
      </c>
      <c r="E1878" s="6" t="str">
        <f>INDEX(工厂基础数据!$B$2:$B$1024,MATCH(X1878,工厂基础数据!$D$2:$D$1024,0))</f>
        <v>山东康为医药有限公司</v>
      </c>
      <c r="F1878" s="6" t="e">
        <f>INDEX(商业2转码!$B$2:$B$10000,MATCH(E1878,商业2转码!$A$2:$A$10000,0))</f>
        <v>#N/A</v>
      </c>
      <c r="G1878" s="6" t="str">
        <f>INDEX(品种2编码!$A$2:$A$1048576,MATCH(W1878,品种2编码!$D$2:$D$1048576,0))</f>
        <v>0020020021ZYLC0004</v>
      </c>
      <c r="H1878" s="6" t="s">
        <v>1868</v>
      </c>
      <c r="I1878" s="6" t="s">
        <v>1869</v>
      </c>
      <c r="J1878" s="6" t="s">
        <v>3036</v>
      </c>
      <c r="L1878" s="6" t="s">
        <v>3438</v>
      </c>
      <c r="M1878" s="6" t="e">
        <f>INDEX(医院2县区2人!$B$2:$B$1048576,MATCH(L1878,医院2县区2人!$A$2:$A$1048576,0))</f>
        <v>#N/A</v>
      </c>
      <c r="N1878" s="6" t="e">
        <f>INDEX(医院2县区2人!$C$2:$C$1048576,MATCH(L1878,医院2县区2人!$A$2:$A$1048576,0))</f>
        <v>#N/A</v>
      </c>
      <c r="P1878" s="7">
        <v>43280</v>
      </c>
      <c r="Q1878" s="6">
        <v>10</v>
      </c>
      <c r="S1878" s="6">
        <v>171101</v>
      </c>
      <c r="T1878" s="6" t="e">
        <f>INDEX(医院2县区2人!$D$2:$D$1048576,MATCH(L1878,医院2县区2人!$A$2:$A$1048576,0))</f>
        <v>#N/A</v>
      </c>
      <c r="W1878" s="6" t="str">
        <f t="shared" si="61"/>
        <v>罗红霉素分散片/大严迪75mg*12片</v>
      </c>
      <c r="X1878" s="6" t="s">
        <v>2907</v>
      </c>
    </row>
    <row r="1879" spans="1:24" x14ac:dyDescent="0.15">
      <c r="A1879" s="7" t="str">
        <f t="shared" si="62"/>
        <v>201806</v>
      </c>
      <c r="C1879" s="6" t="str">
        <f>INDEX(工厂基础数据!$A$2:$A$1024,MATCH(X1879,工厂基础数据!$D$2:$D$1024,0))</f>
        <v>02029238</v>
      </c>
      <c r="E1879" s="6" t="str">
        <f>INDEX(工厂基础数据!$B$2:$B$1024,MATCH(X1879,工厂基础数据!$D$2:$D$1024,0))</f>
        <v>山东康为医药有限公司</v>
      </c>
      <c r="F1879" s="6" t="e">
        <f>INDEX(商业2转码!$B$2:$B$10000,MATCH(E1879,商业2转码!$A$2:$A$10000,0))</f>
        <v>#N/A</v>
      </c>
      <c r="G1879" s="6" t="str">
        <f>INDEX(品种2编码!$A$2:$A$1048576,MATCH(W1879,品种2编码!$D$2:$D$1048576,0))</f>
        <v>0020050090SJZY0001</v>
      </c>
      <c r="H1879" s="6" t="s">
        <v>630</v>
      </c>
      <c r="I1879" s="6" t="s">
        <v>1850</v>
      </c>
      <c r="J1879" s="6" t="s">
        <v>3040</v>
      </c>
      <c r="L1879" s="6" t="s">
        <v>3438</v>
      </c>
      <c r="M1879" s="6" t="e">
        <f>INDEX(医院2县区2人!$B$2:$B$1048576,MATCH(L1879,医院2县区2人!$A$2:$A$1048576,0))</f>
        <v>#N/A</v>
      </c>
      <c r="N1879" s="6" t="e">
        <f>INDEX(医院2县区2人!$C$2:$C$1048576,MATCH(L1879,医院2县区2人!$A$2:$A$1048576,0))</f>
        <v>#N/A</v>
      </c>
      <c r="P1879" s="7">
        <v>43280</v>
      </c>
      <c r="Q1879" s="6">
        <v>90</v>
      </c>
      <c r="S1879" s="6">
        <v>18010723</v>
      </c>
      <c r="T1879" s="6" t="e">
        <f>INDEX(医院2县区2人!$D$2:$D$1048576,MATCH(L1879,医院2县区2人!$A$2:$A$1048576,0))</f>
        <v>#N/A</v>
      </c>
      <c r="W1879" s="6" t="str">
        <f t="shared" si="61"/>
        <v>双黄连口服液10ml*10支</v>
      </c>
      <c r="X1879" s="6" t="s">
        <v>2907</v>
      </c>
    </row>
    <row r="1880" spans="1:24" x14ac:dyDescent="0.15">
      <c r="A1880" s="7" t="str">
        <f t="shared" si="62"/>
        <v>201806</v>
      </c>
      <c r="C1880" s="6" t="str">
        <f>INDEX(工厂基础数据!$A$2:$A$1024,MATCH(X1880,工厂基础数据!$D$2:$D$1024,0))</f>
        <v>02029238</v>
      </c>
      <c r="E1880" s="6" t="str">
        <f>INDEX(工厂基础数据!$B$2:$B$1024,MATCH(X1880,工厂基础数据!$D$2:$D$1024,0))</f>
        <v>山东康为医药有限公司</v>
      </c>
      <c r="F1880" s="6" t="e">
        <f>INDEX(商业2转码!$B$2:$B$10000,MATCH(E1880,商业2转码!$A$2:$A$10000,0))</f>
        <v>#N/A</v>
      </c>
      <c r="G1880" s="6">
        <f>INDEX(品种2编码!$A$2:$A$1048576,MATCH(W1880,品种2编码!$D$2:$D$1048576,0))</f>
        <v>0</v>
      </c>
      <c r="H1880" s="6" t="s">
        <v>3448</v>
      </c>
      <c r="I1880" s="6" t="s">
        <v>411</v>
      </c>
      <c r="J1880" s="6" t="s">
        <v>3040</v>
      </c>
      <c r="L1880" s="6" t="s">
        <v>3438</v>
      </c>
      <c r="M1880" s="6" t="e">
        <f>INDEX(医院2县区2人!$B$2:$B$1048576,MATCH(L1880,医院2县区2人!$A$2:$A$1048576,0))</f>
        <v>#N/A</v>
      </c>
      <c r="N1880" s="6" t="e">
        <f>INDEX(医院2县区2人!$C$2:$C$1048576,MATCH(L1880,医院2县区2人!$A$2:$A$1048576,0))</f>
        <v>#N/A</v>
      </c>
      <c r="P1880" s="7">
        <v>43280</v>
      </c>
      <c r="Q1880" s="6">
        <v>90</v>
      </c>
      <c r="S1880" s="6">
        <v>17122922</v>
      </c>
      <c r="T1880" s="6" t="e">
        <f>INDEX(医院2县区2人!$D$2:$D$1048576,MATCH(L1880,医院2县区2人!$A$2:$A$1048576,0))</f>
        <v>#N/A</v>
      </c>
      <c r="W1880" s="6" t="str">
        <f t="shared" si="61"/>
        <v>葡萄糖酸钙口服溶液（含糖型）10ml*12支</v>
      </c>
      <c r="X1880" s="6" t="s">
        <v>2907</v>
      </c>
    </row>
    <row r="1881" spans="1:24" x14ac:dyDescent="0.15">
      <c r="A1881" s="7" t="str">
        <f t="shared" si="62"/>
        <v>201806</v>
      </c>
      <c r="C1881" s="6" t="str">
        <f>INDEX(工厂基础数据!$A$2:$A$1024,MATCH(X1881,工厂基础数据!$D$2:$D$1024,0))</f>
        <v>02029238</v>
      </c>
      <c r="E1881" s="6" t="str">
        <f>INDEX(工厂基础数据!$B$2:$B$1024,MATCH(X1881,工厂基础数据!$D$2:$D$1024,0))</f>
        <v>山东康为医药有限公司</v>
      </c>
      <c r="F1881" s="6" t="e">
        <f>INDEX(商业2转码!$B$2:$B$10000,MATCH(E1881,商业2转码!$A$2:$A$10000,0))</f>
        <v>#N/A</v>
      </c>
      <c r="G1881" s="6" t="str">
        <f>INDEX(品种2编码!$A$2:$A$1048576,MATCH(W1881,品种2编码!$D$2:$D$1048576,0))</f>
        <v>0020030001SJZY0009</v>
      </c>
      <c r="H1881" s="6" t="s">
        <v>1949</v>
      </c>
      <c r="I1881" s="6" t="s">
        <v>411</v>
      </c>
      <c r="J1881" s="6" t="s">
        <v>3040</v>
      </c>
      <c r="L1881" s="6" t="s">
        <v>3438</v>
      </c>
      <c r="M1881" s="6" t="e">
        <f>INDEX(医院2县区2人!$B$2:$B$1048576,MATCH(L1881,医院2县区2人!$A$2:$A$1048576,0))</f>
        <v>#N/A</v>
      </c>
      <c r="N1881" s="6" t="e">
        <f>INDEX(医院2县区2人!$C$2:$C$1048576,MATCH(L1881,医院2县区2人!$A$2:$A$1048576,0))</f>
        <v>#N/A</v>
      </c>
      <c r="P1881" s="7">
        <v>43280</v>
      </c>
      <c r="Q1881" s="6">
        <v>85</v>
      </c>
      <c r="S1881" s="6">
        <v>18031227</v>
      </c>
      <c r="T1881" s="6" t="e">
        <f>INDEX(医院2县区2人!$D$2:$D$1048576,MATCH(L1881,医院2县区2人!$A$2:$A$1048576,0))</f>
        <v>#N/A</v>
      </c>
      <c r="W1881" s="6" t="str">
        <f t="shared" si="61"/>
        <v>葡萄糖酸锌口服溶液10ml*12支</v>
      </c>
      <c r="X1881" s="6" t="s">
        <v>2907</v>
      </c>
    </row>
    <row r="1882" spans="1:24" x14ac:dyDescent="0.15">
      <c r="A1882" s="7" t="str">
        <f t="shared" si="62"/>
        <v>201806</v>
      </c>
      <c r="C1882" s="6" t="str">
        <f>INDEX(工厂基础数据!$A$2:$A$1024,MATCH(X1882,工厂基础数据!$D$2:$D$1024,0))</f>
        <v>02029238</v>
      </c>
      <c r="E1882" s="6" t="str">
        <f>INDEX(工厂基础数据!$B$2:$B$1024,MATCH(X1882,工厂基础数据!$D$2:$D$1024,0))</f>
        <v>山东康为医药有限公司</v>
      </c>
      <c r="F1882" s="6" t="e">
        <f>INDEX(商业2转码!$B$2:$B$10000,MATCH(E1882,商业2转码!$A$2:$A$10000,0))</f>
        <v>#N/A</v>
      </c>
      <c r="G1882" s="6" t="str">
        <f>INDEX(品种2编码!$A$2:$A$1048576,MATCH(W1882,品种2编码!$D$2:$D$1048576,0))</f>
        <v>0020030170ZYEC0003</v>
      </c>
      <c r="H1882" s="6" t="s">
        <v>1835</v>
      </c>
      <c r="I1882" s="6" t="s">
        <v>1836</v>
      </c>
      <c r="J1882" s="6" t="s">
        <v>3041</v>
      </c>
      <c r="L1882" s="6" t="s">
        <v>3397</v>
      </c>
      <c r="M1882" s="6" t="e">
        <f>INDEX(医院2县区2人!$B$2:$B$1048576,MATCH(L1882,医院2县区2人!$A$2:$A$1048576,0))</f>
        <v>#N/A</v>
      </c>
      <c r="N1882" s="6" t="e">
        <f>INDEX(医院2县区2人!$C$2:$C$1048576,MATCH(L1882,医院2县区2人!$A$2:$A$1048576,0))</f>
        <v>#N/A</v>
      </c>
      <c r="P1882" s="7">
        <v>43280</v>
      </c>
      <c r="Q1882" s="6">
        <v>10</v>
      </c>
      <c r="S1882" s="6">
        <v>170511</v>
      </c>
      <c r="T1882" s="6" t="e">
        <f>INDEX(医院2县区2人!$D$2:$D$1048576,MATCH(L1882,医院2县区2人!$A$2:$A$1048576,0))</f>
        <v>#N/A</v>
      </c>
      <c r="W1882" s="6" t="str">
        <f t="shared" si="61"/>
        <v>蒙脱石散3g*12袋</v>
      </c>
      <c r="X1882" s="6" t="s">
        <v>2907</v>
      </c>
    </row>
    <row r="1883" spans="1:24" x14ac:dyDescent="0.15">
      <c r="A1883" s="7" t="str">
        <f t="shared" si="62"/>
        <v>201806</v>
      </c>
      <c r="C1883" s="6" t="str">
        <f>INDEX(工厂基础数据!$A$2:$A$1024,MATCH(X1883,工厂基础数据!$D$2:$D$1024,0))</f>
        <v>02029238</v>
      </c>
      <c r="E1883" s="6" t="str">
        <f>INDEX(工厂基础数据!$B$2:$B$1024,MATCH(X1883,工厂基础数据!$D$2:$D$1024,0))</f>
        <v>山东康为医药有限公司</v>
      </c>
      <c r="F1883" s="6" t="e">
        <f>INDEX(商业2转码!$B$2:$B$10000,MATCH(E1883,商业2转码!$A$2:$A$10000,0))</f>
        <v>#N/A</v>
      </c>
      <c r="G1883" s="6" t="str">
        <f>INDEX(品种2编码!$A$2:$A$1048576,MATCH(W1883,品种2编码!$D$2:$D$1048576,0))</f>
        <v>0020020020SJMS0008</v>
      </c>
      <c r="H1883" s="6" t="s">
        <v>1904</v>
      </c>
      <c r="I1883" s="6" t="s">
        <v>1873</v>
      </c>
      <c r="J1883" s="6" t="s">
        <v>3046</v>
      </c>
      <c r="L1883" s="6" t="s">
        <v>3439</v>
      </c>
      <c r="M1883" s="6" t="e">
        <f>INDEX(医院2县区2人!$B$2:$B$1048576,MATCH(L1883,医院2县区2人!$A$2:$A$1048576,0))</f>
        <v>#N/A</v>
      </c>
      <c r="N1883" s="6" t="e">
        <f>INDEX(医院2县区2人!$C$2:$C$1048576,MATCH(L1883,医院2县区2人!$A$2:$A$1048576,0))</f>
        <v>#N/A</v>
      </c>
      <c r="P1883" s="7">
        <v>43280</v>
      </c>
      <c r="Q1883" s="6">
        <v>20</v>
      </c>
      <c r="S1883" s="6">
        <v>1801004</v>
      </c>
      <c r="T1883" s="6" t="e">
        <f>INDEX(医院2县区2人!$D$2:$D$1048576,MATCH(L1883,医院2县区2人!$A$2:$A$1048576,0))</f>
        <v>#N/A</v>
      </c>
      <c r="W1883" s="6" t="str">
        <f t="shared" si="61"/>
        <v>拉西地平片/三精司乐平片4mg*15片</v>
      </c>
      <c r="X1883" s="6" t="s">
        <v>2907</v>
      </c>
    </row>
    <row r="1884" spans="1:24" x14ac:dyDescent="0.15">
      <c r="A1884" s="7" t="str">
        <f t="shared" si="62"/>
        <v>201806</v>
      </c>
      <c r="C1884" s="6" t="str">
        <f>INDEX(工厂基础数据!$A$2:$A$1024,MATCH(X1884,工厂基础数据!$D$2:$D$1024,0))</f>
        <v>02029238</v>
      </c>
      <c r="E1884" s="6" t="str">
        <f>INDEX(工厂基础数据!$B$2:$B$1024,MATCH(X1884,工厂基础数据!$D$2:$D$1024,0))</f>
        <v>山东康为医药有限公司</v>
      </c>
      <c r="F1884" s="6" t="e">
        <f>INDEX(商业2转码!$B$2:$B$10000,MATCH(E1884,商业2转码!$A$2:$A$10000,0))</f>
        <v>#N/A</v>
      </c>
      <c r="G1884" s="6">
        <f>INDEX(品种2编码!$A$2:$A$1048576,MATCH(W1884,品种2编码!$D$2:$D$1048576,0))</f>
        <v>0</v>
      </c>
      <c r="H1884" s="6" t="s">
        <v>3450</v>
      </c>
      <c r="I1884" s="6" t="s">
        <v>1871</v>
      </c>
      <c r="J1884" s="6" t="s">
        <v>3045</v>
      </c>
      <c r="L1884" s="6" t="s">
        <v>3342</v>
      </c>
      <c r="M1884" s="6" t="e">
        <f>INDEX(医院2县区2人!$B$2:$B$1048576,MATCH(L1884,医院2县区2人!$A$2:$A$1048576,0))</f>
        <v>#N/A</v>
      </c>
      <c r="N1884" s="6" t="e">
        <f>INDEX(医院2县区2人!$C$2:$C$1048576,MATCH(L1884,医院2县区2人!$A$2:$A$1048576,0))</f>
        <v>#N/A</v>
      </c>
      <c r="P1884" s="7">
        <v>43280</v>
      </c>
      <c r="Q1884" s="6">
        <v>1</v>
      </c>
      <c r="S1884" s="6">
        <v>1712032</v>
      </c>
      <c r="T1884" s="6" t="e">
        <f>INDEX(医院2县区2人!$D$2:$D$1048576,MATCH(L1884,医院2县区2人!$A$2:$A$1048576,0))</f>
        <v>#N/A</v>
      </c>
      <c r="W1884" s="6" t="str">
        <f t="shared" si="61"/>
        <v>复方铝酸铋片/胃必治50片</v>
      </c>
      <c r="X1884" s="6" t="s">
        <v>2907</v>
      </c>
    </row>
    <row r="1885" spans="1:24" x14ac:dyDescent="0.15">
      <c r="A1885" s="7" t="str">
        <f t="shared" si="62"/>
        <v>201806</v>
      </c>
      <c r="C1885" s="6" t="str">
        <f>INDEX(工厂基础数据!$A$2:$A$1024,MATCH(X1885,工厂基础数据!$D$2:$D$1024,0))</f>
        <v>02029238</v>
      </c>
      <c r="E1885" s="6" t="str">
        <f>INDEX(工厂基础数据!$B$2:$B$1024,MATCH(X1885,工厂基础数据!$D$2:$D$1024,0))</f>
        <v>山东康为医药有限公司</v>
      </c>
      <c r="F1885" s="6" t="e">
        <f>INDEX(商业2转码!$B$2:$B$10000,MATCH(E1885,商业2转码!$A$2:$A$10000,0))</f>
        <v>#N/A</v>
      </c>
      <c r="G1885" s="6">
        <f>INDEX(品种2编码!$A$2:$A$1048576,MATCH(W1885,品种2编码!$D$2:$D$1048576,0))</f>
        <v>0</v>
      </c>
      <c r="H1885" s="6" t="s">
        <v>3447</v>
      </c>
      <c r="I1885" s="6" t="s">
        <v>1838</v>
      </c>
      <c r="J1885" s="6" t="s">
        <v>3036</v>
      </c>
      <c r="L1885" s="6" t="s">
        <v>3342</v>
      </c>
      <c r="M1885" s="6" t="e">
        <f>INDEX(医院2县区2人!$B$2:$B$1048576,MATCH(L1885,医院2县区2人!$A$2:$A$1048576,0))</f>
        <v>#N/A</v>
      </c>
      <c r="N1885" s="6" t="e">
        <f>INDEX(医院2县区2人!$C$2:$C$1048576,MATCH(L1885,医院2县区2人!$A$2:$A$1048576,0))</f>
        <v>#N/A</v>
      </c>
      <c r="P1885" s="7">
        <v>43280</v>
      </c>
      <c r="Q1885" s="6">
        <v>3</v>
      </c>
      <c r="S1885" s="6">
        <v>171251</v>
      </c>
      <c r="T1885" s="6" t="e">
        <f>INDEX(医院2县区2人!$D$2:$D$1048576,MATCH(L1885,医院2县区2人!$A$2:$A$1048576,0))</f>
        <v>#N/A</v>
      </c>
      <c r="W1885" s="6" t="str">
        <f t="shared" si="61"/>
        <v>新盖中盖高钙片/成人2.5g*36片</v>
      </c>
      <c r="X1885" s="6" t="s">
        <v>2907</v>
      </c>
    </row>
    <row r="1886" spans="1:24" x14ac:dyDescent="0.15">
      <c r="A1886" s="7" t="str">
        <f t="shared" si="62"/>
        <v>201806</v>
      </c>
      <c r="C1886" s="6" t="str">
        <f>INDEX(工厂基础数据!$A$2:$A$1024,MATCH(X1886,工厂基础数据!$D$2:$D$1024,0))</f>
        <v>02029238</v>
      </c>
      <c r="E1886" s="6" t="str">
        <f>INDEX(工厂基础数据!$B$2:$B$1024,MATCH(X1886,工厂基础数据!$D$2:$D$1024,0))</f>
        <v>山东康为医药有限公司</v>
      </c>
      <c r="F1886" s="6" t="e">
        <f>INDEX(商业2转码!$B$2:$B$10000,MATCH(E1886,商业2转码!$A$2:$A$10000,0))</f>
        <v>#N/A</v>
      </c>
      <c r="G1886" s="6">
        <f>INDEX(品种2编码!$A$2:$A$1048576,MATCH(W1886,品种2编码!$D$2:$D$1048576,0))</f>
        <v>0</v>
      </c>
      <c r="H1886" s="6" t="s">
        <v>3450</v>
      </c>
      <c r="I1886" s="6" t="s">
        <v>1871</v>
      </c>
      <c r="J1886" s="6" t="s">
        <v>3045</v>
      </c>
      <c r="L1886" s="6" t="s">
        <v>3440</v>
      </c>
      <c r="M1886" s="6" t="e">
        <f>INDEX(医院2县区2人!$B$2:$B$1048576,MATCH(L1886,医院2县区2人!$A$2:$A$1048576,0))</f>
        <v>#N/A</v>
      </c>
      <c r="N1886" s="6" t="e">
        <f>INDEX(医院2县区2人!$C$2:$C$1048576,MATCH(L1886,医院2县区2人!$A$2:$A$1048576,0))</f>
        <v>#N/A</v>
      </c>
      <c r="P1886" s="7">
        <v>43280</v>
      </c>
      <c r="Q1886" s="6">
        <v>1</v>
      </c>
      <c r="S1886" s="6">
        <v>1712032</v>
      </c>
      <c r="T1886" s="6" t="e">
        <f>INDEX(医院2县区2人!$D$2:$D$1048576,MATCH(L1886,医院2县区2人!$A$2:$A$1048576,0))</f>
        <v>#N/A</v>
      </c>
      <c r="W1886" s="6" t="str">
        <f t="shared" si="61"/>
        <v>复方铝酸铋片/胃必治50片</v>
      </c>
      <c r="X1886" s="6" t="s">
        <v>2907</v>
      </c>
    </row>
    <row r="1887" spans="1:24" x14ac:dyDescent="0.15">
      <c r="A1887" s="7" t="str">
        <f t="shared" si="62"/>
        <v>201806</v>
      </c>
      <c r="C1887" s="6" t="str">
        <f>INDEX(工厂基础数据!$A$2:$A$1024,MATCH(X1887,工厂基础数据!$D$2:$D$1024,0))</f>
        <v>02029238</v>
      </c>
      <c r="E1887" s="6" t="str">
        <f>INDEX(工厂基础数据!$B$2:$B$1024,MATCH(X1887,工厂基础数据!$D$2:$D$1024,0))</f>
        <v>山东康为医药有限公司</v>
      </c>
      <c r="F1887" s="6" t="e">
        <f>INDEX(商业2转码!$B$2:$B$10000,MATCH(E1887,商业2转码!$A$2:$A$10000,0))</f>
        <v>#N/A</v>
      </c>
      <c r="G1887" s="6">
        <f>INDEX(品种2编码!$A$2:$A$1048576,MATCH(W1887,品种2编码!$D$2:$D$1048576,0))</f>
        <v>0</v>
      </c>
      <c r="H1887" s="6" t="s">
        <v>3447</v>
      </c>
      <c r="I1887" s="6" t="s">
        <v>1838</v>
      </c>
      <c r="J1887" s="6" t="s">
        <v>3036</v>
      </c>
      <c r="L1887" s="6" t="s">
        <v>3440</v>
      </c>
      <c r="M1887" s="6" t="e">
        <f>INDEX(医院2县区2人!$B$2:$B$1048576,MATCH(L1887,医院2县区2人!$A$2:$A$1048576,0))</f>
        <v>#N/A</v>
      </c>
      <c r="N1887" s="6" t="e">
        <f>INDEX(医院2县区2人!$C$2:$C$1048576,MATCH(L1887,医院2县区2人!$A$2:$A$1048576,0))</f>
        <v>#N/A</v>
      </c>
      <c r="P1887" s="7">
        <v>43280</v>
      </c>
      <c r="Q1887" s="6">
        <v>1</v>
      </c>
      <c r="S1887" s="6">
        <v>171251</v>
      </c>
      <c r="T1887" s="6" t="e">
        <f>INDEX(医院2县区2人!$D$2:$D$1048576,MATCH(L1887,医院2县区2人!$A$2:$A$1048576,0))</f>
        <v>#N/A</v>
      </c>
      <c r="W1887" s="6" t="str">
        <f t="shared" si="61"/>
        <v>新盖中盖高钙片/成人2.5g*36片</v>
      </c>
      <c r="X1887" s="6" t="s">
        <v>2907</v>
      </c>
    </row>
    <row r="1888" spans="1:24" x14ac:dyDescent="0.15">
      <c r="A1888" s="7" t="str">
        <f t="shared" si="62"/>
        <v>201806</v>
      </c>
      <c r="C1888" s="6" t="str">
        <f>INDEX(工厂基础数据!$A$2:$A$1024,MATCH(X1888,工厂基础数据!$D$2:$D$1024,0))</f>
        <v>02029238</v>
      </c>
      <c r="E1888" s="6" t="str">
        <f>INDEX(工厂基础数据!$B$2:$B$1024,MATCH(X1888,工厂基础数据!$D$2:$D$1024,0))</f>
        <v>山东康为医药有限公司</v>
      </c>
      <c r="F1888" s="6" t="e">
        <f>INDEX(商业2转码!$B$2:$B$10000,MATCH(E1888,商业2转码!$A$2:$A$10000,0))</f>
        <v>#N/A</v>
      </c>
      <c r="G1888" s="6">
        <f>INDEX(品种2编码!$A$2:$A$1048576,MATCH(W1888,品种2编码!$D$2:$D$1048576,0))</f>
        <v>0</v>
      </c>
      <c r="H1888" s="6" t="s">
        <v>3450</v>
      </c>
      <c r="I1888" s="6" t="s">
        <v>1871</v>
      </c>
      <c r="J1888" s="6" t="s">
        <v>3045</v>
      </c>
      <c r="L1888" s="6" t="s">
        <v>3441</v>
      </c>
      <c r="M1888" s="6" t="e">
        <f>INDEX(医院2县区2人!$B$2:$B$1048576,MATCH(L1888,医院2县区2人!$A$2:$A$1048576,0))</f>
        <v>#N/A</v>
      </c>
      <c r="N1888" s="6" t="e">
        <f>INDEX(医院2县区2人!$C$2:$C$1048576,MATCH(L1888,医院2县区2人!$A$2:$A$1048576,0))</f>
        <v>#N/A</v>
      </c>
      <c r="P1888" s="7">
        <v>43280</v>
      </c>
      <c r="Q1888" s="6">
        <v>1</v>
      </c>
      <c r="S1888" s="6">
        <v>1712032</v>
      </c>
      <c r="T1888" s="6" t="e">
        <f>INDEX(医院2县区2人!$D$2:$D$1048576,MATCH(L1888,医院2县区2人!$A$2:$A$1048576,0))</f>
        <v>#N/A</v>
      </c>
      <c r="W1888" s="6" t="str">
        <f t="shared" si="61"/>
        <v>复方铝酸铋片/胃必治50片</v>
      </c>
      <c r="X1888" s="6" t="s">
        <v>2907</v>
      </c>
    </row>
    <row r="1889" spans="1:24" x14ac:dyDescent="0.15">
      <c r="A1889" s="7" t="str">
        <f t="shared" si="62"/>
        <v>201806</v>
      </c>
      <c r="C1889" s="6" t="str">
        <f>INDEX(工厂基础数据!$A$2:$A$1024,MATCH(X1889,工厂基础数据!$D$2:$D$1024,0))</f>
        <v>02029238</v>
      </c>
      <c r="E1889" s="6" t="str">
        <f>INDEX(工厂基础数据!$B$2:$B$1024,MATCH(X1889,工厂基础数据!$D$2:$D$1024,0))</f>
        <v>山东康为医药有限公司</v>
      </c>
      <c r="F1889" s="6" t="e">
        <f>INDEX(商业2转码!$B$2:$B$10000,MATCH(E1889,商业2转码!$A$2:$A$10000,0))</f>
        <v>#N/A</v>
      </c>
      <c r="G1889" s="6">
        <f>INDEX(品种2编码!$A$2:$A$1048576,MATCH(W1889,品种2编码!$D$2:$D$1048576,0))</f>
        <v>0</v>
      </c>
      <c r="H1889" s="6" t="s">
        <v>3448</v>
      </c>
      <c r="I1889" s="6" t="s">
        <v>411</v>
      </c>
      <c r="J1889" s="6" t="s">
        <v>3040</v>
      </c>
      <c r="L1889" s="6" t="s">
        <v>3442</v>
      </c>
      <c r="M1889" s="6" t="e">
        <f>INDEX(医院2县区2人!$B$2:$B$1048576,MATCH(L1889,医院2县区2人!$A$2:$A$1048576,0))</f>
        <v>#N/A</v>
      </c>
      <c r="N1889" s="6" t="e">
        <f>INDEX(医院2县区2人!$C$2:$C$1048576,MATCH(L1889,医院2县区2人!$A$2:$A$1048576,0))</f>
        <v>#N/A</v>
      </c>
      <c r="P1889" s="7">
        <v>43280</v>
      </c>
      <c r="Q1889" s="6">
        <v>10</v>
      </c>
      <c r="S1889" s="6">
        <v>17122922</v>
      </c>
      <c r="T1889" s="6" t="e">
        <f>INDEX(医院2县区2人!$D$2:$D$1048576,MATCH(L1889,医院2县区2人!$A$2:$A$1048576,0))</f>
        <v>#N/A</v>
      </c>
      <c r="W1889" s="6" t="str">
        <f t="shared" si="61"/>
        <v>葡萄糖酸钙口服溶液（含糖型）10ml*12支</v>
      </c>
      <c r="X1889" s="6" t="s">
        <v>2907</v>
      </c>
    </row>
    <row r="1890" spans="1:24" x14ac:dyDescent="0.15">
      <c r="A1890" s="7" t="str">
        <f t="shared" si="62"/>
        <v>201806</v>
      </c>
      <c r="C1890" s="6" t="str">
        <f>INDEX(工厂基础数据!$A$2:$A$1024,MATCH(X1890,工厂基础数据!$D$2:$D$1024,0))</f>
        <v>02029238</v>
      </c>
      <c r="E1890" s="6" t="str">
        <f>INDEX(工厂基础数据!$B$2:$B$1024,MATCH(X1890,工厂基础数据!$D$2:$D$1024,0))</f>
        <v>山东康为医药有限公司</v>
      </c>
      <c r="F1890" s="6" t="e">
        <f>INDEX(商业2转码!$B$2:$B$10000,MATCH(E1890,商业2转码!$A$2:$A$10000,0))</f>
        <v>#N/A</v>
      </c>
      <c r="G1890" s="6" t="str">
        <f>INDEX(品种2编码!$A$2:$A$1048576,MATCH(W1890,品种2编码!$D$2:$D$1048576,0))</f>
        <v>0020020020SJMS0008</v>
      </c>
      <c r="H1890" s="6" t="s">
        <v>1904</v>
      </c>
      <c r="I1890" s="6" t="s">
        <v>1873</v>
      </c>
      <c r="J1890" s="6" t="s">
        <v>3046</v>
      </c>
      <c r="L1890" s="6" t="s">
        <v>3398</v>
      </c>
      <c r="M1890" s="6" t="e">
        <f>INDEX(医院2县区2人!$B$2:$B$1048576,MATCH(L1890,医院2县区2人!$A$2:$A$1048576,0))</f>
        <v>#N/A</v>
      </c>
      <c r="N1890" s="6" t="e">
        <f>INDEX(医院2县区2人!$C$2:$C$1048576,MATCH(L1890,医院2县区2人!$A$2:$A$1048576,0))</f>
        <v>#N/A</v>
      </c>
      <c r="P1890" s="7">
        <v>43280</v>
      </c>
      <c r="Q1890" s="6">
        <v>50</v>
      </c>
      <c r="S1890" s="6">
        <v>1801004</v>
      </c>
      <c r="T1890" s="6" t="e">
        <f>INDEX(医院2县区2人!$D$2:$D$1048576,MATCH(L1890,医院2县区2人!$A$2:$A$1048576,0))</f>
        <v>#N/A</v>
      </c>
      <c r="W1890" s="6" t="str">
        <f t="shared" si="61"/>
        <v>拉西地平片/三精司乐平片4mg*15片</v>
      </c>
      <c r="X1890" s="6" t="s">
        <v>2907</v>
      </c>
    </row>
    <row r="1891" spans="1:24" x14ac:dyDescent="0.15">
      <c r="A1891" s="7" t="str">
        <f t="shared" si="62"/>
        <v>201806</v>
      </c>
      <c r="C1891" s="6" t="str">
        <f>INDEX(工厂基础数据!$A$2:$A$1024,MATCH(X1891,工厂基础数据!$D$2:$D$1024,0))</f>
        <v>02029238</v>
      </c>
      <c r="E1891" s="6" t="str">
        <f>INDEX(工厂基础数据!$B$2:$B$1024,MATCH(X1891,工厂基础数据!$D$2:$D$1024,0))</f>
        <v>山东康为医药有限公司</v>
      </c>
      <c r="F1891" s="6" t="e">
        <f>INDEX(商业2转码!$B$2:$B$10000,MATCH(E1891,商业2转码!$A$2:$A$10000,0))</f>
        <v>#N/A</v>
      </c>
      <c r="G1891" s="6" t="str">
        <f>INDEX(品种2编码!$A$2:$A$1048576,MATCH(W1891,品种2编码!$D$2:$D$1048576,0))</f>
        <v>0020030001SJZY0009</v>
      </c>
      <c r="H1891" s="6" t="s">
        <v>1949</v>
      </c>
      <c r="I1891" s="6" t="s">
        <v>411</v>
      </c>
      <c r="J1891" s="6" t="s">
        <v>3040</v>
      </c>
      <c r="L1891" s="6" t="s">
        <v>3382</v>
      </c>
      <c r="M1891" s="6" t="e">
        <f>INDEX(医院2县区2人!$B$2:$B$1048576,MATCH(L1891,医院2县区2人!$A$2:$A$1048576,0))</f>
        <v>#N/A</v>
      </c>
      <c r="N1891" s="6" t="e">
        <f>INDEX(医院2县区2人!$C$2:$C$1048576,MATCH(L1891,医院2县区2人!$A$2:$A$1048576,0))</f>
        <v>#N/A</v>
      </c>
      <c r="P1891" s="7">
        <v>43280</v>
      </c>
      <c r="Q1891" s="6">
        <v>60</v>
      </c>
      <c r="S1891" s="6">
        <v>18031227</v>
      </c>
      <c r="T1891" s="6" t="e">
        <f>INDEX(医院2县区2人!$D$2:$D$1048576,MATCH(L1891,医院2县区2人!$A$2:$A$1048576,0))</f>
        <v>#N/A</v>
      </c>
      <c r="W1891" s="6" t="str">
        <f t="shared" si="61"/>
        <v>葡萄糖酸锌口服溶液10ml*12支</v>
      </c>
      <c r="X1891" s="6" t="s">
        <v>2907</v>
      </c>
    </row>
    <row r="1892" spans="1:24" x14ac:dyDescent="0.15">
      <c r="A1892" s="7" t="str">
        <f t="shared" si="62"/>
        <v>201806</v>
      </c>
      <c r="C1892" s="6" t="str">
        <f>INDEX(工厂基础数据!$A$2:$A$1024,MATCH(X1892,工厂基础数据!$D$2:$D$1024,0))</f>
        <v>02029238</v>
      </c>
      <c r="E1892" s="6" t="str">
        <f>INDEX(工厂基础数据!$B$2:$B$1024,MATCH(X1892,工厂基础数据!$D$2:$D$1024,0))</f>
        <v>山东康为医药有限公司</v>
      </c>
      <c r="F1892" s="6" t="e">
        <f>INDEX(商业2转码!$B$2:$B$10000,MATCH(E1892,商业2转码!$A$2:$A$10000,0))</f>
        <v>#N/A</v>
      </c>
      <c r="G1892" s="6" t="str">
        <f>INDEX(品种2编码!$A$2:$A$1048576,MATCH(W1892,品种2编码!$D$2:$D$1048576,0))</f>
        <v>0020030001SJZY0009</v>
      </c>
      <c r="H1892" s="6" t="s">
        <v>1949</v>
      </c>
      <c r="I1892" s="6" t="s">
        <v>411</v>
      </c>
      <c r="J1892" s="6" t="s">
        <v>3040</v>
      </c>
      <c r="L1892" s="6" t="s">
        <v>3380</v>
      </c>
      <c r="M1892" s="6" t="e">
        <f>INDEX(医院2县区2人!$B$2:$B$1048576,MATCH(L1892,医院2县区2人!$A$2:$A$1048576,0))</f>
        <v>#N/A</v>
      </c>
      <c r="N1892" s="6" t="e">
        <f>INDEX(医院2县区2人!$C$2:$C$1048576,MATCH(L1892,医院2县区2人!$A$2:$A$1048576,0))</f>
        <v>#N/A</v>
      </c>
      <c r="P1892" s="7">
        <v>43280</v>
      </c>
      <c r="Q1892" s="6">
        <v>20</v>
      </c>
      <c r="S1892" s="6">
        <v>18031227</v>
      </c>
      <c r="T1892" s="6" t="e">
        <f>INDEX(医院2县区2人!$D$2:$D$1048576,MATCH(L1892,医院2县区2人!$A$2:$A$1048576,0))</f>
        <v>#N/A</v>
      </c>
      <c r="W1892" s="6" t="str">
        <f t="shared" si="61"/>
        <v>葡萄糖酸锌口服溶液10ml*12支</v>
      </c>
      <c r="X1892" s="6" t="s">
        <v>2907</v>
      </c>
    </row>
    <row r="1893" spans="1:24" x14ac:dyDescent="0.15">
      <c r="A1893" s="7" t="str">
        <f t="shared" si="62"/>
        <v>201806</v>
      </c>
      <c r="C1893" s="6" t="str">
        <f>INDEX(工厂基础数据!$A$2:$A$1024,MATCH(X1893,工厂基础数据!$D$2:$D$1024,0))</f>
        <v>02029238</v>
      </c>
      <c r="E1893" s="6" t="str">
        <f>INDEX(工厂基础数据!$B$2:$B$1024,MATCH(X1893,工厂基础数据!$D$2:$D$1024,0))</f>
        <v>山东康为医药有限公司</v>
      </c>
      <c r="F1893" s="6" t="e">
        <f>INDEX(商业2转码!$B$2:$B$10000,MATCH(E1893,商业2转码!$A$2:$A$10000,0))</f>
        <v>#N/A</v>
      </c>
      <c r="G1893" s="6" t="str">
        <f>INDEX(品种2编码!$A$2:$A$1048576,MATCH(W1893,品种2编码!$D$2:$D$1048576,0))</f>
        <v>0020020021ZYLC0004</v>
      </c>
      <c r="H1893" s="6" t="s">
        <v>1868</v>
      </c>
      <c r="I1893" s="6" t="s">
        <v>1869</v>
      </c>
      <c r="J1893" s="6" t="s">
        <v>3036</v>
      </c>
      <c r="L1893" s="6" t="s">
        <v>3443</v>
      </c>
      <c r="M1893" s="6" t="e">
        <f>INDEX(医院2县区2人!$B$2:$B$1048576,MATCH(L1893,医院2县区2人!$A$2:$A$1048576,0))</f>
        <v>#N/A</v>
      </c>
      <c r="N1893" s="6" t="e">
        <f>INDEX(医院2县区2人!$C$2:$C$1048576,MATCH(L1893,医院2县区2人!$A$2:$A$1048576,0))</f>
        <v>#N/A</v>
      </c>
      <c r="P1893" s="7">
        <v>43280</v>
      </c>
      <c r="Q1893" s="6">
        <v>10</v>
      </c>
      <c r="S1893" s="6">
        <v>171101</v>
      </c>
      <c r="T1893" s="6" t="e">
        <f>INDEX(医院2县区2人!$D$2:$D$1048576,MATCH(L1893,医院2县区2人!$A$2:$A$1048576,0))</f>
        <v>#N/A</v>
      </c>
      <c r="W1893" s="6" t="str">
        <f t="shared" si="61"/>
        <v>罗红霉素分散片/大严迪75mg*12片</v>
      </c>
      <c r="X1893" s="6" t="s">
        <v>2907</v>
      </c>
    </row>
    <row r="1894" spans="1:24" x14ac:dyDescent="0.15">
      <c r="A1894" s="7" t="str">
        <f t="shared" si="62"/>
        <v>201806</v>
      </c>
      <c r="C1894" s="6" t="str">
        <f>INDEX(工厂基础数据!$A$2:$A$1024,MATCH(X1894,工厂基础数据!$D$2:$D$1024,0))</f>
        <v>02029238</v>
      </c>
      <c r="E1894" s="6" t="str">
        <f>INDEX(工厂基础数据!$B$2:$B$1024,MATCH(X1894,工厂基础数据!$D$2:$D$1024,0))</f>
        <v>山东康为医药有限公司</v>
      </c>
      <c r="F1894" s="6" t="e">
        <f>INDEX(商业2转码!$B$2:$B$10000,MATCH(E1894,商业2转码!$A$2:$A$10000,0))</f>
        <v>#N/A</v>
      </c>
      <c r="G1894" s="6">
        <f>INDEX(品种2编码!$A$2:$A$1048576,MATCH(W1894,品种2编码!$D$2:$D$1048576,0))</f>
        <v>0</v>
      </c>
      <c r="H1894" s="6" t="s">
        <v>3447</v>
      </c>
      <c r="I1894" s="6" t="s">
        <v>1838</v>
      </c>
      <c r="J1894" s="6" t="s">
        <v>3036</v>
      </c>
      <c r="L1894" s="6" t="s">
        <v>3443</v>
      </c>
      <c r="M1894" s="6" t="e">
        <f>INDEX(医院2县区2人!$B$2:$B$1048576,MATCH(L1894,医院2县区2人!$A$2:$A$1048576,0))</f>
        <v>#N/A</v>
      </c>
      <c r="N1894" s="6" t="e">
        <f>INDEX(医院2县区2人!$C$2:$C$1048576,MATCH(L1894,医院2县区2人!$A$2:$A$1048576,0))</f>
        <v>#N/A</v>
      </c>
      <c r="P1894" s="7">
        <v>43280</v>
      </c>
      <c r="Q1894" s="6">
        <v>5</v>
      </c>
      <c r="S1894" s="6">
        <v>171251</v>
      </c>
      <c r="T1894" s="6" t="e">
        <f>INDEX(医院2县区2人!$D$2:$D$1048576,MATCH(L1894,医院2县区2人!$A$2:$A$1048576,0))</f>
        <v>#N/A</v>
      </c>
      <c r="W1894" s="6" t="str">
        <f t="shared" si="61"/>
        <v>新盖中盖高钙片/成人2.5g*36片</v>
      </c>
      <c r="X1894" s="6" t="s">
        <v>2907</v>
      </c>
    </row>
    <row r="1895" spans="1:24" x14ac:dyDescent="0.15">
      <c r="A1895" s="7" t="str">
        <f t="shared" si="62"/>
        <v>201806</v>
      </c>
      <c r="C1895" s="6" t="str">
        <f>INDEX(工厂基础数据!$A$2:$A$1024,MATCH(X1895,工厂基础数据!$D$2:$D$1024,0))</f>
        <v>02029238</v>
      </c>
      <c r="E1895" s="6" t="str">
        <f>INDEX(工厂基础数据!$B$2:$B$1024,MATCH(X1895,工厂基础数据!$D$2:$D$1024,0))</f>
        <v>山东康为医药有限公司</v>
      </c>
      <c r="F1895" s="6" t="e">
        <f>INDEX(商业2转码!$B$2:$B$10000,MATCH(E1895,商业2转码!$A$2:$A$10000,0))</f>
        <v>#N/A</v>
      </c>
      <c r="G1895" s="6">
        <f>INDEX(品种2编码!$A$2:$A$1048576,MATCH(W1895,品种2编码!$D$2:$D$1048576,0))</f>
        <v>0</v>
      </c>
      <c r="H1895" s="6" t="s">
        <v>3448</v>
      </c>
      <c r="I1895" s="6" t="s">
        <v>411</v>
      </c>
      <c r="J1895" s="6" t="s">
        <v>3040</v>
      </c>
      <c r="L1895" s="6" t="s">
        <v>3443</v>
      </c>
      <c r="M1895" s="6" t="e">
        <f>INDEX(医院2县区2人!$B$2:$B$1048576,MATCH(L1895,医院2县区2人!$A$2:$A$1048576,0))</f>
        <v>#N/A</v>
      </c>
      <c r="N1895" s="6" t="e">
        <f>INDEX(医院2县区2人!$C$2:$C$1048576,MATCH(L1895,医院2县区2人!$A$2:$A$1048576,0))</f>
        <v>#N/A</v>
      </c>
      <c r="P1895" s="7">
        <v>43280</v>
      </c>
      <c r="Q1895" s="6">
        <v>10</v>
      </c>
      <c r="S1895" s="6">
        <v>17122922</v>
      </c>
      <c r="T1895" s="6" t="e">
        <f>INDEX(医院2县区2人!$D$2:$D$1048576,MATCH(L1895,医院2县区2人!$A$2:$A$1048576,0))</f>
        <v>#N/A</v>
      </c>
      <c r="W1895" s="6" t="str">
        <f t="shared" si="61"/>
        <v>葡萄糖酸钙口服溶液（含糖型）10ml*12支</v>
      </c>
      <c r="X1895" s="6" t="s">
        <v>2907</v>
      </c>
    </row>
    <row r="1896" spans="1:24" x14ac:dyDescent="0.15">
      <c r="A1896" s="7" t="str">
        <f t="shared" si="62"/>
        <v>201806</v>
      </c>
      <c r="C1896" s="6" t="str">
        <f>INDEX(工厂基础数据!$A$2:$A$1024,MATCH(X1896,工厂基础数据!$D$2:$D$1024,0))</f>
        <v>02029238</v>
      </c>
      <c r="E1896" s="6" t="str">
        <f>INDEX(工厂基础数据!$B$2:$B$1024,MATCH(X1896,工厂基础数据!$D$2:$D$1024,0))</f>
        <v>山东康为医药有限公司</v>
      </c>
      <c r="F1896" s="6" t="e">
        <f>INDEX(商业2转码!$B$2:$B$10000,MATCH(E1896,商业2转码!$A$2:$A$10000,0))</f>
        <v>#N/A</v>
      </c>
      <c r="G1896" s="6" t="str">
        <f>INDEX(品种2编码!$A$2:$A$1048576,MATCH(W1896,品种2编码!$D$2:$D$1048576,0))</f>
        <v>0020070000ZYLC0003</v>
      </c>
      <c r="H1896" s="6" t="s">
        <v>722</v>
      </c>
      <c r="I1896" s="6" t="s">
        <v>1993</v>
      </c>
      <c r="J1896" s="6" t="s">
        <v>3036</v>
      </c>
      <c r="L1896" s="6" t="s">
        <v>3443</v>
      </c>
      <c r="M1896" s="6" t="e">
        <f>INDEX(医院2县区2人!$B$2:$B$1048576,MATCH(L1896,医院2县区2人!$A$2:$A$1048576,0))</f>
        <v>#N/A</v>
      </c>
      <c r="N1896" s="6" t="e">
        <f>INDEX(医院2县区2人!$C$2:$C$1048576,MATCH(L1896,医院2县区2人!$A$2:$A$1048576,0))</f>
        <v>#N/A</v>
      </c>
      <c r="P1896" s="7">
        <v>43280</v>
      </c>
      <c r="Q1896" s="6">
        <v>5</v>
      </c>
      <c r="S1896" s="6">
        <v>180106</v>
      </c>
      <c r="T1896" s="6" t="e">
        <f>INDEX(医院2县区2人!$D$2:$D$1048576,MATCH(L1896,医院2县区2人!$A$2:$A$1048576,0))</f>
        <v>#N/A</v>
      </c>
      <c r="W1896" s="6" t="str">
        <f t="shared" si="61"/>
        <v>新盖中盖牌儿童钙片1.75g*36片</v>
      </c>
      <c r="X1896" s="6" t="s">
        <v>2907</v>
      </c>
    </row>
    <row r="1897" spans="1:24" x14ac:dyDescent="0.15">
      <c r="A1897" s="7" t="str">
        <f t="shared" si="62"/>
        <v>201806</v>
      </c>
      <c r="C1897" s="6" t="str">
        <f>INDEX(工厂基础数据!$A$2:$A$1024,MATCH(X1897,工厂基础数据!$D$2:$D$1024,0))</f>
        <v>02029238</v>
      </c>
      <c r="E1897" s="6" t="str">
        <f>INDEX(工厂基础数据!$B$2:$B$1024,MATCH(X1897,工厂基础数据!$D$2:$D$1024,0))</f>
        <v>山东康为医药有限公司</v>
      </c>
      <c r="F1897" s="6" t="e">
        <f>INDEX(商业2转码!$B$2:$B$10000,MATCH(E1897,商业2转码!$A$2:$A$10000,0))</f>
        <v>#N/A</v>
      </c>
      <c r="G1897" s="6" t="str">
        <f>INDEX(品种2编码!$A$2:$A$1048576,MATCH(W1897,品种2编码!$D$2:$D$1048576,0))</f>
        <v>0020030001SJZY0009</v>
      </c>
      <c r="H1897" s="6" t="s">
        <v>1949</v>
      </c>
      <c r="I1897" s="6" t="s">
        <v>411</v>
      </c>
      <c r="J1897" s="6" t="s">
        <v>3040</v>
      </c>
      <c r="L1897" s="6" t="s">
        <v>3443</v>
      </c>
      <c r="M1897" s="6" t="e">
        <f>INDEX(医院2县区2人!$B$2:$B$1048576,MATCH(L1897,医院2县区2人!$A$2:$A$1048576,0))</f>
        <v>#N/A</v>
      </c>
      <c r="N1897" s="6" t="e">
        <f>INDEX(医院2县区2人!$C$2:$C$1048576,MATCH(L1897,医院2县区2人!$A$2:$A$1048576,0))</f>
        <v>#N/A</v>
      </c>
      <c r="P1897" s="7">
        <v>43280</v>
      </c>
      <c r="Q1897" s="6">
        <v>10</v>
      </c>
      <c r="S1897" s="6">
        <v>18031227</v>
      </c>
      <c r="T1897" s="6" t="e">
        <f>INDEX(医院2县区2人!$D$2:$D$1048576,MATCH(L1897,医院2县区2人!$A$2:$A$1048576,0))</f>
        <v>#N/A</v>
      </c>
      <c r="W1897" s="6" t="str">
        <f t="shared" si="61"/>
        <v>葡萄糖酸锌口服溶液10ml*12支</v>
      </c>
      <c r="X1897" s="6" t="s">
        <v>2907</v>
      </c>
    </row>
    <row r="1898" spans="1:24" x14ac:dyDescent="0.15">
      <c r="A1898" s="7" t="str">
        <f t="shared" si="62"/>
        <v>201806</v>
      </c>
      <c r="C1898" s="6" t="str">
        <f>INDEX(工厂基础数据!$A$2:$A$1024,MATCH(X1898,工厂基础数据!$D$2:$D$1024,0))</f>
        <v>02029238</v>
      </c>
      <c r="E1898" s="6" t="str">
        <f>INDEX(工厂基础数据!$B$2:$B$1024,MATCH(X1898,工厂基础数据!$D$2:$D$1024,0))</f>
        <v>山东康为医药有限公司</v>
      </c>
      <c r="F1898" s="6" t="e">
        <f>INDEX(商业2转码!$B$2:$B$10000,MATCH(E1898,商业2转码!$A$2:$A$10000,0))</f>
        <v>#N/A</v>
      </c>
      <c r="G1898" s="6" t="str">
        <f>INDEX(品种2编码!$A$2:$A$1048576,MATCH(W1898,品种2编码!$D$2:$D$1048576,0))</f>
        <v>0020020021ZYLC0004</v>
      </c>
      <c r="H1898" s="6" t="s">
        <v>1868</v>
      </c>
      <c r="I1898" s="6" t="s">
        <v>1869</v>
      </c>
      <c r="J1898" s="6" t="s">
        <v>3036</v>
      </c>
      <c r="L1898" s="6" t="s">
        <v>3444</v>
      </c>
      <c r="M1898" s="6" t="e">
        <f>INDEX(医院2县区2人!$B$2:$B$1048576,MATCH(L1898,医院2县区2人!$A$2:$A$1048576,0))</f>
        <v>#N/A</v>
      </c>
      <c r="N1898" s="6" t="e">
        <f>INDEX(医院2县区2人!$C$2:$C$1048576,MATCH(L1898,医院2县区2人!$A$2:$A$1048576,0))</f>
        <v>#N/A</v>
      </c>
      <c r="P1898" s="7">
        <v>43280</v>
      </c>
      <c r="Q1898" s="6">
        <v>20</v>
      </c>
      <c r="S1898" s="6">
        <v>171101</v>
      </c>
      <c r="T1898" s="6" t="e">
        <f>INDEX(医院2县区2人!$D$2:$D$1048576,MATCH(L1898,医院2县区2人!$A$2:$A$1048576,0))</f>
        <v>#N/A</v>
      </c>
      <c r="W1898" s="6" t="str">
        <f t="shared" si="61"/>
        <v>罗红霉素分散片/大严迪75mg*12片</v>
      </c>
      <c r="X1898" s="6" t="s">
        <v>2907</v>
      </c>
    </row>
    <row r="1899" spans="1:24" x14ac:dyDescent="0.15">
      <c r="A1899" s="7" t="str">
        <f t="shared" si="62"/>
        <v>201806</v>
      </c>
      <c r="C1899" s="6" t="str">
        <f>INDEX(工厂基础数据!$A$2:$A$1024,MATCH(X1899,工厂基础数据!$D$2:$D$1024,0))</f>
        <v>02029238</v>
      </c>
      <c r="E1899" s="6" t="str">
        <f>INDEX(工厂基础数据!$B$2:$B$1024,MATCH(X1899,工厂基础数据!$D$2:$D$1024,0))</f>
        <v>山东康为医药有限公司</v>
      </c>
      <c r="F1899" s="6" t="e">
        <f>INDEX(商业2转码!$B$2:$B$10000,MATCH(E1899,商业2转码!$A$2:$A$10000,0))</f>
        <v>#N/A</v>
      </c>
      <c r="G1899" s="6" t="str">
        <f>INDEX(品种2编码!$A$2:$A$1048576,MATCH(W1899,品种2编码!$D$2:$D$1048576,0))</f>
        <v>0020030040ZYLC0001</v>
      </c>
      <c r="H1899" s="6" t="s">
        <v>1852</v>
      </c>
      <c r="I1899" s="6" t="s">
        <v>1853</v>
      </c>
      <c r="J1899" s="6" t="s">
        <v>3036</v>
      </c>
      <c r="L1899" s="6" t="s">
        <v>3444</v>
      </c>
      <c r="M1899" s="6" t="e">
        <f>INDEX(医院2县区2人!$B$2:$B$1048576,MATCH(L1899,医院2县区2人!$A$2:$A$1048576,0))</f>
        <v>#N/A</v>
      </c>
      <c r="N1899" s="6" t="e">
        <f>INDEX(医院2县区2人!$C$2:$C$1048576,MATCH(L1899,医院2县区2人!$A$2:$A$1048576,0))</f>
        <v>#N/A</v>
      </c>
      <c r="P1899" s="7">
        <v>43280</v>
      </c>
      <c r="Q1899" s="6">
        <v>10</v>
      </c>
      <c r="S1899" s="6">
        <v>171116</v>
      </c>
      <c r="T1899" s="6" t="e">
        <f>INDEX(医院2县区2人!$D$2:$D$1048576,MATCH(L1899,医院2县区2人!$A$2:$A$1048576,0))</f>
        <v>#N/A</v>
      </c>
      <c r="W1899" s="6" t="str">
        <f t="shared" si="61"/>
        <v>小儿氨酚黄那敏颗粒/护彤2g*12袋</v>
      </c>
      <c r="X1899" s="6" t="s">
        <v>2907</v>
      </c>
    </row>
    <row r="1900" spans="1:24" x14ac:dyDescent="0.15">
      <c r="A1900" s="7" t="str">
        <f t="shared" si="62"/>
        <v>201806</v>
      </c>
      <c r="C1900" s="6" t="str">
        <f>INDEX(工厂基础数据!$A$2:$A$1024,MATCH(X1900,工厂基础数据!$D$2:$D$1024,0))</f>
        <v>02029238</v>
      </c>
      <c r="E1900" s="6" t="str">
        <f>INDEX(工厂基础数据!$B$2:$B$1024,MATCH(X1900,工厂基础数据!$D$2:$D$1024,0))</f>
        <v>山东康为医药有限公司</v>
      </c>
      <c r="F1900" s="6" t="e">
        <f>INDEX(商业2转码!$B$2:$B$10000,MATCH(E1900,商业2转码!$A$2:$A$10000,0))</f>
        <v>#N/A</v>
      </c>
      <c r="G1900" s="6">
        <f>INDEX(品种2编码!$A$2:$A$1048576,MATCH(W1900,品种2编码!$D$2:$D$1048576,0))</f>
        <v>0</v>
      </c>
      <c r="H1900" s="6" t="s">
        <v>3447</v>
      </c>
      <c r="I1900" s="6" t="s">
        <v>1838</v>
      </c>
      <c r="J1900" s="6" t="s">
        <v>3036</v>
      </c>
      <c r="L1900" s="6" t="s">
        <v>3444</v>
      </c>
      <c r="M1900" s="6" t="e">
        <f>INDEX(医院2县区2人!$B$2:$B$1048576,MATCH(L1900,医院2县区2人!$A$2:$A$1048576,0))</f>
        <v>#N/A</v>
      </c>
      <c r="N1900" s="6" t="e">
        <f>INDEX(医院2县区2人!$C$2:$C$1048576,MATCH(L1900,医院2县区2人!$A$2:$A$1048576,0))</f>
        <v>#N/A</v>
      </c>
      <c r="P1900" s="7">
        <v>43280</v>
      </c>
      <c r="Q1900" s="6">
        <v>10</v>
      </c>
      <c r="S1900" s="6">
        <v>171251</v>
      </c>
      <c r="T1900" s="6" t="e">
        <f>INDEX(医院2县区2人!$D$2:$D$1048576,MATCH(L1900,医院2县区2人!$A$2:$A$1048576,0))</f>
        <v>#N/A</v>
      </c>
      <c r="W1900" s="6" t="str">
        <f t="shared" si="61"/>
        <v>新盖中盖高钙片/成人2.5g*36片</v>
      </c>
      <c r="X1900" s="6" t="s">
        <v>2907</v>
      </c>
    </row>
    <row r="1901" spans="1:24" x14ac:dyDescent="0.15">
      <c r="A1901" s="7" t="str">
        <f t="shared" si="62"/>
        <v>201806</v>
      </c>
      <c r="C1901" s="6" t="str">
        <f>INDEX(工厂基础数据!$A$2:$A$1024,MATCH(X1901,工厂基础数据!$D$2:$D$1024,0))</f>
        <v>02029238</v>
      </c>
      <c r="E1901" s="6" t="str">
        <f>INDEX(工厂基础数据!$B$2:$B$1024,MATCH(X1901,工厂基础数据!$D$2:$D$1024,0))</f>
        <v>山东康为医药有限公司</v>
      </c>
      <c r="F1901" s="6" t="e">
        <f>INDEX(商业2转码!$B$2:$B$10000,MATCH(E1901,商业2转码!$A$2:$A$10000,0))</f>
        <v>#N/A</v>
      </c>
      <c r="G1901" s="6">
        <f>INDEX(品种2编码!$A$2:$A$1048576,MATCH(W1901,品种2编码!$D$2:$D$1048576,0))</f>
        <v>0</v>
      </c>
      <c r="H1901" s="6" t="s">
        <v>3448</v>
      </c>
      <c r="I1901" s="6" t="s">
        <v>411</v>
      </c>
      <c r="J1901" s="6" t="s">
        <v>3040</v>
      </c>
      <c r="L1901" s="6" t="s">
        <v>3444</v>
      </c>
      <c r="M1901" s="6" t="e">
        <f>INDEX(医院2县区2人!$B$2:$B$1048576,MATCH(L1901,医院2县区2人!$A$2:$A$1048576,0))</f>
        <v>#N/A</v>
      </c>
      <c r="N1901" s="6" t="e">
        <f>INDEX(医院2县区2人!$C$2:$C$1048576,MATCH(L1901,医院2县区2人!$A$2:$A$1048576,0))</f>
        <v>#N/A</v>
      </c>
      <c r="P1901" s="7">
        <v>43280</v>
      </c>
      <c r="Q1901" s="6">
        <v>30</v>
      </c>
      <c r="S1901" s="6">
        <v>17122922</v>
      </c>
      <c r="T1901" s="6" t="e">
        <f>INDEX(医院2县区2人!$D$2:$D$1048576,MATCH(L1901,医院2县区2人!$A$2:$A$1048576,0))</f>
        <v>#N/A</v>
      </c>
      <c r="W1901" s="6" t="str">
        <f t="shared" si="61"/>
        <v>葡萄糖酸钙口服溶液（含糖型）10ml*12支</v>
      </c>
      <c r="X1901" s="6" t="s">
        <v>2907</v>
      </c>
    </row>
    <row r="1902" spans="1:24" x14ac:dyDescent="0.15">
      <c r="A1902" s="7" t="str">
        <f t="shared" si="62"/>
        <v>201806</v>
      </c>
      <c r="C1902" s="6" t="str">
        <f>INDEX(工厂基础数据!$A$2:$A$1024,MATCH(X1902,工厂基础数据!$D$2:$D$1024,0))</f>
        <v>02029238</v>
      </c>
      <c r="E1902" s="6" t="str">
        <f>INDEX(工厂基础数据!$B$2:$B$1024,MATCH(X1902,工厂基础数据!$D$2:$D$1024,0))</f>
        <v>山东康为医药有限公司</v>
      </c>
      <c r="F1902" s="6" t="e">
        <f>INDEX(商业2转码!$B$2:$B$10000,MATCH(E1902,商业2转码!$A$2:$A$10000,0))</f>
        <v>#N/A</v>
      </c>
      <c r="G1902" s="6" t="str">
        <f>INDEX(品种2编码!$A$2:$A$1048576,MATCH(W1902,品种2编码!$D$2:$D$1048576,0))</f>
        <v>0020070001ZYLC0001</v>
      </c>
      <c r="H1902" s="6" t="s">
        <v>1905</v>
      </c>
      <c r="I1902" s="6" t="s">
        <v>411</v>
      </c>
      <c r="J1902" s="6" t="s">
        <v>3036</v>
      </c>
      <c r="L1902" s="6" t="s">
        <v>3444</v>
      </c>
      <c r="M1902" s="6" t="e">
        <f>INDEX(医院2县区2人!$B$2:$B$1048576,MATCH(L1902,医院2县区2人!$A$2:$A$1048576,0))</f>
        <v>#N/A</v>
      </c>
      <c r="N1902" s="6" t="e">
        <f>INDEX(医院2县区2人!$C$2:$C$1048576,MATCH(L1902,医院2县区2人!$A$2:$A$1048576,0))</f>
        <v>#N/A</v>
      </c>
      <c r="P1902" s="7">
        <v>43280</v>
      </c>
      <c r="Q1902" s="6">
        <v>10</v>
      </c>
      <c r="S1902" s="6">
        <v>180118</v>
      </c>
      <c r="T1902" s="6" t="e">
        <f>INDEX(医院2县区2人!$D$2:$D$1048576,MATCH(L1902,医院2县区2人!$A$2:$A$1048576,0))</f>
        <v>#N/A</v>
      </c>
      <c r="W1902" s="6" t="str">
        <f t="shared" si="61"/>
        <v>哈药六钙锌口服液10ml*12支</v>
      </c>
      <c r="X1902" s="6" t="s">
        <v>2907</v>
      </c>
    </row>
    <row r="1903" spans="1:24" x14ac:dyDescent="0.15">
      <c r="A1903" s="7" t="str">
        <f t="shared" si="62"/>
        <v>201806</v>
      </c>
      <c r="C1903" s="6" t="str">
        <f>INDEX(工厂基础数据!$A$2:$A$1024,MATCH(X1903,工厂基础数据!$D$2:$D$1024,0))</f>
        <v>02029238</v>
      </c>
      <c r="E1903" s="6" t="str">
        <f>INDEX(工厂基础数据!$B$2:$B$1024,MATCH(X1903,工厂基础数据!$D$2:$D$1024,0))</f>
        <v>山东康为医药有限公司</v>
      </c>
      <c r="F1903" s="6" t="e">
        <f>INDEX(商业2转码!$B$2:$B$10000,MATCH(E1903,商业2转码!$A$2:$A$10000,0))</f>
        <v>#N/A</v>
      </c>
      <c r="G1903" s="6" t="str">
        <f>INDEX(品种2编码!$A$2:$A$1048576,MATCH(W1903,品种2编码!$D$2:$D$1048576,0))</f>
        <v>0020030170ZYEC0003</v>
      </c>
      <c r="H1903" s="6" t="s">
        <v>1835</v>
      </c>
      <c r="I1903" s="6" t="s">
        <v>1836</v>
      </c>
      <c r="J1903" s="6" t="s">
        <v>3041</v>
      </c>
      <c r="L1903" s="6" t="s">
        <v>3371</v>
      </c>
      <c r="M1903" s="6" t="e">
        <f>INDEX(医院2县区2人!$B$2:$B$1048576,MATCH(L1903,医院2县区2人!$A$2:$A$1048576,0))</f>
        <v>#N/A</v>
      </c>
      <c r="N1903" s="6" t="e">
        <f>INDEX(医院2县区2人!$C$2:$C$1048576,MATCH(L1903,医院2县区2人!$A$2:$A$1048576,0))</f>
        <v>#N/A</v>
      </c>
      <c r="P1903" s="7">
        <v>43280</v>
      </c>
      <c r="Q1903" s="6">
        <v>5</v>
      </c>
      <c r="S1903" s="6">
        <v>170511</v>
      </c>
      <c r="T1903" s="6" t="e">
        <f>INDEX(医院2县区2人!$D$2:$D$1048576,MATCH(L1903,医院2县区2人!$A$2:$A$1048576,0))</f>
        <v>#N/A</v>
      </c>
      <c r="W1903" s="6" t="str">
        <f t="shared" si="61"/>
        <v>蒙脱石散3g*12袋</v>
      </c>
      <c r="X1903" s="6" t="s">
        <v>2907</v>
      </c>
    </row>
    <row r="1904" spans="1:24" x14ac:dyDescent="0.15">
      <c r="A1904" s="7" t="str">
        <f t="shared" si="62"/>
        <v>201806</v>
      </c>
      <c r="C1904" s="6" t="str">
        <f>INDEX(工厂基础数据!$A$2:$A$1024,MATCH(X1904,工厂基础数据!$D$2:$D$1024,0))</f>
        <v>02029238</v>
      </c>
      <c r="E1904" s="6" t="str">
        <f>INDEX(工厂基础数据!$B$2:$B$1024,MATCH(X1904,工厂基础数据!$D$2:$D$1024,0))</f>
        <v>山东康为医药有限公司</v>
      </c>
      <c r="F1904" s="6" t="e">
        <f>INDEX(商业2转码!$B$2:$B$10000,MATCH(E1904,商业2转码!$A$2:$A$10000,0))</f>
        <v>#N/A</v>
      </c>
      <c r="G1904" s="6">
        <f>INDEX(品种2编码!$A$2:$A$1048576,MATCH(W1904,品种2编码!$D$2:$D$1048576,0))</f>
        <v>0</v>
      </c>
      <c r="H1904" s="6" t="s">
        <v>317</v>
      </c>
      <c r="I1904" s="6" t="s">
        <v>3291</v>
      </c>
      <c r="J1904" s="6" t="s">
        <v>3037</v>
      </c>
      <c r="L1904" s="6" t="s">
        <v>3371</v>
      </c>
      <c r="M1904" s="6" t="e">
        <f>INDEX(医院2县区2人!$B$2:$B$1048576,MATCH(L1904,医院2县区2人!$A$2:$A$1048576,0))</f>
        <v>#N/A</v>
      </c>
      <c r="N1904" s="6" t="e">
        <f>INDEX(医院2县区2人!$C$2:$C$1048576,MATCH(L1904,医院2县区2人!$A$2:$A$1048576,0))</f>
        <v>#N/A</v>
      </c>
      <c r="P1904" s="7">
        <v>43280</v>
      </c>
      <c r="Q1904" s="6">
        <v>20</v>
      </c>
      <c r="S1904" s="6">
        <v>1611617</v>
      </c>
      <c r="T1904" s="6" t="e">
        <f>INDEX(医院2县区2人!$D$2:$D$1048576,MATCH(L1904,医院2县区2人!$A$2:$A$1048576,0))</f>
        <v>#N/A</v>
      </c>
      <c r="W1904" s="6" t="str">
        <f t="shared" si="61"/>
        <v>布洛芬颗粒0.2g*12包</v>
      </c>
      <c r="X1904" s="6" t="s">
        <v>2907</v>
      </c>
    </row>
    <row r="1905" spans="1:24" x14ac:dyDescent="0.15">
      <c r="A1905" s="7" t="str">
        <f t="shared" si="62"/>
        <v>201806</v>
      </c>
      <c r="C1905" s="6" t="str">
        <f>INDEX(工厂基础数据!$A$2:$A$1024,MATCH(X1905,工厂基础数据!$D$2:$D$1024,0))</f>
        <v>02029238</v>
      </c>
      <c r="E1905" s="6" t="str">
        <f>INDEX(工厂基础数据!$B$2:$B$1024,MATCH(X1905,工厂基础数据!$D$2:$D$1024,0))</f>
        <v>山东康为医药有限公司</v>
      </c>
      <c r="F1905" s="6" t="e">
        <f>INDEX(商业2转码!$B$2:$B$10000,MATCH(E1905,商业2转码!$A$2:$A$10000,0))</f>
        <v>#N/A</v>
      </c>
      <c r="G1905" s="6">
        <f>INDEX(品种2编码!$A$2:$A$1048576,MATCH(W1905,品种2编码!$D$2:$D$1048576,0))</f>
        <v>0</v>
      </c>
      <c r="H1905" s="6" t="s">
        <v>3447</v>
      </c>
      <c r="I1905" s="6" t="s">
        <v>1838</v>
      </c>
      <c r="J1905" s="6" t="s">
        <v>3036</v>
      </c>
      <c r="L1905" s="6" t="s">
        <v>3371</v>
      </c>
      <c r="M1905" s="6" t="e">
        <f>INDEX(医院2县区2人!$B$2:$B$1048576,MATCH(L1905,医院2县区2人!$A$2:$A$1048576,0))</f>
        <v>#N/A</v>
      </c>
      <c r="N1905" s="6" t="e">
        <f>INDEX(医院2县区2人!$C$2:$C$1048576,MATCH(L1905,医院2县区2人!$A$2:$A$1048576,0))</f>
        <v>#N/A</v>
      </c>
      <c r="P1905" s="7">
        <v>43280</v>
      </c>
      <c r="Q1905" s="6">
        <v>5</v>
      </c>
      <c r="S1905" s="6">
        <v>171251</v>
      </c>
      <c r="T1905" s="6" t="e">
        <f>INDEX(医院2县区2人!$D$2:$D$1048576,MATCH(L1905,医院2县区2人!$A$2:$A$1048576,0))</f>
        <v>#N/A</v>
      </c>
      <c r="W1905" s="6" t="str">
        <f t="shared" si="61"/>
        <v>新盖中盖高钙片/成人2.5g*36片</v>
      </c>
      <c r="X1905" s="6" t="s">
        <v>2907</v>
      </c>
    </row>
    <row r="1906" spans="1:24" x14ac:dyDescent="0.15">
      <c r="A1906" s="7" t="str">
        <f t="shared" si="62"/>
        <v>201806</v>
      </c>
      <c r="C1906" s="6" t="str">
        <f>INDEX(工厂基础数据!$A$2:$A$1024,MATCH(X1906,工厂基础数据!$D$2:$D$1024,0))</f>
        <v>02029238</v>
      </c>
      <c r="E1906" s="6" t="str">
        <f>INDEX(工厂基础数据!$B$2:$B$1024,MATCH(X1906,工厂基础数据!$D$2:$D$1024,0))</f>
        <v>山东康为医药有限公司</v>
      </c>
      <c r="F1906" s="6" t="e">
        <f>INDEX(商业2转码!$B$2:$B$10000,MATCH(E1906,商业2转码!$A$2:$A$10000,0))</f>
        <v>#N/A</v>
      </c>
      <c r="G1906" s="6">
        <f>INDEX(品种2编码!$A$2:$A$1048576,MATCH(W1906,品种2编码!$D$2:$D$1048576,0))</f>
        <v>0</v>
      </c>
      <c r="H1906" s="6" t="s">
        <v>575</v>
      </c>
      <c r="I1906" s="6" t="s">
        <v>1910</v>
      </c>
      <c r="J1906" s="6" t="s">
        <v>3038</v>
      </c>
      <c r="L1906" s="6" t="s">
        <v>3371</v>
      </c>
      <c r="M1906" s="6" t="e">
        <f>INDEX(医院2县区2人!$B$2:$B$1048576,MATCH(L1906,医院2县区2人!$A$2:$A$1048576,0))</f>
        <v>#N/A</v>
      </c>
      <c r="N1906" s="6" t="e">
        <f>INDEX(医院2县区2人!$C$2:$C$1048576,MATCH(L1906,医院2县区2人!$A$2:$A$1048576,0))</f>
        <v>#N/A</v>
      </c>
      <c r="P1906" s="7">
        <v>43280</v>
      </c>
      <c r="Q1906" s="6">
        <v>10</v>
      </c>
      <c r="S1906" s="6" t="s">
        <v>3273</v>
      </c>
      <c r="T1906" s="6" t="e">
        <f>INDEX(医院2县区2人!$D$2:$D$1048576,MATCH(L1906,医院2县区2人!$A$2:$A$1048576,0))</f>
        <v>#N/A</v>
      </c>
      <c r="W1906" s="6" t="str">
        <f t="shared" si="61"/>
        <v>青霉素V钾片24片</v>
      </c>
      <c r="X1906" s="6" t="s">
        <v>2907</v>
      </c>
    </row>
    <row r="1907" spans="1:24" x14ac:dyDescent="0.15">
      <c r="A1907" s="7" t="str">
        <f t="shared" si="62"/>
        <v>201806</v>
      </c>
      <c r="C1907" s="6" t="str">
        <f>INDEX(工厂基础数据!$A$2:$A$1024,MATCH(X1907,工厂基础数据!$D$2:$D$1024,0))</f>
        <v>02029238</v>
      </c>
      <c r="E1907" s="6" t="str">
        <f>INDEX(工厂基础数据!$B$2:$B$1024,MATCH(X1907,工厂基础数据!$D$2:$D$1024,0))</f>
        <v>山东康为医药有限公司</v>
      </c>
      <c r="F1907" s="6" t="e">
        <f>INDEX(商业2转码!$B$2:$B$10000,MATCH(E1907,商业2转码!$A$2:$A$10000,0))</f>
        <v>#N/A</v>
      </c>
      <c r="G1907" s="6" t="str">
        <f>INDEX(品种2编码!$A$2:$A$1048576,MATCH(W1907,品种2编码!$D$2:$D$1048576,0))</f>
        <v>0020030001SJZY0009</v>
      </c>
      <c r="H1907" s="6" t="s">
        <v>1949</v>
      </c>
      <c r="I1907" s="6" t="s">
        <v>411</v>
      </c>
      <c r="J1907" s="6" t="s">
        <v>3040</v>
      </c>
      <c r="L1907" s="6" t="s">
        <v>3362</v>
      </c>
      <c r="M1907" s="6" t="e">
        <f>INDEX(医院2县区2人!$B$2:$B$1048576,MATCH(L1907,医院2县区2人!$A$2:$A$1048576,0))</f>
        <v>#N/A</v>
      </c>
      <c r="N1907" s="6" t="e">
        <f>INDEX(医院2县区2人!$C$2:$C$1048576,MATCH(L1907,医院2县区2人!$A$2:$A$1048576,0))</f>
        <v>#N/A</v>
      </c>
      <c r="P1907" s="7">
        <v>43280</v>
      </c>
      <c r="Q1907" s="6">
        <v>10</v>
      </c>
      <c r="S1907" s="6">
        <v>18031227</v>
      </c>
      <c r="T1907" s="6" t="e">
        <f>INDEX(医院2县区2人!$D$2:$D$1048576,MATCH(L1907,医院2县区2人!$A$2:$A$1048576,0))</f>
        <v>#N/A</v>
      </c>
      <c r="W1907" s="6" t="str">
        <f t="shared" si="61"/>
        <v>葡萄糖酸锌口服溶液10ml*12支</v>
      </c>
      <c r="X1907" s="6" t="s">
        <v>2907</v>
      </c>
    </row>
    <row r="1908" spans="1:24" x14ac:dyDescent="0.15">
      <c r="A1908" s="7" t="str">
        <f t="shared" si="62"/>
        <v>201806</v>
      </c>
      <c r="C1908" s="6" t="str">
        <f>INDEX(工厂基础数据!$A$2:$A$1024,MATCH(X1908,工厂基础数据!$D$2:$D$1024,0))</f>
        <v>02029238</v>
      </c>
      <c r="E1908" s="6" t="str">
        <f>INDEX(工厂基础数据!$B$2:$B$1024,MATCH(X1908,工厂基础数据!$D$2:$D$1024,0))</f>
        <v>山东康为医药有限公司</v>
      </c>
      <c r="F1908" s="6" t="e">
        <f>INDEX(商业2转码!$B$2:$B$10000,MATCH(E1908,商业2转码!$A$2:$A$10000,0))</f>
        <v>#N/A</v>
      </c>
      <c r="G1908" s="6" t="str">
        <f>INDEX(品种2编码!$A$2:$A$1048576,MATCH(W1908,品种2编码!$D$2:$D$1048576,0))</f>
        <v>0020020021ZYLC0005</v>
      </c>
      <c r="H1908" s="6" t="s">
        <v>1840</v>
      </c>
      <c r="I1908" s="6" t="s">
        <v>1841</v>
      </c>
      <c r="J1908" s="6" t="s">
        <v>3036</v>
      </c>
      <c r="L1908" s="6" t="s">
        <v>3341</v>
      </c>
      <c r="M1908" s="6" t="e">
        <f>INDEX(医院2县区2人!$B$2:$B$1048576,MATCH(L1908,医院2县区2人!$A$2:$A$1048576,0))</f>
        <v>#N/A</v>
      </c>
      <c r="N1908" s="6" t="e">
        <f>INDEX(医院2县区2人!$C$2:$C$1048576,MATCH(L1908,医院2县区2人!$A$2:$A$1048576,0))</f>
        <v>#N/A</v>
      </c>
      <c r="P1908" s="7">
        <v>43280</v>
      </c>
      <c r="Q1908" s="6">
        <v>1</v>
      </c>
      <c r="S1908" s="6">
        <v>161102</v>
      </c>
      <c r="T1908" s="6" t="e">
        <f>INDEX(医院2县区2人!$D$2:$D$1048576,MATCH(L1908,医院2县区2人!$A$2:$A$1048576,0))</f>
        <v>#N/A</v>
      </c>
      <c r="W1908" s="6" t="str">
        <f t="shared" si="61"/>
        <v>罗红霉素分散片/小严迪50mg*12片</v>
      </c>
      <c r="X1908" s="6" t="s">
        <v>2907</v>
      </c>
    </row>
    <row r="1909" spans="1:24" x14ac:dyDescent="0.15">
      <c r="A1909" s="7" t="str">
        <f t="shared" si="62"/>
        <v>201806</v>
      </c>
      <c r="C1909" s="6" t="str">
        <f>INDEX(工厂基础数据!$A$2:$A$1024,MATCH(X1909,工厂基础数据!$D$2:$D$1024,0))</f>
        <v>02029238</v>
      </c>
      <c r="E1909" s="6" t="str">
        <f>INDEX(工厂基础数据!$B$2:$B$1024,MATCH(X1909,工厂基础数据!$D$2:$D$1024,0))</f>
        <v>山东康为医药有限公司</v>
      </c>
      <c r="F1909" s="6" t="e">
        <f>INDEX(商业2转码!$B$2:$B$10000,MATCH(E1909,商业2转码!$A$2:$A$10000,0))</f>
        <v>#N/A</v>
      </c>
      <c r="G1909" s="6" t="str">
        <f>INDEX(品种2编码!$A$2:$A$1048576,MATCH(W1909,品种2编码!$D$2:$D$1048576,0))</f>
        <v>0020020021ZYLC0004</v>
      </c>
      <c r="H1909" s="6" t="s">
        <v>1868</v>
      </c>
      <c r="I1909" s="6" t="s">
        <v>1869</v>
      </c>
      <c r="J1909" s="6" t="s">
        <v>3036</v>
      </c>
      <c r="L1909" s="6" t="s">
        <v>3341</v>
      </c>
      <c r="M1909" s="6" t="e">
        <f>INDEX(医院2县区2人!$B$2:$B$1048576,MATCH(L1909,医院2县区2人!$A$2:$A$1048576,0))</f>
        <v>#N/A</v>
      </c>
      <c r="N1909" s="6" t="e">
        <f>INDEX(医院2县区2人!$C$2:$C$1048576,MATCH(L1909,医院2县区2人!$A$2:$A$1048576,0))</f>
        <v>#N/A</v>
      </c>
      <c r="P1909" s="7">
        <v>43280</v>
      </c>
      <c r="Q1909" s="6">
        <v>1</v>
      </c>
      <c r="S1909" s="6">
        <v>171101</v>
      </c>
      <c r="T1909" s="6" t="e">
        <f>INDEX(医院2县区2人!$D$2:$D$1048576,MATCH(L1909,医院2县区2人!$A$2:$A$1048576,0))</f>
        <v>#N/A</v>
      </c>
      <c r="W1909" s="6" t="str">
        <f t="shared" si="61"/>
        <v>罗红霉素分散片/大严迪75mg*12片</v>
      </c>
      <c r="X1909" s="6" t="s">
        <v>2907</v>
      </c>
    </row>
    <row r="1910" spans="1:24" x14ac:dyDescent="0.15">
      <c r="A1910" s="7" t="str">
        <f t="shared" si="62"/>
        <v>201806</v>
      </c>
      <c r="C1910" s="6" t="str">
        <f>INDEX(工厂基础数据!$A$2:$A$1024,MATCH(X1910,工厂基础数据!$D$2:$D$1024,0))</f>
        <v>02029238</v>
      </c>
      <c r="E1910" s="6" t="str">
        <f>INDEX(工厂基础数据!$B$2:$B$1024,MATCH(X1910,工厂基础数据!$D$2:$D$1024,0))</f>
        <v>山东康为医药有限公司</v>
      </c>
      <c r="F1910" s="6" t="e">
        <f>INDEX(商业2转码!$B$2:$B$10000,MATCH(E1910,商业2转码!$A$2:$A$10000,0))</f>
        <v>#N/A</v>
      </c>
      <c r="G1910" s="6" t="str">
        <f>INDEX(品种2编码!$A$2:$A$1048576,MATCH(W1910,品种2编码!$D$2:$D$1048576,0))</f>
        <v>0020020021ZYLC0004</v>
      </c>
      <c r="H1910" s="6" t="s">
        <v>1868</v>
      </c>
      <c r="I1910" s="6" t="s">
        <v>1869</v>
      </c>
      <c r="J1910" s="6" t="s">
        <v>3036</v>
      </c>
      <c r="L1910" s="6" t="s">
        <v>3442</v>
      </c>
      <c r="M1910" s="6" t="e">
        <f>INDEX(医院2县区2人!$B$2:$B$1048576,MATCH(L1910,医院2县区2人!$A$2:$A$1048576,0))</f>
        <v>#N/A</v>
      </c>
      <c r="N1910" s="6" t="e">
        <f>INDEX(医院2县区2人!$C$2:$C$1048576,MATCH(L1910,医院2县区2人!$A$2:$A$1048576,0))</f>
        <v>#N/A</v>
      </c>
      <c r="P1910" s="7">
        <v>43280</v>
      </c>
      <c r="Q1910" s="6">
        <v>1</v>
      </c>
      <c r="S1910" s="6">
        <v>171101</v>
      </c>
      <c r="T1910" s="6" t="e">
        <f>INDEX(医院2县区2人!$D$2:$D$1048576,MATCH(L1910,医院2县区2人!$A$2:$A$1048576,0))</f>
        <v>#N/A</v>
      </c>
      <c r="W1910" s="6" t="str">
        <f t="shared" si="61"/>
        <v>罗红霉素分散片/大严迪75mg*12片</v>
      </c>
      <c r="X1910" s="6" t="s">
        <v>2907</v>
      </c>
    </row>
    <row r="1911" spans="1:24" x14ac:dyDescent="0.15">
      <c r="A1911" s="7" t="str">
        <f t="shared" si="62"/>
        <v>201806</v>
      </c>
      <c r="C1911" s="6" t="str">
        <f>INDEX(工厂基础数据!$A$2:$A$1024,MATCH(X1911,工厂基础数据!$D$2:$D$1024,0))</f>
        <v>02029238</v>
      </c>
      <c r="E1911" s="6" t="str">
        <f>INDEX(工厂基础数据!$B$2:$B$1024,MATCH(X1911,工厂基础数据!$D$2:$D$1024,0))</f>
        <v>山东康为医药有限公司</v>
      </c>
      <c r="F1911" s="6" t="e">
        <f>INDEX(商业2转码!$B$2:$B$10000,MATCH(E1911,商业2转码!$A$2:$A$10000,0))</f>
        <v>#N/A</v>
      </c>
      <c r="G1911" s="6">
        <f>INDEX(品种2编码!$A$2:$A$1048576,MATCH(W1911,品种2编码!$D$2:$D$1048576,0))</f>
        <v>0</v>
      </c>
      <c r="H1911" s="6" t="s">
        <v>3448</v>
      </c>
      <c r="I1911" s="6" t="s">
        <v>411</v>
      </c>
      <c r="J1911" s="6" t="s">
        <v>3040</v>
      </c>
      <c r="L1911" s="6" t="s">
        <v>3442</v>
      </c>
      <c r="M1911" s="6" t="e">
        <f>INDEX(医院2县区2人!$B$2:$B$1048576,MATCH(L1911,医院2县区2人!$A$2:$A$1048576,0))</f>
        <v>#N/A</v>
      </c>
      <c r="N1911" s="6" t="e">
        <f>INDEX(医院2县区2人!$C$2:$C$1048576,MATCH(L1911,医院2县区2人!$A$2:$A$1048576,0))</f>
        <v>#N/A</v>
      </c>
      <c r="P1911" s="7">
        <v>43280</v>
      </c>
      <c r="Q1911" s="6">
        <v>5</v>
      </c>
      <c r="S1911" s="6">
        <v>18010232</v>
      </c>
      <c r="T1911" s="6" t="e">
        <f>INDEX(医院2县区2人!$D$2:$D$1048576,MATCH(L1911,医院2县区2人!$A$2:$A$1048576,0))</f>
        <v>#N/A</v>
      </c>
      <c r="W1911" s="6" t="str">
        <f t="shared" si="61"/>
        <v>葡萄糖酸钙口服溶液（含糖型）10ml*12支</v>
      </c>
      <c r="X1911" s="6" t="s">
        <v>2907</v>
      </c>
    </row>
    <row r="1912" spans="1:24" x14ac:dyDescent="0.15">
      <c r="A1912" s="7" t="str">
        <f t="shared" si="62"/>
        <v>201806</v>
      </c>
      <c r="C1912" s="6" t="str">
        <f>INDEX(工厂基础数据!$A$2:$A$1024,MATCH(X1912,工厂基础数据!$D$2:$D$1024,0))</f>
        <v>02029238</v>
      </c>
      <c r="E1912" s="6" t="str">
        <f>INDEX(工厂基础数据!$B$2:$B$1024,MATCH(X1912,工厂基础数据!$D$2:$D$1024,0))</f>
        <v>山东康为医药有限公司</v>
      </c>
      <c r="F1912" s="6" t="e">
        <f>INDEX(商业2转码!$B$2:$B$10000,MATCH(E1912,商业2转码!$A$2:$A$10000,0))</f>
        <v>#N/A</v>
      </c>
      <c r="G1912" s="6">
        <f>INDEX(品种2编码!$A$2:$A$1048576,MATCH(W1912,品种2编码!$D$2:$D$1048576,0))</f>
        <v>0</v>
      </c>
      <c r="H1912" s="6" t="s">
        <v>3448</v>
      </c>
      <c r="I1912" s="6" t="s">
        <v>411</v>
      </c>
      <c r="J1912" s="6" t="s">
        <v>3040</v>
      </c>
      <c r="L1912" s="6" t="s">
        <v>3442</v>
      </c>
      <c r="M1912" s="6" t="e">
        <f>INDEX(医院2县区2人!$B$2:$B$1048576,MATCH(L1912,医院2县区2人!$A$2:$A$1048576,0))</f>
        <v>#N/A</v>
      </c>
      <c r="N1912" s="6" t="e">
        <f>INDEX(医院2县区2人!$C$2:$C$1048576,MATCH(L1912,医院2县区2人!$A$2:$A$1048576,0))</f>
        <v>#N/A</v>
      </c>
      <c r="P1912" s="7">
        <v>43280</v>
      </c>
      <c r="Q1912" s="6">
        <v>20</v>
      </c>
      <c r="S1912" s="6">
        <v>17122922</v>
      </c>
      <c r="T1912" s="6" t="e">
        <f>INDEX(医院2县区2人!$D$2:$D$1048576,MATCH(L1912,医院2县区2人!$A$2:$A$1048576,0))</f>
        <v>#N/A</v>
      </c>
      <c r="W1912" s="6" t="str">
        <f t="shared" si="61"/>
        <v>葡萄糖酸钙口服溶液（含糖型）10ml*12支</v>
      </c>
      <c r="X1912" s="6" t="s">
        <v>2907</v>
      </c>
    </row>
    <row r="1913" spans="1:24" x14ac:dyDescent="0.15">
      <c r="A1913" s="7" t="str">
        <f t="shared" si="62"/>
        <v>201806</v>
      </c>
      <c r="C1913" s="6" t="str">
        <f>INDEX(工厂基础数据!$A$2:$A$1024,MATCH(X1913,工厂基础数据!$D$2:$D$1024,0))</f>
        <v>02029238</v>
      </c>
      <c r="E1913" s="6" t="str">
        <f>INDEX(工厂基础数据!$B$2:$B$1024,MATCH(X1913,工厂基础数据!$D$2:$D$1024,0))</f>
        <v>山东康为医药有限公司</v>
      </c>
      <c r="F1913" s="6" t="e">
        <f>INDEX(商业2转码!$B$2:$B$10000,MATCH(E1913,商业2转码!$A$2:$A$10000,0))</f>
        <v>#N/A</v>
      </c>
      <c r="G1913" s="6">
        <f>INDEX(品种2编码!$A$2:$A$1048576,MATCH(W1913,品种2编码!$D$2:$D$1048576,0))</f>
        <v>0</v>
      </c>
      <c r="H1913" s="6" t="s">
        <v>3451</v>
      </c>
      <c r="I1913" s="6" t="s">
        <v>381</v>
      </c>
      <c r="J1913" s="6" t="s">
        <v>3036</v>
      </c>
      <c r="L1913" s="6" t="s">
        <v>3445</v>
      </c>
      <c r="M1913" s="6" t="e">
        <f>INDEX(医院2县区2人!$B$2:$B$1048576,MATCH(L1913,医院2县区2人!$A$2:$A$1048576,0))</f>
        <v>#N/A</v>
      </c>
      <c r="N1913" s="6" t="e">
        <f>INDEX(医院2县区2人!$C$2:$C$1048576,MATCH(L1913,医院2县区2人!$A$2:$A$1048576,0))</f>
        <v>#N/A</v>
      </c>
      <c r="P1913" s="7">
        <v>43280</v>
      </c>
      <c r="Q1913" s="6">
        <v>20</v>
      </c>
      <c r="S1913" s="6">
        <v>170706</v>
      </c>
      <c r="T1913" s="6" t="e">
        <f>INDEX(医院2县区2人!$D$2:$D$1048576,MATCH(L1913,医院2县区2人!$A$2:$A$1048576,0))</f>
        <v>#N/A</v>
      </c>
      <c r="W1913" s="6" t="str">
        <f t="shared" si="61"/>
        <v>颠茄磺苄啶片/泻利停12片</v>
      </c>
      <c r="X1913" s="6" t="s">
        <v>2907</v>
      </c>
    </row>
    <row r="1914" spans="1:24" x14ac:dyDescent="0.15">
      <c r="A1914" s="7" t="str">
        <f t="shared" si="62"/>
        <v>201806</v>
      </c>
      <c r="C1914" s="6" t="str">
        <f>INDEX(工厂基础数据!$A$2:$A$1024,MATCH(X1914,工厂基础数据!$D$2:$D$1024,0))</f>
        <v>02029238</v>
      </c>
      <c r="E1914" s="6" t="str">
        <f>INDEX(工厂基础数据!$B$2:$B$1024,MATCH(X1914,工厂基础数据!$D$2:$D$1024,0))</f>
        <v>山东康为医药有限公司</v>
      </c>
      <c r="F1914" s="6" t="e">
        <f>INDEX(商业2转码!$B$2:$B$10000,MATCH(E1914,商业2转码!$A$2:$A$10000,0))</f>
        <v>#N/A</v>
      </c>
      <c r="G1914" s="6">
        <f>INDEX(品种2编码!$A$2:$A$1048576,MATCH(W1914,品种2编码!$D$2:$D$1048576,0))</f>
        <v>0</v>
      </c>
      <c r="H1914" s="6" t="s">
        <v>3448</v>
      </c>
      <c r="I1914" s="6" t="s">
        <v>411</v>
      </c>
      <c r="J1914" s="6" t="s">
        <v>3040</v>
      </c>
      <c r="L1914" s="6" t="s">
        <v>3446</v>
      </c>
      <c r="M1914" s="6" t="e">
        <f>INDEX(医院2县区2人!$B$2:$B$1048576,MATCH(L1914,医院2县区2人!$A$2:$A$1048576,0))</f>
        <v>#N/A</v>
      </c>
      <c r="N1914" s="6" t="e">
        <f>INDEX(医院2县区2人!$C$2:$C$1048576,MATCH(L1914,医院2县区2人!$A$2:$A$1048576,0))</f>
        <v>#N/A</v>
      </c>
      <c r="P1914" s="7">
        <v>43256</v>
      </c>
      <c r="Q1914" s="6">
        <v>-5</v>
      </c>
      <c r="S1914" s="6">
        <v>17111812</v>
      </c>
      <c r="T1914" s="6" t="e">
        <f>INDEX(医院2县区2人!$D$2:$D$1048576,MATCH(L1914,医院2县区2人!$A$2:$A$1048576,0))</f>
        <v>#N/A</v>
      </c>
      <c r="W1914" s="6" t="str">
        <f t="shared" si="61"/>
        <v>葡萄糖酸钙口服溶液（含糖型）10ml*12支</v>
      </c>
      <c r="X1914" s="6" t="s">
        <v>2907</v>
      </c>
    </row>
    <row r="1915" spans="1:24" x14ac:dyDescent="0.15">
      <c r="A1915" s="7" t="str">
        <f t="shared" si="62"/>
        <v>201806</v>
      </c>
      <c r="C1915" s="6" t="str">
        <f>INDEX(工厂基础数据!$A$2:$A$1024,MATCH(X1915,工厂基础数据!$D$2:$D$1024,0))</f>
        <v>02029238</v>
      </c>
      <c r="E1915" s="6" t="str">
        <f>INDEX(工厂基础数据!$B$2:$B$1024,MATCH(X1915,工厂基础数据!$D$2:$D$1024,0))</f>
        <v>山东康为医药有限公司</v>
      </c>
      <c r="F1915" s="6" t="e">
        <f>INDEX(商业2转码!$B$2:$B$10000,MATCH(E1915,商业2转码!$A$2:$A$10000,0))</f>
        <v>#N/A</v>
      </c>
      <c r="G1915" s="6" t="str">
        <f>INDEX(品种2编码!$A$2:$A$1048576,MATCH(W1915,品种2编码!$D$2:$D$1048576,0))</f>
        <v>0020030001SJZY0009</v>
      </c>
      <c r="H1915" s="6" t="s">
        <v>1949</v>
      </c>
      <c r="I1915" s="6" t="s">
        <v>411</v>
      </c>
      <c r="J1915" s="6" t="s">
        <v>3040</v>
      </c>
      <c r="L1915" s="6" t="s">
        <v>3379</v>
      </c>
      <c r="M1915" s="6" t="e">
        <f>INDEX(医院2县区2人!$B$2:$B$1048576,MATCH(L1915,医院2县区2人!$A$2:$A$1048576,0))</f>
        <v>#N/A</v>
      </c>
      <c r="N1915" s="6" t="e">
        <f>INDEX(医院2县区2人!$C$2:$C$1048576,MATCH(L1915,医院2县区2人!$A$2:$A$1048576,0))</f>
        <v>#N/A</v>
      </c>
      <c r="P1915" s="7">
        <v>43262</v>
      </c>
      <c r="Q1915" s="6">
        <v>-1</v>
      </c>
      <c r="S1915" s="6">
        <v>17112811</v>
      </c>
      <c r="T1915" s="6" t="e">
        <f>INDEX(医院2县区2人!$D$2:$D$1048576,MATCH(L1915,医院2县区2人!$A$2:$A$1048576,0))</f>
        <v>#N/A</v>
      </c>
      <c r="W1915" s="6" t="str">
        <f t="shared" si="61"/>
        <v>葡萄糖酸锌口服溶液10ml*12支</v>
      </c>
      <c r="X1915" s="6" t="s">
        <v>2907</v>
      </c>
    </row>
    <row r="1916" spans="1:24" x14ac:dyDescent="0.15">
      <c r="A1916" s="7" t="str">
        <f t="shared" si="62"/>
        <v>201806</v>
      </c>
      <c r="C1916" s="6" t="str">
        <f>INDEX(工厂基础数据!$A$2:$A$1024,MATCH(X1916,工厂基础数据!$D$2:$D$1024,0))</f>
        <v>02029238</v>
      </c>
      <c r="E1916" s="6" t="str">
        <f>INDEX(工厂基础数据!$B$2:$B$1024,MATCH(X1916,工厂基础数据!$D$2:$D$1024,0))</f>
        <v>山东康为医药有限公司</v>
      </c>
      <c r="F1916" s="6" t="e">
        <f>INDEX(商业2转码!$B$2:$B$10000,MATCH(E1916,商业2转码!$A$2:$A$10000,0))</f>
        <v>#N/A</v>
      </c>
      <c r="G1916" s="6" t="str">
        <f>INDEX(品种2编码!$A$2:$A$1048576,MATCH(W1916,品种2编码!$D$2:$D$1048576,0))</f>
        <v>0020040001SHYT0018</v>
      </c>
      <c r="H1916" s="6" t="s">
        <v>732</v>
      </c>
      <c r="I1916" s="6" t="s">
        <v>444</v>
      </c>
      <c r="J1916" s="6" t="s">
        <v>3037</v>
      </c>
      <c r="L1916" s="6" t="s">
        <v>3389</v>
      </c>
      <c r="M1916" s="6" t="e">
        <f>INDEX(医院2县区2人!$B$2:$B$1048576,MATCH(L1916,医院2县区2人!$A$2:$A$1048576,0))</f>
        <v>#N/A</v>
      </c>
      <c r="N1916" s="6" t="e">
        <f>INDEX(医院2县区2人!$C$2:$C$1048576,MATCH(L1916,医院2县区2人!$A$2:$A$1048576,0))</f>
        <v>#N/A</v>
      </c>
      <c r="P1916" s="7">
        <v>43263</v>
      </c>
      <c r="Q1916" s="6">
        <v>-10</v>
      </c>
      <c r="S1916" s="6">
        <v>1612106</v>
      </c>
      <c r="T1916" s="6" t="e">
        <f>INDEX(医院2县区2人!$D$2:$D$1048576,MATCH(L1916,医院2县区2人!$A$2:$A$1048576,0))</f>
        <v>#N/A</v>
      </c>
      <c r="W1916" s="6" t="str">
        <f t="shared" si="61"/>
        <v>血府逐瘀丸9g*10丸</v>
      </c>
      <c r="X1916" s="6" t="s">
        <v>2907</v>
      </c>
    </row>
    <row r="1917" spans="1:24" x14ac:dyDescent="0.15">
      <c r="A1917" s="7" t="str">
        <f t="shared" si="62"/>
        <v>201806</v>
      </c>
      <c r="C1917" s="6" t="str">
        <f>INDEX(工厂基础数据!$A$2:$A$1024,MATCH(X1917,工厂基础数据!$D$2:$D$1024,0))</f>
        <v>02029238</v>
      </c>
      <c r="E1917" s="6" t="str">
        <f>INDEX(工厂基础数据!$B$2:$B$1024,MATCH(X1917,工厂基础数据!$D$2:$D$1024,0))</f>
        <v>山东康为医药有限公司</v>
      </c>
      <c r="F1917" s="6" t="e">
        <f>INDEX(商业2转码!$B$2:$B$10000,MATCH(E1917,商业2转码!$A$2:$A$10000,0))</f>
        <v>#N/A</v>
      </c>
      <c r="G1917" s="6" t="str">
        <f>INDEX(品种2编码!$A$2:$A$1048576,MATCH(W1917,品种2编码!$D$2:$D$1048576,0))</f>
        <v>0020040001SHYT0018</v>
      </c>
      <c r="H1917" s="6" t="s">
        <v>732</v>
      </c>
      <c r="I1917" s="6" t="s">
        <v>444</v>
      </c>
      <c r="J1917" s="6" t="s">
        <v>3037</v>
      </c>
      <c r="L1917" s="6" t="s">
        <v>3389</v>
      </c>
      <c r="M1917" s="6" t="e">
        <f>INDEX(医院2县区2人!$B$2:$B$1048576,MATCH(L1917,医院2县区2人!$A$2:$A$1048576,0))</f>
        <v>#N/A</v>
      </c>
      <c r="N1917" s="6" t="e">
        <f>INDEX(医院2县区2人!$C$2:$C$1048576,MATCH(L1917,医院2县区2人!$A$2:$A$1048576,0))</f>
        <v>#N/A</v>
      </c>
      <c r="P1917" s="7">
        <v>43263</v>
      </c>
      <c r="Q1917" s="6">
        <v>-20</v>
      </c>
      <c r="S1917" s="6">
        <v>1801106</v>
      </c>
      <c r="T1917" s="6" t="e">
        <f>INDEX(医院2县区2人!$D$2:$D$1048576,MATCH(L1917,医院2县区2人!$A$2:$A$1048576,0))</f>
        <v>#N/A</v>
      </c>
      <c r="W1917" s="6" t="str">
        <f t="shared" si="61"/>
        <v>血府逐瘀丸9g*10丸</v>
      </c>
      <c r="X1917" s="6" t="s">
        <v>2907</v>
      </c>
    </row>
    <row r="1918" spans="1:24" x14ac:dyDescent="0.15">
      <c r="A1918" s="7" t="str">
        <f t="shared" si="62"/>
        <v>201806</v>
      </c>
      <c r="C1918" s="6" t="str">
        <f>INDEX(工厂基础数据!$A$2:$A$1024,MATCH(X1918,工厂基础数据!$D$2:$D$1024,0))</f>
        <v>02029238</v>
      </c>
      <c r="E1918" s="6" t="str">
        <f>INDEX(工厂基础数据!$B$2:$B$1024,MATCH(X1918,工厂基础数据!$D$2:$D$1024,0))</f>
        <v>山东康为医药有限公司</v>
      </c>
      <c r="F1918" s="6" t="e">
        <f>INDEX(商业2转码!$B$2:$B$10000,MATCH(E1918,商业2转码!$A$2:$A$10000,0))</f>
        <v>#N/A</v>
      </c>
      <c r="G1918" s="6" t="str">
        <f>INDEX(品种2编码!$A$2:$A$1048576,MATCH(W1918,品种2编码!$D$2:$D$1048576,0))</f>
        <v>0020020020SJMS0008</v>
      </c>
      <c r="H1918" s="6" t="s">
        <v>1904</v>
      </c>
      <c r="I1918" s="6" t="s">
        <v>1873</v>
      </c>
      <c r="J1918" s="6" t="s">
        <v>3046</v>
      </c>
      <c r="L1918" s="6" t="s">
        <v>3374</v>
      </c>
      <c r="M1918" s="6" t="e">
        <f>INDEX(医院2县区2人!$B$2:$B$1048576,MATCH(L1918,医院2县区2人!$A$2:$A$1048576,0))</f>
        <v>#N/A</v>
      </c>
      <c r="N1918" s="6" t="e">
        <f>INDEX(医院2县区2人!$C$2:$C$1048576,MATCH(L1918,医院2县区2人!$A$2:$A$1048576,0))</f>
        <v>#N/A</v>
      </c>
      <c r="P1918" s="7">
        <v>43274</v>
      </c>
      <c r="Q1918" s="6">
        <v>-20</v>
      </c>
      <c r="S1918" s="6">
        <v>1801004</v>
      </c>
      <c r="T1918" s="6" t="e">
        <f>INDEX(医院2县区2人!$D$2:$D$1048576,MATCH(L1918,医院2县区2人!$A$2:$A$1048576,0))</f>
        <v>#N/A</v>
      </c>
      <c r="W1918" s="6" t="str">
        <f t="shared" si="61"/>
        <v>拉西地平片/三精司乐平片4mg*15片</v>
      </c>
      <c r="X1918" s="6" t="s">
        <v>2907</v>
      </c>
    </row>
    <row r="1919" spans="1:24" x14ac:dyDescent="0.15">
      <c r="A1919" s="7" t="str">
        <f t="shared" si="62"/>
        <v>201806</v>
      </c>
      <c r="C1919" s="6" t="str">
        <f>INDEX(工厂基础数据!$A$2:$A$1024,MATCH(X1919,工厂基础数据!$D$2:$D$1024,0))</f>
        <v>02029238</v>
      </c>
      <c r="E1919" s="6" t="str">
        <f>INDEX(工厂基础数据!$B$2:$B$1024,MATCH(X1919,工厂基础数据!$D$2:$D$1024,0))</f>
        <v>山东康为医药有限公司</v>
      </c>
      <c r="F1919" s="6" t="e">
        <f>INDEX(商业2转码!$B$2:$B$10000,MATCH(E1919,商业2转码!$A$2:$A$10000,0))</f>
        <v>#N/A</v>
      </c>
      <c r="G1919" s="6" t="str">
        <f>INDEX(品种2编码!$A$2:$A$1048576,MATCH(W1919,品种2编码!$D$2:$D$1048576,0))</f>
        <v>0020020020SJMS0008</v>
      </c>
      <c r="H1919" s="6" t="s">
        <v>1904</v>
      </c>
      <c r="I1919" s="6" t="s">
        <v>1873</v>
      </c>
      <c r="J1919" s="6" t="s">
        <v>3046</v>
      </c>
      <c r="L1919" s="6" t="s">
        <v>3355</v>
      </c>
      <c r="M1919" s="6" t="e">
        <f>INDEX(医院2县区2人!$B$2:$B$1048576,MATCH(L1919,医院2县区2人!$A$2:$A$1048576,0))</f>
        <v>#N/A</v>
      </c>
      <c r="N1919" s="6" t="e">
        <f>INDEX(医院2县区2人!$C$2:$C$1048576,MATCH(L1919,医院2县区2人!$A$2:$A$1048576,0))</f>
        <v>#N/A</v>
      </c>
      <c r="P1919" s="7">
        <v>43276</v>
      </c>
      <c r="Q1919" s="6">
        <v>-3</v>
      </c>
      <c r="S1919" s="6">
        <v>1801004</v>
      </c>
      <c r="T1919" s="6" t="e">
        <f>INDEX(医院2县区2人!$D$2:$D$1048576,MATCH(L1919,医院2县区2人!$A$2:$A$1048576,0))</f>
        <v>#N/A</v>
      </c>
      <c r="W1919" s="6" t="str">
        <f t="shared" ref="W1919:W1981" si="63">H1919&amp;I1919</f>
        <v>拉西地平片/三精司乐平片4mg*15片</v>
      </c>
      <c r="X1919" s="6" t="s">
        <v>2907</v>
      </c>
    </row>
    <row r="1920" spans="1:24" x14ac:dyDescent="0.15">
      <c r="A1920" s="7" t="str">
        <f t="shared" ref="A1920:A1982" si="64">IF(MONTH(P1920)&lt;10,YEAR(P1920)&amp;"0"&amp;MONTH(P1920),YEAR(P1920)&amp;MONTH(P1920))</f>
        <v>201806</v>
      </c>
      <c r="C1920" s="6" t="str">
        <f>INDEX(工厂基础数据!$A$2:$A$1024,MATCH(X1920,工厂基础数据!$D$2:$D$1024,0))</f>
        <v>02029238</v>
      </c>
      <c r="E1920" s="6" t="str">
        <f>INDEX(工厂基础数据!$B$2:$B$1024,MATCH(X1920,工厂基础数据!$D$2:$D$1024,0))</f>
        <v>山东康为医药有限公司</v>
      </c>
      <c r="F1920" s="6" t="e">
        <f>INDEX(商业2转码!$B$2:$B$10000,MATCH(E1920,商业2转码!$A$2:$A$10000,0))</f>
        <v>#N/A</v>
      </c>
      <c r="G1920" s="6" t="str">
        <f>INDEX(品种2编码!$A$2:$A$1048576,MATCH(W1920,品种2编码!$D$2:$D$1048576,0))</f>
        <v>0020030170ZYEC0003</v>
      </c>
      <c r="H1920" s="6" t="s">
        <v>1835</v>
      </c>
      <c r="I1920" s="6" t="s">
        <v>1836</v>
      </c>
      <c r="J1920" s="6" t="s">
        <v>3041</v>
      </c>
      <c r="L1920" s="6" t="s">
        <v>3433</v>
      </c>
      <c r="M1920" s="6" t="e">
        <f>INDEX(医院2县区2人!$B$2:$B$1048576,MATCH(L1920,医院2县区2人!$A$2:$A$1048576,0))</f>
        <v>#N/A</v>
      </c>
      <c r="N1920" s="6" t="e">
        <f>INDEX(医院2县区2人!$C$2:$C$1048576,MATCH(L1920,医院2县区2人!$A$2:$A$1048576,0))</f>
        <v>#N/A</v>
      </c>
      <c r="P1920" s="7">
        <v>43280</v>
      </c>
      <c r="Q1920" s="6">
        <v>-5</v>
      </c>
      <c r="S1920" s="6">
        <v>170511</v>
      </c>
      <c r="T1920" s="6" t="e">
        <f>INDEX(医院2县区2人!$D$2:$D$1048576,MATCH(L1920,医院2县区2人!$A$2:$A$1048576,0))</f>
        <v>#N/A</v>
      </c>
      <c r="W1920" s="6" t="str">
        <f t="shared" si="63"/>
        <v>蒙脱石散3g*12袋</v>
      </c>
      <c r="X1920" s="6" t="s">
        <v>2907</v>
      </c>
    </row>
    <row r="1921" spans="1:24" x14ac:dyDescent="0.15">
      <c r="A1921" s="7" t="str">
        <f t="shared" si="64"/>
        <v>201806</v>
      </c>
      <c r="C1921" s="6" t="str">
        <f>INDEX(工厂基础数据!$A$2:$A$1024,MATCH(X1921,工厂基础数据!$D$2:$D$1024,0))</f>
        <v>02029238</v>
      </c>
      <c r="E1921" s="6" t="str">
        <f>INDEX(工厂基础数据!$B$2:$B$1024,MATCH(X1921,工厂基础数据!$D$2:$D$1024,0))</f>
        <v>山东康为医药有限公司</v>
      </c>
      <c r="F1921" s="6" t="e">
        <f>INDEX(商业2转码!$B$2:$B$10000,MATCH(E1921,商业2转码!$A$2:$A$10000,0))</f>
        <v>#N/A</v>
      </c>
      <c r="G1921" s="6">
        <f>INDEX(品种2编码!$A$2:$A$1048576,MATCH(W1921,品种2编码!$D$2:$D$1048576,0))</f>
        <v>0</v>
      </c>
      <c r="H1921" s="6" t="s">
        <v>317</v>
      </c>
      <c r="I1921" s="6" t="s">
        <v>3291</v>
      </c>
      <c r="J1921" s="6" t="s">
        <v>3037</v>
      </c>
      <c r="L1921" s="6" t="s">
        <v>3433</v>
      </c>
      <c r="M1921" s="6" t="e">
        <f>INDEX(医院2县区2人!$B$2:$B$1048576,MATCH(L1921,医院2县区2人!$A$2:$A$1048576,0))</f>
        <v>#N/A</v>
      </c>
      <c r="N1921" s="6" t="e">
        <f>INDEX(医院2县区2人!$C$2:$C$1048576,MATCH(L1921,医院2县区2人!$A$2:$A$1048576,0))</f>
        <v>#N/A</v>
      </c>
      <c r="P1921" s="7">
        <v>43280</v>
      </c>
      <c r="Q1921" s="6">
        <v>-20</v>
      </c>
      <c r="S1921" s="6">
        <v>1611617</v>
      </c>
      <c r="T1921" s="6" t="e">
        <f>INDEX(医院2县区2人!$D$2:$D$1048576,MATCH(L1921,医院2县区2人!$A$2:$A$1048576,0))</f>
        <v>#N/A</v>
      </c>
      <c r="W1921" s="6" t="str">
        <f t="shared" si="63"/>
        <v>布洛芬颗粒0.2g*12包</v>
      </c>
      <c r="X1921" s="6" t="s">
        <v>2907</v>
      </c>
    </row>
    <row r="1922" spans="1:24" x14ac:dyDescent="0.15">
      <c r="A1922" s="7" t="str">
        <f t="shared" si="64"/>
        <v>201806</v>
      </c>
      <c r="C1922" s="6" t="str">
        <f>INDEX(工厂基础数据!$A$2:$A$1024,MATCH(X1922,工厂基础数据!$D$2:$D$1024,0))</f>
        <v>02029238</v>
      </c>
      <c r="E1922" s="6" t="str">
        <f>INDEX(工厂基础数据!$B$2:$B$1024,MATCH(X1922,工厂基础数据!$D$2:$D$1024,0))</f>
        <v>山东康为医药有限公司</v>
      </c>
      <c r="F1922" s="6" t="e">
        <f>INDEX(商业2转码!$B$2:$B$10000,MATCH(E1922,商业2转码!$A$2:$A$10000,0))</f>
        <v>#N/A</v>
      </c>
      <c r="G1922" s="6">
        <f>INDEX(品种2编码!$A$2:$A$1048576,MATCH(W1922,品种2编码!$D$2:$D$1048576,0))</f>
        <v>0</v>
      </c>
      <c r="H1922" s="6" t="s">
        <v>3447</v>
      </c>
      <c r="I1922" s="6" t="s">
        <v>1838</v>
      </c>
      <c r="J1922" s="6" t="s">
        <v>3036</v>
      </c>
      <c r="L1922" s="6" t="s">
        <v>3433</v>
      </c>
      <c r="M1922" s="6" t="e">
        <f>INDEX(医院2县区2人!$B$2:$B$1048576,MATCH(L1922,医院2县区2人!$A$2:$A$1048576,0))</f>
        <v>#N/A</v>
      </c>
      <c r="N1922" s="6" t="e">
        <f>INDEX(医院2县区2人!$C$2:$C$1048576,MATCH(L1922,医院2县区2人!$A$2:$A$1048576,0))</f>
        <v>#N/A</v>
      </c>
      <c r="P1922" s="7">
        <v>43280</v>
      </c>
      <c r="Q1922" s="6">
        <v>-5</v>
      </c>
      <c r="S1922" s="6">
        <v>171251</v>
      </c>
      <c r="T1922" s="6" t="e">
        <f>INDEX(医院2县区2人!$D$2:$D$1048576,MATCH(L1922,医院2县区2人!$A$2:$A$1048576,0))</f>
        <v>#N/A</v>
      </c>
      <c r="W1922" s="6" t="str">
        <f t="shared" si="63"/>
        <v>新盖中盖高钙片/成人2.5g*36片</v>
      </c>
      <c r="X1922" s="6" t="s">
        <v>2907</v>
      </c>
    </row>
    <row r="1923" spans="1:24" x14ac:dyDescent="0.15">
      <c r="A1923" s="7" t="str">
        <f t="shared" si="64"/>
        <v>201806</v>
      </c>
      <c r="C1923" s="6" t="str">
        <f>INDEX(工厂基础数据!$A$2:$A$1024,MATCH(X1923,工厂基础数据!$D$2:$D$1024,0))</f>
        <v>02029238</v>
      </c>
      <c r="E1923" s="6" t="str">
        <f>INDEX(工厂基础数据!$B$2:$B$1024,MATCH(X1923,工厂基础数据!$D$2:$D$1024,0))</f>
        <v>山东康为医药有限公司</v>
      </c>
      <c r="F1923" s="6" t="e">
        <f>INDEX(商业2转码!$B$2:$B$10000,MATCH(E1923,商业2转码!$A$2:$A$10000,0))</f>
        <v>#N/A</v>
      </c>
      <c r="G1923" s="6">
        <f>INDEX(品种2编码!$A$2:$A$1048576,MATCH(W1923,品种2编码!$D$2:$D$1048576,0))</f>
        <v>0</v>
      </c>
      <c r="H1923" s="6" t="s">
        <v>575</v>
      </c>
      <c r="I1923" s="6" t="s">
        <v>1910</v>
      </c>
      <c r="J1923" s="6" t="s">
        <v>3038</v>
      </c>
      <c r="L1923" s="6" t="s">
        <v>3433</v>
      </c>
      <c r="M1923" s="6" t="e">
        <f>INDEX(医院2县区2人!$B$2:$B$1048576,MATCH(L1923,医院2县区2人!$A$2:$A$1048576,0))</f>
        <v>#N/A</v>
      </c>
      <c r="N1923" s="6" t="e">
        <f>INDEX(医院2县区2人!$C$2:$C$1048576,MATCH(L1923,医院2县区2人!$A$2:$A$1048576,0))</f>
        <v>#N/A</v>
      </c>
      <c r="P1923" s="7">
        <v>43280</v>
      </c>
      <c r="Q1923" s="6">
        <v>-10</v>
      </c>
      <c r="S1923" s="6" t="s">
        <v>3273</v>
      </c>
      <c r="T1923" s="6" t="e">
        <f>INDEX(医院2县区2人!$D$2:$D$1048576,MATCH(L1923,医院2县区2人!$A$2:$A$1048576,0))</f>
        <v>#N/A</v>
      </c>
      <c r="W1923" s="6" t="str">
        <f t="shared" si="63"/>
        <v>青霉素V钾片24片</v>
      </c>
      <c r="X1923" s="6" t="s">
        <v>2907</v>
      </c>
    </row>
    <row r="1924" spans="1:24" x14ac:dyDescent="0.15">
      <c r="A1924" s="7" t="str">
        <f t="shared" si="64"/>
        <v>201806</v>
      </c>
      <c r="C1924" s="6" t="str">
        <f>INDEX(工厂基础数据!$A$2:$A$1024,MATCH(X1924,工厂基础数据!$D$2:$D$1024,0))</f>
        <v>02031912</v>
      </c>
      <c r="E1924" s="6" t="str">
        <f>INDEX(工厂基础数据!$B$2:$B$1024,MATCH(X1924,工厂基础数据!$D$2:$D$1024,0))</f>
        <v>滨州弘德药业有限公司</v>
      </c>
      <c r="F1924" s="6">
        <f>INDEX(商业2转码!$B$2:$B$10000,MATCH(E1924,商业2转码!$A$2:$A$10000,0))</f>
        <v>0</v>
      </c>
      <c r="G1924" s="6" t="str">
        <f>INDEX(品种2编码!$A$2:$A$1048576,MATCH(W1924,品种2编码!$D$2:$D$1048576,0))</f>
        <v>0020020030ZYZC0511</v>
      </c>
      <c r="H1924" s="6" t="s">
        <v>641</v>
      </c>
      <c r="I1924" s="6" t="s">
        <v>434</v>
      </c>
      <c r="J1924" s="6" t="s">
        <v>3038</v>
      </c>
      <c r="L1924" s="6" t="s">
        <v>2275</v>
      </c>
      <c r="M1924" s="6">
        <f>INDEX(医院2县区2人!$B$2:$B$1048576,MATCH(L1924,医院2县区2人!$A$2:$A$1048576,0))</f>
        <v>2</v>
      </c>
      <c r="N1924" s="6" t="str">
        <f>INDEX(医院2县区2人!$C$2:$C$1048576,MATCH(L1924,医院2县区2人!$A$2:$A$1048576,0))</f>
        <v>1853</v>
      </c>
      <c r="P1924" s="7">
        <v>43252</v>
      </c>
      <c r="Q1924" s="6">
        <v>4</v>
      </c>
      <c r="R1924" s="6">
        <v>5.04</v>
      </c>
      <c r="S1924" s="6">
        <v>1802003</v>
      </c>
      <c r="T1924" s="6" t="str">
        <f>INDEX(医院2县区2人!$D$2:$D$1048576,MATCH(L1924,医院2县区2人!$A$2:$A$1048576,0))</f>
        <v>201602151421097</v>
      </c>
      <c r="W1924" s="6" t="str">
        <f t="shared" si="63"/>
        <v>头孢氨苄胶囊0.125g*20粒</v>
      </c>
      <c r="X1924" s="6" t="s">
        <v>2871</v>
      </c>
    </row>
    <row r="1925" spans="1:24" x14ac:dyDescent="0.15">
      <c r="A1925" s="7" t="str">
        <f t="shared" si="64"/>
        <v>201806</v>
      </c>
      <c r="C1925" s="6" t="str">
        <f>INDEX(工厂基础数据!$A$2:$A$1024,MATCH(X1925,工厂基础数据!$D$2:$D$1024,0))</f>
        <v>02031912</v>
      </c>
      <c r="E1925" s="6" t="str">
        <f>INDEX(工厂基础数据!$B$2:$B$1024,MATCH(X1925,工厂基础数据!$D$2:$D$1024,0))</f>
        <v>滨州弘德药业有限公司</v>
      </c>
      <c r="F1925" s="6">
        <f>INDEX(商业2转码!$B$2:$B$10000,MATCH(E1925,商业2转码!$A$2:$A$10000,0))</f>
        <v>0</v>
      </c>
      <c r="G1925" s="6" t="str">
        <f>INDEX(品种2编码!$A$2:$A$1048576,MATCH(W1925,品种2编码!$D$2:$D$1048576,0))</f>
        <v>0020030170ZYEC0003</v>
      </c>
      <c r="H1925" s="6" t="s">
        <v>1835</v>
      </c>
      <c r="I1925" s="6" t="s">
        <v>1836</v>
      </c>
      <c r="J1925" s="6" t="s">
        <v>3041</v>
      </c>
      <c r="L1925" s="6" t="s">
        <v>3459</v>
      </c>
      <c r="M1925" s="6" t="e">
        <f>INDEX(医院2县区2人!$B$2:$B$1048576,MATCH(L1925,医院2县区2人!$A$2:$A$1048576,0))</f>
        <v>#N/A</v>
      </c>
      <c r="N1925" s="6" t="e">
        <f>INDEX(医院2县区2人!$C$2:$C$1048576,MATCH(L1925,医院2县区2人!$A$2:$A$1048576,0))</f>
        <v>#N/A</v>
      </c>
      <c r="P1925" s="7">
        <v>43252</v>
      </c>
      <c r="Q1925" s="6">
        <v>4</v>
      </c>
      <c r="R1925" s="6">
        <v>14.11</v>
      </c>
      <c r="S1925" s="6">
        <v>170511</v>
      </c>
      <c r="T1925" s="6" t="e">
        <f>INDEX(医院2县区2人!$D$2:$D$1048576,MATCH(L1925,医院2县区2人!$A$2:$A$1048576,0))</f>
        <v>#N/A</v>
      </c>
      <c r="W1925" s="6" t="str">
        <f t="shared" si="63"/>
        <v>蒙脱石散3g*12袋</v>
      </c>
      <c r="X1925" s="6" t="s">
        <v>2871</v>
      </c>
    </row>
    <row r="1926" spans="1:24" x14ac:dyDescent="0.15">
      <c r="A1926" s="7" t="str">
        <f t="shared" si="64"/>
        <v>201806</v>
      </c>
      <c r="C1926" s="6" t="str">
        <f>INDEX(工厂基础数据!$A$2:$A$1024,MATCH(X1926,工厂基础数据!$D$2:$D$1024,0))</f>
        <v>02031912</v>
      </c>
      <c r="E1926" s="6" t="str">
        <f>INDEX(工厂基础数据!$B$2:$B$1024,MATCH(X1926,工厂基础数据!$D$2:$D$1024,0))</f>
        <v>滨州弘德药业有限公司</v>
      </c>
      <c r="F1926" s="6">
        <f>INDEX(商业2转码!$B$2:$B$10000,MATCH(E1926,商业2转码!$A$2:$A$10000,0))</f>
        <v>0</v>
      </c>
      <c r="G1926" s="6" t="str">
        <f>INDEX(品种2编码!$A$2:$A$1048576,MATCH(W1926,品种2编码!$D$2:$D$1048576,0))</f>
        <v>0020020021ZYLC0004</v>
      </c>
      <c r="H1926" s="6" t="s">
        <v>1950</v>
      </c>
      <c r="I1926" s="6" t="s">
        <v>1869</v>
      </c>
      <c r="J1926" s="6" t="s">
        <v>3036</v>
      </c>
      <c r="L1926" s="6" t="s">
        <v>2224</v>
      </c>
      <c r="M1926" s="6">
        <f>INDEX(医院2县区2人!$B$2:$B$1048576,MATCH(L1926,医院2县区2人!$A$2:$A$1048576,0))</f>
        <v>2</v>
      </c>
      <c r="N1926" s="6" t="str">
        <f>INDEX(医院2县区2人!$C$2:$C$1048576,MATCH(L1926,医院2县区2人!$A$2:$A$1048576,0))</f>
        <v>1853</v>
      </c>
      <c r="P1926" s="7">
        <v>43252</v>
      </c>
      <c r="Q1926" s="6">
        <v>3</v>
      </c>
      <c r="R1926" s="6">
        <v>8</v>
      </c>
      <c r="S1926" s="6">
        <v>180201</v>
      </c>
      <c r="T1926" s="6" t="str">
        <f>INDEX(医院2县区2人!$D$2:$D$1048576,MATCH(L1926,医院2县区2人!$A$2:$A$1048576,0))</f>
        <v>201602151421097</v>
      </c>
      <c r="W1926" s="6" t="str">
        <f t="shared" si="63"/>
        <v>罗红霉素分散片75mg*12片</v>
      </c>
      <c r="X1926" s="6" t="s">
        <v>2871</v>
      </c>
    </row>
    <row r="1927" spans="1:24" x14ac:dyDescent="0.15">
      <c r="A1927" s="7" t="str">
        <f t="shared" si="64"/>
        <v>201806</v>
      </c>
      <c r="C1927" s="6" t="str">
        <f>INDEX(工厂基础数据!$A$2:$A$1024,MATCH(X1927,工厂基础数据!$D$2:$D$1024,0))</f>
        <v>02031912</v>
      </c>
      <c r="E1927" s="6" t="str">
        <f>INDEX(工厂基础数据!$B$2:$B$1024,MATCH(X1927,工厂基础数据!$D$2:$D$1024,0))</f>
        <v>滨州弘德药业有限公司</v>
      </c>
      <c r="F1927" s="6">
        <f>INDEX(商业2转码!$B$2:$B$10000,MATCH(E1927,商业2转码!$A$2:$A$10000,0))</f>
        <v>0</v>
      </c>
      <c r="G1927" s="6" t="str">
        <f>INDEX(品种2编码!$A$2:$A$1048576,MATCH(W1927,品种2编码!$D$2:$D$1048576,0))</f>
        <v>0020030020SJSC0004</v>
      </c>
      <c r="H1927" s="6" t="s">
        <v>394</v>
      </c>
      <c r="I1927" s="6" t="s">
        <v>1871</v>
      </c>
      <c r="J1927" s="6" t="s">
        <v>3045</v>
      </c>
      <c r="L1927" s="6" t="s">
        <v>2715</v>
      </c>
      <c r="M1927" s="6">
        <f>INDEX(医院2县区2人!$B$2:$B$1048576,MATCH(L1927,医院2县区2人!$A$2:$A$1048576,0))</f>
        <v>2</v>
      </c>
      <c r="N1927" s="6" t="str">
        <f>INDEX(医院2县区2人!$C$2:$C$1048576,MATCH(L1927,医院2县区2人!$A$2:$A$1048576,0))</f>
        <v>1855</v>
      </c>
      <c r="P1927" s="7">
        <v>43252</v>
      </c>
      <c r="Q1927" s="6">
        <v>10</v>
      </c>
      <c r="R1927" s="6">
        <v>11</v>
      </c>
      <c r="S1927" s="6">
        <v>1712032</v>
      </c>
      <c r="T1927" s="6" t="str">
        <f>INDEX(医院2县区2人!$D$2:$D$1048576,MATCH(L1927,医院2县区2人!$A$2:$A$1048576,0))</f>
        <v>201602151421097</v>
      </c>
      <c r="W1927" s="6" t="str">
        <f t="shared" si="63"/>
        <v>复方铝酸铋片50片</v>
      </c>
      <c r="X1927" s="6" t="s">
        <v>2871</v>
      </c>
    </row>
    <row r="1928" spans="1:24" x14ac:dyDescent="0.15">
      <c r="A1928" s="7" t="str">
        <f t="shared" si="64"/>
        <v>201806</v>
      </c>
      <c r="C1928" s="6" t="str">
        <f>INDEX(工厂基础数据!$A$2:$A$1024,MATCH(X1928,工厂基础数据!$D$2:$D$1024,0))</f>
        <v>02031912</v>
      </c>
      <c r="E1928" s="6" t="str">
        <f>INDEX(工厂基础数据!$B$2:$B$1024,MATCH(X1928,工厂基础数据!$D$2:$D$1024,0))</f>
        <v>滨州弘德药业有限公司</v>
      </c>
      <c r="F1928" s="6">
        <f>INDEX(商业2转码!$B$2:$B$10000,MATCH(E1928,商业2转码!$A$2:$A$10000,0))</f>
        <v>0</v>
      </c>
      <c r="G1928" s="6" t="str">
        <f>INDEX(品种2编码!$A$2:$A$1048576,MATCH(W1928,品种2编码!$D$2:$D$1048576,0))</f>
        <v>0020030001SJZY0006</v>
      </c>
      <c r="H1928" s="6" t="s">
        <v>1833</v>
      </c>
      <c r="I1928" s="6" t="s">
        <v>411</v>
      </c>
      <c r="J1928" s="6" t="s">
        <v>3040</v>
      </c>
      <c r="L1928" s="6" t="s">
        <v>2715</v>
      </c>
      <c r="M1928" s="6">
        <f>INDEX(医院2县区2人!$B$2:$B$1048576,MATCH(L1928,医院2县区2人!$A$2:$A$1048576,0))</f>
        <v>2</v>
      </c>
      <c r="N1928" s="6" t="str">
        <f>INDEX(医院2县区2人!$C$2:$C$1048576,MATCH(L1928,医院2县区2人!$A$2:$A$1048576,0))</f>
        <v>1855</v>
      </c>
      <c r="P1928" s="7">
        <v>43252</v>
      </c>
      <c r="Q1928" s="6">
        <v>5</v>
      </c>
      <c r="R1928" s="6">
        <v>22</v>
      </c>
      <c r="S1928" s="6">
        <v>17071033</v>
      </c>
      <c r="T1928" s="6" t="str">
        <f>INDEX(医院2县区2人!$D$2:$D$1048576,MATCH(L1928,医院2县区2人!$A$2:$A$1048576,0))</f>
        <v>201602151421097</v>
      </c>
      <c r="W1928" s="6" t="str">
        <f t="shared" si="63"/>
        <v>葡萄糖酸钙口服溶液10ml*12支</v>
      </c>
      <c r="X1928" s="6" t="s">
        <v>2871</v>
      </c>
    </row>
    <row r="1929" spans="1:24" x14ac:dyDescent="0.15">
      <c r="A1929" s="7" t="str">
        <f t="shared" si="64"/>
        <v>201806</v>
      </c>
      <c r="C1929" s="6" t="str">
        <f>INDEX(工厂基础数据!$A$2:$A$1024,MATCH(X1929,工厂基础数据!$D$2:$D$1024,0))</f>
        <v>02031912</v>
      </c>
      <c r="E1929" s="6" t="str">
        <f>INDEX(工厂基础数据!$B$2:$B$1024,MATCH(X1929,工厂基础数据!$D$2:$D$1024,0))</f>
        <v>滨州弘德药业有限公司</v>
      </c>
      <c r="F1929" s="6">
        <f>INDEX(商业2转码!$B$2:$B$10000,MATCH(E1929,商业2转码!$A$2:$A$10000,0))</f>
        <v>0</v>
      </c>
      <c r="G1929" s="6" t="str">
        <f>INDEX(品种2编码!$A$2:$A$1048576,MATCH(W1929,品种2编码!$D$2:$D$1048576,0))</f>
        <v>0020030001SJZY0009</v>
      </c>
      <c r="H1929" s="6" t="s">
        <v>1949</v>
      </c>
      <c r="I1929" s="6" t="s">
        <v>411</v>
      </c>
      <c r="J1929" s="6" t="s">
        <v>3040</v>
      </c>
      <c r="L1929" s="6" t="s">
        <v>2715</v>
      </c>
      <c r="M1929" s="6">
        <f>INDEX(医院2县区2人!$B$2:$B$1048576,MATCH(L1929,医院2县区2人!$A$2:$A$1048576,0))</f>
        <v>2</v>
      </c>
      <c r="N1929" s="6" t="str">
        <f>INDEX(医院2县区2人!$C$2:$C$1048576,MATCH(L1929,医院2县区2人!$A$2:$A$1048576,0))</f>
        <v>1855</v>
      </c>
      <c r="P1929" s="7">
        <v>43252</v>
      </c>
      <c r="Q1929" s="6">
        <v>30</v>
      </c>
      <c r="R1929" s="6">
        <v>23</v>
      </c>
      <c r="S1929" s="6">
        <v>17070527</v>
      </c>
      <c r="T1929" s="6" t="str">
        <f>INDEX(医院2县区2人!$D$2:$D$1048576,MATCH(L1929,医院2县区2人!$A$2:$A$1048576,0))</f>
        <v>201602151421097</v>
      </c>
      <c r="W1929" s="6" t="str">
        <f t="shared" si="63"/>
        <v>葡萄糖酸锌口服溶液10ml*12支</v>
      </c>
      <c r="X1929" s="6" t="s">
        <v>2871</v>
      </c>
    </row>
    <row r="1930" spans="1:24" x14ac:dyDescent="0.15">
      <c r="A1930" s="7" t="str">
        <f t="shared" si="64"/>
        <v>201806</v>
      </c>
      <c r="C1930" s="6" t="str">
        <f>INDEX(工厂基础数据!$A$2:$A$1024,MATCH(X1930,工厂基础数据!$D$2:$D$1024,0))</f>
        <v>02031912</v>
      </c>
      <c r="E1930" s="6" t="str">
        <f>INDEX(工厂基础数据!$B$2:$B$1024,MATCH(X1930,工厂基础数据!$D$2:$D$1024,0))</f>
        <v>滨州弘德药业有限公司</v>
      </c>
      <c r="F1930" s="6">
        <f>INDEX(商业2转码!$B$2:$B$10000,MATCH(E1930,商业2转码!$A$2:$A$10000,0))</f>
        <v>0</v>
      </c>
      <c r="G1930" s="6" t="str">
        <f>INDEX(品种2编码!$A$2:$A$1048576,MATCH(W1930,品种2编码!$D$2:$D$1048576,0))</f>
        <v>0020020020ZYLC0010</v>
      </c>
      <c r="H1930" s="6" t="s">
        <v>1855</v>
      </c>
      <c r="I1930" s="6" t="s">
        <v>1957</v>
      </c>
      <c r="J1930" s="6" t="s">
        <v>3036</v>
      </c>
      <c r="L1930" s="6" t="s">
        <v>2715</v>
      </c>
      <c r="M1930" s="6">
        <f>INDEX(医院2县区2人!$B$2:$B$1048576,MATCH(L1930,医院2县区2人!$A$2:$A$1048576,0))</f>
        <v>2</v>
      </c>
      <c r="N1930" s="6" t="str">
        <f>INDEX(医院2县区2人!$C$2:$C$1048576,MATCH(L1930,医院2县区2人!$A$2:$A$1048576,0))</f>
        <v>1855</v>
      </c>
      <c r="P1930" s="7">
        <v>43252</v>
      </c>
      <c r="Q1930" s="6">
        <v>20</v>
      </c>
      <c r="R1930" s="6">
        <v>3.5</v>
      </c>
      <c r="S1930" s="6">
        <v>180115</v>
      </c>
      <c r="T1930" s="6" t="str">
        <f>INDEX(医院2县区2人!$D$2:$D$1048576,MATCH(L1930,医院2县区2人!$A$2:$A$1048576,0))</f>
        <v>201602151421097</v>
      </c>
      <c r="W1930" s="6" t="str">
        <f t="shared" si="63"/>
        <v>颠茄磺苄啶片10片/瓶</v>
      </c>
      <c r="X1930" s="6" t="s">
        <v>2871</v>
      </c>
    </row>
    <row r="1931" spans="1:24" x14ac:dyDescent="0.15">
      <c r="A1931" s="7" t="str">
        <f t="shared" si="64"/>
        <v>201806</v>
      </c>
      <c r="C1931" s="6" t="str">
        <f>INDEX(工厂基础数据!$A$2:$A$1024,MATCH(X1931,工厂基础数据!$D$2:$D$1024,0))</f>
        <v>02031912</v>
      </c>
      <c r="E1931" s="6" t="str">
        <f>INDEX(工厂基础数据!$B$2:$B$1024,MATCH(X1931,工厂基础数据!$D$2:$D$1024,0))</f>
        <v>滨州弘德药业有限公司</v>
      </c>
      <c r="F1931" s="6">
        <f>INDEX(商业2转码!$B$2:$B$10000,MATCH(E1931,商业2转码!$A$2:$A$10000,0))</f>
        <v>0</v>
      </c>
      <c r="G1931" s="6" t="str">
        <f>INDEX(品种2编码!$A$2:$A$1048576,MATCH(W1931,品种2编码!$D$2:$D$1048576,0))</f>
        <v>0020070000ZYLC0052</v>
      </c>
      <c r="H1931" s="6" t="s">
        <v>1844</v>
      </c>
      <c r="I1931" s="6" t="s">
        <v>411</v>
      </c>
      <c r="J1931" s="6" t="s">
        <v>3036</v>
      </c>
      <c r="L1931" s="6" t="s">
        <v>2715</v>
      </c>
      <c r="M1931" s="6">
        <f>INDEX(医院2县区2人!$B$2:$B$1048576,MATCH(L1931,医院2县区2人!$A$2:$A$1048576,0))</f>
        <v>2</v>
      </c>
      <c r="N1931" s="6" t="str">
        <f>INDEX(医院2县区2人!$C$2:$C$1048576,MATCH(L1931,医院2县区2人!$A$2:$A$1048576,0))</f>
        <v>1855</v>
      </c>
      <c r="P1931" s="7">
        <v>43252</v>
      </c>
      <c r="Q1931" s="6">
        <v>30</v>
      </c>
      <c r="R1931" s="6">
        <v>17</v>
      </c>
      <c r="S1931" s="6">
        <v>170801</v>
      </c>
      <c r="T1931" s="6" t="str">
        <f>INDEX(医院2县区2人!$D$2:$D$1048576,MATCH(L1931,医院2县区2人!$A$2:$A$1048576,0))</f>
        <v>201602151421097</v>
      </c>
      <c r="W1931" s="6" t="str">
        <f t="shared" si="63"/>
        <v>哈药六牌钙加锌口服液10ml*12支</v>
      </c>
      <c r="X1931" s="6" t="s">
        <v>2871</v>
      </c>
    </row>
    <row r="1932" spans="1:24" x14ac:dyDescent="0.15">
      <c r="A1932" s="7" t="str">
        <f t="shared" si="64"/>
        <v>201806</v>
      </c>
      <c r="C1932" s="6" t="str">
        <f>INDEX(工厂基础数据!$A$2:$A$1024,MATCH(X1932,工厂基础数据!$D$2:$D$1024,0))</f>
        <v>02031912</v>
      </c>
      <c r="E1932" s="6" t="str">
        <f>INDEX(工厂基础数据!$B$2:$B$1024,MATCH(X1932,工厂基础数据!$D$2:$D$1024,0))</f>
        <v>滨州弘德药业有限公司</v>
      </c>
      <c r="F1932" s="6">
        <f>INDEX(商业2转码!$B$2:$B$10000,MATCH(E1932,商业2转码!$A$2:$A$10000,0))</f>
        <v>0</v>
      </c>
      <c r="G1932" s="6" t="str">
        <f>INDEX(品种2编码!$A$2:$A$1048576,MATCH(W1932,品种2编码!$D$2:$D$1048576,0))</f>
        <v>0020070000ZYLC0001</v>
      </c>
      <c r="H1932" s="6" t="s">
        <v>725</v>
      </c>
      <c r="I1932" s="6" t="s">
        <v>1838</v>
      </c>
      <c r="J1932" s="6" t="s">
        <v>3036</v>
      </c>
      <c r="L1932" s="6" t="s">
        <v>2715</v>
      </c>
      <c r="M1932" s="6">
        <f>INDEX(医院2县区2人!$B$2:$B$1048576,MATCH(L1932,医院2县区2人!$A$2:$A$1048576,0))</f>
        <v>2</v>
      </c>
      <c r="N1932" s="6" t="str">
        <f>INDEX(医院2县区2人!$C$2:$C$1048576,MATCH(L1932,医院2县区2人!$A$2:$A$1048576,0))</f>
        <v>1855</v>
      </c>
      <c r="P1932" s="7">
        <v>43252</v>
      </c>
      <c r="Q1932" s="6">
        <v>20</v>
      </c>
      <c r="R1932" s="6">
        <v>24</v>
      </c>
      <c r="S1932" s="6">
        <v>180105</v>
      </c>
      <c r="T1932" s="6" t="str">
        <f>INDEX(医院2县区2人!$D$2:$D$1048576,MATCH(L1932,医院2县区2人!$A$2:$A$1048576,0))</f>
        <v>201602151421097</v>
      </c>
      <c r="W1932" s="6" t="str">
        <f t="shared" si="63"/>
        <v>新盖中盖牌高钙片2.5g*36片</v>
      </c>
      <c r="X1932" s="6" t="s">
        <v>2871</v>
      </c>
    </row>
    <row r="1933" spans="1:24" x14ac:dyDescent="0.15">
      <c r="A1933" s="7" t="str">
        <f t="shared" si="64"/>
        <v>201806</v>
      </c>
      <c r="C1933" s="6" t="str">
        <f>INDEX(工厂基础数据!$A$2:$A$1024,MATCH(X1933,工厂基础数据!$D$2:$D$1024,0))</f>
        <v>02031912</v>
      </c>
      <c r="E1933" s="6" t="str">
        <f>INDEX(工厂基础数据!$B$2:$B$1024,MATCH(X1933,工厂基础数据!$D$2:$D$1024,0))</f>
        <v>滨州弘德药业有限公司</v>
      </c>
      <c r="F1933" s="6">
        <f>INDEX(商业2转码!$B$2:$B$10000,MATCH(E1933,商业2转码!$A$2:$A$10000,0))</f>
        <v>0</v>
      </c>
      <c r="G1933" s="6" t="str">
        <f>INDEX(品种2编码!$A$2:$A$1048576,MATCH(W1933,品种2编码!$D$2:$D$1048576,0))</f>
        <v>0020020020ZYLC0010</v>
      </c>
      <c r="H1933" s="6" t="s">
        <v>1855</v>
      </c>
      <c r="I1933" s="6" t="s">
        <v>1957</v>
      </c>
      <c r="J1933" s="6" t="s">
        <v>3036</v>
      </c>
      <c r="L1933" s="6" t="s">
        <v>2409</v>
      </c>
      <c r="M1933" s="6">
        <f>INDEX(医院2县区2人!$B$2:$B$1048576,MATCH(L1933,医院2县区2人!$A$2:$A$1048576,0))</f>
        <v>2</v>
      </c>
      <c r="N1933" s="6" t="str">
        <f>INDEX(医院2县区2人!$C$2:$C$1048576,MATCH(L1933,医院2县区2人!$A$2:$A$1048576,0))</f>
        <v>1859</v>
      </c>
      <c r="P1933" s="7">
        <v>43252</v>
      </c>
      <c r="Q1933" s="6">
        <v>20</v>
      </c>
      <c r="R1933" s="6">
        <v>3.5</v>
      </c>
      <c r="S1933" s="6">
        <v>180115</v>
      </c>
      <c r="T1933" s="6" t="str">
        <f>INDEX(医院2县区2人!$D$2:$D$1048576,MATCH(L1933,医院2县区2人!$A$2:$A$1048576,0))</f>
        <v>201602151421097</v>
      </c>
      <c r="W1933" s="6" t="str">
        <f t="shared" si="63"/>
        <v>颠茄磺苄啶片10片/瓶</v>
      </c>
      <c r="X1933" s="6" t="s">
        <v>2871</v>
      </c>
    </row>
    <row r="1934" spans="1:24" x14ac:dyDescent="0.15">
      <c r="A1934" s="7" t="str">
        <f t="shared" si="64"/>
        <v>201806</v>
      </c>
      <c r="C1934" s="6" t="str">
        <f>INDEX(工厂基础数据!$A$2:$A$1024,MATCH(X1934,工厂基础数据!$D$2:$D$1024,0))</f>
        <v>02031912</v>
      </c>
      <c r="E1934" s="6" t="str">
        <f>INDEX(工厂基础数据!$B$2:$B$1024,MATCH(X1934,工厂基础数据!$D$2:$D$1024,0))</f>
        <v>滨州弘德药业有限公司</v>
      </c>
      <c r="F1934" s="6">
        <f>INDEX(商业2转码!$B$2:$B$10000,MATCH(E1934,商业2转码!$A$2:$A$10000,0))</f>
        <v>0</v>
      </c>
      <c r="G1934" s="6" t="str">
        <f>INDEX(品种2编码!$A$2:$A$1048576,MATCH(W1934,品种2编码!$D$2:$D$1048576,0))</f>
        <v>0020030020ZYLC0013</v>
      </c>
      <c r="H1934" s="6" t="s">
        <v>591</v>
      </c>
      <c r="I1934" s="6" t="s">
        <v>1951</v>
      </c>
      <c r="J1934" s="6" t="s">
        <v>3036</v>
      </c>
      <c r="L1934" s="6" t="s">
        <v>2446</v>
      </c>
      <c r="M1934" s="6">
        <f>INDEX(医院2县区2人!$B$2:$B$1048576,MATCH(L1934,医院2县区2人!$A$2:$A$1048576,0))</f>
        <v>2</v>
      </c>
      <c r="N1934" s="6" t="str">
        <f>INDEX(医院2县区2人!$C$2:$C$1048576,MATCH(L1934,医院2县区2人!$A$2:$A$1048576,0))</f>
        <v>1853</v>
      </c>
      <c r="P1934" s="7">
        <v>43254</v>
      </c>
      <c r="Q1934" s="6">
        <v>1</v>
      </c>
      <c r="R1934" s="6">
        <v>9</v>
      </c>
      <c r="S1934" s="6">
        <v>180304</v>
      </c>
      <c r="T1934" s="6" t="str">
        <f>INDEX(医院2县区2人!$D$2:$D$1048576,MATCH(L1934,医院2县区2人!$A$2:$A$1048576,0))</f>
        <v>201602151421097</v>
      </c>
      <c r="W1934" s="6" t="str">
        <f t="shared" si="63"/>
        <v>乳酸菌素片0.4g*12片*3板</v>
      </c>
      <c r="X1934" s="6" t="s">
        <v>2871</v>
      </c>
    </row>
    <row r="1935" spans="1:24" x14ac:dyDescent="0.15">
      <c r="A1935" s="7" t="str">
        <f t="shared" si="64"/>
        <v>201806</v>
      </c>
      <c r="C1935" s="6" t="str">
        <f>INDEX(工厂基础数据!$A$2:$A$1024,MATCH(X1935,工厂基础数据!$D$2:$D$1024,0))</f>
        <v>02031912</v>
      </c>
      <c r="E1935" s="6" t="str">
        <f>INDEX(工厂基础数据!$B$2:$B$1024,MATCH(X1935,工厂基础数据!$D$2:$D$1024,0))</f>
        <v>滨州弘德药业有限公司</v>
      </c>
      <c r="F1935" s="6">
        <f>INDEX(商业2转码!$B$2:$B$10000,MATCH(E1935,商业2转码!$A$2:$A$10000,0))</f>
        <v>0</v>
      </c>
      <c r="G1935" s="6" t="str">
        <f>INDEX(品种2编码!$A$2:$A$1048576,MATCH(W1935,品种2编码!$D$2:$D$1048576,0))</f>
        <v>0020030001SJZY0006</v>
      </c>
      <c r="H1935" s="6" t="s">
        <v>1833</v>
      </c>
      <c r="I1935" s="6" t="s">
        <v>411</v>
      </c>
      <c r="J1935" s="6" t="s">
        <v>3040</v>
      </c>
      <c r="L1935" s="6" t="s">
        <v>2594</v>
      </c>
      <c r="M1935" s="6">
        <f>INDEX(医院2县区2人!$B$2:$B$1048576,MATCH(L1935,医院2县区2人!$A$2:$A$1048576,0))</f>
        <v>2</v>
      </c>
      <c r="N1935" s="6" t="str">
        <f>INDEX(医院2县区2人!$C$2:$C$1048576,MATCH(L1935,医院2县区2人!$A$2:$A$1048576,0))</f>
        <v>1853</v>
      </c>
      <c r="P1935" s="7">
        <v>43254</v>
      </c>
      <c r="Q1935" s="6">
        <v>10</v>
      </c>
      <c r="R1935" s="6">
        <v>25</v>
      </c>
      <c r="S1935" s="6">
        <v>17071033</v>
      </c>
      <c r="T1935" s="6" t="str">
        <f>INDEX(医院2县区2人!$D$2:$D$1048576,MATCH(L1935,医院2县区2人!$A$2:$A$1048576,0))</f>
        <v>201602151421097</v>
      </c>
      <c r="W1935" s="6" t="str">
        <f t="shared" si="63"/>
        <v>葡萄糖酸钙口服溶液10ml*12支</v>
      </c>
      <c r="X1935" s="6" t="s">
        <v>2871</v>
      </c>
    </row>
    <row r="1936" spans="1:24" x14ac:dyDescent="0.15">
      <c r="A1936" s="7" t="str">
        <f t="shared" si="64"/>
        <v>201806</v>
      </c>
      <c r="C1936" s="6" t="str">
        <f>INDEX(工厂基础数据!$A$2:$A$1024,MATCH(X1936,工厂基础数据!$D$2:$D$1024,0))</f>
        <v>02031912</v>
      </c>
      <c r="E1936" s="6" t="str">
        <f>INDEX(工厂基础数据!$B$2:$B$1024,MATCH(X1936,工厂基础数据!$D$2:$D$1024,0))</f>
        <v>滨州弘德药业有限公司</v>
      </c>
      <c r="F1936" s="6">
        <f>INDEX(商业2转码!$B$2:$B$10000,MATCH(E1936,商业2转码!$A$2:$A$10000,0))</f>
        <v>0</v>
      </c>
      <c r="G1936" s="6" t="str">
        <f>INDEX(品种2编码!$A$2:$A$1048576,MATCH(W1936,品种2编码!$D$2:$D$1048576,0))</f>
        <v>0020030001SJZY0009</v>
      </c>
      <c r="H1936" s="6" t="s">
        <v>1949</v>
      </c>
      <c r="I1936" s="6" t="s">
        <v>411</v>
      </c>
      <c r="J1936" s="6" t="s">
        <v>3040</v>
      </c>
      <c r="L1936" s="6" t="s">
        <v>2594</v>
      </c>
      <c r="M1936" s="6">
        <f>INDEX(医院2县区2人!$B$2:$B$1048576,MATCH(L1936,医院2县区2人!$A$2:$A$1048576,0))</f>
        <v>2</v>
      </c>
      <c r="N1936" s="6" t="str">
        <f>INDEX(医院2县区2人!$C$2:$C$1048576,MATCH(L1936,医院2县区2人!$A$2:$A$1048576,0))</f>
        <v>1853</v>
      </c>
      <c r="P1936" s="7">
        <v>43254</v>
      </c>
      <c r="Q1936" s="6">
        <v>10</v>
      </c>
      <c r="R1936" s="6">
        <v>25</v>
      </c>
      <c r="S1936" s="6">
        <v>17070527</v>
      </c>
      <c r="T1936" s="6" t="str">
        <f>INDEX(医院2县区2人!$D$2:$D$1048576,MATCH(L1936,医院2县区2人!$A$2:$A$1048576,0))</f>
        <v>201602151421097</v>
      </c>
      <c r="W1936" s="6" t="str">
        <f t="shared" si="63"/>
        <v>葡萄糖酸锌口服溶液10ml*12支</v>
      </c>
      <c r="X1936" s="6" t="s">
        <v>2871</v>
      </c>
    </row>
    <row r="1937" spans="1:24" x14ac:dyDescent="0.15">
      <c r="A1937" s="7" t="str">
        <f t="shared" si="64"/>
        <v>201806</v>
      </c>
      <c r="C1937" s="6" t="str">
        <f>INDEX(工厂基础数据!$A$2:$A$1024,MATCH(X1937,工厂基础数据!$D$2:$D$1024,0))</f>
        <v>02031912</v>
      </c>
      <c r="E1937" s="6" t="str">
        <f>INDEX(工厂基础数据!$B$2:$B$1024,MATCH(X1937,工厂基础数据!$D$2:$D$1024,0))</f>
        <v>滨州弘德药业有限公司</v>
      </c>
      <c r="F1937" s="6">
        <f>INDEX(商业2转码!$B$2:$B$10000,MATCH(E1937,商业2转码!$A$2:$A$10000,0))</f>
        <v>0</v>
      </c>
      <c r="G1937" s="6" t="str">
        <f>INDEX(品种2编码!$A$2:$A$1048576,MATCH(W1937,品种2编码!$D$2:$D$1048576,0))</f>
        <v>0020030001SJZY0006</v>
      </c>
      <c r="H1937" s="6" t="s">
        <v>1833</v>
      </c>
      <c r="I1937" s="6" t="s">
        <v>411</v>
      </c>
      <c r="J1937" s="6" t="s">
        <v>3040</v>
      </c>
      <c r="L1937" s="6" t="s">
        <v>2417</v>
      </c>
      <c r="M1937" s="6">
        <f>INDEX(医院2县区2人!$B$2:$B$1048576,MATCH(L1937,医院2县区2人!$A$2:$A$1048576,0))</f>
        <v>1</v>
      </c>
      <c r="N1937" s="6" t="str">
        <f>INDEX(医院2县区2人!$C$2:$C$1048576,MATCH(L1937,医院2县区2人!$A$2:$A$1048576,0))</f>
        <v>1856</v>
      </c>
      <c r="P1937" s="7">
        <v>43255</v>
      </c>
      <c r="Q1937" s="6">
        <v>30</v>
      </c>
      <c r="R1937" s="6">
        <v>22</v>
      </c>
      <c r="S1937" s="6">
        <v>17071033</v>
      </c>
      <c r="T1937" s="6" t="str">
        <f>INDEX(医院2县区2人!$D$2:$D$1048576,MATCH(L1937,医院2县区2人!$A$2:$A$1048576,0))</f>
        <v>201602151421097</v>
      </c>
      <c r="W1937" s="6" t="str">
        <f t="shared" si="63"/>
        <v>葡萄糖酸钙口服溶液10ml*12支</v>
      </c>
      <c r="X1937" s="6" t="s">
        <v>2871</v>
      </c>
    </row>
    <row r="1938" spans="1:24" x14ac:dyDescent="0.15">
      <c r="A1938" s="7" t="str">
        <f t="shared" si="64"/>
        <v>201806</v>
      </c>
      <c r="C1938" s="6" t="str">
        <f>INDEX(工厂基础数据!$A$2:$A$1024,MATCH(X1938,工厂基础数据!$D$2:$D$1024,0))</f>
        <v>02031912</v>
      </c>
      <c r="E1938" s="6" t="str">
        <f>INDEX(工厂基础数据!$B$2:$B$1024,MATCH(X1938,工厂基础数据!$D$2:$D$1024,0))</f>
        <v>滨州弘德药业有限公司</v>
      </c>
      <c r="F1938" s="6">
        <f>INDEX(商业2转码!$B$2:$B$10000,MATCH(E1938,商业2转码!$A$2:$A$10000,0))</f>
        <v>0</v>
      </c>
      <c r="G1938" s="6" t="str">
        <f>INDEX(品种2编码!$A$2:$A$1048576,MATCH(W1938,品种2编码!$D$2:$D$1048576,0))</f>
        <v>0020030001SJZY0009</v>
      </c>
      <c r="H1938" s="6" t="s">
        <v>1949</v>
      </c>
      <c r="I1938" s="6" t="s">
        <v>411</v>
      </c>
      <c r="J1938" s="6" t="s">
        <v>3040</v>
      </c>
      <c r="L1938" s="6" t="s">
        <v>2417</v>
      </c>
      <c r="M1938" s="6">
        <f>INDEX(医院2县区2人!$B$2:$B$1048576,MATCH(L1938,医院2县区2人!$A$2:$A$1048576,0))</f>
        <v>1</v>
      </c>
      <c r="N1938" s="6" t="str">
        <f>INDEX(医院2县区2人!$C$2:$C$1048576,MATCH(L1938,医院2县区2人!$A$2:$A$1048576,0))</f>
        <v>1856</v>
      </c>
      <c r="P1938" s="7">
        <v>43255</v>
      </c>
      <c r="Q1938" s="6">
        <v>28</v>
      </c>
      <c r="R1938" s="6">
        <v>23</v>
      </c>
      <c r="S1938" s="6">
        <v>17070527</v>
      </c>
      <c r="T1938" s="6" t="str">
        <f>INDEX(医院2县区2人!$D$2:$D$1048576,MATCH(L1938,医院2县区2人!$A$2:$A$1048576,0))</f>
        <v>201602151421097</v>
      </c>
      <c r="W1938" s="6" t="str">
        <f t="shared" si="63"/>
        <v>葡萄糖酸锌口服溶液10ml*12支</v>
      </c>
      <c r="X1938" s="6" t="s">
        <v>2871</v>
      </c>
    </row>
    <row r="1939" spans="1:24" x14ac:dyDescent="0.15">
      <c r="A1939" s="7" t="str">
        <f t="shared" si="64"/>
        <v>201806</v>
      </c>
      <c r="C1939" s="6" t="str">
        <f>INDEX(工厂基础数据!$A$2:$A$1024,MATCH(X1939,工厂基础数据!$D$2:$D$1024,0))</f>
        <v>02031912</v>
      </c>
      <c r="E1939" s="6" t="str">
        <f>INDEX(工厂基础数据!$B$2:$B$1024,MATCH(X1939,工厂基础数据!$D$2:$D$1024,0))</f>
        <v>滨州弘德药业有限公司</v>
      </c>
      <c r="F1939" s="6">
        <f>INDEX(商业2转码!$B$2:$B$10000,MATCH(E1939,商业2转码!$A$2:$A$10000,0))</f>
        <v>0</v>
      </c>
      <c r="G1939" s="6" t="str">
        <f>INDEX(品种2编码!$A$2:$A$1048576,MATCH(W1939,品种2编码!$D$2:$D$1048576,0))</f>
        <v>0020020021ZYLC0011</v>
      </c>
      <c r="H1939" s="6" t="s">
        <v>1950</v>
      </c>
      <c r="I1939" s="6" t="s">
        <v>1891</v>
      </c>
      <c r="J1939" s="6" t="s">
        <v>3036</v>
      </c>
      <c r="L1939" s="6" t="s">
        <v>2417</v>
      </c>
      <c r="M1939" s="6">
        <f>INDEX(医院2县区2人!$B$2:$B$1048576,MATCH(L1939,医院2县区2人!$A$2:$A$1048576,0))</f>
        <v>1</v>
      </c>
      <c r="N1939" s="6" t="str">
        <f>INDEX(医院2县区2人!$C$2:$C$1048576,MATCH(L1939,医院2县区2人!$A$2:$A$1048576,0))</f>
        <v>1856</v>
      </c>
      <c r="P1939" s="7">
        <v>43255</v>
      </c>
      <c r="Q1939" s="6">
        <v>10</v>
      </c>
      <c r="R1939" s="6">
        <v>0.01</v>
      </c>
      <c r="S1939" s="6">
        <v>161101</v>
      </c>
      <c r="T1939" s="6" t="str">
        <f>INDEX(医院2县区2人!$D$2:$D$1048576,MATCH(L1939,医院2县区2人!$A$2:$A$1048576,0))</f>
        <v>201602151421097</v>
      </c>
      <c r="W1939" s="6" t="str">
        <f t="shared" si="63"/>
        <v>罗红霉素分散片150mg*12片</v>
      </c>
      <c r="X1939" s="6" t="s">
        <v>2871</v>
      </c>
    </row>
    <row r="1940" spans="1:24" x14ac:dyDescent="0.15">
      <c r="A1940" s="7" t="str">
        <f t="shared" si="64"/>
        <v>201806</v>
      </c>
      <c r="C1940" s="6" t="str">
        <f>INDEX(工厂基础数据!$A$2:$A$1024,MATCH(X1940,工厂基础数据!$D$2:$D$1024,0))</f>
        <v>02031912</v>
      </c>
      <c r="E1940" s="6" t="str">
        <f>INDEX(工厂基础数据!$B$2:$B$1024,MATCH(X1940,工厂基础数据!$D$2:$D$1024,0))</f>
        <v>滨州弘德药业有限公司</v>
      </c>
      <c r="F1940" s="6">
        <f>INDEX(商业2转码!$B$2:$B$10000,MATCH(E1940,商业2转码!$A$2:$A$10000,0))</f>
        <v>0</v>
      </c>
      <c r="G1940" s="6" t="str">
        <f>INDEX(品种2编码!$A$2:$A$1048576,MATCH(W1940,品种2编码!$D$2:$D$1048576,0))</f>
        <v>0020020020ZYLC0010</v>
      </c>
      <c r="H1940" s="6" t="s">
        <v>1855</v>
      </c>
      <c r="I1940" s="6" t="s">
        <v>1957</v>
      </c>
      <c r="J1940" s="6" t="s">
        <v>3036</v>
      </c>
      <c r="L1940" s="6" t="s">
        <v>2622</v>
      </c>
      <c r="M1940" s="6">
        <f>INDEX(医院2县区2人!$B$2:$B$1048576,MATCH(L1940,医院2县区2人!$A$2:$A$1048576,0))</f>
        <v>1</v>
      </c>
      <c r="N1940" s="6" t="str">
        <f>INDEX(医院2县区2人!$C$2:$C$1048576,MATCH(L1940,医院2县区2人!$A$2:$A$1048576,0))</f>
        <v>1854</v>
      </c>
      <c r="P1940" s="7">
        <v>43255</v>
      </c>
      <c r="Q1940" s="6">
        <v>5</v>
      </c>
      <c r="R1940" s="6">
        <v>3.5</v>
      </c>
      <c r="S1940" s="6">
        <v>180115</v>
      </c>
      <c r="T1940" s="6" t="str">
        <f>INDEX(医院2县区2人!$D$2:$D$1048576,MATCH(L1940,医院2县区2人!$A$2:$A$1048576,0))</f>
        <v>201602151421097</v>
      </c>
      <c r="W1940" s="6" t="str">
        <f t="shared" si="63"/>
        <v>颠茄磺苄啶片10片/瓶</v>
      </c>
      <c r="X1940" s="6" t="s">
        <v>2871</v>
      </c>
    </row>
    <row r="1941" spans="1:24" x14ac:dyDescent="0.15">
      <c r="A1941" s="7" t="str">
        <f t="shared" si="64"/>
        <v>201806</v>
      </c>
      <c r="C1941" s="6" t="str">
        <f>INDEX(工厂基础数据!$A$2:$A$1024,MATCH(X1941,工厂基础数据!$D$2:$D$1024,0))</f>
        <v>02031912</v>
      </c>
      <c r="E1941" s="6" t="str">
        <f>INDEX(工厂基础数据!$B$2:$B$1024,MATCH(X1941,工厂基础数据!$D$2:$D$1024,0))</f>
        <v>滨州弘德药业有限公司</v>
      </c>
      <c r="F1941" s="6">
        <f>INDEX(商业2转码!$B$2:$B$10000,MATCH(E1941,商业2转码!$A$2:$A$10000,0))</f>
        <v>0</v>
      </c>
      <c r="G1941" s="6" t="str">
        <f>INDEX(品种2编码!$A$2:$A$1048576,MATCH(W1941,品种2编码!$D$2:$D$1048576,0))</f>
        <v>0020030020ZYLC0013</v>
      </c>
      <c r="H1941" s="6" t="s">
        <v>591</v>
      </c>
      <c r="I1941" s="6" t="s">
        <v>1951</v>
      </c>
      <c r="J1941" s="6" t="s">
        <v>3036</v>
      </c>
      <c r="L1941" s="6" t="s">
        <v>2430</v>
      </c>
      <c r="M1941" s="6">
        <f>INDEX(医院2县区2人!$B$2:$B$1048576,MATCH(L1941,医院2县区2人!$A$2:$A$1048576,0))</f>
        <v>2</v>
      </c>
      <c r="N1941" s="6" t="str">
        <f>INDEX(医院2县区2人!$C$2:$C$1048576,MATCH(L1941,医院2县区2人!$A$2:$A$1048576,0))</f>
        <v>1853</v>
      </c>
      <c r="P1941" s="7">
        <v>43255</v>
      </c>
      <c r="Q1941" s="6">
        <v>2</v>
      </c>
      <c r="R1941" s="6">
        <v>9</v>
      </c>
      <c r="S1941" s="6">
        <v>180304</v>
      </c>
      <c r="T1941" s="6" t="str">
        <f>INDEX(医院2县区2人!$D$2:$D$1048576,MATCH(L1941,医院2县区2人!$A$2:$A$1048576,0))</f>
        <v>201602151421097</v>
      </c>
      <c r="W1941" s="6" t="str">
        <f t="shared" si="63"/>
        <v>乳酸菌素片0.4g*12片*3板</v>
      </c>
      <c r="X1941" s="6" t="s">
        <v>2871</v>
      </c>
    </row>
    <row r="1942" spans="1:24" x14ac:dyDescent="0.15">
      <c r="A1942" s="7" t="str">
        <f t="shared" si="64"/>
        <v>201806</v>
      </c>
      <c r="C1942" s="6" t="str">
        <f>INDEX(工厂基础数据!$A$2:$A$1024,MATCH(X1942,工厂基础数据!$D$2:$D$1024,0))</f>
        <v>02031912</v>
      </c>
      <c r="E1942" s="6" t="str">
        <f>INDEX(工厂基础数据!$B$2:$B$1024,MATCH(X1942,工厂基础数据!$D$2:$D$1024,0))</f>
        <v>滨州弘德药业有限公司</v>
      </c>
      <c r="F1942" s="6">
        <f>INDEX(商业2转码!$B$2:$B$10000,MATCH(E1942,商业2转码!$A$2:$A$10000,0))</f>
        <v>0</v>
      </c>
      <c r="G1942" s="6" t="str">
        <f>INDEX(品种2编码!$A$2:$A$1048576,MATCH(W1942,品种2编码!$D$2:$D$1048576,0))</f>
        <v>0020040220SHYT0004</v>
      </c>
      <c r="H1942" s="6" t="s">
        <v>1857</v>
      </c>
      <c r="I1942" s="6" t="s">
        <v>1956</v>
      </c>
      <c r="J1942" s="6" t="s">
        <v>3037</v>
      </c>
      <c r="L1942" s="6" t="s">
        <v>2423</v>
      </c>
      <c r="M1942" s="6">
        <f>INDEX(医院2县区2人!$B$2:$B$1048576,MATCH(L1942,医院2县区2人!$A$2:$A$1048576,0))</f>
        <v>4</v>
      </c>
      <c r="N1942" s="6" t="str">
        <f>INDEX(医院2县区2人!$C$2:$C$1048576,MATCH(L1942,医院2县区2人!$A$2:$A$1048576,0))</f>
        <v>1859</v>
      </c>
      <c r="P1942" s="7">
        <v>43255</v>
      </c>
      <c r="Q1942" s="6">
        <v>30</v>
      </c>
      <c r="R1942" s="6">
        <v>17</v>
      </c>
      <c r="S1942" s="6">
        <v>1801411</v>
      </c>
      <c r="T1942" s="6" t="str">
        <f>INDEX(医院2县区2人!$D$2:$D$1048576,MATCH(L1942,医院2县区2人!$A$2:$A$1048576,0))</f>
        <v>201602151421097</v>
      </c>
      <c r="W1942" s="6" t="str">
        <f t="shared" si="63"/>
        <v>妇宁栓1.6g*8粒</v>
      </c>
      <c r="X1942" s="6" t="s">
        <v>2871</v>
      </c>
    </row>
    <row r="1943" spans="1:24" x14ac:dyDescent="0.15">
      <c r="A1943" s="7" t="str">
        <f t="shared" si="64"/>
        <v>201806</v>
      </c>
      <c r="C1943" s="6" t="str">
        <f>INDEX(工厂基础数据!$A$2:$A$1024,MATCH(X1943,工厂基础数据!$D$2:$D$1024,0))</f>
        <v>02031912</v>
      </c>
      <c r="E1943" s="6" t="str">
        <f>INDEX(工厂基础数据!$B$2:$B$1024,MATCH(X1943,工厂基础数据!$D$2:$D$1024,0))</f>
        <v>滨州弘德药业有限公司</v>
      </c>
      <c r="F1943" s="6">
        <f>INDEX(商业2转码!$B$2:$B$10000,MATCH(E1943,商业2转码!$A$2:$A$10000,0))</f>
        <v>0</v>
      </c>
      <c r="G1943" s="6" t="str">
        <f>INDEX(品种2编码!$A$2:$A$1048576,MATCH(W1943,品种2编码!$D$2:$D$1048576,0))</f>
        <v>0020020021ZYZC0341</v>
      </c>
      <c r="H1943" s="6" t="s">
        <v>1936</v>
      </c>
      <c r="I1943" s="6" t="s">
        <v>279</v>
      </c>
      <c r="J1943" s="6" t="s">
        <v>3038</v>
      </c>
      <c r="L1943" s="6" t="s">
        <v>2423</v>
      </c>
      <c r="M1943" s="6">
        <f>INDEX(医院2县区2人!$B$2:$B$1048576,MATCH(L1943,医院2县区2人!$A$2:$A$1048576,0))</f>
        <v>4</v>
      </c>
      <c r="N1943" s="6" t="str">
        <f>INDEX(医院2县区2人!$C$2:$C$1048576,MATCH(L1943,医院2县区2人!$A$2:$A$1048576,0))</f>
        <v>1859</v>
      </c>
      <c r="P1943" s="7">
        <v>43255</v>
      </c>
      <c r="Q1943" s="6">
        <v>30</v>
      </c>
      <c r="R1943" s="6">
        <v>13</v>
      </c>
      <c r="S1943" s="6" t="s">
        <v>3049</v>
      </c>
      <c r="T1943" s="6" t="str">
        <f>INDEX(医院2县区2人!$D$2:$D$1048576,MATCH(L1943,医院2县区2人!$A$2:$A$1048576,0))</f>
        <v>201602151421097</v>
      </c>
      <c r="W1943" s="6" t="str">
        <f t="shared" si="63"/>
        <v>阿莫西林克拉维酸钾分散片0.2285g*12片</v>
      </c>
      <c r="X1943" s="6" t="s">
        <v>2871</v>
      </c>
    </row>
    <row r="1944" spans="1:24" x14ac:dyDescent="0.15">
      <c r="A1944" s="7" t="str">
        <f t="shared" si="64"/>
        <v>201806</v>
      </c>
      <c r="C1944" s="6" t="str">
        <f>INDEX(工厂基础数据!$A$2:$A$1024,MATCH(X1944,工厂基础数据!$D$2:$D$1024,0))</f>
        <v>02031912</v>
      </c>
      <c r="E1944" s="6" t="str">
        <f>INDEX(工厂基础数据!$B$2:$B$1024,MATCH(X1944,工厂基础数据!$D$2:$D$1024,0))</f>
        <v>滨州弘德药业有限公司</v>
      </c>
      <c r="F1944" s="6">
        <f>INDEX(商业2转码!$B$2:$B$10000,MATCH(E1944,商业2转码!$A$2:$A$10000,0))</f>
        <v>0</v>
      </c>
      <c r="G1944" s="6" t="str">
        <f>INDEX(品种2编码!$A$2:$A$1048576,MATCH(W1944,品种2编码!$D$2:$D$1048576,0))</f>
        <v>0020020030ZYZC0264</v>
      </c>
      <c r="H1944" s="6" t="s">
        <v>245</v>
      </c>
      <c r="I1944" s="6" t="s">
        <v>254</v>
      </c>
      <c r="J1944" s="6" t="s">
        <v>3038</v>
      </c>
      <c r="L1944" s="6" t="s">
        <v>2413</v>
      </c>
      <c r="M1944" s="6">
        <f>INDEX(医院2县区2人!$B$2:$B$1048576,MATCH(L1944,医院2县区2人!$A$2:$A$1048576,0))</f>
        <v>2</v>
      </c>
      <c r="N1944" s="6" t="str">
        <f>INDEX(医院2县区2人!$C$2:$C$1048576,MATCH(L1944,医院2县区2人!$A$2:$A$1048576,0))</f>
        <v>1853</v>
      </c>
      <c r="P1944" s="7">
        <v>43255</v>
      </c>
      <c r="Q1944" s="6">
        <v>2</v>
      </c>
      <c r="R1944" s="6">
        <v>10</v>
      </c>
      <c r="S1944" s="6" t="s">
        <v>3052</v>
      </c>
      <c r="T1944" s="6" t="str">
        <f>INDEX(医院2县区2人!$D$2:$D$1048576,MATCH(L1944,医院2县区2人!$A$2:$A$1048576,0))</f>
        <v>201602151421097</v>
      </c>
      <c r="W1944" s="6" t="str">
        <f t="shared" si="63"/>
        <v>阿莫西林胶囊0.5g*20粒</v>
      </c>
      <c r="X1944" s="6" t="s">
        <v>2871</v>
      </c>
    </row>
    <row r="1945" spans="1:24" x14ac:dyDescent="0.15">
      <c r="A1945" s="7" t="str">
        <f t="shared" si="64"/>
        <v>201806</v>
      </c>
      <c r="C1945" s="6" t="str">
        <f>INDEX(工厂基础数据!$A$2:$A$1024,MATCH(X1945,工厂基础数据!$D$2:$D$1024,0))</f>
        <v>02031912</v>
      </c>
      <c r="E1945" s="6" t="str">
        <f>INDEX(工厂基础数据!$B$2:$B$1024,MATCH(X1945,工厂基础数据!$D$2:$D$1024,0))</f>
        <v>滨州弘德药业有限公司</v>
      </c>
      <c r="F1945" s="6">
        <f>INDEX(商业2转码!$B$2:$B$10000,MATCH(E1945,商业2转码!$A$2:$A$10000,0))</f>
        <v>0</v>
      </c>
      <c r="G1945" s="6" t="str">
        <f>INDEX(品种2编码!$A$2:$A$1048576,MATCH(W1945,品种2编码!$D$2:$D$1048576,0))</f>
        <v>0020070001ZYZC0383</v>
      </c>
      <c r="H1945" s="6" t="s">
        <v>1849</v>
      </c>
      <c r="I1945" s="6" t="s">
        <v>1850</v>
      </c>
      <c r="J1945" s="6" t="s">
        <v>3038</v>
      </c>
      <c r="L1945" s="6" t="s">
        <v>2434</v>
      </c>
      <c r="M1945" s="6">
        <f>INDEX(医院2县区2人!$B$2:$B$1048576,MATCH(L1945,医院2县区2人!$A$2:$A$1048576,0))</f>
        <v>1</v>
      </c>
      <c r="N1945" s="6" t="str">
        <f>INDEX(医院2县区2人!$C$2:$C$1048576,MATCH(L1945,医院2县区2人!$A$2:$A$1048576,0))</f>
        <v>1853</v>
      </c>
      <c r="P1945" s="7">
        <v>43255</v>
      </c>
      <c r="Q1945" s="6">
        <v>20</v>
      </c>
      <c r="R1945" s="6">
        <v>15</v>
      </c>
      <c r="S1945" s="6">
        <v>1802005</v>
      </c>
      <c r="T1945" s="6" t="str">
        <f>INDEX(医院2县区2人!$D$2:$D$1048576,MATCH(L1945,医院2县区2人!$A$2:$A$1048576,0))</f>
        <v>201602151421097</v>
      </c>
      <c r="W1945" s="6" t="str">
        <f t="shared" si="63"/>
        <v>哈药牌钙铁锌口服液10ml*10支</v>
      </c>
      <c r="X1945" s="6" t="s">
        <v>2871</v>
      </c>
    </row>
    <row r="1946" spans="1:24" x14ac:dyDescent="0.15">
      <c r="A1946" s="7" t="str">
        <f t="shared" si="64"/>
        <v>201806</v>
      </c>
      <c r="C1946" s="6" t="str">
        <f>INDEX(工厂基础数据!$A$2:$A$1024,MATCH(X1946,工厂基础数据!$D$2:$D$1024,0))</f>
        <v>02031912</v>
      </c>
      <c r="E1946" s="6" t="str">
        <f>INDEX(工厂基础数据!$B$2:$B$1024,MATCH(X1946,工厂基础数据!$D$2:$D$1024,0))</f>
        <v>滨州弘德药业有限公司</v>
      </c>
      <c r="F1946" s="6">
        <f>INDEX(商业2转码!$B$2:$B$10000,MATCH(E1946,商业2转码!$A$2:$A$10000,0))</f>
        <v>0</v>
      </c>
      <c r="G1946" s="6" t="str">
        <f>INDEX(品种2编码!$A$2:$A$1048576,MATCH(W1946,品种2编码!$D$2:$D$1048576,0))</f>
        <v>0020020021ZYLC0004</v>
      </c>
      <c r="H1946" s="6" t="s">
        <v>1950</v>
      </c>
      <c r="I1946" s="6" t="s">
        <v>1869</v>
      </c>
      <c r="J1946" s="6" t="s">
        <v>3036</v>
      </c>
      <c r="L1946" s="6" t="s">
        <v>2434</v>
      </c>
      <c r="M1946" s="6">
        <f>INDEX(医院2县区2人!$B$2:$B$1048576,MATCH(L1946,医院2县区2人!$A$2:$A$1048576,0))</f>
        <v>1</v>
      </c>
      <c r="N1946" s="6" t="str">
        <f>INDEX(医院2县区2人!$C$2:$C$1048576,MATCH(L1946,医院2县区2人!$A$2:$A$1048576,0))</f>
        <v>1853</v>
      </c>
      <c r="P1946" s="7">
        <v>43255</v>
      </c>
      <c r="Q1946" s="6">
        <v>20</v>
      </c>
      <c r="R1946" s="6">
        <v>8</v>
      </c>
      <c r="S1946" s="6">
        <v>180201</v>
      </c>
      <c r="T1946" s="6" t="str">
        <f>INDEX(医院2县区2人!$D$2:$D$1048576,MATCH(L1946,医院2县区2人!$A$2:$A$1048576,0))</f>
        <v>201602151421097</v>
      </c>
      <c r="W1946" s="6" t="str">
        <f t="shared" si="63"/>
        <v>罗红霉素分散片75mg*12片</v>
      </c>
      <c r="X1946" s="6" t="s">
        <v>2871</v>
      </c>
    </row>
    <row r="1947" spans="1:24" x14ac:dyDescent="0.15">
      <c r="A1947" s="7" t="str">
        <f t="shared" si="64"/>
        <v>201806</v>
      </c>
      <c r="C1947" s="6" t="str">
        <f>INDEX(工厂基础数据!$A$2:$A$1024,MATCH(X1947,工厂基础数据!$D$2:$D$1024,0))</f>
        <v>02031912</v>
      </c>
      <c r="E1947" s="6" t="str">
        <f>INDEX(工厂基础数据!$B$2:$B$1024,MATCH(X1947,工厂基础数据!$D$2:$D$1024,0))</f>
        <v>滨州弘德药业有限公司</v>
      </c>
      <c r="F1947" s="6">
        <f>INDEX(商业2转码!$B$2:$B$10000,MATCH(E1947,商业2转码!$A$2:$A$10000,0))</f>
        <v>0</v>
      </c>
      <c r="G1947" s="6" t="str">
        <f>INDEX(品种2编码!$A$2:$A$1048576,MATCH(W1947,品种2编码!$D$2:$D$1048576,0))</f>
        <v>0020020020ZYLC0010</v>
      </c>
      <c r="H1947" s="6" t="s">
        <v>1855</v>
      </c>
      <c r="I1947" s="6" t="s">
        <v>1957</v>
      </c>
      <c r="J1947" s="6" t="s">
        <v>3036</v>
      </c>
      <c r="L1947" s="6" t="s">
        <v>3460</v>
      </c>
      <c r="M1947" s="6" t="e">
        <f>INDEX(医院2县区2人!$B$2:$B$1048576,MATCH(L1947,医院2县区2人!$A$2:$A$1048576,0))</f>
        <v>#N/A</v>
      </c>
      <c r="N1947" s="6" t="e">
        <f>INDEX(医院2县区2人!$C$2:$C$1048576,MATCH(L1947,医院2县区2人!$A$2:$A$1048576,0))</f>
        <v>#N/A</v>
      </c>
      <c r="P1947" s="7">
        <v>43255</v>
      </c>
      <c r="Q1947" s="6">
        <v>5</v>
      </c>
      <c r="R1947" s="6">
        <v>3.6</v>
      </c>
      <c r="S1947" s="6">
        <v>180115</v>
      </c>
      <c r="T1947" s="6" t="e">
        <f>INDEX(医院2县区2人!$D$2:$D$1048576,MATCH(L1947,医院2县区2人!$A$2:$A$1048576,0))</f>
        <v>#N/A</v>
      </c>
      <c r="W1947" s="6" t="str">
        <f t="shared" si="63"/>
        <v>颠茄磺苄啶片10片/瓶</v>
      </c>
      <c r="X1947" s="6" t="s">
        <v>2871</v>
      </c>
    </row>
    <row r="1948" spans="1:24" x14ac:dyDescent="0.15">
      <c r="A1948" s="7" t="str">
        <f t="shared" si="64"/>
        <v>201806</v>
      </c>
      <c r="C1948" s="6" t="str">
        <f>INDEX(工厂基础数据!$A$2:$A$1024,MATCH(X1948,工厂基础数据!$D$2:$D$1024,0))</f>
        <v>02031912</v>
      </c>
      <c r="E1948" s="6" t="str">
        <f>INDEX(工厂基础数据!$B$2:$B$1024,MATCH(X1948,工厂基础数据!$D$2:$D$1024,0))</f>
        <v>滨州弘德药业有限公司</v>
      </c>
      <c r="F1948" s="6">
        <f>INDEX(商业2转码!$B$2:$B$10000,MATCH(E1948,商业2转码!$A$2:$A$10000,0))</f>
        <v>0</v>
      </c>
      <c r="G1948" s="6" t="str">
        <f>INDEX(品种2编码!$A$2:$A$1048576,MATCH(W1948,品种2编码!$D$2:$D$1048576,0))</f>
        <v>0020070001ZYZC0383</v>
      </c>
      <c r="H1948" s="6" t="s">
        <v>1849</v>
      </c>
      <c r="I1948" s="6" t="s">
        <v>1850</v>
      </c>
      <c r="J1948" s="6" t="s">
        <v>3038</v>
      </c>
      <c r="L1948" s="6" t="s">
        <v>2224</v>
      </c>
      <c r="M1948" s="6">
        <f>INDEX(医院2县区2人!$B$2:$B$1048576,MATCH(L1948,医院2县区2人!$A$2:$A$1048576,0))</f>
        <v>2</v>
      </c>
      <c r="N1948" s="6" t="str">
        <f>INDEX(医院2县区2人!$C$2:$C$1048576,MATCH(L1948,医院2县区2人!$A$2:$A$1048576,0))</f>
        <v>1853</v>
      </c>
      <c r="P1948" s="7">
        <v>43255</v>
      </c>
      <c r="Q1948" s="6">
        <v>5</v>
      </c>
      <c r="R1948" s="6">
        <v>15</v>
      </c>
      <c r="S1948" s="6">
        <v>1802005</v>
      </c>
      <c r="T1948" s="6" t="str">
        <f>INDEX(医院2县区2人!$D$2:$D$1048576,MATCH(L1948,医院2县区2人!$A$2:$A$1048576,0))</f>
        <v>201602151421097</v>
      </c>
      <c r="W1948" s="6" t="str">
        <f t="shared" si="63"/>
        <v>哈药牌钙铁锌口服液10ml*10支</v>
      </c>
      <c r="X1948" s="6" t="s">
        <v>2871</v>
      </c>
    </row>
    <row r="1949" spans="1:24" x14ac:dyDescent="0.15">
      <c r="A1949" s="7" t="str">
        <f t="shared" si="64"/>
        <v>201806</v>
      </c>
      <c r="C1949" s="6" t="str">
        <f>INDEX(工厂基础数据!$A$2:$A$1024,MATCH(X1949,工厂基础数据!$D$2:$D$1024,0))</f>
        <v>02031912</v>
      </c>
      <c r="E1949" s="6" t="str">
        <f>INDEX(工厂基础数据!$B$2:$B$1024,MATCH(X1949,工厂基础数据!$D$2:$D$1024,0))</f>
        <v>滨州弘德药业有限公司</v>
      </c>
      <c r="F1949" s="6">
        <f>INDEX(商业2转码!$B$2:$B$10000,MATCH(E1949,商业2转码!$A$2:$A$10000,0))</f>
        <v>0</v>
      </c>
      <c r="G1949" s="6" t="str">
        <f>INDEX(品种2编码!$A$2:$A$1048576,MATCH(W1949,品种2编码!$D$2:$D$1048576,0))</f>
        <v>0020030020ZYLC0010</v>
      </c>
      <c r="H1949" s="6" t="s">
        <v>591</v>
      </c>
      <c r="I1949" s="6" t="s">
        <v>1948</v>
      </c>
      <c r="J1949" s="6" t="s">
        <v>3036</v>
      </c>
      <c r="L1949" s="6" t="s">
        <v>2224</v>
      </c>
      <c r="M1949" s="6">
        <f>INDEX(医院2县区2人!$B$2:$B$1048576,MATCH(L1949,医院2县区2人!$A$2:$A$1048576,0))</f>
        <v>2</v>
      </c>
      <c r="N1949" s="6" t="str">
        <f>INDEX(医院2县区2人!$C$2:$C$1048576,MATCH(L1949,医院2县区2人!$A$2:$A$1048576,0))</f>
        <v>1853</v>
      </c>
      <c r="P1949" s="7">
        <v>43255</v>
      </c>
      <c r="Q1949" s="6">
        <v>10</v>
      </c>
      <c r="R1949" s="6">
        <v>3.73</v>
      </c>
      <c r="S1949" s="6">
        <v>180136</v>
      </c>
      <c r="T1949" s="6" t="str">
        <f>INDEX(医院2县区2人!$D$2:$D$1048576,MATCH(L1949,医院2县区2人!$A$2:$A$1048576,0))</f>
        <v>201602151421097</v>
      </c>
      <c r="W1949" s="6" t="str">
        <f t="shared" si="63"/>
        <v>乳酸菌素片0.4g*36片/小包</v>
      </c>
      <c r="X1949" s="6" t="s">
        <v>2871</v>
      </c>
    </row>
    <row r="1950" spans="1:24" x14ac:dyDescent="0.15">
      <c r="A1950" s="7" t="str">
        <f t="shared" si="64"/>
        <v>201806</v>
      </c>
      <c r="C1950" s="6" t="str">
        <f>INDEX(工厂基础数据!$A$2:$A$1024,MATCH(X1950,工厂基础数据!$D$2:$D$1024,0))</f>
        <v>02031912</v>
      </c>
      <c r="E1950" s="6" t="str">
        <f>INDEX(工厂基础数据!$B$2:$B$1024,MATCH(X1950,工厂基础数据!$D$2:$D$1024,0))</f>
        <v>滨州弘德药业有限公司</v>
      </c>
      <c r="F1950" s="6">
        <f>INDEX(商业2转码!$B$2:$B$10000,MATCH(E1950,商业2转码!$A$2:$A$10000,0))</f>
        <v>0</v>
      </c>
      <c r="G1950" s="6" t="str">
        <f>INDEX(品种2编码!$A$2:$A$1048576,MATCH(W1950,品种2编码!$D$2:$D$1048576,0))</f>
        <v>0020030001SJZY0006</v>
      </c>
      <c r="H1950" s="6" t="s">
        <v>1833</v>
      </c>
      <c r="I1950" s="6" t="s">
        <v>411</v>
      </c>
      <c r="J1950" s="6" t="s">
        <v>3040</v>
      </c>
      <c r="L1950" s="6" t="s">
        <v>2407</v>
      </c>
      <c r="M1950" s="6">
        <f>INDEX(医院2县区2人!$B$2:$B$1048576,MATCH(L1950,医院2县区2人!$A$2:$A$1048576,0))</f>
        <v>2</v>
      </c>
      <c r="N1950" s="6" t="str">
        <f>INDEX(医院2县区2人!$C$2:$C$1048576,MATCH(L1950,医院2县区2人!$A$2:$A$1048576,0))</f>
        <v>1853</v>
      </c>
      <c r="P1950" s="7">
        <v>43255</v>
      </c>
      <c r="Q1950" s="6">
        <v>10</v>
      </c>
      <c r="R1950" s="6">
        <v>25</v>
      </c>
      <c r="S1950" s="6">
        <v>17071033</v>
      </c>
      <c r="T1950" s="6" t="str">
        <f>INDEX(医院2县区2人!$D$2:$D$1048576,MATCH(L1950,医院2县区2人!$A$2:$A$1048576,0))</f>
        <v>201602151421097</v>
      </c>
      <c r="W1950" s="6" t="str">
        <f t="shared" si="63"/>
        <v>葡萄糖酸钙口服溶液10ml*12支</v>
      </c>
      <c r="X1950" s="6" t="s">
        <v>2871</v>
      </c>
    </row>
    <row r="1951" spans="1:24" x14ac:dyDescent="0.15">
      <c r="A1951" s="7" t="str">
        <f t="shared" si="64"/>
        <v>201806</v>
      </c>
      <c r="C1951" s="6" t="str">
        <f>INDEX(工厂基础数据!$A$2:$A$1024,MATCH(X1951,工厂基础数据!$D$2:$D$1024,0))</f>
        <v>02031912</v>
      </c>
      <c r="E1951" s="6" t="str">
        <f>INDEX(工厂基础数据!$B$2:$B$1024,MATCH(X1951,工厂基础数据!$D$2:$D$1024,0))</f>
        <v>滨州弘德药业有限公司</v>
      </c>
      <c r="F1951" s="6">
        <f>INDEX(商业2转码!$B$2:$B$10000,MATCH(E1951,商业2转码!$A$2:$A$10000,0))</f>
        <v>0</v>
      </c>
      <c r="G1951" s="6" t="str">
        <f>INDEX(品种2编码!$A$2:$A$1048576,MATCH(W1951,品种2编码!$D$2:$D$1048576,0))</f>
        <v>0020070000ZYLC0003</v>
      </c>
      <c r="H1951" s="6" t="s">
        <v>722</v>
      </c>
      <c r="I1951" s="6" t="s">
        <v>1955</v>
      </c>
      <c r="J1951" s="6" t="s">
        <v>3036</v>
      </c>
      <c r="L1951" s="6" t="s">
        <v>2413</v>
      </c>
      <c r="M1951" s="6">
        <f>INDEX(医院2县区2人!$B$2:$B$1048576,MATCH(L1951,医院2县区2人!$A$2:$A$1048576,0))</f>
        <v>2</v>
      </c>
      <c r="N1951" s="6" t="str">
        <f>INDEX(医院2县区2人!$C$2:$C$1048576,MATCH(L1951,医院2县区2人!$A$2:$A$1048576,0))</f>
        <v>1853</v>
      </c>
      <c r="P1951" s="7">
        <v>43256</v>
      </c>
      <c r="Q1951" s="6">
        <v>1</v>
      </c>
      <c r="R1951" s="6">
        <v>24</v>
      </c>
      <c r="S1951" s="6">
        <v>180107</v>
      </c>
      <c r="T1951" s="6" t="str">
        <f>INDEX(医院2县区2人!$D$2:$D$1048576,MATCH(L1951,医院2县区2人!$A$2:$A$1048576,0))</f>
        <v>201602151421097</v>
      </c>
      <c r="W1951" s="6" t="str">
        <f t="shared" si="63"/>
        <v>新盖中盖牌儿童钙片36片</v>
      </c>
      <c r="X1951" s="6" t="s">
        <v>2871</v>
      </c>
    </row>
    <row r="1952" spans="1:24" x14ac:dyDescent="0.15">
      <c r="A1952" s="7" t="str">
        <f t="shared" si="64"/>
        <v>201806</v>
      </c>
      <c r="C1952" s="6" t="str">
        <f>INDEX(工厂基础数据!$A$2:$A$1024,MATCH(X1952,工厂基础数据!$D$2:$D$1024,0))</f>
        <v>02031912</v>
      </c>
      <c r="E1952" s="6" t="str">
        <f>INDEX(工厂基础数据!$B$2:$B$1024,MATCH(X1952,工厂基础数据!$D$2:$D$1024,0))</f>
        <v>滨州弘德药业有限公司</v>
      </c>
      <c r="F1952" s="6">
        <f>INDEX(商业2转码!$B$2:$B$10000,MATCH(E1952,商业2转码!$A$2:$A$10000,0))</f>
        <v>0</v>
      </c>
      <c r="G1952" s="6" t="str">
        <f>INDEX(品种2编码!$A$2:$A$1048576,MATCH(W1952,品种2编码!$D$2:$D$1048576,0))</f>
        <v>0020020021ZYLC0004</v>
      </c>
      <c r="H1952" s="6" t="s">
        <v>1950</v>
      </c>
      <c r="I1952" s="6" t="s">
        <v>1869</v>
      </c>
      <c r="J1952" s="6" t="s">
        <v>3036</v>
      </c>
      <c r="L1952" s="6" t="s">
        <v>2995</v>
      </c>
      <c r="M1952" s="6" t="e">
        <f>INDEX(医院2县区2人!$B$2:$B$1048576,MATCH(L1952,医院2县区2人!$A$2:$A$1048576,0))</f>
        <v>#N/A</v>
      </c>
      <c r="N1952" s="6" t="e">
        <f>INDEX(医院2县区2人!$C$2:$C$1048576,MATCH(L1952,医院2县区2人!$A$2:$A$1048576,0))</f>
        <v>#N/A</v>
      </c>
      <c r="P1952" s="7">
        <v>43256</v>
      </c>
      <c r="Q1952" s="6">
        <v>2</v>
      </c>
      <c r="R1952" s="6">
        <v>8</v>
      </c>
      <c r="S1952" s="6">
        <v>180201</v>
      </c>
      <c r="T1952" s="6" t="e">
        <f>INDEX(医院2县区2人!$D$2:$D$1048576,MATCH(L1952,医院2县区2人!$A$2:$A$1048576,0))</f>
        <v>#N/A</v>
      </c>
      <c r="W1952" s="6" t="str">
        <f t="shared" si="63"/>
        <v>罗红霉素分散片75mg*12片</v>
      </c>
      <c r="X1952" s="6" t="s">
        <v>2871</v>
      </c>
    </row>
    <row r="1953" spans="1:24" x14ac:dyDescent="0.15">
      <c r="A1953" s="7" t="str">
        <f t="shared" si="64"/>
        <v>201806</v>
      </c>
      <c r="C1953" s="6" t="str">
        <f>INDEX(工厂基础数据!$A$2:$A$1024,MATCH(X1953,工厂基础数据!$D$2:$D$1024,0))</f>
        <v>02031912</v>
      </c>
      <c r="E1953" s="6" t="str">
        <f>INDEX(工厂基础数据!$B$2:$B$1024,MATCH(X1953,工厂基础数据!$D$2:$D$1024,0))</f>
        <v>滨州弘德药业有限公司</v>
      </c>
      <c r="F1953" s="6">
        <f>INDEX(商业2转码!$B$2:$B$10000,MATCH(E1953,商业2转码!$A$2:$A$10000,0))</f>
        <v>0</v>
      </c>
      <c r="G1953" s="6" t="str">
        <f>INDEX(品种2编码!$A$2:$A$1048576,MATCH(W1953,品种2编码!$D$2:$D$1048576,0))</f>
        <v>0020030020ZYLC0013</v>
      </c>
      <c r="H1953" s="6" t="s">
        <v>591</v>
      </c>
      <c r="I1953" s="6" t="s">
        <v>1951</v>
      </c>
      <c r="J1953" s="6" t="s">
        <v>3036</v>
      </c>
      <c r="L1953" s="6" t="s">
        <v>2430</v>
      </c>
      <c r="M1953" s="6">
        <f>INDEX(医院2县区2人!$B$2:$B$1048576,MATCH(L1953,医院2县区2人!$A$2:$A$1048576,0))</f>
        <v>2</v>
      </c>
      <c r="N1953" s="6" t="str">
        <f>INDEX(医院2县区2人!$C$2:$C$1048576,MATCH(L1953,医院2县区2人!$A$2:$A$1048576,0))</f>
        <v>1853</v>
      </c>
      <c r="P1953" s="7">
        <v>43256</v>
      </c>
      <c r="Q1953" s="6">
        <v>3</v>
      </c>
      <c r="R1953" s="6">
        <v>9</v>
      </c>
      <c r="S1953" s="6">
        <v>180304</v>
      </c>
      <c r="T1953" s="6" t="str">
        <f>INDEX(医院2县区2人!$D$2:$D$1048576,MATCH(L1953,医院2县区2人!$A$2:$A$1048576,0))</f>
        <v>201602151421097</v>
      </c>
      <c r="W1953" s="6" t="str">
        <f t="shared" si="63"/>
        <v>乳酸菌素片0.4g*12片*3板</v>
      </c>
      <c r="X1953" s="6" t="s">
        <v>2871</v>
      </c>
    </row>
    <row r="1954" spans="1:24" x14ac:dyDescent="0.15">
      <c r="A1954" s="7" t="str">
        <f t="shared" si="64"/>
        <v>201806</v>
      </c>
      <c r="C1954" s="6" t="str">
        <f>INDEX(工厂基础数据!$A$2:$A$1024,MATCH(X1954,工厂基础数据!$D$2:$D$1024,0))</f>
        <v>02031912</v>
      </c>
      <c r="E1954" s="6" t="str">
        <f>INDEX(工厂基础数据!$B$2:$B$1024,MATCH(X1954,工厂基础数据!$D$2:$D$1024,0))</f>
        <v>滨州弘德药业有限公司</v>
      </c>
      <c r="F1954" s="6">
        <f>INDEX(商业2转码!$B$2:$B$10000,MATCH(E1954,商业2转码!$A$2:$A$10000,0))</f>
        <v>0</v>
      </c>
      <c r="G1954" s="6" t="str">
        <f>INDEX(品种2编码!$A$2:$A$1048576,MATCH(W1954,品种2编码!$D$2:$D$1048576,0))</f>
        <v>0020030001SJZY0009</v>
      </c>
      <c r="H1954" s="6" t="s">
        <v>1949</v>
      </c>
      <c r="I1954" s="6" t="s">
        <v>411</v>
      </c>
      <c r="J1954" s="6" t="s">
        <v>3040</v>
      </c>
      <c r="L1954" s="6" t="s">
        <v>2457</v>
      </c>
      <c r="M1954" s="6">
        <f>INDEX(医院2县区2人!$B$2:$B$1048576,MATCH(L1954,医院2县区2人!$A$2:$A$1048576,0))</f>
        <v>4</v>
      </c>
      <c r="N1954" s="6" t="str">
        <f>INDEX(医院2县区2人!$C$2:$C$1048576,MATCH(L1954,医院2县区2人!$A$2:$A$1048576,0))</f>
        <v>1854</v>
      </c>
      <c r="P1954" s="7">
        <v>43256</v>
      </c>
      <c r="Q1954" s="6">
        <v>-80</v>
      </c>
      <c r="R1954" s="6">
        <v>23</v>
      </c>
      <c r="S1954" s="6">
        <v>17070527</v>
      </c>
      <c r="T1954" s="6" t="str">
        <f>INDEX(医院2县区2人!$D$2:$D$1048576,MATCH(L1954,医院2县区2人!$A$2:$A$1048576,0))</f>
        <v>201602151421097</v>
      </c>
      <c r="W1954" s="6" t="str">
        <f t="shared" si="63"/>
        <v>葡萄糖酸锌口服溶液10ml*12支</v>
      </c>
      <c r="X1954" s="6" t="s">
        <v>2871</v>
      </c>
    </row>
    <row r="1955" spans="1:24" x14ac:dyDescent="0.15">
      <c r="A1955" s="7" t="str">
        <f t="shared" si="64"/>
        <v>201806</v>
      </c>
      <c r="C1955" s="6" t="str">
        <f>INDEX(工厂基础数据!$A$2:$A$1024,MATCH(X1955,工厂基础数据!$D$2:$D$1024,0))</f>
        <v>02031912</v>
      </c>
      <c r="E1955" s="6" t="str">
        <f>INDEX(工厂基础数据!$B$2:$B$1024,MATCH(X1955,工厂基础数据!$D$2:$D$1024,0))</f>
        <v>滨州弘德药业有限公司</v>
      </c>
      <c r="F1955" s="6">
        <f>INDEX(商业2转码!$B$2:$B$10000,MATCH(E1955,商业2转码!$A$2:$A$10000,0))</f>
        <v>0</v>
      </c>
      <c r="G1955" s="6" t="str">
        <f>INDEX(品种2编码!$A$2:$A$1048576,MATCH(W1955,品种2编码!$D$2:$D$1048576,0))</f>
        <v>0020030001SJZY0006</v>
      </c>
      <c r="H1955" s="6" t="s">
        <v>1833</v>
      </c>
      <c r="I1955" s="6" t="s">
        <v>411</v>
      </c>
      <c r="J1955" s="6" t="s">
        <v>3040</v>
      </c>
      <c r="L1955" s="6" t="s">
        <v>168</v>
      </c>
      <c r="M1955" s="6" t="e">
        <f>INDEX(医院2县区2人!$B$2:$B$1048576,MATCH(L1955,医院2县区2人!$A$2:$A$1048576,0))</f>
        <v>#N/A</v>
      </c>
      <c r="N1955" s="6" t="e">
        <f>INDEX(医院2县区2人!$C$2:$C$1048576,MATCH(L1955,医院2县区2人!$A$2:$A$1048576,0))</f>
        <v>#N/A</v>
      </c>
      <c r="P1955" s="7">
        <v>43257</v>
      </c>
      <c r="Q1955" s="6">
        <v>0</v>
      </c>
      <c r="S1955" s="6">
        <v>17090722</v>
      </c>
      <c r="T1955" s="6" t="e">
        <f>INDEX(医院2县区2人!$D$2:$D$1048576,MATCH(L1955,医院2县区2人!$A$2:$A$1048576,0))</f>
        <v>#N/A</v>
      </c>
      <c r="W1955" s="6" t="str">
        <f t="shared" si="63"/>
        <v>葡萄糖酸钙口服溶液10ml*12支</v>
      </c>
      <c r="X1955" s="6" t="s">
        <v>2871</v>
      </c>
    </row>
    <row r="1956" spans="1:24" x14ac:dyDescent="0.15">
      <c r="A1956" s="7" t="str">
        <f t="shared" si="64"/>
        <v>201806</v>
      </c>
      <c r="C1956" s="6" t="str">
        <f>INDEX(工厂基础数据!$A$2:$A$1024,MATCH(X1956,工厂基础数据!$D$2:$D$1024,0))</f>
        <v>02031912</v>
      </c>
      <c r="E1956" s="6" t="str">
        <f>INDEX(工厂基础数据!$B$2:$B$1024,MATCH(X1956,工厂基础数据!$D$2:$D$1024,0))</f>
        <v>滨州弘德药业有限公司</v>
      </c>
      <c r="F1956" s="6">
        <f>INDEX(商业2转码!$B$2:$B$10000,MATCH(E1956,商业2转码!$A$2:$A$10000,0))</f>
        <v>0</v>
      </c>
      <c r="G1956" s="6" t="str">
        <f>INDEX(品种2编码!$A$2:$A$1048576,MATCH(W1956,品种2编码!$D$2:$D$1048576,0))</f>
        <v>0020030001SJZY0006</v>
      </c>
      <c r="H1956" s="6" t="s">
        <v>1833</v>
      </c>
      <c r="I1956" s="6" t="s">
        <v>411</v>
      </c>
      <c r="J1956" s="6" t="s">
        <v>3040</v>
      </c>
      <c r="L1956" s="6" t="s">
        <v>168</v>
      </c>
      <c r="M1956" s="6" t="e">
        <f>INDEX(医院2县区2人!$B$2:$B$1048576,MATCH(L1956,医院2县区2人!$A$2:$A$1048576,0))</f>
        <v>#N/A</v>
      </c>
      <c r="N1956" s="6" t="e">
        <f>INDEX(医院2县区2人!$C$2:$C$1048576,MATCH(L1956,医院2县区2人!$A$2:$A$1048576,0))</f>
        <v>#N/A</v>
      </c>
      <c r="P1956" s="7">
        <v>43257</v>
      </c>
      <c r="Q1956" s="6">
        <v>0</v>
      </c>
      <c r="S1956" s="6">
        <v>17090732</v>
      </c>
      <c r="T1956" s="6" t="e">
        <f>INDEX(医院2县区2人!$D$2:$D$1048576,MATCH(L1956,医院2县区2人!$A$2:$A$1048576,0))</f>
        <v>#N/A</v>
      </c>
      <c r="W1956" s="6" t="str">
        <f t="shared" si="63"/>
        <v>葡萄糖酸钙口服溶液10ml*12支</v>
      </c>
      <c r="X1956" s="6" t="s">
        <v>2871</v>
      </c>
    </row>
    <row r="1957" spans="1:24" x14ac:dyDescent="0.15">
      <c r="A1957" s="7" t="str">
        <f t="shared" si="64"/>
        <v>201806</v>
      </c>
      <c r="C1957" s="6" t="str">
        <f>INDEX(工厂基础数据!$A$2:$A$1024,MATCH(X1957,工厂基础数据!$D$2:$D$1024,0))</f>
        <v>02031912</v>
      </c>
      <c r="E1957" s="6" t="str">
        <f>INDEX(工厂基础数据!$B$2:$B$1024,MATCH(X1957,工厂基础数据!$D$2:$D$1024,0))</f>
        <v>滨州弘德药业有限公司</v>
      </c>
      <c r="F1957" s="6">
        <f>INDEX(商业2转码!$B$2:$B$10000,MATCH(E1957,商业2转码!$A$2:$A$10000,0))</f>
        <v>0</v>
      </c>
      <c r="G1957" s="6" t="str">
        <f>INDEX(品种2编码!$A$2:$A$1048576,MATCH(W1957,品种2编码!$D$2:$D$1048576,0))</f>
        <v>0020030020ZYLC0013</v>
      </c>
      <c r="H1957" s="6" t="s">
        <v>591</v>
      </c>
      <c r="I1957" s="6" t="s">
        <v>1951</v>
      </c>
      <c r="J1957" s="6" t="s">
        <v>3036</v>
      </c>
      <c r="L1957" s="6" t="s">
        <v>2413</v>
      </c>
      <c r="M1957" s="6">
        <f>INDEX(医院2县区2人!$B$2:$B$1048576,MATCH(L1957,医院2县区2人!$A$2:$A$1048576,0))</f>
        <v>2</v>
      </c>
      <c r="N1957" s="6" t="str">
        <f>INDEX(医院2县区2人!$C$2:$C$1048576,MATCH(L1957,医院2县区2人!$A$2:$A$1048576,0))</f>
        <v>1853</v>
      </c>
      <c r="P1957" s="7">
        <v>43257</v>
      </c>
      <c r="Q1957" s="6">
        <v>5</v>
      </c>
      <c r="R1957" s="6">
        <v>9</v>
      </c>
      <c r="S1957" s="6">
        <v>180304</v>
      </c>
      <c r="T1957" s="6" t="str">
        <f>INDEX(医院2县区2人!$D$2:$D$1048576,MATCH(L1957,医院2县区2人!$A$2:$A$1048576,0))</f>
        <v>201602151421097</v>
      </c>
      <c r="W1957" s="6" t="str">
        <f t="shared" si="63"/>
        <v>乳酸菌素片0.4g*12片*3板</v>
      </c>
      <c r="X1957" s="6" t="s">
        <v>2871</v>
      </c>
    </row>
    <row r="1958" spans="1:24" x14ac:dyDescent="0.15">
      <c r="A1958" s="7" t="str">
        <f t="shared" si="64"/>
        <v>201806</v>
      </c>
      <c r="C1958" s="6" t="str">
        <f>INDEX(工厂基础数据!$A$2:$A$1024,MATCH(X1958,工厂基础数据!$D$2:$D$1024,0))</f>
        <v>02031912</v>
      </c>
      <c r="E1958" s="6" t="str">
        <f>INDEX(工厂基础数据!$B$2:$B$1024,MATCH(X1958,工厂基础数据!$D$2:$D$1024,0))</f>
        <v>滨州弘德药业有限公司</v>
      </c>
      <c r="F1958" s="6">
        <f>INDEX(商业2转码!$B$2:$B$10000,MATCH(E1958,商业2转码!$A$2:$A$10000,0))</f>
        <v>0</v>
      </c>
      <c r="G1958" s="6" t="str">
        <f>INDEX(品种2编码!$A$2:$A$1048576,MATCH(W1958,品种2编码!$D$2:$D$1048576,0))</f>
        <v>0020020020SJMS0008</v>
      </c>
      <c r="H1958" s="6" t="s">
        <v>474</v>
      </c>
      <c r="I1958" s="6" t="s">
        <v>1873</v>
      </c>
      <c r="J1958" s="6" t="s">
        <v>3046</v>
      </c>
      <c r="L1958" s="6" t="s">
        <v>2187</v>
      </c>
      <c r="M1958" s="6">
        <f>INDEX(医院2县区2人!$B$2:$B$1048576,MATCH(L1958,医院2县区2人!$A$2:$A$1048576,0))</f>
        <v>4</v>
      </c>
      <c r="N1958" s="6" t="str">
        <f>INDEX(医院2县区2人!$C$2:$C$1048576,MATCH(L1958,医院2县区2人!$A$2:$A$1048576,0))</f>
        <v>1858</v>
      </c>
      <c r="P1958" s="7">
        <v>43257</v>
      </c>
      <c r="Q1958" s="6">
        <v>27</v>
      </c>
      <c r="R1958" s="6">
        <v>27</v>
      </c>
      <c r="S1958" s="6">
        <v>1801004</v>
      </c>
      <c r="T1958" s="6" t="str">
        <f>INDEX(医院2县区2人!$D$2:$D$1048576,MATCH(L1958,医院2县区2人!$A$2:$A$1048576,0))</f>
        <v>201602151421097</v>
      </c>
      <c r="W1958" s="6" t="str">
        <f t="shared" si="63"/>
        <v>拉西地平片4mg*15片</v>
      </c>
      <c r="X1958" s="6" t="s">
        <v>2871</v>
      </c>
    </row>
    <row r="1959" spans="1:24" x14ac:dyDescent="0.15">
      <c r="A1959" s="7" t="str">
        <f t="shared" si="64"/>
        <v>201806</v>
      </c>
      <c r="C1959" s="6" t="str">
        <f>INDEX(工厂基础数据!$A$2:$A$1024,MATCH(X1959,工厂基础数据!$D$2:$D$1024,0))</f>
        <v>02031912</v>
      </c>
      <c r="E1959" s="6" t="str">
        <f>INDEX(工厂基础数据!$B$2:$B$1024,MATCH(X1959,工厂基础数据!$D$2:$D$1024,0))</f>
        <v>滨州弘德药业有限公司</v>
      </c>
      <c r="F1959" s="6">
        <f>INDEX(商业2转码!$B$2:$B$10000,MATCH(E1959,商业2转码!$A$2:$A$10000,0))</f>
        <v>0</v>
      </c>
      <c r="G1959" s="6" t="str">
        <f>INDEX(品种2编码!$A$2:$A$1048576,MATCH(W1959,品种2编码!$D$2:$D$1048576,0))</f>
        <v>0020030020SJSC0004</v>
      </c>
      <c r="H1959" s="6" t="s">
        <v>394</v>
      </c>
      <c r="I1959" s="6" t="s">
        <v>1871</v>
      </c>
      <c r="J1959" s="6" t="s">
        <v>3045</v>
      </c>
      <c r="L1959" s="6" t="s">
        <v>2187</v>
      </c>
      <c r="M1959" s="6">
        <f>INDEX(医院2县区2人!$B$2:$B$1048576,MATCH(L1959,医院2县区2人!$A$2:$A$1048576,0))</f>
        <v>4</v>
      </c>
      <c r="N1959" s="6" t="str">
        <f>INDEX(医院2县区2人!$C$2:$C$1048576,MATCH(L1959,医院2县区2人!$A$2:$A$1048576,0))</f>
        <v>1858</v>
      </c>
      <c r="P1959" s="7">
        <v>43257</v>
      </c>
      <c r="Q1959" s="6">
        <v>10</v>
      </c>
      <c r="R1959" s="6">
        <v>12.5</v>
      </c>
      <c r="S1959" s="6">
        <v>1712032</v>
      </c>
      <c r="T1959" s="6" t="str">
        <f>INDEX(医院2县区2人!$D$2:$D$1048576,MATCH(L1959,医院2县区2人!$A$2:$A$1048576,0))</f>
        <v>201602151421097</v>
      </c>
      <c r="W1959" s="6" t="str">
        <f t="shared" si="63"/>
        <v>复方铝酸铋片50片</v>
      </c>
      <c r="X1959" s="6" t="s">
        <v>2871</v>
      </c>
    </row>
    <row r="1960" spans="1:24" x14ac:dyDescent="0.15">
      <c r="A1960" s="7" t="str">
        <f t="shared" si="64"/>
        <v>201806</v>
      </c>
      <c r="C1960" s="6" t="str">
        <f>INDEX(工厂基础数据!$A$2:$A$1024,MATCH(X1960,工厂基础数据!$D$2:$D$1024,0))</f>
        <v>02031912</v>
      </c>
      <c r="E1960" s="6" t="str">
        <f>INDEX(工厂基础数据!$B$2:$B$1024,MATCH(X1960,工厂基础数据!$D$2:$D$1024,0))</f>
        <v>滨州弘德药业有限公司</v>
      </c>
      <c r="F1960" s="6">
        <f>INDEX(商业2转码!$B$2:$B$10000,MATCH(E1960,商业2转码!$A$2:$A$10000,0))</f>
        <v>0</v>
      </c>
      <c r="G1960" s="6" t="str">
        <f>INDEX(品种2编码!$A$2:$A$1048576,MATCH(W1960,品种2编码!$D$2:$D$1048576,0))</f>
        <v>0020040220SHYT0004</v>
      </c>
      <c r="H1960" s="6" t="s">
        <v>1857</v>
      </c>
      <c r="I1960" s="6" t="s">
        <v>1956</v>
      </c>
      <c r="J1960" s="6" t="s">
        <v>3037</v>
      </c>
      <c r="L1960" s="6" t="s">
        <v>2187</v>
      </c>
      <c r="M1960" s="6">
        <f>INDEX(医院2县区2人!$B$2:$B$1048576,MATCH(L1960,医院2县区2人!$A$2:$A$1048576,0))</f>
        <v>4</v>
      </c>
      <c r="N1960" s="6" t="str">
        <f>INDEX(医院2县区2人!$C$2:$C$1048576,MATCH(L1960,医院2县区2人!$A$2:$A$1048576,0))</f>
        <v>1858</v>
      </c>
      <c r="P1960" s="7">
        <v>43257</v>
      </c>
      <c r="Q1960" s="6">
        <v>50</v>
      </c>
      <c r="R1960" s="6">
        <v>17</v>
      </c>
      <c r="S1960" s="6">
        <v>1801411</v>
      </c>
      <c r="T1960" s="6" t="str">
        <f>INDEX(医院2县区2人!$D$2:$D$1048576,MATCH(L1960,医院2县区2人!$A$2:$A$1048576,0))</f>
        <v>201602151421097</v>
      </c>
      <c r="W1960" s="6" t="str">
        <f t="shared" si="63"/>
        <v>妇宁栓1.6g*8粒</v>
      </c>
      <c r="X1960" s="6" t="s">
        <v>2871</v>
      </c>
    </row>
    <row r="1961" spans="1:24" x14ac:dyDescent="0.15">
      <c r="A1961" s="7" t="str">
        <f t="shared" si="64"/>
        <v>201806</v>
      </c>
      <c r="C1961" s="6" t="str">
        <f>INDEX(工厂基础数据!$A$2:$A$1024,MATCH(X1961,工厂基础数据!$D$2:$D$1024,0))</f>
        <v>02031912</v>
      </c>
      <c r="E1961" s="6" t="str">
        <f>INDEX(工厂基础数据!$B$2:$B$1024,MATCH(X1961,工厂基础数据!$D$2:$D$1024,0))</f>
        <v>滨州弘德药业有限公司</v>
      </c>
      <c r="F1961" s="6">
        <f>INDEX(商业2转码!$B$2:$B$10000,MATCH(E1961,商业2转码!$A$2:$A$10000,0))</f>
        <v>0</v>
      </c>
      <c r="G1961" s="6" t="str">
        <f>INDEX(品种2编码!$A$2:$A$1048576,MATCH(W1961,品种2编码!$D$2:$D$1048576,0))</f>
        <v>0020020021ZYLC0015</v>
      </c>
      <c r="H1961" s="6" t="s">
        <v>469</v>
      </c>
      <c r="I1961" s="6" t="s">
        <v>1958</v>
      </c>
      <c r="J1961" s="6" t="s">
        <v>3036</v>
      </c>
      <c r="L1961" s="6" t="s">
        <v>2187</v>
      </c>
      <c r="M1961" s="6">
        <f>INDEX(医院2县区2人!$B$2:$B$1048576,MATCH(L1961,医院2县区2人!$A$2:$A$1048576,0))</f>
        <v>4</v>
      </c>
      <c r="N1961" s="6" t="str">
        <f>INDEX(医院2县区2人!$C$2:$C$1048576,MATCH(L1961,医院2县区2人!$A$2:$A$1048576,0))</f>
        <v>1858</v>
      </c>
      <c r="P1961" s="7">
        <v>43257</v>
      </c>
      <c r="Q1961" s="6">
        <v>10</v>
      </c>
      <c r="R1961" s="6">
        <v>17.600000000000001</v>
      </c>
      <c r="S1961" s="6">
        <v>170601</v>
      </c>
      <c r="T1961" s="6" t="str">
        <f>INDEX(医院2县区2人!$D$2:$D$1048576,MATCH(L1961,医院2县区2人!$A$2:$A$1048576,0))</f>
        <v>201602151421097</v>
      </c>
      <c r="W1961" s="6" t="str">
        <f t="shared" si="63"/>
        <v>克拉霉素分散片0.125g*24片</v>
      </c>
      <c r="X1961" s="6" t="s">
        <v>2871</v>
      </c>
    </row>
    <row r="1962" spans="1:24" x14ac:dyDescent="0.15">
      <c r="A1962" s="7" t="str">
        <f t="shared" si="64"/>
        <v>201806</v>
      </c>
      <c r="C1962" s="6" t="str">
        <f>INDEX(工厂基础数据!$A$2:$A$1024,MATCH(X1962,工厂基础数据!$D$2:$D$1024,0))</f>
        <v>02031912</v>
      </c>
      <c r="E1962" s="6" t="str">
        <f>INDEX(工厂基础数据!$B$2:$B$1024,MATCH(X1962,工厂基础数据!$D$2:$D$1024,0))</f>
        <v>滨州弘德药业有限公司</v>
      </c>
      <c r="F1962" s="6">
        <f>INDEX(商业2转码!$B$2:$B$10000,MATCH(E1962,商业2转码!$A$2:$A$10000,0))</f>
        <v>0</v>
      </c>
      <c r="G1962" s="6" t="str">
        <f>INDEX(品种2编码!$A$2:$A$1048576,MATCH(W1962,品种2编码!$D$2:$D$1048576,0))</f>
        <v>0020020020SJMS0008</v>
      </c>
      <c r="H1962" s="6" t="s">
        <v>474</v>
      </c>
      <c r="I1962" s="6" t="s">
        <v>1873</v>
      </c>
      <c r="J1962" s="6" t="s">
        <v>3046</v>
      </c>
      <c r="L1962" s="6" t="s">
        <v>2269</v>
      </c>
      <c r="M1962" s="6">
        <f>INDEX(医院2县区2人!$B$2:$B$1048576,MATCH(L1962,医院2县区2人!$A$2:$A$1048576,0))</f>
        <v>2</v>
      </c>
      <c r="N1962" s="6" t="str">
        <f>INDEX(医院2县区2人!$C$2:$C$1048576,MATCH(L1962,医院2县区2人!$A$2:$A$1048576,0))</f>
        <v>1853</v>
      </c>
      <c r="P1962" s="7">
        <v>43257</v>
      </c>
      <c r="Q1962" s="6">
        <v>10</v>
      </c>
      <c r="R1962" s="6">
        <v>27</v>
      </c>
      <c r="S1962" s="6">
        <v>1801004</v>
      </c>
      <c r="T1962" s="6" t="str">
        <f>INDEX(医院2县区2人!$D$2:$D$1048576,MATCH(L1962,医院2县区2人!$A$2:$A$1048576,0))</f>
        <v>201602151421097</v>
      </c>
      <c r="W1962" s="6" t="str">
        <f t="shared" si="63"/>
        <v>拉西地平片4mg*15片</v>
      </c>
      <c r="X1962" s="6" t="s">
        <v>2871</v>
      </c>
    </row>
    <row r="1963" spans="1:24" x14ac:dyDescent="0.15">
      <c r="A1963" s="7" t="str">
        <f t="shared" si="64"/>
        <v>201806</v>
      </c>
      <c r="C1963" s="6" t="str">
        <f>INDEX(工厂基础数据!$A$2:$A$1024,MATCH(X1963,工厂基础数据!$D$2:$D$1024,0))</f>
        <v>02031912</v>
      </c>
      <c r="E1963" s="6" t="str">
        <f>INDEX(工厂基础数据!$B$2:$B$1024,MATCH(X1963,工厂基础数据!$D$2:$D$1024,0))</f>
        <v>滨州弘德药业有限公司</v>
      </c>
      <c r="F1963" s="6">
        <f>INDEX(商业2转码!$B$2:$B$10000,MATCH(E1963,商业2转码!$A$2:$A$10000,0))</f>
        <v>0</v>
      </c>
      <c r="G1963" s="6" t="str">
        <f>INDEX(品种2编码!$A$2:$A$1048576,MATCH(W1963,品种2编码!$D$2:$D$1048576,0))</f>
        <v>0020030001SJZY0006</v>
      </c>
      <c r="H1963" s="6" t="s">
        <v>1833</v>
      </c>
      <c r="I1963" s="6" t="s">
        <v>411</v>
      </c>
      <c r="J1963" s="6" t="s">
        <v>3040</v>
      </c>
      <c r="L1963" s="6" t="s">
        <v>2446</v>
      </c>
      <c r="M1963" s="6">
        <f>INDEX(医院2县区2人!$B$2:$B$1048576,MATCH(L1963,医院2县区2人!$A$2:$A$1048576,0))</f>
        <v>2</v>
      </c>
      <c r="N1963" s="6" t="str">
        <f>INDEX(医院2县区2人!$C$2:$C$1048576,MATCH(L1963,医院2县区2人!$A$2:$A$1048576,0))</f>
        <v>1853</v>
      </c>
      <c r="P1963" s="7">
        <v>43257</v>
      </c>
      <c r="Q1963" s="6">
        <v>4</v>
      </c>
      <c r="R1963" s="6">
        <v>25</v>
      </c>
      <c r="S1963" s="6">
        <v>17090722</v>
      </c>
      <c r="T1963" s="6" t="str">
        <f>INDEX(医院2县区2人!$D$2:$D$1048576,MATCH(L1963,医院2县区2人!$A$2:$A$1048576,0))</f>
        <v>201602151421097</v>
      </c>
      <c r="W1963" s="6" t="str">
        <f t="shared" si="63"/>
        <v>葡萄糖酸钙口服溶液10ml*12支</v>
      </c>
      <c r="X1963" s="6" t="s">
        <v>2871</v>
      </c>
    </row>
    <row r="1964" spans="1:24" x14ac:dyDescent="0.15">
      <c r="A1964" s="7" t="str">
        <f t="shared" si="64"/>
        <v>201806</v>
      </c>
      <c r="C1964" s="6" t="str">
        <f>INDEX(工厂基础数据!$A$2:$A$1024,MATCH(X1964,工厂基础数据!$D$2:$D$1024,0))</f>
        <v>02031912</v>
      </c>
      <c r="E1964" s="6" t="str">
        <f>INDEX(工厂基础数据!$B$2:$B$1024,MATCH(X1964,工厂基础数据!$D$2:$D$1024,0))</f>
        <v>滨州弘德药业有限公司</v>
      </c>
      <c r="F1964" s="6">
        <f>INDEX(商业2转码!$B$2:$B$10000,MATCH(E1964,商业2转码!$A$2:$A$10000,0))</f>
        <v>0</v>
      </c>
      <c r="G1964" s="6" t="str">
        <f>INDEX(品种2编码!$A$2:$A$1048576,MATCH(W1964,品种2编码!$D$2:$D$1048576,0))</f>
        <v>0020040070ZYEC0005</v>
      </c>
      <c r="H1964" s="6" t="s">
        <v>708</v>
      </c>
      <c r="I1964" s="6" t="s">
        <v>1851</v>
      </c>
      <c r="J1964" s="6" t="s">
        <v>3041</v>
      </c>
      <c r="L1964" s="6" t="s">
        <v>2447</v>
      </c>
      <c r="M1964" s="6">
        <f>INDEX(医院2县区2人!$B$2:$B$1048576,MATCH(L1964,医院2县区2人!$A$2:$A$1048576,0))</f>
        <v>2</v>
      </c>
      <c r="N1964" s="6" t="str">
        <f>INDEX(医院2县区2人!$C$2:$C$1048576,MATCH(L1964,医院2县区2人!$A$2:$A$1048576,0))</f>
        <v>1853</v>
      </c>
      <c r="P1964" s="7">
        <v>43258</v>
      </c>
      <c r="Q1964" s="6">
        <v>3</v>
      </c>
      <c r="R1964" s="6">
        <v>14.5</v>
      </c>
      <c r="S1964" s="6">
        <v>180301</v>
      </c>
      <c r="T1964" s="6" t="str">
        <f>INDEX(医院2县区2人!$D$2:$D$1048576,MATCH(L1964,医院2县区2人!$A$2:$A$1048576,0))</f>
        <v>201602151421097</v>
      </c>
      <c r="W1964" s="6" t="str">
        <f t="shared" si="63"/>
        <v>小儿百部止咳糖浆100ml</v>
      </c>
      <c r="X1964" s="6" t="s">
        <v>2871</v>
      </c>
    </row>
    <row r="1965" spans="1:24" x14ac:dyDescent="0.15">
      <c r="A1965" s="7" t="str">
        <f t="shared" si="64"/>
        <v>201806</v>
      </c>
      <c r="C1965" s="6" t="str">
        <f>INDEX(工厂基础数据!$A$2:$A$1024,MATCH(X1965,工厂基础数据!$D$2:$D$1024,0))</f>
        <v>02031912</v>
      </c>
      <c r="E1965" s="6" t="str">
        <f>INDEX(工厂基础数据!$B$2:$B$1024,MATCH(X1965,工厂基础数据!$D$2:$D$1024,0))</f>
        <v>滨州弘德药业有限公司</v>
      </c>
      <c r="F1965" s="6">
        <f>INDEX(商业2转码!$B$2:$B$10000,MATCH(E1965,商业2转码!$A$2:$A$10000,0))</f>
        <v>0</v>
      </c>
      <c r="G1965" s="6" t="str">
        <f>INDEX(品种2编码!$A$2:$A$1048576,MATCH(W1965,品种2编码!$D$2:$D$1048576,0))</f>
        <v>0020100000ZYLC0012</v>
      </c>
      <c r="H1965" s="6" t="s">
        <v>768</v>
      </c>
      <c r="I1965" s="6" t="s">
        <v>1843</v>
      </c>
      <c r="J1965" s="6" t="s">
        <v>3036</v>
      </c>
      <c r="L1965" s="6" t="s">
        <v>2275</v>
      </c>
      <c r="M1965" s="6">
        <f>INDEX(医院2县区2人!$B$2:$B$1048576,MATCH(L1965,医院2县区2人!$A$2:$A$1048576,0))</f>
        <v>2</v>
      </c>
      <c r="N1965" s="6" t="str">
        <f>INDEX(医院2县区2人!$C$2:$C$1048576,MATCH(L1965,医院2县区2人!$A$2:$A$1048576,0))</f>
        <v>1853</v>
      </c>
      <c r="P1965" s="7">
        <v>43258</v>
      </c>
      <c r="Q1965" s="6">
        <v>2</v>
      </c>
      <c r="R1965" s="6">
        <v>9.1999999999999993</v>
      </c>
      <c r="S1965" s="6">
        <v>20180104</v>
      </c>
      <c r="T1965" s="6" t="str">
        <f>INDEX(医院2县区2人!$D$2:$D$1048576,MATCH(L1965,医院2县区2人!$A$2:$A$1048576,0))</f>
        <v>201602151421097</v>
      </c>
      <c r="W1965" s="6" t="str">
        <f t="shared" si="63"/>
        <v>医用退热贴2贴</v>
      </c>
      <c r="X1965" s="6" t="s">
        <v>2871</v>
      </c>
    </row>
    <row r="1966" spans="1:24" x14ac:dyDescent="0.15">
      <c r="A1966" s="7" t="str">
        <f t="shared" si="64"/>
        <v>201806</v>
      </c>
      <c r="C1966" s="6" t="str">
        <f>INDEX(工厂基础数据!$A$2:$A$1024,MATCH(X1966,工厂基础数据!$D$2:$D$1024,0))</f>
        <v>02031912</v>
      </c>
      <c r="E1966" s="6" t="str">
        <f>INDEX(工厂基础数据!$B$2:$B$1024,MATCH(X1966,工厂基础数据!$D$2:$D$1024,0))</f>
        <v>滨州弘德药业有限公司</v>
      </c>
      <c r="F1966" s="6">
        <f>INDEX(商业2转码!$B$2:$B$10000,MATCH(E1966,商业2转码!$A$2:$A$10000,0))</f>
        <v>0</v>
      </c>
      <c r="G1966" s="6" t="str">
        <f>INDEX(品种2编码!$A$2:$A$1048576,MATCH(W1966,品种2编码!$D$2:$D$1048576,0))</f>
        <v>0020030020SJSC0004</v>
      </c>
      <c r="H1966" s="6" t="s">
        <v>394</v>
      </c>
      <c r="I1966" s="6" t="s">
        <v>1871</v>
      </c>
      <c r="J1966" s="6" t="s">
        <v>3045</v>
      </c>
      <c r="L1966" s="6" t="s">
        <v>2213</v>
      </c>
      <c r="M1966" s="6">
        <f>INDEX(医院2县区2人!$B$2:$B$1048576,MATCH(L1966,医院2县区2人!$A$2:$A$1048576,0))</f>
        <v>4</v>
      </c>
      <c r="N1966" s="6" t="str">
        <f>INDEX(医院2县区2人!$C$2:$C$1048576,MATCH(L1966,医院2县区2人!$A$2:$A$1048576,0))</f>
        <v>1857</v>
      </c>
      <c r="P1966" s="7">
        <v>43258</v>
      </c>
      <c r="Q1966" s="6">
        <v>10</v>
      </c>
      <c r="R1966" s="6">
        <v>12.5</v>
      </c>
      <c r="S1966" s="6">
        <v>1712032</v>
      </c>
      <c r="T1966" s="6" t="str">
        <f>INDEX(医院2县区2人!$D$2:$D$1048576,MATCH(L1966,医院2县区2人!$A$2:$A$1048576,0))</f>
        <v>201602151421097</v>
      </c>
      <c r="W1966" s="6" t="str">
        <f t="shared" si="63"/>
        <v>复方铝酸铋片50片</v>
      </c>
      <c r="X1966" s="6" t="s">
        <v>2871</v>
      </c>
    </row>
    <row r="1967" spans="1:24" x14ac:dyDescent="0.15">
      <c r="A1967" s="7" t="str">
        <f t="shared" si="64"/>
        <v>201806</v>
      </c>
      <c r="C1967" s="6" t="str">
        <f>INDEX(工厂基础数据!$A$2:$A$1024,MATCH(X1967,工厂基础数据!$D$2:$D$1024,0))</f>
        <v>02031912</v>
      </c>
      <c r="E1967" s="6" t="str">
        <f>INDEX(工厂基础数据!$B$2:$B$1024,MATCH(X1967,工厂基础数据!$D$2:$D$1024,0))</f>
        <v>滨州弘德药业有限公司</v>
      </c>
      <c r="F1967" s="6">
        <f>INDEX(商业2转码!$B$2:$B$10000,MATCH(E1967,商业2转码!$A$2:$A$10000,0))</f>
        <v>0</v>
      </c>
      <c r="G1967" s="6" t="str">
        <f>INDEX(品种2编码!$A$2:$A$1048576,MATCH(W1967,品种2编码!$D$2:$D$1048576,0))</f>
        <v>0020030001SJZY0009</v>
      </c>
      <c r="H1967" s="6" t="s">
        <v>1949</v>
      </c>
      <c r="I1967" s="6" t="s">
        <v>411</v>
      </c>
      <c r="J1967" s="6" t="s">
        <v>3040</v>
      </c>
      <c r="L1967" s="6" t="s">
        <v>2402</v>
      </c>
      <c r="M1967" s="6">
        <f>INDEX(医院2县区2人!$B$2:$B$1048576,MATCH(L1967,医院2县区2人!$A$2:$A$1048576,0))</f>
        <v>2</v>
      </c>
      <c r="N1967" s="6" t="str">
        <f>INDEX(医院2县区2人!$C$2:$C$1048576,MATCH(L1967,医院2县区2人!$A$2:$A$1048576,0))</f>
        <v>1854</v>
      </c>
      <c r="P1967" s="7">
        <v>43258</v>
      </c>
      <c r="Q1967" s="6">
        <v>5</v>
      </c>
      <c r="R1967" s="6">
        <v>25</v>
      </c>
      <c r="S1967" s="6">
        <v>17070527</v>
      </c>
      <c r="T1967" s="6" t="str">
        <f>INDEX(医院2县区2人!$D$2:$D$1048576,MATCH(L1967,医院2县区2人!$A$2:$A$1048576,0))</f>
        <v>201602151421097</v>
      </c>
      <c r="W1967" s="6" t="str">
        <f t="shared" si="63"/>
        <v>葡萄糖酸锌口服溶液10ml*12支</v>
      </c>
      <c r="X1967" s="6" t="s">
        <v>2871</v>
      </c>
    </row>
    <row r="1968" spans="1:24" x14ac:dyDescent="0.15">
      <c r="A1968" s="7" t="str">
        <f t="shared" si="64"/>
        <v>201806</v>
      </c>
      <c r="C1968" s="6" t="str">
        <f>INDEX(工厂基础数据!$A$2:$A$1024,MATCH(X1968,工厂基础数据!$D$2:$D$1024,0))</f>
        <v>02031912</v>
      </c>
      <c r="E1968" s="6" t="str">
        <f>INDEX(工厂基础数据!$B$2:$B$1024,MATCH(X1968,工厂基础数据!$D$2:$D$1024,0))</f>
        <v>滨州弘德药业有限公司</v>
      </c>
      <c r="F1968" s="6">
        <f>INDEX(商业2转码!$B$2:$B$10000,MATCH(E1968,商业2转码!$A$2:$A$10000,0))</f>
        <v>0</v>
      </c>
      <c r="G1968" s="6" t="str">
        <f>INDEX(品种2编码!$A$2:$A$1048576,MATCH(W1968,品种2编码!$D$2:$D$1048576,0))</f>
        <v>0020030040SHYT0010</v>
      </c>
      <c r="H1968" s="6" t="s">
        <v>317</v>
      </c>
      <c r="I1968" s="6" t="s">
        <v>1848</v>
      </c>
      <c r="J1968" s="6" t="s">
        <v>3037</v>
      </c>
      <c r="L1968" s="6" t="s">
        <v>2402</v>
      </c>
      <c r="M1968" s="6">
        <f>INDEX(医院2县区2人!$B$2:$B$1048576,MATCH(L1968,医院2县区2人!$A$2:$A$1048576,0))</f>
        <v>2</v>
      </c>
      <c r="N1968" s="6" t="str">
        <f>INDEX(医院2县区2人!$C$2:$C$1048576,MATCH(L1968,医院2县区2人!$A$2:$A$1048576,0))</f>
        <v>1854</v>
      </c>
      <c r="P1968" s="7">
        <v>43258</v>
      </c>
      <c r="Q1968" s="6">
        <v>20</v>
      </c>
      <c r="R1968" s="6">
        <v>12.5</v>
      </c>
      <c r="S1968" s="6">
        <v>1611616</v>
      </c>
      <c r="T1968" s="6" t="str">
        <f>INDEX(医院2县区2人!$D$2:$D$1048576,MATCH(L1968,医院2县区2人!$A$2:$A$1048576,0))</f>
        <v>201602151421097</v>
      </c>
      <c r="W1968" s="6" t="str">
        <f t="shared" si="63"/>
        <v>布洛芬颗粒0.2g*12袋</v>
      </c>
      <c r="X1968" s="6" t="s">
        <v>2871</v>
      </c>
    </row>
    <row r="1969" spans="1:24" x14ac:dyDescent="0.15">
      <c r="A1969" s="7" t="str">
        <f t="shared" si="64"/>
        <v>201806</v>
      </c>
      <c r="C1969" s="6" t="str">
        <f>INDEX(工厂基础数据!$A$2:$A$1024,MATCH(X1969,工厂基础数据!$D$2:$D$1024,0))</f>
        <v>02031912</v>
      </c>
      <c r="E1969" s="6" t="str">
        <f>INDEX(工厂基础数据!$B$2:$B$1024,MATCH(X1969,工厂基础数据!$D$2:$D$1024,0))</f>
        <v>滨州弘德药业有限公司</v>
      </c>
      <c r="F1969" s="6">
        <f>INDEX(商业2转码!$B$2:$B$10000,MATCH(E1969,商业2转码!$A$2:$A$10000,0))</f>
        <v>0</v>
      </c>
      <c r="G1969" s="6" t="str">
        <f>INDEX(品种2编码!$A$2:$A$1048576,MATCH(W1969,品种2编码!$D$2:$D$1048576,0))</f>
        <v>0020070000ZYLC0055</v>
      </c>
      <c r="H1969" s="6" t="s">
        <v>557</v>
      </c>
      <c r="I1969" s="6" t="s">
        <v>411</v>
      </c>
      <c r="J1969" s="6" t="s">
        <v>3036</v>
      </c>
      <c r="L1969" s="6" t="s">
        <v>36</v>
      </c>
      <c r="M1969" s="6" t="e">
        <f>INDEX(医院2县区2人!$B$2:$B$1048576,MATCH(L1969,医院2县区2人!$A$2:$A$1048576,0))</f>
        <v>#N/A</v>
      </c>
      <c r="N1969" s="6" t="e">
        <f>INDEX(医院2县区2人!$C$2:$C$1048576,MATCH(L1969,医院2县区2人!$A$2:$A$1048576,0))</f>
        <v>#N/A</v>
      </c>
      <c r="P1969" s="7">
        <v>43259</v>
      </c>
      <c r="Q1969" s="6">
        <v>0</v>
      </c>
      <c r="S1969" s="6">
        <v>180514</v>
      </c>
      <c r="T1969" s="6" t="e">
        <f>INDEX(医院2县区2人!$D$2:$D$1048576,MATCH(L1969,医院2县区2人!$A$2:$A$1048576,0))</f>
        <v>#N/A</v>
      </c>
      <c r="W1969" s="6" t="str">
        <f t="shared" si="63"/>
        <v>朴雪乳酸亚铁口服液10ml*12支</v>
      </c>
      <c r="X1969" s="6" t="s">
        <v>2871</v>
      </c>
    </row>
    <row r="1970" spans="1:24" x14ac:dyDescent="0.15">
      <c r="A1970" s="7" t="str">
        <f t="shared" si="64"/>
        <v>201806</v>
      </c>
      <c r="C1970" s="6" t="str">
        <f>INDEX(工厂基础数据!$A$2:$A$1024,MATCH(X1970,工厂基础数据!$D$2:$D$1024,0))</f>
        <v>02031912</v>
      </c>
      <c r="E1970" s="6" t="str">
        <f>INDEX(工厂基础数据!$B$2:$B$1024,MATCH(X1970,工厂基础数据!$D$2:$D$1024,0))</f>
        <v>滨州弘德药业有限公司</v>
      </c>
      <c r="F1970" s="6">
        <f>INDEX(商业2转码!$B$2:$B$10000,MATCH(E1970,商业2转码!$A$2:$A$10000,0))</f>
        <v>0</v>
      </c>
      <c r="G1970" s="6" t="str">
        <f>INDEX(品种2编码!$A$2:$A$1048576,MATCH(W1970,品种2编码!$D$2:$D$1048576,0))</f>
        <v>0020070000ZYLC0001</v>
      </c>
      <c r="H1970" s="6" t="s">
        <v>725</v>
      </c>
      <c r="I1970" s="6" t="s">
        <v>1838</v>
      </c>
      <c r="J1970" s="6" t="s">
        <v>3036</v>
      </c>
      <c r="L1970" s="6" t="s">
        <v>36</v>
      </c>
      <c r="M1970" s="6" t="e">
        <f>INDEX(医院2县区2人!$B$2:$B$1048576,MATCH(L1970,医院2县区2人!$A$2:$A$1048576,0))</f>
        <v>#N/A</v>
      </c>
      <c r="N1970" s="6" t="e">
        <f>INDEX(医院2县区2人!$C$2:$C$1048576,MATCH(L1970,医院2县区2人!$A$2:$A$1048576,0))</f>
        <v>#N/A</v>
      </c>
      <c r="P1970" s="7">
        <v>43259</v>
      </c>
      <c r="Q1970" s="6">
        <v>0</v>
      </c>
      <c r="S1970" s="6">
        <v>180103</v>
      </c>
      <c r="T1970" s="6" t="e">
        <f>INDEX(医院2县区2人!$D$2:$D$1048576,MATCH(L1970,医院2县区2人!$A$2:$A$1048576,0))</f>
        <v>#N/A</v>
      </c>
      <c r="W1970" s="6" t="str">
        <f t="shared" si="63"/>
        <v>新盖中盖牌高钙片2.5g*36片</v>
      </c>
      <c r="X1970" s="6" t="s">
        <v>2871</v>
      </c>
    </row>
    <row r="1971" spans="1:24" x14ac:dyDescent="0.15">
      <c r="A1971" s="7" t="str">
        <f t="shared" si="64"/>
        <v>201806</v>
      </c>
      <c r="C1971" s="6" t="str">
        <f>INDEX(工厂基础数据!$A$2:$A$1024,MATCH(X1971,工厂基础数据!$D$2:$D$1024,0))</f>
        <v>02031912</v>
      </c>
      <c r="E1971" s="6" t="str">
        <f>INDEX(工厂基础数据!$B$2:$B$1024,MATCH(X1971,工厂基础数据!$D$2:$D$1024,0))</f>
        <v>滨州弘德药业有限公司</v>
      </c>
      <c r="F1971" s="6">
        <f>INDEX(商业2转码!$B$2:$B$10000,MATCH(E1971,商业2转码!$A$2:$A$10000,0))</f>
        <v>0</v>
      </c>
      <c r="G1971" s="6" t="str">
        <f>INDEX(品种2编码!$A$2:$A$1048576,MATCH(W1971,品种2编码!$D$2:$D$1048576,0))</f>
        <v>0020050090SJZY0001</v>
      </c>
      <c r="H1971" s="6" t="s">
        <v>630</v>
      </c>
      <c r="I1971" s="6" t="s">
        <v>1850</v>
      </c>
      <c r="J1971" s="6" t="s">
        <v>3040</v>
      </c>
      <c r="L1971" s="6" t="s">
        <v>36</v>
      </c>
      <c r="M1971" s="6" t="e">
        <f>INDEX(医院2县区2人!$B$2:$B$1048576,MATCH(L1971,医院2县区2人!$A$2:$A$1048576,0))</f>
        <v>#N/A</v>
      </c>
      <c r="N1971" s="6" t="e">
        <f>INDEX(医院2县区2人!$C$2:$C$1048576,MATCH(L1971,医院2县区2人!$A$2:$A$1048576,0))</f>
        <v>#N/A</v>
      </c>
      <c r="P1971" s="7">
        <v>43259</v>
      </c>
      <c r="Q1971" s="6">
        <v>0</v>
      </c>
      <c r="S1971" s="6">
        <v>18030931</v>
      </c>
      <c r="T1971" s="6" t="e">
        <f>INDEX(医院2县区2人!$D$2:$D$1048576,MATCH(L1971,医院2县区2人!$A$2:$A$1048576,0))</f>
        <v>#N/A</v>
      </c>
      <c r="W1971" s="6" t="str">
        <f t="shared" si="63"/>
        <v>双黄连口服液10ml*10支</v>
      </c>
      <c r="X1971" s="6" t="s">
        <v>2871</v>
      </c>
    </row>
    <row r="1972" spans="1:24" x14ac:dyDescent="0.15">
      <c r="A1972" s="7" t="str">
        <f t="shared" si="64"/>
        <v>201806</v>
      </c>
      <c r="C1972" s="6" t="str">
        <f>INDEX(工厂基础数据!$A$2:$A$1024,MATCH(X1972,工厂基础数据!$D$2:$D$1024,0))</f>
        <v>02031912</v>
      </c>
      <c r="E1972" s="6" t="str">
        <f>INDEX(工厂基础数据!$B$2:$B$1024,MATCH(X1972,工厂基础数据!$D$2:$D$1024,0))</f>
        <v>滨州弘德药业有限公司</v>
      </c>
      <c r="F1972" s="6">
        <f>INDEX(商业2转码!$B$2:$B$10000,MATCH(E1972,商业2转码!$A$2:$A$10000,0))</f>
        <v>0</v>
      </c>
      <c r="G1972" s="6" t="str">
        <f>INDEX(品种2编码!$A$2:$A$1048576,MATCH(W1972,品种2编码!$D$2:$D$1048576,0))</f>
        <v>0020030040ZYLC0001</v>
      </c>
      <c r="H1972" s="6" t="s">
        <v>1953</v>
      </c>
      <c r="I1972" s="6" t="s">
        <v>1954</v>
      </c>
      <c r="J1972" s="6" t="s">
        <v>3036</v>
      </c>
      <c r="L1972" s="6" t="s">
        <v>36</v>
      </c>
      <c r="M1972" s="6" t="e">
        <f>INDEX(医院2县区2人!$B$2:$B$1048576,MATCH(L1972,医院2县区2人!$A$2:$A$1048576,0))</f>
        <v>#N/A</v>
      </c>
      <c r="N1972" s="6" t="e">
        <f>INDEX(医院2县区2人!$C$2:$C$1048576,MATCH(L1972,医院2县区2人!$A$2:$A$1048576,0))</f>
        <v>#N/A</v>
      </c>
      <c r="P1972" s="7">
        <v>43259</v>
      </c>
      <c r="Q1972" s="6">
        <v>0</v>
      </c>
      <c r="S1972" s="6">
        <v>180139</v>
      </c>
      <c r="T1972" s="6" t="e">
        <f>INDEX(医院2县区2人!$D$2:$D$1048576,MATCH(L1972,医院2县区2人!$A$2:$A$1048576,0))</f>
        <v>#N/A</v>
      </c>
      <c r="W1972" s="6" t="str">
        <f t="shared" si="63"/>
        <v>小儿氨酚黄那敏颗粒12袋</v>
      </c>
      <c r="X1972" s="6" t="s">
        <v>2871</v>
      </c>
    </row>
    <row r="1973" spans="1:24" x14ac:dyDescent="0.15">
      <c r="A1973" s="7" t="str">
        <f t="shared" si="64"/>
        <v>201806</v>
      </c>
      <c r="C1973" s="6" t="str">
        <f>INDEX(工厂基础数据!$A$2:$A$1024,MATCH(X1973,工厂基础数据!$D$2:$D$1024,0))</f>
        <v>02031912</v>
      </c>
      <c r="E1973" s="6" t="str">
        <f>INDEX(工厂基础数据!$B$2:$B$1024,MATCH(X1973,工厂基础数据!$D$2:$D$1024,0))</f>
        <v>滨州弘德药业有限公司</v>
      </c>
      <c r="F1973" s="6">
        <f>INDEX(商业2转码!$B$2:$B$10000,MATCH(E1973,商业2转码!$A$2:$A$10000,0))</f>
        <v>0</v>
      </c>
      <c r="G1973" s="6" t="str">
        <f>INDEX(品种2编码!$A$2:$A$1048576,MATCH(W1973,品种2编码!$D$2:$D$1048576,0))</f>
        <v>0020020030ZYZC0289</v>
      </c>
      <c r="H1973" s="6" t="s">
        <v>245</v>
      </c>
      <c r="I1973" s="6" t="s">
        <v>1952</v>
      </c>
      <c r="J1973" s="6" t="s">
        <v>3038</v>
      </c>
      <c r="L1973" s="6" t="s">
        <v>36</v>
      </c>
      <c r="M1973" s="6" t="e">
        <f>INDEX(医院2县区2人!$B$2:$B$1048576,MATCH(L1973,医院2县区2人!$A$2:$A$1048576,0))</f>
        <v>#N/A</v>
      </c>
      <c r="N1973" s="6" t="e">
        <f>INDEX(医院2县区2人!$C$2:$C$1048576,MATCH(L1973,医院2县区2人!$A$2:$A$1048576,0))</f>
        <v>#N/A</v>
      </c>
      <c r="P1973" s="7">
        <v>43259</v>
      </c>
      <c r="Q1973" s="6">
        <v>0</v>
      </c>
      <c r="S1973" s="6">
        <v>1805009</v>
      </c>
      <c r="T1973" s="6" t="e">
        <f>INDEX(医院2县区2人!$D$2:$D$1048576,MATCH(L1973,医院2县区2人!$A$2:$A$1048576,0))</f>
        <v>#N/A</v>
      </c>
      <c r="W1973" s="6" t="str">
        <f t="shared" si="63"/>
        <v>阿莫西林胶囊0.5g*36粒</v>
      </c>
      <c r="X1973" s="6" t="s">
        <v>2871</v>
      </c>
    </row>
    <row r="1974" spans="1:24" x14ac:dyDescent="0.15">
      <c r="A1974" s="7" t="str">
        <f t="shared" si="64"/>
        <v>201806</v>
      </c>
      <c r="C1974" s="6" t="str">
        <f>INDEX(工厂基础数据!$A$2:$A$1024,MATCH(X1974,工厂基础数据!$D$2:$D$1024,0))</f>
        <v>02031912</v>
      </c>
      <c r="E1974" s="6" t="str">
        <f>INDEX(工厂基础数据!$B$2:$B$1024,MATCH(X1974,工厂基础数据!$D$2:$D$1024,0))</f>
        <v>滨州弘德药业有限公司</v>
      </c>
      <c r="F1974" s="6">
        <f>INDEX(商业2转码!$B$2:$B$10000,MATCH(E1974,商业2转码!$A$2:$A$10000,0))</f>
        <v>0</v>
      </c>
      <c r="G1974" s="6" t="str">
        <f>INDEX(品种2编码!$A$2:$A$1048576,MATCH(W1974,品种2编码!$D$2:$D$1048576,0))</f>
        <v>0020030001SJZY0006</v>
      </c>
      <c r="H1974" s="6" t="s">
        <v>1833</v>
      </c>
      <c r="I1974" s="6" t="s">
        <v>411</v>
      </c>
      <c r="J1974" s="6" t="s">
        <v>3040</v>
      </c>
      <c r="L1974" s="6" t="s">
        <v>168</v>
      </c>
      <c r="M1974" s="6" t="e">
        <f>INDEX(医院2县区2人!$B$2:$B$1048576,MATCH(L1974,医院2县区2人!$A$2:$A$1048576,0))</f>
        <v>#N/A</v>
      </c>
      <c r="N1974" s="6" t="e">
        <f>INDEX(医院2县区2人!$C$2:$C$1048576,MATCH(L1974,医院2县区2人!$A$2:$A$1048576,0))</f>
        <v>#N/A</v>
      </c>
      <c r="P1974" s="7">
        <v>43259</v>
      </c>
      <c r="Q1974" s="6">
        <v>0</v>
      </c>
      <c r="S1974" s="6">
        <v>17090722</v>
      </c>
      <c r="T1974" s="6" t="e">
        <f>INDEX(医院2县区2人!$D$2:$D$1048576,MATCH(L1974,医院2县区2人!$A$2:$A$1048576,0))</f>
        <v>#N/A</v>
      </c>
      <c r="W1974" s="6" t="str">
        <f t="shared" si="63"/>
        <v>葡萄糖酸钙口服溶液10ml*12支</v>
      </c>
      <c r="X1974" s="6" t="s">
        <v>2871</v>
      </c>
    </row>
    <row r="1975" spans="1:24" x14ac:dyDescent="0.15">
      <c r="A1975" s="7" t="str">
        <f t="shared" si="64"/>
        <v>201806</v>
      </c>
      <c r="C1975" s="6" t="str">
        <f>INDEX(工厂基础数据!$A$2:$A$1024,MATCH(X1975,工厂基础数据!$D$2:$D$1024,0))</f>
        <v>02031912</v>
      </c>
      <c r="E1975" s="6" t="str">
        <f>INDEX(工厂基础数据!$B$2:$B$1024,MATCH(X1975,工厂基础数据!$D$2:$D$1024,0))</f>
        <v>滨州弘德药业有限公司</v>
      </c>
      <c r="F1975" s="6">
        <f>INDEX(商业2转码!$B$2:$B$10000,MATCH(E1975,商业2转码!$A$2:$A$10000,0))</f>
        <v>0</v>
      </c>
      <c r="G1975" s="6" t="str">
        <f>INDEX(品种2编码!$A$2:$A$1048576,MATCH(W1975,品种2编码!$D$2:$D$1048576,0))</f>
        <v>0020030001SJZY0009</v>
      </c>
      <c r="H1975" s="6" t="s">
        <v>1949</v>
      </c>
      <c r="I1975" s="6" t="s">
        <v>411</v>
      </c>
      <c r="J1975" s="6" t="s">
        <v>3040</v>
      </c>
      <c r="L1975" s="6" t="s">
        <v>2606</v>
      </c>
      <c r="M1975" s="6">
        <f>INDEX(医院2县区2人!$B$2:$B$1048576,MATCH(L1975,医院2县区2人!$A$2:$A$1048576,0))</f>
        <v>2</v>
      </c>
      <c r="N1975" s="6" t="str">
        <f>INDEX(医院2县区2人!$C$2:$C$1048576,MATCH(L1975,医院2县区2人!$A$2:$A$1048576,0))</f>
        <v>1853</v>
      </c>
      <c r="P1975" s="7">
        <v>43259</v>
      </c>
      <c r="Q1975" s="6">
        <v>5</v>
      </c>
      <c r="R1975" s="6">
        <v>25</v>
      </c>
      <c r="S1975" s="6">
        <v>17070527</v>
      </c>
      <c r="T1975" s="6" t="str">
        <f>INDEX(医院2县区2人!$D$2:$D$1048576,MATCH(L1975,医院2县区2人!$A$2:$A$1048576,0))</f>
        <v>201602151421097</v>
      </c>
      <c r="W1975" s="6" t="str">
        <f t="shared" si="63"/>
        <v>葡萄糖酸锌口服溶液10ml*12支</v>
      </c>
      <c r="X1975" s="6" t="s">
        <v>2871</v>
      </c>
    </row>
    <row r="1976" spans="1:24" x14ac:dyDescent="0.15">
      <c r="A1976" s="7" t="str">
        <f t="shared" si="64"/>
        <v>201806</v>
      </c>
      <c r="C1976" s="6" t="str">
        <f>INDEX(工厂基础数据!$A$2:$A$1024,MATCH(X1976,工厂基础数据!$D$2:$D$1024,0))</f>
        <v>02031912</v>
      </c>
      <c r="E1976" s="6" t="str">
        <f>INDEX(工厂基础数据!$B$2:$B$1024,MATCH(X1976,工厂基础数据!$D$2:$D$1024,0))</f>
        <v>滨州弘德药业有限公司</v>
      </c>
      <c r="F1976" s="6">
        <f>INDEX(商业2转码!$B$2:$B$10000,MATCH(E1976,商业2转码!$A$2:$A$10000,0))</f>
        <v>0</v>
      </c>
      <c r="G1976" s="6" t="str">
        <f>INDEX(品种2编码!$A$2:$A$1048576,MATCH(W1976,品种2编码!$D$2:$D$1048576,0))</f>
        <v>0020020021ZYLC0010</v>
      </c>
      <c r="H1976" s="6" t="s">
        <v>469</v>
      </c>
      <c r="I1976" s="6" t="s">
        <v>1916</v>
      </c>
      <c r="J1976" s="6" t="s">
        <v>3036</v>
      </c>
      <c r="L1976" s="6" t="s">
        <v>2423</v>
      </c>
      <c r="M1976" s="6">
        <f>INDEX(医院2县区2人!$B$2:$B$1048576,MATCH(L1976,医院2县区2人!$A$2:$A$1048576,0))</f>
        <v>4</v>
      </c>
      <c r="N1976" s="6" t="str">
        <f>INDEX(医院2县区2人!$C$2:$C$1048576,MATCH(L1976,医院2县区2人!$A$2:$A$1048576,0))</f>
        <v>1859</v>
      </c>
      <c r="P1976" s="7">
        <v>43259</v>
      </c>
      <c r="Q1976" s="6">
        <v>30</v>
      </c>
      <c r="R1976" s="6">
        <v>10.9</v>
      </c>
      <c r="S1976" s="6">
        <v>171201</v>
      </c>
      <c r="T1976" s="6" t="str">
        <f>INDEX(医院2县区2人!$D$2:$D$1048576,MATCH(L1976,医院2县区2人!$A$2:$A$1048576,0))</f>
        <v>201602151421097</v>
      </c>
      <c r="W1976" s="6" t="str">
        <f t="shared" si="63"/>
        <v>克拉霉素分散片0.125g*12片</v>
      </c>
      <c r="X1976" s="6" t="s">
        <v>2871</v>
      </c>
    </row>
    <row r="1977" spans="1:24" x14ac:dyDescent="0.15">
      <c r="A1977" s="7" t="str">
        <f t="shared" si="64"/>
        <v>201806</v>
      </c>
      <c r="C1977" s="6" t="str">
        <f>INDEX(工厂基础数据!$A$2:$A$1024,MATCH(X1977,工厂基础数据!$D$2:$D$1024,0))</f>
        <v>02031912</v>
      </c>
      <c r="E1977" s="6" t="str">
        <f>INDEX(工厂基础数据!$B$2:$B$1024,MATCH(X1977,工厂基础数据!$D$2:$D$1024,0))</f>
        <v>滨州弘德药业有限公司</v>
      </c>
      <c r="F1977" s="6">
        <f>INDEX(商业2转码!$B$2:$B$10000,MATCH(E1977,商业2转码!$A$2:$A$10000,0))</f>
        <v>0</v>
      </c>
      <c r="G1977" s="6" t="str">
        <f>INDEX(品种2编码!$A$2:$A$1048576,MATCH(W1977,品种2编码!$D$2:$D$1048576,0))</f>
        <v>0020030020ZYLC0013</v>
      </c>
      <c r="H1977" s="6" t="s">
        <v>591</v>
      </c>
      <c r="I1977" s="6" t="s">
        <v>1951</v>
      </c>
      <c r="J1977" s="6" t="s">
        <v>3036</v>
      </c>
      <c r="L1977" s="6" t="s">
        <v>2423</v>
      </c>
      <c r="M1977" s="6">
        <f>INDEX(医院2县区2人!$B$2:$B$1048576,MATCH(L1977,医院2县区2人!$A$2:$A$1048576,0))</f>
        <v>4</v>
      </c>
      <c r="N1977" s="6" t="str">
        <f>INDEX(医院2县区2人!$C$2:$C$1048576,MATCH(L1977,医院2县区2人!$A$2:$A$1048576,0))</f>
        <v>1859</v>
      </c>
      <c r="P1977" s="7">
        <v>43259</v>
      </c>
      <c r="Q1977" s="6">
        <v>100</v>
      </c>
      <c r="R1977" s="6">
        <v>9</v>
      </c>
      <c r="S1977" s="6">
        <v>180304</v>
      </c>
      <c r="T1977" s="6" t="str">
        <f>INDEX(医院2县区2人!$D$2:$D$1048576,MATCH(L1977,医院2县区2人!$A$2:$A$1048576,0))</f>
        <v>201602151421097</v>
      </c>
      <c r="W1977" s="6" t="str">
        <f t="shared" si="63"/>
        <v>乳酸菌素片0.4g*12片*3板</v>
      </c>
      <c r="X1977" s="6" t="s">
        <v>2871</v>
      </c>
    </row>
    <row r="1978" spans="1:24" x14ac:dyDescent="0.15">
      <c r="A1978" s="7" t="str">
        <f t="shared" si="64"/>
        <v>201806</v>
      </c>
      <c r="C1978" s="6" t="str">
        <f>INDEX(工厂基础数据!$A$2:$A$1024,MATCH(X1978,工厂基础数据!$D$2:$D$1024,0))</f>
        <v>02031912</v>
      </c>
      <c r="E1978" s="6" t="str">
        <f>INDEX(工厂基础数据!$B$2:$B$1024,MATCH(X1978,工厂基础数据!$D$2:$D$1024,0))</f>
        <v>滨州弘德药业有限公司</v>
      </c>
      <c r="F1978" s="6">
        <f>INDEX(商业2转码!$B$2:$B$10000,MATCH(E1978,商业2转码!$A$2:$A$10000,0))</f>
        <v>0</v>
      </c>
      <c r="G1978" s="6" t="str">
        <f>INDEX(品种2编码!$A$2:$A$1048576,MATCH(W1978,品种2编码!$D$2:$D$1048576,0))</f>
        <v>0020020030ZYZC0264</v>
      </c>
      <c r="H1978" s="6" t="s">
        <v>245</v>
      </c>
      <c r="I1978" s="6" t="s">
        <v>254</v>
      </c>
      <c r="J1978" s="6" t="s">
        <v>3038</v>
      </c>
      <c r="L1978" s="6" t="s">
        <v>2276</v>
      </c>
      <c r="M1978" s="6">
        <f>INDEX(医院2县区2人!$B$2:$B$1048576,MATCH(L1978,医院2县区2人!$A$2:$A$1048576,0))</f>
        <v>4</v>
      </c>
      <c r="N1978" s="6" t="str">
        <f>INDEX(医院2县区2人!$C$2:$C$1048576,MATCH(L1978,医院2县区2人!$A$2:$A$1048576,0))</f>
        <v>1859</v>
      </c>
      <c r="P1978" s="7">
        <v>43259</v>
      </c>
      <c r="Q1978" s="6">
        <v>100</v>
      </c>
      <c r="R1978" s="6">
        <v>10</v>
      </c>
      <c r="S1978" s="6" t="s">
        <v>3052</v>
      </c>
      <c r="T1978" s="6" t="str">
        <f>INDEX(医院2县区2人!$D$2:$D$1048576,MATCH(L1978,医院2县区2人!$A$2:$A$1048576,0))</f>
        <v>201602151421097</v>
      </c>
      <c r="W1978" s="6" t="str">
        <f t="shared" si="63"/>
        <v>阿莫西林胶囊0.5g*20粒</v>
      </c>
      <c r="X1978" s="6" t="s">
        <v>2871</v>
      </c>
    </row>
    <row r="1979" spans="1:24" x14ac:dyDescent="0.15">
      <c r="A1979" s="7" t="str">
        <f t="shared" si="64"/>
        <v>201806</v>
      </c>
      <c r="C1979" s="6" t="str">
        <f>INDEX(工厂基础数据!$A$2:$A$1024,MATCH(X1979,工厂基础数据!$D$2:$D$1024,0))</f>
        <v>02031912</v>
      </c>
      <c r="E1979" s="6" t="str">
        <f>INDEX(工厂基础数据!$B$2:$B$1024,MATCH(X1979,工厂基础数据!$D$2:$D$1024,0))</f>
        <v>滨州弘德药业有限公司</v>
      </c>
      <c r="F1979" s="6">
        <f>INDEX(商业2转码!$B$2:$B$10000,MATCH(E1979,商业2转码!$A$2:$A$10000,0))</f>
        <v>0</v>
      </c>
      <c r="G1979" s="6" t="str">
        <f>INDEX(品种2编码!$A$2:$A$1048576,MATCH(W1979,品种2编码!$D$2:$D$1048576,0))</f>
        <v>0020070001ZYZC0383</v>
      </c>
      <c r="H1979" s="6" t="s">
        <v>1849</v>
      </c>
      <c r="I1979" s="6" t="s">
        <v>1850</v>
      </c>
      <c r="J1979" s="6" t="s">
        <v>3038</v>
      </c>
      <c r="L1979" s="6" t="s">
        <v>2276</v>
      </c>
      <c r="M1979" s="6">
        <f>INDEX(医院2县区2人!$B$2:$B$1048576,MATCH(L1979,医院2县区2人!$A$2:$A$1048576,0))</f>
        <v>4</v>
      </c>
      <c r="N1979" s="6" t="str">
        <f>INDEX(医院2县区2人!$C$2:$C$1048576,MATCH(L1979,医院2县区2人!$A$2:$A$1048576,0))</f>
        <v>1859</v>
      </c>
      <c r="P1979" s="7">
        <v>43259</v>
      </c>
      <c r="Q1979" s="6">
        <v>20</v>
      </c>
      <c r="R1979" s="6">
        <v>15</v>
      </c>
      <c r="S1979" s="6">
        <v>1802005</v>
      </c>
      <c r="T1979" s="6" t="str">
        <f>INDEX(医院2县区2人!$D$2:$D$1048576,MATCH(L1979,医院2县区2人!$A$2:$A$1048576,0))</f>
        <v>201602151421097</v>
      </c>
      <c r="W1979" s="6" t="str">
        <f t="shared" si="63"/>
        <v>哈药牌钙铁锌口服液10ml*10支</v>
      </c>
      <c r="X1979" s="6" t="s">
        <v>2871</v>
      </c>
    </row>
    <row r="1980" spans="1:24" x14ac:dyDescent="0.15">
      <c r="A1980" s="7" t="str">
        <f t="shared" si="64"/>
        <v>201806</v>
      </c>
      <c r="C1980" s="6" t="str">
        <f>INDEX(工厂基础数据!$A$2:$A$1024,MATCH(X1980,工厂基础数据!$D$2:$D$1024,0))</f>
        <v>02031912</v>
      </c>
      <c r="E1980" s="6" t="str">
        <f>INDEX(工厂基础数据!$B$2:$B$1024,MATCH(X1980,工厂基础数据!$D$2:$D$1024,0))</f>
        <v>滨州弘德药业有限公司</v>
      </c>
      <c r="F1980" s="6">
        <f>INDEX(商业2转码!$B$2:$B$10000,MATCH(E1980,商业2转码!$A$2:$A$10000,0))</f>
        <v>0</v>
      </c>
      <c r="G1980" s="6" t="str">
        <f>INDEX(品种2编码!$A$2:$A$1048576,MATCH(W1980,品种2编码!$D$2:$D$1048576,0))</f>
        <v>0020030020ZYLC0013</v>
      </c>
      <c r="H1980" s="6" t="s">
        <v>591</v>
      </c>
      <c r="I1980" s="6" t="s">
        <v>1951</v>
      </c>
      <c r="J1980" s="6" t="s">
        <v>3036</v>
      </c>
      <c r="L1980" s="6" t="s">
        <v>2382</v>
      </c>
      <c r="M1980" s="6">
        <f>INDEX(医院2县区2人!$B$2:$B$1048576,MATCH(L1980,医院2县区2人!$A$2:$A$1048576,0))</f>
        <v>4</v>
      </c>
      <c r="N1980" s="6" t="str">
        <f>INDEX(医院2县区2人!$C$2:$C$1048576,MATCH(L1980,医院2县区2人!$A$2:$A$1048576,0))</f>
        <v>1859</v>
      </c>
      <c r="P1980" s="7">
        <v>43259</v>
      </c>
      <c r="Q1980" s="6">
        <v>10</v>
      </c>
      <c r="R1980" s="6">
        <v>9</v>
      </c>
      <c r="S1980" s="6">
        <v>180304</v>
      </c>
      <c r="T1980" s="6" t="str">
        <f>INDEX(医院2县区2人!$D$2:$D$1048576,MATCH(L1980,医院2县区2人!$A$2:$A$1048576,0))</f>
        <v>201602151421097</v>
      </c>
      <c r="W1980" s="6" t="str">
        <f t="shared" si="63"/>
        <v>乳酸菌素片0.4g*12片*3板</v>
      </c>
      <c r="X1980" s="6" t="s">
        <v>2871</v>
      </c>
    </row>
    <row r="1981" spans="1:24" x14ac:dyDescent="0.15">
      <c r="A1981" s="7" t="str">
        <f t="shared" si="64"/>
        <v>201806</v>
      </c>
      <c r="C1981" s="6" t="str">
        <f>INDEX(工厂基础数据!$A$2:$A$1024,MATCH(X1981,工厂基础数据!$D$2:$D$1024,0))</f>
        <v>02031912</v>
      </c>
      <c r="E1981" s="6" t="str">
        <f>INDEX(工厂基础数据!$B$2:$B$1024,MATCH(X1981,工厂基础数据!$D$2:$D$1024,0))</f>
        <v>滨州弘德药业有限公司</v>
      </c>
      <c r="F1981" s="6">
        <f>INDEX(商业2转码!$B$2:$B$10000,MATCH(E1981,商业2转码!$A$2:$A$10000,0))</f>
        <v>0</v>
      </c>
      <c r="G1981" s="6" t="str">
        <f>INDEX(品种2编码!$A$2:$A$1048576,MATCH(W1981,品种2编码!$D$2:$D$1048576,0))</f>
        <v>0020030001SJZY0009</v>
      </c>
      <c r="H1981" s="6" t="s">
        <v>1949</v>
      </c>
      <c r="I1981" s="6" t="s">
        <v>411</v>
      </c>
      <c r="J1981" s="6" t="s">
        <v>3040</v>
      </c>
      <c r="L1981" s="6" t="s">
        <v>2399</v>
      </c>
      <c r="M1981" s="6">
        <f>INDEX(医院2县区2人!$B$2:$B$1048576,MATCH(L1981,医院2县区2人!$A$2:$A$1048576,0))</f>
        <v>1</v>
      </c>
      <c r="N1981" s="6" t="str">
        <f>INDEX(医院2县区2人!$C$2:$C$1048576,MATCH(L1981,医院2县区2人!$A$2:$A$1048576,0))</f>
        <v>1744</v>
      </c>
      <c r="P1981" s="7">
        <v>43259</v>
      </c>
      <c r="Q1981" s="6">
        <v>10</v>
      </c>
      <c r="R1981" s="6">
        <v>25</v>
      </c>
      <c r="S1981" s="6">
        <v>17070527</v>
      </c>
      <c r="T1981" s="6">
        <f>INDEX(医院2县区2人!$D$2:$D$1048576,MATCH(L1981,医院2县区2人!$A$2:$A$1048576,0))</f>
        <v>0</v>
      </c>
      <c r="W1981" s="6" t="str">
        <f t="shared" si="63"/>
        <v>葡萄糖酸锌口服溶液10ml*12支</v>
      </c>
      <c r="X1981" s="6" t="s">
        <v>2871</v>
      </c>
    </row>
    <row r="1982" spans="1:24" x14ac:dyDescent="0.15">
      <c r="A1982" s="7" t="str">
        <f t="shared" si="64"/>
        <v>201806</v>
      </c>
      <c r="C1982" s="6" t="str">
        <f>INDEX(工厂基础数据!$A$2:$A$1024,MATCH(X1982,工厂基础数据!$D$2:$D$1024,0))</f>
        <v>02031912</v>
      </c>
      <c r="E1982" s="6" t="str">
        <f>INDEX(工厂基础数据!$B$2:$B$1024,MATCH(X1982,工厂基础数据!$D$2:$D$1024,0))</f>
        <v>滨州弘德药业有限公司</v>
      </c>
      <c r="F1982" s="6">
        <f>INDEX(商业2转码!$B$2:$B$10000,MATCH(E1982,商业2转码!$A$2:$A$10000,0))</f>
        <v>0</v>
      </c>
      <c r="G1982" s="6" t="str">
        <f>INDEX(品种2编码!$A$2:$A$1048576,MATCH(W1982,品种2编码!$D$2:$D$1048576,0))</f>
        <v>0020050090SJZY0001</v>
      </c>
      <c r="H1982" s="6" t="s">
        <v>630</v>
      </c>
      <c r="I1982" s="6" t="s">
        <v>1850</v>
      </c>
      <c r="J1982" s="6" t="s">
        <v>3040</v>
      </c>
      <c r="L1982" s="6" t="s">
        <v>2374</v>
      </c>
      <c r="M1982" s="6">
        <f>INDEX(医院2县区2人!$B$2:$B$1048576,MATCH(L1982,医院2县区2人!$A$2:$A$1048576,0))</f>
        <v>2</v>
      </c>
      <c r="N1982" s="6" t="str">
        <f>INDEX(医院2县区2人!$C$2:$C$1048576,MATCH(L1982,医院2县区2人!$A$2:$A$1048576,0))</f>
        <v>1853</v>
      </c>
      <c r="P1982" s="7">
        <v>43260</v>
      </c>
      <c r="Q1982" s="6">
        <v>21</v>
      </c>
      <c r="R1982" s="6">
        <v>16.5</v>
      </c>
      <c r="S1982" s="6">
        <v>18030931</v>
      </c>
      <c r="T1982" s="6" t="str">
        <f>INDEX(医院2县区2人!$D$2:$D$1048576,MATCH(L1982,医院2县区2人!$A$2:$A$1048576,0))</f>
        <v>201602151421097</v>
      </c>
      <c r="W1982" s="6" t="str">
        <f t="shared" ref="W1982:W2045" si="65">H1982&amp;I1982</f>
        <v>双黄连口服液10ml*10支</v>
      </c>
      <c r="X1982" s="6" t="s">
        <v>2871</v>
      </c>
    </row>
    <row r="1983" spans="1:24" x14ac:dyDescent="0.15">
      <c r="A1983" s="7" t="str">
        <f t="shared" ref="A1983:A2046" si="66">IF(MONTH(P1983)&lt;10,YEAR(P1983)&amp;"0"&amp;MONTH(P1983),YEAR(P1983)&amp;MONTH(P1983))</f>
        <v>201806</v>
      </c>
      <c r="C1983" s="6" t="str">
        <f>INDEX(工厂基础数据!$A$2:$A$1024,MATCH(X1983,工厂基础数据!$D$2:$D$1024,0))</f>
        <v>02031912</v>
      </c>
      <c r="E1983" s="6" t="str">
        <f>INDEX(工厂基础数据!$B$2:$B$1024,MATCH(X1983,工厂基础数据!$D$2:$D$1024,0))</f>
        <v>滨州弘德药业有限公司</v>
      </c>
      <c r="F1983" s="6">
        <f>INDEX(商业2转码!$B$2:$B$10000,MATCH(E1983,商业2转码!$A$2:$A$10000,0))</f>
        <v>0</v>
      </c>
      <c r="G1983" s="6" t="str">
        <f>INDEX(品种2编码!$A$2:$A$1048576,MATCH(W1983,品种2编码!$D$2:$D$1048576,0))</f>
        <v>0020070001ZYZC0383</v>
      </c>
      <c r="H1983" s="6" t="s">
        <v>1849</v>
      </c>
      <c r="I1983" s="6" t="s">
        <v>1850</v>
      </c>
      <c r="J1983" s="6" t="s">
        <v>3038</v>
      </c>
      <c r="L1983" s="6" t="s">
        <v>36</v>
      </c>
      <c r="M1983" s="6" t="e">
        <f>INDEX(医院2县区2人!$B$2:$B$1048576,MATCH(L1983,医院2县区2人!$A$2:$A$1048576,0))</f>
        <v>#N/A</v>
      </c>
      <c r="N1983" s="6" t="e">
        <f>INDEX(医院2县区2人!$C$2:$C$1048576,MATCH(L1983,医院2县区2人!$A$2:$A$1048576,0))</f>
        <v>#N/A</v>
      </c>
      <c r="P1983" s="7">
        <v>43262</v>
      </c>
      <c r="Q1983" s="6">
        <v>0</v>
      </c>
      <c r="S1983" s="6">
        <v>1802005</v>
      </c>
      <c r="T1983" s="6" t="e">
        <f>INDEX(医院2县区2人!$D$2:$D$1048576,MATCH(L1983,医院2县区2人!$A$2:$A$1048576,0))</f>
        <v>#N/A</v>
      </c>
      <c r="W1983" s="6" t="str">
        <f t="shared" si="65"/>
        <v>哈药牌钙铁锌口服液10ml*10支</v>
      </c>
      <c r="X1983" s="6" t="s">
        <v>2871</v>
      </c>
    </row>
    <row r="1984" spans="1:24" x14ac:dyDescent="0.15">
      <c r="A1984" s="7" t="str">
        <f t="shared" si="66"/>
        <v>201806</v>
      </c>
      <c r="C1984" s="6" t="str">
        <f>INDEX(工厂基础数据!$A$2:$A$1024,MATCH(X1984,工厂基础数据!$D$2:$D$1024,0))</f>
        <v>02031912</v>
      </c>
      <c r="E1984" s="6" t="str">
        <f>INDEX(工厂基础数据!$B$2:$B$1024,MATCH(X1984,工厂基础数据!$D$2:$D$1024,0))</f>
        <v>滨州弘德药业有限公司</v>
      </c>
      <c r="F1984" s="6">
        <f>INDEX(商业2转码!$B$2:$B$10000,MATCH(E1984,商业2转码!$A$2:$A$10000,0))</f>
        <v>0</v>
      </c>
      <c r="G1984" s="6" t="str">
        <f>INDEX(品种2编码!$A$2:$A$1048576,MATCH(W1984,品种2编码!$D$2:$D$1048576,0))</f>
        <v>0020070001ZYZC0369</v>
      </c>
      <c r="H1984" s="6" t="s">
        <v>1849</v>
      </c>
      <c r="I1984" s="6" t="s">
        <v>411</v>
      </c>
      <c r="J1984" s="6" t="s">
        <v>3038</v>
      </c>
      <c r="L1984" s="6" t="s">
        <v>36</v>
      </c>
      <c r="M1984" s="6" t="e">
        <f>INDEX(医院2县区2人!$B$2:$B$1048576,MATCH(L1984,医院2县区2人!$A$2:$A$1048576,0))</f>
        <v>#N/A</v>
      </c>
      <c r="N1984" s="6" t="e">
        <f>INDEX(医院2县区2人!$C$2:$C$1048576,MATCH(L1984,医院2县区2人!$A$2:$A$1048576,0))</f>
        <v>#N/A</v>
      </c>
      <c r="P1984" s="7">
        <v>43262</v>
      </c>
      <c r="Q1984" s="6">
        <v>0</v>
      </c>
      <c r="S1984" s="6">
        <v>1803036</v>
      </c>
      <c r="T1984" s="6" t="e">
        <f>INDEX(医院2县区2人!$D$2:$D$1048576,MATCH(L1984,医院2县区2人!$A$2:$A$1048576,0))</f>
        <v>#N/A</v>
      </c>
      <c r="W1984" s="6" t="str">
        <f t="shared" si="65"/>
        <v>哈药牌钙铁锌口服液10ml*12支</v>
      </c>
      <c r="X1984" s="6" t="s">
        <v>2871</v>
      </c>
    </row>
    <row r="1985" spans="1:24" x14ac:dyDescent="0.15">
      <c r="A1985" s="7" t="str">
        <f t="shared" si="66"/>
        <v>201806</v>
      </c>
      <c r="C1985" s="6" t="str">
        <f>INDEX(工厂基础数据!$A$2:$A$1024,MATCH(X1985,工厂基础数据!$D$2:$D$1024,0))</f>
        <v>02031912</v>
      </c>
      <c r="E1985" s="6" t="str">
        <f>INDEX(工厂基础数据!$B$2:$B$1024,MATCH(X1985,工厂基础数据!$D$2:$D$1024,0))</f>
        <v>滨州弘德药业有限公司</v>
      </c>
      <c r="F1985" s="6">
        <f>INDEX(商业2转码!$B$2:$B$10000,MATCH(E1985,商业2转码!$A$2:$A$10000,0))</f>
        <v>0</v>
      </c>
      <c r="G1985" s="6" t="str">
        <f>INDEX(品种2编码!$A$2:$A$1048576,MATCH(W1985,品种2编码!$D$2:$D$1048576,0))</f>
        <v>0020040220SHYT0004</v>
      </c>
      <c r="H1985" s="6" t="s">
        <v>1857</v>
      </c>
      <c r="I1985" s="6" t="s">
        <v>1956</v>
      </c>
      <c r="J1985" s="6" t="s">
        <v>3037</v>
      </c>
      <c r="L1985" s="6" t="s">
        <v>2417</v>
      </c>
      <c r="M1985" s="6">
        <f>INDEX(医院2县区2人!$B$2:$B$1048576,MATCH(L1985,医院2县区2人!$A$2:$A$1048576,0))</f>
        <v>1</v>
      </c>
      <c r="N1985" s="6" t="str">
        <f>INDEX(医院2县区2人!$C$2:$C$1048576,MATCH(L1985,医院2县区2人!$A$2:$A$1048576,0))</f>
        <v>1856</v>
      </c>
      <c r="P1985" s="7">
        <v>43262</v>
      </c>
      <c r="Q1985" s="6">
        <v>5</v>
      </c>
      <c r="R1985" s="6">
        <v>17</v>
      </c>
      <c r="S1985" s="6">
        <v>1801411</v>
      </c>
      <c r="T1985" s="6" t="str">
        <f>INDEX(医院2县区2人!$D$2:$D$1048576,MATCH(L1985,医院2县区2人!$A$2:$A$1048576,0))</f>
        <v>201602151421097</v>
      </c>
      <c r="W1985" s="6" t="str">
        <f t="shared" si="65"/>
        <v>妇宁栓1.6g*8粒</v>
      </c>
      <c r="X1985" s="6" t="s">
        <v>2871</v>
      </c>
    </row>
    <row r="1986" spans="1:24" x14ac:dyDescent="0.15">
      <c r="A1986" s="7" t="str">
        <f t="shared" si="66"/>
        <v>201806</v>
      </c>
      <c r="C1986" s="6" t="str">
        <f>INDEX(工厂基础数据!$A$2:$A$1024,MATCH(X1986,工厂基础数据!$D$2:$D$1024,0))</f>
        <v>02031912</v>
      </c>
      <c r="E1986" s="6" t="str">
        <f>INDEX(工厂基础数据!$B$2:$B$1024,MATCH(X1986,工厂基础数据!$D$2:$D$1024,0))</f>
        <v>滨州弘德药业有限公司</v>
      </c>
      <c r="F1986" s="6">
        <f>INDEX(商业2转码!$B$2:$B$10000,MATCH(E1986,商业2转码!$A$2:$A$10000,0))</f>
        <v>0</v>
      </c>
      <c r="G1986" s="6" t="str">
        <f>INDEX(品种2编码!$A$2:$A$1048576,MATCH(W1986,品种2编码!$D$2:$D$1048576,0))</f>
        <v>0020030040ZYLC0001</v>
      </c>
      <c r="H1986" s="6" t="s">
        <v>1953</v>
      </c>
      <c r="I1986" s="6" t="s">
        <v>1954</v>
      </c>
      <c r="J1986" s="6" t="s">
        <v>3036</v>
      </c>
      <c r="L1986" s="6" t="s">
        <v>2389</v>
      </c>
      <c r="M1986" s="6">
        <f>INDEX(医院2县区2人!$B$2:$B$1048576,MATCH(L1986,医院2县区2人!$A$2:$A$1048576,0))</f>
        <v>4</v>
      </c>
      <c r="N1986" s="6" t="str">
        <f>INDEX(医院2县区2人!$C$2:$C$1048576,MATCH(L1986,医院2县区2人!$A$2:$A$1048576,0))</f>
        <v>1853</v>
      </c>
      <c r="P1986" s="7">
        <v>43262</v>
      </c>
      <c r="Q1986" s="6">
        <v>10</v>
      </c>
      <c r="R1986" s="6">
        <v>10</v>
      </c>
      <c r="S1986" s="6">
        <v>180139</v>
      </c>
      <c r="T1986" s="6" t="str">
        <f>INDEX(医院2县区2人!$D$2:$D$1048576,MATCH(L1986,医院2县区2人!$A$2:$A$1048576,0))</f>
        <v>201602151421097</v>
      </c>
      <c r="W1986" s="6" t="str">
        <f t="shared" si="65"/>
        <v>小儿氨酚黄那敏颗粒12袋</v>
      </c>
      <c r="X1986" s="6" t="s">
        <v>2871</v>
      </c>
    </row>
    <row r="1987" spans="1:24" x14ac:dyDescent="0.15">
      <c r="A1987" s="7" t="str">
        <f t="shared" si="66"/>
        <v>201806</v>
      </c>
      <c r="C1987" s="6" t="str">
        <f>INDEX(工厂基础数据!$A$2:$A$1024,MATCH(X1987,工厂基础数据!$D$2:$D$1024,0))</f>
        <v>02031912</v>
      </c>
      <c r="E1987" s="6" t="str">
        <f>INDEX(工厂基础数据!$B$2:$B$1024,MATCH(X1987,工厂基础数据!$D$2:$D$1024,0))</f>
        <v>滨州弘德药业有限公司</v>
      </c>
      <c r="F1987" s="6">
        <f>INDEX(商业2转码!$B$2:$B$10000,MATCH(E1987,商业2转码!$A$2:$A$10000,0))</f>
        <v>0</v>
      </c>
      <c r="G1987" s="6" t="str">
        <f>INDEX(品种2编码!$A$2:$A$1048576,MATCH(W1987,品种2编码!$D$2:$D$1048576,0))</f>
        <v>0020050090SJZY0001</v>
      </c>
      <c r="H1987" s="6" t="s">
        <v>630</v>
      </c>
      <c r="I1987" s="6" t="s">
        <v>1850</v>
      </c>
      <c r="J1987" s="6" t="s">
        <v>3040</v>
      </c>
      <c r="L1987" s="6" t="s">
        <v>2602</v>
      </c>
      <c r="M1987" s="6">
        <f>INDEX(医院2县区2人!$B$2:$B$1048576,MATCH(L1987,医院2县区2人!$A$2:$A$1048576,0))</f>
        <v>2</v>
      </c>
      <c r="N1987" s="6" t="str">
        <f>INDEX(医院2县区2人!$C$2:$C$1048576,MATCH(L1987,医院2县区2人!$A$2:$A$1048576,0))</f>
        <v>1853</v>
      </c>
      <c r="P1987" s="7">
        <v>43262</v>
      </c>
      <c r="Q1987" s="6">
        <v>10</v>
      </c>
      <c r="R1987" s="6">
        <v>16.5</v>
      </c>
      <c r="S1987" s="6">
        <v>18030931</v>
      </c>
      <c r="T1987" s="6" t="str">
        <f>INDEX(医院2县区2人!$D$2:$D$1048576,MATCH(L1987,医院2县区2人!$A$2:$A$1048576,0))</f>
        <v>201602151421097</v>
      </c>
      <c r="W1987" s="6" t="str">
        <f t="shared" si="65"/>
        <v>双黄连口服液10ml*10支</v>
      </c>
      <c r="X1987" s="6" t="s">
        <v>2871</v>
      </c>
    </row>
    <row r="1988" spans="1:24" x14ac:dyDescent="0.15">
      <c r="A1988" s="7" t="str">
        <f t="shared" si="66"/>
        <v>201806</v>
      </c>
      <c r="C1988" s="6" t="str">
        <f>INDEX(工厂基础数据!$A$2:$A$1024,MATCH(X1988,工厂基础数据!$D$2:$D$1024,0))</f>
        <v>02031912</v>
      </c>
      <c r="E1988" s="6" t="str">
        <f>INDEX(工厂基础数据!$B$2:$B$1024,MATCH(X1988,工厂基础数据!$D$2:$D$1024,0))</f>
        <v>滨州弘德药业有限公司</v>
      </c>
      <c r="F1988" s="6">
        <f>INDEX(商业2转码!$B$2:$B$10000,MATCH(E1988,商业2转码!$A$2:$A$10000,0))</f>
        <v>0</v>
      </c>
      <c r="G1988" s="6" t="str">
        <f>INDEX(品种2编码!$A$2:$A$1048576,MATCH(W1988,品种2编码!$D$2:$D$1048576,0))</f>
        <v>0020070000ZYLC0055</v>
      </c>
      <c r="H1988" s="6" t="s">
        <v>557</v>
      </c>
      <c r="I1988" s="6" t="s">
        <v>411</v>
      </c>
      <c r="J1988" s="6" t="s">
        <v>3036</v>
      </c>
      <c r="L1988" s="6" t="s">
        <v>3022</v>
      </c>
      <c r="M1988" s="6" t="e">
        <f>INDEX(医院2县区2人!$B$2:$B$1048576,MATCH(L1988,医院2县区2人!$A$2:$A$1048576,0))</f>
        <v>#N/A</v>
      </c>
      <c r="N1988" s="6" t="e">
        <f>INDEX(医院2县区2人!$C$2:$C$1048576,MATCH(L1988,医院2县区2人!$A$2:$A$1048576,0))</f>
        <v>#N/A</v>
      </c>
      <c r="P1988" s="7">
        <v>43262</v>
      </c>
      <c r="Q1988" s="6">
        <v>20</v>
      </c>
      <c r="R1988" s="6">
        <v>20</v>
      </c>
      <c r="S1988" s="6">
        <v>180514</v>
      </c>
      <c r="T1988" s="6" t="e">
        <f>INDEX(医院2县区2人!$D$2:$D$1048576,MATCH(L1988,医院2县区2人!$A$2:$A$1048576,0))</f>
        <v>#N/A</v>
      </c>
      <c r="W1988" s="6" t="str">
        <f t="shared" si="65"/>
        <v>朴雪乳酸亚铁口服液10ml*12支</v>
      </c>
      <c r="X1988" s="6" t="s">
        <v>2871</v>
      </c>
    </row>
    <row r="1989" spans="1:24" x14ac:dyDescent="0.15">
      <c r="A1989" s="7" t="str">
        <f t="shared" si="66"/>
        <v>201806</v>
      </c>
      <c r="C1989" s="6" t="str">
        <f>INDEX(工厂基础数据!$A$2:$A$1024,MATCH(X1989,工厂基础数据!$D$2:$D$1024,0))</f>
        <v>02031912</v>
      </c>
      <c r="E1989" s="6" t="str">
        <f>INDEX(工厂基础数据!$B$2:$B$1024,MATCH(X1989,工厂基础数据!$D$2:$D$1024,0))</f>
        <v>滨州弘德药业有限公司</v>
      </c>
      <c r="F1989" s="6">
        <f>INDEX(商业2转码!$B$2:$B$10000,MATCH(E1989,商业2转码!$A$2:$A$10000,0))</f>
        <v>0</v>
      </c>
      <c r="G1989" s="6" t="str">
        <f>INDEX(品种2编码!$A$2:$A$1048576,MATCH(W1989,品种2编码!$D$2:$D$1048576,0))</f>
        <v>0020070000ZYLC0001</v>
      </c>
      <c r="H1989" s="6" t="s">
        <v>725</v>
      </c>
      <c r="I1989" s="6" t="s">
        <v>1838</v>
      </c>
      <c r="J1989" s="6" t="s">
        <v>3036</v>
      </c>
      <c r="L1989" s="6" t="s">
        <v>3022</v>
      </c>
      <c r="M1989" s="6" t="e">
        <f>INDEX(医院2县区2人!$B$2:$B$1048576,MATCH(L1989,医院2县区2人!$A$2:$A$1048576,0))</f>
        <v>#N/A</v>
      </c>
      <c r="N1989" s="6" t="e">
        <f>INDEX(医院2县区2人!$C$2:$C$1048576,MATCH(L1989,医院2县区2人!$A$2:$A$1048576,0))</f>
        <v>#N/A</v>
      </c>
      <c r="P1989" s="7">
        <v>43262</v>
      </c>
      <c r="Q1989" s="6">
        <v>10</v>
      </c>
      <c r="R1989" s="6">
        <v>29</v>
      </c>
      <c r="S1989" s="6">
        <v>180103</v>
      </c>
      <c r="T1989" s="6" t="e">
        <f>INDEX(医院2县区2人!$D$2:$D$1048576,MATCH(L1989,医院2县区2人!$A$2:$A$1048576,0))</f>
        <v>#N/A</v>
      </c>
      <c r="W1989" s="6" t="str">
        <f t="shared" si="65"/>
        <v>新盖中盖牌高钙片2.5g*36片</v>
      </c>
      <c r="X1989" s="6" t="s">
        <v>2871</v>
      </c>
    </row>
    <row r="1990" spans="1:24" x14ac:dyDescent="0.15">
      <c r="A1990" s="7" t="str">
        <f t="shared" si="66"/>
        <v>201806</v>
      </c>
      <c r="C1990" s="6" t="str">
        <f>INDEX(工厂基础数据!$A$2:$A$1024,MATCH(X1990,工厂基础数据!$D$2:$D$1024,0))</f>
        <v>02031912</v>
      </c>
      <c r="E1990" s="6" t="str">
        <f>INDEX(工厂基础数据!$B$2:$B$1024,MATCH(X1990,工厂基础数据!$D$2:$D$1024,0))</f>
        <v>滨州弘德药业有限公司</v>
      </c>
      <c r="F1990" s="6">
        <f>INDEX(商业2转码!$B$2:$B$10000,MATCH(E1990,商业2转码!$A$2:$A$10000,0))</f>
        <v>0</v>
      </c>
      <c r="G1990" s="6" t="str">
        <f>INDEX(品种2编码!$A$2:$A$1048576,MATCH(W1990,品种2编码!$D$2:$D$1048576,0))</f>
        <v>0020030001SJZY0009</v>
      </c>
      <c r="H1990" s="6" t="s">
        <v>1949</v>
      </c>
      <c r="I1990" s="6" t="s">
        <v>411</v>
      </c>
      <c r="J1990" s="6" t="s">
        <v>3040</v>
      </c>
      <c r="L1990" s="6" t="s">
        <v>2448</v>
      </c>
      <c r="M1990" s="6">
        <f>INDEX(医院2县区2人!$B$2:$B$1048576,MATCH(L1990,医院2县区2人!$A$2:$A$1048576,0))</f>
        <v>1</v>
      </c>
      <c r="N1990" s="6" t="str">
        <f>INDEX(医院2县区2人!$C$2:$C$1048576,MATCH(L1990,医院2县区2人!$A$2:$A$1048576,0))</f>
        <v>1858</v>
      </c>
      <c r="P1990" s="7">
        <v>43262</v>
      </c>
      <c r="Q1990" s="6">
        <v>10</v>
      </c>
      <c r="R1990" s="6">
        <v>25</v>
      </c>
      <c r="S1990" s="6">
        <v>17070527</v>
      </c>
      <c r="T1990" s="6" t="str">
        <f>INDEX(医院2县区2人!$D$2:$D$1048576,MATCH(L1990,医院2县区2人!$A$2:$A$1048576,0))</f>
        <v>201602151421097</v>
      </c>
      <c r="W1990" s="6" t="str">
        <f t="shared" si="65"/>
        <v>葡萄糖酸锌口服溶液10ml*12支</v>
      </c>
      <c r="X1990" s="6" t="s">
        <v>2871</v>
      </c>
    </row>
    <row r="1991" spans="1:24" x14ac:dyDescent="0.15">
      <c r="A1991" s="7" t="str">
        <f t="shared" si="66"/>
        <v>201806</v>
      </c>
      <c r="C1991" s="6" t="str">
        <f>INDEX(工厂基础数据!$A$2:$A$1024,MATCH(X1991,工厂基础数据!$D$2:$D$1024,0))</f>
        <v>02031912</v>
      </c>
      <c r="E1991" s="6" t="str">
        <f>INDEX(工厂基础数据!$B$2:$B$1024,MATCH(X1991,工厂基础数据!$D$2:$D$1024,0))</f>
        <v>滨州弘德药业有限公司</v>
      </c>
      <c r="F1991" s="6">
        <f>INDEX(商业2转码!$B$2:$B$10000,MATCH(E1991,商业2转码!$A$2:$A$10000,0))</f>
        <v>0</v>
      </c>
      <c r="G1991" s="6" t="str">
        <f>INDEX(品种2编码!$A$2:$A$1048576,MATCH(W1991,品种2编码!$D$2:$D$1048576,0))</f>
        <v>0020050090SJZY0001</v>
      </c>
      <c r="H1991" s="6" t="s">
        <v>630</v>
      </c>
      <c r="I1991" s="6" t="s">
        <v>1850</v>
      </c>
      <c r="J1991" s="6" t="s">
        <v>3040</v>
      </c>
      <c r="L1991" s="6" t="s">
        <v>2434</v>
      </c>
      <c r="M1991" s="6">
        <f>INDEX(医院2县区2人!$B$2:$B$1048576,MATCH(L1991,医院2县区2人!$A$2:$A$1048576,0))</f>
        <v>1</v>
      </c>
      <c r="N1991" s="6" t="str">
        <f>INDEX(医院2县区2人!$C$2:$C$1048576,MATCH(L1991,医院2县区2人!$A$2:$A$1048576,0))</f>
        <v>1853</v>
      </c>
      <c r="P1991" s="7">
        <v>43262</v>
      </c>
      <c r="Q1991" s="6">
        <v>10</v>
      </c>
      <c r="R1991" s="6">
        <v>16.5</v>
      </c>
      <c r="S1991" s="6">
        <v>18030931</v>
      </c>
      <c r="T1991" s="6" t="str">
        <f>INDEX(医院2县区2人!$D$2:$D$1048576,MATCH(L1991,医院2县区2人!$A$2:$A$1048576,0))</f>
        <v>201602151421097</v>
      </c>
      <c r="W1991" s="6" t="str">
        <f t="shared" si="65"/>
        <v>双黄连口服液10ml*10支</v>
      </c>
      <c r="X1991" s="6" t="s">
        <v>2871</v>
      </c>
    </row>
    <row r="1992" spans="1:24" x14ac:dyDescent="0.15">
      <c r="A1992" s="7" t="str">
        <f t="shared" si="66"/>
        <v>201806</v>
      </c>
      <c r="C1992" s="6" t="str">
        <f>INDEX(工厂基础数据!$A$2:$A$1024,MATCH(X1992,工厂基础数据!$D$2:$D$1024,0))</f>
        <v>02031912</v>
      </c>
      <c r="E1992" s="6" t="str">
        <f>INDEX(工厂基础数据!$B$2:$B$1024,MATCH(X1992,工厂基础数据!$D$2:$D$1024,0))</f>
        <v>滨州弘德药业有限公司</v>
      </c>
      <c r="F1992" s="6">
        <f>INDEX(商业2转码!$B$2:$B$10000,MATCH(E1992,商业2转码!$A$2:$A$10000,0))</f>
        <v>0</v>
      </c>
      <c r="G1992" s="6" t="str">
        <f>INDEX(品种2编码!$A$2:$A$1048576,MATCH(W1992,品种2编码!$D$2:$D$1048576,0))</f>
        <v>0020030040SHYT0010</v>
      </c>
      <c r="H1992" s="6" t="s">
        <v>317</v>
      </c>
      <c r="I1992" s="6" t="s">
        <v>1848</v>
      </c>
      <c r="J1992" s="6" t="s">
        <v>3037</v>
      </c>
      <c r="L1992" s="6" t="s">
        <v>2434</v>
      </c>
      <c r="M1992" s="6">
        <f>INDEX(医院2县区2人!$B$2:$B$1048576,MATCH(L1992,医院2县区2人!$A$2:$A$1048576,0))</f>
        <v>1</v>
      </c>
      <c r="N1992" s="6" t="str">
        <f>INDEX(医院2县区2人!$C$2:$C$1048576,MATCH(L1992,医院2县区2人!$A$2:$A$1048576,0))</f>
        <v>1853</v>
      </c>
      <c r="P1992" s="7">
        <v>43262</v>
      </c>
      <c r="Q1992" s="6">
        <v>10</v>
      </c>
      <c r="R1992" s="6">
        <v>12.5</v>
      </c>
      <c r="S1992" s="6">
        <v>1611616</v>
      </c>
      <c r="T1992" s="6" t="str">
        <f>INDEX(医院2县区2人!$D$2:$D$1048576,MATCH(L1992,医院2县区2人!$A$2:$A$1048576,0))</f>
        <v>201602151421097</v>
      </c>
      <c r="W1992" s="6" t="str">
        <f t="shared" si="65"/>
        <v>布洛芬颗粒0.2g*12袋</v>
      </c>
      <c r="X1992" s="6" t="s">
        <v>2871</v>
      </c>
    </row>
    <row r="1993" spans="1:24" x14ac:dyDescent="0.15">
      <c r="A1993" s="7" t="str">
        <f t="shared" si="66"/>
        <v>201806</v>
      </c>
      <c r="C1993" s="6" t="str">
        <f>INDEX(工厂基础数据!$A$2:$A$1024,MATCH(X1993,工厂基础数据!$D$2:$D$1024,0))</f>
        <v>02031912</v>
      </c>
      <c r="E1993" s="6" t="str">
        <f>INDEX(工厂基础数据!$B$2:$B$1024,MATCH(X1993,工厂基础数据!$D$2:$D$1024,0))</f>
        <v>滨州弘德药业有限公司</v>
      </c>
      <c r="F1993" s="6">
        <f>INDEX(商业2转码!$B$2:$B$10000,MATCH(E1993,商业2转码!$A$2:$A$10000,0))</f>
        <v>0</v>
      </c>
      <c r="G1993" s="6" t="str">
        <f>INDEX(品种2编码!$A$2:$A$1048576,MATCH(W1993,品种2编码!$D$2:$D$1048576,0))</f>
        <v>0020030040ZYLC0001</v>
      </c>
      <c r="H1993" s="6" t="s">
        <v>1953</v>
      </c>
      <c r="I1993" s="6" t="s">
        <v>1954</v>
      </c>
      <c r="J1993" s="6" t="s">
        <v>3036</v>
      </c>
      <c r="L1993" s="6" t="s">
        <v>2434</v>
      </c>
      <c r="M1993" s="6">
        <f>INDEX(医院2县区2人!$B$2:$B$1048576,MATCH(L1993,医院2县区2人!$A$2:$A$1048576,0))</f>
        <v>1</v>
      </c>
      <c r="N1993" s="6" t="str">
        <f>INDEX(医院2县区2人!$C$2:$C$1048576,MATCH(L1993,医院2县区2人!$A$2:$A$1048576,0))</f>
        <v>1853</v>
      </c>
      <c r="P1993" s="7">
        <v>43262</v>
      </c>
      <c r="Q1993" s="6">
        <v>20</v>
      </c>
      <c r="R1993" s="6">
        <v>10</v>
      </c>
      <c r="S1993" s="6">
        <v>180139</v>
      </c>
      <c r="T1993" s="6" t="str">
        <f>INDEX(医院2县区2人!$D$2:$D$1048576,MATCH(L1993,医院2县区2人!$A$2:$A$1048576,0))</f>
        <v>201602151421097</v>
      </c>
      <c r="W1993" s="6" t="str">
        <f t="shared" si="65"/>
        <v>小儿氨酚黄那敏颗粒12袋</v>
      </c>
      <c r="X1993" s="6" t="s">
        <v>2871</v>
      </c>
    </row>
    <row r="1994" spans="1:24" x14ac:dyDescent="0.15">
      <c r="A1994" s="7" t="str">
        <f t="shared" si="66"/>
        <v>201806</v>
      </c>
      <c r="C1994" s="6" t="str">
        <f>INDEX(工厂基础数据!$A$2:$A$1024,MATCH(X1994,工厂基础数据!$D$2:$D$1024,0))</f>
        <v>02031912</v>
      </c>
      <c r="E1994" s="6" t="str">
        <f>INDEX(工厂基础数据!$B$2:$B$1024,MATCH(X1994,工厂基础数据!$D$2:$D$1024,0))</f>
        <v>滨州弘德药业有限公司</v>
      </c>
      <c r="F1994" s="6">
        <f>INDEX(商业2转码!$B$2:$B$10000,MATCH(E1994,商业2转码!$A$2:$A$10000,0))</f>
        <v>0</v>
      </c>
      <c r="G1994" s="6" t="str">
        <f>INDEX(品种2编码!$A$2:$A$1048576,MATCH(W1994,品种2编码!$D$2:$D$1048576,0))</f>
        <v>0020070001ZYZC0369</v>
      </c>
      <c r="H1994" s="6" t="s">
        <v>1849</v>
      </c>
      <c r="I1994" s="6" t="s">
        <v>411</v>
      </c>
      <c r="J1994" s="6" t="s">
        <v>3038</v>
      </c>
      <c r="L1994" s="6" t="s">
        <v>2270</v>
      </c>
      <c r="M1994" s="6">
        <f>INDEX(医院2县区2人!$B$2:$B$1048576,MATCH(L1994,医院2县区2人!$A$2:$A$1048576,0))</f>
        <v>1</v>
      </c>
      <c r="N1994" s="6" t="str">
        <f>INDEX(医院2县区2人!$C$2:$C$1048576,MATCH(L1994,医院2县区2人!$A$2:$A$1048576,0))</f>
        <v>1854</v>
      </c>
      <c r="P1994" s="7">
        <v>43262</v>
      </c>
      <c r="Q1994" s="6">
        <v>30</v>
      </c>
      <c r="R1994" s="6">
        <v>18</v>
      </c>
      <c r="S1994" s="6">
        <v>1803036</v>
      </c>
      <c r="T1994" s="6" t="str">
        <f>INDEX(医院2县区2人!$D$2:$D$1048576,MATCH(L1994,医院2县区2人!$A$2:$A$1048576,0))</f>
        <v>201602151421097</v>
      </c>
      <c r="W1994" s="6" t="str">
        <f t="shared" si="65"/>
        <v>哈药牌钙铁锌口服液10ml*12支</v>
      </c>
      <c r="X1994" s="6" t="s">
        <v>2871</v>
      </c>
    </row>
    <row r="1995" spans="1:24" x14ac:dyDescent="0.15">
      <c r="A1995" s="7" t="str">
        <f t="shared" si="66"/>
        <v>201806</v>
      </c>
      <c r="C1995" s="6" t="str">
        <f>INDEX(工厂基础数据!$A$2:$A$1024,MATCH(X1995,工厂基础数据!$D$2:$D$1024,0))</f>
        <v>02031912</v>
      </c>
      <c r="E1995" s="6" t="str">
        <f>INDEX(工厂基础数据!$B$2:$B$1024,MATCH(X1995,工厂基础数据!$D$2:$D$1024,0))</f>
        <v>滨州弘德药业有限公司</v>
      </c>
      <c r="F1995" s="6">
        <f>INDEX(商业2转码!$B$2:$B$10000,MATCH(E1995,商业2转码!$A$2:$A$10000,0))</f>
        <v>0</v>
      </c>
      <c r="G1995" s="6" t="str">
        <f>INDEX(品种2编码!$A$2:$A$1048576,MATCH(W1995,品种2编码!$D$2:$D$1048576,0))</f>
        <v>0020020020SJMS0008</v>
      </c>
      <c r="H1995" s="6" t="s">
        <v>474</v>
      </c>
      <c r="I1995" s="6" t="s">
        <v>1873</v>
      </c>
      <c r="J1995" s="6" t="s">
        <v>3046</v>
      </c>
      <c r="L1995" s="6" t="s">
        <v>2450</v>
      </c>
      <c r="M1995" s="6">
        <f>INDEX(医院2县区2人!$B$2:$B$1048576,MATCH(L1995,医院2县区2人!$A$2:$A$1048576,0))</f>
        <v>2</v>
      </c>
      <c r="N1995" s="6" t="str">
        <f>INDEX(医院2县区2人!$C$2:$C$1048576,MATCH(L1995,医院2县区2人!$A$2:$A$1048576,0))</f>
        <v>1853</v>
      </c>
      <c r="P1995" s="7">
        <v>43262</v>
      </c>
      <c r="Q1995" s="6">
        <v>10</v>
      </c>
      <c r="R1995" s="6">
        <v>27</v>
      </c>
      <c r="S1995" s="6">
        <v>1801004</v>
      </c>
      <c r="T1995" s="6" t="str">
        <f>INDEX(医院2县区2人!$D$2:$D$1048576,MATCH(L1995,医院2县区2人!$A$2:$A$1048576,0))</f>
        <v>201602151421097</v>
      </c>
      <c r="W1995" s="6" t="str">
        <f t="shared" si="65"/>
        <v>拉西地平片4mg*15片</v>
      </c>
      <c r="X1995" s="6" t="s">
        <v>2871</v>
      </c>
    </row>
    <row r="1996" spans="1:24" x14ac:dyDescent="0.15">
      <c r="A1996" s="7" t="str">
        <f t="shared" si="66"/>
        <v>201806</v>
      </c>
      <c r="C1996" s="6" t="str">
        <f>INDEX(工厂基础数据!$A$2:$A$1024,MATCH(X1996,工厂基础数据!$D$2:$D$1024,0))</f>
        <v>02031912</v>
      </c>
      <c r="E1996" s="6" t="str">
        <f>INDEX(工厂基础数据!$B$2:$B$1024,MATCH(X1996,工厂基础数据!$D$2:$D$1024,0))</f>
        <v>滨州弘德药业有限公司</v>
      </c>
      <c r="F1996" s="6">
        <f>INDEX(商业2转码!$B$2:$B$10000,MATCH(E1996,商业2转码!$A$2:$A$10000,0))</f>
        <v>0</v>
      </c>
      <c r="G1996" s="6" t="str">
        <f>INDEX(品种2编码!$A$2:$A$1048576,MATCH(W1996,品种2编码!$D$2:$D$1048576,0))</f>
        <v>0020030001SJZY0006</v>
      </c>
      <c r="H1996" s="6" t="s">
        <v>1833</v>
      </c>
      <c r="I1996" s="6" t="s">
        <v>411</v>
      </c>
      <c r="J1996" s="6" t="s">
        <v>3040</v>
      </c>
      <c r="L1996" s="6" t="s">
        <v>2450</v>
      </c>
      <c r="M1996" s="6">
        <f>INDEX(医院2县区2人!$B$2:$B$1048576,MATCH(L1996,医院2县区2人!$A$2:$A$1048576,0))</f>
        <v>2</v>
      </c>
      <c r="N1996" s="6" t="str">
        <f>INDEX(医院2县区2人!$C$2:$C$1048576,MATCH(L1996,医院2县区2人!$A$2:$A$1048576,0))</f>
        <v>1853</v>
      </c>
      <c r="P1996" s="7">
        <v>43262</v>
      </c>
      <c r="Q1996" s="6">
        <v>10</v>
      </c>
      <c r="R1996" s="6">
        <v>25</v>
      </c>
      <c r="S1996" s="6">
        <v>17090722</v>
      </c>
      <c r="T1996" s="6" t="str">
        <f>INDEX(医院2县区2人!$D$2:$D$1048576,MATCH(L1996,医院2县区2人!$A$2:$A$1048576,0))</f>
        <v>201602151421097</v>
      </c>
      <c r="W1996" s="6" t="str">
        <f t="shared" si="65"/>
        <v>葡萄糖酸钙口服溶液10ml*12支</v>
      </c>
      <c r="X1996" s="6" t="s">
        <v>2871</v>
      </c>
    </row>
    <row r="1997" spans="1:24" x14ac:dyDescent="0.15">
      <c r="A1997" s="7" t="str">
        <f t="shared" si="66"/>
        <v>201806</v>
      </c>
      <c r="C1997" s="6" t="str">
        <f>INDEX(工厂基础数据!$A$2:$A$1024,MATCH(X1997,工厂基础数据!$D$2:$D$1024,0))</f>
        <v>02031912</v>
      </c>
      <c r="E1997" s="6" t="str">
        <f>INDEX(工厂基础数据!$B$2:$B$1024,MATCH(X1997,工厂基础数据!$D$2:$D$1024,0))</f>
        <v>滨州弘德药业有限公司</v>
      </c>
      <c r="F1997" s="6">
        <f>INDEX(商业2转码!$B$2:$B$10000,MATCH(E1997,商业2转码!$A$2:$A$10000,0))</f>
        <v>0</v>
      </c>
      <c r="G1997" s="6" t="str">
        <f>INDEX(品种2编码!$A$2:$A$1048576,MATCH(W1997,品种2编码!$D$2:$D$1048576,0))</f>
        <v>0020030001SJZY0009</v>
      </c>
      <c r="H1997" s="6" t="s">
        <v>1949</v>
      </c>
      <c r="I1997" s="6" t="s">
        <v>411</v>
      </c>
      <c r="J1997" s="6" t="s">
        <v>3040</v>
      </c>
      <c r="L1997" s="6" t="s">
        <v>2450</v>
      </c>
      <c r="M1997" s="6">
        <f>INDEX(医院2县区2人!$B$2:$B$1048576,MATCH(L1997,医院2县区2人!$A$2:$A$1048576,0))</f>
        <v>2</v>
      </c>
      <c r="N1997" s="6" t="str">
        <f>INDEX(医院2县区2人!$C$2:$C$1048576,MATCH(L1997,医院2县区2人!$A$2:$A$1048576,0))</f>
        <v>1853</v>
      </c>
      <c r="P1997" s="7">
        <v>43262</v>
      </c>
      <c r="Q1997" s="6">
        <v>10</v>
      </c>
      <c r="R1997" s="6">
        <v>25</v>
      </c>
      <c r="S1997" s="6">
        <v>17070527</v>
      </c>
      <c r="T1997" s="6" t="str">
        <f>INDEX(医院2县区2人!$D$2:$D$1048576,MATCH(L1997,医院2县区2人!$A$2:$A$1048576,0))</f>
        <v>201602151421097</v>
      </c>
      <c r="W1997" s="6" t="str">
        <f t="shared" si="65"/>
        <v>葡萄糖酸锌口服溶液10ml*12支</v>
      </c>
      <c r="X1997" s="6" t="s">
        <v>2871</v>
      </c>
    </row>
    <row r="1998" spans="1:24" x14ac:dyDescent="0.15">
      <c r="A1998" s="7" t="str">
        <f t="shared" si="66"/>
        <v>201806</v>
      </c>
      <c r="C1998" s="6" t="str">
        <f>INDEX(工厂基础数据!$A$2:$A$1024,MATCH(X1998,工厂基础数据!$D$2:$D$1024,0))</f>
        <v>02031912</v>
      </c>
      <c r="E1998" s="6" t="str">
        <f>INDEX(工厂基础数据!$B$2:$B$1024,MATCH(X1998,工厂基础数据!$D$2:$D$1024,0))</f>
        <v>滨州弘德药业有限公司</v>
      </c>
      <c r="F1998" s="6">
        <f>INDEX(商业2转码!$B$2:$B$10000,MATCH(E1998,商业2转码!$A$2:$A$10000,0))</f>
        <v>0</v>
      </c>
      <c r="G1998" s="6" t="str">
        <f>INDEX(品种2编码!$A$2:$A$1048576,MATCH(W1998,品种2编码!$D$2:$D$1048576,0))</f>
        <v>0020070000ZYLC0001</v>
      </c>
      <c r="H1998" s="6" t="s">
        <v>725</v>
      </c>
      <c r="I1998" s="6" t="s">
        <v>1838</v>
      </c>
      <c r="J1998" s="6" t="s">
        <v>3036</v>
      </c>
      <c r="L1998" s="6" t="s">
        <v>2395</v>
      </c>
      <c r="M1998" s="6">
        <f>INDEX(医院2县区2人!$B$2:$B$1048576,MATCH(L1998,医院2县区2人!$A$2:$A$1048576,0))</f>
        <v>4</v>
      </c>
      <c r="N1998" s="6" t="str">
        <f>INDEX(医院2县区2人!$C$2:$C$1048576,MATCH(L1998,医院2县区2人!$A$2:$A$1048576,0))</f>
        <v>1859</v>
      </c>
      <c r="P1998" s="7">
        <v>43262</v>
      </c>
      <c r="Q1998" s="6">
        <v>30</v>
      </c>
      <c r="R1998" s="6">
        <v>29</v>
      </c>
      <c r="S1998" s="6">
        <v>180103</v>
      </c>
      <c r="T1998" s="6" t="str">
        <f>INDEX(医院2县区2人!$D$2:$D$1048576,MATCH(L1998,医院2县区2人!$A$2:$A$1048576,0))</f>
        <v>201602151421097</v>
      </c>
      <c r="W1998" s="6" t="str">
        <f t="shared" si="65"/>
        <v>新盖中盖牌高钙片2.5g*36片</v>
      </c>
      <c r="X1998" s="6" t="s">
        <v>2871</v>
      </c>
    </row>
    <row r="1999" spans="1:24" x14ac:dyDescent="0.15">
      <c r="A1999" s="7" t="str">
        <f t="shared" si="66"/>
        <v>201806</v>
      </c>
      <c r="C1999" s="6" t="str">
        <f>INDEX(工厂基础数据!$A$2:$A$1024,MATCH(X1999,工厂基础数据!$D$2:$D$1024,0))</f>
        <v>02031912</v>
      </c>
      <c r="E1999" s="6" t="str">
        <f>INDEX(工厂基础数据!$B$2:$B$1024,MATCH(X1999,工厂基础数据!$D$2:$D$1024,0))</f>
        <v>滨州弘德药业有限公司</v>
      </c>
      <c r="F1999" s="6">
        <f>INDEX(商业2转码!$B$2:$B$10000,MATCH(E1999,商业2转码!$A$2:$A$10000,0))</f>
        <v>0</v>
      </c>
      <c r="G1999" s="6" t="str">
        <f>INDEX(品种2编码!$A$2:$A$1048576,MATCH(W1999,品种2编码!$D$2:$D$1048576,0))</f>
        <v>0020030001SJZY0006</v>
      </c>
      <c r="H1999" s="6" t="s">
        <v>1833</v>
      </c>
      <c r="I1999" s="6" t="s">
        <v>411</v>
      </c>
      <c r="J1999" s="6" t="s">
        <v>3040</v>
      </c>
      <c r="L1999" s="6" t="s">
        <v>2395</v>
      </c>
      <c r="M1999" s="6">
        <f>INDEX(医院2县区2人!$B$2:$B$1048576,MATCH(L1999,医院2县区2人!$A$2:$A$1048576,0))</f>
        <v>4</v>
      </c>
      <c r="N1999" s="6" t="str">
        <f>INDEX(医院2县区2人!$C$2:$C$1048576,MATCH(L1999,医院2县区2人!$A$2:$A$1048576,0))</f>
        <v>1859</v>
      </c>
      <c r="P1999" s="7">
        <v>43262</v>
      </c>
      <c r="Q1999" s="6">
        <v>50</v>
      </c>
      <c r="R1999" s="6">
        <v>25</v>
      </c>
      <c r="S1999" s="6">
        <v>17090722</v>
      </c>
      <c r="T1999" s="6" t="str">
        <f>INDEX(医院2县区2人!$D$2:$D$1048576,MATCH(L1999,医院2县区2人!$A$2:$A$1048576,0))</f>
        <v>201602151421097</v>
      </c>
      <c r="W1999" s="6" t="str">
        <f t="shared" si="65"/>
        <v>葡萄糖酸钙口服溶液10ml*12支</v>
      </c>
      <c r="X1999" s="6" t="s">
        <v>2871</v>
      </c>
    </row>
    <row r="2000" spans="1:24" x14ac:dyDescent="0.15">
      <c r="A2000" s="7" t="str">
        <f t="shared" si="66"/>
        <v>201806</v>
      </c>
      <c r="C2000" s="6" t="str">
        <f>INDEX(工厂基础数据!$A$2:$A$1024,MATCH(X2000,工厂基础数据!$D$2:$D$1024,0))</f>
        <v>02031912</v>
      </c>
      <c r="E2000" s="6" t="str">
        <f>INDEX(工厂基础数据!$B$2:$B$1024,MATCH(X2000,工厂基础数据!$D$2:$D$1024,0))</f>
        <v>滨州弘德药业有限公司</v>
      </c>
      <c r="F2000" s="6">
        <f>INDEX(商业2转码!$B$2:$B$10000,MATCH(E2000,商业2转码!$A$2:$A$10000,0))</f>
        <v>0</v>
      </c>
      <c r="G2000" s="6" t="str">
        <f>INDEX(品种2编码!$A$2:$A$1048576,MATCH(W2000,品种2编码!$D$2:$D$1048576,0))</f>
        <v>0020050090SJZY0001</v>
      </c>
      <c r="H2000" s="6" t="s">
        <v>630</v>
      </c>
      <c r="I2000" s="6" t="s">
        <v>1850</v>
      </c>
      <c r="J2000" s="6" t="s">
        <v>3040</v>
      </c>
      <c r="L2000" s="6" t="s">
        <v>2395</v>
      </c>
      <c r="M2000" s="6">
        <f>INDEX(医院2县区2人!$B$2:$B$1048576,MATCH(L2000,医院2县区2人!$A$2:$A$1048576,0))</f>
        <v>4</v>
      </c>
      <c r="N2000" s="6" t="str">
        <f>INDEX(医院2县区2人!$C$2:$C$1048576,MATCH(L2000,医院2县区2人!$A$2:$A$1048576,0))</f>
        <v>1859</v>
      </c>
      <c r="P2000" s="7">
        <v>43262</v>
      </c>
      <c r="Q2000" s="6">
        <v>20</v>
      </c>
      <c r="R2000" s="6">
        <v>16.5</v>
      </c>
      <c r="S2000" s="6">
        <v>18030931</v>
      </c>
      <c r="T2000" s="6" t="str">
        <f>INDEX(医院2县区2人!$D$2:$D$1048576,MATCH(L2000,医院2县区2人!$A$2:$A$1048576,0))</f>
        <v>201602151421097</v>
      </c>
      <c r="W2000" s="6" t="str">
        <f t="shared" si="65"/>
        <v>双黄连口服液10ml*10支</v>
      </c>
      <c r="X2000" s="6" t="s">
        <v>2871</v>
      </c>
    </row>
    <row r="2001" spans="1:24" x14ac:dyDescent="0.15">
      <c r="A2001" s="7" t="str">
        <f t="shared" si="66"/>
        <v>201806</v>
      </c>
      <c r="C2001" s="6" t="str">
        <f>INDEX(工厂基础数据!$A$2:$A$1024,MATCH(X2001,工厂基础数据!$D$2:$D$1024,0))</f>
        <v>02031912</v>
      </c>
      <c r="E2001" s="6" t="str">
        <f>INDEX(工厂基础数据!$B$2:$B$1024,MATCH(X2001,工厂基础数据!$D$2:$D$1024,0))</f>
        <v>滨州弘德药业有限公司</v>
      </c>
      <c r="F2001" s="6">
        <f>INDEX(商业2转码!$B$2:$B$10000,MATCH(E2001,商业2转码!$A$2:$A$10000,0))</f>
        <v>0</v>
      </c>
      <c r="G2001" s="6" t="str">
        <f>INDEX(品种2编码!$A$2:$A$1048576,MATCH(W2001,品种2编码!$D$2:$D$1048576,0))</f>
        <v>0020020021ZYLC0004</v>
      </c>
      <c r="H2001" s="6" t="s">
        <v>1950</v>
      </c>
      <c r="I2001" s="6" t="s">
        <v>1869</v>
      </c>
      <c r="J2001" s="6" t="s">
        <v>3036</v>
      </c>
      <c r="L2001" s="6" t="s">
        <v>2395</v>
      </c>
      <c r="M2001" s="6">
        <f>INDEX(医院2县区2人!$B$2:$B$1048576,MATCH(L2001,医院2县区2人!$A$2:$A$1048576,0))</f>
        <v>4</v>
      </c>
      <c r="N2001" s="6" t="str">
        <f>INDEX(医院2县区2人!$C$2:$C$1048576,MATCH(L2001,医院2县区2人!$A$2:$A$1048576,0))</f>
        <v>1859</v>
      </c>
      <c r="P2001" s="7">
        <v>43262</v>
      </c>
      <c r="Q2001" s="6">
        <v>50</v>
      </c>
      <c r="R2001" s="6">
        <v>8</v>
      </c>
      <c r="S2001" s="6">
        <v>180201</v>
      </c>
      <c r="T2001" s="6" t="str">
        <f>INDEX(医院2县区2人!$D$2:$D$1048576,MATCH(L2001,医院2县区2人!$A$2:$A$1048576,0))</f>
        <v>201602151421097</v>
      </c>
      <c r="W2001" s="6" t="str">
        <f t="shared" si="65"/>
        <v>罗红霉素分散片75mg*12片</v>
      </c>
      <c r="X2001" s="6" t="s">
        <v>2871</v>
      </c>
    </row>
    <row r="2002" spans="1:24" x14ac:dyDescent="0.15">
      <c r="A2002" s="7" t="str">
        <f t="shared" si="66"/>
        <v>201806</v>
      </c>
      <c r="C2002" s="6" t="str">
        <f>INDEX(工厂基础数据!$A$2:$A$1024,MATCH(X2002,工厂基础数据!$D$2:$D$1024,0))</f>
        <v>02031912</v>
      </c>
      <c r="E2002" s="6" t="str">
        <f>INDEX(工厂基础数据!$B$2:$B$1024,MATCH(X2002,工厂基础数据!$D$2:$D$1024,0))</f>
        <v>滨州弘德药业有限公司</v>
      </c>
      <c r="F2002" s="6">
        <f>INDEX(商业2转码!$B$2:$B$10000,MATCH(E2002,商业2转码!$A$2:$A$10000,0))</f>
        <v>0</v>
      </c>
      <c r="G2002" s="6" t="str">
        <f>INDEX(品种2编码!$A$2:$A$1048576,MATCH(W2002,品种2编码!$D$2:$D$1048576,0))</f>
        <v>0020030020ZYLC0010</v>
      </c>
      <c r="H2002" s="6" t="s">
        <v>591</v>
      </c>
      <c r="I2002" s="6" t="s">
        <v>1948</v>
      </c>
      <c r="J2002" s="6" t="s">
        <v>3036</v>
      </c>
      <c r="L2002" s="6" t="s">
        <v>2224</v>
      </c>
      <c r="M2002" s="6">
        <f>INDEX(医院2县区2人!$B$2:$B$1048576,MATCH(L2002,医院2县区2人!$A$2:$A$1048576,0))</f>
        <v>2</v>
      </c>
      <c r="N2002" s="6" t="str">
        <f>INDEX(医院2县区2人!$C$2:$C$1048576,MATCH(L2002,医院2县区2人!$A$2:$A$1048576,0))</f>
        <v>1853</v>
      </c>
      <c r="P2002" s="7">
        <v>43262</v>
      </c>
      <c r="Q2002" s="6">
        <v>20</v>
      </c>
      <c r="R2002" s="6">
        <v>3.73</v>
      </c>
      <c r="S2002" s="6">
        <v>180136</v>
      </c>
      <c r="T2002" s="6" t="str">
        <f>INDEX(医院2县区2人!$D$2:$D$1048576,MATCH(L2002,医院2县区2人!$A$2:$A$1048576,0))</f>
        <v>201602151421097</v>
      </c>
      <c r="W2002" s="6" t="str">
        <f t="shared" si="65"/>
        <v>乳酸菌素片0.4g*36片/小包</v>
      </c>
      <c r="X2002" s="6" t="s">
        <v>2871</v>
      </c>
    </row>
    <row r="2003" spans="1:24" x14ac:dyDescent="0.15">
      <c r="A2003" s="7" t="str">
        <f t="shared" si="66"/>
        <v>201806</v>
      </c>
      <c r="C2003" s="6" t="str">
        <f>INDEX(工厂基础数据!$A$2:$A$1024,MATCH(X2003,工厂基础数据!$D$2:$D$1024,0))</f>
        <v>02031912</v>
      </c>
      <c r="E2003" s="6" t="str">
        <f>INDEX(工厂基础数据!$B$2:$B$1024,MATCH(X2003,工厂基础数据!$D$2:$D$1024,0))</f>
        <v>滨州弘德药业有限公司</v>
      </c>
      <c r="F2003" s="6">
        <f>INDEX(商业2转码!$B$2:$B$10000,MATCH(E2003,商业2转码!$A$2:$A$10000,0))</f>
        <v>0</v>
      </c>
      <c r="G2003" s="6" t="str">
        <f>INDEX(品种2编码!$A$2:$A$1048576,MATCH(W2003,品种2编码!$D$2:$D$1048576,0))</f>
        <v>0020020021ZYLC0004</v>
      </c>
      <c r="H2003" s="6" t="s">
        <v>1950</v>
      </c>
      <c r="I2003" s="6" t="s">
        <v>1869</v>
      </c>
      <c r="J2003" s="6" t="s">
        <v>3036</v>
      </c>
      <c r="L2003" s="6" t="s">
        <v>2351</v>
      </c>
      <c r="M2003" s="6">
        <f>INDEX(医院2县区2人!$B$2:$B$1048576,MATCH(L2003,医院2县区2人!$A$2:$A$1048576,0))</f>
        <v>2</v>
      </c>
      <c r="N2003" s="6" t="str">
        <f>INDEX(医院2县区2人!$C$2:$C$1048576,MATCH(L2003,医院2县区2人!$A$2:$A$1048576,0))</f>
        <v>1855</v>
      </c>
      <c r="P2003" s="7">
        <v>43263</v>
      </c>
      <c r="Q2003" s="6">
        <v>10</v>
      </c>
      <c r="R2003" s="6">
        <v>8</v>
      </c>
      <c r="S2003" s="6">
        <v>180201</v>
      </c>
      <c r="T2003" s="6" t="str">
        <f>INDEX(医院2县区2人!$D$2:$D$1048576,MATCH(L2003,医院2县区2人!$A$2:$A$1048576,0))</f>
        <v>201602151421097</v>
      </c>
      <c r="W2003" s="6" t="str">
        <f t="shared" si="65"/>
        <v>罗红霉素分散片75mg*12片</v>
      </c>
      <c r="X2003" s="6" t="s">
        <v>2871</v>
      </c>
    </row>
    <row r="2004" spans="1:24" x14ac:dyDescent="0.15">
      <c r="A2004" s="7" t="str">
        <f t="shared" si="66"/>
        <v>201806</v>
      </c>
      <c r="C2004" s="6" t="str">
        <f>INDEX(工厂基础数据!$A$2:$A$1024,MATCH(X2004,工厂基础数据!$D$2:$D$1024,0))</f>
        <v>02031912</v>
      </c>
      <c r="E2004" s="6" t="str">
        <f>INDEX(工厂基础数据!$B$2:$B$1024,MATCH(X2004,工厂基础数据!$D$2:$D$1024,0))</f>
        <v>滨州弘德药业有限公司</v>
      </c>
      <c r="F2004" s="6">
        <f>INDEX(商业2转码!$B$2:$B$10000,MATCH(E2004,商业2转码!$A$2:$A$10000,0))</f>
        <v>0</v>
      </c>
      <c r="G2004" s="6" t="str">
        <f>INDEX(品种2编码!$A$2:$A$1048576,MATCH(W2004,品种2编码!$D$2:$D$1048576,0))</f>
        <v>0020070000ZYLC0001</v>
      </c>
      <c r="H2004" s="6" t="s">
        <v>725</v>
      </c>
      <c r="I2004" s="6" t="s">
        <v>1838</v>
      </c>
      <c r="J2004" s="6" t="s">
        <v>3036</v>
      </c>
      <c r="L2004" s="6" t="s">
        <v>2351</v>
      </c>
      <c r="M2004" s="6">
        <f>INDEX(医院2县区2人!$B$2:$B$1048576,MATCH(L2004,医院2县区2人!$A$2:$A$1048576,0))</f>
        <v>2</v>
      </c>
      <c r="N2004" s="6" t="str">
        <f>INDEX(医院2县区2人!$C$2:$C$1048576,MATCH(L2004,医院2县区2人!$A$2:$A$1048576,0))</f>
        <v>1855</v>
      </c>
      <c r="P2004" s="7">
        <v>43263</v>
      </c>
      <c r="Q2004" s="6">
        <v>5</v>
      </c>
      <c r="R2004" s="6">
        <v>29</v>
      </c>
      <c r="S2004" s="6">
        <v>180103</v>
      </c>
      <c r="T2004" s="6" t="str">
        <f>INDEX(医院2县区2人!$D$2:$D$1048576,MATCH(L2004,医院2县区2人!$A$2:$A$1048576,0))</f>
        <v>201602151421097</v>
      </c>
      <c r="W2004" s="6" t="str">
        <f t="shared" si="65"/>
        <v>新盖中盖牌高钙片2.5g*36片</v>
      </c>
      <c r="X2004" s="6" t="s">
        <v>2871</v>
      </c>
    </row>
    <row r="2005" spans="1:24" x14ac:dyDescent="0.15">
      <c r="A2005" s="7" t="str">
        <f t="shared" si="66"/>
        <v>201806</v>
      </c>
      <c r="C2005" s="6" t="str">
        <f>INDEX(工厂基础数据!$A$2:$A$1024,MATCH(X2005,工厂基础数据!$D$2:$D$1024,0))</f>
        <v>02031912</v>
      </c>
      <c r="E2005" s="6" t="str">
        <f>INDEX(工厂基础数据!$B$2:$B$1024,MATCH(X2005,工厂基础数据!$D$2:$D$1024,0))</f>
        <v>滨州弘德药业有限公司</v>
      </c>
      <c r="F2005" s="6">
        <f>INDEX(商业2转码!$B$2:$B$10000,MATCH(E2005,商业2转码!$A$2:$A$10000,0))</f>
        <v>0</v>
      </c>
      <c r="G2005" s="6" t="str">
        <f>INDEX(品种2编码!$A$2:$A$1048576,MATCH(W2005,品种2编码!$D$2:$D$1048576,0))</f>
        <v>0020020021ZYLC0004</v>
      </c>
      <c r="H2005" s="6" t="s">
        <v>1950</v>
      </c>
      <c r="I2005" s="6" t="s">
        <v>1869</v>
      </c>
      <c r="J2005" s="6" t="s">
        <v>3036</v>
      </c>
      <c r="L2005" s="6" t="s">
        <v>2275</v>
      </c>
      <c r="M2005" s="6">
        <f>INDEX(医院2县区2人!$B$2:$B$1048576,MATCH(L2005,医院2县区2人!$A$2:$A$1048576,0))</f>
        <v>2</v>
      </c>
      <c r="N2005" s="6" t="str">
        <f>INDEX(医院2县区2人!$C$2:$C$1048576,MATCH(L2005,医院2县区2人!$A$2:$A$1048576,0))</f>
        <v>1853</v>
      </c>
      <c r="P2005" s="7">
        <v>43263</v>
      </c>
      <c r="Q2005" s="6">
        <v>4</v>
      </c>
      <c r="R2005" s="6">
        <v>8</v>
      </c>
      <c r="S2005" s="6">
        <v>180201</v>
      </c>
      <c r="T2005" s="6" t="str">
        <f>INDEX(医院2县区2人!$D$2:$D$1048576,MATCH(L2005,医院2县区2人!$A$2:$A$1048576,0))</f>
        <v>201602151421097</v>
      </c>
      <c r="W2005" s="6" t="str">
        <f t="shared" si="65"/>
        <v>罗红霉素分散片75mg*12片</v>
      </c>
      <c r="X2005" s="6" t="s">
        <v>2871</v>
      </c>
    </row>
    <row r="2006" spans="1:24" x14ac:dyDescent="0.15">
      <c r="A2006" s="7" t="str">
        <f t="shared" si="66"/>
        <v>201806</v>
      </c>
      <c r="C2006" s="6" t="str">
        <f>INDEX(工厂基础数据!$A$2:$A$1024,MATCH(X2006,工厂基础数据!$D$2:$D$1024,0))</f>
        <v>02031912</v>
      </c>
      <c r="E2006" s="6" t="str">
        <f>INDEX(工厂基础数据!$B$2:$B$1024,MATCH(X2006,工厂基础数据!$D$2:$D$1024,0))</f>
        <v>滨州弘德药业有限公司</v>
      </c>
      <c r="F2006" s="6">
        <f>INDEX(商业2转码!$B$2:$B$10000,MATCH(E2006,商业2转码!$A$2:$A$10000,0))</f>
        <v>0</v>
      </c>
      <c r="G2006" s="6" t="str">
        <f>INDEX(品种2编码!$A$2:$A$1048576,MATCH(W2006,品种2编码!$D$2:$D$1048576,0))</f>
        <v>0020030001SJZY0006</v>
      </c>
      <c r="H2006" s="6" t="s">
        <v>1833</v>
      </c>
      <c r="I2006" s="6" t="s">
        <v>411</v>
      </c>
      <c r="J2006" s="6" t="s">
        <v>3040</v>
      </c>
      <c r="L2006" s="6" t="s">
        <v>3461</v>
      </c>
      <c r="M2006" s="6" t="e">
        <f>INDEX(医院2县区2人!$B$2:$B$1048576,MATCH(L2006,医院2县区2人!$A$2:$A$1048576,0))</f>
        <v>#N/A</v>
      </c>
      <c r="N2006" s="6" t="e">
        <f>INDEX(医院2县区2人!$C$2:$C$1048576,MATCH(L2006,医院2县区2人!$A$2:$A$1048576,0))</f>
        <v>#N/A</v>
      </c>
      <c r="P2006" s="7">
        <v>43263</v>
      </c>
      <c r="Q2006" s="6">
        <v>80</v>
      </c>
      <c r="R2006" s="6">
        <v>25.2</v>
      </c>
      <c r="S2006" s="6">
        <v>18030523</v>
      </c>
      <c r="T2006" s="6" t="e">
        <f>INDEX(医院2县区2人!$D$2:$D$1048576,MATCH(L2006,医院2县区2人!$A$2:$A$1048576,0))</f>
        <v>#N/A</v>
      </c>
      <c r="W2006" s="6" t="str">
        <f t="shared" si="65"/>
        <v>葡萄糖酸钙口服溶液10ml*12支</v>
      </c>
      <c r="X2006" s="6" t="s">
        <v>2871</v>
      </c>
    </row>
    <row r="2007" spans="1:24" x14ac:dyDescent="0.15">
      <c r="A2007" s="7" t="str">
        <f t="shared" si="66"/>
        <v>201806</v>
      </c>
      <c r="C2007" s="6" t="str">
        <f>INDEX(工厂基础数据!$A$2:$A$1024,MATCH(X2007,工厂基础数据!$D$2:$D$1024,0))</f>
        <v>02031912</v>
      </c>
      <c r="E2007" s="6" t="str">
        <f>INDEX(工厂基础数据!$B$2:$B$1024,MATCH(X2007,工厂基础数据!$D$2:$D$1024,0))</f>
        <v>滨州弘德药业有限公司</v>
      </c>
      <c r="F2007" s="6">
        <f>INDEX(商业2转码!$B$2:$B$10000,MATCH(E2007,商业2转码!$A$2:$A$10000,0))</f>
        <v>0</v>
      </c>
      <c r="G2007" s="6" t="str">
        <f>INDEX(品种2编码!$A$2:$A$1048576,MATCH(W2007,品种2编码!$D$2:$D$1048576,0))</f>
        <v>0020020030ZYLC0003</v>
      </c>
      <c r="H2007" s="6" t="s">
        <v>361</v>
      </c>
      <c r="I2007" s="6" t="s">
        <v>2023</v>
      </c>
      <c r="J2007" s="6" t="s">
        <v>3036</v>
      </c>
      <c r="L2007" s="6" t="s">
        <v>2435</v>
      </c>
      <c r="M2007" s="6">
        <f>INDEX(医院2县区2人!$B$2:$B$1048576,MATCH(L2007,医院2县区2人!$A$2:$A$1048576,0))</f>
        <v>2</v>
      </c>
      <c r="N2007" s="6" t="str">
        <f>INDEX(医院2县区2人!$C$2:$C$1048576,MATCH(L2007,医院2县区2人!$A$2:$A$1048576,0))</f>
        <v>1853</v>
      </c>
      <c r="P2007" s="7">
        <v>43263</v>
      </c>
      <c r="Q2007" s="6">
        <v>80</v>
      </c>
      <c r="R2007" s="6">
        <v>1.1000000000000001</v>
      </c>
      <c r="S2007" s="6">
        <v>161101</v>
      </c>
      <c r="T2007" s="6" t="str">
        <f>INDEX(医院2县区2人!$D$2:$D$1048576,MATCH(L2007,医院2县区2人!$A$2:$A$1048576,0))</f>
        <v>201602151421097</v>
      </c>
      <c r="W2007" s="6" t="str">
        <f t="shared" si="65"/>
        <v>厄贝沙坦胶囊0.075g*12粒</v>
      </c>
      <c r="X2007" s="6" t="s">
        <v>2871</v>
      </c>
    </row>
    <row r="2008" spans="1:24" x14ac:dyDescent="0.15">
      <c r="A2008" s="7" t="str">
        <f t="shared" si="66"/>
        <v>201806</v>
      </c>
      <c r="C2008" s="6" t="str">
        <f>INDEX(工厂基础数据!$A$2:$A$1024,MATCH(X2008,工厂基础数据!$D$2:$D$1024,0))</f>
        <v>02031912</v>
      </c>
      <c r="E2008" s="6" t="str">
        <f>INDEX(工厂基础数据!$B$2:$B$1024,MATCH(X2008,工厂基础数据!$D$2:$D$1024,0))</f>
        <v>滨州弘德药业有限公司</v>
      </c>
      <c r="F2008" s="6">
        <f>INDEX(商业2转码!$B$2:$B$10000,MATCH(E2008,商业2转码!$A$2:$A$10000,0))</f>
        <v>0</v>
      </c>
      <c r="G2008" s="6" t="str">
        <f>INDEX(品种2编码!$A$2:$A$1048576,MATCH(W2008,品种2编码!$D$2:$D$1048576,0))</f>
        <v>0020030020ZYLC0010</v>
      </c>
      <c r="H2008" s="6" t="s">
        <v>591</v>
      </c>
      <c r="I2008" s="6" t="s">
        <v>1948</v>
      </c>
      <c r="J2008" s="6" t="s">
        <v>3036</v>
      </c>
      <c r="L2008" s="6" t="s">
        <v>2279</v>
      </c>
      <c r="M2008" s="6">
        <f>INDEX(医院2县区2人!$B$2:$B$1048576,MATCH(L2008,医院2县区2人!$A$2:$A$1048576,0))</f>
        <v>4</v>
      </c>
      <c r="N2008" s="6" t="str">
        <f>INDEX(医院2县区2人!$C$2:$C$1048576,MATCH(L2008,医院2县区2人!$A$2:$A$1048576,0))</f>
        <v>1855</v>
      </c>
      <c r="P2008" s="7">
        <v>43263</v>
      </c>
      <c r="Q2008" s="6">
        <v>20</v>
      </c>
      <c r="R2008" s="6">
        <v>3.7</v>
      </c>
      <c r="S2008" s="6">
        <v>180136</v>
      </c>
      <c r="T2008" s="6" t="str">
        <f>INDEX(医院2县区2人!$D$2:$D$1048576,MATCH(L2008,医院2县区2人!$A$2:$A$1048576,0))</f>
        <v>201602151421097</v>
      </c>
      <c r="W2008" s="6" t="str">
        <f t="shared" si="65"/>
        <v>乳酸菌素片0.4g*36片/小包</v>
      </c>
      <c r="X2008" s="6" t="s">
        <v>2871</v>
      </c>
    </row>
    <row r="2009" spans="1:24" x14ac:dyDescent="0.15">
      <c r="A2009" s="7" t="str">
        <f t="shared" si="66"/>
        <v>201806</v>
      </c>
      <c r="C2009" s="6" t="str">
        <f>INDEX(工厂基础数据!$A$2:$A$1024,MATCH(X2009,工厂基础数据!$D$2:$D$1024,0))</f>
        <v>02031912</v>
      </c>
      <c r="E2009" s="6" t="str">
        <f>INDEX(工厂基础数据!$B$2:$B$1024,MATCH(X2009,工厂基础数据!$D$2:$D$1024,0))</f>
        <v>滨州弘德药业有限公司</v>
      </c>
      <c r="F2009" s="6">
        <f>INDEX(商业2转码!$B$2:$B$10000,MATCH(E2009,商业2转码!$A$2:$A$10000,0))</f>
        <v>0</v>
      </c>
      <c r="G2009" s="6" t="str">
        <f>INDEX(品种2编码!$A$2:$A$1048576,MATCH(W2009,品种2编码!$D$2:$D$1048576,0))</f>
        <v>0020030020ZYLC0010</v>
      </c>
      <c r="H2009" s="6" t="s">
        <v>591</v>
      </c>
      <c r="I2009" s="6" t="s">
        <v>1948</v>
      </c>
      <c r="J2009" s="6" t="s">
        <v>3036</v>
      </c>
      <c r="L2009" s="6" t="s">
        <v>2455</v>
      </c>
      <c r="M2009" s="6">
        <f>INDEX(医院2县区2人!$B$2:$B$1048576,MATCH(L2009,医院2县区2人!$A$2:$A$1048576,0))</f>
        <v>2</v>
      </c>
      <c r="N2009" s="6" t="str">
        <f>INDEX(医院2县区2人!$C$2:$C$1048576,MATCH(L2009,医院2县区2人!$A$2:$A$1048576,0))</f>
        <v>1854</v>
      </c>
      <c r="P2009" s="7">
        <v>43263</v>
      </c>
      <c r="Q2009" s="6">
        <v>10</v>
      </c>
      <c r="R2009" s="6">
        <v>3.7</v>
      </c>
      <c r="S2009" s="6">
        <v>180136</v>
      </c>
      <c r="T2009" s="6" t="str">
        <f>INDEX(医院2县区2人!$D$2:$D$1048576,MATCH(L2009,医院2县区2人!$A$2:$A$1048576,0))</f>
        <v>201602151421097</v>
      </c>
      <c r="W2009" s="6" t="str">
        <f t="shared" si="65"/>
        <v>乳酸菌素片0.4g*36片/小包</v>
      </c>
      <c r="X2009" s="6" t="s">
        <v>2871</v>
      </c>
    </row>
    <row r="2010" spans="1:24" x14ac:dyDescent="0.15">
      <c r="A2010" s="7" t="str">
        <f t="shared" si="66"/>
        <v>201806</v>
      </c>
      <c r="C2010" s="6" t="str">
        <f>INDEX(工厂基础数据!$A$2:$A$1024,MATCH(X2010,工厂基础数据!$D$2:$D$1024,0))</f>
        <v>02031912</v>
      </c>
      <c r="E2010" s="6" t="str">
        <f>INDEX(工厂基础数据!$B$2:$B$1024,MATCH(X2010,工厂基础数据!$D$2:$D$1024,0))</f>
        <v>滨州弘德药业有限公司</v>
      </c>
      <c r="F2010" s="6">
        <f>INDEX(商业2转码!$B$2:$B$10000,MATCH(E2010,商业2转码!$A$2:$A$10000,0))</f>
        <v>0</v>
      </c>
      <c r="G2010" s="6" t="str">
        <f>INDEX(品种2编码!$A$2:$A$1048576,MATCH(W2010,品种2编码!$D$2:$D$1048576,0))</f>
        <v>0020070000ZYLC0055</v>
      </c>
      <c r="H2010" s="6" t="s">
        <v>557</v>
      </c>
      <c r="I2010" s="6" t="s">
        <v>411</v>
      </c>
      <c r="J2010" s="6" t="s">
        <v>3036</v>
      </c>
      <c r="L2010" s="6" t="s">
        <v>2296</v>
      </c>
      <c r="M2010" s="6">
        <f>INDEX(医院2县区2人!$B$2:$B$1048576,MATCH(L2010,医院2县区2人!$A$2:$A$1048576,0))</f>
        <v>1</v>
      </c>
      <c r="N2010" s="6" t="str">
        <f>INDEX(医院2县区2人!$C$2:$C$1048576,MATCH(L2010,医院2县区2人!$A$2:$A$1048576,0))</f>
        <v>1853</v>
      </c>
      <c r="P2010" s="7">
        <v>43264</v>
      </c>
      <c r="Q2010" s="6">
        <v>10</v>
      </c>
      <c r="R2010" s="6">
        <v>20</v>
      </c>
      <c r="S2010" s="6">
        <v>180514</v>
      </c>
      <c r="T2010" s="6" t="str">
        <f>INDEX(医院2县区2人!$D$2:$D$1048576,MATCH(L2010,医院2县区2人!$A$2:$A$1048576,0))</f>
        <v>201602151421097</v>
      </c>
      <c r="W2010" s="6" t="str">
        <f t="shared" si="65"/>
        <v>朴雪乳酸亚铁口服液10ml*12支</v>
      </c>
      <c r="X2010" s="6" t="s">
        <v>2871</v>
      </c>
    </row>
    <row r="2011" spans="1:24" x14ac:dyDescent="0.15">
      <c r="A2011" s="7" t="str">
        <f t="shared" si="66"/>
        <v>201806</v>
      </c>
      <c r="C2011" s="6" t="str">
        <f>INDEX(工厂基础数据!$A$2:$A$1024,MATCH(X2011,工厂基础数据!$D$2:$D$1024,0))</f>
        <v>02031912</v>
      </c>
      <c r="E2011" s="6" t="str">
        <f>INDEX(工厂基础数据!$B$2:$B$1024,MATCH(X2011,工厂基础数据!$D$2:$D$1024,0))</f>
        <v>滨州弘德药业有限公司</v>
      </c>
      <c r="F2011" s="6">
        <f>INDEX(商业2转码!$B$2:$B$10000,MATCH(E2011,商业2转码!$A$2:$A$10000,0))</f>
        <v>0</v>
      </c>
      <c r="G2011" s="6" t="str">
        <f>INDEX(品种2编码!$A$2:$A$1048576,MATCH(W2011,品种2编码!$D$2:$D$1048576,0))</f>
        <v>0020030040SHYT0010</v>
      </c>
      <c r="H2011" s="6" t="s">
        <v>317</v>
      </c>
      <c r="I2011" s="6" t="s">
        <v>1848</v>
      </c>
      <c r="J2011" s="6" t="s">
        <v>3037</v>
      </c>
      <c r="L2011" s="6" t="s">
        <v>3462</v>
      </c>
      <c r="M2011" s="6" t="e">
        <f>INDEX(医院2县区2人!$B$2:$B$1048576,MATCH(L2011,医院2县区2人!$A$2:$A$1048576,0))</f>
        <v>#N/A</v>
      </c>
      <c r="N2011" s="6" t="e">
        <f>INDEX(医院2县区2人!$C$2:$C$1048576,MATCH(L2011,医院2县区2人!$A$2:$A$1048576,0))</f>
        <v>#N/A</v>
      </c>
      <c r="P2011" s="7">
        <v>43264</v>
      </c>
      <c r="Q2011" s="6">
        <v>5</v>
      </c>
      <c r="R2011" s="6">
        <v>12.5</v>
      </c>
      <c r="S2011" s="6">
        <v>1611616</v>
      </c>
      <c r="T2011" s="6" t="e">
        <f>INDEX(医院2县区2人!$D$2:$D$1048576,MATCH(L2011,医院2县区2人!$A$2:$A$1048576,0))</f>
        <v>#N/A</v>
      </c>
      <c r="W2011" s="6" t="str">
        <f t="shared" si="65"/>
        <v>布洛芬颗粒0.2g*12袋</v>
      </c>
      <c r="X2011" s="6" t="s">
        <v>2871</v>
      </c>
    </row>
    <row r="2012" spans="1:24" x14ac:dyDescent="0.15">
      <c r="A2012" s="7" t="str">
        <f t="shared" si="66"/>
        <v>201806</v>
      </c>
      <c r="C2012" s="6" t="str">
        <f>INDEX(工厂基础数据!$A$2:$A$1024,MATCH(X2012,工厂基础数据!$D$2:$D$1024,0))</f>
        <v>02031912</v>
      </c>
      <c r="E2012" s="6" t="str">
        <f>INDEX(工厂基础数据!$B$2:$B$1024,MATCH(X2012,工厂基础数据!$D$2:$D$1024,0))</f>
        <v>滨州弘德药业有限公司</v>
      </c>
      <c r="F2012" s="6">
        <f>INDEX(商业2转码!$B$2:$B$10000,MATCH(E2012,商业2转码!$A$2:$A$10000,0))</f>
        <v>0</v>
      </c>
      <c r="G2012" s="6" t="str">
        <f>INDEX(品种2编码!$A$2:$A$1048576,MATCH(W2012,品种2编码!$D$2:$D$1048576,0))</f>
        <v>0020030020ZYLC0013</v>
      </c>
      <c r="H2012" s="6" t="s">
        <v>591</v>
      </c>
      <c r="I2012" s="6" t="s">
        <v>1951</v>
      </c>
      <c r="J2012" s="6" t="s">
        <v>3036</v>
      </c>
      <c r="L2012" s="6" t="s">
        <v>2407</v>
      </c>
      <c r="M2012" s="6">
        <f>INDEX(医院2县区2人!$B$2:$B$1048576,MATCH(L2012,医院2县区2人!$A$2:$A$1048576,0))</f>
        <v>2</v>
      </c>
      <c r="N2012" s="6" t="str">
        <f>INDEX(医院2县区2人!$C$2:$C$1048576,MATCH(L2012,医院2县区2人!$A$2:$A$1048576,0))</f>
        <v>1853</v>
      </c>
      <c r="P2012" s="7">
        <v>43264</v>
      </c>
      <c r="Q2012" s="6">
        <v>10</v>
      </c>
      <c r="R2012" s="6">
        <v>9</v>
      </c>
      <c r="S2012" s="6">
        <v>180304</v>
      </c>
      <c r="T2012" s="6" t="str">
        <f>INDEX(医院2县区2人!$D$2:$D$1048576,MATCH(L2012,医院2县区2人!$A$2:$A$1048576,0))</f>
        <v>201602151421097</v>
      </c>
      <c r="W2012" s="6" t="str">
        <f t="shared" si="65"/>
        <v>乳酸菌素片0.4g*12片*3板</v>
      </c>
      <c r="X2012" s="6" t="s">
        <v>2871</v>
      </c>
    </row>
    <row r="2013" spans="1:24" x14ac:dyDescent="0.15">
      <c r="A2013" s="7" t="str">
        <f t="shared" si="66"/>
        <v>201806</v>
      </c>
      <c r="C2013" s="6" t="str">
        <f>INDEX(工厂基础数据!$A$2:$A$1024,MATCH(X2013,工厂基础数据!$D$2:$D$1024,0))</f>
        <v>02031912</v>
      </c>
      <c r="E2013" s="6" t="str">
        <f>INDEX(工厂基础数据!$B$2:$B$1024,MATCH(X2013,工厂基础数据!$D$2:$D$1024,0))</f>
        <v>滨州弘德药业有限公司</v>
      </c>
      <c r="F2013" s="6">
        <f>INDEX(商业2转码!$B$2:$B$10000,MATCH(E2013,商业2转码!$A$2:$A$10000,0))</f>
        <v>0</v>
      </c>
      <c r="G2013" s="6" t="str">
        <f>INDEX(品种2编码!$A$2:$A$1048576,MATCH(W2013,品种2编码!$D$2:$D$1048576,0))</f>
        <v>0020020020SJMS0008</v>
      </c>
      <c r="H2013" s="6" t="s">
        <v>474</v>
      </c>
      <c r="I2013" s="6" t="s">
        <v>1873</v>
      </c>
      <c r="J2013" s="6" t="s">
        <v>3046</v>
      </c>
      <c r="L2013" s="6" t="s">
        <v>2398</v>
      </c>
      <c r="M2013" s="6">
        <f>INDEX(医院2县区2人!$B$2:$B$1048576,MATCH(L2013,医院2县区2人!$A$2:$A$1048576,0))</f>
        <v>2</v>
      </c>
      <c r="N2013" s="6" t="str">
        <f>INDEX(医院2县区2人!$C$2:$C$1048576,MATCH(L2013,医院2县区2人!$A$2:$A$1048576,0))</f>
        <v>1853</v>
      </c>
      <c r="P2013" s="7">
        <v>43264</v>
      </c>
      <c r="Q2013" s="6">
        <v>10</v>
      </c>
      <c r="R2013" s="6">
        <v>27</v>
      </c>
      <c r="S2013" s="6">
        <v>1801004</v>
      </c>
      <c r="T2013" s="6" t="str">
        <f>INDEX(医院2县区2人!$D$2:$D$1048576,MATCH(L2013,医院2县区2人!$A$2:$A$1048576,0))</f>
        <v>201602151421097</v>
      </c>
      <c r="W2013" s="6" t="str">
        <f t="shared" si="65"/>
        <v>拉西地平片4mg*15片</v>
      </c>
      <c r="X2013" s="6" t="s">
        <v>2871</v>
      </c>
    </row>
    <row r="2014" spans="1:24" x14ac:dyDescent="0.15">
      <c r="A2014" s="7" t="str">
        <f t="shared" si="66"/>
        <v>201806</v>
      </c>
      <c r="C2014" s="6" t="str">
        <f>INDEX(工厂基础数据!$A$2:$A$1024,MATCH(X2014,工厂基础数据!$D$2:$D$1024,0))</f>
        <v>02031912</v>
      </c>
      <c r="E2014" s="6" t="str">
        <f>INDEX(工厂基础数据!$B$2:$B$1024,MATCH(X2014,工厂基础数据!$D$2:$D$1024,0))</f>
        <v>滨州弘德药业有限公司</v>
      </c>
      <c r="F2014" s="6">
        <f>INDEX(商业2转码!$B$2:$B$10000,MATCH(E2014,商业2转码!$A$2:$A$10000,0))</f>
        <v>0</v>
      </c>
      <c r="G2014" s="6" t="str">
        <f>INDEX(品种2编码!$A$2:$A$1048576,MATCH(W2014,品种2编码!$D$2:$D$1048576,0))</f>
        <v>0020020021ZYLC0012</v>
      </c>
      <c r="H2014" s="6" t="s">
        <v>292</v>
      </c>
      <c r="I2014" s="6" t="s">
        <v>1959</v>
      </c>
      <c r="J2014" s="6" t="s">
        <v>3036</v>
      </c>
      <c r="L2014" s="6" t="s">
        <v>2213</v>
      </c>
      <c r="M2014" s="6">
        <f>INDEX(医院2县区2人!$B$2:$B$1048576,MATCH(L2014,医院2县区2人!$A$2:$A$1048576,0))</f>
        <v>4</v>
      </c>
      <c r="N2014" s="6" t="str">
        <f>INDEX(医院2县区2人!$C$2:$C$1048576,MATCH(L2014,医院2县区2人!$A$2:$A$1048576,0))</f>
        <v>1857</v>
      </c>
      <c r="P2014" s="7">
        <v>43265</v>
      </c>
      <c r="Q2014" s="6">
        <v>20</v>
      </c>
      <c r="R2014" s="6">
        <v>8</v>
      </c>
      <c r="S2014" s="6">
        <v>180102</v>
      </c>
      <c r="T2014" s="6" t="str">
        <f>INDEX(医院2县区2人!$D$2:$D$1048576,MATCH(L2014,医院2县区2人!$A$2:$A$1048576,0))</f>
        <v>201602151421097</v>
      </c>
      <c r="W2014" s="6" t="str">
        <f t="shared" si="65"/>
        <v>阿奇霉素分散片0.25g*6片</v>
      </c>
      <c r="X2014" s="6" t="s">
        <v>2871</v>
      </c>
    </row>
    <row r="2015" spans="1:24" x14ac:dyDescent="0.15">
      <c r="A2015" s="7" t="str">
        <f t="shared" si="66"/>
        <v>201806</v>
      </c>
      <c r="C2015" s="6" t="str">
        <f>INDEX(工厂基础数据!$A$2:$A$1024,MATCH(X2015,工厂基础数据!$D$2:$D$1024,0))</f>
        <v>02031912</v>
      </c>
      <c r="E2015" s="6" t="str">
        <f>INDEX(工厂基础数据!$B$2:$B$1024,MATCH(X2015,工厂基础数据!$D$2:$D$1024,0))</f>
        <v>滨州弘德药业有限公司</v>
      </c>
      <c r="F2015" s="6">
        <f>INDEX(商业2转码!$B$2:$B$10000,MATCH(E2015,商业2转码!$A$2:$A$10000,0))</f>
        <v>0</v>
      </c>
      <c r="G2015" s="6" t="str">
        <f>INDEX(品种2编码!$A$2:$A$1048576,MATCH(W2015,品种2编码!$D$2:$D$1048576,0))</f>
        <v>0020030001SJZY0009</v>
      </c>
      <c r="H2015" s="6" t="s">
        <v>1949</v>
      </c>
      <c r="I2015" s="6" t="s">
        <v>411</v>
      </c>
      <c r="J2015" s="6" t="s">
        <v>3040</v>
      </c>
      <c r="L2015" s="6" t="s">
        <v>2213</v>
      </c>
      <c r="M2015" s="6">
        <f>INDEX(医院2县区2人!$B$2:$B$1048576,MATCH(L2015,医院2县区2人!$A$2:$A$1048576,0))</f>
        <v>4</v>
      </c>
      <c r="N2015" s="6" t="str">
        <f>INDEX(医院2县区2人!$C$2:$C$1048576,MATCH(L2015,医院2县区2人!$A$2:$A$1048576,0))</f>
        <v>1857</v>
      </c>
      <c r="P2015" s="7">
        <v>43265</v>
      </c>
      <c r="Q2015" s="6">
        <v>10</v>
      </c>
      <c r="R2015" s="6">
        <v>25</v>
      </c>
      <c r="S2015" s="6">
        <v>17070527</v>
      </c>
      <c r="T2015" s="6" t="str">
        <f>INDEX(医院2县区2人!$D$2:$D$1048576,MATCH(L2015,医院2县区2人!$A$2:$A$1048576,0))</f>
        <v>201602151421097</v>
      </c>
      <c r="W2015" s="6" t="str">
        <f t="shared" si="65"/>
        <v>葡萄糖酸锌口服溶液10ml*12支</v>
      </c>
      <c r="X2015" s="6" t="s">
        <v>2871</v>
      </c>
    </row>
    <row r="2016" spans="1:24" x14ac:dyDescent="0.15">
      <c r="A2016" s="7" t="str">
        <f t="shared" si="66"/>
        <v>201806</v>
      </c>
      <c r="C2016" s="6" t="str">
        <f>INDEX(工厂基础数据!$A$2:$A$1024,MATCH(X2016,工厂基础数据!$D$2:$D$1024,0))</f>
        <v>02031912</v>
      </c>
      <c r="E2016" s="6" t="str">
        <f>INDEX(工厂基础数据!$B$2:$B$1024,MATCH(X2016,工厂基础数据!$D$2:$D$1024,0))</f>
        <v>滨州弘德药业有限公司</v>
      </c>
      <c r="F2016" s="6">
        <f>INDEX(商业2转码!$B$2:$B$10000,MATCH(E2016,商业2转码!$A$2:$A$10000,0))</f>
        <v>0</v>
      </c>
      <c r="G2016" s="6" t="str">
        <f>INDEX(品种2编码!$A$2:$A$1048576,MATCH(W2016,品种2编码!$D$2:$D$1048576,0))</f>
        <v>0020020020ZYLC0010</v>
      </c>
      <c r="H2016" s="6" t="s">
        <v>1855</v>
      </c>
      <c r="I2016" s="6" t="s">
        <v>1957</v>
      </c>
      <c r="J2016" s="6" t="s">
        <v>3036</v>
      </c>
      <c r="L2016" s="6" t="s">
        <v>3463</v>
      </c>
      <c r="M2016" s="6" t="e">
        <f>INDEX(医院2县区2人!$B$2:$B$1048576,MATCH(L2016,医院2县区2人!$A$2:$A$1048576,0))</f>
        <v>#N/A</v>
      </c>
      <c r="N2016" s="6" t="e">
        <f>INDEX(医院2县区2人!$C$2:$C$1048576,MATCH(L2016,医院2县区2人!$A$2:$A$1048576,0))</f>
        <v>#N/A</v>
      </c>
      <c r="P2016" s="7">
        <v>43265</v>
      </c>
      <c r="Q2016" s="6">
        <v>6</v>
      </c>
      <c r="R2016" s="6">
        <v>3.5</v>
      </c>
      <c r="S2016" s="6">
        <v>180115</v>
      </c>
      <c r="T2016" s="6" t="e">
        <f>INDEX(医院2县区2人!$D$2:$D$1048576,MATCH(L2016,医院2县区2人!$A$2:$A$1048576,0))</f>
        <v>#N/A</v>
      </c>
      <c r="W2016" s="6" t="str">
        <f t="shared" si="65"/>
        <v>颠茄磺苄啶片10片/瓶</v>
      </c>
      <c r="X2016" s="6" t="s">
        <v>2871</v>
      </c>
    </row>
    <row r="2017" spans="1:24" x14ac:dyDescent="0.15">
      <c r="A2017" s="7" t="str">
        <f t="shared" si="66"/>
        <v>201806</v>
      </c>
      <c r="C2017" s="6" t="str">
        <f>INDEX(工厂基础数据!$A$2:$A$1024,MATCH(X2017,工厂基础数据!$D$2:$D$1024,0))</f>
        <v>02031912</v>
      </c>
      <c r="E2017" s="6" t="str">
        <f>INDEX(工厂基础数据!$B$2:$B$1024,MATCH(X2017,工厂基础数据!$D$2:$D$1024,0))</f>
        <v>滨州弘德药业有限公司</v>
      </c>
      <c r="F2017" s="6">
        <f>INDEX(商业2转码!$B$2:$B$10000,MATCH(E2017,商业2转码!$A$2:$A$10000,0))</f>
        <v>0</v>
      </c>
      <c r="G2017" s="6" t="str">
        <f>INDEX(品种2编码!$A$2:$A$1048576,MATCH(W2017,品种2编码!$D$2:$D$1048576,0))</f>
        <v>0020070001ZYZC0383</v>
      </c>
      <c r="H2017" s="6" t="s">
        <v>1849</v>
      </c>
      <c r="I2017" s="6" t="s">
        <v>1850</v>
      </c>
      <c r="J2017" s="6" t="s">
        <v>3038</v>
      </c>
      <c r="L2017" s="6" t="s">
        <v>2391</v>
      </c>
      <c r="M2017" s="6">
        <f>INDEX(医院2县区2人!$B$2:$B$1048576,MATCH(L2017,医院2县区2人!$A$2:$A$1048576,0))</f>
        <v>4</v>
      </c>
      <c r="N2017" s="6" t="str">
        <f>INDEX(医院2县区2人!$C$2:$C$1048576,MATCH(L2017,医院2县区2人!$A$2:$A$1048576,0))</f>
        <v>1853</v>
      </c>
      <c r="P2017" s="7">
        <v>43265</v>
      </c>
      <c r="Q2017" s="6">
        <v>15</v>
      </c>
      <c r="R2017" s="6">
        <v>15</v>
      </c>
      <c r="S2017" s="6">
        <v>1802005</v>
      </c>
      <c r="T2017" s="6" t="str">
        <f>INDEX(医院2县区2人!$D$2:$D$1048576,MATCH(L2017,医院2县区2人!$A$2:$A$1048576,0))</f>
        <v>201602151421097</v>
      </c>
      <c r="W2017" s="6" t="str">
        <f t="shared" si="65"/>
        <v>哈药牌钙铁锌口服液10ml*10支</v>
      </c>
      <c r="X2017" s="6" t="s">
        <v>2871</v>
      </c>
    </row>
    <row r="2018" spans="1:24" x14ac:dyDescent="0.15">
      <c r="A2018" s="7" t="str">
        <f t="shared" si="66"/>
        <v>201806</v>
      </c>
      <c r="C2018" s="6" t="str">
        <f>INDEX(工厂基础数据!$A$2:$A$1024,MATCH(X2018,工厂基础数据!$D$2:$D$1024,0))</f>
        <v>02031912</v>
      </c>
      <c r="E2018" s="6" t="str">
        <f>INDEX(工厂基础数据!$B$2:$B$1024,MATCH(X2018,工厂基础数据!$D$2:$D$1024,0))</f>
        <v>滨州弘德药业有限公司</v>
      </c>
      <c r="F2018" s="6">
        <f>INDEX(商业2转码!$B$2:$B$10000,MATCH(E2018,商业2转码!$A$2:$A$10000,0))</f>
        <v>0</v>
      </c>
      <c r="G2018" s="6" t="str">
        <f>INDEX(品种2编码!$A$2:$A$1048576,MATCH(W2018,品种2编码!$D$2:$D$1048576,0))</f>
        <v>0020070001ZYZC0383</v>
      </c>
      <c r="H2018" s="6" t="s">
        <v>1849</v>
      </c>
      <c r="I2018" s="6" t="s">
        <v>1850</v>
      </c>
      <c r="J2018" s="6" t="s">
        <v>3038</v>
      </c>
      <c r="L2018" s="6" t="s">
        <v>2391</v>
      </c>
      <c r="M2018" s="6">
        <f>INDEX(医院2县区2人!$B$2:$B$1048576,MATCH(L2018,医院2县区2人!$A$2:$A$1048576,0))</f>
        <v>4</v>
      </c>
      <c r="N2018" s="6" t="str">
        <f>INDEX(医院2县区2人!$C$2:$C$1048576,MATCH(L2018,医院2县区2人!$A$2:$A$1048576,0))</f>
        <v>1853</v>
      </c>
      <c r="P2018" s="7">
        <v>43265</v>
      </c>
      <c r="Q2018" s="6">
        <v>5</v>
      </c>
      <c r="R2018" s="6">
        <v>15</v>
      </c>
      <c r="S2018" s="6">
        <v>1802005</v>
      </c>
      <c r="T2018" s="6" t="str">
        <f>INDEX(医院2县区2人!$D$2:$D$1048576,MATCH(L2018,医院2县区2人!$A$2:$A$1048576,0))</f>
        <v>201602151421097</v>
      </c>
      <c r="W2018" s="6" t="str">
        <f t="shared" si="65"/>
        <v>哈药牌钙铁锌口服液10ml*10支</v>
      </c>
      <c r="X2018" s="6" t="s">
        <v>2871</v>
      </c>
    </row>
    <row r="2019" spans="1:24" x14ac:dyDescent="0.15">
      <c r="A2019" s="7" t="str">
        <f t="shared" si="66"/>
        <v>201806</v>
      </c>
      <c r="C2019" s="6" t="str">
        <f>INDEX(工厂基础数据!$A$2:$A$1024,MATCH(X2019,工厂基础数据!$D$2:$D$1024,0))</f>
        <v>02031912</v>
      </c>
      <c r="E2019" s="6" t="str">
        <f>INDEX(工厂基础数据!$B$2:$B$1024,MATCH(X2019,工厂基础数据!$D$2:$D$1024,0))</f>
        <v>滨州弘德药业有限公司</v>
      </c>
      <c r="F2019" s="6">
        <f>INDEX(商业2转码!$B$2:$B$10000,MATCH(E2019,商业2转码!$A$2:$A$10000,0))</f>
        <v>0</v>
      </c>
      <c r="G2019" s="6" t="str">
        <f>INDEX(品种2编码!$A$2:$A$1048576,MATCH(W2019,品种2编码!$D$2:$D$1048576,0))</f>
        <v>0020030001SJZY0006</v>
      </c>
      <c r="H2019" s="6" t="s">
        <v>1833</v>
      </c>
      <c r="I2019" s="6" t="s">
        <v>411</v>
      </c>
      <c r="J2019" s="6" t="s">
        <v>3040</v>
      </c>
      <c r="L2019" s="6" t="s">
        <v>2391</v>
      </c>
      <c r="M2019" s="6">
        <f>INDEX(医院2县区2人!$B$2:$B$1048576,MATCH(L2019,医院2县区2人!$A$2:$A$1048576,0))</f>
        <v>4</v>
      </c>
      <c r="N2019" s="6" t="str">
        <f>INDEX(医院2县区2人!$C$2:$C$1048576,MATCH(L2019,医院2县区2人!$A$2:$A$1048576,0))</f>
        <v>1853</v>
      </c>
      <c r="P2019" s="7">
        <v>43265</v>
      </c>
      <c r="Q2019" s="6">
        <v>20</v>
      </c>
      <c r="R2019" s="6">
        <v>25</v>
      </c>
      <c r="S2019" s="6">
        <v>17090722</v>
      </c>
      <c r="T2019" s="6" t="str">
        <f>INDEX(医院2县区2人!$D$2:$D$1048576,MATCH(L2019,医院2县区2人!$A$2:$A$1048576,0))</f>
        <v>201602151421097</v>
      </c>
      <c r="W2019" s="6" t="str">
        <f t="shared" si="65"/>
        <v>葡萄糖酸钙口服溶液10ml*12支</v>
      </c>
      <c r="X2019" s="6" t="s">
        <v>2871</v>
      </c>
    </row>
    <row r="2020" spans="1:24" x14ac:dyDescent="0.15">
      <c r="A2020" s="7" t="str">
        <f t="shared" si="66"/>
        <v>201806</v>
      </c>
      <c r="C2020" s="6" t="str">
        <f>INDEX(工厂基础数据!$A$2:$A$1024,MATCH(X2020,工厂基础数据!$D$2:$D$1024,0))</f>
        <v>02031912</v>
      </c>
      <c r="E2020" s="6" t="str">
        <f>INDEX(工厂基础数据!$B$2:$B$1024,MATCH(X2020,工厂基础数据!$D$2:$D$1024,0))</f>
        <v>滨州弘德药业有限公司</v>
      </c>
      <c r="F2020" s="6">
        <f>INDEX(商业2转码!$B$2:$B$10000,MATCH(E2020,商业2转码!$A$2:$A$10000,0))</f>
        <v>0</v>
      </c>
      <c r="G2020" s="6" t="str">
        <f>INDEX(品种2编码!$A$2:$A$1048576,MATCH(W2020,品种2编码!$D$2:$D$1048576,0))</f>
        <v>0020050090SJZY0001</v>
      </c>
      <c r="H2020" s="6" t="s">
        <v>630</v>
      </c>
      <c r="I2020" s="6" t="s">
        <v>1850</v>
      </c>
      <c r="J2020" s="6" t="s">
        <v>3040</v>
      </c>
      <c r="L2020" s="6" t="s">
        <v>2391</v>
      </c>
      <c r="M2020" s="6">
        <f>INDEX(医院2县区2人!$B$2:$B$1048576,MATCH(L2020,医院2县区2人!$A$2:$A$1048576,0))</f>
        <v>4</v>
      </c>
      <c r="N2020" s="6" t="str">
        <f>INDEX(医院2县区2人!$C$2:$C$1048576,MATCH(L2020,医院2县区2人!$A$2:$A$1048576,0))</f>
        <v>1853</v>
      </c>
      <c r="P2020" s="7">
        <v>43265</v>
      </c>
      <c r="Q2020" s="6">
        <v>20</v>
      </c>
      <c r="R2020" s="6">
        <v>16.5</v>
      </c>
      <c r="S2020" s="6">
        <v>18030931</v>
      </c>
      <c r="T2020" s="6" t="str">
        <f>INDEX(医院2县区2人!$D$2:$D$1048576,MATCH(L2020,医院2县区2人!$A$2:$A$1048576,0))</f>
        <v>201602151421097</v>
      </c>
      <c r="W2020" s="6" t="str">
        <f t="shared" si="65"/>
        <v>双黄连口服液10ml*10支</v>
      </c>
      <c r="X2020" s="6" t="s">
        <v>2871</v>
      </c>
    </row>
    <row r="2021" spans="1:24" x14ac:dyDescent="0.15">
      <c r="A2021" s="7" t="str">
        <f t="shared" si="66"/>
        <v>201806</v>
      </c>
      <c r="C2021" s="6" t="str">
        <f>INDEX(工厂基础数据!$A$2:$A$1024,MATCH(X2021,工厂基础数据!$D$2:$D$1024,0))</f>
        <v>02031912</v>
      </c>
      <c r="E2021" s="6" t="str">
        <f>INDEX(工厂基础数据!$B$2:$B$1024,MATCH(X2021,工厂基础数据!$D$2:$D$1024,0))</f>
        <v>滨州弘德药业有限公司</v>
      </c>
      <c r="F2021" s="6">
        <f>INDEX(商业2转码!$B$2:$B$10000,MATCH(E2021,商业2转码!$A$2:$A$10000,0))</f>
        <v>0</v>
      </c>
      <c r="G2021" s="6" t="str">
        <f>INDEX(品种2编码!$A$2:$A$1048576,MATCH(W2021,品种2编码!$D$2:$D$1048576,0))</f>
        <v>0020030040ZYLC0001</v>
      </c>
      <c r="H2021" s="6" t="s">
        <v>1953</v>
      </c>
      <c r="I2021" s="6" t="s">
        <v>1954</v>
      </c>
      <c r="J2021" s="6" t="s">
        <v>3036</v>
      </c>
      <c r="L2021" s="6" t="s">
        <v>2391</v>
      </c>
      <c r="M2021" s="6">
        <f>INDEX(医院2县区2人!$B$2:$B$1048576,MATCH(L2021,医院2县区2人!$A$2:$A$1048576,0))</f>
        <v>4</v>
      </c>
      <c r="N2021" s="6" t="str">
        <f>INDEX(医院2县区2人!$C$2:$C$1048576,MATCH(L2021,医院2县区2人!$A$2:$A$1048576,0))</f>
        <v>1853</v>
      </c>
      <c r="P2021" s="7">
        <v>43265</v>
      </c>
      <c r="Q2021" s="6">
        <v>20</v>
      </c>
      <c r="R2021" s="6">
        <v>10</v>
      </c>
      <c r="S2021" s="6">
        <v>180139</v>
      </c>
      <c r="T2021" s="6" t="str">
        <f>INDEX(医院2县区2人!$D$2:$D$1048576,MATCH(L2021,医院2县区2人!$A$2:$A$1048576,0))</f>
        <v>201602151421097</v>
      </c>
      <c r="W2021" s="6" t="str">
        <f t="shared" si="65"/>
        <v>小儿氨酚黄那敏颗粒12袋</v>
      </c>
      <c r="X2021" s="6" t="s">
        <v>2871</v>
      </c>
    </row>
    <row r="2022" spans="1:24" x14ac:dyDescent="0.15">
      <c r="A2022" s="7" t="str">
        <f t="shared" si="66"/>
        <v>201806</v>
      </c>
      <c r="C2022" s="6" t="str">
        <f>INDEX(工厂基础数据!$A$2:$A$1024,MATCH(X2022,工厂基础数据!$D$2:$D$1024,0))</f>
        <v>02031912</v>
      </c>
      <c r="E2022" s="6" t="str">
        <f>INDEX(工厂基础数据!$B$2:$B$1024,MATCH(X2022,工厂基础数据!$D$2:$D$1024,0))</f>
        <v>滨州弘德药业有限公司</v>
      </c>
      <c r="F2022" s="6">
        <f>INDEX(商业2转码!$B$2:$B$10000,MATCH(E2022,商业2转码!$A$2:$A$10000,0))</f>
        <v>0</v>
      </c>
      <c r="G2022" s="6" t="str">
        <f>INDEX(品种2编码!$A$2:$A$1048576,MATCH(W2022,品种2编码!$D$2:$D$1048576,0))</f>
        <v>0020020020ZYLC0010</v>
      </c>
      <c r="H2022" s="6" t="s">
        <v>1855</v>
      </c>
      <c r="I2022" s="6" t="s">
        <v>1957</v>
      </c>
      <c r="J2022" s="6" t="s">
        <v>3036</v>
      </c>
      <c r="L2022" s="6" t="s">
        <v>2633</v>
      </c>
      <c r="M2022" s="6">
        <f>INDEX(医院2县区2人!$B$2:$B$1048576,MATCH(L2022,医院2县区2人!$A$2:$A$1048576,0))</f>
        <v>1</v>
      </c>
      <c r="N2022" s="6" t="str">
        <f>INDEX(医院2县区2人!$C$2:$C$1048576,MATCH(L2022,医院2县区2人!$A$2:$A$1048576,0))</f>
        <v>1854</v>
      </c>
      <c r="P2022" s="7">
        <v>43265</v>
      </c>
      <c r="Q2022" s="6">
        <v>30</v>
      </c>
      <c r="R2022" s="6">
        <v>3.5</v>
      </c>
      <c r="S2022" s="6">
        <v>180115</v>
      </c>
      <c r="T2022" s="6" t="str">
        <f>INDEX(医院2县区2人!$D$2:$D$1048576,MATCH(L2022,医院2县区2人!$A$2:$A$1048576,0))</f>
        <v>201602151421097</v>
      </c>
      <c r="W2022" s="6" t="str">
        <f t="shared" si="65"/>
        <v>颠茄磺苄啶片10片/瓶</v>
      </c>
      <c r="X2022" s="6" t="s">
        <v>2871</v>
      </c>
    </row>
    <row r="2023" spans="1:24" x14ac:dyDescent="0.15">
      <c r="A2023" s="7" t="str">
        <f t="shared" si="66"/>
        <v>201806</v>
      </c>
      <c r="C2023" s="6" t="str">
        <f>INDEX(工厂基础数据!$A$2:$A$1024,MATCH(X2023,工厂基础数据!$D$2:$D$1024,0))</f>
        <v>02031912</v>
      </c>
      <c r="E2023" s="6" t="str">
        <f>INDEX(工厂基础数据!$B$2:$B$1024,MATCH(X2023,工厂基础数据!$D$2:$D$1024,0))</f>
        <v>滨州弘德药业有限公司</v>
      </c>
      <c r="F2023" s="6">
        <f>INDEX(商业2转码!$B$2:$B$10000,MATCH(E2023,商业2转码!$A$2:$A$10000,0))</f>
        <v>0</v>
      </c>
      <c r="G2023" s="6" t="str">
        <f>INDEX(品种2编码!$A$2:$A$1048576,MATCH(W2023,品种2编码!$D$2:$D$1048576,0))</f>
        <v>0020020020ZYLC0010</v>
      </c>
      <c r="H2023" s="6" t="s">
        <v>1855</v>
      </c>
      <c r="I2023" s="6" t="s">
        <v>1957</v>
      </c>
      <c r="J2023" s="6" t="s">
        <v>3036</v>
      </c>
      <c r="L2023" s="6" t="s">
        <v>3464</v>
      </c>
      <c r="M2023" s="6" t="e">
        <f>INDEX(医院2县区2人!$B$2:$B$1048576,MATCH(L2023,医院2县区2人!$A$2:$A$1048576,0))</f>
        <v>#N/A</v>
      </c>
      <c r="N2023" s="6" t="e">
        <f>INDEX(医院2县区2人!$C$2:$C$1048576,MATCH(L2023,医院2县区2人!$A$2:$A$1048576,0))</f>
        <v>#N/A</v>
      </c>
      <c r="P2023" s="7">
        <v>43265</v>
      </c>
      <c r="Q2023" s="6">
        <v>10</v>
      </c>
      <c r="R2023" s="6">
        <v>3.5</v>
      </c>
      <c r="S2023" s="6">
        <v>180115</v>
      </c>
      <c r="T2023" s="6" t="e">
        <f>INDEX(医院2县区2人!$D$2:$D$1048576,MATCH(L2023,医院2县区2人!$A$2:$A$1048576,0))</f>
        <v>#N/A</v>
      </c>
      <c r="W2023" s="6" t="str">
        <f t="shared" si="65"/>
        <v>颠茄磺苄啶片10片/瓶</v>
      </c>
      <c r="X2023" s="6" t="s">
        <v>2871</v>
      </c>
    </row>
    <row r="2024" spans="1:24" x14ac:dyDescent="0.15">
      <c r="A2024" s="7" t="str">
        <f t="shared" si="66"/>
        <v>201806</v>
      </c>
      <c r="C2024" s="6" t="str">
        <f>INDEX(工厂基础数据!$A$2:$A$1024,MATCH(X2024,工厂基础数据!$D$2:$D$1024,0))</f>
        <v>02031912</v>
      </c>
      <c r="E2024" s="6" t="str">
        <f>INDEX(工厂基础数据!$B$2:$B$1024,MATCH(X2024,工厂基础数据!$D$2:$D$1024,0))</f>
        <v>滨州弘德药业有限公司</v>
      </c>
      <c r="F2024" s="6">
        <f>INDEX(商业2转码!$B$2:$B$10000,MATCH(E2024,商业2转码!$A$2:$A$10000,0))</f>
        <v>0</v>
      </c>
      <c r="G2024" s="6" t="str">
        <f>INDEX(品种2编码!$A$2:$A$1048576,MATCH(W2024,品种2编码!$D$2:$D$1048576,0))</f>
        <v>0020020020ZYLC0003</v>
      </c>
      <c r="H2024" s="6" t="s">
        <v>1855</v>
      </c>
      <c r="I2024" s="6" t="s">
        <v>381</v>
      </c>
      <c r="J2024" s="6" t="s">
        <v>3036</v>
      </c>
      <c r="L2024" s="6" t="s">
        <v>2372</v>
      </c>
      <c r="M2024" s="6">
        <f>INDEX(医院2县区2人!$B$2:$B$1048576,MATCH(L2024,医院2县区2人!$A$2:$A$1048576,0))</f>
        <v>4</v>
      </c>
      <c r="N2024" s="6" t="str">
        <f>INDEX(医院2县区2人!$C$2:$C$1048576,MATCH(L2024,医院2县区2人!$A$2:$A$1048576,0))</f>
        <v>1854</v>
      </c>
      <c r="P2024" s="7">
        <v>43265</v>
      </c>
      <c r="Q2024" s="6">
        <v>30</v>
      </c>
      <c r="R2024" s="6">
        <v>9</v>
      </c>
      <c r="S2024" s="6">
        <v>161002</v>
      </c>
      <c r="T2024" s="6" t="str">
        <f>INDEX(医院2县区2人!$D$2:$D$1048576,MATCH(L2024,医院2县区2人!$A$2:$A$1048576,0))</f>
        <v>201602151421097</v>
      </c>
      <c r="W2024" s="6" t="str">
        <f t="shared" si="65"/>
        <v>颠茄磺苄啶片12片</v>
      </c>
      <c r="X2024" s="6" t="s">
        <v>2871</v>
      </c>
    </row>
    <row r="2025" spans="1:24" x14ac:dyDescent="0.15">
      <c r="A2025" s="7" t="str">
        <f t="shared" si="66"/>
        <v>201806</v>
      </c>
      <c r="C2025" s="6" t="str">
        <f>INDEX(工厂基础数据!$A$2:$A$1024,MATCH(X2025,工厂基础数据!$D$2:$D$1024,0))</f>
        <v>02031912</v>
      </c>
      <c r="E2025" s="6" t="str">
        <f>INDEX(工厂基础数据!$B$2:$B$1024,MATCH(X2025,工厂基础数据!$D$2:$D$1024,0))</f>
        <v>滨州弘德药业有限公司</v>
      </c>
      <c r="F2025" s="6">
        <f>INDEX(商业2转码!$B$2:$B$10000,MATCH(E2025,商业2转码!$A$2:$A$10000,0))</f>
        <v>0</v>
      </c>
      <c r="G2025" s="6" t="str">
        <f>INDEX(品种2编码!$A$2:$A$1048576,MATCH(W2025,品种2编码!$D$2:$D$1048576,0))</f>
        <v>0020030040SJET0003</v>
      </c>
      <c r="H2025" s="6" t="s">
        <v>306</v>
      </c>
      <c r="I2025" s="6" t="s">
        <v>1874</v>
      </c>
      <c r="J2025" s="6" t="s">
        <v>3458</v>
      </c>
      <c r="L2025" s="6" t="s">
        <v>36</v>
      </c>
      <c r="M2025" s="6" t="e">
        <f>INDEX(医院2县区2人!$B$2:$B$1048576,MATCH(L2025,医院2县区2人!$A$2:$A$1048576,0))</f>
        <v>#N/A</v>
      </c>
      <c r="N2025" s="6" t="e">
        <f>INDEX(医院2县区2人!$C$2:$C$1048576,MATCH(L2025,医院2县区2人!$A$2:$A$1048576,0))</f>
        <v>#N/A</v>
      </c>
      <c r="P2025" s="7">
        <v>43266</v>
      </c>
      <c r="Q2025" s="6">
        <v>0</v>
      </c>
      <c r="S2025" s="6">
        <v>180204</v>
      </c>
      <c r="T2025" s="6" t="e">
        <f>INDEX(医院2县区2人!$D$2:$D$1048576,MATCH(L2025,医院2县区2人!$A$2:$A$1048576,0))</f>
        <v>#N/A</v>
      </c>
      <c r="W2025" s="6" t="str">
        <f t="shared" si="65"/>
        <v>氨金黄敏颗粒6g*10袋</v>
      </c>
      <c r="X2025" s="6" t="s">
        <v>2871</v>
      </c>
    </row>
    <row r="2026" spans="1:24" x14ac:dyDescent="0.15">
      <c r="A2026" s="7" t="str">
        <f t="shared" si="66"/>
        <v>201806</v>
      </c>
      <c r="C2026" s="6" t="str">
        <f>INDEX(工厂基础数据!$A$2:$A$1024,MATCH(X2026,工厂基础数据!$D$2:$D$1024,0))</f>
        <v>02031912</v>
      </c>
      <c r="E2026" s="6" t="str">
        <f>INDEX(工厂基础数据!$B$2:$B$1024,MATCH(X2026,工厂基础数据!$D$2:$D$1024,0))</f>
        <v>滨州弘德药业有限公司</v>
      </c>
      <c r="F2026" s="6">
        <f>INDEX(商业2转码!$B$2:$B$10000,MATCH(E2026,商业2转码!$A$2:$A$10000,0))</f>
        <v>0</v>
      </c>
      <c r="G2026" s="6" t="str">
        <f>INDEX(品种2编码!$A$2:$A$1048576,MATCH(W2026,品种2编码!$D$2:$D$1048576,0))</f>
        <v>0020020030SJMS0025</v>
      </c>
      <c r="H2026" s="6" t="s">
        <v>586</v>
      </c>
      <c r="I2026" s="6" t="s">
        <v>1937</v>
      </c>
      <c r="J2026" s="6" t="s">
        <v>3046</v>
      </c>
      <c r="L2026" s="6" t="s">
        <v>36</v>
      </c>
      <c r="M2026" s="6" t="e">
        <f>INDEX(医院2县区2人!$B$2:$B$1048576,MATCH(L2026,医院2县区2人!$A$2:$A$1048576,0))</f>
        <v>#N/A</v>
      </c>
      <c r="N2026" s="6" t="e">
        <f>INDEX(医院2县区2人!$C$2:$C$1048576,MATCH(L2026,医院2县区2人!$A$2:$A$1048576,0))</f>
        <v>#N/A</v>
      </c>
      <c r="P2026" s="7">
        <v>43266</v>
      </c>
      <c r="Q2026" s="6">
        <v>0</v>
      </c>
      <c r="S2026" s="6">
        <v>1803006</v>
      </c>
      <c r="T2026" s="6" t="e">
        <f>INDEX(医院2县区2人!$D$2:$D$1048576,MATCH(L2026,医院2县区2人!$A$2:$A$1048576,0))</f>
        <v>#N/A</v>
      </c>
      <c r="W2026" s="6" t="str">
        <f t="shared" si="65"/>
        <v>人工牛黄甲硝唑胶囊30粒</v>
      </c>
      <c r="X2026" s="6" t="s">
        <v>2871</v>
      </c>
    </row>
    <row r="2027" spans="1:24" x14ac:dyDescent="0.15">
      <c r="A2027" s="7" t="str">
        <f t="shared" si="66"/>
        <v>201806</v>
      </c>
      <c r="C2027" s="6" t="str">
        <f>INDEX(工厂基础数据!$A$2:$A$1024,MATCH(X2027,工厂基础数据!$D$2:$D$1024,0))</f>
        <v>02031912</v>
      </c>
      <c r="E2027" s="6" t="str">
        <f>INDEX(工厂基础数据!$B$2:$B$1024,MATCH(X2027,工厂基础数据!$D$2:$D$1024,0))</f>
        <v>滨州弘德药业有限公司</v>
      </c>
      <c r="F2027" s="6">
        <f>INDEX(商业2转码!$B$2:$B$10000,MATCH(E2027,商业2转码!$A$2:$A$10000,0))</f>
        <v>0</v>
      </c>
      <c r="G2027" s="6" t="str">
        <f>INDEX(品种2编码!$A$2:$A$1048576,MATCH(W2027,品种2编码!$D$2:$D$1048576,0))</f>
        <v>0020030001SJZY0009</v>
      </c>
      <c r="H2027" s="6" t="s">
        <v>1949</v>
      </c>
      <c r="I2027" s="6" t="s">
        <v>411</v>
      </c>
      <c r="J2027" s="6" t="s">
        <v>3040</v>
      </c>
      <c r="L2027" s="6" t="s">
        <v>36</v>
      </c>
      <c r="M2027" s="6" t="e">
        <f>INDEX(医院2县区2人!$B$2:$B$1048576,MATCH(L2027,医院2县区2人!$A$2:$A$1048576,0))</f>
        <v>#N/A</v>
      </c>
      <c r="N2027" s="6" t="e">
        <f>INDEX(医院2县区2人!$C$2:$C$1048576,MATCH(L2027,医院2县区2人!$A$2:$A$1048576,0))</f>
        <v>#N/A</v>
      </c>
      <c r="P2027" s="7">
        <v>43266</v>
      </c>
      <c r="Q2027" s="6">
        <v>0</v>
      </c>
      <c r="S2027" s="6">
        <v>18031227</v>
      </c>
      <c r="T2027" s="6" t="e">
        <f>INDEX(医院2县区2人!$D$2:$D$1048576,MATCH(L2027,医院2县区2人!$A$2:$A$1048576,0))</f>
        <v>#N/A</v>
      </c>
      <c r="W2027" s="6" t="str">
        <f t="shared" si="65"/>
        <v>葡萄糖酸锌口服溶液10ml*12支</v>
      </c>
      <c r="X2027" s="6" t="s">
        <v>2871</v>
      </c>
    </row>
    <row r="2028" spans="1:24" x14ac:dyDescent="0.15">
      <c r="A2028" s="7" t="str">
        <f t="shared" si="66"/>
        <v>201806</v>
      </c>
      <c r="C2028" s="6" t="str">
        <f>INDEX(工厂基础数据!$A$2:$A$1024,MATCH(X2028,工厂基础数据!$D$2:$D$1024,0))</f>
        <v>02031912</v>
      </c>
      <c r="E2028" s="6" t="str">
        <f>INDEX(工厂基础数据!$B$2:$B$1024,MATCH(X2028,工厂基础数据!$D$2:$D$1024,0))</f>
        <v>滨州弘德药业有限公司</v>
      </c>
      <c r="F2028" s="6">
        <f>INDEX(商业2转码!$B$2:$B$10000,MATCH(E2028,商业2转码!$A$2:$A$10000,0))</f>
        <v>0</v>
      </c>
      <c r="G2028" s="6" t="str">
        <f>INDEX(品种2编码!$A$2:$A$1048576,MATCH(W2028,品种2编码!$D$2:$D$1048576,0))</f>
        <v>0020020021ZYLC0005</v>
      </c>
      <c r="H2028" s="6" t="s">
        <v>1950</v>
      </c>
      <c r="I2028" s="6" t="s">
        <v>1841</v>
      </c>
      <c r="J2028" s="6" t="s">
        <v>3036</v>
      </c>
      <c r="L2028" s="6" t="s">
        <v>36</v>
      </c>
      <c r="M2028" s="6" t="e">
        <f>INDEX(医院2县区2人!$B$2:$B$1048576,MATCH(L2028,医院2县区2人!$A$2:$A$1048576,0))</f>
        <v>#N/A</v>
      </c>
      <c r="N2028" s="6" t="e">
        <f>INDEX(医院2县区2人!$C$2:$C$1048576,MATCH(L2028,医院2县区2人!$A$2:$A$1048576,0))</f>
        <v>#N/A</v>
      </c>
      <c r="P2028" s="7">
        <v>43266</v>
      </c>
      <c r="Q2028" s="6">
        <v>0</v>
      </c>
      <c r="S2028" s="6">
        <v>180201</v>
      </c>
      <c r="T2028" s="6" t="e">
        <f>INDEX(医院2县区2人!$D$2:$D$1048576,MATCH(L2028,医院2县区2人!$A$2:$A$1048576,0))</f>
        <v>#N/A</v>
      </c>
      <c r="W2028" s="6" t="str">
        <f t="shared" si="65"/>
        <v>罗红霉素分散片50mg*12片</v>
      </c>
      <c r="X2028" s="6" t="s">
        <v>2871</v>
      </c>
    </row>
    <row r="2029" spans="1:24" x14ac:dyDescent="0.15">
      <c r="A2029" s="7" t="str">
        <f t="shared" si="66"/>
        <v>201806</v>
      </c>
      <c r="C2029" s="6" t="str">
        <f>INDEX(工厂基础数据!$A$2:$A$1024,MATCH(X2029,工厂基础数据!$D$2:$D$1024,0))</f>
        <v>02031912</v>
      </c>
      <c r="E2029" s="6" t="str">
        <f>INDEX(工厂基础数据!$B$2:$B$1024,MATCH(X2029,工厂基础数据!$D$2:$D$1024,0))</f>
        <v>滨州弘德药业有限公司</v>
      </c>
      <c r="F2029" s="6">
        <f>INDEX(商业2转码!$B$2:$B$10000,MATCH(E2029,商业2转码!$A$2:$A$10000,0))</f>
        <v>0</v>
      </c>
      <c r="G2029" s="6" t="str">
        <f>INDEX(品种2编码!$A$2:$A$1048576,MATCH(W2029,品种2编码!$D$2:$D$1048576,0))</f>
        <v>0020030170ZYEC0003</v>
      </c>
      <c r="H2029" s="6" t="s">
        <v>1835</v>
      </c>
      <c r="I2029" s="6" t="s">
        <v>1836</v>
      </c>
      <c r="J2029" s="6" t="s">
        <v>3041</v>
      </c>
      <c r="L2029" s="6" t="s">
        <v>3459</v>
      </c>
      <c r="M2029" s="6" t="e">
        <f>INDEX(医院2县区2人!$B$2:$B$1048576,MATCH(L2029,医院2县区2人!$A$2:$A$1048576,0))</f>
        <v>#N/A</v>
      </c>
      <c r="N2029" s="6" t="e">
        <f>INDEX(医院2县区2人!$C$2:$C$1048576,MATCH(L2029,医院2县区2人!$A$2:$A$1048576,0))</f>
        <v>#N/A</v>
      </c>
      <c r="P2029" s="7">
        <v>43266</v>
      </c>
      <c r="Q2029" s="6">
        <v>10</v>
      </c>
      <c r="R2029" s="6">
        <v>14.11</v>
      </c>
      <c r="S2029" s="6">
        <v>171113</v>
      </c>
      <c r="T2029" s="6" t="e">
        <f>INDEX(医院2县区2人!$D$2:$D$1048576,MATCH(L2029,医院2县区2人!$A$2:$A$1048576,0))</f>
        <v>#N/A</v>
      </c>
      <c r="W2029" s="6" t="str">
        <f t="shared" si="65"/>
        <v>蒙脱石散3g*12袋</v>
      </c>
      <c r="X2029" s="6" t="s">
        <v>2871</v>
      </c>
    </row>
    <row r="2030" spans="1:24" x14ac:dyDescent="0.15">
      <c r="A2030" s="7" t="str">
        <f t="shared" si="66"/>
        <v>201806</v>
      </c>
      <c r="C2030" s="6" t="str">
        <f>INDEX(工厂基础数据!$A$2:$A$1024,MATCH(X2030,工厂基础数据!$D$2:$D$1024,0))</f>
        <v>02031912</v>
      </c>
      <c r="E2030" s="6" t="str">
        <f>INDEX(工厂基础数据!$B$2:$B$1024,MATCH(X2030,工厂基础数据!$D$2:$D$1024,0))</f>
        <v>滨州弘德药业有限公司</v>
      </c>
      <c r="F2030" s="6">
        <f>INDEX(商业2转码!$B$2:$B$10000,MATCH(E2030,商业2转码!$A$2:$A$10000,0))</f>
        <v>0</v>
      </c>
      <c r="G2030" s="6" t="str">
        <f>INDEX(品种2编码!$A$2:$A$1048576,MATCH(W2030,品种2编码!$D$2:$D$1048576,0))</f>
        <v>0020030001SJZY0009</v>
      </c>
      <c r="H2030" s="6" t="s">
        <v>1949</v>
      </c>
      <c r="I2030" s="6" t="s">
        <v>411</v>
      </c>
      <c r="J2030" s="6" t="s">
        <v>3040</v>
      </c>
      <c r="L2030" s="6" t="s">
        <v>2275</v>
      </c>
      <c r="M2030" s="6">
        <f>INDEX(医院2县区2人!$B$2:$B$1048576,MATCH(L2030,医院2县区2人!$A$2:$A$1048576,0))</f>
        <v>2</v>
      </c>
      <c r="N2030" s="6" t="str">
        <f>INDEX(医院2县区2人!$C$2:$C$1048576,MATCH(L2030,医院2县区2人!$A$2:$A$1048576,0))</f>
        <v>1853</v>
      </c>
      <c r="P2030" s="7">
        <v>43266</v>
      </c>
      <c r="Q2030" s="6">
        <v>1</v>
      </c>
      <c r="R2030" s="6">
        <v>25</v>
      </c>
      <c r="S2030" s="6">
        <v>17070527</v>
      </c>
      <c r="T2030" s="6" t="str">
        <f>INDEX(医院2县区2人!$D$2:$D$1048576,MATCH(L2030,医院2县区2人!$A$2:$A$1048576,0))</f>
        <v>201602151421097</v>
      </c>
      <c r="W2030" s="6" t="str">
        <f t="shared" si="65"/>
        <v>葡萄糖酸锌口服溶液10ml*12支</v>
      </c>
      <c r="X2030" s="6" t="s">
        <v>2871</v>
      </c>
    </row>
    <row r="2031" spans="1:24" x14ac:dyDescent="0.15">
      <c r="A2031" s="7" t="str">
        <f t="shared" si="66"/>
        <v>201806</v>
      </c>
      <c r="C2031" s="6" t="str">
        <f>INDEX(工厂基础数据!$A$2:$A$1024,MATCH(X2031,工厂基础数据!$D$2:$D$1024,0))</f>
        <v>02031912</v>
      </c>
      <c r="E2031" s="6" t="str">
        <f>INDEX(工厂基础数据!$B$2:$B$1024,MATCH(X2031,工厂基础数据!$D$2:$D$1024,0))</f>
        <v>滨州弘德药业有限公司</v>
      </c>
      <c r="F2031" s="6">
        <f>INDEX(商业2转码!$B$2:$B$10000,MATCH(E2031,商业2转码!$A$2:$A$10000,0))</f>
        <v>0</v>
      </c>
      <c r="G2031" s="6" t="str">
        <f>INDEX(品种2编码!$A$2:$A$1048576,MATCH(W2031,品种2编码!$D$2:$D$1048576,0))</f>
        <v>0020070000ZYLC0055</v>
      </c>
      <c r="H2031" s="6" t="s">
        <v>557</v>
      </c>
      <c r="I2031" s="6" t="s">
        <v>411</v>
      </c>
      <c r="J2031" s="6" t="s">
        <v>3036</v>
      </c>
      <c r="L2031" s="6" t="s">
        <v>2588</v>
      </c>
      <c r="M2031" s="6">
        <f>INDEX(医院2县区2人!$B$2:$B$1048576,MATCH(L2031,医院2县区2人!$A$2:$A$1048576,0))</f>
        <v>2</v>
      </c>
      <c r="N2031" s="6" t="str">
        <f>INDEX(医院2县区2人!$C$2:$C$1048576,MATCH(L2031,医院2县区2人!$A$2:$A$1048576,0))</f>
        <v>1853</v>
      </c>
      <c r="P2031" s="7">
        <v>43266</v>
      </c>
      <c r="Q2031" s="6">
        <v>5</v>
      </c>
      <c r="R2031" s="6">
        <v>20</v>
      </c>
      <c r="S2031" s="6">
        <v>180514</v>
      </c>
      <c r="T2031" s="6" t="str">
        <f>INDEX(医院2县区2人!$D$2:$D$1048576,MATCH(L2031,医院2县区2人!$A$2:$A$1048576,0))</f>
        <v>201602151421097</v>
      </c>
      <c r="W2031" s="6" t="str">
        <f t="shared" si="65"/>
        <v>朴雪乳酸亚铁口服液10ml*12支</v>
      </c>
      <c r="X2031" s="6" t="s">
        <v>2871</v>
      </c>
    </row>
    <row r="2032" spans="1:24" x14ac:dyDescent="0.15">
      <c r="A2032" s="7" t="str">
        <f t="shared" si="66"/>
        <v>201806</v>
      </c>
      <c r="C2032" s="6" t="str">
        <f>INDEX(工厂基础数据!$A$2:$A$1024,MATCH(X2032,工厂基础数据!$D$2:$D$1024,0))</f>
        <v>02031912</v>
      </c>
      <c r="E2032" s="6" t="str">
        <f>INDEX(工厂基础数据!$B$2:$B$1024,MATCH(X2032,工厂基础数据!$D$2:$D$1024,0))</f>
        <v>滨州弘德药业有限公司</v>
      </c>
      <c r="F2032" s="6">
        <f>INDEX(商业2转码!$B$2:$B$10000,MATCH(E2032,商业2转码!$A$2:$A$10000,0))</f>
        <v>0</v>
      </c>
      <c r="G2032" s="6" t="str">
        <f>INDEX(品种2编码!$A$2:$A$1048576,MATCH(W2032,品种2编码!$D$2:$D$1048576,0))</f>
        <v>0020070000ZYLC0001</v>
      </c>
      <c r="H2032" s="6" t="s">
        <v>725</v>
      </c>
      <c r="I2032" s="6" t="s">
        <v>1838</v>
      </c>
      <c r="J2032" s="6" t="s">
        <v>3036</v>
      </c>
      <c r="L2032" s="6" t="s">
        <v>2588</v>
      </c>
      <c r="M2032" s="6">
        <f>INDEX(医院2县区2人!$B$2:$B$1048576,MATCH(L2032,医院2县区2人!$A$2:$A$1048576,0))</f>
        <v>2</v>
      </c>
      <c r="N2032" s="6" t="str">
        <f>INDEX(医院2县区2人!$C$2:$C$1048576,MATCH(L2032,医院2县区2人!$A$2:$A$1048576,0))</f>
        <v>1853</v>
      </c>
      <c r="P2032" s="7">
        <v>43266</v>
      </c>
      <c r="Q2032" s="6">
        <v>2</v>
      </c>
      <c r="R2032" s="6">
        <v>29</v>
      </c>
      <c r="S2032" s="6">
        <v>180103</v>
      </c>
      <c r="T2032" s="6" t="str">
        <f>INDEX(医院2县区2人!$D$2:$D$1048576,MATCH(L2032,医院2县区2人!$A$2:$A$1048576,0))</f>
        <v>201602151421097</v>
      </c>
      <c r="W2032" s="6" t="str">
        <f t="shared" si="65"/>
        <v>新盖中盖牌高钙片2.5g*36片</v>
      </c>
      <c r="X2032" s="6" t="s">
        <v>2871</v>
      </c>
    </row>
    <row r="2033" spans="1:24" x14ac:dyDescent="0.15">
      <c r="A2033" s="7" t="str">
        <f t="shared" si="66"/>
        <v>201806</v>
      </c>
      <c r="C2033" s="6" t="str">
        <f>INDEX(工厂基础数据!$A$2:$A$1024,MATCH(X2033,工厂基础数据!$D$2:$D$1024,0))</f>
        <v>02031912</v>
      </c>
      <c r="E2033" s="6" t="str">
        <f>INDEX(工厂基础数据!$B$2:$B$1024,MATCH(X2033,工厂基础数据!$D$2:$D$1024,0))</f>
        <v>滨州弘德药业有限公司</v>
      </c>
      <c r="F2033" s="6">
        <f>INDEX(商业2转码!$B$2:$B$10000,MATCH(E2033,商业2转码!$A$2:$A$10000,0))</f>
        <v>0</v>
      </c>
      <c r="G2033" s="6">
        <f>INDEX(品种2编码!$A$2:$A$1048576,MATCH(W2033,品种2编码!$D$2:$D$1048576,0))</f>
        <v>0</v>
      </c>
      <c r="H2033" s="6" t="s">
        <v>310</v>
      </c>
      <c r="I2033" s="6" t="s">
        <v>311</v>
      </c>
      <c r="J2033" s="6" t="s">
        <v>3036</v>
      </c>
      <c r="L2033" s="6" t="s">
        <v>36</v>
      </c>
      <c r="M2033" s="6" t="e">
        <f>INDEX(医院2县区2人!$B$2:$B$1048576,MATCH(L2033,医院2县区2人!$A$2:$A$1048576,0))</f>
        <v>#N/A</v>
      </c>
      <c r="N2033" s="6" t="e">
        <f>INDEX(医院2县区2人!$C$2:$C$1048576,MATCH(L2033,医院2县区2人!$A$2:$A$1048576,0))</f>
        <v>#N/A</v>
      </c>
      <c r="P2033" s="7">
        <v>43267</v>
      </c>
      <c r="Q2033" s="6">
        <v>0</v>
      </c>
      <c r="S2033" s="6">
        <v>161202</v>
      </c>
      <c r="T2033" s="6" t="e">
        <f>INDEX(医院2县区2人!$D$2:$D$1048576,MATCH(L2033,医院2县区2人!$A$2:$A$1048576,0))</f>
        <v>#N/A</v>
      </c>
      <c r="W2033" s="6" t="str">
        <f t="shared" si="65"/>
        <v>氨咖黄敏胶囊20粒</v>
      </c>
      <c r="X2033" s="6" t="s">
        <v>2871</v>
      </c>
    </row>
    <row r="2034" spans="1:24" x14ac:dyDescent="0.15">
      <c r="A2034" s="7" t="str">
        <f t="shared" si="66"/>
        <v>201806</v>
      </c>
      <c r="C2034" s="6" t="str">
        <f>INDEX(工厂基础数据!$A$2:$A$1024,MATCH(X2034,工厂基础数据!$D$2:$D$1024,0))</f>
        <v>02031912</v>
      </c>
      <c r="E2034" s="6" t="str">
        <f>INDEX(工厂基础数据!$B$2:$B$1024,MATCH(X2034,工厂基础数据!$D$2:$D$1024,0))</f>
        <v>滨州弘德药业有限公司</v>
      </c>
      <c r="F2034" s="6">
        <f>INDEX(商业2转码!$B$2:$B$10000,MATCH(E2034,商业2转码!$A$2:$A$10000,0))</f>
        <v>0</v>
      </c>
      <c r="G2034" s="6" t="str">
        <f>INDEX(品种2编码!$A$2:$A$1048576,MATCH(W2034,品种2编码!$D$2:$D$1048576,0))</f>
        <v>0020020020ZYLC0010</v>
      </c>
      <c r="H2034" s="6" t="s">
        <v>1855</v>
      </c>
      <c r="I2034" s="6" t="s">
        <v>1957</v>
      </c>
      <c r="J2034" s="6" t="s">
        <v>3036</v>
      </c>
      <c r="L2034" s="6" t="s">
        <v>3028</v>
      </c>
      <c r="M2034" s="6" t="e">
        <f>INDEX(医院2县区2人!$B$2:$B$1048576,MATCH(L2034,医院2县区2人!$A$2:$A$1048576,0))</f>
        <v>#N/A</v>
      </c>
      <c r="N2034" s="6" t="e">
        <f>INDEX(医院2县区2人!$C$2:$C$1048576,MATCH(L2034,医院2县区2人!$A$2:$A$1048576,0))</f>
        <v>#N/A</v>
      </c>
      <c r="P2034" s="7">
        <v>43267</v>
      </c>
      <c r="Q2034" s="6">
        <v>10</v>
      </c>
      <c r="R2034" s="6">
        <v>3.5</v>
      </c>
      <c r="S2034" s="6">
        <v>180115</v>
      </c>
      <c r="T2034" s="6" t="e">
        <f>INDEX(医院2县区2人!$D$2:$D$1048576,MATCH(L2034,医院2县区2人!$A$2:$A$1048576,0))</f>
        <v>#N/A</v>
      </c>
      <c r="W2034" s="6" t="str">
        <f t="shared" si="65"/>
        <v>颠茄磺苄啶片10片/瓶</v>
      </c>
      <c r="X2034" s="6" t="s">
        <v>2871</v>
      </c>
    </row>
    <row r="2035" spans="1:24" x14ac:dyDescent="0.15">
      <c r="A2035" s="7" t="str">
        <f t="shared" si="66"/>
        <v>201806</v>
      </c>
      <c r="C2035" s="6" t="str">
        <f>INDEX(工厂基础数据!$A$2:$A$1024,MATCH(X2035,工厂基础数据!$D$2:$D$1024,0))</f>
        <v>02031912</v>
      </c>
      <c r="E2035" s="6" t="str">
        <f>INDEX(工厂基础数据!$B$2:$B$1024,MATCH(X2035,工厂基础数据!$D$2:$D$1024,0))</f>
        <v>滨州弘德药业有限公司</v>
      </c>
      <c r="F2035" s="6">
        <f>INDEX(商业2转码!$B$2:$B$10000,MATCH(E2035,商业2转码!$A$2:$A$10000,0))</f>
        <v>0</v>
      </c>
      <c r="G2035" s="6" t="str">
        <f>INDEX(品种2编码!$A$2:$A$1048576,MATCH(W2035,品种2编码!$D$2:$D$1048576,0))</f>
        <v>0020030020SJSC0004</v>
      </c>
      <c r="H2035" s="6" t="s">
        <v>394</v>
      </c>
      <c r="I2035" s="6" t="s">
        <v>1871</v>
      </c>
      <c r="J2035" s="6" t="s">
        <v>3045</v>
      </c>
      <c r="L2035" s="6" t="s">
        <v>2417</v>
      </c>
      <c r="M2035" s="6">
        <f>INDEX(医院2县区2人!$B$2:$B$1048576,MATCH(L2035,医院2县区2人!$A$2:$A$1048576,0))</f>
        <v>1</v>
      </c>
      <c r="N2035" s="6" t="str">
        <f>INDEX(医院2县区2人!$C$2:$C$1048576,MATCH(L2035,医院2县区2人!$A$2:$A$1048576,0))</f>
        <v>1856</v>
      </c>
      <c r="P2035" s="7">
        <v>43269</v>
      </c>
      <c r="Q2035" s="6">
        <v>5</v>
      </c>
      <c r="R2035" s="6">
        <v>12.5</v>
      </c>
      <c r="S2035" s="6">
        <v>1712032</v>
      </c>
      <c r="T2035" s="6" t="str">
        <f>INDEX(医院2县区2人!$D$2:$D$1048576,MATCH(L2035,医院2县区2人!$A$2:$A$1048576,0))</f>
        <v>201602151421097</v>
      </c>
      <c r="W2035" s="6" t="str">
        <f t="shared" si="65"/>
        <v>复方铝酸铋片50片</v>
      </c>
      <c r="X2035" s="6" t="s">
        <v>2871</v>
      </c>
    </row>
    <row r="2036" spans="1:24" x14ac:dyDescent="0.15">
      <c r="A2036" s="7" t="str">
        <f t="shared" si="66"/>
        <v>201806</v>
      </c>
      <c r="C2036" s="6" t="str">
        <f>INDEX(工厂基础数据!$A$2:$A$1024,MATCH(X2036,工厂基础数据!$D$2:$D$1024,0))</f>
        <v>02031912</v>
      </c>
      <c r="E2036" s="6" t="str">
        <f>INDEX(工厂基础数据!$B$2:$B$1024,MATCH(X2036,工厂基础数据!$D$2:$D$1024,0))</f>
        <v>滨州弘德药业有限公司</v>
      </c>
      <c r="F2036" s="6">
        <f>INDEX(商业2转码!$B$2:$B$10000,MATCH(E2036,商业2转码!$A$2:$A$10000,0))</f>
        <v>0</v>
      </c>
      <c r="G2036" s="6" t="str">
        <f>INDEX(品种2编码!$A$2:$A$1048576,MATCH(W2036,品种2编码!$D$2:$D$1048576,0))</f>
        <v>0020030040SHYT0010</v>
      </c>
      <c r="H2036" s="6" t="s">
        <v>317</v>
      </c>
      <c r="I2036" s="6" t="s">
        <v>1848</v>
      </c>
      <c r="J2036" s="6" t="s">
        <v>3037</v>
      </c>
      <c r="L2036" s="6" t="s">
        <v>2275</v>
      </c>
      <c r="M2036" s="6">
        <f>INDEX(医院2县区2人!$B$2:$B$1048576,MATCH(L2036,医院2县区2人!$A$2:$A$1048576,0))</f>
        <v>2</v>
      </c>
      <c r="N2036" s="6" t="str">
        <f>INDEX(医院2县区2人!$C$2:$C$1048576,MATCH(L2036,医院2县区2人!$A$2:$A$1048576,0))</f>
        <v>1853</v>
      </c>
      <c r="P2036" s="7">
        <v>43269</v>
      </c>
      <c r="Q2036" s="6">
        <v>2</v>
      </c>
      <c r="R2036" s="6">
        <v>12.6</v>
      </c>
      <c r="S2036" s="6">
        <v>1611618</v>
      </c>
      <c r="T2036" s="6" t="str">
        <f>INDEX(医院2县区2人!$D$2:$D$1048576,MATCH(L2036,医院2县区2人!$A$2:$A$1048576,0))</f>
        <v>201602151421097</v>
      </c>
      <c r="W2036" s="6" t="str">
        <f t="shared" si="65"/>
        <v>布洛芬颗粒0.2g*12袋</v>
      </c>
      <c r="X2036" s="6" t="s">
        <v>2871</v>
      </c>
    </row>
    <row r="2037" spans="1:24" x14ac:dyDescent="0.15">
      <c r="A2037" s="7" t="str">
        <f t="shared" si="66"/>
        <v>201806</v>
      </c>
      <c r="C2037" s="6" t="str">
        <f>INDEX(工厂基础数据!$A$2:$A$1024,MATCH(X2037,工厂基础数据!$D$2:$D$1024,0))</f>
        <v>02031912</v>
      </c>
      <c r="E2037" s="6" t="str">
        <f>INDEX(工厂基础数据!$B$2:$B$1024,MATCH(X2037,工厂基础数据!$D$2:$D$1024,0))</f>
        <v>滨州弘德药业有限公司</v>
      </c>
      <c r="F2037" s="6">
        <f>INDEX(商业2转码!$B$2:$B$10000,MATCH(E2037,商业2转码!$A$2:$A$10000,0))</f>
        <v>0</v>
      </c>
      <c r="G2037" s="6" t="str">
        <f>INDEX(品种2编码!$A$2:$A$1048576,MATCH(W2037,品种2编码!$D$2:$D$1048576,0))</f>
        <v>0020030001SJZY0009</v>
      </c>
      <c r="H2037" s="6" t="s">
        <v>1949</v>
      </c>
      <c r="I2037" s="6" t="s">
        <v>411</v>
      </c>
      <c r="J2037" s="6" t="s">
        <v>3040</v>
      </c>
      <c r="L2037" s="6" t="s">
        <v>2413</v>
      </c>
      <c r="M2037" s="6">
        <f>INDEX(医院2县区2人!$B$2:$B$1048576,MATCH(L2037,医院2县区2人!$A$2:$A$1048576,0))</f>
        <v>2</v>
      </c>
      <c r="N2037" s="6" t="str">
        <f>INDEX(医院2县区2人!$C$2:$C$1048576,MATCH(L2037,医院2县区2人!$A$2:$A$1048576,0))</f>
        <v>1853</v>
      </c>
      <c r="P2037" s="7">
        <v>43269</v>
      </c>
      <c r="Q2037" s="6">
        <v>1</v>
      </c>
      <c r="R2037" s="6">
        <v>25</v>
      </c>
      <c r="S2037" s="6">
        <v>17070527</v>
      </c>
      <c r="T2037" s="6" t="str">
        <f>INDEX(医院2县区2人!$D$2:$D$1048576,MATCH(L2037,医院2县区2人!$A$2:$A$1048576,0))</f>
        <v>201602151421097</v>
      </c>
      <c r="W2037" s="6" t="str">
        <f t="shared" si="65"/>
        <v>葡萄糖酸锌口服溶液10ml*12支</v>
      </c>
      <c r="X2037" s="6" t="s">
        <v>2871</v>
      </c>
    </row>
    <row r="2038" spans="1:24" x14ac:dyDescent="0.15">
      <c r="A2038" s="7" t="str">
        <f t="shared" si="66"/>
        <v>201806</v>
      </c>
      <c r="C2038" s="6" t="str">
        <f>INDEX(工厂基础数据!$A$2:$A$1024,MATCH(X2038,工厂基础数据!$D$2:$D$1024,0))</f>
        <v>02031912</v>
      </c>
      <c r="E2038" s="6" t="str">
        <f>INDEX(工厂基础数据!$B$2:$B$1024,MATCH(X2038,工厂基础数据!$D$2:$D$1024,0))</f>
        <v>滨州弘德药业有限公司</v>
      </c>
      <c r="F2038" s="6">
        <f>INDEX(商业2转码!$B$2:$B$10000,MATCH(E2038,商业2转码!$A$2:$A$10000,0))</f>
        <v>0</v>
      </c>
      <c r="G2038" s="6" t="str">
        <f>INDEX(品种2编码!$A$2:$A$1048576,MATCH(W2038,品种2编码!$D$2:$D$1048576,0))</f>
        <v>0020030001SJZY0009</v>
      </c>
      <c r="H2038" s="6" t="s">
        <v>1949</v>
      </c>
      <c r="I2038" s="6" t="s">
        <v>411</v>
      </c>
      <c r="J2038" s="6" t="s">
        <v>3040</v>
      </c>
      <c r="L2038" s="6" t="s">
        <v>3461</v>
      </c>
      <c r="M2038" s="6" t="e">
        <f>INDEX(医院2县区2人!$B$2:$B$1048576,MATCH(L2038,医院2县区2人!$A$2:$A$1048576,0))</f>
        <v>#N/A</v>
      </c>
      <c r="N2038" s="6" t="e">
        <f>INDEX(医院2县区2人!$C$2:$C$1048576,MATCH(L2038,医院2县区2人!$A$2:$A$1048576,0))</f>
        <v>#N/A</v>
      </c>
      <c r="P2038" s="7">
        <v>43269</v>
      </c>
      <c r="Q2038" s="6">
        <v>20</v>
      </c>
      <c r="R2038" s="6">
        <v>25.2</v>
      </c>
      <c r="S2038" s="6">
        <v>17070527</v>
      </c>
      <c r="T2038" s="6" t="e">
        <f>INDEX(医院2县区2人!$D$2:$D$1048576,MATCH(L2038,医院2县区2人!$A$2:$A$1048576,0))</f>
        <v>#N/A</v>
      </c>
      <c r="W2038" s="6" t="str">
        <f t="shared" si="65"/>
        <v>葡萄糖酸锌口服溶液10ml*12支</v>
      </c>
      <c r="X2038" s="6" t="s">
        <v>2871</v>
      </c>
    </row>
    <row r="2039" spans="1:24" x14ac:dyDescent="0.15">
      <c r="A2039" s="7" t="str">
        <f t="shared" si="66"/>
        <v>201806</v>
      </c>
      <c r="C2039" s="6" t="str">
        <f>INDEX(工厂基础数据!$A$2:$A$1024,MATCH(X2039,工厂基础数据!$D$2:$D$1024,0))</f>
        <v>02031912</v>
      </c>
      <c r="E2039" s="6" t="str">
        <f>INDEX(工厂基础数据!$B$2:$B$1024,MATCH(X2039,工厂基础数据!$D$2:$D$1024,0))</f>
        <v>滨州弘德药业有限公司</v>
      </c>
      <c r="F2039" s="6">
        <f>INDEX(商业2转码!$B$2:$B$10000,MATCH(E2039,商业2转码!$A$2:$A$10000,0))</f>
        <v>0</v>
      </c>
      <c r="G2039" s="6" t="str">
        <f>INDEX(品种2编码!$A$2:$A$1048576,MATCH(W2039,品种2编码!$D$2:$D$1048576,0))</f>
        <v>0020070000ZYLC0055</v>
      </c>
      <c r="H2039" s="6" t="s">
        <v>557</v>
      </c>
      <c r="I2039" s="6" t="s">
        <v>411</v>
      </c>
      <c r="J2039" s="6" t="s">
        <v>3036</v>
      </c>
      <c r="L2039" s="6" t="s">
        <v>3461</v>
      </c>
      <c r="M2039" s="6" t="e">
        <f>INDEX(医院2县区2人!$B$2:$B$1048576,MATCH(L2039,医院2县区2人!$A$2:$A$1048576,0))</f>
        <v>#N/A</v>
      </c>
      <c r="N2039" s="6" t="e">
        <f>INDEX(医院2县区2人!$C$2:$C$1048576,MATCH(L2039,医院2县区2人!$A$2:$A$1048576,0))</f>
        <v>#N/A</v>
      </c>
      <c r="P2039" s="7">
        <v>43269</v>
      </c>
      <c r="Q2039" s="6">
        <v>10</v>
      </c>
      <c r="R2039" s="6">
        <v>20.16</v>
      </c>
      <c r="S2039" s="6">
        <v>180514</v>
      </c>
      <c r="T2039" s="6" t="e">
        <f>INDEX(医院2县区2人!$D$2:$D$1048576,MATCH(L2039,医院2县区2人!$A$2:$A$1048576,0))</f>
        <v>#N/A</v>
      </c>
      <c r="W2039" s="6" t="str">
        <f t="shared" si="65"/>
        <v>朴雪乳酸亚铁口服液10ml*12支</v>
      </c>
      <c r="X2039" s="6" t="s">
        <v>2871</v>
      </c>
    </row>
    <row r="2040" spans="1:24" x14ac:dyDescent="0.15">
      <c r="A2040" s="7" t="str">
        <f t="shared" si="66"/>
        <v>201806</v>
      </c>
      <c r="C2040" s="6" t="str">
        <f>INDEX(工厂基础数据!$A$2:$A$1024,MATCH(X2040,工厂基础数据!$D$2:$D$1024,0))</f>
        <v>02031912</v>
      </c>
      <c r="E2040" s="6" t="str">
        <f>INDEX(工厂基础数据!$B$2:$B$1024,MATCH(X2040,工厂基础数据!$D$2:$D$1024,0))</f>
        <v>滨州弘德药业有限公司</v>
      </c>
      <c r="F2040" s="6">
        <f>INDEX(商业2转码!$B$2:$B$10000,MATCH(E2040,商业2转码!$A$2:$A$10000,0))</f>
        <v>0</v>
      </c>
      <c r="G2040" s="6" t="str">
        <f>INDEX(品种2编码!$A$2:$A$1048576,MATCH(W2040,品种2编码!$D$2:$D$1048576,0))</f>
        <v>0020070000ZYLC0001</v>
      </c>
      <c r="H2040" s="6" t="s">
        <v>725</v>
      </c>
      <c r="I2040" s="6" t="s">
        <v>1838</v>
      </c>
      <c r="J2040" s="6" t="s">
        <v>3036</v>
      </c>
      <c r="L2040" s="6" t="s">
        <v>3461</v>
      </c>
      <c r="M2040" s="6" t="e">
        <f>INDEX(医院2县区2人!$B$2:$B$1048576,MATCH(L2040,医院2县区2人!$A$2:$A$1048576,0))</f>
        <v>#N/A</v>
      </c>
      <c r="N2040" s="6" t="e">
        <f>INDEX(医院2县区2人!$C$2:$C$1048576,MATCH(L2040,医院2县区2人!$A$2:$A$1048576,0))</f>
        <v>#N/A</v>
      </c>
      <c r="P2040" s="7">
        <v>43269</v>
      </c>
      <c r="Q2040" s="6">
        <v>5</v>
      </c>
      <c r="R2040" s="6">
        <v>29.23</v>
      </c>
      <c r="S2040" s="6">
        <v>180103</v>
      </c>
      <c r="T2040" s="6" t="e">
        <f>INDEX(医院2县区2人!$D$2:$D$1048576,MATCH(L2040,医院2县区2人!$A$2:$A$1048576,0))</f>
        <v>#N/A</v>
      </c>
      <c r="W2040" s="6" t="str">
        <f t="shared" si="65"/>
        <v>新盖中盖牌高钙片2.5g*36片</v>
      </c>
      <c r="X2040" s="6" t="s">
        <v>2871</v>
      </c>
    </row>
    <row r="2041" spans="1:24" x14ac:dyDescent="0.15">
      <c r="A2041" s="7" t="str">
        <f t="shared" si="66"/>
        <v>201806</v>
      </c>
      <c r="C2041" s="6" t="str">
        <f>INDEX(工厂基础数据!$A$2:$A$1024,MATCH(X2041,工厂基础数据!$D$2:$D$1024,0))</f>
        <v>02031912</v>
      </c>
      <c r="E2041" s="6" t="str">
        <f>INDEX(工厂基础数据!$B$2:$B$1024,MATCH(X2041,工厂基础数据!$D$2:$D$1024,0))</f>
        <v>滨州弘德药业有限公司</v>
      </c>
      <c r="F2041" s="6">
        <f>INDEX(商业2转码!$B$2:$B$10000,MATCH(E2041,商业2转码!$A$2:$A$10000,0))</f>
        <v>0</v>
      </c>
      <c r="G2041" s="6" t="str">
        <f>INDEX(品种2编码!$A$2:$A$1048576,MATCH(W2041,品种2编码!$D$2:$D$1048576,0))</f>
        <v>0020040220SHYT0004</v>
      </c>
      <c r="H2041" s="6" t="s">
        <v>1857</v>
      </c>
      <c r="I2041" s="6" t="s">
        <v>1956</v>
      </c>
      <c r="J2041" s="6" t="s">
        <v>3037</v>
      </c>
      <c r="L2041" s="6" t="s">
        <v>2423</v>
      </c>
      <c r="M2041" s="6">
        <f>INDEX(医院2县区2人!$B$2:$B$1048576,MATCH(L2041,医院2县区2人!$A$2:$A$1048576,0))</f>
        <v>4</v>
      </c>
      <c r="N2041" s="6" t="str">
        <f>INDEX(医院2县区2人!$C$2:$C$1048576,MATCH(L2041,医院2县区2人!$A$2:$A$1048576,0))</f>
        <v>1859</v>
      </c>
      <c r="P2041" s="7">
        <v>43269</v>
      </c>
      <c r="Q2041" s="6">
        <v>50</v>
      </c>
      <c r="R2041" s="6">
        <v>17</v>
      </c>
      <c r="S2041" s="6">
        <v>1801411</v>
      </c>
      <c r="T2041" s="6" t="str">
        <f>INDEX(医院2县区2人!$D$2:$D$1048576,MATCH(L2041,医院2县区2人!$A$2:$A$1048576,0))</f>
        <v>201602151421097</v>
      </c>
      <c r="W2041" s="6" t="str">
        <f t="shared" si="65"/>
        <v>妇宁栓1.6g*8粒</v>
      </c>
      <c r="X2041" s="6" t="s">
        <v>2871</v>
      </c>
    </row>
    <row r="2042" spans="1:24" x14ac:dyDescent="0.15">
      <c r="A2042" s="7" t="str">
        <f t="shared" si="66"/>
        <v>201806</v>
      </c>
      <c r="C2042" s="6" t="str">
        <f>INDEX(工厂基础数据!$A$2:$A$1024,MATCH(X2042,工厂基础数据!$D$2:$D$1024,0))</f>
        <v>02031912</v>
      </c>
      <c r="E2042" s="6" t="str">
        <f>INDEX(工厂基础数据!$B$2:$B$1024,MATCH(X2042,工厂基础数据!$D$2:$D$1024,0))</f>
        <v>滨州弘德药业有限公司</v>
      </c>
      <c r="F2042" s="6">
        <f>INDEX(商业2转码!$B$2:$B$10000,MATCH(E2042,商业2转码!$A$2:$A$10000,0))</f>
        <v>0</v>
      </c>
      <c r="G2042" s="6" t="str">
        <f>INDEX(品种2编码!$A$2:$A$1048576,MATCH(W2042,品种2编码!$D$2:$D$1048576,0))</f>
        <v>0020020021ZYZC0341</v>
      </c>
      <c r="H2042" s="6" t="s">
        <v>1936</v>
      </c>
      <c r="I2042" s="6" t="s">
        <v>279</v>
      </c>
      <c r="J2042" s="6" t="s">
        <v>3038</v>
      </c>
      <c r="L2042" s="6" t="s">
        <v>2423</v>
      </c>
      <c r="M2042" s="6">
        <f>INDEX(医院2县区2人!$B$2:$B$1048576,MATCH(L2042,医院2县区2人!$A$2:$A$1048576,0))</f>
        <v>4</v>
      </c>
      <c r="N2042" s="6" t="str">
        <f>INDEX(医院2县区2人!$C$2:$C$1048576,MATCH(L2042,医院2县区2人!$A$2:$A$1048576,0))</f>
        <v>1859</v>
      </c>
      <c r="P2042" s="7">
        <v>43269</v>
      </c>
      <c r="Q2042" s="6">
        <v>50</v>
      </c>
      <c r="R2042" s="6">
        <v>13</v>
      </c>
      <c r="S2042" s="6" t="s">
        <v>3049</v>
      </c>
      <c r="T2042" s="6" t="str">
        <f>INDEX(医院2县区2人!$D$2:$D$1048576,MATCH(L2042,医院2县区2人!$A$2:$A$1048576,0))</f>
        <v>201602151421097</v>
      </c>
      <c r="W2042" s="6" t="str">
        <f t="shared" si="65"/>
        <v>阿莫西林克拉维酸钾分散片0.2285g*12片</v>
      </c>
      <c r="X2042" s="6" t="s">
        <v>2871</v>
      </c>
    </row>
    <row r="2043" spans="1:24" x14ac:dyDescent="0.15">
      <c r="A2043" s="7" t="str">
        <f t="shared" si="66"/>
        <v>201806</v>
      </c>
      <c r="C2043" s="6" t="str">
        <f>INDEX(工厂基础数据!$A$2:$A$1024,MATCH(X2043,工厂基础数据!$D$2:$D$1024,0))</f>
        <v>02031912</v>
      </c>
      <c r="E2043" s="6" t="str">
        <f>INDEX(工厂基础数据!$B$2:$B$1024,MATCH(X2043,工厂基础数据!$D$2:$D$1024,0))</f>
        <v>滨州弘德药业有限公司</v>
      </c>
      <c r="F2043" s="6">
        <f>INDEX(商业2转码!$B$2:$B$10000,MATCH(E2043,商业2转码!$A$2:$A$10000,0))</f>
        <v>0</v>
      </c>
      <c r="G2043" s="6" t="str">
        <f>INDEX(品种2编码!$A$2:$A$1048576,MATCH(W2043,品种2编码!$D$2:$D$1048576,0))</f>
        <v>0020020020ZYLC0010</v>
      </c>
      <c r="H2043" s="6" t="s">
        <v>1855</v>
      </c>
      <c r="I2043" s="6" t="s">
        <v>1957</v>
      </c>
      <c r="J2043" s="6" t="s">
        <v>3036</v>
      </c>
      <c r="L2043" s="6" t="s">
        <v>2409</v>
      </c>
      <c r="M2043" s="6">
        <f>INDEX(医院2县区2人!$B$2:$B$1048576,MATCH(L2043,医院2县区2人!$A$2:$A$1048576,0))</f>
        <v>2</v>
      </c>
      <c r="N2043" s="6" t="str">
        <f>INDEX(医院2县区2人!$C$2:$C$1048576,MATCH(L2043,医院2县区2人!$A$2:$A$1048576,0))</f>
        <v>1859</v>
      </c>
      <c r="P2043" s="7">
        <v>43269</v>
      </c>
      <c r="Q2043" s="6">
        <v>52</v>
      </c>
      <c r="R2043" s="6">
        <v>3.5</v>
      </c>
      <c r="S2043" s="6">
        <v>180115</v>
      </c>
      <c r="T2043" s="6" t="str">
        <f>INDEX(医院2县区2人!$D$2:$D$1048576,MATCH(L2043,医院2县区2人!$A$2:$A$1048576,0))</f>
        <v>201602151421097</v>
      </c>
      <c r="W2043" s="6" t="str">
        <f t="shared" si="65"/>
        <v>颠茄磺苄啶片10片/瓶</v>
      </c>
      <c r="X2043" s="6" t="s">
        <v>2871</v>
      </c>
    </row>
    <row r="2044" spans="1:24" x14ac:dyDescent="0.15">
      <c r="A2044" s="7" t="str">
        <f t="shared" si="66"/>
        <v>201806</v>
      </c>
      <c r="C2044" s="6" t="str">
        <f>INDEX(工厂基础数据!$A$2:$A$1024,MATCH(X2044,工厂基础数据!$D$2:$D$1024,0))</f>
        <v>02031912</v>
      </c>
      <c r="E2044" s="6" t="str">
        <f>INDEX(工厂基础数据!$B$2:$B$1024,MATCH(X2044,工厂基础数据!$D$2:$D$1024,0))</f>
        <v>滨州弘德药业有限公司</v>
      </c>
      <c r="F2044" s="6">
        <f>INDEX(商业2转码!$B$2:$B$10000,MATCH(E2044,商业2转码!$A$2:$A$10000,0))</f>
        <v>0</v>
      </c>
      <c r="G2044" s="6" t="str">
        <f>INDEX(品种2编码!$A$2:$A$1048576,MATCH(W2044,品种2编码!$D$2:$D$1048576,0))</f>
        <v>0020030020SJSC0004</v>
      </c>
      <c r="H2044" s="6" t="s">
        <v>394</v>
      </c>
      <c r="I2044" s="6" t="s">
        <v>1871</v>
      </c>
      <c r="J2044" s="6" t="s">
        <v>3045</v>
      </c>
      <c r="L2044" s="6" t="s">
        <v>2422</v>
      </c>
      <c r="M2044" s="6">
        <f>INDEX(医院2县区2人!$B$2:$B$1048576,MATCH(L2044,医院2县区2人!$A$2:$A$1048576,0))</f>
        <v>2</v>
      </c>
      <c r="N2044" s="6" t="str">
        <f>INDEX(医院2县区2人!$C$2:$C$1048576,MATCH(L2044,医院2县区2人!$A$2:$A$1048576,0))</f>
        <v>1853</v>
      </c>
      <c r="P2044" s="7">
        <v>43269</v>
      </c>
      <c r="Q2044" s="6">
        <v>5</v>
      </c>
      <c r="R2044" s="6">
        <v>12.6</v>
      </c>
      <c r="S2044" s="6">
        <v>1712032</v>
      </c>
      <c r="T2044" s="6" t="str">
        <f>INDEX(医院2县区2人!$D$2:$D$1048576,MATCH(L2044,医院2县区2人!$A$2:$A$1048576,0))</f>
        <v>201602151421097</v>
      </c>
      <c r="W2044" s="6" t="str">
        <f t="shared" si="65"/>
        <v>复方铝酸铋片50片</v>
      </c>
      <c r="X2044" s="6" t="s">
        <v>2871</v>
      </c>
    </row>
    <row r="2045" spans="1:24" x14ac:dyDescent="0.15">
      <c r="A2045" s="7" t="str">
        <f t="shared" si="66"/>
        <v>201806</v>
      </c>
      <c r="C2045" s="6" t="str">
        <f>INDEX(工厂基础数据!$A$2:$A$1024,MATCH(X2045,工厂基础数据!$D$2:$D$1024,0))</f>
        <v>02031912</v>
      </c>
      <c r="E2045" s="6" t="str">
        <f>INDEX(工厂基础数据!$B$2:$B$1024,MATCH(X2045,工厂基础数据!$D$2:$D$1024,0))</f>
        <v>滨州弘德药业有限公司</v>
      </c>
      <c r="F2045" s="6">
        <f>INDEX(商业2转码!$B$2:$B$10000,MATCH(E2045,商业2转码!$A$2:$A$10000,0))</f>
        <v>0</v>
      </c>
      <c r="G2045" s="6" t="str">
        <f>INDEX(品种2编码!$A$2:$A$1048576,MATCH(W2045,品种2编码!$D$2:$D$1048576,0))</f>
        <v>0020030040ZYLC0001</v>
      </c>
      <c r="H2045" s="6" t="s">
        <v>1953</v>
      </c>
      <c r="I2045" s="6" t="s">
        <v>1954</v>
      </c>
      <c r="J2045" s="6" t="s">
        <v>3036</v>
      </c>
      <c r="L2045" s="6" t="s">
        <v>3465</v>
      </c>
      <c r="M2045" s="6" t="e">
        <f>INDEX(医院2县区2人!$B$2:$B$1048576,MATCH(L2045,医院2县区2人!$A$2:$A$1048576,0))</f>
        <v>#N/A</v>
      </c>
      <c r="N2045" s="6" t="e">
        <f>INDEX(医院2县区2人!$C$2:$C$1048576,MATCH(L2045,医院2县区2人!$A$2:$A$1048576,0))</f>
        <v>#N/A</v>
      </c>
      <c r="P2045" s="7">
        <v>43270</v>
      </c>
      <c r="Q2045" s="6">
        <v>10</v>
      </c>
      <c r="R2045" s="6">
        <v>10</v>
      </c>
      <c r="S2045" s="6">
        <v>180139</v>
      </c>
      <c r="T2045" s="6" t="e">
        <f>INDEX(医院2县区2人!$D$2:$D$1048576,MATCH(L2045,医院2县区2人!$A$2:$A$1048576,0))</f>
        <v>#N/A</v>
      </c>
      <c r="W2045" s="6" t="str">
        <f t="shared" si="65"/>
        <v>小儿氨酚黄那敏颗粒12袋</v>
      </c>
      <c r="X2045" s="6" t="s">
        <v>2871</v>
      </c>
    </row>
    <row r="2046" spans="1:24" x14ac:dyDescent="0.15">
      <c r="A2046" s="7" t="str">
        <f t="shared" si="66"/>
        <v>201806</v>
      </c>
      <c r="C2046" s="6" t="str">
        <f>INDEX(工厂基础数据!$A$2:$A$1024,MATCH(X2046,工厂基础数据!$D$2:$D$1024,0))</f>
        <v>02031912</v>
      </c>
      <c r="E2046" s="6" t="str">
        <f>INDEX(工厂基础数据!$B$2:$B$1024,MATCH(X2046,工厂基础数据!$D$2:$D$1024,0))</f>
        <v>滨州弘德药业有限公司</v>
      </c>
      <c r="F2046" s="6">
        <f>INDEX(商业2转码!$B$2:$B$10000,MATCH(E2046,商业2转码!$A$2:$A$10000,0))</f>
        <v>0</v>
      </c>
      <c r="G2046" s="6" t="str">
        <f>INDEX(品种2编码!$A$2:$A$1048576,MATCH(W2046,品种2编码!$D$2:$D$1048576,0))</f>
        <v>0020030020ZYLC0010</v>
      </c>
      <c r="H2046" s="6" t="s">
        <v>591</v>
      </c>
      <c r="I2046" s="6" t="s">
        <v>1948</v>
      </c>
      <c r="J2046" s="6" t="s">
        <v>3036</v>
      </c>
      <c r="L2046" s="6" t="s">
        <v>3466</v>
      </c>
      <c r="M2046" s="6" t="e">
        <f>INDEX(医院2县区2人!$B$2:$B$1048576,MATCH(L2046,医院2县区2人!$A$2:$A$1048576,0))</f>
        <v>#N/A</v>
      </c>
      <c r="N2046" s="6" t="e">
        <f>INDEX(医院2县区2人!$C$2:$C$1048576,MATCH(L2046,医院2县区2人!$A$2:$A$1048576,0))</f>
        <v>#N/A</v>
      </c>
      <c r="P2046" s="7">
        <v>43270</v>
      </c>
      <c r="Q2046" s="6">
        <v>20</v>
      </c>
      <c r="R2046" s="6">
        <v>3.7</v>
      </c>
      <c r="S2046" s="6">
        <v>180136</v>
      </c>
      <c r="T2046" s="6" t="e">
        <f>INDEX(医院2县区2人!$D$2:$D$1048576,MATCH(L2046,医院2县区2人!$A$2:$A$1048576,0))</f>
        <v>#N/A</v>
      </c>
      <c r="W2046" s="6" t="str">
        <f t="shared" ref="W2046:W2109" si="67">H2046&amp;I2046</f>
        <v>乳酸菌素片0.4g*36片/小包</v>
      </c>
      <c r="X2046" s="6" t="s">
        <v>2871</v>
      </c>
    </row>
    <row r="2047" spans="1:24" x14ac:dyDescent="0.15">
      <c r="A2047" s="7" t="str">
        <f t="shared" ref="A2047:A2110" si="68">IF(MONTH(P2047)&lt;10,YEAR(P2047)&amp;"0"&amp;MONTH(P2047),YEAR(P2047)&amp;MONTH(P2047))</f>
        <v>201806</v>
      </c>
      <c r="C2047" s="6" t="str">
        <f>INDEX(工厂基础数据!$A$2:$A$1024,MATCH(X2047,工厂基础数据!$D$2:$D$1024,0))</f>
        <v>02031912</v>
      </c>
      <c r="E2047" s="6" t="str">
        <f>INDEX(工厂基础数据!$B$2:$B$1024,MATCH(X2047,工厂基础数据!$D$2:$D$1024,0))</f>
        <v>滨州弘德药业有限公司</v>
      </c>
      <c r="F2047" s="6">
        <f>INDEX(商业2转码!$B$2:$B$10000,MATCH(E2047,商业2转码!$A$2:$A$10000,0))</f>
        <v>0</v>
      </c>
      <c r="G2047" s="6" t="str">
        <f>INDEX(品种2编码!$A$2:$A$1048576,MATCH(W2047,品种2编码!$D$2:$D$1048576,0))</f>
        <v>0020070000ZYLC0052</v>
      </c>
      <c r="H2047" s="6" t="s">
        <v>1844</v>
      </c>
      <c r="I2047" s="6" t="s">
        <v>411</v>
      </c>
      <c r="J2047" s="6" t="s">
        <v>3036</v>
      </c>
      <c r="L2047" s="6" t="s">
        <v>2407</v>
      </c>
      <c r="M2047" s="6">
        <f>INDEX(医院2县区2人!$B$2:$B$1048576,MATCH(L2047,医院2县区2人!$A$2:$A$1048576,0))</f>
        <v>2</v>
      </c>
      <c r="N2047" s="6" t="str">
        <f>INDEX(医院2县区2人!$C$2:$C$1048576,MATCH(L2047,医院2县区2人!$A$2:$A$1048576,0))</f>
        <v>1853</v>
      </c>
      <c r="P2047" s="7">
        <v>43270</v>
      </c>
      <c r="Q2047" s="6">
        <v>10</v>
      </c>
      <c r="R2047" s="6">
        <v>17</v>
      </c>
      <c r="S2047" s="6">
        <v>170801</v>
      </c>
      <c r="T2047" s="6" t="str">
        <f>INDEX(医院2县区2人!$D$2:$D$1048576,MATCH(L2047,医院2县区2人!$A$2:$A$1048576,0))</f>
        <v>201602151421097</v>
      </c>
      <c r="W2047" s="6" t="str">
        <f t="shared" si="67"/>
        <v>哈药六牌钙加锌口服液10ml*12支</v>
      </c>
      <c r="X2047" s="6" t="s">
        <v>2871</v>
      </c>
    </row>
    <row r="2048" spans="1:24" x14ac:dyDescent="0.15">
      <c r="A2048" s="7" t="str">
        <f t="shared" si="68"/>
        <v>201806</v>
      </c>
      <c r="C2048" s="6" t="str">
        <f>INDEX(工厂基础数据!$A$2:$A$1024,MATCH(X2048,工厂基础数据!$D$2:$D$1024,0))</f>
        <v>02031912</v>
      </c>
      <c r="E2048" s="6" t="str">
        <f>INDEX(工厂基础数据!$B$2:$B$1024,MATCH(X2048,工厂基础数据!$D$2:$D$1024,0))</f>
        <v>滨州弘德药业有限公司</v>
      </c>
      <c r="F2048" s="6">
        <f>INDEX(商业2转码!$B$2:$B$10000,MATCH(E2048,商业2转码!$A$2:$A$10000,0))</f>
        <v>0</v>
      </c>
      <c r="G2048" s="6" t="str">
        <f>INDEX(品种2编码!$A$2:$A$1048576,MATCH(W2048,品种2编码!$D$2:$D$1048576,0))</f>
        <v>0020050090SJZY0001</v>
      </c>
      <c r="H2048" s="6" t="s">
        <v>630</v>
      </c>
      <c r="I2048" s="6" t="s">
        <v>1850</v>
      </c>
      <c r="J2048" s="6" t="s">
        <v>3040</v>
      </c>
      <c r="L2048" s="6" t="s">
        <v>2971</v>
      </c>
      <c r="M2048" s="6">
        <f>INDEX(医院2县区2人!$B$2:$B$1048576,MATCH(L2048,医院2县区2人!$A$2:$A$1048576,0))</f>
        <v>0</v>
      </c>
      <c r="N2048" s="6">
        <f>INDEX(医院2县区2人!$C$2:$C$1048576,MATCH(L2048,医院2县区2人!$A$2:$A$1048576,0))</f>
        <v>0</v>
      </c>
      <c r="P2048" s="7">
        <v>43270</v>
      </c>
      <c r="Q2048" s="6">
        <v>3</v>
      </c>
      <c r="R2048" s="6">
        <v>16.5</v>
      </c>
      <c r="S2048" s="6">
        <v>18030931</v>
      </c>
      <c r="T2048" s="6">
        <f>INDEX(医院2县区2人!$D$2:$D$1048576,MATCH(L2048,医院2县区2人!$A$2:$A$1048576,0))</f>
        <v>0</v>
      </c>
      <c r="W2048" s="6" t="str">
        <f t="shared" si="67"/>
        <v>双黄连口服液10ml*10支</v>
      </c>
      <c r="X2048" s="6" t="s">
        <v>2871</v>
      </c>
    </row>
    <row r="2049" spans="1:24" x14ac:dyDescent="0.15">
      <c r="A2049" s="7" t="str">
        <f t="shared" si="68"/>
        <v>201806</v>
      </c>
      <c r="C2049" s="6" t="str">
        <f>INDEX(工厂基础数据!$A$2:$A$1024,MATCH(X2049,工厂基础数据!$D$2:$D$1024,0))</f>
        <v>02031912</v>
      </c>
      <c r="E2049" s="6" t="str">
        <f>INDEX(工厂基础数据!$B$2:$B$1024,MATCH(X2049,工厂基础数据!$D$2:$D$1024,0))</f>
        <v>滨州弘德药业有限公司</v>
      </c>
      <c r="F2049" s="6">
        <f>INDEX(商业2转码!$B$2:$B$10000,MATCH(E2049,商业2转码!$A$2:$A$10000,0))</f>
        <v>0</v>
      </c>
      <c r="G2049" s="6" t="str">
        <f>INDEX(品种2编码!$A$2:$A$1048576,MATCH(W2049,品种2编码!$D$2:$D$1048576,0))</f>
        <v>0020030001SJZY0009</v>
      </c>
      <c r="H2049" s="6" t="s">
        <v>1949</v>
      </c>
      <c r="I2049" s="6" t="s">
        <v>411</v>
      </c>
      <c r="J2049" s="6" t="s">
        <v>3040</v>
      </c>
      <c r="L2049" s="6" t="s">
        <v>2431</v>
      </c>
      <c r="M2049" s="6">
        <f>INDEX(医院2县区2人!$B$2:$B$1048576,MATCH(L2049,医院2县区2人!$A$2:$A$1048576,0))</f>
        <v>2</v>
      </c>
      <c r="N2049" s="6" t="str">
        <f>INDEX(医院2县区2人!$C$2:$C$1048576,MATCH(L2049,医院2县区2人!$A$2:$A$1048576,0))</f>
        <v>1853</v>
      </c>
      <c r="P2049" s="7">
        <v>43270</v>
      </c>
      <c r="Q2049" s="6">
        <v>8</v>
      </c>
      <c r="R2049" s="6">
        <v>25</v>
      </c>
      <c r="S2049" s="6">
        <v>17070527</v>
      </c>
      <c r="T2049" s="6" t="str">
        <f>INDEX(医院2县区2人!$D$2:$D$1048576,MATCH(L2049,医院2县区2人!$A$2:$A$1048576,0))</f>
        <v>201602151421097</v>
      </c>
      <c r="W2049" s="6" t="str">
        <f t="shared" si="67"/>
        <v>葡萄糖酸锌口服溶液10ml*12支</v>
      </c>
      <c r="X2049" s="6" t="s">
        <v>2871</v>
      </c>
    </row>
    <row r="2050" spans="1:24" x14ac:dyDescent="0.15">
      <c r="A2050" s="7" t="str">
        <f t="shared" si="68"/>
        <v>201806</v>
      </c>
      <c r="C2050" s="6" t="str">
        <f>INDEX(工厂基础数据!$A$2:$A$1024,MATCH(X2050,工厂基础数据!$D$2:$D$1024,0))</f>
        <v>02031912</v>
      </c>
      <c r="E2050" s="6" t="str">
        <f>INDEX(工厂基础数据!$B$2:$B$1024,MATCH(X2050,工厂基础数据!$D$2:$D$1024,0))</f>
        <v>滨州弘德药业有限公司</v>
      </c>
      <c r="F2050" s="6">
        <f>INDEX(商业2转码!$B$2:$B$10000,MATCH(E2050,商业2转码!$A$2:$A$10000,0))</f>
        <v>0</v>
      </c>
      <c r="G2050" s="6" t="str">
        <f>INDEX(品种2编码!$A$2:$A$1048576,MATCH(W2050,品种2编码!$D$2:$D$1048576,0))</f>
        <v>0020030001SJZY0009</v>
      </c>
      <c r="H2050" s="6" t="s">
        <v>1949</v>
      </c>
      <c r="I2050" s="6" t="s">
        <v>411</v>
      </c>
      <c r="J2050" s="6" t="s">
        <v>3040</v>
      </c>
      <c r="L2050" s="6" t="s">
        <v>2431</v>
      </c>
      <c r="M2050" s="6">
        <f>INDEX(医院2县区2人!$B$2:$B$1048576,MATCH(L2050,医院2县区2人!$A$2:$A$1048576,0))</f>
        <v>2</v>
      </c>
      <c r="N2050" s="6" t="str">
        <f>INDEX(医院2县区2人!$C$2:$C$1048576,MATCH(L2050,医院2县区2人!$A$2:$A$1048576,0))</f>
        <v>1853</v>
      </c>
      <c r="P2050" s="7">
        <v>43270</v>
      </c>
      <c r="Q2050" s="6">
        <v>2</v>
      </c>
      <c r="R2050" s="6">
        <v>25</v>
      </c>
      <c r="S2050" s="6">
        <v>18031227</v>
      </c>
      <c r="T2050" s="6" t="str">
        <f>INDEX(医院2县区2人!$D$2:$D$1048576,MATCH(L2050,医院2县区2人!$A$2:$A$1048576,0))</f>
        <v>201602151421097</v>
      </c>
      <c r="W2050" s="6" t="str">
        <f t="shared" si="67"/>
        <v>葡萄糖酸锌口服溶液10ml*12支</v>
      </c>
      <c r="X2050" s="6" t="s">
        <v>2871</v>
      </c>
    </row>
    <row r="2051" spans="1:24" x14ac:dyDescent="0.15">
      <c r="A2051" s="7" t="str">
        <f t="shared" si="68"/>
        <v>201806</v>
      </c>
      <c r="C2051" s="6" t="str">
        <f>INDEX(工厂基础数据!$A$2:$A$1024,MATCH(X2051,工厂基础数据!$D$2:$D$1024,0))</f>
        <v>02031912</v>
      </c>
      <c r="E2051" s="6" t="str">
        <f>INDEX(工厂基础数据!$B$2:$B$1024,MATCH(X2051,工厂基础数据!$D$2:$D$1024,0))</f>
        <v>滨州弘德药业有限公司</v>
      </c>
      <c r="F2051" s="6">
        <f>INDEX(商业2转码!$B$2:$B$10000,MATCH(E2051,商业2转码!$A$2:$A$10000,0))</f>
        <v>0</v>
      </c>
      <c r="G2051" s="6" t="str">
        <f>INDEX(品种2编码!$A$2:$A$1048576,MATCH(W2051,品种2编码!$D$2:$D$1048576,0))</f>
        <v>0020030001SJZY0009</v>
      </c>
      <c r="H2051" s="6" t="s">
        <v>1949</v>
      </c>
      <c r="I2051" s="6" t="s">
        <v>411</v>
      </c>
      <c r="J2051" s="6" t="s">
        <v>3040</v>
      </c>
      <c r="L2051" s="6" t="s">
        <v>2182</v>
      </c>
      <c r="M2051" s="6">
        <f>INDEX(医院2县区2人!$B$2:$B$1048576,MATCH(L2051,医院2县区2人!$A$2:$A$1048576,0))</f>
        <v>1</v>
      </c>
      <c r="N2051" s="6" t="str">
        <f>INDEX(医院2县区2人!$C$2:$C$1048576,MATCH(L2051,医院2县区2人!$A$2:$A$1048576,0))</f>
        <v>1853</v>
      </c>
      <c r="P2051" s="7">
        <v>43270</v>
      </c>
      <c r="Q2051" s="6">
        <v>30</v>
      </c>
      <c r="R2051" s="6">
        <v>25</v>
      </c>
      <c r="S2051" s="6">
        <v>18031227</v>
      </c>
      <c r="T2051" s="6" t="str">
        <f>INDEX(医院2县区2人!$D$2:$D$1048576,MATCH(L2051,医院2县区2人!$A$2:$A$1048576,0))</f>
        <v>201602151421097</v>
      </c>
      <c r="W2051" s="6" t="str">
        <f t="shared" si="67"/>
        <v>葡萄糖酸锌口服溶液10ml*12支</v>
      </c>
      <c r="X2051" s="6" t="s">
        <v>2871</v>
      </c>
    </row>
    <row r="2052" spans="1:24" x14ac:dyDescent="0.15">
      <c r="A2052" s="7" t="str">
        <f t="shared" si="68"/>
        <v>201806</v>
      </c>
      <c r="C2052" s="6" t="str">
        <f>INDEX(工厂基础数据!$A$2:$A$1024,MATCH(X2052,工厂基础数据!$D$2:$D$1024,0))</f>
        <v>02031912</v>
      </c>
      <c r="E2052" s="6" t="str">
        <f>INDEX(工厂基础数据!$B$2:$B$1024,MATCH(X2052,工厂基础数据!$D$2:$D$1024,0))</f>
        <v>滨州弘德药业有限公司</v>
      </c>
      <c r="F2052" s="6">
        <f>INDEX(商业2转码!$B$2:$B$10000,MATCH(E2052,商业2转码!$A$2:$A$10000,0))</f>
        <v>0</v>
      </c>
      <c r="G2052" s="6" t="str">
        <f>INDEX(品种2编码!$A$2:$A$1048576,MATCH(W2052,品种2编码!$D$2:$D$1048576,0))</f>
        <v>0020030040SJET0003</v>
      </c>
      <c r="H2052" s="6" t="s">
        <v>306</v>
      </c>
      <c r="I2052" s="6" t="s">
        <v>1874</v>
      </c>
      <c r="J2052" s="6" t="s">
        <v>3458</v>
      </c>
      <c r="L2052" s="6" t="s">
        <v>2182</v>
      </c>
      <c r="M2052" s="6">
        <f>INDEX(医院2县区2人!$B$2:$B$1048576,MATCH(L2052,医院2县区2人!$A$2:$A$1048576,0))</f>
        <v>1</v>
      </c>
      <c r="N2052" s="6" t="str">
        <f>INDEX(医院2县区2人!$C$2:$C$1048576,MATCH(L2052,医院2县区2人!$A$2:$A$1048576,0))</f>
        <v>1853</v>
      </c>
      <c r="P2052" s="7">
        <v>43270</v>
      </c>
      <c r="Q2052" s="6">
        <v>20</v>
      </c>
      <c r="R2052" s="6">
        <v>9</v>
      </c>
      <c r="S2052" s="6">
        <v>180204</v>
      </c>
      <c r="T2052" s="6" t="str">
        <f>INDEX(医院2县区2人!$D$2:$D$1048576,MATCH(L2052,医院2县区2人!$A$2:$A$1048576,0))</f>
        <v>201602151421097</v>
      </c>
      <c r="W2052" s="6" t="str">
        <f t="shared" si="67"/>
        <v>氨金黄敏颗粒6g*10袋</v>
      </c>
      <c r="X2052" s="6" t="s">
        <v>2871</v>
      </c>
    </row>
    <row r="2053" spans="1:24" x14ac:dyDescent="0.15">
      <c r="A2053" s="7" t="str">
        <f t="shared" si="68"/>
        <v>201806</v>
      </c>
      <c r="C2053" s="6" t="str">
        <f>INDEX(工厂基础数据!$A$2:$A$1024,MATCH(X2053,工厂基础数据!$D$2:$D$1024,0))</f>
        <v>02031912</v>
      </c>
      <c r="E2053" s="6" t="str">
        <f>INDEX(工厂基础数据!$B$2:$B$1024,MATCH(X2053,工厂基础数据!$D$2:$D$1024,0))</f>
        <v>滨州弘德药业有限公司</v>
      </c>
      <c r="F2053" s="6">
        <f>INDEX(商业2转码!$B$2:$B$10000,MATCH(E2053,商业2转码!$A$2:$A$10000,0))</f>
        <v>0</v>
      </c>
      <c r="G2053" s="6" t="str">
        <f>INDEX(品种2编码!$A$2:$A$1048576,MATCH(W2053,品种2编码!$D$2:$D$1048576,0))</f>
        <v>0020020020ZYLC0003</v>
      </c>
      <c r="H2053" s="6" t="s">
        <v>1855</v>
      </c>
      <c r="I2053" s="6" t="s">
        <v>381</v>
      </c>
      <c r="J2053" s="6" t="s">
        <v>3036</v>
      </c>
      <c r="L2053" s="6" t="s">
        <v>3467</v>
      </c>
      <c r="M2053" s="6" t="e">
        <f>INDEX(医院2县区2人!$B$2:$B$1048576,MATCH(L2053,医院2县区2人!$A$2:$A$1048576,0))</f>
        <v>#N/A</v>
      </c>
      <c r="N2053" s="6" t="e">
        <f>INDEX(医院2县区2人!$C$2:$C$1048576,MATCH(L2053,医院2县区2人!$A$2:$A$1048576,0))</f>
        <v>#N/A</v>
      </c>
      <c r="P2053" s="7">
        <v>43270</v>
      </c>
      <c r="Q2053" s="6">
        <v>5</v>
      </c>
      <c r="R2053" s="6">
        <v>9</v>
      </c>
      <c r="S2053" s="6">
        <v>161002</v>
      </c>
      <c r="T2053" s="6" t="e">
        <f>INDEX(医院2县区2人!$D$2:$D$1048576,MATCH(L2053,医院2县区2人!$A$2:$A$1048576,0))</f>
        <v>#N/A</v>
      </c>
      <c r="W2053" s="6" t="str">
        <f t="shared" si="67"/>
        <v>颠茄磺苄啶片12片</v>
      </c>
      <c r="X2053" s="6" t="s">
        <v>2871</v>
      </c>
    </row>
    <row r="2054" spans="1:24" x14ac:dyDescent="0.15">
      <c r="A2054" s="7" t="str">
        <f t="shared" si="68"/>
        <v>201806</v>
      </c>
      <c r="C2054" s="6" t="str">
        <f>INDEX(工厂基础数据!$A$2:$A$1024,MATCH(X2054,工厂基础数据!$D$2:$D$1024,0))</f>
        <v>02031912</v>
      </c>
      <c r="E2054" s="6" t="str">
        <f>INDEX(工厂基础数据!$B$2:$B$1024,MATCH(X2054,工厂基础数据!$D$2:$D$1024,0))</f>
        <v>滨州弘德药业有限公司</v>
      </c>
      <c r="F2054" s="6">
        <f>INDEX(商业2转码!$B$2:$B$10000,MATCH(E2054,商业2转码!$A$2:$A$10000,0))</f>
        <v>0</v>
      </c>
      <c r="G2054" s="6" t="str">
        <f>INDEX(品种2编码!$A$2:$A$1048576,MATCH(W2054,品种2编码!$D$2:$D$1048576,0))</f>
        <v>0020020030SJMS0025</v>
      </c>
      <c r="H2054" s="6" t="s">
        <v>586</v>
      </c>
      <c r="I2054" s="6" t="s">
        <v>1937</v>
      </c>
      <c r="J2054" s="6" t="s">
        <v>3046</v>
      </c>
      <c r="L2054" s="6" t="s">
        <v>3468</v>
      </c>
      <c r="M2054" s="6" t="e">
        <f>INDEX(医院2县区2人!$B$2:$B$1048576,MATCH(L2054,医院2县区2人!$A$2:$A$1048576,0))</f>
        <v>#N/A</v>
      </c>
      <c r="N2054" s="6" t="e">
        <f>INDEX(医院2县区2人!$C$2:$C$1048576,MATCH(L2054,医院2县区2人!$A$2:$A$1048576,0))</f>
        <v>#N/A</v>
      </c>
      <c r="P2054" s="7">
        <v>43270</v>
      </c>
      <c r="Q2054" s="6">
        <v>10</v>
      </c>
      <c r="R2054" s="6">
        <v>7.7</v>
      </c>
      <c r="S2054" s="6">
        <v>1711004</v>
      </c>
      <c r="T2054" s="6" t="e">
        <f>INDEX(医院2县区2人!$D$2:$D$1048576,MATCH(L2054,医院2县区2人!$A$2:$A$1048576,0))</f>
        <v>#N/A</v>
      </c>
      <c r="W2054" s="6" t="str">
        <f t="shared" si="67"/>
        <v>人工牛黄甲硝唑胶囊30粒</v>
      </c>
      <c r="X2054" s="6" t="s">
        <v>2871</v>
      </c>
    </row>
    <row r="2055" spans="1:24" x14ac:dyDescent="0.15">
      <c r="A2055" s="7" t="str">
        <f t="shared" si="68"/>
        <v>201806</v>
      </c>
      <c r="C2055" s="6" t="str">
        <f>INDEX(工厂基础数据!$A$2:$A$1024,MATCH(X2055,工厂基础数据!$D$2:$D$1024,0))</f>
        <v>02031912</v>
      </c>
      <c r="E2055" s="6" t="str">
        <f>INDEX(工厂基础数据!$B$2:$B$1024,MATCH(X2055,工厂基础数据!$D$2:$D$1024,0))</f>
        <v>滨州弘德药业有限公司</v>
      </c>
      <c r="F2055" s="6">
        <f>INDEX(商业2转码!$B$2:$B$10000,MATCH(E2055,商业2转码!$A$2:$A$10000,0))</f>
        <v>0</v>
      </c>
      <c r="G2055" s="6" t="str">
        <f>INDEX(品种2编码!$A$2:$A$1048576,MATCH(W2055,品种2编码!$D$2:$D$1048576,0))</f>
        <v>0020030001SJZY0006</v>
      </c>
      <c r="H2055" s="6" t="s">
        <v>1833</v>
      </c>
      <c r="I2055" s="6" t="s">
        <v>411</v>
      </c>
      <c r="J2055" s="6" t="s">
        <v>3040</v>
      </c>
      <c r="L2055" s="6" t="s">
        <v>3465</v>
      </c>
      <c r="M2055" s="6" t="e">
        <f>INDEX(医院2县区2人!$B$2:$B$1048576,MATCH(L2055,医院2县区2人!$A$2:$A$1048576,0))</f>
        <v>#N/A</v>
      </c>
      <c r="N2055" s="6" t="e">
        <f>INDEX(医院2县区2人!$C$2:$C$1048576,MATCH(L2055,医院2县区2人!$A$2:$A$1048576,0))</f>
        <v>#N/A</v>
      </c>
      <c r="P2055" s="7">
        <v>43270</v>
      </c>
      <c r="Q2055" s="6">
        <v>5</v>
      </c>
      <c r="R2055" s="6">
        <v>25</v>
      </c>
      <c r="S2055" s="6">
        <v>17090722</v>
      </c>
      <c r="T2055" s="6" t="e">
        <f>INDEX(医院2县区2人!$D$2:$D$1048576,MATCH(L2055,医院2县区2人!$A$2:$A$1048576,0))</f>
        <v>#N/A</v>
      </c>
      <c r="W2055" s="6" t="str">
        <f t="shared" si="67"/>
        <v>葡萄糖酸钙口服溶液10ml*12支</v>
      </c>
      <c r="X2055" s="6" t="s">
        <v>2871</v>
      </c>
    </row>
    <row r="2056" spans="1:24" x14ac:dyDescent="0.15">
      <c r="A2056" s="7" t="str">
        <f t="shared" si="68"/>
        <v>201806</v>
      </c>
      <c r="C2056" s="6" t="str">
        <f>INDEX(工厂基础数据!$A$2:$A$1024,MATCH(X2056,工厂基础数据!$D$2:$D$1024,0))</f>
        <v>02031912</v>
      </c>
      <c r="E2056" s="6" t="str">
        <f>INDEX(工厂基础数据!$B$2:$B$1024,MATCH(X2056,工厂基础数据!$D$2:$D$1024,0))</f>
        <v>滨州弘德药业有限公司</v>
      </c>
      <c r="F2056" s="6">
        <f>INDEX(商业2转码!$B$2:$B$10000,MATCH(E2056,商业2转码!$A$2:$A$10000,0))</f>
        <v>0</v>
      </c>
      <c r="G2056" s="6" t="str">
        <f>INDEX(品种2编码!$A$2:$A$1048576,MATCH(W2056,品种2编码!$D$2:$D$1048576,0))</f>
        <v>0020030001SJZY0009</v>
      </c>
      <c r="H2056" s="6" t="s">
        <v>1949</v>
      </c>
      <c r="I2056" s="6" t="s">
        <v>411</v>
      </c>
      <c r="J2056" s="6" t="s">
        <v>3040</v>
      </c>
      <c r="L2056" s="6" t="s">
        <v>2635</v>
      </c>
      <c r="M2056" s="6">
        <f>INDEX(医院2县区2人!$B$2:$B$1048576,MATCH(L2056,医院2县区2人!$A$2:$A$1048576,0))</f>
        <v>4</v>
      </c>
      <c r="N2056" s="6" t="str">
        <f>INDEX(医院2县区2人!$C$2:$C$1048576,MATCH(L2056,医院2县区2人!$A$2:$A$1048576,0))</f>
        <v>1853</v>
      </c>
      <c r="P2056" s="7">
        <v>43270</v>
      </c>
      <c r="Q2056" s="6">
        <v>80</v>
      </c>
      <c r="R2056" s="6">
        <v>25</v>
      </c>
      <c r="S2056" s="6">
        <v>18031227</v>
      </c>
      <c r="T2056" s="6" t="str">
        <f>INDEX(医院2县区2人!$D$2:$D$1048576,MATCH(L2056,医院2县区2人!$A$2:$A$1048576,0))</f>
        <v>201602151421097</v>
      </c>
      <c r="W2056" s="6" t="str">
        <f t="shared" si="67"/>
        <v>葡萄糖酸锌口服溶液10ml*12支</v>
      </c>
      <c r="X2056" s="6" t="s">
        <v>2871</v>
      </c>
    </row>
    <row r="2057" spans="1:24" x14ac:dyDescent="0.15">
      <c r="A2057" s="7" t="str">
        <f t="shared" si="68"/>
        <v>201806</v>
      </c>
      <c r="C2057" s="6" t="str">
        <f>INDEX(工厂基础数据!$A$2:$A$1024,MATCH(X2057,工厂基础数据!$D$2:$D$1024,0))</f>
        <v>02031912</v>
      </c>
      <c r="E2057" s="6" t="str">
        <f>INDEX(工厂基础数据!$B$2:$B$1024,MATCH(X2057,工厂基础数据!$D$2:$D$1024,0))</f>
        <v>滨州弘德药业有限公司</v>
      </c>
      <c r="F2057" s="6">
        <f>INDEX(商业2转码!$B$2:$B$10000,MATCH(E2057,商业2转码!$A$2:$A$10000,0))</f>
        <v>0</v>
      </c>
      <c r="G2057" s="6" t="str">
        <f>INDEX(品种2编码!$A$2:$A$1048576,MATCH(W2057,品种2编码!$D$2:$D$1048576,0))</f>
        <v>0020070000ZYLC0001</v>
      </c>
      <c r="H2057" s="6" t="s">
        <v>725</v>
      </c>
      <c r="I2057" s="6" t="s">
        <v>1838</v>
      </c>
      <c r="J2057" s="6" t="s">
        <v>3036</v>
      </c>
      <c r="L2057" s="6" t="s">
        <v>2995</v>
      </c>
      <c r="M2057" s="6" t="e">
        <f>INDEX(医院2县区2人!$B$2:$B$1048576,MATCH(L2057,医院2县区2人!$A$2:$A$1048576,0))</f>
        <v>#N/A</v>
      </c>
      <c r="N2057" s="6" t="e">
        <f>INDEX(医院2县区2人!$C$2:$C$1048576,MATCH(L2057,医院2县区2人!$A$2:$A$1048576,0))</f>
        <v>#N/A</v>
      </c>
      <c r="P2057" s="7">
        <v>43270</v>
      </c>
      <c r="Q2057" s="6">
        <v>3</v>
      </c>
      <c r="R2057" s="6">
        <v>29</v>
      </c>
      <c r="S2057" s="6">
        <v>180103</v>
      </c>
      <c r="T2057" s="6" t="e">
        <f>INDEX(医院2县区2人!$D$2:$D$1048576,MATCH(L2057,医院2县区2人!$A$2:$A$1048576,0))</f>
        <v>#N/A</v>
      </c>
      <c r="W2057" s="6" t="str">
        <f t="shared" si="67"/>
        <v>新盖中盖牌高钙片2.5g*36片</v>
      </c>
      <c r="X2057" s="6" t="s">
        <v>2871</v>
      </c>
    </row>
    <row r="2058" spans="1:24" x14ac:dyDescent="0.15">
      <c r="A2058" s="7" t="str">
        <f t="shared" si="68"/>
        <v>201806</v>
      </c>
      <c r="C2058" s="6" t="str">
        <f>INDEX(工厂基础数据!$A$2:$A$1024,MATCH(X2058,工厂基础数据!$D$2:$D$1024,0))</f>
        <v>02031912</v>
      </c>
      <c r="E2058" s="6" t="str">
        <f>INDEX(工厂基础数据!$B$2:$B$1024,MATCH(X2058,工厂基础数据!$D$2:$D$1024,0))</f>
        <v>滨州弘德药业有限公司</v>
      </c>
      <c r="F2058" s="6">
        <f>INDEX(商业2转码!$B$2:$B$10000,MATCH(E2058,商业2转码!$A$2:$A$10000,0))</f>
        <v>0</v>
      </c>
      <c r="G2058" s="6" t="str">
        <f>INDEX(品种2编码!$A$2:$A$1048576,MATCH(W2058,品种2编码!$D$2:$D$1048576,0))</f>
        <v>0020020021ZYLC0004</v>
      </c>
      <c r="H2058" s="6" t="s">
        <v>1950</v>
      </c>
      <c r="I2058" s="6" t="s">
        <v>1869</v>
      </c>
      <c r="J2058" s="6" t="s">
        <v>3036</v>
      </c>
      <c r="L2058" s="6" t="s">
        <v>2434</v>
      </c>
      <c r="M2058" s="6">
        <f>INDEX(医院2县区2人!$B$2:$B$1048576,MATCH(L2058,医院2县区2人!$A$2:$A$1048576,0))</f>
        <v>1</v>
      </c>
      <c r="N2058" s="6" t="str">
        <f>INDEX(医院2县区2人!$C$2:$C$1048576,MATCH(L2058,医院2县区2人!$A$2:$A$1048576,0))</f>
        <v>1853</v>
      </c>
      <c r="P2058" s="7">
        <v>43271</v>
      </c>
      <c r="Q2058" s="6">
        <v>20</v>
      </c>
      <c r="R2058" s="6">
        <v>8</v>
      </c>
      <c r="S2058" s="6">
        <v>180201</v>
      </c>
      <c r="T2058" s="6" t="str">
        <f>INDEX(医院2县区2人!$D$2:$D$1048576,MATCH(L2058,医院2县区2人!$A$2:$A$1048576,0))</f>
        <v>201602151421097</v>
      </c>
      <c r="W2058" s="6" t="str">
        <f t="shared" si="67"/>
        <v>罗红霉素分散片75mg*12片</v>
      </c>
      <c r="X2058" s="6" t="s">
        <v>2871</v>
      </c>
    </row>
    <row r="2059" spans="1:24" x14ac:dyDescent="0.15">
      <c r="A2059" s="7" t="str">
        <f t="shared" si="68"/>
        <v>201806</v>
      </c>
      <c r="C2059" s="6" t="str">
        <f>INDEX(工厂基础数据!$A$2:$A$1024,MATCH(X2059,工厂基础数据!$D$2:$D$1024,0))</f>
        <v>02031912</v>
      </c>
      <c r="E2059" s="6" t="str">
        <f>INDEX(工厂基础数据!$B$2:$B$1024,MATCH(X2059,工厂基础数据!$D$2:$D$1024,0))</f>
        <v>滨州弘德药业有限公司</v>
      </c>
      <c r="F2059" s="6">
        <f>INDEX(商业2转码!$B$2:$B$10000,MATCH(E2059,商业2转码!$A$2:$A$10000,0))</f>
        <v>0</v>
      </c>
      <c r="G2059" s="6" t="str">
        <f>INDEX(品种2编码!$A$2:$A$1048576,MATCH(W2059,品种2编码!$D$2:$D$1048576,0))</f>
        <v>0020020021ZYLC0005</v>
      </c>
      <c r="H2059" s="6" t="s">
        <v>1950</v>
      </c>
      <c r="I2059" s="6" t="s">
        <v>1841</v>
      </c>
      <c r="J2059" s="6" t="s">
        <v>3036</v>
      </c>
      <c r="L2059" s="6" t="s">
        <v>2434</v>
      </c>
      <c r="M2059" s="6">
        <f>INDEX(医院2县区2人!$B$2:$B$1048576,MATCH(L2059,医院2县区2人!$A$2:$A$1048576,0))</f>
        <v>1</v>
      </c>
      <c r="N2059" s="6" t="str">
        <f>INDEX(医院2县区2人!$C$2:$C$1048576,MATCH(L2059,医院2县区2人!$A$2:$A$1048576,0))</f>
        <v>1853</v>
      </c>
      <c r="P2059" s="7">
        <v>43271</v>
      </c>
      <c r="Q2059" s="6">
        <v>20</v>
      </c>
      <c r="R2059" s="6">
        <v>4</v>
      </c>
      <c r="S2059" s="6">
        <v>180201</v>
      </c>
      <c r="T2059" s="6" t="str">
        <f>INDEX(医院2县区2人!$D$2:$D$1048576,MATCH(L2059,医院2县区2人!$A$2:$A$1048576,0))</f>
        <v>201602151421097</v>
      </c>
      <c r="W2059" s="6" t="str">
        <f t="shared" si="67"/>
        <v>罗红霉素分散片50mg*12片</v>
      </c>
      <c r="X2059" s="6" t="s">
        <v>2871</v>
      </c>
    </row>
    <row r="2060" spans="1:24" x14ac:dyDescent="0.15">
      <c r="A2060" s="7" t="str">
        <f t="shared" si="68"/>
        <v>201806</v>
      </c>
      <c r="C2060" s="6" t="str">
        <f>INDEX(工厂基础数据!$A$2:$A$1024,MATCH(X2060,工厂基础数据!$D$2:$D$1024,0))</f>
        <v>02031912</v>
      </c>
      <c r="E2060" s="6" t="str">
        <f>INDEX(工厂基础数据!$B$2:$B$1024,MATCH(X2060,工厂基础数据!$D$2:$D$1024,0))</f>
        <v>滨州弘德药业有限公司</v>
      </c>
      <c r="F2060" s="6">
        <f>INDEX(商业2转码!$B$2:$B$10000,MATCH(E2060,商业2转码!$A$2:$A$10000,0))</f>
        <v>0</v>
      </c>
      <c r="G2060" s="6" t="str">
        <f>INDEX(品种2编码!$A$2:$A$1048576,MATCH(W2060,品种2编码!$D$2:$D$1048576,0))</f>
        <v>0020050090ZYEC0005</v>
      </c>
      <c r="H2060" s="6" t="s">
        <v>581</v>
      </c>
      <c r="I2060" s="6" t="s">
        <v>1850</v>
      </c>
      <c r="J2060" s="6" t="s">
        <v>3041</v>
      </c>
      <c r="L2060" s="6" t="s">
        <v>2434</v>
      </c>
      <c r="M2060" s="6">
        <f>INDEX(医院2县区2人!$B$2:$B$1048576,MATCH(L2060,医院2县区2人!$A$2:$A$1048576,0))</f>
        <v>1</v>
      </c>
      <c r="N2060" s="6" t="str">
        <f>INDEX(医院2县区2人!$C$2:$C$1048576,MATCH(L2060,医院2县区2人!$A$2:$A$1048576,0))</f>
        <v>1853</v>
      </c>
      <c r="P2060" s="7">
        <v>43271</v>
      </c>
      <c r="Q2060" s="6">
        <v>10</v>
      </c>
      <c r="R2060" s="6">
        <v>20.5</v>
      </c>
      <c r="S2060" s="6">
        <v>160502</v>
      </c>
      <c r="T2060" s="6" t="str">
        <f>INDEX(医院2县区2人!$D$2:$D$1048576,MATCH(L2060,医院2县区2人!$A$2:$A$1048576,0))</f>
        <v>201602151421097</v>
      </c>
      <c r="W2060" s="6" t="str">
        <f t="shared" si="67"/>
        <v>清热解毒口服液10ml*10支</v>
      </c>
      <c r="X2060" s="6" t="s">
        <v>2871</v>
      </c>
    </row>
    <row r="2061" spans="1:24" x14ac:dyDescent="0.15">
      <c r="A2061" s="7" t="str">
        <f t="shared" si="68"/>
        <v>201806</v>
      </c>
      <c r="C2061" s="6" t="str">
        <f>INDEX(工厂基础数据!$A$2:$A$1024,MATCH(X2061,工厂基础数据!$D$2:$D$1024,0))</f>
        <v>02031912</v>
      </c>
      <c r="E2061" s="6" t="str">
        <f>INDEX(工厂基础数据!$B$2:$B$1024,MATCH(X2061,工厂基础数据!$D$2:$D$1024,0))</f>
        <v>滨州弘德药业有限公司</v>
      </c>
      <c r="F2061" s="6">
        <f>INDEX(商业2转码!$B$2:$B$10000,MATCH(E2061,商业2转码!$A$2:$A$10000,0))</f>
        <v>0</v>
      </c>
      <c r="G2061" s="6" t="str">
        <f>INDEX(品种2编码!$A$2:$A$1048576,MATCH(W2061,品种2编码!$D$2:$D$1048576,0))</f>
        <v>0020050020SHYT0016</v>
      </c>
      <c r="H2061" s="6" t="s">
        <v>1864</v>
      </c>
      <c r="I2061" s="6" t="s">
        <v>339</v>
      </c>
      <c r="J2061" s="6" t="s">
        <v>3037</v>
      </c>
      <c r="L2061" s="6" t="s">
        <v>2276</v>
      </c>
      <c r="M2061" s="6">
        <f>INDEX(医院2县区2人!$B$2:$B$1048576,MATCH(L2061,医院2县区2人!$A$2:$A$1048576,0))</f>
        <v>4</v>
      </c>
      <c r="N2061" s="6" t="str">
        <f>INDEX(医院2县区2人!$C$2:$C$1048576,MATCH(L2061,医院2县区2人!$A$2:$A$1048576,0))</f>
        <v>1859</v>
      </c>
      <c r="P2061" s="7">
        <v>43271</v>
      </c>
      <c r="Q2061" s="6">
        <v>60</v>
      </c>
      <c r="R2061" s="6">
        <v>16.5</v>
      </c>
      <c r="S2061" s="6">
        <v>1801503</v>
      </c>
      <c r="T2061" s="6" t="str">
        <f>INDEX(医院2县区2人!$D$2:$D$1048576,MATCH(L2061,医院2县区2人!$A$2:$A$1048576,0))</f>
        <v>201602151421097</v>
      </c>
      <c r="W2061" s="6" t="str">
        <f t="shared" si="67"/>
        <v>复方金银花颗粒10g*10袋</v>
      </c>
      <c r="X2061" s="6" t="s">
        <v>2871</v>
      </c>
    </row>
    <row r="2062" spans="1:24" x14ac:dyDescent="0.15">
      <c r="A2062" s="7" t="str">
        <f t="shared" si="68"/>
        <v>201806</v>
      </c>
      <c r="C2062" s="6" t="str">
        <f>INDEX(工厂基础数据!$A$2:$A$1024,MATCH(X2062,工厂基础数据!$D$2:$D$1024,0))</f>
        <v>02031912</v>
      </c>
      <c r="E2062" s="6" t="str">
        <f>INDEX(工厂基础数据!$B$2:$B$1024,MATCH(X2062,工厂基础数据!$D$2:$D$1024,0))</f>
        <v>滨州弘德药业有限公司</v>
      </c>
      <c r="F2062" s="6">
        <f>INDEX(商业2转码!$B$2:$B$10000,MATCH(E2062,商业2转码!$A$2:$A$10000,0))</f>
        <v>0</v>
      </c>
      <c r="G2062" s="6" t="str">
        <f>INDEX(品种2编码!$A$2:$A$1048576,MATCH(W2062,品种2编码!$D$2:$D$1048576,0))</f>
        <v>0020030032ZYZC0300</v>
      </c>
      <c r="H2062" s="6" t="s">
        <v>687</v>
      </c>
      <c r="I2062" s="6" t="s">
        <v>1937</v>
      </c>
      <c r="J2062" s="6" t="s">
        <v>3038</v>
      </c>
      <c r="L2062" s="6" t="s">
        <v>2276</v>
      </c>
      <c r="M2062" s="6">
        <f>INDEX(医院2县区2人!$B$2:$B$1048576,MATCH(L2062,医院2县区2人!$A$2:$A$1048576,0))</f>
        <v>4</v>
      </c>
      <c r="N2062" s="6" t="str">
        <f>INDEX(医院2县区2人!$C$2:$C$1048576,MATCH(L2062,医院2县区2人!$A$2:$A$1048576,0))</f>
        <v>1859</v>
      </c>
      <c r="P2062" s="7">
        <v>43271</v>
      </c>
      <c r="Q2062" s="6">
        <v>23</v>
      </c>
      <c r="R2062" s="6">
        <v>15.6</v>
      </c>
      <c r="S2062" s="6" t="s">
        <v>3802</v>
      </c>
      <c r="T2062" s="6" t="str">
        <f>INDEX(医院2县区2人!$D$2:$D$1048576,MATCH(L2062,医院2县区2人!$A$2:$A$1048576,0))</f>
        <v>201602151421097</v>
      </c>
      <c r="W2062" s="6" t="str">
        <f t="shared" si="67"/>
        <v>维生素E软胶囊30粒</v>
      </c>
      <c r="X2062" s="6" t="s">
        <v>2871</v>
      </c>
    </row>
    <row r="2063" spans="1:24" x14ac:dyDescent="0.15">
      <c r="A2063" s="7" t="str">
        <f t="shared" si="68"/>
        <v>201806</v>
      </c>
      <c r="C2063" s="6" t="str">
        <f>INDEX(工厂基础数据!$A$2:$A$1024,MATCH(X2063,工厂基础数据!$D$2:$D$1024,0))</f>
        <v>02031912</v>
      </c>
      <c r="E2063" s="6" t="str">
        <f>INDEX(工厂基础数据!$B$2:$B$1024,MATCH(X2063,工厂基础数据!$D$2:$D$1024,0))</f>
        <v>滨州弘德药业有限公司</v>
      </c>
      <c r="F2063" s="6">
        <f>INDEX(商业2转码!$B$2:$B$10000,MATCH(E2063,商业2转码!$A$2:$A$10000,0))</f>
        <v>0</v>
      </c>
      <c r="G2063" s="6" t="str">
        <f>INDEX(品种2编码!$A$2:$A$1048576,MATCH(W2063,品种2编码!$D$2:$D$1048576,0))</f>
        <v>0020030001SJZY0009</v>
      </c>
      <c r="H2063" s="6" t="s">
        <v>1949</v>
      </c>
      <c r="I2063" s="6" t="s">
        <v>411</v>
      </c>
      <c r="J2063" s="6" t="s">
        <v>3040</v>
      </c>
      <c r="L2063" s="6" t="s">
        <v>2260</v>
      </c>
      <c r="M2063" s="6">
        <f>INDEX(医院2县区2人!$B$2:$B$1048576,MATCH(L2063,医院2县区2人!$A$2:$A$1048576,0))</f>
        <v>2</v>
      </c>
      <c r="N2063" s="6" t="str">
        <f>INDEX(医院2县区2人!$C$2:$C$1048576,MATCH(L2063,医院2县区2人!$A$2:$A$1048576,0))</f>
        <v>1853</v>
      </c>
      <c r="P2063" s="7">
        <v>43271</v>
      </c>
      <c r="Q2063" s="6">
        <v>5</v>
      </c>
      <c r="R2063" s="6">
        <v>25</v>
      </c>
      <c r="S2063" s="6">
        <v>18031227</v>
      </c>
      <c r="T2063" s="6" t="str">
        <f>INDEX(医院2县区2人!$D$2:$D$1048576,MATCH(L2063,医院2县区2人!$A$2:$A$1048576,0))</f>
        <v>201602151421097</v>
      </c>
      <c r="W2063" s="6" t="str">
        <f t="shared" si="67"/>
        <v>葡萄糖酸锌口服溶液10ml*12支</v>
      </c>
      <c r="X2063" s="6" t="s">
        <v>2871</v>
      </c>
    </row>
    <row r="2064" spans="1:24" x14ac:dyDescent="0.15">
      <c r="A2064" s="7" t="str">
        <f t="shared" si="68"/>
        <v>201806</v>
      </c>
      <c r="C2064" s="6" t="str">
        <f>INDEX(工厂基础数据!$A$2:$A$1024,MATCH(X2064,工厂基础数据!$D$2:$D$1024,0))</f>
        <v>02031912</v>
      </c>
      <c r="E2064" s="6" t="str">
        <f>INDEX(工厂基础数据!$B$2:$B$1024,MATCH(X2064,工厂基础数据!$D$2:$D$1024,0))</f>
        <v>滨州弘德药业有限公司</v>
      </c>
      <c r="F2064" s="6">
        <f>INDEX(商业2转码!$B$2:$B$10000,MATCH(E2064,商业2转码!$A$2:$A$10000,0))</f>
        <v>0</v>
      </c>
      <c r="G2064" s="6" t="str">
        <f>INDEX(品种2编码!$A$2:$A$1048576,MATCH(W2064,品种2编码!$D$2:$D$1048576,0))</f>
        <v>0020070000ZYLC0001</v>
      </c>
      <c r="H2064" s="6" t="s">
        <v>725</v>
      </c>
      <c r="I2064" s="6" t="s">
        <v>1838</v>
      </c>
      <c r="J2064" s="6" t="s">
        <v>3036</v>
      </c>
      <c r="L2064" s="6" t="s">
        <v>2691</v>
      </c>
      <c r="M2064" s="6">
        <f>INDEX(医院2县区2人!$B$2:$B$1048576,MATCH(L2064,医院2县区2人!$A$2:$A$1048576,0))</f>
        <v>2</v>
      </c>
      <c r="N2064" s="6" t="str">
        <f>INDEX(医院2县区2人!$C$2:$C$1048576,MATCH(L2064,医院2县区2人!$A$2:$A$1048576,0))</f>
        <v>1853</v>
      </c>
      <c r="P2064" s="7">
        <v>43271</v>
      </c>
      <c r="Q2064" s="6">
        <v>5</v>
      </c>
      <c r="R2064" s="6">
        <v>29</v>
      </c>
      <c r="S2064" s="6">
        <v>180103</v>
      </c>
      <c r="T2064" s="6" t="str">
        <f>INDEX(医院2县区2人!$D$2:$D$1048576,MATCH(L2064,医院2县区2人!$A$2:$A$1048576,0))</f>
        <v>201602151421097</v>
      </c>
      <c r="W2064" s="6" t="str">
        <f t="shared" si="67"/>
        <v>新盖中盖牌高钙片2.5g*36片</v>
      </c>
      <c r="X2064" s="6" t="s">
        <v>2871</v>
      </c>
    </row>
    <row r="2065" spans="1:24" x14ac:dyDescent="0.15">
      <c r="A2065" s="7" t="str">
        <f t="shared" si="68"/>
        <v>201806</v>
      </c>
      <c r="C2065" s="6" t="str">
        <f>INDEX(工厂基础数据!$A$2:$A$1024,MATCH(X2065,工厂基础数据!$D$2:$D$1024,0))</f>
        <v>02031912</v>
      </c>
      <c r="E2065" s="6" t="str">
        <f>INDEX(工厂基础数据!$B$2:$B$1024,MATCH(X2065,工厂基础数据!$D$2:$D$1024,0))</f>
        <v>滨州弘德药业有限公司</v>
      </c>
      <c r="F2065" s="6">
        <f>INDEX(商业2转码!$B$2:$B$10000,MATCH(E2065,商业2转码!$A$2:$A$10000,0))</f>
        <v>0</v>
      </c>
      <c r="G2065" s="6" t="str">
        <f>INDEX(品种2编码!$A$2:$A$1048576,MATCH(W2065,品种2编码!$D$2:$D$1048576,0))</f>
        <v>0020020030ZYZC0289</v>
      </c>
      <c r="H2065" s="6" t="s">
        <v>245</v>
      </c>
      <c r="I2065" s="6" t="s">
        <v>1952</v>
      </c>
      <c r="J2065" s="6" t="s">
        <v>3038</v>
      </c>
      <c r="L2065" s="6" t="s">
        <v>2423</v>
      </c>
      <c r="M2065" s="6">
        <f>INDEX(医院2县区2人!$B$2:$B$1048576,MATCH(L2065,医院2县区2人!$A$2:$A$1048576,0))</f>
        <v>4</v>
      </c>
      <c r="N2065" s="6" t="str">
        <f>INDEX(医院2县区2人!$C$2:$C$1048576,MATCH(L2065,医院2县区2人!$A$2:$A$1048576,0))</f>
        <v>1859</v>
      </c>
      <c r="P2065" s="7">
        <v>43271</v>
      </c>
      <c r="Q2065" s="6">
        <v>200</v>
      </c>
      <c r="R2065" s="6">
        <v>13</v>
      </c>
      <c r="S2065" s="6">
        <v>1805009</v>
      </c>
      <c r="T2065" s="6" t="str">
        <f>INDEX(医院2县区2人!$D$2:$D$1048576,MATCH(L2065,医院2县区2人!$A$2:$A$1048576,0))</f>
        <v>201602151421097</v>
      </c>
      <c r="W2065" s="6" t="str">
        <f t="shared" si="67"/>
        <v>阿莫西林胶囊0.5g*36粒</v>
      </c>
      <c r="X2065" s="6" t="s">
        <v>2871</v>
      </c>
    </row>
    <row r="2066" spans="1:24" x14ac:dyDescent="0.15">
      <c r="A2066" s="7" t="str">
        <f t="shared" si="68"/>
        <v>201806</v>
      </c>
      <c r="C2066" s="6" t="str">
        <f>INDEX(工厂基础数据!$A$2:$A$1024,MATCH(X2066,工厂基础数据!$D$2:$D$1024,0))</f>
        <v>02031912</v>
      </c>
      <c r="E2066" s="6" t="str">
        <f>INDEX(工厂基础数据!$B$2:$B$1024,MATCH(X2066,工厂基础数据!$D$2:$D$1024,0))</f>
        <v>滨州弘德药业有限公司</v>
      </c>
      <c r="F2066" s="6">
        <f>INDEX(商业2转码!$B$2:$B$10000,MATCH(E2066,商业2转码!$A$2:$A$10000,0))</f>
        <v>0</v>
      </c>
      <c r="G2066" s="6" t="str">
        <f>INDEX(品种2编码!$A$2:$A$1048576,MATCH(W2066,品种2编码!$D$2:$D$1048576,0))</f>
        <v>0020030001SJZY0006</v>
      </c>
      <c r="H2066" s="6" t="s">
        <v>1833</v>
      </c>
      <c r="I2066" s="6" t="s">
        <v>411</v>
      </c>
      <c r="J2066" s="6" t="s">
        <v>3040</v>
      </c>
      <c r="L2066" s="6" t="s">
        <v>2393</v>
      </c>
      <c r="M2066" s="6">
        <f>INDEX(医院2县区2人!$B$2:$B$1048576,MATCH(L2066,医院2县区2人!$A$2:$A$1048576,0))</f>
        <v>2</v>
      </c>
      <c r="N2066" s="6" t="str">
        <f>INDEX(医院2县区2人!$C$2:$C$1048576,MATCH(L2066,医院2县区2人!$A$2:$A$1048576,0))</f>
        <v>1854</v>
      </c>
      <c r="P2066" s="7">
        <v>43271</v>
      </c>
      <c r="Q2066" s="6">
        <v>1</v>
      </c>
      <c r="R2066" s="6">
        <v>25</v>
      </c>
      <c r="S2066" s="6">
        <v>17090722</v>
      </c>
      <c r="T2066" s="6" t="str">
        <f>INDEX(医院2县区2人!$D$2:$D$1048576,MATCH(L2066,医院2县区2人!$A$2:$A$1048576,0))</f>
        <v>201602151421097</v>
      </c>
      <c r="W2066" s="6" t="str">
        <f t="shared" si="67"/>
        <v>葡萄糖酸钙口服溶液10ml*12支</v>
      </c>
      <c r="X2066" s="6" t="s">
        <v>2871</v>
      </c>
    </row>
    <row r="2067" spans="1:24" x14ac:dyDescent="0.15">
      <c r="A2067" s="7" t="str">
        <f t="shared" si="68"/>
        <v>201806</v>
      </c>
      <c r="C2067" s="6" t="str">
        <f>INDEX(工厂基础数据!$A$2:$A$1024,MATCH(X2067,工厂基础数据!$D$2:$D$1024,0))</f>
        <v>02031912</v>
      </c>
      <c r="E2067" s="6" t="str">
        <f>INDEX(工厂基础数据!$B$2:$B$1024,MATCH(X2067,工厂基础数据!$D$2:$D$1024,0))</f>
        <v>滨州弘德药业有限公司</v>
      </c>
      <c r="F2067" s="6">
        <f>INDEX(商业2转码!$B$2:$B$10000,MATCH(E2067,商业2转码!$A$2:$A$10000,0))</f>
        <v>0</v>
      </c>
      <c r="G2067" s="6" t="str">
        <f>INDEX(品种2编码!$A$2:$A$1048576,MATCH(W2067,品种2编码!$D$2:$D$1048576,0))</f>
        <v>0020020021ZYLC0004</v>
      </c>
      <c r="H2067" s="6" t="s">
        <v>1950</v>
      </c>
      <c r="I2067" s="6" t="s">
        <v>1869</v>
      </c>
      <c r="J2067" s="6" t="s">
        <v>3036</v>
      </c>
      <c r="L2067" s="6" t="s">
        <v>2281</v>
      </c>
      <c r="M2067" s="6">
        <f>INDEX(医院2县区2人!$B$2:$B$1048576,MATCH(L2067,医院2县区2人!$A$2:$A$1048576,0))</f>
        <v>2</v>
      </c>
      <c r="N2067" s="6" t="str">
        <f>INDEX(医院2县区2人!$C$2:$C$1048576,MATCH(L2067,医院2县区2人!$A$2:$A$1048576,0))</f>
        <v>1853</v>
      </c>
      <c r="P2067" s="7">
        <v>43272</v>
      </c>
      <c r="Q2067" s="6">
        <v>1</v>
      </c>
      <c r="R2067" s="6">
        <v>8</v>
      </c>
      <c r="S2067" s="6">
        <v>180201</v>
      </c>
      <c r="T2067" s="6" t="str">
        <f>INDEX(医院2县区2人!$D$2:$D$1048576,MATCH(L2067,医院2县区2人!$A$2:$A$1048576,0))</f>
        <v>201602151421097</v>
      </c>
      <c r="W2067" s="6" t="str">
        <f t="shared" si="67"/>
        <v>罗红霉素分散片75mg*12片</v>
      </c>
      <c r="X2067" s="6" t="s">
        <v>2871</v>
      </c>
    </row>
    <row r="2068" spans="1:24" x14ac:dyDescent="0.15">
      <c r="A2068" s="7" t="str">
        <f t="shared" si="68"/>
        <v>201806</v>
      </c>
      <c r="C2068" s="6" t="str">
        <f>INDEX(工厂基础数据!$A$2:$A$1024,MATCH(X2068,工厂基础数据!$D$2:$D$1024,0))</f>
        <v>02031912</v>
      </c>
      <c r="E2068" s="6" t="str">
        <f>INDEX(工厂基础数据!$B$2:$B$1024,MATCH(X2068,工厂基础数据!$D$2:$D$1024,0))</f>
        <v>滨州弘德药业有限公司</v>
      </c>
      <c r="F2068" s="6">
        <f>INDEX(商业2转码!$B$2:$B$10000,MATCH(E2068,商业2转码!$A$2:$A$10000,0))</f>
        <v>0</v>
      </c>
      <c r="G2068" s="6" t="str">
        <f>INDEX(品种2编码!$A$2:$A$1048576,MATCH(W2068,品种2编码!$D$2:$D$1048576,0))</f>
        <v>0020070000ZYLC0003</v>
      </c>
      <c r="H2068" s="6" t="s">
        <v>722</v>
      </c>
      <c r="I2068" s="6" t="s">
        <v>1955</v>
      </c>
      <c r="J2068" s="6" t="s">
        <v>3036</v>
      </c>
      <c r="L2068" s="6" t="s">
        <v>3467</v>
      </c>
      <c r="M2068" s="6" t="e">
        <f>INDEX(医院2县区2人!$B$2:$B$1048576,MATCH(L2068,医院2县区2人!$A$2:$A$1048576,0))</f>
        <v>#N/A</v>
      </c>
      <c r="N2068" s="6" t="e">
        <f>INDEX(医院2县区2人!$C$2:$C$1048576,MATCH(L2068,医院2县区2人!$A$2:$A$1048576,0))</f>
        <v>#N/A</v>
      </c>
      <c r="P2068" s="7">
        <v>43272</v>
      </c>
      <c r="Q2068" s="6">
        <v>2</v>
      </c>
      <c r="R2068" s="6">
        <v>24</v>
      </c>
      <c r="S2068" s="6">
        <v>180107</v>
      </c>
      <c r="T2068" s="6" t="e">
        <f>INDEX(医院2县区2人!$D$2:$D$1048576,MATCH(L2068,医院2县区2人!$A$2:$A$1048576,0))</f>
        <v>#N/A</v>
      </c>
      <c r="W2068" s="6" t="str">
        <f t="shared" si="67"/>
        <v>新盖中盖牌儿童钙片36片</v>
      </c>
      <c r="X2068" s="6" t="s">
        <v>2871</v>
      </c>
    </row>
    <row r="2069" spans="1:24" x14ac:dyDescent="0.15">
      <c r="A2069" s="7" t="str">
        <f t="shared" si="68"/>
        <v>201806</v>
      </c>
      <c r="C2069" s="6" t="str">
        <f>INDEX(工厂基础数据!$A$2:$A$1024,MATCH(X2069,工厂基础数据!$D$2:$D$1024,0))</f>
        <v>02031912</v>
      </c>
      <c r="E2069" s="6" t="str">
        <f>INDEX(工厂基础数据!$B$2:$B$1024,MATCH(X2069,工厂基础数据!$D$2:$D$1024,0))</f>
        <v>滨州弘德药业有限公司</v>
      </c>
      <c r="F2069" s="6">
        <f>INDEX(商业2转码!$B$2:$B$10000,MATCH(E2069,商业2转码!$A$2:$A$10000,0))</f>
        <v>0</v>
      </c>
      <c r="G2069" s="6" t="str">
        <f>INDEX(品种2编码!$A$2:$A$1048576,MATCH(W2069,品种2编码!$D$2:$D$1048576,0))</f>
        <v>0020030020ZYLC0010</v>
      </c>
      <c r="H2069" s="6" t="s">
        <v>591</v>
      </c>
      <c r="I2069" s="6" t="s">
        <v>1948</v>
      </c>
      <c r="J2069" s="6" t="s">
        <v>3036</v>
      </c>
      <c r="L2069" s="6" t="s">
        <v>2455</v>
      </c>
      <c r="M2069" s="6">
        <f>INDEX(医院2县区2人!$B$2:$B$1048576,MATCH(L2069,医院2县区2人!$A$2:$A$1048576,0))</f>
        <v>2</v>
      </c>
      <c r="N2069" s="6" t="str">
        <f>INDEX(医院2县区2人!$C$2:$C$1048576,MATCH(L2069,医院2县区2人!$A$2:$A$1048576,0))</f>
        <v>1854</v>
      </c>
      <c r="P2069" s="7">
        <v>43272</v>
      </c>
      <c r="Q2069" s="6">
        <v>100</v>
      </c>
      <c r="R2069" s="6">
        <v>3.7</v>
      </c>
      <c r="S2069" s="6">
        <v>180136</v>
      </c>
      <c r="T2069" s="6" t="str">
        <f>INDEX(医院2县区2人!$D$2:$D$1048576,MATCH(L2069,医院2县区2人!$A$2:$A$1048576,0))</f>
        <v>201602151421097</v>
      </c>
      <c r="W2069" s="6" t="str">
        <f t="shared" si="67"/>
        <v>乳酸菌素片0.4g*36片/小包</v>
      </c>
      <c r="X2069" s="6" t="s">
        <v>2871</v>
      </c>
    </row>
    <row r="2070" spans="1:24" x14ac:dyDescent="0.15">
      <c r="A2070" s="7" t="str">
        <f t="shared" si="68"/>
        <v>201806</v>
      </c>
      <c r="C2070" s="6" t="str">
        <f>INDEX(工厂基础数据!$A$2:$A$1024,MATCH(X2070,工厂基础数据!$D$2:$D$1024,0))</f>
        <v>02031912</v>
      </c>
      <c r="E2070" s="6" t="str">
        <f>INDEX(工厂基础数据!$B$2:$B$1024,MATCH(X2070,工厂基础数据!$D$2:$D$1024,0))</f>
        <v>滨州弘德药业有限公司</v>
      </c>
      <c r="F2070" s="6">
        <f>INDEX(商业2转码!$B$2:$B$10000,MATCH(E2070,商业2转码!$A$2:$A$10000,0))</f>
        <v>0</v>
      </c>
      <c r="G2070" s="6" t="str">
        <f>INDEX(品种2编码!$A$2:$A$1048576,MATCH(W2070,品种2编码!$D$2:$D$1048576,0))</f>
        <v>0020030001SJZY0006</v>
      </c>
      <c r="H2070" s="6" t="s">
        <v>1833</v>
      </c>
      <c r="I2070" s="6" t="s">
        <v>411</v>
      </c>
      <c r="J2070" s="6" t="s">
        <v>3040</v>
      </c>
      <c r="L2070" s="6" t="s">
        <v>2281</v>
      </c>
      <c r="M2070" s="6">
        <f>INDEX(医院2县区2人!$B$2:$B$1048576,MATCH(L2070,医院2县区2人!$A$2:$A$1048576,0))</f>
        <v>2</v>
      </c>
      <c r="N2070" s="6" t="str">
        <f>INDEX(医院2县区2人!$C$2:$C$1048576,MATCH(L2070,医院2县区2人!$A$2:$A$1048576,0))</f>
        <v>1853</v>
      </c>
      <c r="P2070" s="7">
        <v>43272</v>
      </c>
      <c r="Q2070" s="6">
        <v>20</v>
      </c>
      <c r="R2070" s="6">
        <v>25</v>
      </c>
      <c r="S2070" s="6">
        <v>17090722</v>
      </c>
      <c r="T2070" s="6" t="str">
        <f>INDEX(医院2县区2人!$D$2:$D$1048576,MATCH(L2070,医院2县区2人!$A$2:$A$1048576,0))</f>
        <v>201602151421097</v>
      </c>
      <c r="W2070" s="6" t="str">
        <f t="shared" si="67"/>
        <v>葡萄糖酸钙口服溶液10ml*12支</v>
      </c>
      <c r="X2070" s="6" t="s">
        <v>2871</v>
      </c>
    </row>
    <row r="2071" spans="1:24" x14ac:dyDescent="0.15">
      <c r="A2071" s="7" t="str">
        <f t="shared" si="68"/>
        <v>201806</v>
      </c>
      <c r="C2071" s="6" t="str">
        <f>INDEX(工厂基础数据!$A$2:$A$1024,MATCH(X2071,工厂基础数据!$D$2:$D$1024,0))</f>
        <v>02031912</v>
      </c>
      <c r="E2071" s="6" t="str">
        <f>INDEX(工厂基础数据!$B$2:$B$1024,MATCH(X2071,工厂基础数据!$D$2:$D$1024,0))</f>
        <v>滨州弘德药业有限公司</v>
      </c>
      <c r="F2071" s="6">
        <f>INDEX(商业2转码!$B$2:$B$10000,MATCH(E2071,商业2转码!$A$2:$A$10000,0))</f>
        <v>0</v>
      </c>
      <c r="G2071" s="6" t="str">
        <f>INDEX(品种2编码!$A$2:$A$1048576,MATCH(W2071,品种2编码!$D$2:$D$1048576,0))</f>
        <v>0020070000ZYLC0052</v>
      </c>
      <c r="H2071" s="6" t="s">
        <v>1844</v>
      </c>
      <c r="I2071" s="6" t="s">
        <v>411</v>
      </c>
      <c r="J2071" s="6" t="s">
        <v>3036</v>
      </c>
      <c r="L2071" s="6" t="s">
        <v>3469</v>
      </c>
      <c r="M2071" s="6" t="e">
        <f>INDEX(医院2县区2人!$B$2:$B$1048576,MATCH(L2071,医院2县区2人!$A$2:$A$1048576,0))</f>
        <v>#N/A</v>
      </c>
      <c r="N2071" s="6" t="e">
        <f>INDEX(医院2县区2人!$C$2:$C$1048576,MATCH(L2071,医院2县区2人!$A$2:$A$1048576,0))</f>
        <v>#N/A</v>
      </c>
      <c r="P2071" s="7">
        <v>43272</v>
      </c>
      <c r="Q2071" s="6">
        <v>10</v>
      </c>
      <c r="R2071" s="6">
        <v>17</v>
      </c>
      <c r="S2071" s="6">
        <v>170801</v>
      </c>
      <c r="T2071" s="6" t="e">
        <f>INDEX(医院2县区2人!$D$2:$D$1048576,MATCH(L2071,医院2县区2人!$A$2:$A$1048576,0))</f>
        <v>#N/A</v>
      </c>
      <c r="W2071" s="6" t="str">
        <f t="shared" si="67"/>
        <v>哈药六牌钙加锌口服液10ml*12支</v>
      </c>
      <c r="X2071" s="6" t="s">
        <v>2871</v>
      </c>
    </row>
    <row r="2072" spans="1:24" x14ac:dyDescent="0.15">
      <c r="A2072" s="7" t="str">
        <f t="shared" si="68"/>
        <v>201806</v>
      </c>
      <c r="C2072" s="6" t="str">
        <f>INDEX(工厂基础数据!$A$2:$A$1024,MATCH(X2072,工厂基础数据!$D$2:$D$1024,0))</f>
        <v>02031912</v>
      </c>
      <c r="E2072" s="6" t="str">
        <f>INDEX(工厂基础数据!$B$2:$B$1024,MATCH(X2072,工厂基础数据!$D$2:$D$1024,0))</f>
        <v>滨州弘德药业有限公司</v>
      </c>
      <c r="F2072" s="6">
        <f>INDEX(商业2转码!$B$2:$B$10000,MATCH(E2072,商业2转码!$A$2:$A$10000,0))</f>
        <v>0</v>
      </c>
      <c r="G2072" s="6" t="str">
        <f>INDEX(品种2编码!$A$2:$A$1048576,MATCH(W2072,品种2编码!$D$2:$D$1048576,0))</f>
        <v>0020030040SHYT0010</v>
      </c>
      <c r="H2072" s="6" t="s">
        <v>317</v>
      </c>
      <c r="I2072" s="6" t="s">
        <v>1848</v>
      </c>
      <c r="J2072" s="6" t="s">
        <v>3037</v>
      </c>
      <c r="L2072" s="6" t="s">
        <v>2448</v>
      </c>
      <c r="M2072" s="6">
        <f>INDEX(医院2县区2人!$B$2:$B$1048576,MATCH(L2072,医院2县区2人!$A$2:$A$1048576,0))</f>
        <v>1</v>
      </c>
      <c r="N2072" s="6" t="str">
        <f>INDEX(医院2县区2人!$C$2:$C$1048576,MATCH(L2072,医院2县区2人!$A$2:$A$1048576,0))</f>
        <v>1858</v>
      </c>
      <c r="P2072" s="7">
        <v>43272</v>
      </c>
      <c r="Q2072" s="6">
        <v>10</v>
      </c>
      <c r="R2072" s="6">
        <v>12.6</v>
      </c>
      <c r="S2072" s="6">
        <v>1611616</v>
      </c>
      <c r="T2072" s="6" t="str">
        <f>INDEX(医院2县区2人!$D$2:$D$1048576,MATCH(L2072,医院2县区2人!$A$2:$A$1048576,0))</f>
        <v>201602151421097</v>
      </c>
      <c r="W2072" s="6" t="str">
        <f t="shared" si="67"/>
        <v>布洛芬颗粒0.2g*12袋</v>
      </c>
      <c r="X2072" s="6" t="s">
        <v>2871</v>
      </c>
    </row>
    <row r="2073" spans="1:24" x14ac:dyDescent="0.15">
      <c r="A2073" s="7" t="str">
        <f t="shared" si="68"/>
        <v>201806</v>
      </c>
      <c r="C2073" s="6" t="str">
        <f>INDEX(工厂基础数据!$A$2:$A$1024,MATCH(X2073,工厂基础数据!$D$2:$D$1024,0))</f>
        <v>02031912</v>
      </c>
      <c r="E2073" s="6" t="str">
        <f>INDEX(工厂基础数据!$B$2:$B$1024,MATCH(X2073,工厂基础数据!$D$2:$D$1024,0))</f>
        <v>滨州弘德药业有限公司</v>
      </c>
      <c r="F2073" s="6">
        <f>INDEX(商业2转码!$B$2:$B$10000,MATCH(E2073,商业2转码!$A$2:$A$10000,0))</f>
        <v>0</v>
      </c>
      <c r="G2073" s="6" t="str">
        <f>INDEX(品种2编码!$A$2:$A$1048576,MATCH(W2073,品种2编码!$D$2:$D$1048576,0))</f>
        <v>0020030020SJSC0004</v>
      </c>
      <c r="H2073" s="6" t="s">
        <v>394</v>
      </c>
      <c r="I2073" s="6" t="s">
        <v>1871</v>
      </c>
      <c r="J2073" s="6" t="s">
        <v>3045</v>
      </c>
      <c r="L2073" s="6" t="s">
        <v>2420</v>
      </c>
      <c r="M2073" s="6">
        <f>INDEX(医院2县区2人!$B$2:$B$1048576,MATCH(L2073,医院2县区2人!$A$2:$A$1048576,0))</f>
        <v>2</v>
      </c>
      <c r="N2073" s="6" t="str">
        <f>INDEX(医院2县区2人!$C$2:$C$1048576,MATCH(L2073,医院2县区2人!$A$2:$A$1048576,0))</f>
        <v>1853</v>
      </c>
      <c r="P2073" s="7">
        <v>43272</v>
      </c>
      <c r="Q2073" s="6">
        <v>3</v>
      </c>
      <c r="R2073" s="6">
        <v>12.5</v>
      </c>
      <c r="S2073" s="6">
        <v>1712032</v>
      </c>
      <c r="T2073" s="6" t="str">
        <f>INDEX(医院2县区2人!$D$2:$D$1048576,MATCH(L2073,医院2县区2人!$A$2:$A$1048576,0))</f>
        <v>201602151421097</v>
      </c>
      <c r="W2073" s="6" t="str">
        <f t="shared" si="67"/>
        <v>复方铝酸铋片50片</v>
      </c>
      <c r="X2073" s="6" t="s">
        <v>2871</v>
      </c>
    </row>
    <row r="2074" spans="1:24" x14ac:dyDescent="0.15">
      <c r="A2074" s="7" t="str">
        <f t="shared" si="68"/>
        <v>201806</v>
      </c>
      <c r="C2074" s="6" t="str">
        <f>INDEX(工厂基础数据!$A$2:$A$1024,MATCH(X2074,工厂基础数据!$D$2:$D$1024,0))</f>
        <v>02031912</v>
      </c>
      <c r="E2074" s="6" t="str">
        <f>INDEX(工厂基础数据!$B$2:$B$1024,MATCH(X2074,工厂基础数据!$D$2:$D$1024,0))</f>
        <v>滨州弘德药业有限公司</v>
      </c>
      <c r="F2074" s="6">
        <f>INDEX(商业2转码!$B$2:$B$10000,MATCH(E2074,商业2转码!$A$2:$A$10000,0))</f>
        <v>0</v>
      </c>
      <c r="G2074" s="6" t="str">
        <f>INDEX(品种2编码!$A$2:$A$1048576,MATCH(W2074,品种2编码!$D$2:$D$1048576,0))</f>
        <v>0020030001SJZY0006</v>
      </c>
      <c r="H2074" s="6" t="s">
        <v>1833</v>
      </c>
      <c r="I2074" s="6" t="s">
        <v>411</v>
      </c>
      <c r="J2074" s="6" t="s">
        <v>3040</v>
      </c>
      <c r="L2074" s="6" t="s">
        <v>2213</v>
      </c>
      <c r="M2074" s="6">
        <f>INDEX(医院2县区2人!$B$2:$B$1048576,MATCH(L2074,医院2县区2人!$A$2:$A$1048576,0))</f>
        <v>4</v>
      </c>
      <c r="N2074" s="6" t="str">
        <f>INDEX(医院2县区2人!$C$2:$C$1048576,MATCH(L2074,医院2县区2人!$A$2:$A$1048576,0))</f>
        <v>1857</v>
      </c>
      <c r="P2074" s="7">
        <v>43272</v>
      </c>
      <c r="Q2074" s="6">
        <v>10</v>
      </c>
      <c r="R2074" s="6">
        <v>25</v>
      </c>
      <c r="S2074" s="6">
        <v>17090722</v>
      </c>
      <c r="T2074" s="6" t="str">
        <f>INDEX(医院2县区2人!$D$2:$D$1048576,MATCH(L2074,医院2县区2人!$A$2:$A$1048576,0))</f>
        <v>201602151421097</v>
      </c>
      <c r="W2074" s="6" t="str">
        <f t="shared" si="67"/>
        <v>葡萄糖酸钙口服溶液10ml*12支</v>
      </c>
      <c r="X2074" s="6" t="s">
        <v>2871</v>
      </c>
    </row>
    <row r="2075" spans="1:24" x14ac:dyDescent="0.15">
      <c r="A2075" s="7" t="str">
        <f t="shared" si="68"/>
        <v>201806</v>
      </c>
      <c r="C2075" s="6" t="str">
        <f>INDEX(工厂基础数据!$A$2:$A$1024,MATCH(X2075,工厂基础数据!$D$2:$D$1024,0))</f>
        <v>02031912</v>
      </c>
      <c r="E2075" s="6" t="str">
        <f>INDEX(工厂基础数据!$B$2:$B$1024,MATCH(X2075,工厂基础数据!$D$2:$D$1024,0))</f>
        <v>滨州弘德药业有限公司</v>
      </c>
      <c r="F2075" s="6">
        <f>INDEX(商业2转码!$B$2:$B$10000,MATCH(E2075,商业2转码!$A$2:$A$10000,0))</f>
        <v>0</v>
      </c>
      <c r="G2075" s="6" t="str">
        <f>INDEX(品种2编码!$A$2:$A$1048576,MATCH(W2075,品种2编码!$D$2:$D$1048576,0))</f>
        <v>0020070001ZYZC0383</v>
      </c>
      <c r="H2075" s="6" t="s">
        <v>1849</v>
      </c>
      <c r="I2075" s="6" t="s">
        <v>1850</v>
      </c>
      <c r="J2075" s="6" t="s">
        <v>3038</v>
      </c>
      <c r="L2075" s="6" t="s">
        <v>2263</v>
      </c>
      <c r="M2075" s="6">
        <f>INDEX(医院2县区2人!$B$2:$B$1048576,MATCH(L2075,医院2县区2人!$A$2:$A$1048576,0))</f>
        <v>1</v>
      </c>
      <c r="N2075" s="6" t="str">
        <f>INDEX(医院2县区2人!$C$2:$C$1048576,MATCH(L2075,医院2县区2人!$A$2:$A$1048576,0))</f>
        <v>1858</v>
      </c>
      <c r="P2075" s="7">
        <v>43272</v>
      </c>
      <c r="Q2075" s="6">
        <v>25</v>
      </c>
      <c r="R2075" s="6">
        <v>15</v>
      </c>
      <c r="S2075" s="6">
        <v>1802005</v>
      </c>
      <c r="T2075" s="6" t="str">
        <f>INDEX(医院2县区2人!$D$2:$D$1048576,MATCH(L2075,医院2县区2人!$A$2:$A$1048576,0))</f>
        <v>201602151421097</v>
      </c>
      <c r="W2075" s="6" t="str">
        <f t="shared" si="67"/>
        <v>哈药牌钙铁锌口服液10ml*10支</v>
      </c>
      <c r="X2075" s="6" t="s">
        <v>2871</v>
      </c>
    </row>
    <row r="2076" spans="1:24" x14ac:dyDescent="0.15">
      <c r="A2076" s="7" t="str">
        <f t="shared" si="68"/>
        <v>201806</v>
      </c>
      <c r="C2076" s="6" t="str">
        <f>INDEX(工厂基础数据!$A$2:$A$1024,MATCH(X2076,工厂基础数据!$D$2:$D$1024,0))</f>
        <v>02031912</v>
      </c>
      <c r="E2076" s="6" t="str">
        <f>INDEX(工厂基础数据!$B$2:$B$1024,MATCH(X2076,工厂基础数据!$D$2:$D$1024,0))</f>
        <v>滨州弘德药业有限公司</v>
      </c>
      <c r="F2076" s="6">
        <f>INDEX(商业2转码!$B$2:$B$10000,MATCH(E2076,商业2转码!$A$2:$A$10000,0))</f>
        <v>0</v>
      </c>
      <c r="G2076" s="6" t="str">
        <f>INDEX(品种2编码!$A$2:$A$1048576,MATCH(W2076,品种2编码!$D$2:$D$1048576,0))</f>
        <v>0020030020ZYLC0010</v>
      </c>
      <c r="H2076" s="6" t="s">
        <v>591</v>
      </c>
      <c r="I2076" s="6" t="s">
        <v>1948</v>
      </c>
      <c r="J2076" s="6" t="s">
        <v>3036</v>
      </c>
      <c r="L2076" s="6" t="s">
        <v>2279</v>
      </c>
      <c r="M2076" s="6">
        <f>INDEX(医院2县区2人!$B$2:$B$1048576,MATCH(L2076,医院2县区2人!$A$2:$A$1048576,0))</f>
        <v>4</v>
      </c>
      <c r="N2076" s="6" t="str">
        <f>INDEX(医院2县区2人!$C$2:$C$1048576,MATCH(L2076,医院2县区2人!$A$2:$A$1048576,0))</f>
        <v>1855</v>
      </c>
      <c r="P2076" s="7">
        <v>43273</v>
      </c>
      <c r="Q2076" s="6">
        <v>200</v>
      </c>
      <c r="R2076" s="6">
        <v>3.7</v>
      </c>
      <c r="S2076" s="6">
        <v>180136</v>
      </c>
      <c r="T2076" s="6" t="str">
        <f>INDEX(医院2县区2人!$D$2:$D$1048576,MATCH(L2076,医院2县区2人!$A$2:$A$1048576,0))</f>
        <v>201602151421097</v>
      </c>
      <c r="W2076" s="6" t="str">
        <f t="shared" si="67"/>
        <v>乳酸菌素片0.4g*36片/小包</v>
      </c>
      <c r="X2076" s="6" t="s">
        <v>2871</v>
      </c>
    </row>
    <row r="2077" spans="1:24" x14ac:dyDescent="0.15">
      <c r="A2077" s="7" t="str">
        <f t="shared" si="68"/>
        <v>201806</v>
      </c>
      <c r="C2077" s="6" t="str">
        <f>INDEX(工厂基础数据!$A$2:$A$1024,MATCH(X2077,工厂基础数据!$D$2:$D$1024,0))</f>
        <v>02031912</v>
      </c>
      <c r="E2077" s="6" t="str">
        <f>INDEX(工厂基础数据!$B$2:$B$1024,MATCH(X2077,工厂基础数据!$D$2:$D$1024,0))</f>
        <v>滨州弘德药业有限公司</v>
      </c>
      <c r="F2077" s="6">
        <f>INDEX(商业2转码!$B$2:$B$10000,MATCH(E2077,商业2转码!$A$2:$A$10000,0))</f>
        <v>0</v>
      </c>
      <c r="G2077" s="6" t="str">
        <f>INDEX(品种2编码!$A$2:$A$1048576,MATCH(W2077,品种2编码!$D$2:$D$1048576,0))</f>
        <v>0020020020ZYLC0003</v>
      </c>
      <c r="H2077" s="6" t="s">
        <v>1855</v>
      </c>
      <c r="I2077" s="6" t="s">
        <v>381</v>
      </c>
      <c r="J2077" s="6" t="s">
        <v>3036</v>
      </c>
      <c r="L2077" s="6" t="s">
        <v>3467</v>
      </c>
      <c r="M2077" s="6" t="e">
        <f>INDEX(医院2县区2人!$B$2:$B$1048576,MATCH(L2077,医院2县区2人!$A$2:$A$1048576,0))</f>
        <v>#N/A</v>
      </c>
      <c r="N2077" s="6" t="e">
        <f>INDEX(医院2县区2人!$C$2:$C$1048576,MATCH(L2077,医院2县区2人!$A$2:$A$1048576,0))</f>
        <v>#N/A</v>
      </c>
      <c r="P2077" s="7">
        <v>43273</v>
      </c>
      <c r="Q2077" s="6">
        <v>10</v>
      </c>
      <c r="R2077" s="6">
        <v>9</v>
      </c>
      <c r="S2077" s="6">
        <v>161002</v>
      </c>
      <c r="T2077" s="6" t="e">
        <f>INDEX(医院2县区2人!$D$2:$D$1048576,MATCH(L2077,医院2县区2人!$A$2:$A$1048576,0))</f>
        <v>#N/A</v>
      </c>
      <c r="W2077" s="6" t="str">
        <f t="shared" si="67"/>
        <v>颠茄磺苄啶片12片</v>
      </c>
      <c r="X2077" s="6" t="s">
        <v>2871</v>
      </c>
    </row>
    <row r="2078" spans="1:24" x14ac:dyDescent="0.15">
      <c r="A2078" s="7" t="str">
        <f t="shared" si="68"/>
        <v>201806</v>
      </c>
      <c r="C2078" s="6" t="str">
        <f>INDEX(工厂基础数据!$A$2:$A$1024,MATCH(X2078,工厂基础数据!$D$2:$D$1024,0))</f>
        <v>02031912</v>
      </c>
      <c r="E2078" s="6" t="str">
        <f>INDEX(工厂基础数据!$B$2:$B$1024,MATCH(X2078,工厂基础数据!$D$2:$D$1024,0))</f>
        <v>滨州弘德药业有限公司</v>
      </c>
      <c r="F2078" s="6">
        <f>INDEX(商业2转码!$B$2:$B$10000,MATCH(E2078,商业2转码!$A$2:$A$10000,0))</f>
        <v>0</v>
      </c>
      <c r="G2078" s="6" t="str">
        <f>INDEX(品种2编码!$A$2:$A$1048576,MATCH(W2078,品种2编码!$D$2:$D$1048576,0))</f>
        <v>0020030040SJET0003</v>
      </c>
      <c r="H2078" s="6" t="s">
        <v>306</v>
      </c>
      <c r="I2078" s="6" t="s">
        <v>1874</v>
      </c>
      <c r="J2078" s="6" t="s">
        <v>3458</v>
      </c>
      <c r="L2078" s="6" t="s">
        <v>2423</v>
      </c>
      <c r="M2078" s="6">
        <f>INDEX(医院2县区2人!$B$2:$B$1048576,MATCH(L2078,医院2县区2人!$A$2:$A$1048576,0))</f>
        <v>4</v>
      </c>
      <c r="N2078" s="6" t="str">
        <f>INDEX(医院2县区2人!$C$2:$C$1048576,MATCH(L2078,医院2县区2人!$A$2:$A$1048576,0))</f>
        <v>1859</v>
      </c>
      <c r="P2078" s="7">
        <v>43273</v>
      </c>
      <c r="Q2078" s="6">
        <v>120</v>
      </c>
      <c r="R2078" s="6">
        <v>9</v>
      </c>
      <c r="S2078" s="6">
        <v>180204</v>
      </c>
      <c r="T2078" s="6" t="str">
        <f>INDEX(医院2县区2人!$D$2:$D$1048576,MATCH(L2078,医院2县区2人!$A$2:$A$1048576,0))</f>
        <v>201602151421097</v>
      </c>
      <c r="W2078" s="6" t="str">
        <f t="shared" si="67"/>
        <v>氨金黄敏颗粒6g*10袋</v>
      </c>
      <c r="X2078" s="6" t="s">
        <v>2871</v>
      </c>
    </row>
    <row r="2079" spans="1:24" x14ac:dyDescent="0.15">
      <c r="A2079" s="7" t="str">
        <f t="shared" si="68"/>
        <v>201806</v>
      </c>
      <c r="C2079" s="6" t="str">
        <f>INDEX(工厂基础数据!$A$2:$A$1024,MATCH(X2079,工厂基础数据!$D$2:$D$1024,0))</f>
        <v>02031912</v>
      </c>
      <c r="E2079" s="6" t="str">
        <f>INDEX(工厂基础数据!$B$2:$B$1024,MATCH(X2079,工厂基础数据!$D$2:$D$1024,0))</f>
        <v>滨州弘德药业有限公司</v>
      </c>
      <c r="F2079" s="6">
        <f>INDEX(商业2转码!$B$2:$B$10000,MATCH(E2079,商业2转码!$A$2:$A$10000,0))</f>
        <v>0</v>
      </c>
      <c r="G2079" s="6" t="str">
        <f>INDEX(品种2编码!$A$2:$A$1048576,MATCH(W2079,品种2编码!$D$2:$D$1048576,0))</f>
        <v>0020030001SJZY0006</v>
      </c>
      <c r="H2079" s="6" t="s">
        <v>1833</v>
      </c>
      <c r="I2079" s="6" t="s">
        <v>411</v>
      </c>
      <c r="J2079" s="6" t="s">
        <v>3040</v>
      </c>
      <c r="L2079" s="6" t="s">
        <v>2281</v>
      </c>
      <c r="M2079" s="6">
        <f>INDEX(医院2县区2人!$B$2:$B$1048576,MATCH(L2079,医院2县区2人!$A$2:$A$1048576,0))</f>
        <v>2</v>
      </c>
      <c r="N2079" s="6" t="str">
        <f>INDEX(医院2县区2人!$C$2:$C$1048576,MATCH(L2079,医院2县区2人!$A$2:$A$1048576,0))</f>
        <v>1853</v>
      </c>
      <c r="P2079" s="7">
        <v>43273</v>
      </c>
      <c r="Q2079" s="6">
        <v>-20</v>
      </c>
      <c r="R2079" s="6">
        <v>25</v>
      </c>
      <c r="S2079" s="6">
        <v>17090722</v>
      </c>
      <c r="T2079" s="6" t="str">
        <f>INDEX(医院2县区2人!$D$2:$D$1048576,MATCH(L2079,医院2县区2人!$A$2:$A$1048576,0))</f>
        <v>201602151421097</v>
      </c>
      <c r="W2079" s="6" t="str">
        <f t="shared" si="67"/>
        <v>葡萄糖酸钙口服溶液10ml*12支</v>
      </c>
      <c r="X2079" s="6" t="s">
        <v>2871</v>
      </c>
    </row>
    <row r="2080" spans="1:24" x14ac:dyDescent="0.15">
      <c r="A2080" s="7" t="str">
        <f t="shared" si="68"/>
        <v>201806</v>
      </c>
      <c r="C2080" s="6" t="str">
        <f>INDEX(工厂基础数据!$A$2:$A$1024,MATCH(X2080,工厂基础数据!$D$2:$D$1024,0))</f>
        <v>02031912</v>
      </c>
      <c r="E2080" s="6" t="str">
        <f>INDEX(工厂基础数据!$B$2:$B$1024,MATCH(X2080,工厂基础数据!$D$2:$D$1024,0))</f>
        <v>滨州弘德药业有限公司</v>
      </c>
      <c r="F2080" s="6">
        <f>INDEX(商业2转码!$B$2:$B$10000,MATCH(E2080,商业2转码!$A$2:$A$10000,0))</f>
        <v>0</v>
      </c>
      <c r="G2080" s="6" t="str">
        <f>INDEX(品种2编码!$A$2:$A$1048576,MATCH(W2080,品种2编码!$D$2:$D$1048576,0))</f>
        <v>0020020021ZYLC0004</v>
      </c>
      <c r="H2080" s="6" t="s">
        <v>1950</v>
      </c>
      <c r="I2080" s="6" t="s">
        <v>1869</v>
      </c>
      <c r="J2080" s="6" t="s">
        <v>3036</v>
      </c>
      <c r="L2080" s="6" t="s">
        <v>2393</v>
      </c>
      <c r="M2080" s="6">
        <f>INDEX(医院2县区2人!$B$2:$B$1048576,MATCH(L2080,医院2县区2人!$A$2:$A$1048576,0))</f>
        <v>2</v>
      </c>
      <c r="N2080" s="6" t="str">
        <f>INDEX(医院2县区2人!$C$2:$C$1048576,MATCH(L2080,医院2县区2人!$A$2:$A$1048576,0))</f>
        <v>1854</v>
      </c>
      <c r="P2080" s="7">
        <v>43274</v>
      </c>
      <c r="Q2080" s="6">
        <v>30</v>
      </c>
      <c r="R2080" s="6">
        <v>8</v>
      </c>
      <c r="S2080" s="6">
        <v>180201</v>
      </c>
      <c r="T2080" s="6" t="str">
        <f>INDEX(医院2县区2人!$D$2:$D$1048576,MATCH(L2080,医院2县区2人!$A$2:$A$1048576,0))</f>
        <v>201602151421097</v>
      </c>
      <c r="W2080" s="6" t="str">
        <f t="shared" si="67"/>
        <v>罗红霉素分散片75mg*12片</v>
      </c>
      <c r="X2080" s="6" t="s">
        <v>2871</v>
      </c>
    </row>
    <row r="2081" spans="1:24" x14ac:dyDescent="0.15">
      <c r="A2081" s="7" t="str">
        <f t="shared" si="68"/>
        <v>201806</v>
      </c>
      <c r="C2081" s="6" t="str">
        <f>INDEX(工厂基础数据!$A$2:$A$1024,MATCH(X2081,工厂基础数据!$D$2:$D$1024,0))</f>
        <v>02031912</v>
      </c>
      <c r="E2081" s="6" t="str">
        <f>INDEX(工厂基础数据!$B$2:$B$1024,MATCH(X2081,工厂基础数据!$D$2:$D$1024,0))</f>
        <v>滨州弘德药业有限公司</v>
      </c>
      <c r="F2081" s="6">
        <f>INDEX(商业2转码!$B$2:$B$10000,MATCH(E2081,商业2转码!$A$2:$A$10000,0))</f>
        <v>0</v>
      </c>
      <c r="G2081" s="6" t="str">
        <f>INDEX(品种2编码!$A$2:$A$1048576,MATCH(W2081,品种2编码!$D$2:$D$1048576,0))</f>
        <v>0020020030SJMS0025</v>
      </c>
      <c r="H2081" s="6" t="s">
        <v>586</v>
      </c>
      <c r="I2081" s="6" t="s">
        <v>1937</v>
      </c>
      <c r="J2081" s="6" t="s">
        <v>3046</v>
      </c>
      <c r="L2081" s="6" t="s">
        <v>2730</v>
      </c>
      <c r="M2081" s="6">
        <f>INDEX(医院2县区2人!$B$2:$B$1048576,MATCH(L2081,医院2县区2人!$A$2:$A$1048576,0))</f>
        <v>2</v>
      </c>
      <c r="N2081" s="6" t="str">
        <f>INDEX(医院2县区2人!$C$2:$C$1048576,MATCH(L2081,医院2县区2人!$A$2:$A$1048576,0))</f>
        <v>1853</v>
      </c>
      <c r="P2081" s="7">
        <v>43274</v>
      </c>
      <c r="Q2081" s="6">
        <v>3</v>
      </c>
      <c r="R2081" s="6">
        <v>7.7</v>
      </c>
      <c r="S2081" s="6">
        <v>1711004</v>
      </c>
      <c r="T2081" s="6" t="str">
        <f>INDEX(医院2县区2人!$D$2:$D$1048576,MATCH(L2081,医院2县区2人!$A$2:$A$1048576,0))</f>
        <v>201602151421097</v>
      </c>
      <c r="W2081" s="6" t="str">
        <f t="shared" si="67"/>
        <v>人工牛黄甲硝唑胶囊30粒</v>
      </c>
      <c r="X2081" s="6" t="s">
        <v>2871</v>
      </c>
    </row>
    <row r="2082" spans="1:24" x14ac:dyDescent="0.15">
      <c r="A2082" s="7" t="str">
        <f t="shared" si="68"/>
        <v>201806</v>
      </c>
      <c r="C2082" s="6" t="str">
        <f>INDEX(工厂基础数据!$A$2:$A$1024,MATCH(X2082,工厂基础数据!$D$2:$D$1024,0))</f>
        <v>02031912</v>
      </c>
      <c r="E2082" s="6" t="str">
        <f>INDEX(工厂基础数据!$B$2:$B$1024,MATCH(X2082,工厂基础数据!$D$2:$D$1024,0))</f>
        <v>滨州弘德药业有限公司</v>
      </c>
      <c r="F2082" s="6">
        <f>INDEX(商业2转码!$B$2:$B$10000,MATCH(E2082,商业2转码!$A$2:$A$10000,0))</f>
        <v>0</v>
      </c>
      <c r="G2082" s="6" t="str">
        <f>INDEX(品种2编码!$A$2:$A$1048576,MATCH(W2082,品种2编码!$D$2:$D$1048576,0))</f>
        <v>0020050090SJZY0001</v>
      </c>
      <c r="H2082" s="6" t="s">
        <v>630</v>
      </c>
      <c r="I2082" s="6" t="s">
        <v>1850</v>
      </c>
      <c r="J2082" s="6" t="s">
        <v>3040</v>
      </c>
      <c r="L2082" s="6" t="s">
        <v>2702</v>
      </c>
      <c r="M2082" s="6">
        <f>INDEX(医院2县区2人!$B$2:$B$1048576,MATCH(L2082,医院2县区2人!$A$2:$A$1048576,0))</f>
        <v>2</v>
      </c>
      <c r="N2082" s="6" t="str">
        <f>INDEX(医院2县区2人!$C$2:$C$1048576,MATCH(L2082,医院2县区2人!$A$2:$A$1048576,0))</f>
        <v>1853</v>
      </c>
      <c r="P2082" s="7">
        <v>43274</v>
      </c>
      <c r="Q2082" s="6">
        <v>10</v>
      </c>
      <c r="R2082" s="6">
        <v>16.5</v>
      </c>
      <c r="S2082" s="6">
        <v>18030931</v>
      </c>
      <c r="T2082" s="6" t="str">
        <f>INDEX(医院2县区2人!$D$2:$D$1048576,MATCH(L2082,医院2县区2人!$A$2:$A$1048576,0))</f>
        <v>201602151421097</v>
      </c>
      <c r="W2082" s="6" t="str">
        <f t="shared" si="67"/>
        <v>双黄连口服液10ml*10支</v>
      </c>
      <c r="X2082" s="6" t="s">
        <v>2871</v>
      </c>
    </row>
    <row r="2083" spans="1:24" x14ac:dyDescent="0.15">
      <c r="A2083" s="7" t="str">
        <f t="shared" si="68"/>
        <v>201806</v>
      </c>
      <c r="C2083" s="6" t="str">
        <f>INDEX(工厂基础数据!$A$2:$A$1024,MATCH(X2083,工厂基础数据!$D$2:$D$1024,0))</f>
        <v>02031912</v>
      </c>
      <c r="E2083" s="6" t="str">
        <f>INDEX(工厂基础数据!$B$2:$B$1024,MATCH(X2083,工厂基础数据!$D$2:$D$1024,0))</f>
        <v>滨州弘德药业有限公司</v>
      </c>
      <c r="F2083" s="6">
        <f>INDEX(商业2转码!$B$2:$B$10000,MATCH(E2083,商业2转码!$A$2:$A$10000,0))</f>
        <v>0</v>
      </c>
      <c r="G2083" s="6" t="str">
        <f>INDEX(品种2编码!$A$2:$A$1048576,MATCH(W2083,品种2编码!$D$2:$D$1048576,0))</f>
        <v>0020030001SJZY0006</v>
      </c>
      <c r="H2083" s="6" t="s">
        <v>1833</v>
      </c>
      <c r="I2083" s="6" t="s">
        <v>411</v>
      </c>
      <c r="J2083" s="6" t="s">
        <v>3040</v>
      </c>
      <c r="L2083" s="6" t="s">
        <v>2698</v>
      </c>
      <c r="M2083" s="6">
        <f>INDEX(医院2县区2人!$B$2:$B$1048576,MATCH(L2083,医院2县区2人!$A$2:$A$1048576,0))</f>
        <v>2</v>
      </c>
      <c r="N2083" s="6" t="str">
        <f>INDEX(医院2县区2人!$C$2:$C$1048576,MATCH(L2083,医院2县区2人!$A$2:$A$1048576,0))</f>
        <v>1853</v>
      </c>
      <c r="P2083" s="7">
        <v>43275</v>
      </c>
      <c r="Q2083" s="6">
        <v>5</v>
      </c>
      <c r="R2083" s="6">
        <v>25</v>
      </c>
      <c r="S2083" s="6">
        <v>17090722</v>
      </c>
      <c r="T2083" s="6" t="str">
        <f>INDEX(医院2县区2人!$D$2:$D$1048576,MATCH(L2083,医院2县区2人!$A$2:$A$1048576,0))</f>
        <v>201602151421097</v>
      </c>
      <c r="W2083" s="6" t="str">
        <f t="shared" si="67"/>
        <v>葡萄糖酸钙口服溶液10ml*12支</v>
      </c>
      <c r="X2083" s="6" t="s">
        <v>2871</v>
      </c>
    </row>
    <row r="2084" spans="1:24" x14ac:dyDescent="0.15">
      <c r="A2084" s="7" t="str">
        <f t="shared" si="68"/>
        <v>201806</v>
      </c>
      <c r="C2084" s="6" t="str">
        <f>INDEX(工厂基础数据!$A$2:$A$1024,MATCH(X2084,工厂基础数据!$D$2:$D$1024,0))</f>
        <v>02031912</v>
      </c>
      <c r="E2084" s="6" t="str">
        <f>INDEX(工厂基础数据!$B$2:$B$1024,MATCH(X2084,工厂基础数据!$D$2:$D$1024,0))</f>
        <v>滨州弘德药业有限公司</v>
      </c>
      <c r="F2084" s="6">
        <f>INDEX(商业2转码!$B$2:$B$10000,MATCH(E2084,商业2转码!$A$2:$A$10000,0))</f>
        <v>0</v>
      </c>
      <c r="G2084" s="6" t="str">
        <f>INDEX(品种2编码!$A$2:$A$1048576,MATCH(W2084,品种2编码!$D$2:$D$1048576,0))</f>
        <v>0020030001SJZY0009</v>
      </c>
      <c r="H2084" s="6" t="s">
        <v>1949</v>
      </c>
      <c r="I2084" s="6" t="s">
        <v>411</v>
      </c>
      <c r="J2084" s="6" t="s">
        <v>3040</v>
      </c>
      <c r="L2084" s="6" t="s">
        <v>2698</v>
      </c>
      <c r="M2084" s="6">
        <f>INDEX(医院2县区2人!$B$2:$B$1048576,MATCH(L2084,医院2县区2人!$A$2:$A$1048576,0))</f>
        <v>2</v>
      </c>
      <c r="N2084" s="6" t="str">
        <f>INDEX(医院2县区2人!$C$2:$C$1048576,MATCH(L2084,医院2县区2人!$A$2:$A$1048576,0))</f>
        <v>1853</v>
      </c>
      <c r="P2084" s="7">
        <v>43275</v>
      </c>
      <c r="Q2084" s="6">
        <v>5</v>
      </c>
      <c r="R2084" s="6">
        <v>25</v>
      </c>
      <c r="S2084" s="6">
        <v>18031227</v>
      </c>
      <c r="T2084" s="6" t="str">
        <f>INDEX(医院2县区2人!$D$2:$D$1048576,MATCH(L2084,医院2县区2人!$A$2:$A$1048576,0))</f>
        <v>201602151421097</v>
      </c>
      <c r="W2084" s="6" t="str">
        <f t="shared" si="67"/>
        <v>葡萄糖酸锌口服溶液10ml*12支</v>
      </c>
      <c r="X2084" s="6" t="s">
        <v>2871</v>
      </c>
    </row>
    <row r="2085" spans="1:24" x14ac:dyDescent="0.15">
      <c r="A2085" s="7" t="str">
        <f t="shared" si="68"/>
        <v>201806</v>
      </c>
      <c r="C2085" s="6" t="str">
        <f>INDEX(工厂基础数据!$A$2:$A$1024,MATCH(X2085,工厂基础数据!$D$2:$D$1024,0))</f>
        <v>02031912</v>
      </c>
      <c r="E2085" s="6" t="str">
        <f>INDEX(工厂基础数据!$B$2:$B$1024,MATCH(X2085,工厂基础数据!$D$2:$D$1024,0))</f>
        <v>滨州弘德药业有限公司</v>
      </c>
      <c r="F2085" s="6">
        <f>INDEX(商业2转码!$B$2:$B$10000,MATCH(E2085,商业2转码!$A$2:$A$10000,0))</f>
        <v>0</v>
      </c>
      <c r="G2085" s="6" t="str">
        <f>INDEX(品种2编码!$A$2:$A$1048576,MATCH(W2085,品种2编码!$D$2:$D$1048576,0))</f>
        <v>0020070000ZYLC0052</v>
      </c>
      <c r="H2085" s="6" t="s">
        <v>1844</v>
      </c>
      <c r="I2085" s="6" t="s">
        <v>411</v>
      </c>
      <c r="J2085" s="6" t="s">
        <v>3036</v>
      </c>
      <c r="L2085" s="6" t="s">
        <v>2187</v>
      </c>
      <c r="M2085" s="6">
        <f>INDEX(医院2县区2人!$B$2:$B$1048576,MATCH(L2085,医院2县区2人!$A$2:$A$1048576,0))</f>
        <v>4</v>
      </c>
      <c r="N2085" s="6" t="str">
        <f>INDEX(医院2县区2人!$C$2:$C$1048576,MATCH(L2085,医院2县区2人!$A$2:$A$1048576,0))</f>
        <v>1858</v>
      </c>
      <c r="P2085" s="7">
        <v>43277</v>
      </c>
      <c r="Q2085" s="6">
        <v>5</v>
      </c>
      <c r="R2085" s="6">
        <v>17</v>
      </c>
      <c r="S2085" s="6">
        <v>170801</v>
      </c>
      <c r="T2085" s="6" t="str">
        <f>INDEX(医院2县区2人!$D$2:$D$1048576,MATCH(L2085,医院2县区2人!$A$2:$A$1048576,0))</f>
        <v>201602151421097</v>
      </c>
      <c r="W2085" s="6" t="str">
        <f t="shared" si="67"/>
        <v>哈药六牌钙加锌口服液10ml*12支</v>
      </c>
      <c r="X2085" s="6" t="s">
        <v>2871</v>
      </c>
    </row>
    <row r="2086" spans="1:24" x14ac:dyDescent="0.15">
      <c r="A2086" s="7" t="str">
        <f t="shared" si="68"/>
        <v>201806</v>
      </c>
      <c r="C2086" s="6" t="str">
        <f>INDEX(工厂基础数据!$A$2:$A$1024,MATCH(X2086,工厂基础数据!$D$2:$D$1024,0))</f>
        <v>02031912</v>
      </c>
      <c r="E2086" s="6" t="str">
        <f>INDEX(工厂基础数据!$B$2:$B$1024,MATCH(X2086,工厂基础数据!$D$2:$D$1024,0))</f>
        <v>滨州弘德药业有限公司</v>
      </c>
      <c r="F2086" s="6">
        <f>INDEX(商业2转码!$B$2:$B$10000,MATCH(E2086,商业2转码!$A$2:$A$10000,0))</f>
        <v>0</v>
      </c>
      <c r="G2086" s="6" t="str">
        <f>INDEX(品种2编码!$A$2:$A$1048576,MATCH(W2086,品种2编码!$D$2:$D$1048576,0))</f>
        <v>0020070000ZYLC0055</v>
      </c>
      <c r="H2086" s="6" t="s">
        <v>557</v>
      </c>
      <c r="I2086" s="6" t="s">
        <v>411</v>
      </c>
      <c r="J2086" s="6" t="s">
        <v>3036</v>
      </c>
      <c r="L2086" s="6" t="s">
        <v>2187</v>
      </c>
      <c r="M2086" s="6">
        <f>INDEX(医院2县区2人!$B$2:$B$1048576,MATCH(L2086,医院2县区2人!$A$2:$A$1048576,0))</f>
        <v>4</v>
      </c>
      <c r="N2086" s="6" t="str">
        <f>INDEX(医院2县区2人!$C$2:$C$1048576,MATCH(L2086,医院2县区2人!$A$2:$A$1048576,0))</f>
        <v>1858</v>
      </c>
      <c r="P2086" s="7">
        <v>43277</v>
      </c>
      <c r="Q2086" s="6">
        <v>5</v>
      </c>
      <c r="R2086" s="6">
        <v>20</v>
      </c>
      <c r="S2086" s="6">
        <v>180514</v>
      </c>
      <c r="T2086" s="6" t="str">
        <f>INDEX(医院2县区2人!$D$2:$D$1048576,MATCH(L2086,医院2县区2人!$A$2:$A$1048576,0))</f>
        <v>201602151421097</v>
      </c>
      <c r="W2086" s="6" t="str">
        <f t="shared" si="67"/>
        <v>朴雪乳酸亚铁口服液10ml*12支</v>
      </c>
      <c r="X2086" s="6" t="s">
        <v>2871</v>
      </c>
    </row>
    <row r="2087" spans="1:24" x14ac:dyDescent="0.15">
      <c r="A2087" s="7" t="str">
        <f t="shared" si="68"/>
        <v>201806</v>
      </c>
      <c r="C2087" s="6" t="str">
        <f>INDEX(工厂基础数据!$A$2:$A$1024,MATCH(X2087,工厂基础数据!$D$2:$D$1024,0))</f>
        <v>02031912</v>
      </c>
      <c r="E2087" s="6" t="str">
        <f>INDEX(工厂基础数据!$B$2:$B$1024,MATCH(X2087,工厂基础数据!$D$2:$D$1024,0))</f>
        <v>滨州弘德药业有限公司</v>
      </c>
      <c r="F2087" s="6">
        <f>INDEX(商业2转码!$B$2:$B$10000,MATCH(E2087,商业2转码!$A$2:$A$10000,0))</f>
        <v>0</v>
      </c>
      <c r="G2087" s="6" t="str">
        <f>INDEX(品种2编码!$A$2:$A$1048576,MATCH(W2087,品种2编码!$D$2:$D$1048576,0))</f>
        <v>0020020020SJMS0008</v>
      </c>
      <c r="H2087" s="6" t="s">
        <v>474</v>
      </c>
      <c r="I2087" s="6" t="s">
        <v>1873</v>
      </c>
      <c r="J2087" s="6" t="s">
        <v>3046</v>
      </c>
      <c r="L2087" s="6" t="s">
        <v>2187</v>
      </c>
      <c r="M2087" s="6">
        <f>INDEX(医院2县区2人!$B$2:$B$1048576,MATCH(L2087,医院2县区2人!$A$2:$A$1048576,0))</f>
        <v>4</v>
      </c>
      <c r="N2087" s="6" t="str">
        <f>INDEX(医院2县区2人!$C$2:$C$1048576,MATCH(L2087,医院2县区2人!$A$2:$A$1048576,0))</f>
        <v>1858</v>
      </c>
      <c r="P2087" s="7">
        <v>43277</v>
      </c>
      <c r="Q2087" s="6">
        <v>8</v>
      </c>
      <c r="R2087" s="6">
        <v>27</v>
      </c>
      <c r="S2087" s="6">
        <v>1801004</v>
      </c>
      <c r="T2087" s="6" t="str">
        <f>INDEX(医院2县区2人!$D$2:$D$1048576,MATCH(L2087,医院2县区2人!$A$2:$A$1048576,0))</f>
        <v>201602151421097</v>
      </c>
      <c r="W2087" s="6" t="str">
        <f t="shared" si="67"/>
        <v>拉西地平片4mg*15片</v>
      </c>
      <c r="X2087" s="6" t="s">
        <v>2871</v>
      </c>
    </row>
    <row r="2088" spans="1:24" x14ac:dyDescent="0.15">
      <c r="A2088" s="7" t="str">
        <f t="shared" si="68"/>
        <v>201806</v>
      </c>
      <c r="C2088" s="6" t="str">
        <f>INDEX(工厂基础数据!$A$2:$A$1024,MATCH(X2088,工厂基础数据!$D$2:$D$1024,0))</f>
        <v>02031912</v>
      </c>
      <c r="E2088" s="6" t="str">
        <f>INDEX(工厂基础数据!$B$2:$B$1024,MATCH(X2088,工厂基础数据!$D$2:$D$1024,0))</f>
        <v>滨州弘德药业有限公司</v>
      </c>
      <c r="F2088" s="6">
        <f>INDEX(商业2转码!$B$2:$B$10000,MATCH(E2088,商业2转码!$A$2:$A$10000,0))</f>
        <v>0</v>
      </c>
      <c r="G2088" s="6" t="str">
        <f>INDEX(品种2编码!$A$2:$A$1048576,MATCH(W2088,品种2编码!$D$2:$D$1048576,0))</f>
        <v>0020020021ZYLC0015</v>
      </c>
      <c r="H2088" s="6" t="s">
        <v>469</v>
      </c>
      <c r="I2088" s="6" t="s">
        <v>1958</v>
      </c>
      <c r="J2088" s="6" t="s">
        <v>3036</v>
      </c>
      <c r="L2088" s="6" t="s">
        <v>2187</v>
      </c>
      <c r="M2088" s="6">
        <f>INDEX(医院2县区2人!$B$2:$B$1048576,MATCH(L2088,医院2县区2人!$A$2:$A$1048576,0))</f>
        <v>4</v>
      </c>
      <c r="N2088" s="6" t="str">
        <f>INDEX(医院2县区2人!$C$2:$C$1048576,MATCH(L2088,医院2县区2人!$A$2:$A$1048576,0))</f>
        <v>1858</v>
      </c>
      <c r="P2088" s="7">
        <v>43277</v>
      </c>
      <c r="Q2088" s="6">
        <v>40</v>
      </c>
      <c r="R2088" s="6">
        <v>17.600000000000001</v>
      </c>
      <c r="S2088" s="6">
        <v>170602</v>
      </c>
      <c r="T2088" s="6" t="str">
        <f>INDEX(医院2县区2人!$D$2:$D$1048576,MATCH(L2088,医院2县区2人!$A$2:$A$1048576,0))</f>
        <v>201602151421097</v>
      </c>
      <c r="W2088" s="6" t="str">
        <f t="shared" si="67"/>
        <v>克拉霉素分散片0.125g*24片</v>
      </c>
      <c r="X2088" s="6" t="s">
        <v>2871</v>
      </c>
    </row>
    <row r="2089" spans="1:24" x14ac:dyDescent="0.15">
      <c r="A2089" s="7" t="str">
        <f t="shared" si="68"/>
        <v>201806</v>
      </c>
      <c r="C2089" s="6" t="str">
        <f>INDEX(工厂基础数据!$A$2:$A$1024,MATCH(X2089,工厂基础数据!$D$2:$D$1024,0))</f>
        <v>02031912</v>
      </c>
      <c r="E2089" s="6" t="str">
        <f>INDEX(工厂基础数据!$B$2:$B$1024,MATCH(X2089,工厂基础数据!$D$2:$D$1024,0))</f>
        <v>滨州弘德药业有限公司</v>
      </c>
      <c r="F2089" s="6">
        <f>INDEX(商业2转码!$B$2:$B$10000,MATCH(E2089,商业2转码!$A$2:$A$10000,0))</f>
        <v>0</v>
      </c>
      <c r="G2089" s="6" t="str">
        <f>INDEX(品种2编码!$A$2:$A$1048576,MATCH(W2089,品种2编码!$D$2:$D$1048576,0))</f>
        <v>0020030170ZYEC0003</v>
      </c>
      <c r="H2089" s="6" t="s">
        <v>1835</v>
      </c>
      <c r="I2089" s="6" t="s">
        <v>1836</v>
      </c>
      <c r="J2089" s="6" t="s">
        <v>3041</v>
      </c>
      <c r="L2089" s="6" t="s">
        <v>2187</v>
      </c>
      <c r="M2089" s="6">
        <f>INDEX(医院2县区2人!$B$2:$B$1048576,MATCH(L2089,医院2县区2人!$A$2:$A$1048576,0))</f>
        <v>4</v>
      </c>
      <c r="N2089" s="6" t="str">
        <f>INDEX(医院2县区2人!$C$2:$C$1048576,MATCH(L2089,医院2县区2人!$A$2:$A$1048576,0))</f>
        <v>1858</v>
      </c>
      <c r="P2089" s="7">
        <v>43277</v>
      </c>
      <c r="Q2089" s="6">
        <v>10</v>
      </c>
      <c r="R2089" s="6">
        <v>14</v>
      </c>
      <c r="S2089" s="6">
        <v>171113</v>
      </c>
      <c r="T2089" s="6" t="str">
        <f>INDEX(医院2县区2人!$D$2:$D$1048576,MATCH(L2089,医院2县区2人!$A$2:$A$1048576,0))</f>
        <v>201602151421097</v>
      </c>
      <c r="W2089" s="6" t="str">
        <f t="shared" si="67"/>
        <v>蒙脱石散3g*12袋</v>
      </c>
      <c r="X2089" s="6" t="s">
        <v>2871</v>
      </c>
    </row>
    <row r="2090" spans="1:24" x14ac:dyDescent="0.15">
      <c r="A2090" s="7" t="str">
        <f t="shared" si="68"/>
        <v>201806</v>
      </c>
      <c r="C2090" s="6" t="str">
        <f>INDEX(工厂基础数据!$A$2:$A$1024,MATCH(X2090,工厂基础数据!$D$2:$D$1024,0))</f>
        <v>02031912</v>
      </c>
      <c r="E2090" s="6" t="str">
        <f>INDEX(工厂基础数据!$B$2:$B$1024,MATCH(X2090,工厂基础数据!$D$2:$D$1024,0))</f>
        <v>滨州弘德药业有限公司</v>
      </c>
      <c r="F2090" s="6">
        <f>INDEX(商业2转码!$B$2:$B$10000,MATCH(E2090,商业2转码!$A$2:$A$10000,0))</f>
        <v>0</v>
      </c>
      <c r="G2090" s="6" t="str">
        <f>INDEX(品种2编码!$A$2:$A$1048576,MATCH(W2090,品种2编码!$D$2:$D$1048576,0))</f>
        <v>0020070000ZYLC0052</v>
      </c>
      <c r="H2090" s="6" t="s">
        <v>1844</v>
      </c>
      <c r="I2090" s="6" t="s">
        <v>411</v>
      </c>
      <c r="J2090" s="6" t="s">
        <v>3036</v>
      </c>
      <c r="L2090" s="6" t="s">
        <v>2434</v>
      </c>
      <c r="M2090" s="6">
        <f>INDEX(医院2县区2人!$B$2:$B$1048576,MATCH(L2090,医院2县区2人!$A$2:$A$1048576,0))</f>
        <v>1</v>
      </c>
      <c r="N2090" s="6" t="str">
        <f>INDEX(医院2县区2人!$C$2:$C$1048576,MATCH(L2090,医院2县区2人!$A$2:$A$1048576,0))</f>
        <v>1853</v>
      </c>
      <c r="P2090" s="7">
        <v>43278</v>
      </c>
      <c r="Q2090" s="6">
        <v>20</v>
      </c>
      <c r="R2090" s="6">
        <v>17</v>
      </c>
      <c r="S2090" s="6">
        <v>170801</v>
      </c>
      <c r="T2090" s="6" t="str">
        <f>INDEX(医院2县区2人!$D$2:$D$1048576,MATCH(L2090,医院2县区2人!$A$2:$A$1048576,0))</f>
        <v>201602151421097</v>
      </c>
      <c r="W2090" s="6" t="str">
        <f t="shared" si="67"/>
        <v>哈药六牌钙加锌口服液10ml*12支</v>
      </c>
      <c r="X2090" s="6" t="s">
        <v>2871</v>
      </c>
    </row>
    <row r="2091" spans="1:24" x14ac:dyDescent="0.15">
      <c r="A2091" s="7" t="str">
        <f t="shared" si="68"/>
        <v>201806</v>
      </c>
      <c r="C2091" s="6" t="str">
        <f>INDEX(工厂基础数据!$A$2:$A$1024,MATCH(X2091,工厂基础数据!$D$2:$D$1024,0))</f>
        <v>02031912</v>
      </c>
      <c r="E2091" s="6" t="str">
        <f>INDEX(工厂基础数据!$B$2:$B$1024,MATCH(X2091,工厂基础数据!$D$2:$D$1024,0))</f>
        <v>滨州弘德药业有限公司</v>
      </c>
      <c r="F2091" s="6">
        <f>INDEX(商业2转码!$B$2:$B$10000,MATCH(E2091,商业2转码!$A$2:$A$10000,0))</f>
        <v>0</v>
      </c>
      <c r="G2091" s="6" t="str">
        <f>INDEX(品种2编码!$A$2:$A$1048576,MATCH(W2091,品种2编码!$D$2:$D$1048576,0))</f>
        <v>0020070000ZYLC0055</v>
      </c>
      <c r="H2091" s="6" t="s">
        <v>557</v>
      </c>
      <c r="I2091" s="6" t="s">
        <v>411</v>
      </c>
      <c r="J2091" s="6" t="s">
        <v>3036</v>
      </c>
      <c r="L2091" s="6" t="s">
        <v>2434</v>
      </c>
      <c r="M2091" s="6">
        <f>INDEX(医院2县区2人!$B$2:$B$1048576,MATCH(L2091,医院2县区2人!$A$2:$A$1048576,0))</f>
        <v>1</v>
      </c>
      <c r="N2091" s="6" t="str">
        <f>INDEX(医院2县区2人!$C$2:$C$1048576,MATCH(L2091,医院2县区2人!$A$2:$A$1048576,0))</f>
        <v>1853</v>
      </c>
      <c r="P2091" s="7">
        <v>43278</v>
      </c>
      <c r="Q2091" s="6">
        <v>10</v>
      </c>
      <c r="R2091" s="6">
        <v>20</v>
      </c>
      <c r="S2091" s="6">
        <v>180514</v>
      </c>
      <c r="T2091" s="6" t="str">
        <f>INDEX(医院2县区2人!$D$2:$D$1048576,MATCH(L2091,医院2县区2人!$A$2:$A$1048576,0))</f>
        <v>201602151421097</v>
      </c>
      <c r="W2091" s="6" t="str">
        <f t="shared" si="67"/>
        <v>朴雪乳酸亚铁口服液10ml*12支</v>
      </c>
      <c r="X2091" s="6" t="s">
        <v>2871</v>
      </c>
    </row>
    <row r="2092" spans="1:24" x14ac:dyDescent="0.15">
      <c r="A2092" s="7" t="str">
        <f t="shared" si="68"/>
        <v>201806</v>
      </c>
      <c r="C2092" s="6" t="str">
        <f>INDEX(工厂基础数据!$A$2:$A$1024,MATCH(X2092,工厂基础数据!$D$2:$D$1024,0))</f>
        <v>02031912</v>
      </c>
      <c r="E2092" s="6" t="str">
        <f>INDEX(工厂基础数据!$B$2:$B$1024,MATCH(X2092,工厂基础数据!$D$2:$D$1024,0))</f>
        <v>滨州弘德药业有限公司</v>
      </c>
      <c r="F2092" s="6">
        <f>INDEX(商业2转码!$B$2:$B$10000,MATCH(E2092,商业2转码!$A$2:$A$10000,0))</f>
        <v>0</v>
      </c>
      <c r="G2092" s="6" t="str">
        <f>INDEX(品种2编码!$A$2:$A$1048576,MATCH(W2092,品种2编码!$D$2:$D$1048576,0))</f>
        <v>0020070001ZYZC0383</v>
      </c>
      <c r="H2092" s="6" t="s">
        <v>1849</v>
      </c>
      <c r="I2092" s="6" t="s">
        <v>1850</v>
      </c>
      <c r="J2092" s="6" t="s">
        <v>3038</v>
      </c>
      <c r="L2092" s="6" t="s">
        <v>2434</v>
      </c>
      <c r="M2092" s="6">
        <f>INDEX(医院2县区2人!$B$2:$B$1048576,MATCH(L2092,医院2县区2人!$A$2:$A$1048576,0))</f>
        <v>1</v>
      </c>
      <c r="N2092" s="6" t="str">
        <f>INDEX(医院2县区2人!$C$2:$C$1048576,MATCH(L2092,医院2县区2人!$A$2:$A$1048576,0))</f>
        <v>1853</v>
      </c>
      <c r="P2092" s="7">
        <v>43278</v>
      </c>
      <c r="Q2092" s="6">
        <v>10</v>
      </c>
      <c r="R2092" s="6">
        <v>15</v>
      </c>
      <c r="S2092" s="6">
        <v>1802005</v>
      </c>
      <c r="T2092" s="6" t="str">
        <f>INDEX(医院2县区2人!$D$2:$D$1048576,MATCH(L2092,医院2县区2人!$A$2:$A$1048576,0))</f>
        <v>201602151421097</v>
      </c>
      <c r="W2092" s="6" t="str">
        <f t="shared" si="67"/>
        <v>哈药牌钙铁锌口服液10ml*10支</v>
      </c>
      <c r="X2092" s="6" t="s">
        <v>2871</v>
      </c>
    </row>
    <row r="2093" spans="1:24" x14ac:dyDescent="0.15">
      <c r="A2093" s="7" t="str">
        <f t="shared" si="68"/>
        <v>201806</v>
      </c>
      <c r="C2093" s="6" t="str">
        <f>INDEX(工厂基础数据!$A$2:$A$1024,MATCH(X2093,工厂基础数据!$D$2:$D$1024,0))</f>
        <v>02031912</v>
      </c>
      <c r="E2093" s="6" t="str">
        <f>INDEX(工厂基础数据!$B$2:$B$1024,MATCH(X2093,工厂基础数据!$D$2:$D$1024,0))</f>
        <v>滨州弘德药业有限公司</v>
      </c>
      <c r="F2093" s="6">
        <f>INDEX(商业2转码!$B$2:$B$10000,MATCH(E2093,商业2转码!$A$2:$A$10000,0))</f>
        <v>0</v>
      </c>
      <c r="G2093" s="6" t="str">
        <f>INDEX(品种2编码!$A$2:$A$1048576,MATCH(W2093,品种2编码!$D$2:$D$1048576,0))</f>
        <v>0020070001ZYZC0369</v>
      </c>
      <c r="H2093" s="6" t="s">
        <v>1849</v>
      </c>
      <c r="I2093" s="6" t="s">
        <v>411</v>
      </c>
      <c r="J2093" s="6" t="s">
        <v>3038</v>
      </c>
      <c r="L2093" s="6" t="s">
        <v>2296</v>
      </c>
      <c r="M2093" s="6">
        <f>INDEX(医院2县区2人!$B$2:$B$1048576,MATCH(L2093,医院2县区2人!$A$2:$A$1048576,0))</f>
        <v>1</v>
      </c>
      <c r="N2093" s="6" t="str">
        <f>INDEX(医院2县区2人!$C$2:$C$1048576,MATCH(L2093,医院2县区2人!$A$2:$A$1048576,0))</f>
        <v>1853</v>
      </c>
      <c r="P2093" s="7">
        <v>43278</v>
      </c>
      <c r="Q2093" s="6">
        <v>10</v>
      </c>
      <c r="R2093" s="6">
        <v>18</v>
      </c>
      <c r="S2093" s="6">
        <v>1803036</v>
      </c>
      <c r="T2093" s="6" t="str">
        <f>INDEX(医院2县区2人!$D$2:$D$1048576,MATCH(L2093,医院2县区2人!$A$2:$A$1048576,0))</f>
        <v>201602151421097</v>
      </c>
      <c r="W2093" s="6" t="str">
        <f t="shared" si="67"/>
        <v>哈药牌钙铁锌口服液10ml*12支</v>
      </c>
      <c r="X2093" s="6" t="s">
        <v>2871</v>
      </c>
    </row>
    <row r="2094" spans="1:24" x14ac:dyDescent="0.15">
      <c r="A2094" s="7" t="str">
        <f t="shared" si="68"/>
        <v>201806</v>
      </c>
      <c r="C2094" s="6" t="str">
        <f>INDEX(工厂基础数据!$A$2:$A$1024,MATCH(X2094,工厂基础数据!$D$2:$D$1024,0))</f>
        <v>02031912</v>
      </c>
      <c r="E2094" s="6" t="str">
        <f>INDEX(工厂基础数据!$B$2:$B$1024,MATCH(X2094,工厂基础数据!$D$2:$D$1024,0))</f>
        <v>滨州弘德药业有限公司</v>
      </c>
      <c r="F2094" s="6">
        <f>INDEX(商业2转码!$B$2:$B$10000,MATCH(E2094,商业2转码!$A$2:$A$10000,0))</f>
        <v>0</v>
      </c>
      <c r="G2094" s="6" t="str">
        <f>INDEX(品种2编码!$A$2:$A$1048576,MATCH(W2094,品种2编码!$D$2:$D$1048576,0))</f>
        <v>0020030001SJZY0006</v>
      </c>
      <c r="H2094" s="6" t="s">
        <v>1833</v>
      </c>
      <c r="I2094" s="6" t="s">
        <v>411</v>
      </c>
      <c r="J2094" s="6" t="s">
        <v>3040</v>
      </c>
      <c r="L2094" s="6" t="s">
        <v>3470</v>
      </c>
      <c r="M2094" s="6" t="e">
        <f>INDEX(医院2县区2人!$B$2:$B$1048576,MATCH(L2094,医院2县区2人!$A$2:$A$1048576,0))</f>
        <v>#N/A</v>
      </c>
      <c r="N2094" s="6" t="e">
        <f>INDEX(医院2县区2人!$C$2:$C$1048576,MATCH(L2094,医院2县区2人!$A$2:$A$1048576,0))</f>
        <v>#N/A</v>
      </c>
      <c r="P2094" s="7">
        <v>43278</v>
      </c>
      <c r="Q2094" s="6">
        <v>2</v>
      </c>
      <c r="R2094" s="6">
        <v>25</v>
      </c>
      <c r="S2094" s="6">
        <v>17090722</v>
      </c>
      <c r="T2094" s="6" t="e">
        <f>INDEX(医院2县区2人!$D$2:$D$1048576,MATCH(L2094,医院2县区2人!$A$2:$A$1048576,0))</f>
        <v>#N/A</v>
      </c>
      <c r="W2094" s="6" t="str">
        <f t="shared" si="67"/>
        <v>葡萄糖酸钙口服溶液10ml*12支</v>
      </c>
      <c r="X2094" s="6" t="s">
        <v>2871</v>
      </c>
    </row>
    <row r="2095" spans="1:24" x14ac:dyDescent="0.15">
      <c r="A2095" s="7" t="str">
        <f t="shared" si="68"/>
        <v>201806</v>
      </c>
      <c r="C2095" s="6" t="str">
        <f>INDEX(工厂基础数据!$A$2:$A$1024,MATCH(X2095,工厂基础数据!$D$2:$D$1024,0))</f>
        <v>02031912</v>
      </c>
      <c r="E2095" s="6" t="str">
        <f>INDEX(工厂基础数据!$B$2:$B$1024,MATCH(X2095,工厂基础数据!$D$2:$D$1024,0))</f>
        <v>滨州弘德药业有限公司</v>
      </c>
      <c r="F2095" s="6">
        <f>INDEX(商业2转码!$B$2:$B$10000,MATCH(E2095,商业2转码!$A$2:$A$10000,0))</f>
        <v>0</v>
      </c>
      <c r="G2095" s="6" t="str">
        <f>INDEX(品种2编码!$A$2:$A$1048576,MATCH(W2095,品种2编码!$D$2:$D$1048576,0))</f>
        <v>0020040220SHYT0004</v>
      </c>
      <c r="H2095" s="6" t="s">
        <v>1857</v>
      </c>
      <c r="I2095" s="6" t="s">
        <v>1956</v>
      </c>
      <c r="J2095" s="6" t="s">
        <v>3037</v>
      </c>
      <c r="L2095" s="6" t="s">
        <v>2423</v>
      </c>
      <c r="M2095" s="6">
        <f>INDEX(医院2县区2人!$B$2:$B$1048576,MATCH(L2095,医院2县区2人!$A$2:$A$1048576,0))</f>
        <v>4</v>
      </c>
      <c r="N2095" s="6" t="str">
        <f>INDEX(医院2县区2人!$C$2:$C$1048576,MATCH(L2095,医院2县区2人!$A$2:$A$1048576,0))</f>
        <v>1859</v>
      </c>
      <c r="P2095" s="7">
        <v>43278</v>
      </c>
      <c r="Q2095" s="6">
        <v>27</v>
      </c>
      <c r="R2095" s="6">
        <v>17</v>
      </c>
      <c r="S2095" s="6">
        <v>1801411</v>
      </c>
      <c r="T2095" s="6" t="str">
        <f>INDEX(医院2县区2人!$D$2:$D$1048576,MATCH(L2095,医院2县区2人!$A$2:$A$1048576,0))</f>
        <v>201602151421097</v>
      </c>
      <c r="W2095" s="6" t="str">
        <f t="shared" si="67"/>
        <v>妇宁栓1.6g*8粒</v>
      </c>
      <c r="X2095" s="6" t="s">
        <v>2871</v>
      </c>
    </row>
    <row r="2096" spans="1:24" x14ac:dyDescent="0.15">
      <c r="A2096" s="7" t="str">
        <f t="shared" si="68"/>
        <v>201806</v>
      </c>
      <c r="C2096" s="6" t="str">
        <f>INDEX(工厂基础数据!$A$2:$A$1024,MATCH(X2096,工厂基础数据!$D$2:$D$1024,0))</f>
        <v>02031912</v>
      </c>
      <c r="E2096" s="6" t="str">
        <f>INDEX(工厂基础数据!$B$2:$B$1024,MATCH(X2096,工厂基础数据!$D$2:$D$1024,0))</f>
        <v>滨州弘德药业有限公司</v>
      </c>
      <c r="F2096" s="6">
        <f>INDEX(商业2转码!$B$2:$B$10000,MATCH(E2096,商业2转码!$A$2:$A$10000,0))</f>
        <v>0</v>
      </c>
      <c r="G2096" s="6" t="str">
        <f>INDEX(品种2编码!$A$2:$A$1048576,MATCH(W2096,品种2编码!$D$2:$D$1048576,0))</f>
        <v>0020020020ZYLC0003</v>
      </c>
      <c r="H2096" s="6" t="s">
        <v>1855</v>
      </c>
      <c r="I2096" s="6" t="s">
        <v>381</v>
      </c>
      <c r="J2096" s="6" t="s">
        <v>3036</v>
      </c>
      <c r="L2096" s="6" t="s">
        <v>2423</v>
      </c>
      <c r="M2096" s="6">
        <f>INDEX(医院2县区2人!$B$2:$B$1048576,MATCH(L2096,医院2县区2人!$A$2:$A$1048576,0))</f>
        <v>4</v>
      </c>
      <c r="N2096" s="6" t="str">
        <f>INDEX(医院2县区2人!$C$2:$C$1048576,MATCH(L2096,医院2县区2人!$A$2:$A$1048576,0))</f>
        <v>1859</v>
      </c>
      <c r="P2096" s="7">
        <v>43278</v>
      </c>
      <c r="Q2096" s="6">
        <v>30</v>
      </c>
      <c r="R2096" s="6">
        <v>9</v>
      </c>
      <c r="S2096" s="6">
        <v>161002</v>
      </c>
      <c r="T2096" s="6" t="str">
        <f>INDEX(医院2县区2人!$D$2:$D$1048576,MATCH(L2096,医院2县区2人!$A$2:$A$1048576,0))</f>
        <v>201602151421097</v>
      </c>
      <c r="W2096" s="6" t="str">
        <f t="shared" si="67"/>
        <v>颠茄磺苄啶片12片</v>
      </c>
      <c r="X2096" s="6" t="s">
        <v>2871</v>
      </c>
    </row>
    <row r="2097" spans="1:24" x14ac:dyDescent="0.15">
      <c r="A2097" s="7" t="str">
        <f t="shared" si="68"/>
        <v>201806</v>
      </c>
      <c r="C2097" s="6" t="str">
        <f>INDEX(工厂基础数据!$A$2:$A$1024,MATCH(X2097,工厂基础数据!$D$2:$D$1024,0))</f>
        <v>02031912</v>
      </c>
      <c r="E2097" s="6" t="str">
        <f>INDEX(工厂基础数据!$B$2:$B$1024,MATCH(X2097,工厂基础数据!$D$2:$D$1024,0))</f>
        <v>滨州弘德药业有限公司</v>
      </c>
      <c r="F2097" s="6">
        <f>INDEX(商业2转码!$B$2:$B$10000,MATCH(E2097,商业2转码!$A$2:$A$10000,0))</f>
        <v>0</v>
      </c>
      <c r="G2097" s="6" t="str">
        <f>INDEX(品种2编码!$A$2:$A$1048576,MATCH(W2097,品种2编码!$D$2:$D$1048576,0))</f>
        <v>0020030001SJZY0006</v>
      </c>
      <c r="H2097" s="6" t="s">
        <v>1833</v>
      </c>
      <c r="I2097" s="6" t="s">
        <v>411</v>
      </c>
      <c r="J2097" s="6" t="s">
        <v>3040</v>
      </c>
      <c r="L2097" s="6" t="s">
        <v>2408</v>
      </c>
      <c r="M2097" s="6">
        <f>INDEX(医院2县区2人!$B$2:$B$1048576,MATCH(L2097,医院2县区2人!$A$2:$A$1048576,0))</f>
        <v>4</v>
      </c>
      <c r="N2097" s="6" t="str">
        <f>INDEX(医院2县区2人!$C$2:$C$1048576,MATCH(L2097,医院2县区2人!$A$2:$A$1048576,0))</f>
        <v>1859</v>
      </c>
      <c r="P2097" s="7">
        <v>43278</v>
      </c>
      <c r="Q2097" s="6">
        <v>20</v>
      </c>
      <c r="R2097" s="6">
        <v>25</v>
      </c>
      <c r="S2097" s="6">
        <v>17090722</v>
      </c>
      <c r="T2097" s="6" t="str">
        <f>INDEX(医院2县区2人!$D$2:$D$1048576,MATCH(L2097,医院2县区2人!$A$2:$A$1048576,0))</f>
        <v>201602151421097</v>
      </c>
      <c r="W2097" s="6" t="str">
        <f t="shared" si="67"/>
        <v>葡萄糖酸钙口服溶液10ml*12支</v>
      </c>
      <c r="X2097" s="6" t="s">
        <v>2871</v>
      </c>
    </row>
    <row r="2098" spans="1:24" x14ac:dyDescent="0.15">
      <c r="A2098" s="7" t="str">
        <f t="shared" si="68"/>
        <v>201806</v>
      </c>
      <c r="C2098" s="6" t="str">
        <f>INDEX(工厂基础数据!$A$2:$A$1024,MATCH(X2098,工厂基础数据!$D$2:$D$1024,0))</f>
        <v>02031912</v>
      </c>
      <c r="E2098" s="6" t="str">
        <f>INDEX(工厂基础数据!$B$2:$B$1024,MATCH(X2098,工厂基础数据!$D$2:$D$1024,0))</f>
        <v>滨州弘德药业有限公司</v>
      </c>
      <c r="F2098" s="6">
        <f>INDEX(商业2转码!$B$2:$B$10000,MATCH(E2098,商业2转码!$A$2:$A$10000,0))</f>
        <v>0</v>
      </c>
      <c r="G2098" s="6" t="str">
        <f>INDEX(品种2编码!$A$2:$A$1048576,MATCH(W2098,品种2编码!$D$2:$D$1048576,0))</f>
        <v>0020030001SJZY0009</v>
      </c>
      <c r="H2098" s="6" t="s">
        <v>1949</v>
      </c>
      <c r="I2098" s="6" t="s">
        <v>411</v>
      </c>
      <c r="J2098" s="6" t="s">
        <v>3040</v>
      </c>
      <c r="L2098" s="6" t="s">
        <v>2408</v>
      </c>
      <c r="M2098" s="6">
        <f>INDEX(医院2县区2人!$B$2:$B$1048576,MATCH(L2098,医院2县区2人!$A$2:$A$1048576,0))</f>
        <v>4</v>
      </c>
      <c r="N2098" s="6" t="str">
        <f>INDEX(医院2县区2人!$C$2:$C$1048576,MATCH(L2098,医院2县区2人!$A$2:$A$1048576,0))</f>
        <v>1859</v>
      </c>
      <c r="P2098" s="7">
        <v>43278</v>
      </c>
      <c r="Q2098" s="6">
        <v>20</v>
      </c>
      <c r="R2098" s="6">
        <v>25</v>
      </c>
      <c r="S2098" s="6">
        <v>18031227</v>
      </c>
      <c r="T2098" s="6" t="str">
        <f>INDEX(医院2县区2人!$D$2:$D$1048576,MATCH(L2098,医院2县区2人!$A$2:$A$1048576,0))</f>
        <v>201602151421097</v>
      </c>
      <c r="W2098" s="6" t="str">
        <f t="shared" si="67"/>
        <v>葡萄糖酸锌口服溶液10ml*12支</v>
      </c>
      <c r="X2098" s="6" t="s">
        <v>2871</v>
      </c>
    </row>
    <row r="2099" spans="1:24" x14ac:dyDescent="0.15">
      <c r="A2099" s="7" t="str">
        <f t="shared" si="68"/>
        <v>201806</v>
      </c>
      <c r="C2099" s="6" t="str">
        <f>INDEX(工厂基础数据!$A$2:$A$1024,MATCH(X2099,工厂基础数据!$D$2:$D$1024,0))</f>
        <v>02031912</v>
      </c>
      <c r="E2099" s="6" t="str">
        <f>INDEX(工厂基础数据!$B$2:$B$1024,MATCH(X2099,工厂基础数据!$D$2:$D$1024,0))</f>
        <v>滨州弘德药业有限公司</v>
      </c>
      <c r="F2099" s="6">
        <f>INDEX(商业2转码!$B$2:$B$10000,MATCH(E2099,商业2转码!$A$2:$A$10000,0))</f>
        <v>0</v>
      </c>
      <c r="G2099" s="6" t="str">
        <f>INDEX(品种2编码!$A$2:$A$1048576,MATCH(W2099,品种2编码!$D$2:$D$1048576,0))</f>
        <v>0020030001SJZY0009</v>
      </c>
      <c r="H2099" s="6" t="s">
        <v>1949</v>
      </c>
      <c r="I2099" s="6" t="s">
        <v>411</v>
      </c>
      <c r="J2099" s="6" t="s">
        <v>3040</v>
      </c>
      <c r="L2099" s="6" t="s">
        <v>2407</v>
      </c>
      <c r="M2099" s="6">
        <f>INDEX(医院2县区2人!$B$2:$B$1048576,MATCH(L2099,医院2县区2人!$A$2:$A$1048576,0))</f>
        <v>2</v>
      </c>
      <c r="N2099" s="6" t="str">
        <f>INDEX(医院2县区2人!$C$2:$C$1048576,MATCH(L2099,医院2县区2人!$A$2:$A$1048576,0))</f>
        <v>1853</v>
      </c>
      <c r="P2099" s="7">
        <v>43278</v>
      </c>
      <c r="Q2099" s="6">
        <v>5</v>
      </c>
      <c r="R2099" s="6">
        <v>25</v>
      </c>
      <c r="S2099" s="6">
        <v>18031227</v>
      </c>
      <c r="T2099" s="6" t="str">
        <f>INDEX(医院2县区2人!$D$2:$D$1048576,MATCH(L2099,医院2县区2人!$A$2:$A$1048576,0))</f>
        <v>201602151421097</v>
      </c>
      <c r="W2099" s="6" t="str">
        <f t="shared" si="67"/>
        <v>葡萄糖酸锌口服溶液10ml*12支</v>
      </c>
      <c r="X2099" s="6" t="s">
        <v>2871</v>
      </c>
    </row>
    <row r="2100" spans="1:24" x14ac:dyDescent="0.15">
      <c r="A2100" s="7" t="str">
        <f t="shared" si="68"/>
        <v>201806</v>
      </c>
      <c r="C2100" s="6" t="str">
        <f>INDEX(工厂基础数据!$A$2:$A$1024,MATCH(X2100,工厂基础数据!$D$2:$D$1024,0))</f>
        <v>02031912</v>
      </c>
      <c r="E2100" s="6" t="str">
        <f>INDEX(工厂基础数据!$B$2:$B$1024,MATCH(X2100,工厂基础数据!$D$2:$D$1024,0))</f>
        <v>滨州弘德药业有限公司</v>
      </c>
      <c r="F2100" s="6">
        <f>INDEX(商业2转码!$B$2:$B$10000,MATCH(E2100,商业2转码!$A$2:$A$10000,0))</f>
        <v>0</v>
      </c>
      <c r="G2100" s="6" t="str">
        <f>INDEX(品种2编码!$A$2:$A$1048576,MATCH(W2100,品种2编码!$D$2:$D$1048576,0))</f>
        <v>0020030020ZYLC0010</v>
      </c>
      <c r="H2100" s="6" t="s">
        <v>591</v>
      </c>
      <c r="I2100" s="6" t="s">
        <v>1948</v>
      </c>
      <c r="J2100" s="6" t="s">
        <v>3036</v>
      </c>
      <c r="L2100" s="6" t="s">
        <v>3466</v>
      </c>
      <c r="M2100" s="6" t="e">
        <f>INDEX(医院2县区2人!$B$2:$B$1048576,MATCH(L2100,医院2县区2人!$A$2:$A$1048576,0))</f>
        <v>#N/A</v>
      </c>
      <c r="N2100" s="6" t="e">
        <f>INDEX(医院2县区2人!$C$2:$C$1048576,MATCH(L2100,医院2县区2人!$A$2:$A$1048576,0))</f>
        <v>#N/A</v>
      </c>
      <c r="P2100" s="7">
        <v>43278</v>
      </c>
      <c r="Q2100" s="6">
        <v>15</v>
      </c>
      <c r="R2100" s="6">
        <v>3.7</v>
      </c>
      <c r="S2100" s="6">
        <v>180136</v>
      </c>
      <c r="T2100" s="6" t="e">
        <f>INDEX(医院2县区2人!$D$2:$D$1048576,MATCH(L2100,医院2县区2人!$A$2:$A$1048576,0))</f>
        <v>#N/A</v>
      </c>
      <c r="W2100" s="6" t="str">
        <f t="shared" si="67"/>
        <v>乳酸菌素片0.4g*36片/小包</v>
      </c>
      <c r="X2100" s="6" t="s">
        <v>2871</v>
      </c>
    </row>
    <row r="2101" spans="1:24" x14ac:dyDescent="0.15">
      <c r="A2101" s="7" t="str">
        <f t="shared" si="68"/>
        <v>201806</v>
      </c>
      <c r="C2101" s="6" t="str">
        <f>INDEX(工厂基础数据!$A$2:$A$1024,MATCH(X2101,工厂基础数据!$D$2:$D$1024,0))</f>
        <v>02031912</v>
      </c>
      <c r="E2101" s="6" t="str">
        <f>INDEX(工厂基础数据!$B$2:$B$1024,MATCH(X2101,工厂基础数据!$D$2:$D$1024,0))</f>
        <v>滨州弘德药业有限公司</v>
      </c>
      <c r="F2101" s="6">
        <f>INDEX(商业2转码!$B$2:$B$10000,MATCH(E2101,商业2转码!$A$2:$A$10000,0))</f>
        <v>0</v>
      </c>
      <c r="G2101" s="6" t="str">
        <f>INDEX(品种2编码!$A$2:$A$1048576,MATCH(W2101,品种2编码!$D$2:$D$1048576,0))</f>
        <v>0020040030SHYT0002</v>
      </c>
      <c r="H2101" s="6" t="s">
        <v>537</v>
      </c>
      <c r="I2101" s="6" t="s">
        <v>1910</v>
      </c>
      <c r="J2101" s="6" t="s">
        <v>3037</v>
      </c>
      <c r="L2101" s="6" t="s">
        <v>2838</v>
      </c>
      <c r="M2101" s="6">
        <f>INDEX(医院2县区2人!$B$2:$B$1048576,MATCH(L2101,医院2县区2人!$A$2:$A$1048576,0))</f>
        <v>2</v>
      </c>
      <c r="N2101" s="6" t="str">
        <f>INDEX(医院2县区2人!$C$2:$C$1048576,MATCH(L2101,医院2县区2人!$A$2:$A$1048576,0))</f>
        <v>1757</v>
      </c>
      <c r="P2101" s="7">
        <v>43278</v>
      </c>
      <c r="Q2101" s="6">
        <v>25</v>
      </c>
      <c r="R2101" s="6">
        <v>9</v>
      </c>
      <c r="S2101" s="6">
        <v>1707302</v>
      </c>
      <c r="T2101" s="6">
        <f>INDEX(医院2县区2人!$D$2:$D$1048576,MATCH(L2101,医院2县区2人!$A$2:$A$1048576,0))</f>
        <v>0</v>
      </c>
      <c r="W2101" s="6" t="str">
        <f t="shared" si="67"/>
        <v>牛黄消炎片24片</v>
      </c>
      <c r="X2101" s="6" t="s">
        <v>2871</v>
      </c>
    </row>
    <row r="2102" spans="1:24" x14ac:dyDescent="0.15">
      <c r="A2102" s="7" t="str">
        <f t="shared" si="68"/>
        <v>201806</v>
      </c>
      <c r="C2102" s="6" t="str">
        <f>INDEX(工厂基础数据!$A$2:$A$1024,MATCH(X2102,工厂基础数据!$D$2:$D$1024,0))</f>
        <v>02031912</v>
      </c>
      <c r="E2102" s="6" t="str">
        <f>INDEX(工厂基础数据!$B$2:$B$1024,MATCH(X2102,工厂基础数据!$D$2:$D$1024,0))</f>
        <v>滨州弘德药业有限公司</v>
      </c>
      <c r="F2102" s="6">
        <f>INDEX(商业2转码!$B$2:$B$10000,MATCH(E2102,商业2转码!$A$2:$A$10000,0))</f>
        <v>0</v>
      </c>
      <c r="G2102" s="6" t="str">
        <f>INDEX(品种2编码!$A$2:$A$1048576,MATCH(W2102,品种2编码!$D$2:$D$1048576,0))</f>
        <v>0020030020SJSC0004</v>
      </c>
      <c r="H2102" s="6" t="s">
        <v>394</v>
      </c>
      <c r="I2102" s="6" t="s">
        <v>1871</v>
      </c>
      <c r="J2102" s="6" t="s">
        <v>3045</v>
      </c>
      <c r="L2102" s="6" t="s">
        <v>2402</v>
      </c>
      <c r="M2102" s="6">
        <f>INDEX(医院2县区2人!$B$2:$B$1048576,MATCH(L2102,医院2县区2人!$A$2:$A$1048576,0))</f>
        <v>2</v>
      </c>
      <c r="N2102" s="6" t="str">
        <f>INDEX(医院2县区2人!$C$2:$C$1048576,MATCH(L2102,医院2县区2人!$A$2:$A$1048576,0))</f>
        <v>1854</v>
      </c>
      <c r="P2102" s="7">
        <v>43279</v>
      </c>
      <c r="Q2102" s="6">
        <v>3</v>
      </c>
      <c r="R2102" s="6">
        <v>12.5</v>
      </c>
      <c r="S2102" s="6">
        <v>1712032</v>
      </c>
      <c r="T2102" s="6" t="str">
        <f>INDEX(医院2县区2人!$D$2:$D$1048576,MATCH(L2102,医院2县区2人!$A$2:$A$1048576,0))</f>
        <v>201602151421097</v>
      </c>
      <c r="W2102" s="6" t="str">
        <f t="shared" si="67"/>
        <v>复方铝酸铋片50片</v>
      </c>
      <c r="X2102" s="6" t="s">
        <v>2871</v>
      </c>
    </row>
    <row r="2103" spans="1:24" x14ac:dyDescent="0.15">
      <c r="A2103" s="7" t="str">
        <f t="shared" si="68"/>
        <v>201806</v>
      </c>
      <c r="C2103" s="6" t="str">
        <f>INDEX(工厂基础数据!$A$2:$A$1024,MATCH(X2103,工厂基础数据!$D$2:$D$1024,0))</f>
        <v>02031912</v>
      </c>
      <c r="E2103" s="6" t="str">
        <f>INDEX(工厂基础数据!$B$2:$B$1024,MATCH(X2103,工厂基础数据!$D$2:$D$1024,0))</f>
        <v>滨州弘德药业有限公司</v>
      </c>
      <c r="F2103" s="6">
        <f>INDEX(商业2转码!$B$2:$B$10000,MATCH(E2103,商业2转码!$A$2:$A$10000,0))</f>
        <v>0</v>
      </c>
      <c r="G2103" s="6" t="str">
        <f>INDEX(品种2编码!$A$2:$A$1048576,MATCH(W2103,品种2编码!$D$2:$D$1048576,0))</f>
        <v>0020030001SJZY0009</v>
      </c>
      <c r="H2103" s="6" t="s">
        <v>1949</v>
      </c>
      <c r="I2103" s="6" t="s">
        <v>411</v>
      </c>
      <c r="J2103" s="6" t="s">
        <v>3040</v>
      </c>
      <c r="L2103" s="6" t="s">
        <v>2402</v>
      </c>
      <c r="M2103" s="6">
        <f>INDEX(医院2县区2人!$B$2:$B$1048576,MATCH(L2103,医院2县区2人!$A$2:$A$1048576,0))</f>
        <v>2</v>
      </c>
      <c r="N2103" s="6" t="str">
        <f>INDEX(医院2县区2人!$C$2:$C$1048576,MATCH(L2103,医院2县区2人!$A$2:$A$1048576,0))</f>
        <v>1854</v>
      </c>
      <c r="P2103" s="7">
        <v>43279</v>
      </c>
      <c r="Q2103" s="6">
        <v>3</v>
      </c>
      <c r="R2103" s="6">
        <v>25</v>
      </c>
      <c r="S2103" s="6">
        <v>18031227</v>
      </c>
      <c r="T2103" s="6" t="str">
        <f>INDEX(医院2县区2人!$D$2:$D$1048576,MATCH(L2103,医院2县区2人!$A$2:$A$1048576,0))</f>
        <v>201602151421097</v>
      </c>
      <c r="W2103" s="6" t="str">
        <f t="shared" si="67"/>
        <v>葡萄糖酸锌口服溶液10ml*12支</v>
      </c>
      <c r="X2103" s="6" t="s">
        <v>2871</v>
      </c>
    </row>
    <row r="2104" spans="1:24" x14ac:dyDescent="0.15">
      <c r="A2104" s="7" t="str">
        <f t="shared" si="68"/>
        <v>201806</v>
      </c>
      <c r="C2104" s="6" t="str">
        <f>INDEX(工厂基础数据!$A$2:$A$1024,MATCH(X2104,工厂基础数据!$D$2:$D$1024,0))</f>
        <v>02031912</v>
      </c>
      <c r="E2104" s="6" t="str">
        <f>INDEX(工厂基础数据!$B$2:$B$1024,MATCH(X2104,工厂基础数据!$D$2:$D$1024,0))</f>
        <v>滨州弘德药业有限公司</v>
      </c>
      <c r="F2104" s="6">
        <f>INDEX(商业2转码!$B$2:$B$10000,MATCH(E2104,商业2转码!$A$2:$A$10000,0))</f>
        <v>0</v>
      </c>
      <c r="G2104" s="6" t="str">
        <f>INDEX(品种2编码!$A$2:$A$1048576,MATCH(W2104,品种2编码!$D$2:$D$1048576,0))</f>
        <v>0020050090SJZY0001</v>
      </c>
      <c r="H2104" s="6" t="s">
        <v>630</v>
      </c>
      <c r="I2104" s="6" t="s">
        <v>1850</v>
      </c>
      <c r="J2104" s="6" t="s">
        <v>3040</v>
      </c>
      <c r="L2104" s="6" t="s">
        <v>2300</v>
      </c>
      <c r="M2104" s="6">
        <f>INDEX(医院2县区2人!$B$2:$B$1048576,MATCH(L2104,医院2县区2人!$A$2:$A$1048576,0))</f>
        <v>4</v>
      </c>
      <c r="N2104" s="6" t="str">
        <f>INDEX(医院2县区2人!$C$2:$C$1048576,MATCH(L2104,医院2县区2人!$A$2:$A$1048576,0))</f>
        <v>1857</v>
      </c>
      <c r="P2104" s="7">
        <v>43279</v>
      </c>
      <c r="Q2104" s="6">
        <v>20</v>
      </c>
      <c r="R2104" s="6">
        <v>16.5</v>
      </c>
      <c r="S2104" s="6">
        <v>18030931</v>
      </c>
      <c r="T2104" s="6" t="str">
        <f>INDEX(医院2县区2人!$D$2:$D$1048576,MATCH(L2104,医院2县区2人!$A$2:$A$1048576,0))</f>
        <v>201602151421097</v>
      </c>
      <c r="W2104" s="6" t="str">
        <f t="shared" si="67"/>
        <v>双黄连口服液10ml*10支</v>
      </c>
      <c r="X2104" s="6" t="s">
        <v>2871</v>
      </c>
    </row>
    <row r="2105" spans="1:24" x14ac:dyDescent="0.15">
      <c r="A2105" s="7" t="str">
        <f t="shared" si="68"/>
        <v>201806</v>
      </c>
      <c r="C2105" s="6" t="str">
        <f>INDEX(工厂基础数据!$A$2:$A$1024,MATCH(X2105,工厂基础数据!$D$2:$D$1024,0))</f>
        <v>02031912</v>
      </c>
      <c r="E2105" s="6" t="str">
        <f>INDEX(工厂基础数据!$B$2:$B$1024,MATCH(X2105,工厂基础数据!$D$2:$D$1024,0))</f>
        <v>滨州弘德药业有限公司</v>
      </c>
      <c r="F2105" s="6">
        <f>INDEX(商业2转码!$B$2:$B$10000,MATCH(E2105,商业2转码!$A$2:$A$10000,0))</f>
        <v>0</v>
      </c>
      <c r="G2105" s="6" t="str">
        <f>INDEX(品种2编码!$A$2:$A$1048576,MATCH(W2105,品种2编码!$D$2:$D$1048576,0))</f>
        <v>0020030001SJZY0006</v>
      </c>
      <c r="H2105" s="6" t="s">
        <v>1833</v>
      </c>
      <c r="I2105" s="6" t="s">
        <v>411</v>
      </c>
      <c r="J2105" s="6" t="s">
        <v>3040</v>
      </c>
      <c r="L2105" s="6" t="s">
        <v>2275</v>
      </c>
      <c r="M2105" s="6">
        <f>INDEX(医院2县区2人!$B$2:$B$1048576,MATCH(L2105,医院2县区2人!$A$2:$A$1048576,0))</f>
        <v>2</v>
      </c>
      <c r="N2105" s="6" t="str">
        <f>INDEX(医院2县区2人!$C$2:$C$1048576,MATCH(L2105,医院2县区2人!$A$2:$A$1048576,0))</f>
        <v>1853</v>
      </c>
      <c r="P2105" s="7">
        <v>43279</v>
      </c>
      <c r="Q2105" s="6">
        <v>1</v>
      </c>
      <c r="R2105" s="6">
        <v>25.2</v>
      </c>
      <c r="S2105" s="6">
        <v>17090722</v>
      </c>
      <c r="T2105" s="6" t="str">
        <f>INDEX(医院2县区2人!$D$2:$D$1048576,MATCH(L2105,医院2县区2人!$A$2:$A$1048576,0))</f>
        <v>201602151421097</v>
      </c>
      <c r="W2105" s="6" t="str">
        <f t="shared" si="67"/>
        <v>葡萄糖酸钙口服溶液10ml*12支</v>
      </c>
      <c r="X2105" s="6" t="s">
        <v>2871</v>
      </c>
    </row>
    <row r="2106" spans="1:24" x14ac:dyDescent="0.15">
      <c r="A2106" s="7" t="str">
        <f t="shared" si="68"/>
        <v>201806</v>
      </c>
      <c r="C2106" s="6" t="str">
        <f>INDEX(工厂基础数据!$A$2:$A$1024,MATCH(X2106,工厂基础数据!$D$2:$D$1024,0))</f>
        <v>02031912</v>
      </c>
      <c r="E2106" s="6" t="str">
        <f>INDEX(工厂基础数据!$B$2:$B$1024,MATCH(X2106,工厂基础数据!$D$2:$D$1024,0))</f>
        <v>滨州弘德药业有限公司</v>
      </c>
      <c r="F2106" s="6">
        <f>INDEX(商业2转码!$B$2:$B$10000,MATCH(E2106,商业2转码!$A$2:$A$10000,0))</f>
        <v>0</v>
      </c>
      <c r="G2106" s="6" t="str">
        <f>INDEX(品种2编码!$A$2:$A$1048576,MATCH(W2106,品种2编码!$D$2:$D$1048576,0))</f>
        <v>0020030001SJZY0009</v>
      </c>
      <c r="H2106" s="6" t="s">
        <v>1949</v>
      </c>
      <c r="I2106" s="6" t="s">
        <v>411</v>
      </c>
      <c r="J2106" s="6" t="s">
        <v>3040</v>
      </c>
      <c r="L2106" s="6" t="s">
        <v>2275</v>
      </c>
      <c r="M2106" s="6">
        <f>INDEX(医院2县区2人!$B$2:$B$1048576,MATCH(L2106,医院2县区2人!$A$2:$A$1048576,0))</f>
        <v>2</v>
      </c>
      <c r="N2106" s="6" t="str">
        <f>INDEX(医院2县区2人!$C$2:$C$1048576,MATCH(L2106,医院2县区2人!$A$2:$A$1048576,0))</f>
        <v>1853</v>
      </c>
      <c r="P2106" s="7">
        <v>43279</v>
      </c>
      <c r="Q2106" s="6">
        <v>2</v>
      </c>
      <c r="R2106" s="6">
        <v>25</v>
      </c>
      <c r="S2106" s="6">
        <v>18031227</v>
      </c>
      <c r="T2106" s="6" t="str">
        <f>INDEX(医院2县区2人!$D$2:$D$1048576,MATCH(L2106,医院2县区2人!$A$2:$A$1048576,0))</f>
        <v>201602151421097</v>
      </c>
      <c r="W2106" s="6" t="str">
        <f t="shared" si="67"/>
        <v>葡萄糖酸锌口服溶液10ml*12支</v>
      </c>
      <c r="X2106" s="6" t="s">
        <v>2871</v>
      </c>
    </row>
    <row r="2107" spans="1:24" x14ac:dyDescent="0.15">
      <c r="A2107" s="7" t="str">
        <f t="shared" si="68"/>
        <v>201806</v>
      </c>
      <c r="C2107" s="6" t="str">
        <f>INDEX(工厂基础数据!$A$2:$A$1024,MATCH(X2107,工厂基础数据!$D$2:$D$1024,0))</f>
        <v>02031912</v>
      </c>
      <c r="E2107" s="6" t="str">
        <f>INDEX(工厂基础数据!$B$2:$B$1024,MATCH(X2107,工厂基础数据!$D$2:$D$1024,0))</f>
        <v>滨州弘德药业有限公司</v>
      </c>
      <c r="F2107" s="6">
        <f>INDEX(商业2转码!$B$2:$B$10000,MATCH(E2107,商业2转码!$A$2:$A$10000,0))</f>
        <v>0</v>
      </c>
      <c r="G2107" s="6" t="str">
        <f>INDEX(品种2编码!$A$2:$A$1048576,MATCH(W2107,品种2编码!$D$2:$D$1048576,0))</f>
        <v>0020030001SJZY0006</v>
      </c>
      <c r="H2107" s="6" t="s">
        <v>1833</v>
      </c>
      <c r="I2107" s="6" t="s">
        <v>411</v>
      </c>
      <c r="J2107" s="6" t="s">
        <v>3040</v>
      </c>
      <c r="L2107" s="6" t="s">
        <v>2699</v>
      </c>
      <c r="M2107" s="6">
        <f>INDEX(医院2县区2人!$B$2:$B$1048576,MATCH(L2107,医院2县区2人!$A$2:$A$1048576,0))</f>
        <v>4</v>
      </c>
      <c r="N2107" s="6" t="str">
        <f>INDEX(医院2县区2人!$C$2:$C$1048576,MATCH(L2107,医院2县区2人!$A$2:$A$1048576,0))</f>
        <v>1853</v>
      </c>
      <c r="P2107" s="7">
        <v>43280</v>
      </c>
      <c r="Q2107" s="6">
        <v>3</v>
      </c>
      <c r="R2107" s="6">
        <v>25</v>
      </c>
      <c r="S2107" s="6">
        <v>17090722</v>
      </c>
      <c r="T2107" s="6" t="str">
        <f>INDEX(医院2县区2人!$D$2:$D$1048576,MATCH(L2107,医院2县区2人!$A$2:$A$1048576,0))</f>
        <v>201602151421097</v>
      </c>
      <c r="W2107" s="6" t="str">
        <f t="shared" si="67"/>
        <v>葡萄糖酸钙口服溶液10ml*12支</v>
      </c>
      <c r="X2107" s="6" t="s">
        <v>2871</v>
      </c>
    </row>
    <row r="2108" spans="1:24" x14ac:dyDescent="0.15">
      <c r="A2108" s="7" t="str">
        <f t="shared" si="68"/>
        <v>201806</v>
      </c>
      <c r="C2108" s="6" t="str">
        <f>INDEX(工厂基础数据!$A$2:$A$1024,MATCH(X2108,工厂基础数据!$D$2:$D$1024,0))</f>
        <v>02031912</v>
      </c>
      <c r="E2108" s="6" t="str">
        <f>INDEX(工厂基础数据!$B$2:$B$1024,MATCH(X2108,工厂基础数据!$D$2:$D$1024,0))</f>
        <v>滨州弘德药业有限公司</v>
      </c>
      <c r="F2108" s="6">
        <f>INDEX(商业2转码!$B$2:$B$10000,MATCH(E2108,商业2转码!$A$2:$A$10000,0))</f>
        <v>0</v>
      </c>
      <c r="G2108" s="6" t="str">
        <f>INDEX(品种2编码!$A$2:$A$1048576,MATCH(W2108,品种2编码!$D$2:$D$1048576,0))</f>
        <v>0020070000ZYLC0052</v>
      </c>
      <c r="H2108" s="6" t="s">
        <v>1844</v>
      </c>
      <c r="I2108" s="6" t="s">
        <v>411</v>
      </c>
      <c r="J2108" s="6" t="s">
        <v>3036</v>
      </c>
      <c r="L2108" s="6" t="s">
        <v>2391</v>
      </c>
      <c r="M2108" s="6">
        <f>INDEX(医院2县区2人!$B$2:$B$1048576,MATCH(L2108,医院2县区2人!$A$2:$A$1048576,0))</f>
        <v>4</v>
      </c>
      <c r="N2108" s="6" t="str">
        <f>INDEX(医院2县区2人!$C$2:$C$1048576,MATCH(L2108,医院2县区2人!$A$2:$A$1048576,0))</f>
        <v>1853</v>
      </c>
      <c r="P2108" s="7">
        <v>43281</v>
      </c>
      <c r="Q2108" s="6">
        <v>10</v>
      </c>
      <c r="R2108" s="6">
        <v>17</v>
      </c>
      <c r="S2108" s="6">
        <v>170801</v>
      </c>
      <c r="T2108" s="6" t="str">
        <f>INDEX(医院2县区2人!$D$2:$D$1048576,MATCH(L2108,医院2县区2人!$A$2:$A$1048576,0))</f>
        <v>201602151421097</v>
      </c>
      <c r="W2108" s="6" t="str">
        <f t="shared" si="67"/>
        <v>哈药六牌钙加锌口服液10ml*12支</v>
      </c>
      <c r="X2108" s="6" t="s">
        <v>2871</v>
      </c>
    </row>
    <row r="2109" spans="1:24" x14ac:dyDescent="0.15">
      <c r="A2109" s="7" t="str">
        <f t="shared" si="68"/>
        <v>201806</v>
      </c>
      <c r="C2109" s="6" t="str">
        <f>INDEX(工厂基础数据!$A$2:$A$1024,MATCH(X2109,工厂基础数据!$D$2:$D$1024,0))</f>
        <v>02031912</v>
      </c>
      <c r="E2109" s="6" t="str">
        <f>INDEX(工厂基础数据!$B$2:$B$1024,MATCH(X2109,工厂基础数据!$D$2:$D$1024,0))</f>
        <v>滨州弘德药业有限公司</v>
      </c>
      <c r="F2109" s="6">
        <f>INDEX(商业2转码!$B$2:$B$10000,MATCH(E2109,商业2转码!$A$2:$A$10000,0))</f>
        <v>0</v>
      </c>
      <c r="G2109" s="6" t="str">
        <f>INDEX(品种2编码!$A$2:$A$1048576,MATCH(W2109,品种2编码!$D$2:$D$1048576,0))</f>
        <v>0020070001ZYZC0369</v>
      </c>
      <c r="H2109" s="6" t="s">
        <v>1849</v>
      </c>
      <c r="I2109" s="6" t="s">
        <v>411</v>
      </c>
      <c r="J2109" s="6" t="s">
        <v>3038</v>
      </c>
      <c r="L2109" s="6" t="s">
        <v>2391</v>
      </c>
      <c r="M2109" s="6">
        <f>INDEX(医院2县区2人!$B$2:$B$1048576,MATCH(L2109,医院2县区2人!$A$2:$A$1048576,0))</f>
        <v>4</v>
      </c>
      <c r="N2109" s="6" t="str">
        <f>INDEX(医院2县区2人!$C$2:$C$1048576,MATCH(L2109,医院2县区2人!$A$2:$A$1048576,0))</f>
        <v>1853</v>
      </c>
      <c r="P2109" s="7">
        <v>43281</v>
      </c>
      <c r="Q2109" s="6">
        <v>10</v>
      </c>
      <c r="R2109" s="6">
        <v>18</v>
      </c>
      <c r="S2109" s="6">
        <v>1803036</v>
      </c>
      <c r="T2109" s="6" t="str">
        <f>INDEX(医院2县区2人!$D$2:$D$1048576,MATCH(L2109,医院2县区2人!$A$2:$A$1048576,0))</f>
        <v>201602151421097</v>
      </c>
      <c r="W2109" s="6" t="str">
        <f t="shared" si="67"/>
        <v>哈药牌钙铁锌口服液10ml*12支</v>
      </c>
      <c r="X2109" s="6" t="s">
        <v>2871</v>
      </c>
    </row>
    <row r="2110" spans="1:24" x14ac:dyDescent="0.15">
      <c r="A2110" s="7" t="str">
        <f t="shared" si="68"/>
        <v>201806</v>
      </c>
      <c r="C2110" s="6" t="str">
        <f>INDEX(工厂基础数据!$A$2:$A$1024,MATCH(X2110,工厂基础数据!$D$2:$D$1024,0))</f>
        <v>02031912</v>
      </c>
      <c r="E2110" s="6" t="str">
        <f>INDEX(工厂基础数据!$B$2:$B$1024,MATCH(X2110,工厂基础数据!$D$2:$D$1024,0))</f>
        <v>滨州弘德药业有限公司</v>
      </c>
      <c r="F2110" s="6">
        <f>INDEX(商业2转码!$B$2:$B$10000,MATCH(E2110,商业2转码!$A$2:$A$10000,0))</f>
        <v>0</v>
      </c>
      <c r="G2110" s="6" t="str">
        <f>INDEX(品种2编码!$A$2:$A$1048576,MATCH(W2110,品种2编码!$D$2:$D$1048576,0))</f>
        <v>0020030001SJZY0006</v>
      </c>
      <c r="H2110" s="6" t="s">
        <v>1833</v>
      </c>
      <c r="I2110" s="6" t="s">
        <v>411</v>
      </c>
      <c r="J2110" s="6" t="s">
        <v>3040</v>
      </c>
      <c r="L2110" s="6" t="s">
        <v>2391</v>
      </c>
      <c r="M2110" s="6">
        <f>INDEX(医院2县区2人!$B$2:$B$1048576,MATCH(L2110,医院2县区2人!$A$2:$A$1048576,0))</f>
        <v>4</v>
      </c>
      <c r="N2110" s="6" t="str">
        <f>INDEX(医院2县区2人!$C$2:$C$1048576,MATCH(L2110,医院2县区2人!$A$2:$A$1048576,0))</f>
        <v>1853</v>
      </c>
      <c r="P2110" s="7">
        <v>43281</v>
      </c>
      <c r="Q2110" s="6">
        <v>30</v>
      </c>
      <c r="R2110" s="6">
        <v>25</v>
      </c>
      <c r="S2110" s="6">
        <v>17090722</v>
      </c>
      <c r="T2110" s="6" t="str">
        <f>INDEX(医院2县区2人!$D$2:$D$1048576,MATCH(L2110,医院2县区2人!$A$2:$A$1048576,0))</f>
        <v>201602151421097</v>
      </c>
      <c r="W2110" s="6" t="str">
        <f t="shared" ref="W2110:W2172" si="69">H2110&amp;I2110</f>
        <v>葡萄糖酸钙口服溶液10ml*12支</v>
      </c>
      <c r="X2110" s="6" t="s">
        <v>2871</v>
      </c>
    </row>
    <row r="2111" spans="1:24" x14ac:dyDescent="0.15">
      <c r="A2111" s="7" t="str">
        <f t="shared" ref="A2111:A2173" si="70">IF(MONTH(P2111)&lt;10,YEAR(P2111)&amp;"0"&amp;MONTH(P2111),YEAR(P2111)&amp;MONTH(P2111))</f>
        <v>201806</v>
      </c>
      <c r="C2111" s="6" t="str">
        <f>INDEX(工厂基础数据!$A$2:$A$1024,MATCH(X2111,工厂基础数据!$D$2:$D$1024,0))</f>
        <v>02031912</v>
      </c>
      <c r="E2111" s="6" t="str">
        <f>INDEX(工厂基础数据!$B$2:$B$1024,MATCH(X2111,工厂基础数据!$D$2:$D$1024,0))</f>
        <v>滨州弘德药业有限公司</v>
      </c>
      <c r="F2111" s="6">
        <f>INDEX(商业2转码!$B$2:$B$10000,MATCH(E2111,商业2转码!$A$2:$A$10000,0))</f>
        <v>0</v>
      </c>
      <c r="G2111" s="6" t="str">
        <f>INDEX(品种2编码!$A$2:$A$1048576,MATCH(W2111,品种2编码!$D$2:$D$1048576,0))</f>
        <v>0020030001SJZY0009</v>
      </c>
      <c r="H2111" s="6" t="s">
        <v>1949</v>
      </c>
      <c r="I2111" s="6" t="s">
        <v>411</v>
      </c>
      <c r="J2111" s="6" t="s">
        <v>3040</v>
      </c>
      <c r="L2111" s="6" t="s">
        <v>2391</v>
      </c>
      <c r="M2111" s="6">
        <f>INDEX(医院2县区2人!$B$2:$B$1048576,MATCH(L2111,医院2县区2人!$A$2:$A$1048576,0))</f>
        <v>4</v>
      </c>
      <c r="N2111" s="6" t="str">
        <f>INDEX(医院2县区2人!$C$2:$C$1048576,MATCH(L2111,医院2县区2人!$A$2:$A$1048576,0))</f>
        <v>1853</v>
      </c>
      <c r="P2111" s="7">
        <v>43281</v>
      </c>
      <c r="Q2111" s="6">
        <v>8</v>
      </c>
      <c r="R2111" s="6">
        <v>25</v>
      </c>
      <c r="S2111" s="6">
        <v>18031227</v>
      </c>
      <c r="T2111" s="6" t="str">
        <f>INDEX(医院2县区2人!$D$2:$D$1048576,MATCH(L2111,医院2县区2人!$A$2:$A$1048576,0))</f>
        <v>201602151421097</v>
      </c>
      <c r="W2111" s="6" t="str">
        <f t="shared" si="69"/>
        <v>葡萄糖酸锌口服溶液10ml*12支</v>
      </c>
      <c r="X2111" s="6" t="s">
        <v>2871</v>
      </c>
    </row>
    <row r="2112" spans="1:24" x14ac:dyDescent="0.15">
      <c r="A2112" s="7" t="str">
        <f t="shared" si="70"/>
        <v>201806</v>
      </c>
      <c r="C2112" s="6" t="str">
        <f>INDEX(工厂基础数据!$A$2:$A$1024,MATCH(X2112,工厂基础数据!$D$2:$D$1024,0))</f>
        <v>02031388</v>
      </c>
      <c r="E2112" s="6" t="str">
        <f>INDEX(工厂基础数据!$B$2:$B$1024,MATCH(X2112,工厂基础数据!$D$2:$D$1024,0))</f>
        <v>山东悦康园通医药有限公司</v>
      </c>
      <c r="F2112" s="6" t="e">
        <f>INDEX(商业2转码!$B$2:$B$10000,MATCH(E2112,商业2转码!$A$2:$A$10000,0))</f>
        <v>#N/A</v>
      </c>
      <c r="G2112" s="6" t="str">
        <f>INDEX(品种2编码!$A$2:$A$1048576,MATCH(W2112,品种2编码!$D$2:$D$1048576,0))</f>
        <v>0020030020SJSC0004</v>
      </c>
      <c r="H2112" s="6" t="s">
        <v>394</v>
      </c>
      <c r="I2112" s="6" t="s">
        <v>1871</v>
      </c>
      <c r="J2112" s="6" t="s">
        <v>3045</v>
      </c>
      <c r="L2112" s="6" t="s">
        <v>3328</v>
      </c>
      <c r="M2112" s="6" t="e">
        <f>INDEX(医院2县区2人!$B$2:$B$1048576,MATCH(L2112,医院2县区2人!$A$2:$A$1048576,0))</f>
        <v>#N/A</v>
      </c>
      <c r="N2112" s="6" t="e">
        <f>INDEX(医院2县区2人!$C$2:$C$1048576,MATCH(L2112,医院2县区2人!$A$2:$A$1048576,0))</f>
        <v>#N/A</v>
      </c>
      <c r="P2112" s="7">
        <v>43252</v>
      </c>
      <c r="Q2112" s="6">
        <v>30</v>
      </c>
      <c r="S2112" s="6">
        <v>1709020</v>
      </c>
      <c r="T2112" s="6" t="e">
        <f>INDEX(医院2县区2人!$D$2:$D$1048576,MATCH(L2112,医院2县区2人!$A$2:$A$1048576,0))</f>
        <v>#N/A</v>
      </c>
      <c r="W2112" s="6" t="str">
        <f t="shared" si="69"/>
        <v>复方铝酸铋片50片</v>
      </c>
      <c r="X2112" s="6" t="s">
        <v>2922</v>
      </c>
    </row>
    <row r="2113" spans="1:24" x14ac:dyDescent="0.15">
      <c r="A2113" s="7" t="str">
        <f t="shared" si="70"/>
        <v>201806</v>
      </c>
      <c r="C2113" s="6" t="str">
        <f>INDEX(工厂基础数据!$A$2:$A$1024,MATCH(X2113,工厂基础数据!$D$2:$D$1024,0))</f>
        <v>02031388</v>
      </c>
      <c r="E2113" s="6" t="str">
        <f>INDEX(工厂基础数据!$B$2:$B$1024,MATCH(X2113,工厂基础数据!$D$2:$D$1024,0))</f>
        <v>山东悦康园通医药有限公司</v>
      </c>
      <c r="F2113" s="6" t="e">
        <f>INDEX(商业2转码!$B$2:$B$10000,MATCH(E2113,商业2转码!$A$2:$A$10000,0))</f>
        <v>#N/A</v>
      </c>
      <c r="G2113" s="6" t="str">
        <f>INDEX(品种2编码!$A$2:$A$1048576,MATCH(W2113,品种2编码!$D$2:$D$1048576,0))</f>
        <v>0020020020ZYLC0003</v>
      </c>
      <c r="H2113" s="6" t="s">
        <v>1855</v>
      </c>
      <c r="I2113" s="6" t="s">
        <v>381</v>
      </c>
      <c r="J2113" s="6" t="s">
        <v>3036</v>
      </c>
      <c r="L2113" s="6" t="s">
        <v>3471</v>
      </c>
      <c r="M2113" s="6" t="e">
        <f>INDEX(医院2县区2人!$B$2:$B$1048576,MATCH(L2113,医院2县区2人!$A$2:$A$1048576,0))</f>
        <v>#N/A</v>
      </c>
      <c r="N2113" s="6" t="e">
        <f>INDEX(医院2县区2人!$C$2:$C$1048576,MATCH(L2113,医院2县区2人!$A$2:$A$1048576,0))</f>
        <v>#N/A</v>
      </c>
      <c r="P2113" s="7">
        <v>43253</v>
      </c>
      <c r="Q2113" s="6">
        <v>5</v>
      </c>
      <c r="S2113" s="6">
        <v>180301</v>
      </c>
      <c r="T2113" s="6" t="e">
        <f>INDEX(医院2县区2人!$D$2:$D$1048576,MATCH(L2113,医院2县区2人!$A$2:$A$1048576,0))</f>
        <v>#N/A</v>
      </c>
      <c r="W2113" s="6" t="str">
        <f t="shared" si="69"/>
        <v>颠茄磺苄啶片12片</v>
      </c>
      <c r="X2113" s="6" t="s">
        <v>2922</v>
      </c>
    </row>
    <row r="2114" spans="1:24" x14ac:dyDescent="0.15">
      <c r="A2114" s="7" t="str">
        <f t="shared" si="70"/>
        <v>201806</v>
      </c>
      <c r="C2114" s="6" t="str">
        <f>INDEX(工厂基础数据!$A$2:$A$1024,MATCH(X2114,工厂基础数据!$D$2:$D$1024,0))</f>
        <v>02031388</v>
      </c>
      <c r="E2114" s="6" t="str">
        <f>INDEX(工厂基础数据!$B$2:$B$1024,MATCH(X2114,工厂基础数据!$D$2:$D$1024,0))</f>
        <v>山东悦康园通医药有限公司</v>
      </c>
      <c r="F2114" s="6" t="e">
        <f>INDEX(商业2转码!$B$2:$B$10000,MATCH(E2114,商业2转码!$A$2:$A$10000,0))</f>
        <v>#N/A</v>
      </c>
      <c r="G2114" s="6">
        <f>INDEX(品种2编码!$A$2:$A$1048576,MATCH(W2114,品种2编码!$D$2:$D$1048576,0))</f>
        <v>0</v>
      </c>
      <c r="H2114" s="6" t="s">
        <v>911</v>
      </c>
      <c r="I2114" s="6" t="s">
        <v>3453</v>
      </c>
      <c r="J2114" s="6" t="s">
        <v>3038</v>
      </c>
      <c r="L2114" s="6" t="s">
        <v>3472</v>
      </c>
      <c r="M2114" s="6" t="e">
        <f>INDEX(医院2县区2人!$B$2:$B$1048576,MATCH(L2114,医院2县区2人!$A$2:$A$1048576,0))</f>
        <v>#N/A</v>
      </c>
      <c r="N2114" s="6" t="e">
        <f>INDEX(医院2县区2人!$C$2:$C$1048576,MATCH(L2114,医院2县区2人!$A$2:$A$1048576,0))</f>
        <v>#N/A</v>
      </c>
      <c r="P2114" s="7">
        <v>43253</v>
      </c>
      <c r="Q2114" s="6">
        <v>2</v>
      </c>
      <c r="S2114" s="6" t="s">
        <v>3065</v>
      </c>
      <c r="T2114" s="6" t="e">
        <f>INDEX(医院2县区2人!$D$2:$D$1048576,MATCH(L2114,医院2县区2人!$A$2:$A$1048576,0))</f>
        <v>#N/A</v>
      </c>
      <c r="W2114" s="6" t="str">
        <f t="shared" si="69"/>
        <v>注射用乳糖酸阿奇霉素0.25g*10支</v>
      </c>
      <c r="X2114" s="6" t="s">
        <v>2922</v>
      </c>
    </row>
    <row r="2115" spans="1:24" x14ac:dyDescent="0.15">
      <c r="A2115" s="7" t="str">
        <f t="shared" si="70"/>
        <v>201806</v>
      </c>
      <c r="C2115" s="6" t="str">
        <f>INDEX(工厂基础数据!$A$2:$A$1024,MATCH(X2115,工厂基础数据!$D$2:$D$1024,0))</f>
        <v>02031388</v>
      </c>
      <c r="E2115" s="6" t="str">
        <f>INDEX(工厂基础数据!$B$2:$B$1024,MATCH(X2115,工厂基础数据!$D$2:$D$1024,0))</f>
        <v>山东悦康园通医药有限公司</v>
      </c>
      <c r="F2115" s="6" t="e">
        <f>INDEX(商业2转码!$B$2:$B$10000,MATCH(E2115,商业2转码!$A$2:$A$10000,0))</f>
        <v>#N/A</v>
      </c>
      <c r="G2115" s="6" t="str">
        <f>INDEX(品种2编码!$A$2:$A$1048576,MATCH(W2115,品种2编码!$D$2:$D$1048576,0))</f>
        <v>0020030020SJSC0004</v>
      </c>
      <c r="H2115" s="6" t="s">
        <v>394</v>
      </c>
      <c r="I2115" s="6" t="s">
        <v>1871</v>
      </c>
      <c r="J2115" s="6" t="s">
        <v>3045</v>
      </c>
      <c r="L2115" s="6" t="s">
        <v>3473</v>
      </c>
      <c r="M2115" s="6" t="e">
        <f>INDEX(医院2县区2人!$B$2:$B$1048576,MATCH(L2115,医院2县区2人!$A$2:$A$1048576,0))</f>
        <v>#N/A</v>
      </c>
      <c r="N2115" s="6" t="e">
        <f>INDEX(医院2县区2人!$C$2:$C$1048576,MATCH(L2115,医院2县区2人!$A$2:$A$1048576,0))</f>
        <v>#N/A</v>
      </c>
      <c r="P2115" s="7">
        <v>43255</v>
      </c>
      <c r="Q2115" s="6">
        <v>2</v>
      </c>
      <c r="S2115" s="6">
        <v>1709020</v>
      </c>
      <c r="T2115" s="6" t="e">
        <f>INDEX(医院2县区2人!$D$2:$D$1048576,MATCH(L2115,医院2县区2人!$A$2:$A$1048576,0))</f>
        <v>#N/A</v>
      </c>
      <c r="W2115" s="6" t="str">
        <f t="shared" si="69"/>
        <v>复方铝酸铋片50片</v>
      </c>
      <c r="X2115" s="6" t="s">
        <v>2922</v>
      </c>
    </row>
    <row r="2116" spans="1:24" x14ac:dyDescent="0.15">
      <c r="A2116" s="7" t="str">
        <f t="shared" si="70"/>
        <v>201806</v>
      </c>
      <c r="C2116" s="6" t="str">
        <f>INDEX(工厂基础数据!$A$2:$A$1024,MATCH(X2116,工厂基础数据!$D$2:$D$1024,0))</f>
        <v>02031388</v>
      </c>
      <c r="E2116" s="6" t="str">
        <f>INDEX(工厂基础数据!$B$2:$B$1024,MATCH(X2116,工厂基础数据!$D$2:$D$1024,0))</f>
        <v>山东悦康园通医药有限公司</v>
      </c>
      <c r="F2116" s="6" t="e">
        <f>INDEX(商业2转码!$B$2:$B$10000,MATCH(E2116,商业2转码!$A$2:$A$10000,0))</f>
        <v>#N/A</v>
      </c>
      <c r="G2116" s="6">
        <f>INDEX(品种2编码!$A$2:$A$1048576,MATCH(W2116,品种2编码!$D$2:$D$1048576,0))</f>
        <v>0</v>
      </c>
      <c r="H2116" s="6" t="s">
        <v>630</v>
      </c>
      <c r="I2116" s="6" t="s">
        <v>3521</v>
      </c>
      <c r="J2116" s="6" t="s">
        <v>3040</v>
      </c>
      <c r="L2116" s="6" t="s">
        <v>2945</v>
      </c>
      <c r="M2116" s="6">
        <f>INDEX(医院2县区2人!$B$2:$B$1048576,MATCH(L2116,医院2县区2人!$A$2:$A$1048576,0))</f>
        <v>0</v>
      </c>
      <c r="N2116" s="6">
        <f>INDEX(医院2县区2人!$C$2:$C$1048576,MATCH(L2116,医院2县区2人!$A$2:$A$1048576,0))</f>
        <v>0</v>
      </c>
      <c r="P2116" s="7">
        <v>43255</v>
      </c>
      <c r="Q2116" s="6">
        <v>17</v>
      </c>
      <c r="S2116" s="6">
        <v>17062811</v>
      </c>
      <c r="T2116" s="6">
        <f>INDEX(医院2县区2人!$D$2:$D$1048576,MATCH(L2116,医院2县区2人!$A$2:$A$1048576,0))</f>
        <v>0</v>
      </c>
      <c r="W2116" s="6" t="str">
        <f t="shared" si="69"/>
        <v>双黄连口服液10ml*10支（1ml相当于1.5g）</v>
      </c>
      <c r="X2116" s="6" t="s">
        <v>2922</v>
      </c>
    </row>
    <row r="2117" spans="1:24" x14ac:dyDescent="0.15">
      <c r="A2117" s="7" t="str">
        <f t="shared" si="70"/>
        <v>201806</v>
      </c>
      <c r="C2117" s="6" t="str">
        <f>INDEX(工厂基础数据!$A$2:$A$1024,MATCH(X2117,工厂基础数据!$D$2:$D$1024,0))</f>
        <v>02031388</v>
      </c>
      <c r="E2117" s="6" t="str">
        <f>INDEX(工厂基础数据!$B$2:$B$1024,MATCH(X2117,工厂基础数据!$D$2:$D$1024,0))</f>
        <v>山东悦康园通医药有限公司</v>
      </c>
      <c r="F2117" s="6" t="e">
        <f>INDEX(商业2转码!$B$2:$B$10000,MATCH(E2117,商业2转码!$A$2:$A$10000,0))</f>
        <v>#N/A</v>
      </c>
      <c r="G2117" s="6" t="str">
        <f>INDEX(品种2编码!$A$2:$A$1048576,MATCH(W2117,品种2编码!$D$2:$D$1048576,0))</f>
        <v>0020020020ZYLC0003</v>
      </c>
      <c r="H2117" s="6" t="s">
        <v>1855</v>
      </c>
      <c r="I2117" s="6" t="s">
        <v>381</v>
      </c>
      <c r="J2117" s="6" t="s">
        <v>3036</v>
      </c>
      <c r="L2117" s="6" t="s">
        <v>3474</v>
      </c>
      <c r="M2117" s="6" t="e">
        <f>INDEX(医院2县区2人!$B$2:$B$1048576,MATCH(L2117,医院2县区2人!$A$2:$A$1048576,0))</f>
        <v>#N/A</v>
      </c>
      <c r="N2117" s="6" t="e">
        <f>INDEX(医院2县区2人!$C$2:$C$1048576,MATCH(L2117,医院2县区2人!$A$2:$A$1048576,0))</f>
        <v>#N/A</v>
      </c>
      <c r="P2117" s="7">
        <v>43255</v>
      </c>
      <c r="Q2117" s="6">
        <v>10</v>
      </c>
      <c r="S2117" s="6">
        <v>180301</v>
      </c>
      <c r="T2117" s="6" t="e">
        <f>INDEX(医院2县区2人!$D$2:$D$1048576,MATCH(L2117,医院2县区2人!$A$2:$A$1048576,0))</f>
        <v>#N/A</v>
      </c>
      <c r="W2117" s="6" t="str">
        <f t="shared" si="69"/>
        <v>颠茄磺苄啶片12片</v>
      </c>
      <c r="X2117" s="6" t="s">
        <v>2922</v>
      </c>
    </row>
    <row r="2118" spans="1:24" x14ac:dyDescent="0.15">
      <c r="A2118" s="7" t="str">
        <f t="shared" si="70"/>
        <v>201806</v>
      </c>
      <c r="C2118" s="6" t="str">
        <f>INDEX(工厂基础数据!$A$2:$A$1024,MATCH(X2118,工厂基础数据!$D$2:$D$1024,0))</f>
        <v>02031388</v>
      </c>
      <c r="E2118" s="6" t="str">
        <f>INDEX(工厂基础数据!$B$2:$B$1024,MATCH(X2118,工厂基础数据!$D$2:$D$1024,0))</f>
        <v>山东悦康园通医药有限公司</v>
      </c>
      <c r="F2118" s="6" t="e">
        <f>INDEX(商业2转码!$B$2:$B$10000,MATCH(E2118,商业2转码!$A$2:$A$10000,0))</f>
        <v>#N/A</v>
      </c>
      <c r="G2118" s="6" t="str">
        <f>INDEX(品种2编码!$A$2:$A$1048576,MATCH(W2118,品种2编码!$D$2:$D$1048576,0))</f>
        <v>0020020020ZYLC0003</v>
      </c>
      <c r="H2118" s="6" t="s">
        <v>1855</v>
      </c>
      <c r="I2118" s="6" t="s">
        <v>381</v>
      </c>
      <c r="J2118" s="6" t="s">
        <v>3036</v>
      </c>
      <c r="L2118" s="6" t="s">
        <v>3097</v>
      </c>
      <c r="M2118" s="6" t="e">
        <f>INDEX(医院2县区2人!$B$2:$B$1048576,MATCH(L2118,医院2县区2人!$A$2:$A$1048576,0))</f>
        <v>#N/A</v>
      </c>
      <c r="N2118" s="6" t="e">
        <f>INDEX(医院2县区2人!$C$2:$C$1048576,MATCH(L2118,医院2县区2人!$A$2:$A$1048576,0))</f>
        <v>#N/A</v>
      </c>
      <c r="P2118" s="7">
        <v>43255</v>
      </c>
      <c r="Q2118" s="6">
        <v>2</v>
      </c>
      <c r="S2118" s="6">
        <v>170706</v>
      </c>
      <c r="T2118" s="6" t="e">
        <f>INDEX(医院2县区2人!$D$2:$D$1048576,MATCH(L2118,医院2县区2人!$A$2:$A$1048576,0))</f>
        <v>#N/A</v>
      </c>
      <c r="W2118" s="6" t="str">
        <f t="shared" si="69"/>
        <v>颠茄磺苄啶片12片</v>
      </c>
      <c r="X2118" s="6" t="s">
        <v>2922</v>
      </c>
    </row>
    <row r="2119" spans="1:24" x14ac:dyDescent="0.15">
      <c r="A2119" s="7" t="str">
        <f t="shared" si="70"/>
        <v>201806</v>
      </c>
      <c r="C2119" s="6" t="str">
        <f>INDEX(工厂基础数据!$A$2:$A$1024,MATCH(X2119,工厂基础数据!$D$2:$D$1024,0))</f>
        <v>02031388</v>
      </c>
      <c r="E2119" s="6" t="str">
        <f>INDEX(工厂基础数据!$B$2:$B$1024,MATCH(X2119,工厂基础数据!$D$2:$D$1024,0))</f>
        <v>山东悦康园通医药有限公司</v>
      </c>
      <c r="F2119" s="6" t="e">
        <f>INDEX(商业2转码!$B$2:$B$10000,MATCH(E2119,商业2转码!$A$2:$A$10000,0))</f>
        <v>#N/A</v>
      </c>
      <c r="G2119" s="6" t="str">
        <f>INDEX(品种2编码!$A$2:$A$1048576,MATCH(W2119,品种2编码!$D$2:$D$1048576,0))</f>
        <v>0020030040ZYLC0001</v>
      </c>
      <c r="H2119" s="6" t="s">
        <v>1953</v>
      </c>
      <c r="I2119" s="6" t="s">
        <v>1954</v>
      </c>
      <c r="J2119" s="6" t="s">
        <v>3036</v>
      </c>
      <c r="L2119" s="6" t="s">
        <v>3475</v>
      </c>
      <c r="M2119" s="6" t="e">
        <f>INDEX(医院2县区2人!$B$2:$B$1048576,MATCH(L2119,医院2县区2人!$A$2:$A$1048576,0))</f>
        <v>#N/A</v>
      </c>
      <c r="N2119" s="6" t="e">
        <f>INDEX(医院2县区2人!$C$2:$C$1048576,MATCH(L2119,医院2县区2人!$A$2:$A$1048576,0))</f>
        <v>#N/A</v>
      </c>
      <c r="P2119" s="7">
        <v>43255</v>
      </c>
      <c r="Q2119" s="6">
        <v>10</v>
      </c>
      <c r="S2119" s="6">
        <v>171117</v>
      </c>
      <c r="T2119" s="6" t="e">
        <f>INDEX(医院2县区2人!$D$2:$D$1048576,MATCH(L2119,医院2县区2人!$A$2:$A$1048576,0))</f>
        <v>#N/A</v>
      </c>
      <c r="W2119" s="6" t="str">
        <f t="shared" si="69"/>
        <v>小儿氨酚黄那敏颗粒12袋</v>
      </c>
      <c r="X2119" s="6" t="s">
        <v>2922</v>
      </c>
    </row>
    <row r="2120" spans="1:24" x14ac:dyDescent="0.15">
      <c r="A2120" s="7" t="str">
        <f t="shared" si="70"/>
        <v>201806</v>
      </c>
      <c r="C2120" s="6" t="str">
        <f>INDEX(工厂基础数据!$A$2:$A$1024,MATCH(X2120,工厂基础数据!$D$2:$D$1024,0))</f>
        <v>02031388</v>
      </c>
      <c r="E2120" s="6" t="str">
        <f>INDEX(工厂基础数据!$B$2:$B$1024,MATCH(X2120,工厂基础数据!$D$2:$D$1024,0))</f>
        <v>山东悦康园通医药有限公司</v>
      </c>
      <c r="F2120" s="6" t="e">
        <f>INDEX(商业2转码!$B$2:$B$10000,MATCH(E2120,商业2转码!$A$2:$A$10000,0))</f>
        <v>#N/A</v>
      </c>
      <c r="G2120" s="6" t="str">
        <f>INDEX(品种2编码!$A$2:$A$1048576,MATCH(W2120,品种2编码!$D$2:$D$1048576,0))</f>
        <v>0020020020ZYLC0003</v>
      </c>
      <c r="H2120" s="6" t="s">
        <v>1855</v>
      </c>
      <c r="I2120" s="6" t="s">
        <v>381</v>
      </c>
      <c r="J2120" s="6" t="s">
        <v>3036</v>
      </c>
      <c r="L2120" s="6" t="s">
        <v>3317</v>
      </c>
      <c r="M2120" s="6" t="e">
        <f>INDEX(医院2县区2人!$B$2:$B$1048576,MATCH(L2120,医院2县区2人!$A$2:$A$1048576,0))</f>
        <v>#N/A</v>
      </c>
      <c r="N2120" s="6" t="e">
        <f>INDEX(医院2县区2人!$C$2:$C$1048576,MATCH(L2120,医院2县区2人!$A$2:$A$1048576,0))</f>
        <v>#N/A</v>
      </c>
      <c r="P2120" s="7">
        <v>43255</v>
      </c>
      <c r="Q2120" s="6">
        <v>50</v>
      </c>
      <c r="S2120" s="6">
        <v>180301</v>
      </c>
      <c r="T2120" s="6" t="e">
        <f>INDEX(医院2县区2人!$D$2:$D$1048576,MATCH(L2120,医院2县区2人!$A$2:$A$1048576,0))</f>
        <v>#N/A</v>
      </c>
      <c r="W2120" s="6" t="str">
        <f t="shared" si="69"/>
        <v>颠茄磺苄啶片12片</v>
      </c>
      <c r="X2120" s="6" t="s">
        <v>2922</v>
      </c>
    </row>
    <row r="2121" spans="1:24" x14ac:dyDescent="0.15">
      <c r="A2121" s="7" t="str">
        <f t="shared" si="70"/>
        <v>201806</v>
      </c>
      <c r="C2121" s="6" t="str">
        <f>INDEX(工厂基础数据!$A$2:$A$1024,MATCH(X2121,工厂基础数据!$D$2:$D$1024,0))</f>
        <v>02031388</v>
      </c>
      <c r="E2121" s="6" t="str">
        <f>INDEX(工厂基础数据!$B$2:$B$1024,MATCH(X2121,工厂基础数据!$D$2:$D$1024,0))</f>
        <v>山东悦康园通医药有限公司</v>
      </c>
      <c r="F2121" s="6" t="e">
        <f>INDEX(商业2转码!$B$2:$B$10000,MATCH(E2121,商业2转码!$A$2:$A$10000,0))</f>
        <v>#N/A</v>
      </c>
      <c r="G2121" s="6" t="str">
        <f>INDEX(品种2编码!$A$2:$A$1048576,MATCH(W2121,品种2编码!$D$2:$D$1048576,0))</f>
        <v>0020030040ZYLC0001</v>
      </c>
      <c r="H2121" s="6" t="s">
        <v>1953</v>
      </c>
      <c r="I2121" s="6" t="s">
        <v>1954</v>
      </c>
      <c r="J2121" s="6" t="s">
        <v>3036</v>
      </c>
      <c r="L2121" s="6" t="s">
        <v>3476</v>
      </c>
      <c r="M2121" s="6" t="e">
        <f>INDEX(医院2县区2人!$B$2:$B$1048576,MATCH(L2121,医院2县区2人!$A$2:$A$1048576,0))</f>
        <v>#N/A</v>
      </c>
      <c r="N2121" s="6" t="e">
        <f>INDEX(医院2县区2人!$C$2:$C$1048576,MATCH(L2121,医院2县区2人!$A$2:$A$1048576,0))</f>
        <v>#N/A</v>
      </c>
      <c r="P2121" s="7">
        <v>43255</v>
      </c>
      <c r="Q2121" s="6">
        <v>10</v>
      </c>
      <c r="S2121" s="6">
        <v>171117</v>
      </c>
      <c r="T2121" s="6" t="e">
        <f>INDEX(医院2县区2人!$D$2:$D$1048576,MATCH(L2121,医院2县区2人!$A$2:$A$1048576,0))</f>
        <v>#N/A</v>
      </c>
      <c r="W2121" s="6" t="str">
        <f t="shared" si="69"/>
        <v>小儿氨酚黄那敏颗粒12袋</v>
      </c>
      <c r="X2121" s="6" t="s">
        <v>2922</v>
      </c>
    </row>
    <row r="2122" spans="1:24" x14ac:dyDescent="0.15">
      <c r="A2122" s="7" t="str">
        <f t="shared" si="70"/>
        <v>201806</v>
      </c>
      <c r="C2122" s="6" t="str">
        <f>INDEX(工厂基础数据!$A$2:$A$1024,MATCH(X2122,工厂基础数据!$D$2:$D$1024,0))</f>
        <v>02031388</v>
      </c>
      <c r="E2122" s="6" t="str">
        <f>INDEX(工厂基础数据!$B$2:$B$1024,MATCH(X2122,工厂基础数据!$D$2:$D$1024,0))</f>
        <v>山东悦康园通医药有限公司</v>
      </c>
      <c r="F2122" s="6" t="e">
        <f>INDEX(商业2转码!$B$2:$B$10000,MATCH(E2122,商业2转码!$A$2:$A$10000,0))</f>
        <v>#N/A</v>
      </c>
      <c r="G2122" s="6">
        <f>INDEX(品种2编码!$A$2:$A$1048576,MATCH(W2122,品种2编码!$D$2:$D$1048576,0))</f>
        <v>0</v>
      </c>
      <c r="H2122" s="6" t="s">
        <v>1833</v>
      </c>
      <c r="I2122" s="6" t="s">
        <v>3522</v>
      </c>
      <c r="J2122" s="6" t="s">
        <v>3040</v>
      </c>
      <c r="L2122" s="6" t="s">
        <v>3477</v>
      </c>
      <c r="M2122" s="6" t="e">
        <f>INDEX(医院2县区2人!$B$2:$B$1048576,MATCH(L2122,医院2县区2人!$A$2:$A$1048576,0))</f>
        <v>#N/A</v>
      </c>
      <c r="N2122" s="6" t="e">
        <f>INDEX(医院2县区2人!$C$2:$C$1048576,MATCH(L2122,医院2县区2人!$A$2:$A$1048576,0))</f>
        <v>#N/A</v>
      </c>
      <c r="P2122" s="7">
        <v>43256</v>
      </c>
      <c r="Q2122" s="6">
        <v>2</v>
      </c>
      <c r="S2122" s="6">
        <v>18030832</v>
      </c>
      <c r="T2122" s="6" t="e">
        <f>INDEX(医院2县区2人!$D$2:$D$1048576,MATCH(L2122,医院2县区2人!$A$2:$A$1048576,0))</f>
        <v>#N/A</v>
      </c>
      <c r="W2122" s="6" t="str">
        <f t="shared" si="69"/>
        <v>葡萄糖酸钙口服溶液10ml*12支（含糖型）</v>
      </c>
      <c r="X2122" s="6" t="s">
        <v>2922</v>
      </c>
    </row>
    <row r="2123" spans="1:24" x14ac:dyDescent="0.15">
      <c r="A2123" s="7" t="str">
        <f t="shared" si="70"/>
        <v>201806</v>
      </c>
      <c r="C2123" s="6" t="str">
        <f>INDEX(工厂基础数据!$A$2:$A$1024,MATCH(X2123,工厂基础数据!$D$2:$D$1024,0))</f>
        <v>02031388</v>
      </c>
      <c r="E2123" s="6" t="str">
        <f>INDEX(工厂基础数据!$B$2:$B$1024,MATCH(X2123,工厂基础数据!$D$2:$D$1024,0))</f>
        <v>山东悦康园通医药有限公司</v>
      </c>
      <c r="F2123" s="6" t="e">
        <f>INDEX(商业2转码!$B$2:$B$10000,MATCH(E2123,商业2转码!$A$2:$A$10000,0))</f>
        <v>#N/A</v>
      </c>
      <c r="G2123" s="6" t="str">
        <f>INDEX(品种2编码!$A$2:$A$1048576,MATCH(W2123,品种2编码!$D$2:$D$1048576,0))</f>
        <v>0020030001SJZY0009</v>
      </c>
      <c r="H2123" s="6" t="s">
        <v>1949</v>
      </c>
      <c r="I2123" s="6" t="s">
        <v>411</v>
      </c>
      <c r="J2123" s="6" t="s">
        <v>3040</v>
      </c>
      <c r="L2123" s="6" t="s">
        <v>3477</v>
      </c>
      <c r="M2123" s="6" t="e">
        <f>INDEX(医院2县区2人!$B$2:$B$1048576,MATCH(L2123,医院2县区2人!$A$2:$A$1048576,0))</f>
        <v>#N/A</v>
      </c>
      <c r="N2123" s="6" t="e">
        <f>INDEX(医院2县区2人!$C$2:$C$1048576,MATCH(L2123,医院2县区2人!$A$2:$A$1048576,0))</f>
        <v>#N/A</v>
      </c>
      <c r="P2123" s="7">
        <v>43256</v>
      </c>
      <c r="Q2123" s="6">
        <v>2</v>
      </c>
      <c r="S2123" s="6">
        <v>17120711</v>
      </c>
      <c r="T2123" s="6" t="e">
        <f>INDEX(医院2县区2人!$D$2:$D$1048576,MATCH(L2123,医院2县区2人!$A$2:$A$1048576,0))</f>
        <v>#N/A</v>
      </c>
      <c r="W2123" s="6" t="str">
        <f t="shared" si="69"/>
        <v>葡萄糖酸锌口服溶液10ml*12支</v>
      </c>
      <c r="X2123" s="6" t="s">
        <v>2922</v>
      </c>
    </row>
    <row r="2124" spans="1:24" x14ac:dyDescent="0.15">
      <c r="A2124" s="7" t="str">
        <f t="shared" si="70"/>
        <v>201806</v>
      </c>
      <c r="C2124" s="6" t="str">
        <f>INDEX(工厂基础数据!$A$2:$A$1024,MATCH(X2124,工厂基础数据!$D$2:$D$1024,0))</f>
        <v>02031388</v>
      </c>
      <c r="E2124" s="6" t="str">
        <f>INDEX(工厂基础数据!$B$2:$B$1024,MATCH(X2124,工厂基础数据!$D$2:$D$1024,0))</f>
        <v>山东悦康园通医药有限公司</v>
      </c>
      <c r="F2124" s="6" t="e">
        <f>INDEX(商业2转码!$B$2:$B$10000,MATCH(E2124,商业2转码!$A$2:$A$10000,0))</f>
        <v>#N/A</v>
      </c>
      <c r="G2124" s="6" t="str">
        <f>INDEX(品种2编码!$A$2:$A$1048576,MATCH(W2124,品种2编码!$D$2:$D$1048576,0))</f>
        <v>0020020020ZYLC0003</v>
      </c>
      <c r="H2124" s="6" t="s">
        <v>1855</v>
      </c>
      <c r="I2124" s="6" t="s">
        <v>381</v>
      </c>
      <c r="J2124" s="6" t="s">
        <v>3036</v>
      </c>
      <c r="L2124" s="6" t="s">
        <v>3478</v>
      </c>
      <c r="M2124" s="6" t="e">
        <f>INDEX(医院2县区2人!$B$2:$B$1048576,MATCH(L2124,医院2县区2人!$A$2:$A$1048576,0))</f>
        <v>#N/A</v>
      </c>
      <c r="N2124" s="6" t="e">
        <f>INDEX(医院2县区2人!$C$2:$C$1048576,MATCH(L2124,医院2县区2人!$A$2:$A$1048576,0))</f>
        <v>#N/A</v>
      </c>
      <c r="P2124" s="7">
        <v>43256</v>
      </c>
      <c r="Q2124" s="6">
        <v>20</v>
      </c>
      <c r="S2124" s="6">
        <v>180301</v>
      </c>
      <c r="T2124" s="6" t="e">
        <f>INDEX(医院2县区2人!$D$2:$D$1048576,MATCH(L2124,医院2县区2人!$A$2:$A$1048576,0))</f>
        <v>#N/A</v>
      </c>
      <c r="W2124" s="6" t="str">
        <f t="shared" si="69"/>
        <v>颠茄磺苄啶片12片</v>
      </c>
      <c r="X2124" s="6" t="s">
        <v>2922</v>
      </c>
    </row>
    <row r="2125" spans="1:24" x14ac:dyDescent="0.15">
      <c r="A2125" s="7" t="str">
        <f t="shared" si="70"/>
        <v>201806</v>
      </c>
      <c r="C2125" s="6" t="str">
        <f>INDEX(工厂基础数据!$A$2:$A$1024,MATCH(X2125,工厂基础数据!$D$2:$D$1024,0))</f>
        <v>02031388</v>
      </c>
      <c r="E2125" s="6" t="str">
        <f>INDEX(工厂基础数据!$B$2:$B$1024,MATCH(X2125,工厂基础数据!$D$2:$D$1024,0))</f>
        <v>山东悦康园通医药有限公司</v>
      </c>
      <c r="F2125" s="6" t="e">
        <f>INDEX(商业2转码!$B$2:$B$10000,MATCH(E2125,商业2转码!$A$2:$A$10000,0))</f>
        <v>#N/A</v>
      </c>
      <c r="G2125" s="6" t="str">
        <f>INDEX(品种2编码!$A$2:$A$1048576,MATCH(W2125,品种2编码!$D$2:$D$1048576,0))</f>
        <v>0020020020ZYLC0003</v>
      </c>
      <c r="H2125" s="6" t="s">
        <v>1855</v>
      </c>
      <c r="I2125" s="6" t="s">
        <v>381</v>
      </c>
      <c r="J2125" s="6" t="s">
        <v>3036</v>
      </c>
      <c r="L2125" s="6" t="s">
        <v>3103</v>
      </c>
      <c r="M2125" s="6" t="e">
        <f>INDEX(医院2县区2人!$B$2:$B$1048576,MATCH(L2125,医院2县区2人!$A$2:$A$1048576,0))</f>
        <v>#N/A</v>
      </c>
      <c r="N2125" s="6" t="e">
        <f>INDEX(医院2县区2人!$C$2:$C$1048576,MATCH(L2125,医院2县区2人!$A$2:$A$1048576,0))</f>
        <v>#N/A</v>
      </c>
      <c r="P2125" s="7">
        <v>43256</v>
      </c>
      <c r="Q2125" s="6">
        <v>5</v>
      </c>
      <c r="S2125" s="6">
        <v>180301</v>
      </c>
      <c r="T2125" s="6" t="e">
        <f>INDEX(医院2县区2人!$D$2:$D$1048576,MATCH(L2125,医院2县区2人!$A$2:$A$1048576,0))</f>
        <v>#N/A</v>
      </c>
      <c r="W2125" s="6" t="str">
        <f t="shared" si="69"/>
        <v>颠茄磺苄啶片12片</v>
      </c>
      <c r="X2125" s="6" t="s">
        <v>2922</v>
      </c>
    </row>
    <row r="2126" spans="1:24" x14ac:dyDescent="0.15">
      <c r="A2126" s="7" t="str">
        <f t="shared" si="70"/>
        <v>201806</v>
      </c>
      <c r="C2126" s="6" t="str">
        <f>INDEX(工厂基础数据!$A$2:$A$1024,MATCH(X2126,工厂基础数据!$D$2:$D$1024,0))</f>
        <v>02031388</v>
      </c>
      <c r="E2126" s="6" t="str">
        <f>INDEX(工厂基础数据!$B$2:$B$1024,MATCH(X2126,工厂基础数据!$D$2:$D$1024,0))</f>
        <v>山东悦康园通医药有限公司</v>
      </c>
      <c r="F2126" s="6" t="e">
        <f>INDEX(商业2转码!$B$2:$B$10000,MATCH(E2126,商业2转码!$A$2:$A$10000,0))</f>
        <v>#N/A</v>
      </c>
      <c r="G2126" s="6" t="str">
        <f>INDEX(品种2编码!$A$2:$A$1048576,MATCH(W2126,品种2编码!$D$2:$D$1048576,0))</f>
        <v>0020030001SJZY0009</v>
      </c>
      <c r="H2126" s="6" t="s">
        <v>1949</v>
      </c>
      <c r="I2126" s="6" t="s">
        <v>411</v>
      </c>
      <c r="J2126" s="6" t="s">
        <v>3040</v>
      </c>
      <c r="L2126" s="6" t="s">
        <v>3479</v>
      </c>
      <c r="M2126" s="6" t="e">
        <f>INDEX(医院2县区2人!$B$2:$B$1048576,MATCH(L2126,医院2县区2人!$A$2:$A$1048576,0))</f>
        <v>#N/A</v>
      </c>
      <c r="N2126" s="6" t="e">
        <f>INDEX(医院2县区2人!$C$2:$C$1048576,MATCH(L2126,医院2县区2人!$A$2:$A$1048576,0))</f>
        <v>#N/A</v>
      </c>
      <c r="P2126" s="7">
        <v>43257</v>
      </c>
      <c r="Q2126" s="6">
        <v>1</v>
      </c>
      <c r="S2126" s="6">
        <v>17120711</v>
      </c>
      <c r="T2126" s="6" t="e">
        <f>INDEX(医院2县区2人!$D$2:$D$1048576,MATCH(L2126,医院2县区2人!$A$2:$A$1048576,0))</f>
        <v>#N/A</v>
      </c>
      <c r="W2126" s="6" t="str">
        <f t="shared" si="69"/>
        <v>葡萄糖酸锌口服溶液10ml*12支</v>
      </c>
      <c r="X2126" s="6" t="s">
        <v>2922</v>
      </c>
    </row>
    <row r="2127" spans="1:24" x14ac:dyDescent="0.15">
      <c r="A2127" s="7" t="str">
        <f t="shared" si="70"/>
        <v>201806</v>
      </c>
      <c r="C2127" s="6" t="str">
        <f>INDEX(工厂基础数据!$A$2:$A$1024,MATCH(X2127,工厂基础数据!$D$2:$D$1024,0))</f>
        <v>02031388</v>
      </c>
      <c r="E2127" s="6" t="str">
        <f>INDEX(工厂基础数据!$B$2:$B$1024,MATCH(X2127,工厂基础数据!$D$2:$D$1024,0))</f>
        <v>山东悦康园通医药有限公司</v>
      </c>
      <c r="F2127" s="6" t="e">
        <f>INDEX(商业2转码!$B$2:$B$10000,MATCH(E2127,商业2转码!$A$2:$A$10000,0))</f>
        <v>#N/A</v>
      </c>
      <c r="G2127" s="6" t="str">
        <f>INDEX(品种2编码!$A$2:$A$1048576,MATCH(W2127,品种2编码!$D$2:$D$1048576,0))</f>
        <v>0020030040ZYLC0001</v>
      </c>
      <c r="H2127" s="6" t="s">
        <v>1953</v>
      </c>
      <c r="I2127" s="6" t="s">
        <v>1954</v>
      </c>
      <c r="J2127" s="6" t="s">
        <v>3036</v>
      </c>
      <c r="L2127" s="6" t="s">
        <v>3480</v>
      </c>
      <c r="M2127" s="6" t="e">
        <f>INDEX(医院2县区2人!$B$2:$B$1048576,MATCH(L2127,医院2县区2人!$A$2:$A$1048576,0))</f>
        <v>#N/A</v>
      </c>
      <c r="N2127" s="6" t="e">
        <f>INDEX(医院2县区2人!$C$2:$C$1048576,MATCH(L2127,医院2县区2人!$A$2:$A$1048576,0))</f>
        <v>#N/A</v>
      </c>
      <c r="P2127" s="7">
        <v>43258</v>
      </c>
      <c r="Q2127" s="6">
        <v>10</v>
      </c>
      <c r="S2127" s="6">
        <v>171117</v>
      </c>
      <c r="T2127" s="6" t="e">
        <f>INDEX(医院2县区2人!$D$2:$D$1048576,MATCH(L2127,医院2县区2人!$A$2:$A$1048576,0))</f>
        <v>#N/A</v>
      </c>
      <c r="W2127" s="6" t="str">
        <f t="shared" si="69"/>
        <v>小儿氨酚黄那敏颗粒12袋</v>
      </c>
      <c r="X2127" s="6" t="s">
        <v>2922</v>
      </c>
    </row>
    <row r="2128" spans="1:24" x14ac:dyDescent="0.15">
      <c r="A2128" s="7" t="str">
        <f t="shared" si="70"/>
        <v>201806</v>
      </c>
      <c r="C2128" s="6" t="str">
        <f>INDEX(工厂基础数据!$A$2:$A$1024,MATCH(X2128,工厂基础数据!$D$2:$D$1024,0))</f>
        <v>02031388</v>
      </c>
      <c r="E2128" s="6" t="str">
        <f>INDEX(工厂基础数据!$B$2:$B$1024,MATCH(X2128,工厂基础数据!$D$2:$D$1024,0))</f>
        <v>山东悦康园通医药有限公司</v>
      </c>
      <c r="F2128" s="6" t="e">
        <f>INDEX(商业2转码!$B$2:$B$10000,MATCH(E2128,商业2转码!$A$2:$A$10000,0))</f>
        <v>#N/A</v>
      </c>
      <c r="G2128" s="6" t="str">
        <f>INDEX(品种2编码!$A$2:$A$1048576,MATCH(W2128,品种2编码!$D$2:$D$1048576,0))</f>
        <v>0020030040ZYLC0001</v>
      </c>
      <c r="H2128" s="6" t="s">
        <v>1953</v>
      </c>
      <c r="I2128" s="6" t="s">
        <v>1954</v>
      </c>
      <c r="J2128" s="6" t="s">
        <v>3036</v>
      </c>
      <c r="L2128" s="6" t="s">
        <v>3480</v>
      </c>
      <c r="M2128" s="6" t="e">
        <f>INDEX(医院2县区2人!$B$2:$B$1048576,MATCH(L2128,医院2县区2人!$A$2:$A$1048576,0))</f>
        <v>#N/A</v>
      </c>
      <c r="N2128" s="6" t="e">
        <f>INDEX(医院2县区2人!$C$2:$C$1048576,MATCH(L2128,医院2县区2人!$A$2:$A$1048576,0))</f>
        <v>#N/A</v>
      </c>
      <c r="P2128" s="7">
        <v>43258</v>
      </c>
      <c r="Q2128" s="6">
        <v>40</v>
      </c>
      <c r="S2128" s="6">
        <v>180184</v>
      </c>
      <c r="T2128" s="6" t="e">
        <f>INDEX(医院2县区2人!$D$2:$D$1048576,MATCH(L2128,医院2县区2人!$A$2:$A$1048576,0))</f>
        <v>#N/A</v>
      </c>
      <c r="W2128" s="6" t="str">
        <f t="shared" si="69"/>
        <v>小儿氨酚黄那敏颗粒12袋</v>
      </c>
      <c r="X2128" s="6" t="s">
        <v>2922</v>
      </c>
    </row>
    <row r="2129" spans="1:24" x14ac:dyDescent="0.15">
      <c r="A2129" s="7" t="str">
        <f t="shared" si="70"/>
        <v>201806</v>
      </c>
      <c r="C2129" s="6" t="str">
        <f>INDEX(工厂基础数据!$A$2:$A$1024,MATCH(X2129,工厂基础数据!$D$2:$D$1024,0))</f>
        <v>02031388</v>
      </c>
      <c r="E2129" s="6" t="str">
        <f>INDEX(工厂基础数据!$B$2:$B$1024,MATCH(X2129,工厂基础数据!$D$2:$D$1024,0))</f>
        <v>山东悦康园通医药有限公司</v>
      </c>
      <c r="F2129" s="6" t="e">
        <f>INDEX(商业2转码!$B$2:$B$10000,MATCH(E2129,商业2转码!$A$2:$A$10000,0))</f>
        <v>#N/A</v>
      </c>
      <c r="G2129" s="6" t="str">
        <f>INDEX(品种2编码!$A$2:$A$1048576,MATCH(W2129,品种2编码!$D$2:$D$1048576,0))</f>
        <v>0020030040ZYLC0001</v>
      </c>
      <c r="H2129" s="6" t="s">
        <v>1953</v>
      </c>
      <c r="I2129" s="6" t="s">
        <v>1954</v>
      </c>
      <c r="J2129" s="6" t="s">
        <v>3036</v>
      </c>
      <c r="L2129" s="6" t="s">
        <v>3481</v>
      </c>
      <c r="M2129" s="6" t="e">
        <f>INDEX(医院2县区2人!$B$2:$B$1048576,MATCH(L2129,医院2县区2人!$A$2:$A$1048576,0))</f>
        <v>#N/A</v>
      </c>
      <c r="N2129" s="6" t="e">
        <f>INDEX(医院2县区2人!$C$2:$C$1048576,MATCH(L2129,医院2县区2人!$A$2:$A$1048576,0))</f>
        <v>#N/A</v>
      </c>
      <c r="P2129" s="7">
        <v>43258</v>
      </c>
      <c r="Q2129" s="6">
        <v>10</v>
      </c>
      <c r="S2129" s="6">
        <v>180184</v>
      </c>
      <c r="T2129" s="6" t="e">
        <f>INDEX(医院2县区2人!$D$2:$D$1048576,MATCH(L2129,医院2县区2人!$A$2:$A$1048576,0))</f>
        <v>#N/A</v>
      </c>
      <c r="W2129" s="6" t="str">
        <f t="shared" si="69"/>
        <v>小儿氨酚黄那敏颗粒12袋</v>
      </c>
      <c r="X2129" s="6" t="s">
        <v>2922</v>
      </c>
    </row>
    <row r="2130" spans="1:24" x14ac:dyDescent="0.15">
      <c r="A2130" s="7" t="str">
        <f t="shared" si="70"/>
        <v>201806</v>
      </c>
      <c r="C2130" s="6" t="str">
        <f>INDEX(工厂基础数据!$A$2:$A$1024,MATCH(X2130,工厂基础数据!$D$2:$D$1024,0))</f>
        <v>02031388</v>
      </c>
      <c r="E2130" s="6" t="str">
        <f>INDEX(工厂基础数据!$B$2:$B$1024,MATCH(X2130,工厂基础数据!$D$2:$D$1024,0))</f>
        <v>山东悦康园通医药有限公司</v>
      </c>
      <c r="F2130" s="6" t="e">
        <f>INDEX(商业2转码!$B$2:$B$10000,MATCH(E2130,商业2转码!$A$2:$A$10000,0))</f>
        <v>#N/A</v>
      </c>
      <c r="G2130" s="6" t="str">
        <f>INDEX(品种2编码!$A$2:$A$1048576,MATCH(W2130,品种2编码!$D$2:$D$1048576,0))</f>
        <v>0020030040ZYLC0001</v>
      </c>
      <c r="H2130" s="6" t="s">
        <v>1953</v>
      </c>
      <c r="I2130" s="6" t="s">
        <v>1954</v>
      </c>
      <c r="J2130" s="6" t="s">
        <v>3036</v>
      </c>
      <c r="L2130" s="6" t="s">
        <v>3482</v>
      </c>
      <c r="M2130" s="6" t="e">
        <f>INDEX(医院2县区2人!$B$2:$B$1048576,MATCH(L2130,医院2县区2人!$A$2:$A$1048576,0))</f>
        <v>#N/A</v>
      </c>
      <c r="N2130" s="6" t="e">
        <f>INDEX(医院2县区2人!$C$2:$C$1048576,MATCH(L2130,医院2县区2人!$A$2:$A$1048576,0))</f>
        <v>#N/A</v>
      </c>
      <c r="P2130" s="7">
        <v>43258</v>
      </c>
      <c r="Q2130" s="6">
        <v>1</v>
      </c>
      <c r="S2130" s="6">
        <v>180184</v>
      </c>
      <c r="T2130" s="6" t="e">
        <f>INDEX(医院2县区2人!$D$2:$D$1048576,MATCH(L2130,医院2县区2人!$A$2:$A$1048576,0))</f>
        <v>#N/A</v>
      </c>
      <c r="W2130" s="6" t="str">
        <f t="shared" si="69"/>
        <v>小儿氨酚黄那敏颗粒12袋</v>
      </c>
      <c r="X2130" s="6" t="s">
        <v>2922</v>
      </c>
    </row>
    <row r="2131" spans="1:24" x14ac:dyDescent="0.15">
      <c r="A2131" s="7" t="str">
        <f t="shared" si="70"/>
        <v>201806</v>
      </c>
      <c r="C2131" s="6" t="str">
        <f>INDEX(工厂基础数据!$A$2:$A$1024,MATCH(X2131,工厂基础数据!$D$2:$D$1024,0))</f>
        <v>02031388</v>
      </c>
      <c r="E2131" s="6" t="str">
        <f>INDEX(工厂基础数据!$B$2:$B$1024,MATCH(X2131,工厂基础数据!$D$2:$D$1024,0))</f>
        <v>山东悦康园通医药有限公司</v>
      </c>
      <c r="F2131" s="6" t="e">
        <f>INDEX(商业2转码!$B$2:$B$10000,MATCH(E2131,商业2转码!$A$2:$A$10000,0))</f>
        <v>#N/A</v>
      </c>
      <c r="G2131" s="6">
        <f>INDEX(品种2编码!$A$2:$A$1048576,MATCH(W2131,品种2编码!$D$2:$D$1048576,0))</f>
        <v>0</v>
      </c>
      <c r="H2131" s="6" t="s">
        <v>911</v>
      </c>
      <c r="I2131" s="6" t="s">
        <v>3453</v>
      </c>
      <c r="J2131" s="6" t="s">
        <v>3038</v>
      </c>
      <c r="L2131" s="6" t="s">
        <v>3483</v>
      </c>
      <c r="M2131" s="6" t="e">
        <f>INDEX(医院2县区2人!$B$2:$B$1048576,MATCH(L2131,医院2县区2人!$A$2:$A$1048576,0))</f>
        <v>#N/A</v>
      </c>
      <c r="N2131" s="6" t="e">
        <f>INDEX(医院2县区2人!$C$2:$C$1048576,MATCH(L2131,医院2县区2人!$A$2:$A$1048576,0))</f>
        <v>#N/A</v>
      </c>
      <c r="P2131" s="7">
        <v>43258</v>
      </c>
      <c r="Q2131" s="6">
        <v>1</v>
      </c>
      <c r="S2131" s="6" t="s">
        <v>3065</v>
      </c>
      <c r="T2131" s="6" t="e">
        <f>INDEX(医院2县区2人!$D$2:$D$1048576,MATCH(L2131,医院2县区2人!$A$2:$A$1048576,0))</f>
        <v>#N/A</v>
      </c>
      <c r="W2131" s="6" t="str">
        <f t="shared" si="69"/>
        <v>注射用乳糖酸阿奇霉素0.25g*10支</v>
      </c>
      <c r="X2131" s="6" t="s">
        <v>2922</v>
      </c>
    </row>
    <row r="2132" spans="1:24" x14ac:dyDescent="0.15">
      <c r="A2132" s="7" t="str">
        <f t="shared" si="70"/>
        <v>201806</v>
      </c>
      <c r="C2132" s="6" t="str">
        <f>INDEX(工厂基础数据!$A$2:$A$1024,MATCH(X2132,工厂基础数据!$D$2:$D$1024,0))</f>
        <v>02031388</v>
      </c>
      <c r="E2132" s="6" t="str">
        <f>INDEX(工厂基础数据!$B$2:$B$1024,MATCH(X2132,工厂基础数据!$D$2:$D$1024,0))</f>
        <v>山东悦康园通医药有限公司</v>
      </c>
      <c r="F2132" s="6" t="e">
        <f>INDEX(商业2转码!$B$2:$B$10000,MATCH(E2132,商业2转码!$A$2:$A$10000,0))</f>
        <v>#N/A</v>
      </c>
      <c r="G2132" s="6">
        <f>INDEX(品种2编码!$A$2:$A$1048576,MATCH(W2132,品种2编码!$D$2:$D$1048576,0))</f>
        <v>0</v>
      </c>
      <c r="H2132" s="6" t="s">
        <v>494</v>
      </c>
      <c r="I2132" s="6" t="s">
        <v>2932</v>
      </c>
      <c r="J2132" s="6" t="s">
        <v>3036</v>
      </c>
      <c r="L2132" s="6" t="s">
        <v>3480</v>
      </c>
      <c r="M2132" s="6" t="e">
        <f>INDEX(医院2县区2人!$B$2:$B$1048576,MATCH(L2132,医院2县区2人!$A$2:$A$1048576,0))</f>
        <v>#N/A</v>
      </c>
      <c r="N2132" s="6" t="e">
        <f>INDEX(医院2县区2人!$C$2:$C$1048576,MATCH(L2132,医院2县区2人!$A$2:$A$1048576,0))</f>
        <v>#N/A</v>
      </c>
      <c r="P2132" s="7">
        <v>43259</v>
      </c>
      <c r="Q2132" s="6">
        <v>50</v>
      </c>
      <c r="S2132" s="6">
        <v>171101</v>
      </c>
      <c r="T2132" s="6" t="e">
        <f>INDEX(医院2县区2人!$D$2:$D$1048576,MATCH(L2132,医院2县区2人!$A$2:$A$1048576,0))</f>
        <v>#N/A</v>
      </c>
      <c r="W2132" s="6" t="str">
        <f t="shared" si="69"/>
        <v>罗红霉素分散片(严迪)75mg*12s</v>
      </c>
      <c r="X2132" s="6" t="s">
        <v>2922</v>
      </c>
    </row>
    <row r="2133" spans="1:24" x14ac:dyDescent="0.15">
      <c r="A2133" s="7" t="str">
        <f t="shared" si="70"/>
        <v>201806</v>
      </c>
      <c r="C2133" s="6" t="str">
        <f>INDEX(工厂基础数据!$A$2:$A$1024,MATCH(X2133,工厂基础数据!$D$2:$D$1024,0))</f>
        <v>02031388</v>
      </c>
      <c r="E2133" s="6" t="str">
        <f>INDEX(工厂基础数据!$B$2:$B$1024,MATCH(X2133,工厂基础数据!$D$2:$D$1024,0))</f>
        <v>山东悦康园通医药有限公司</v>
      </c>
      <c r="F2133" s="6" t="e">
        <f>INDEX(商业2转码!$B$2:$B$10000,MATCH(E2133,商业2转码!$A$2:$A$10000,0))</f>
        <v>#N/A</v>
      </c>
      <c r="G2133" s="6" t="str">
        <f>INDEX(品种2编码!$A$2:$A$1048576,MATCH(W2133,品种2编码!$D$2:$D$1048576,0))</f>
        <v>0020020020ZYLC0003</v>
      </c>
      <c r="H2133" s="6" t="s">
        <v>1855</v>
      </c>
      <c r="I2133" s="6" t="s">
        <v>381</v>
      </c>
      <c r="J2133" s="6" t="s">
        <v>3036</v>
      </c>
      <c r="L2133" s="6" t="s">
        <v>3484</v>
      </c>
      <c r="M2133" s="6" t="e">
        <f>INDEX(医院2县区2人!$B$2:$B$1048576,MATCH(L2133,医院2县区2人!$A$2:$A$1048576,0))</f>
        <v>#N/A</v>
      </c>
      <c r="N2133" s="6" t="e">
        <f>INDEX(医院2县区2人!$C$2:$C$1048576,MATCH(L2133,医院2县区2人!$A$2:$A$1048576,0))</f>
        <v>#N/A</v>
      </c>
      <c r="P2133" s="7">
        <v>43259</v>
      </c>
      <c r="Q2133" s="6">
        <v>10</v>
      </c>
      <c r="S2133" s="6">
        <v>180301</v>
      </c>
      <c r="T2133" s="6" t="e">
        <f>INDEX(医院2县区2人!$D$2:$D$1048576,MATCH(L2133,医院2县区2人!$A$2:$A$1048576,0))</f>
        <v>#N/A</v>
      </c>
      <c r="W2133" s="6" t="str">
        <f t="shared" si="69"/>
        <v>颠茄磺苄啶片12片</v>
      </c>
      <c r="X2133" s="6" t="s">
        <v>2922</v>
      </c>
    </row>
    <row r="2134" spans="1:24" x14ac:dyDescent="0.15">
      <c r="A2134" s="7" t="str">
        <f t="shared" si="70"/>
        <v>201806</v>
      </c>
      <c r="C2134" s="6" t="str">
        <f>INDEX(工厂基础数据!$A$2:$A$1024,MATCH(X2134,工厂基础数据!$D$2:$D$1024,0))</f>
        <v>02031388</v>
      </c>
      <c r="E2134" s="6" t="str">
        <f>INDEX(工厂基础数据!$B$2:$B$1024,MATCH(X2134,工厂基础数据!$D$2:$D$1024,0))</f>
        <v>山东悦康园通医药有限公司</v>
      </c>
      <c r="F2134" s="6" t="e">
        <f>INDEX(商业2转码!$B$2:$B$10000,MATCH(E2134,商业2转码!$A$2:$A$10000,0))</f>
        <v>#N/A</v>
      </c>
      <c r="G2134" s="6" t="str">
        <f>INDEX(品种2编码!$A$2:$A$1048576,MATCH(W2134,品种2编码!$D$2:$D$1048576,0))</f>
        <v>0020020021ZYLC0005</v>
      </c>
      <c r="H2134" s="6" t="s">
        <v>1950</v>
      </c>
      <c r="I2134" s="6" t="s">
        <v>1841</v>
      </c>
      <c r="J2134" s="6" t="s">
        <v>3036</v>
      </c>
      <c r="L2134" s="6" t="s">
        <v>3485</v>
      </c>
      <c r="M2134" s="6" t="e">
        <f>INDEX(医院2县区2人!$B$2:$B$1048576,MATCH(L2134,医院2县区2人!$A$2:$A$1048576,0))</f>
        <v>#N/A</v>
      </c>
      <c r="N2134" s="6" t="e">
        <f>INDEX(医院2县区2人!$C$2:$C$1048576,MATCH(L2134,医院2县区2人!$A$2:$A$1048576,0))</f>
        <v>#N/A</v>
      </c>
      <c r="P2134" s="7">
        <v>43259</v>
      </c>
      <c r="Q2134" s="6">
        <v>20</v>
      </c>
      <c r="S2134" s="6">
        <v>161102</v>
      </c>
      <c r="T2134" s="6" t="e">
        <f>INDEX(医院2县区2人!$D$2:$D$1048576,MATCH(L2134,医院2县区2人!$A$2:$A$1048576,0))</f>
        <v>#N/A</v>
      </c>
      <c r="W2134" s="6" t="str">
        <f t="shared" si="69"/>
        <v>罗红霉素分散片50mg*12片</v>
      </c>
      <c r="X2134" s="6" t="s">
        <v>2922</v>
      </c>
    </row>
    <row r="2135" spans="1:24" x14ac:dyDescent="0.15">
      <c r="A2135" s="7" t="str">
        <f t="shared" si="70"/>
        <v>201806</v>
      </c>
      <c r="C2135" s="6" t="str">
        <f>INDEX(工厂基础数据!$A$2:$A$1024,MATCH(X2135,工厂基础数据!$D$2:$D$1024,0))</f>
        <v>02031388</v>
      </c>
      <c r="E2135" s="6" t="str">
        <f>INDEX(工厂基础数据!$B$2:$B$1024,MATCH(X2135,工厂基础数据!$D$2:$D$1024,0))</f>
        <v>山东悦康园通医药有限公司</v>
      </c>
      <c r="F2135" s="6" t="e">
        <f>INDEX(商业2转码!$B$2:$B$10000,MATCH(E2135,商业2转码!$A$2:$A$10000,0))</f>
        <v>#N/A</v>
      </c>
      <c r="G2135" s="6" t="str">
        <f>INDEX(品种2编码!$A$2:$A$1048576,MATCH(W2135,品种2编码!$D$2:$D$1048576,0))</f>
        <v>0020030040ZYLC0001</v>
      </c>
      <c r="H2135" s="6" t="s">
        <v>1953</v>
      </c>
      <c r="I2135" s="6" t="s">
        <v>1954</v>
      </c>
      <c r="J2135" s="6" t="s">
        <v>3036</v>
      </c>
      <c r="L2135" s="6" t="s">
        <v>3486</v>
      </c>
      <c r="M2135" s="6" t="e">
        <f>INDEX(医院2县区2人!$B$2:$B$1048576,MATCH(L2135,医院2县区2人!$A$2:$A$1048576,0))</f>
        <v>#N/A</v>
      </c>
      <c r="N2135" s="6" t="e">
        <f>INDEX(医院2县区2人!$C$2:$C$1048576,MATCH(L2135,医院2县区2人!$A$2:$A$1048576,0))</f>
        <v>#N/A</v>
      </c>
      <c r="P2135" s="7">
        <v>43259</v>
      </c>
      <c r="Q2135" s="6">
        <v>10</v>
      </c>
      <c r="S2135" s="6">
        <v>180184</v>
      </c>
      <c r="T2135" s="6" t="e">
        <f>INDEX(医院2县区2人!$D$2:$D$1048576,MATCH(L2135,医院2县区2人!$A$2:$A$1048576,0))</f>
        <v>#N/A</v>
      </c>
      <c r="W2135" s="6" t="str">
        <f t="shared" si="69"/>
        <v>小儿氨酚黄那敏颗粒12袋</v>
      </c>
      <c r="X2135" s="6" t="s">
        <v>2922</v>
      </c>
    </row>
    <row r="2136" spans="1:24" x14ac:dyDescent="0.15">
      <c r="A2136" s="7" t="str">
        <f t="shared" si="70"/>
        <v>201806</v>
      </c>
      <c r="C2136" s="6" t="str">
        <f>INDEX(工厂基础数据!$A$2:$A$1024,MATCH(X2136,工厂基础数据!$D$2:$D$1024,0))</f>
        <v>02031388</v>
      </c>
      <c r="E2136" s="6" t="str">
        <f>INDEX(工厂基础数据!$B$2:$B$1024,MATCH(X2136,工厂基础数据!$D$2:$D$1024,0))</f>
        <v>山东悦康园通医药有限公司</v>
      </c>
      <c r="F2136" s="6" t="e">
        <f>INDEX(商业2转码!$B$2:$B$10000,MATCH(E2136,商业2转码!$A$2:$A$10000,0))</f>
        <v>#N/A</v>
      </c>
      <c r="G2136" s="6">
        <f>INDEX(品种2编码!$A$2:$A$1048576,MATCH(W2136,品种2编码!$D$2:$D$1048576,0))</f>
        <v>0</v>
      </c>
      <c r="H2136" s="6" t="s">
        <v>911</v>
      </c>
      <c r="I2136" s="6" t="s">
        <v>3453</v>
      </c>
      <c r="J2136" s="6" t="s">
        <v>3038</v>
      </c>
      <c r="L2136" s="6" t="s">
        <v>3487</v>
      </c>
      <c r="M2136" s="6" t="e">
        <f>INDEX(医院2县区2人!$B$2:$B$1048576,MATCH(L2136,医院2县区2人!$A$2:$A$1048576,0))</f>
        <v>#N/A</v>
      </c>
      <c r="N2136" s="6" t="e">
        <f>INDEX(医院2县区2人!$C$2:$C$1048576,MATCH(L2136,医院2县区2人!$A$2:$A$1048576,0))</f>
        <v>#N/A</v>
      </c>
      <c r="P2136" s="7">
        <v>43259</v>
      </c>
      <c r="Q2136" s="6">
        <v>5</v>
      </c>
      <c r="S2136" s="6" t="s">
        <v>3065</v>
      </c>
      <c r="T2136" s="6" t="e">
        <f>INDEX(医院2县区2人!$D$2:$D$1048576,MATCH(L2136,医院2县区2人!$A$2:$A$1048576,0))</f>
        <v>#N/A</v>
      </c>
      <c r="W2136" s="6" t="str">
        <f t="shared" si="69"/>
        <v>注射用乳糖酸阿奇霉素0.25g*10支</v>
      </c>
      <c r="X2136" s="6" t="s">
        <v>2922</v>
      </c>
    </row>
    <row r="2137" spans="1:24" x14ac:dyDescent="0.15">
      <c r="A2137" s="7" t="str">
        <f t="shared" si="70"/>
        <v>201806</v>
      </c>
      <c r="C2137" s="6" t="str">
        <f>INDEX(工厂基础数据!$A$2:$A$1024,MATCH(X2137,工厂基础数据!$D$2:$D$1024,0))</f>
        <v>02031388</v>
      </c>
      <c r="E2137" s="6" t="str">
        <f>INDEX(工厂基础数据!$B$2:$B$1024,MATCH(X2137,工厂基础数据!$D$2:$D$1024,0))</f>
        <v>山东悦康园通医药有限公司</v>
      </c>
      <c r="F2137" s="6" t="e">
        <f>INDEX(商业2转码!$B$2:$B$10000,MATCH(E2137,商业2转码!$A$2:$A$10000,0))</f>
        <v>#N/A</v>
      </c>
      <c r="G2137" s="6">
        <f>INDEX(品种2编码!$A$2:$A$1048576,MATCH(W2137,品种2编码!$D$2:$D$1048576,0))</f>
        <v>0</v>
      </c>
      <c r="H2137" s="6" t="s">
        <v>494</v>
      </c>
      <c r="I2137" s="6" t="s">
        <v>2932</v>
      </c>
      <c r="J2137" s="6" t="s">
        <v>3036</v>
      </c>
      <c r="L2137" s="6" t="s">
        <v>3488</v>
      </c>
      <c r="M2137" s="6" t="e">
        <f>INDEX(医院2县区2人!$B$2:$B$1048576,MATCH(L2137,医院2县区2人!$A$2:$A$1048576,0))</f>
        <v>#N/A</v>
      </c>
      <c r="N2137" s="6" t="e">
        <f>INDEX(医院2县区2人!$C$2:$C$1048576,MATCH(L2137,医院2县区2人!$A$2:$A$1048576,0))</f>
        <v>#N/A</v>
      </c>
      <c r="P2137" s="7">
        <v>43260</v>
      </c>
      <c r="Q2137" s="6">
        <v>10</v>
      </c>
      <c r="S2137" s="6">
        <v>171101</v>
      </c>
      <c r="T2137" s="6" t="e">
        <f>INDEX(医院2县区2人!$D$2:$D$1048576,MATCH(L2137,医院2县区2人!$A$2:$A$1048576,0))</f>
        <v>#N/A</v>
      </c>
      <c r="W2137" s="6" t="str">
        <f t="shared" si="69"/>
        <v>罗红霉素分散片(严迪)75mg*12s</v>
      </c>
      <c r="X2137" s="6" t="s">
        <v>2922</v>
      </c>
    </row>
    <row r="2138" spans="1:24" x14ac:dyDescent="0.15">
      <c r="A2138" s="7" t="str">
        <f t="shared" si="70"/>
        <v>201806</v>
      </c>
      <c r="C2138" s="6" t="str">
        <f>INDEX(工厂基础数据!$A$2:$A$1024,MATCH(X2138,工厂基础数据!$D$2:$D$1024,0))</f>
        <v>02031388</v>
      </c>
      <c r="E2138" s="6" t="str">
        <f>INDEX(工厂基础数据!$B$2:$B$1024,MATCH(X2138,工厂基础数据!$D$2:$D$1024,0))</f>
        <v>山东悦康园通医药有限公司</v>
      </c>
      <c r="F2138" s="6" t="e">
        <f>INDEX(商业2转码!$B$2:$B$10000,MATCH(E2138,商业2转码!$A$2:$A$10000,0))</f>
        <v>#N/A</v>
      </c>
      <c r="G2138" s="6" t="str">
        <f>INDEX(品种2编码!$A$2:$A$1048576,MATCH(W2138,品种2编码!$D$2:$D$1048576,0))</f>
        <v>0020030001SJZY0009</v>
      </c>
      <c r="H2138" s="6" t="s">
        <v>1949</v>
      </c>
      <c r="I2138" s="6" t="s">
        <v>411</v>
      </c>
      <c r="J2138" s="6" t="s">
        <v>3040</v>
      </c>
      <c r="L2138" s="6" t="s">
        <v>3489</v>
      </c>
      <c r="M2138" s="6" t="e">
        <f>INDEX(医院2县区2人!$B$2:$B$1048576,MATCH(L2138,医院2县区2人!$A$2:$A$1048576,0))</f>
        <v>#N/A</v>
      </c>
      <c r="N2138" s="6" t="e">
        <f>INDEX(医院2县区2人!$C$2:$C$1048576,MATCH(L2138,医院2县区2人!$A$2:$A$1048576,0))</f>
        <v>#N/A</v>
      </c>
      <c r="P2138" s="7">
        <v>43262</v>
      </c>
      <c r="Q2138" s="6">
        <v>3</v>
      </c>
      <c r="S2138" s="6">
        <v>17120711</v>
      </c>
      <c r="T2138" s="6" t="e">
        <f>INDEX(医院2县区2人!$D$2:$D$1048576,MATCH(L2138,医院2县区2人!$A$2:$A$1048576,0))</f>
        <v>#N/A</v>
      </c>
      <c r="W2138" s="6" t="str">
        <f t="shared" si="69"/>
        <v>葡萄糖酸锌口服溶液10ml*12支</v>
      </c>
      <c r="X2138" s="6" t="s">
        <v>2922</v>
      </c>
    </row>
    <row r="2139" spans="1:24" x14ac:dyDescent="0.15">
      <c r="A2139" s="7" t="str">
        <f t="shared" si="70"/>
        <v>201806</v>
      </c>
      <c r="C2139" s="6" t="str">
        <f>INDEX(工厂基础数据!$A$2:$A$1024,MATCH(X2139,工厂基础数据!$D$2:$D$1024,0))</f>
        <v>02031388</v>
      </c>
      <c r="E2139" s="6" t="str">
        <f>INDEX(工厂基础数据!$B$2:$B$1024,MATCH(X2139,工厂基础数据!$D$2:$D$1024,0))</f>
        <v>山东悦康园通医药有限公司</v>
      </c>
      <c r="F2139" s="6" t="e">
        <f>INDEX(商业2转码!$B$2:$B$10000,MATCH(E2139,商业2转码!$A$2:$A$10000,0))</f>
        <v>#N/A</v>
      </c>
      <c r="G2139" s="6" t="str">
        <f>INDEX(品种2编码!$A$2:$A$1048576,MATCH(W2139,品种2编码!$D$2:$D$1048576,0))</f>
        <v>0020020020ZYLC0003</v>
      </c>
      <c r="H2139" s="6" t="s">
        <v>1855</v>
      </c>
      <c r="I2139" s="6" t="s">
        <v>381</v>
      </c>
      <c r="J2139" s="6" t="s">
        <v>3036</v>
      </c>
      <c r="L2139" s="6" t="s">
        <v>3474</v>
      </c>
      <c r="M2139" s="6" t="e">
        <f>INDEX(医院2县区2人!$B$2:$B$1048576,MATCH(L2139,医院2县区2人!$A$2:$A$1048576,0))</f>
        <v>#N/A</v>
      </c>
      <c r="N2139" s="6" t="e">
        <f>INDEX(医院2县区2人!$C$2:$C$1048576,MATCH(L2139,医院2县区2人!$A$2:$A$1048576,0))</f>
        <v>#N/A</v>
      </c>
      <c r="P2139" s="7">
        <v>43262</v>
      </c>
      <c r="Q2139" s="6">
        <v>10</v>
      </c>
      <c r="S2139" s="6">
        <v>180301</v>
      </c>
      <c r="T2139" s="6" t="e">
        <f>INDEX(医院2县区2人!$D$2:$D$1048576,MATCH(L2139,医院2县区2人!$A$2:$A$1048576,0))</f>
        <v>#N/A</v>
      </c>
      <c r="W2139" s="6" t="str">
        <f t="shared" si="69"/>
        <v>颠茄磺苄啶片12片</v>
      </c>
      <c r="X2139" s="6" t="s">
        <v>2922</v>
      </c>
    </row>
    <row r="2140" spans="1:24" x14ac:dyDescent="0.15">
      <c r="A2140" s="7" t="str">
        <f t="shared" si="70"/>
        <v>201806</v>
      </c>
      <c r="C2140" s="6" t="str">
        <f>INDEX(工厂基础数据!$A$2:$A$1024,MATCH(X2140,工厂基础数据!$D$2:$D$1024,0))</f>
        <v>02031388</v>
      </c>
      <c r="E2140" s="6" t="str">
        <f>INDEX(工厂基础数据!$B$2:$B$1024,MATCH(X2140,工厂基础数据!$D$2:$D$1024,0))</f>
        <v>山东悦康园通医药有限公司</v>
      </c>
      <c r="F2140" s="6" t="e">
        <f>INDEX(商业2转码!$B$2:$B$10000,MATCH(E2140,商业2转码!$A$2:$A$10000,0))</f>
        <v>#N/A</v>
      </c>
      <c r="G2140" s="6">
        <f>INDEX(品种2编码!$A$2:$A$1048576,MATCH(W2140,品种2编码!$D$2:$D$1048576,0))</f>
        <v>0</v>
      </c>
      <c r="H2140" s="6" t="s">
        <v>911</v>
      </c>
      <c r="I2140" s="6" t="s">
        <v>3453</v>
      </c>
      <c r="J2140" s="6" t="s">
        <v>3038</v>
      </c>
      <c r="L2140" s="6" t="s">
        <v>3490</v>
      </c>
      <c r="M2140" s="6" t="e">
        <f>INDEX(医院2县区2人!$B$2:$B$1048576,MATCH(L2140,医院2县区2人!$A$2:$A$1048576,0))</f>
        <v>#N/A</v>
      </c>
      <c r="N2140" s="6" t="e">
        <f>INDEX(医院2县区2人!$C$2:$C$1048576,MATCH(L2140,医院2县区2人!$A$2:$A$1048576,0))</f>
        <v>#N/A</v>
      </c>
      <c r="P2140" s="7">
        <v>43262</v>
      </c>
      <c r="Q2140" s="6">
        <v>5</v>
      </c>
      <c r="S2140" s="6" t="s">
        <v>3065</v>
      </c>
      <c r="T2140" s="6" t="e">
        <f>INDEX(医院2县区2人!$D$2:$D$1048576,MATCH(L2140,医院2县区2人!$A$2:$A$1048576,0))</f>
        <v>#N/A</v>
      </c>
      <c r="W2140" s="6" t="str">
        <f t="shared" si="69"/>
        <v>注射用乳糖酸阿奇霉素0.25g*10支</v>
      </c>
      <c r="X2140" s="6" t="s">
        <v>2922</v>
      </c>
    </row>
    <row r="2141" spans="1:24" x14ac:dyDescent="0.15">
      <c r="A2141" s="7" t="str">
        <f t="shared" si="70"/>
        <v>201806</v>
      </c>
      <c r="C2141" s="6" t="str">
        <f>INDEX(工厂基础数据!$A$2:$A$1024,MATCH(X2141,工厂基础数据!$D$2:$D$1024,0))</f>
        <v>02031388</v>
      </c>
      <c r="E2141" s="6" t="str">
        <f>INDEX(工厂基础数据!$B$2:$B$1024,MATCH(X2141,工厂基础数据!$D$2:$D$1024,0))</f>
        <v>山东悦康园通医药有限公司</v>
      </c>
      <c r="F2141" s="6" t="e">
        <f>INDEX(商业2转码!$B$2:$B$10000,MATCH(E2141,商业2转码!$A$2:$A$10000,0))</f>
        <v>#N/A</v>
      </c>
      <c r="G2141" s="6">
        <f>INDEX(品种2编码!$A$2:$A$1048576,MATCH(W2141,品种2编码!$D$2:$D$1048576,0))</f>
        <v>0</v>
      </c>
      <c r="H2141" s="6" t="s">
        <v>911</v>
      </c>
      <c r="I2141" s="6" t="s">
        <v>3453</v>
      </c>
      <c r="J2141" s="6" t="s">
        <v>3038</v>
      </c>
      <c r="L2141" s="6" t="s">
        <v>3491</v>
      </c>
      <c r="M2141" s="6" t="e">
        <f>INDEX(医院2县区2人!$B$2:$B$1048576,MATCH(L2141,医院2县区2人!$A$2:$A$1048576,0))</f>
        <v>#N/A</v>
      </c>
      <c r="N2141" s="6" t="e">
        <f>INDEX(医院2县区2人!$C$2:$C$1048576,MATCH(L2141,医院2县区2人!$A$2:$A$1048576,0))</f>
        <v>#N/A</v>
      </c>
      <c r="P2141" s="7">
        <v>43262</v>
      </c>
      <c r="Q2141" s="6">
        <v>2</v>
      </c>
      <c r="S2141" s="6" t="s">
        <v>3065</v>
      </c>
      <c r="T2141" s="6" t="e">
        <f>INDEX(医院2县区2人!$D$2:$D$1048576,MATCH(L2141,医院2县区2人!$A$2:$A$1048576,0))</f>
        <v>#N/A</v>
      </c>
      <c r="W2141" s="6" t="str">
        <f t="shared" si="69"/>
        <v>注射用乳糖酸阿奇霉素0.25g*10支</v>
      </c>
      <c r="X2141" s="6" t="s">
        <v>2922</v>
      </c>
    </row>
    <row r="2142" spans="1:24" x14ac:dyDescent="0.15">
      <c r="A2142" s="7" t="str">
        <f t="shared" si="70"/>
        <v>201806</v>
      </c>
      <c r="C2142" s="6" t="str">
        <f>INDEX(工厂基础数据!$A$2:$A$1024,MATCH(X2142,工厂基础数据!$D$2:$D$1024,0))</f>
        <v>02031388</v>
      </c>
      <c r="E2142" s="6" t="str">
        <f>INDEX(工厂基础数据!$B$2:$B$1024,MATCH(X2142,工厂基础数据!$D$2:$D$1024,0))</f>
        <v>山东悦康园通医药有限公司</v>
      </c>
      <c r="F2142" s="6" t="e">
        <f>INDEX(商业2转码!$B$2:$B$10000,MATCH(E2142,商业2转码!$A$2:$A$10000,0))</f>
        <v>#N/A</v>
      </c>
      <c r="G2142" s="6">
        <f>INDEX(品种2编码!$A$2:$A$1048576,MATCH(W2142,品种2编码!$D$2:$D$1048576,0))</f>
        <v>0</v>
      </c>
      <c r="H2142" s="6" t="s">
        <v>911</v>
      </c>
      <c r="I2142" s="6" t="s">
        <v>3453</v>
      </c>
      <c r="J2142" s="6" t="s">
        <v>3038</v>
      </c>
      <c r="L2142" s="6" t="s">
        <v>3492</v>
      </c>
      <c r="M2142" s="6" t="e">
        <f>INDEX(医院2县区2人!$B$2:$B$1048576,MATCH(L2142,医院2县区2人!$A$2:$A$1048576,0))</f>
        <v>#N/A</v>
      </c>
      <c r="N2142" s="6" t="e">
        <f>INDEX(医院2县区2人!$C$2:$C$1048576,MATCH(L2142,医院2县区2人!$A$2:$A$1048576,0))</f>
        <v>#N/A</v>
      </c>
      <c r="P2142" s="7">
        <v>43262</v>
      </c>
      <c r="Q2142" s="6">
        <v>1</v>
      </c>
      <c r="S2142" s="6" t="s">
        <v>3065</v>
      </c>
      <c r="T2142" s="6" t="e">
        <f>INDEX(医院2县区2人!$D$2:$D$1048576,MATCH(L2142,医院2县区2人!$A$2:$A$1048576,0))</f>
        <v>#N/A</v>
      </c>
      <c r="W2142" s="6" t="str">
        <f t="shared" si="69"/>
        <v>注射用乳糖酸阿奇霉素0.25g*10支</v>
      </c>
      <c r="X2142" s="6" t="s">
        <v>2922</v>
      </c>
    </row>
    <row r="2143" spans="1:24" x14ac:dyDescent="0.15">
      <c r="A2143" s="7" t="str">
        <f t="shared" si="70"/>
        <v>201806</v>
      </c>
      <c r="C2143" s="6" t="str">
        <f>INDEX(工厂基础数据!$A$2:$A$1024,MATCH(X2143,工厂基础数据!$D$2:$D$1024,0))</f>
        <v>02031388</v>
      </c>
      <c r="E2143" s="6" t="str">
        <f>INDEX(工厂基础数据!$B$2:$B$1024,MATCH(X2143,工厂基础数据!$D$2:$D$1024,0))</f>
        <v>山东悦康园通医药有限公司</v>
      </c>
      <c r="F2143" s="6" t="e">
        <f>INDEX(商业2转码!$B$2:$B$10000,MATCH(E2143,商业2转码!$A$2:$A$10000,0))</f>
        <v>#N/A</v>
      </c>
      <c r="G2143" s="6">
        <f>INDEX(品种2编码!$A$2:$A$1048576,MATCH(W2143,品种2编码!$D$2:$D$1048576,0))</f>
        <v>0</v>
      </c>
      <c r="H2143" s="6" t="s">
        <v>1833</v>
      </c>
      <c r="I2143" s="6" t="s">
        <v>3522</v>
      </c>
      <c r="J2143" s="6" t="s">
        <v>3040</v>
      </c>
      <c r="L2143" s="6" t="s">
        <v>3493</v>
      </c>
      <c r="M2143" s="6" t="e">
        <f>INDEX(医院2县区2人!$B$2:$B$1048576,MATCH(L2143,医院2县区2人!$A$2:$A$1048576,0))</f>
        <v>#N/A</v>
      </c>
      <c r="N2143" s="6" t="e">
        <f>INDEX(医院2县区2人!$C$2:$C$1048576,MATCH(L2143,医院2县区2人!$A$2:$A$1048576,0))</f>
        <v>#N/A</v>
      </c>
      <c r="P2143" s="7">
        <v>43263</v>
      </c>
      <c r="Q2143" s="6">
        <v>20</v>
      </c>
      <c r="S2143" s="6">
        <v>18030832</v>
      </c>
      <c r="T2143" s="6" t="e">
        <f>INDEX(医院2县区2人!$D$2:$D$1048576,MATCH(L2143,医院2县区2人!$A$2:$A$1048576,0))</f>
        <v>#N/A</v>
      </c>
      <c r="W2143" s="6" t="str">
        <f t="shared" si="69"/>
        <v>葡萄糖酸钙口服溶液10ml*12支（含糖型）</v>
      </c>
      <c r="X2143" s="6" t="s">
        <v>2922</v>
      </c>
    </row>
    <row r="2144" spans="1:24" x14ac:dyDescent="0.15">
      <c r="A2144" s="7" t="str">
        <f t="shared" si="70"/>
        <v>201806</v>
      </c>
      <c r="C2144" s="6" t="str">
        <f>INDEX(工厂基础数据!$A$2:$A$1024,MATCH(X2144,工厂基础数据!$D$2:$D$1024,0))</f>
        <v>02031388</v>
      </c>
      <c r="E2144" s="6" t="str">
        <f>INDEX(工厂基础数据!$B$2:$B$1024,MATCH(X2144,工厂基础数据!$D$2:$D$1024,0))</f>
        <v>山东悦康园通医药有限公司</v>
      </c>
      <c r="F2144" s="6" t="e">
        <f>INDEX(商业2转码!$B$2:$B$10000,MATCH(E2144,商业2转码!$A$2:$A$10000,0))</f>
        <v>#N/A</v>
      </c>
      <c r="G2144" s="6" t="str">
        <f>INDEX(品种2编码!$A$2:$A$1048576,MATCH(W2144,品种2编码!$D$2:$D$1048576,0))</f>
        <v>0020030001SJZY0009</v>
      </c>
      <c r="H2144" s="6" t="s">
        <v>1949</v>
      </c>
      <c r="I2144" s="6" t="s">
        <v>411</v>
      </c>
      <c r="J2144" s="6" t="s">
        <v>3040</v>
      </c>
      <c r="L2144" s="6" t="s">
        <v>3493</v>
      </c>
      <c r="M2144" s="6" t="e">
        <f>INDEX(医院2县区2人!$B$2:$B$1048576,MATCH(L2144,医院2县区2人!$A$2:$A$1048576,0))</f>
        <v>#N/A</v>
      </c>
      <c r="N2144" s="6" t="e">
        <f>INDEX(医院2县区2人!$C$2:$C$1048576,MATCH(L2144,医院2县区2人!$A$2:$A$1048576,0))</f>
        <v>#N/A</v>
      </c>
      <c r="P2144" s="7">
        <v>43263</v>
      </c>
      <c r="Q2144" s="6">
        <v>20</v>
      </c>
      <c r="S2144" s="6">
        <v>17120711</v>
      </c>
      <c r="T2144" s="6" t="e">
        <f>INDEX(医院2县区2人!$D$2:$D$1048576,MATCH(L2144,医院2县区2人!$A$2:$A$1048576,0))</f>
        <v>#N/A</v>
      </c>
      <c r="W2144" s="6" t="str">
        <f t="shared" si="69"/>
        <v>葡萄糖酸锌口服溶液10ml*12支</v>
      </c>
      <c r="X2144" s="6" t="s">
        <v>2922</v>
      </c>
    </row>
    <row r="2145" spans="1:24" x14ac:dyDescent="0.15">
      <c r="A2145" s="7" t="str">
        <f t="shared" si="70"/>
        <v>201806</v>
      </c>
      <c r="C2145" s="6" t="str">
        <f>INDEX(工厂基础数据!$A$2:$A$1024,MATCH(X2145,工厂基础数据!$D$2:$D$1024,0))</f>
        <v>02031388</v>
      </c>
      <c r="E2145" s="6" t="str">
        <f>INDEX(工厂基础数据!$B$2:$B$1024,MATCH(X2145,工厂基础数据!$D$2:$D$1024,0))</f>
        <v>山东悦康园通医药有限公司</v>
      </c>
      <c r="F2145" s="6" t="e">
        <f>INDEX(商业2转码!$B$2:$B$10000,MATCH(E2145,商业2转码!$A$2:$A$10000,0))</f>
        <v>#N/A</v>
      </c>
      <c r="G2145" s="6" t="str">
        <f>INDEX(品种2编码!$A$2:$A$1048576,MATCH(W2145,品种2编码!$D$2:$D$1048576,0))</f>
        <v>0020030001SJZY0009</v>
      </c>
      <c r="H2145" s="6" t="s">
        <v>1949</v>
      </c>
      <c r="I2145" s="6" t="s">
        <v>411</v>
      </c>
      <c r="J2145" s="6" t="s">
        <v>3040</v>
      </c>
      <c r="L2145" s="6" t="s">
        <v>3310</v>
      </c>
      <c r="M2145" s="6" t="e">
        <f>INDEX(医院2县区2人!$B$2:$B$1048576,MATCH(L2145,医院2县区2人!$A$2:$A$1048576,0))</f>
        <v>#N/A</v>
      </c>
      <c r="N2145" s="6" t="e">
        <f>INDEX(医院2县区2人!$C$2:$C$1048576,MATCH(L2145,医院2县区2人!$A$2:$A$1048576,0))</f>
        <v>#N/A</v>
      </c>
      <c r="P2145" s="7">
        <v>43263</v>
      </c>
      <c r="Q2145" s="6">
        <v>3</v>
      </c>
      <c r="S2145" s="6">
        <v>17120711</v>
      </c>
      <c r="T2145" s="6" t="e">
        <f>INDEX(医院2县区2人!$D$2:$D$1048576,MATCH(L2145,医院2县区2人!$A$2:$A$1048576,0))</f>
        <v>#N/A</v>
      </c>
      <c r="W2145" s="6" t="str">
        <f t="shared" si="69"/>
        <v>葡萄糖酸锌口服溶液10ml*12支</v>
      </c>
      <c r="X2145" s="6" t="s">
        <v>2922</v>
      </c>
    </row>
    <row r="2146" spans="1:24" x14ac:dyDescent="0.15">
      <c r="A2146" s="7" t="str">
        <f t="shared" si="70"/>
        <v>201806</v>
      </c>
      <c r="C2146" s="6" t="str">
        <f>INDEX(工厂基础数据!$A$2:$A$1024,MATCH(X2146,工厂基础数据!$D$2:$D$1024,0))</f>
        <v>02031388</v>
      </c>
      <c r="E2146" s="6" t="str">
        <f>INDEX(工厂基础数据!$B$2:$B$1024,MATCH(X2146,工厂基础数据!$D$2:$D$1024,0))</f>
        <v>山东悦康园通医药有限公司</v>
      </c>
      <c r="F2146" s="6" t="e">
        <f>INDEX(商业2转码!$B$2:$B$10000,MATCH(E2146,商业2转码!$A$2:$A$10000,0))</f>
        <v>#N/A</v>
      </c>
      <c r="G2146" s="6">
        <f>INDEX(品种2编码!$A$2:$A$1048576,MATCH(W2146,品种2编码!$D$2:$D$1048576,0))</f>
        <v>0</v>
      </c>
      <c r="H2146" s="6" t="s">
        <v>494</v>
      </c>
      <c r="I2146" s="6" t="s">
        <v>2932</v>
      </c>
      <c r="J2146" s="6" t="s">
        <v>3036</v>
      </c>
      <c r="L2146" s="6" t="s">
        <v>3494</v>
      </c>
      <c r="M2146" s="6" t="e">
        <f>INDEX(医院2县区2人!$B$2:$B$1048576,MATCH(L2146,医院2县区2人!$A$2:$A$1048576,0))</f>
        <v>#N/A</v>
      </c>
      <c r="N2146" s="6" t="e">
        <f>INDEX(医院2县区2人!$C$2:$C$1048576,MATCH(L2146,医院2县区2人!$A$2:$A$1048576,0))</f>
        <v>#N/A</v>
      </c>
      <c r="P2146" s="7">
        <v>43263</v>
      </c>
      <c r="Q2146" s="6">
        <v>10</v>
      </c>
      <c r="S2146" s="6">
        <v>171101</v>
      </c>
      <c r="T2146" s="6" t="e">
        <f>INDEX(医院2县区2人!$D$2:$D$1048576,MATCH(L2146,医院2县区2人!$A$2:$A$1048576,0))</f>
        <v>#N/A</v>
      </c>
      <c r="W2146" s="6" t="str">
        <f t="shared" si="69"/>
        <v>罗红霉素分散片(严迪)75mg*12s</v>
      </c>
      <c r="X2146" s="6" t="s">
        <v>2922</v>
      </c>
    </row>
    <row r="2147" spans="1:24" x14ac:dyDescent="0.15">
      <c r="A2147" s="7" t="str">
        <f t="shared" si="70"/>
        <v>201806</v>
      </c>
      <c r="C2147" s="6" t="str">
        <f>INDEX(工厂基础数据!$A$2:$A$1024,MATCH(X2147,工厂基础数据!$D$2:$D$1024,0))</f>
        <v>02031388</v>
      </c>
      <c r="E2147" s="6" t="str">
        <f>INDEX(工厂基础数据!$B$2:$B$1024,MATCH(X2147,工厂基础数据!$D$2:$D$1024,0))</f>
        <v>山东悦康园通医药有限公司</v>
      </c>
      <c r="F2147" s="6" t="e">
        <f>INDEX(商业2转码!$B$2:$B$10000,MATCH(E2147,商业2转码!$A$2:$A$10000,0))</f>
        <v>#N/A</v>
      </c>
      <c r="G2147" s="6" t="str">
        <f>INDEX(品种2编码!$A$2:$A$1048576,MATCH(W2147,品种2编码!$D$2:$D$1048576,0))</f>
        <v>0020030040ZYLC0001</v>
      </c>
      <c r="H2147" s="6" t="s">
        <v>1953</v>
      </c>
      <c r="I2147" s="6" t="s">
        <v>1954</v>
      </c>
      <c r="J2147" s="6" t="s">
        <v>3036</v>
      </c>
      <c r="L2147" s="6" t="s">
        <v>3495</v>
      </c>
      <c r="M2147" s="6" t="e">
        <f>INDEX(医院2县区2人!$B$2:$B$1048576,MATCH(L2147,医院2县区2人!$A$2:$A$1048576,0))</f>
        <v>#N/A</v>
      </c>
      <c r="N2147" s="6" t="e">
        <f>INDEX(医院2县区2人!$C$2:$C$1048576,MATCH(L2147,医院2县区2人!$A$2:$A$1048576,0))</f>
        <v>#N/A</v>
      </c>
      <c r="P2147" s="7">
        <v>43263</v>
      </c>
      <c r="Q2147" s="6">
        <v>10</v>
      </c>
      <c r="S2147" s="6">
        <v>180184</v>
      </c>
      <c r="T2147" s="6" t="e">
        <f>INDEX(医院2县区2人!$D$2:$D$1048576,MATCH(L2147,医院2县区2人!$A$2:$A$1048576,0))</f>
        <v>#N/A</v>
      </c>
      <c r="W2147" s="6" t="str">
        <f t="shared" si="69"/>
        <v>小儿氨酚黄那敏颗粒12袋</v>
      </c>
      <c r="X2147" s="6" t="s">
        <v>2922</v>
      </c>
    </row>
    <row r="2148" spans="1:24" x14ac:dyDescent="0.15">
      <c r="A2148" s="7" t="str">
        <f t="shared" si="70"/>
        <v>201806</v>
      </c>
      <c r="C2148" s="6" t="str">
        <f>INDEX(工厂基础数据!$A$2:$A$1024,MATCH(X2148,工厂基础数据!$D$2:$D$1024,0))</f>
        <v>02031388</v>
      </c>
      <c r="E2148" s="6" t="str">
        <f>INDEX(工厂基础数据!$B$2:$B$1024,MATCH(X2148,工厂基础数据!$D$2:$D$1024,0))</f>
        <v>山东悦康园通医药有限公司</v>
      </c>
      <c r="F2148" s="6" t="e">
        <f>INDEX(商业2转码!$B$2:$B$10000,MATCH(E2148,商业2转码!$A$2:$A$10000,0))</f>
        <v>#N/A</v>
      </c>
      <c r="G2148" s="6">
        <f>INDEX(品种2编码!$A$2:$A$1048576,MATCH(W2148,品种2编码!$D$2:$D$1048576,0))</f>
        <v>0</v>
      </c>
      <c r="H2148" s="6" t="s">
        <v>494</v>
      </c>
      <c r="I2148" s="6" t="s">
        <v>2932</v>
      </c>
      <c r="J2148" s="6" t="s">
        <v>3036</v>
      </c>
      <c r="L2148" s="6" t="s">
        <v>3493</v>
      </c>
      <c r="M2148" s="6" t="e">
        <f>INDEX(医院2县区2人!$B$2:$B$1048576,MATCH(L2148,医院2县区2人!$A$2:$A$1048576,0))</f>
        <v>#N/A</v>
      </c>
      <c r="N2148" s="6" t="e">
        <f>INDEX(医院2县区2人!$C$2:$C$1048576,MATCH(L2148,医院2县区2人!$A$2:$A$1048576,0))</f>
        <v>#N/A</v>
      </c>
      <c r="P2148" s="7">
        <v>43263</v>
      </c>
      <c r="Q2148" s="6">
        <v>20</v>
      </c>
      <c r="S2148" s="6">
        <v>171101</v>
      </c>
      <c r="T2148" s="6" t="e">
        <f>INDEX(医院2县区2人!$D$2:$D$1048576,MATCH(L2148,医院2县区2人!$A$2:$A$1048576,0))</f>
        <v>#N/A</v>
      </c>
      <c r="W2148" s="6" t="str">
        <f t="shared" si="69"/>
        <v>罗红霉素分散片(严迪)75mg*12s</v>
      </c>
      <c r="X2148" s="6" t="s">
        <v>2922</v>
      </c>
    </row>
    <row r="2149" spans="1:24" x14ac:dyDescent="0.15">
      <c r="A2149" s="7" t="str">
        <f t="shared" si="70"/>
        <v>201806</v>
      </c>
      <c r="C2149" s="6" t="str">
        <f>INDEX(工厂基础数据!$A$2:$A$1024,MATCH(X2149,工厂基础数据!$D$2:$D$1024,0))</f>
        <v>02031388</v>
      </c>
      <c r="E2149" s="6" t="str">
        <f>INDEX(工厂基础数据!$B$2:$B$1024,MATCH(X2149,工厂基础数据!$D$2:$D$1024,0))</f>
        <v>山东悦康园通医药有限公司</v>
      </c>
      <c r="F2149" s="6" t="e">
        <f>INDEX(商业2转码!$B$2:$B$10000,MATCH(E2149,商业2转码!$A$2:$A$10000,0))</f>
        <v>#N/A</v>
      </c>
      <c r="G2149" s="6" t="str">
        <f>INDEX(品种2编码!$A$2:$A$1048576,MATCH(W2149,品种2编码!$D$2:$D$1048576,0))</f>
        <v>0020030040ZYLC0001</v>
      </c>
      <c r="H2149" s="6" t="s">
        <v>1953</v>
      </c>
      <c r="I2149" s="6" t="s">
        <v>1954</v>
      </c>
      <c r="J2149" s="6" t="s">
        <v>3036</v>
      </c>
      <c r="L2149" s="6" t="s">
        <v>3493</v>
      </c>
      <c r="M2149" s="6" t="e">
        <f>INDEX(医院2县区2人!$B$2:$B$1048576,MATCH(L2149,医院2县区2人!$A$2:$A$1048576,0))</f>
        <v>#N/A</v>
      </c>
      <c r="N2149" s="6" t="e">
        <f>INDEX(医院2县区2人!$C$2:$C$1048576,MATCH(L2149,医院2县区2人!$A$2:$A$1048576,0))</f>
        <v>#N/A</v>
      </c>
      <c r="P2149" s="7">
        <v>43263</v>
      </c>
      <c r="Q2149" s="6">
        <v>20</v>
      </c>
      <c r="S2149" s="6">
        <v>180184</v>
      </c>
      <c r="T2149" s="6" t="e">
        <f>INDEX(医院2县区2人!$D$2:$D$1048576,MATCH(L2149,医院2县区2人!$A$2:$A$1048576,0))</f>
        <v>#N/A</v>
      </c>
      <c r="W2149" s="6" t="str">
        <f t="shared" si="69"/>
        <v>小儿氨酚黄那敏颗粒12袋</v>
      </c>
      <c r="X2149" s="6" t="s">
        <v>2922</v>
      </c>
    </row>
    <row r="2150" spans="1:24" x14ac:dyDescent="0.15">
      <c r="A2150" s="7" t="str">
        <f t="shared" si="70"/>
        <v>201806</v>
      </c>
      <c r="C2150" s="6" t="str">
        <f>INDEX(工厂基础数据!$A$2:$A$1024,MATCH(X2150,工厂基础数据!$D$2:$D$1024,0))</f>
        <v>02031388</v>
      </c>
      <c r="E2150" s="6" t="str">
        <f>INDEX(工厂基础数据!$B$2:$B$1024,MATCH(X2150,工厂基础数据!$D$2:$D$1024,0))</f>
        <v>山东悦康园通医药有限公司</v>
      </c>
      <c r="F2150" s="6" t="e">
        <f>INDEX(商业2转码!$B$2:$B$10000,MATCH(E2150,商业2转码!$A$2:$A$10000,0))</f>
        <v>#N/A</v>
      </c>
      <c r="G2150" s="6">
        <f>INDEX(品种2编码!$A$2:$A$1048576,MATCH(W2150,品种2编码!$D$2:$D$1048576,0))</f>
        <v>0</v>
      </c>
      <c r="H2150" s="6" t="s">
        <v>722</v>
      </c>
      <c r="I2150" s="6" t="s">
        <v>3523</v>
      </c>
      <c r="J2150" s="6" t="s">
        <v>3036</v>
      </c>
      <c r="L2150" s="6" t="s">
        <v>3493</v>
      </c>
      <c r="M2150" s="6" t="e">
        <f>INDEX(医院2县区2人!$B$2:$B$1048576,MATCH(L2150,医院2县区2人!$A$2:$A$1048576,0))</f>
        <v>#N/A</v>
      </c>
      <c r="N2150" s="6" t="e">
        <f>INDEX(医院2县区2人!$C$2:$C$1048576,MATCH(L2150,医院2县区2人!$A$2:$A$1048576,0))</f>
        <v>#N/A</v>
      </c>
      <c r="P2150" s="7">
        <v>43263</v>
      </c>
      <c r="Q2150" s="6">
        <v>20</v>
      </c>
      <c r="S2150" s="6">
        <v>170702</v>
      </c>
      <c r="T2150" s="6" t="e">
        <f>INDEX(医院2县区2人!$D$2:$D$1048576,MATCH(L2150,医院2县区2人!$A$2:$A$1048576,0))</f>
        <v>#N/A</v>
      </c>
      <c r="W2150" s="6" t="str">
        <f t="shared" si="69"/>
        <v>新盖中盖牌儿童钙片63g(1.75g*36片)</v>
      </c>
      <c r="X2150" s="6" t="s">
        <v>2922</v>
      </c>
    </row>
    <row r="2151" spans="1:24" x14ac:dyDescent="0.15">
      <c r="A2151" s="7" t="str">
        <f t="shared" si="70"/>
        <v>201806</v>
      </c>
      <c r="C2151" s="6" t="str">
        <f>INDEX(工厂基础数据!$A$2:$A$1024,MATCH(X2151,工厂基础数据!$D$2:$D$1024,0))</f>
        <v>02031388</v>
      </c>
      <c r="E2151" s="6" t="str">
        <f>INDEX(工厂基础数据!$B$2:$B$1024,MATCH(X2151,工厂基础数据!$D$2:$D$1024,0))</f>
        <v>山东悦康园通医药有限公司</v>
      </c>
      <c r="F2151" s="6" t="e">
        <f>INDEX(商业2转码!$B$2:$B$10000,MATCH(E2151,商业2转码!$A$2:$A$10000,0))</f>
        <v>#N/A</v>
      </c>
      <c r="G2151" s="6" t="str">
        <f>INDEX(品种2编码!$A$2:$A$1048576,MATCH(W2151,品种2编码!$D$2:$D$1048576,0))</f>
        <v>0020020020ZYLC0003</v>
      </c>
      <c r="H2151" s="6" t="s">
        <v>1855</v>
      </c>
      <c r="I2151" s="6" t="s">
        <v>381</v>
      </c>
      <c r="J2151" s="6" t="s">
        <v>3036</v>
      </c>
      <c r="L2151" s="6" t="s">
        <v>3496</v>
      </c>
      <c r="M2151" s="6" t="e">
        <f>INDEX(医院2县区2人!$B$2:$B$1048576,MATCH(L2151,医院2县区2人!$A$2:$A$1048576,0))</f>
        <v>#N/A</v>
      </c>
      <c r="N2151" s="6" t="e">
        <f>INDEX(医院2县区2人!$C$2:$C$1048576,MATCH(L2151,医院2县区2人!$A$2:$A$1048576,0))</f>
        <v>#N/A</v>
      </c>
      <c r="P2151" s="7">
        <v>43264</v>
      </c>
      <c r="Q2151" s="6">
        <v>10</v>
      </c>
      <c r="S2151" s="6">
        <v>180301</v>
      </c>
      <c r="T2151" s="6" t="e">
        <f>INDEX(医院2县区2人!$D$2:$D$1048576,MATCH(L2151,医院2县区2人!$A$2:$A$1048576,0))</f>
        <v>#N/A</v>
      </c>
      <c r="W2151" s="6" t="str">
        <f t="shared" si="69"/>
        <v>颠茄磺苄啶片12片</v>
      </c>
      <c r="X2151" s="6" t="s">
        <v>2922</v>
      </c>
    </row>
    <row r="2152" spans="1:24" x14ac:dyDescent="0.15">
      <c r="A2152" s="7" t="str">
        <f t="shared" si="70"/>
        <v>201806</v>
      </c>
      <c r="C2152" s="6" t="str">
        <f>INDEX(工厂基础数据!$A$2:$A$1024,MATCH(X2152,工厂基础数据!$D$2:$D$1024,0))</f>
        <v>02031388</v>
      </c>
      <c r="E2152" s="6" t="str">
        <f>INDEX(工厂基础数据!$B$2:$B$1024,MATCH(X2152,工厂基础数据!$D$2:$D$1024,0))</f>
        <v>山东悦康园通医药有限公司</v>
      </c>
      <c r="F2152" s="6" t="e">
        <f>INDEX(商业2转码!$B$2:$B$10000,MATCH(E2152,商业2转码!$A$2:$A$10000,0))</f>
        <v>#N/A</v>
      </c>
      <c r="G2152" s="6" t="str">
        <f>INDEX(品种2编码!$A$2:$A$1048576,MATCH(W2152,品种2编码!$D$2:$D$1048576,0))</f>
        <v>0020020020ZYLC0003</v>
      </c>
      <c r="H2152" s="6" t="s">
        <v>1855</v>
      </c>
      <c r="I2152" s="6" t="s">
        <v>381</v>
      </c>
      <c r="J2152" s="6" t="s">
        <v>3036</v>
      </c>
      <c r="L2152" s="6" t="s">
        <v>3497</v>
      </c>
      <c r="M2152" s="6" t="e">
        <f>INDEX(医院2县区2人!$B$2:$B$1048576,MATCH(L2152,医院2县区2人!$A$2:$A$1048576,0))</f>
        <v>#N/A</v>
      </c>
      <c r="N2152" s="6" t="e">
        <f>INDEX(医院2县区2人!$C$2:$C$1048576,MATCH(L2152,医院2县区2人!$A$2:$A$1048576,0))</f>
        <v>#N/A</v>
      </c>
      <c r="P2152" s="7">
        <v>43264</v>
      </c>
      <c r="Q2152" s="6">
        <v>10</v>
      </c>
      <c r="S2152" s="6">
        <v>180301</v>
      </c>
      <c r="T2152" s="6" t="e">
        <f>INDEX(医院2县区2人!$D$2:$D$1048576,MATCH(L2152,医院2县区2人!$A$2:$A$1048576,0))</f>
        <v>#N/A</v>
      </c>
      <c r="W2152" s="6" t="str">
        <f t="shared" si="69"/>
        <v>颠茄磺苄啶片12片</v>
      </c>
      <c r="X2152" s="6" t="s">
        <v>2922</v>
      </c>
    </row>
    <row r="2153" spans="1:24" x14ac:dyDescent="0.15">
      <c r="A2153" s="7" t="str">
        <f t="shared" si="70"/>
        <v>201806</v>
      </c>
      <c r="C2153" s="6" t="str">
        <f>INDEX(工厂基础数据!$A$2:$A$1024,MATCH(X2153,工厂基础数据!$D$2:$D$1024,0))</f>
        <v>02031388</v>
      </c>
      <c r="E2153" s="6" t="str">
        <f>INDEX(工厂基础数据!$B$2:$B$1024,MATCH(X2153,工厂基础数据!$D$2:$D$1024,0))</f>
        <v>山东悦康园通医药有限公司</v>
      </c>
      <c r="F2153" s="6" t="e">
        <f>INDEX(商业2转码!$B$2:$B$10000,MATCH(E2153,商业2转码!$A$2:$A$10000,0))</f>
        <v>#N/A</v>
      </c>
      <c r="G2153" s="6" t="str">
        <f>INDEX(品种2编码!$A$2:$A$1048576,MATCH(W2153,品种2编码!$D$2:$D$1048576,0))</f>
        <v>0020030001SJZY0009</v>
      </c>
      <c r="H2153" s="6" t="s">
        <v>1949</v>
      </c>
      <c r="I2153" s="6" t="s">
        <v>411</v>
      </c>
      <c r="J2153" s="6" t="s">
        <v>3040</v>
      </c>
      <c r="L2153" s="6" t="s">
        <v>3489</v>
      </c>
      <c r="M2153" s="6" t="e">
        <f>INDEX(医院2县区2人!$B$2:$B$1048576,MATCH(L2153,医院2县区2人!$A$2:$A$1048576,0))</f>
        <v>#N/A</v>
      </c>
      <c r="N2153" s="6" t="e">
        <f>INDEX(医院2县区2人!$C$2:$C$1048576,MATCH(L2153,医院2县区2人!$A$2:$A$1048576,0))</f>
        <v>#N/A</v>
      </c>
      <c r="P2153" s="7">
        <v>43265</v>
      </c>
      <c r="Q2153" s="6">
        <v>3</v>
      </c>
      <c r="S2153" s="6">
        <v>17120711</v>
      </c>
      <c r="T2153" s="6" t="e">
        <f>INDEX(医院2县区2人!$D$2:$D$1048576,MATCH(L2153,医院2县区2人!$A$2:$A$1048576,0))</f>
        <v>#N/A</v>
      </c>
      <c r="W2153" s="6" t="str">
        <f t="shared" si="69"/>
        <v>葡萄糖酸锌口服溶液10ml*12支</v>
      </c>
      <c r="X2153" s="6" t="s">
        <v>2922</v>
      </c>
    </row>
    <row r="2154" spans="1:24" x14ac:dyDescent="0.15">
      <c r="A2154" s="7" t="str">
        <f t="shared" si="70"/>
        <v>201806</v>
      </c>
      <c r="C2154" s="6" t="str">
        <f>INDEX(工厂基础数据!$A$2:$A$1024,MATCH(X2154,工厂基础数据!$D$2:$D$1024,0))</f>
        <v>02031388</v>
      </c>
      <c r="E2154" s="6" t="str">
        <f>INDEX(工厂基础数据!$B$2:$B$1024,MATCH(X2154,工厂基础数据!$D$2:$D$1024,0))</f>
        <v>山东悦康园通医药有限公司</v>
      </c>
      <c r="F2154" s="6" t="e">
        <f>INDEX(商业2转码!$B$2:$B$10000,MATCH(E2154,商业2转码!$A$2:$A$10000,0))</f>
        <v>#N/A</v>
      </c>
      <c r="G2154" s="6" t="str">
        <f>INDEX(品种2编码!$A$2:$A$1048576,MATCH(W2154,品种2编码!$D$2:$D$1048576,0))</f>
        <v>0020020020ZYLC0003</v>
      </c>
      <c r="H2154" s="6" t="s">
        <v>1855</v>
      </c>
      <c r="I2154" s="6" t="s">
        <v>381</v>
      </c>
      <c r="J2154" s="6" t="s">
        <v>3036</v>
      </c>
      <c r="L2154" s="6" t="s">
        <v>3498</v>
      </c>
      <c r="M2154" s="6" t="e">
        <f>INDEX(医院2县区2人!$B$2:$B$1048576,MATCH(L2154,医院2县区2人!$A$2:$A$1048576,0))</f>
        <v>#N/A</v>
      </c>
      <c r="N2154" s="6" t="e">
        <f>INDEX(医院2县区2人!$C$2:$C$1048576,MATCH(L2154,医院2县区2人!$A$2:$A$1048576,0))</f>
        <v>#N/A</v>
      </c>
      <c r="P2154" s="7">
        <v>43265</v>
      </c>
      <c r="Q2154" s="6">
        <v>10</v>
      </c>
      <c r="S2154" s="6">
        <v>180301</v>
      </c>
      <c r="T2154" s="6" t="e">
        <f>INDEX(医院2县区2人!$D$2:$D$1048576,MATCH(L2154,医院2县区2人!$A$2:$A$1048576,0))</f>
        <v>#N/A</v>
      </c>
      <c r="W2154" s="6" t="str">
        <f t="shared" si="69"/>
        <v>颠茄磺苄啶片12片</v>
      </c>
      <c r="X2154" s="6" t="s">
        <v>2922</v>
      </c>
    </row>
    <row r="2155" spans="1:24" x14ac:dyDescent="0.15">
      <c r="A2155" s="7" t="str">
        <f t="shared" si="70"/>
        <v>201806</v>
      </c>
      <c r="C2155" s="6" t="str">
        <f>INDEX(工厂基础数据!$A$2:$A$1024,MATCH(X2155,工厂基础数据!$D$2:$D$1024,0))</f>
        <v>02031388</v>
      </c>
      <c r="E2155" s="6" t="str">
        <f>INDEX(工厂基础数据!$B$2:$B$1024,MATCH(X2155,工厂基础数据!$D$2:$D$1024,0))</f>
        <v>山东悦康园通医药有限公司</v>
      </c>
      <c r="F2155" s="6" t="e">
        <f>INDEX(商业2转码!$B$2:$B$10000,MATCH(E2155,商业2转码!$A$2:$A$10000,0))</f>
        <v>#N/A</v>
      </c>
      <c r="G2155" s="6" t="str">
        <f>INDEX(品种2编码!$A$2:$A$1048576,MATCH(W2155,品种2编码!$D$2:$D$1048576,0))</f>
        <v>0020030040ZYLC0001</v>
      </c>
      <c r="H2155" s="6" t="s">
        <v>1953</v>
      </c>
      <c r="I2155" s="6" t="s">
        <v>1954</v>
      </c>
      <c r="J2155" s="6" t="s">
        <v>3036</v>
      </c>
      <c r="L2155" s="6" t="s">
        <v>3494</v>
      </c>
      <c r="M2155" s="6" t="e">
        <f>INDEX(医院2县区2人!$B$2:$B$1048576,MATCH(L2155,医院2县区2人!$A$2:$A$1048576,0))</f>
        <v>#N/A</v>
      </c>
      <c r="N2155" s="6" t="e">
        <f>INDEX(医院2县区2人!$C$2:$C$1048576,MATCH(L2155,医院2县区2人!$A$2:$A$1048576,0))</f>
        <v>#N/A</v>
      </c>
      <c r="P2155" s="7">
        <v>43265</v>
      </c>
      <c r="Q2155" s="6">
        <v>20</v>
      </c>
      <c r="S2155" s="6">
        <v>180184</v>
      </c>
      <c r="T2155" s="6" t="e">
        <f>INDEX(医院2县区2人!$D$2:$D$1048576,MATCH(L2155,医院2县区2人!$A$2:$A$1048576,0))</f>
        <v>#N/A</v>
      </c>
      <c r="W2155" s="6" t="str">
        <f t="shared" si="69"/>
        <v>小儿氨酚黄那敏颗粒12袋</v>
      </c>
      <c r="X2155" s="6" t="s">
        <v>2922</v>
      </c>
    </row>
    <row r="2156" spans="1:24" x14ac:dyDescent="0.15">
      <c r="A2156" s="7" t="str">
        <f t="shared" si="70"/>
        <v>201806</v>
      </c>
      <c r="C2156" s="6" t="str">
        <f>INDEX(工厂基础数据!$A$2:$A$1024,MATCH(X2156,工厂基础数据!$D$2:$D$1024,0))</f>
        <v>02031388</v>
      </c>
      <c r="E2156" s="6" t="str">
        <f>INDEX(工厂基础数据!$B$2:$B$1024,MATCH(X2156,工厂基础数据!$D$2:$D$1024,0))</f>
        <v>山东悦康园通医药有限公司</v>
      </c>
      <c r="F2156" s="6" t="e">
        <f>INDEX(商业2转码!$B$2:$B$10000,MATCH(E2156,商业2转码!$A$2:$A$10000,0))</f>
        <v>#N/A</v>
      </c>
      <c r="G2156" s="6" t="str">
        <f>INDEX(品种2编码!$A$2:$A$1048576,MATCH(W2156,品种2编码!$D$2:$D$1048576,0))</f>
        <v>0020020020ZYLC0003</v>
      </c>
      <c r="H2156" s="6" t="s">
        <v>1855</v>
      </c>
      <c r="I2156" s="6" t="s">
        <v>381</v>
      </c>
      <c r="J2156" s="6" t="s">
        <v>3036</v>
      </c>
      <c r="L2156" s="6" t="s">
        <v>3499</v>
      </c>
      <c r="M2156" s="6" t="e">
        <f>INDEX(医院2县区2人!$B$2:$B$1048576,MATCH(L2156,医院2县区2人!$A$2:$A$1048576,0))</f>
        <v>#N/A</v>
      </c>
      <c r="N2156" s="6" t="e">
        <f>INDEX(医院2县区2人!$C$2:$C$1048576,MATCH(L2156,医院2县区2人!$A$2:$A$1048576,0))</f>
        <v>#N/A</v>
      </c>
      <c r="P2156" s="7">
        <v>43265</v>
      </c>
      <c r="Q2156" s="6">
        <v>10</v>
      </c>
      <c r="S2156" s="6">
        <v>180301</v>
      </c>
      <c r="T2156" s="6" t="e">
        <f>INDEX(医院2县区2人!$D$2:$D$1048576,MATCH(L2156,医院2县区2人!$A$2:$A$1048576,0))</f>
        <v>#N/A</v>
      </c>
      <c r="W2156" s="6" t="str">
        <f t="shared" si="69"/>
        <v>颠茄磺苄啶片12片</v>
      </c>
      <c r="X2156" s="6" t="s">
        <v>2922</v>
      </c>
    </row>
    <row r="2157" spans="1:24" x14ac:dyDescent="0.15">
      <c r="A2157" s="7" t="str">
        <f t="shared" si="70"/>
        <v>201806</v>
      </c>
      <c r="C2157" s="6" t="str">
        <f>INDEX(工厂基础数据!$A$2:$A$1024,MATCH(X2157,工厂基础数据!$D$2:$D$1024,0))</f>
        <v>02031388</v>
      </c>
      <c r="E2157" s="6" t="str">
        <f>INDEX(工厂基础数据!$B$2:$B$1024,MATCH(X2157,工厂基础数据!$D$2:$D$1024,0))</f>
        <v>山东悦康园通医药有限公司</v>
      </c>
      <c r="F2157" s="6" t="e">
        <f>INDEX(商业2转码!$B$2:$B$10000,MATCH(E2157,商业2转码!$A$2:$A$10000,0))</f>
        <v>#N/A</v>
      </c>
      <c r="G2157" s="6" t="str">
        <f>INDEX(品种2编码!$A$2:$A$1048576,MATCH(W2157,品种2编码!$D$2:$D$1048576,0))</f>
        <v>0020020020ZYLC0003</v>
      </c>
      <c r="H2157" s="6" t="s">
        <v>1855</v>
      </c>
      <c r="I2157" s="6" t="s">
        <v>381</v>
      </c>
      <c r="J2157" s="6" t="s">
        <v>3036</v>
      </c>
      <c r="L2157" s="6" t="s">
        <v>3079</v>
      </c>
      <c r="M2157" s="6" t="e">
        <f>INDEX(医院2县区2人!$B$2:$B$1048576,MATCH(L2157,医院2县区2人!$A$2:$A$1048576,0))</f>
        <v>#N/A</v>
      </c>
      <c r="N2157" s="6" t="e">
        <f>INDEX(医院2县区2人!$C$2:$C$1048576,MATCH(L2157,医院2县区2人!$A$2:$A$1048576,0))</f>
        <v>#N/A</v>
      </c>
      <c r="P2157" s="7">
        <v>43265</v>
      </c>
      <c r="Q2157" s="6">
        <v>10</v>
      </c>
      <c r="S2157" s="6">
        <v>180301</v>
      </c>
      <c r="T2157" s="6" t="e">
        <f>INDEX(医院2县区2人!$D$2:$D$1048576,MATCH(L2157,医院2县区2人!$A$2:$A$1048576,0))</f>
        <v>#N/A</v>
      </c>
      <c r="W2157" s="6" t="str">
        <f t="shared" si="69"/>
        <v>颠茄磺苄啶片12片</v>
      </c>
      <c r="X2157" s="6" t="s">
        <v>2922</v>
      </c>
    </row>
    <row r="2158" spans="1:24" x14ac:dyDescent="0.15">
      <c r="A2158" s="7" t="str">
        <f t="shared" si="70"/>
        <v>201806</v>
      </c>
      <c r="C2158" s="6" t="str">
        <f>INDEX(工厂基础数据!$A$2:$A$1024,MATCH(X2158,工厂基础数据!$D$2:$D$1024,0))</f>
        <v>02031388</v>
      </c>
      <c r="E2158" s="6" t="str">
        <f>INDEX(工厂基础数据!$B$2:$B$1024,MATCH(X2158,工厂基础数据!$D$2:$D$1024,0))</f>
        <v>山东悦康园通医药有限公司</v>
      </c>
      <c r="F2158" s="6" t="e">
        <f>INDEX(商业2转码!$B$2:$B$10000,MATCH(E2158,商业2转码!$A$2:$A$10000,0))</f>
        <v>#N/A</v>
      </c>
      <c r="G2158" s="6">
        <f>INDEX(品种2编码!$A$2:$A$1048576,MATCH(W2158,品种2编码!$D$2:$D$1048576,0))</f>
        <v>0</v>
      </c>
      <c r="H2158" s="6" t="s">
        <v>494</v>
      </c>
      <c r="I2158" s="6" t="s">
        <v>2932</v>
      </c>
      <c r="J2158" s="6" t="s">
        <v>3036</v>
      </c>
      <c r="L2158" s="6" t="s">
        <v>3500</v>
      </c>
      <c r="M2158" s="6" t="e">
        <f>INDEX(医院2县区2人!$B$2:$B$1048576,MATCH(L2158,医院2县区2人!$A$2:$A$1048576,0))</f>
        <v>#N/A</v>
      </c>
      <c r="N2158" s="6" t="e">
        <f>INDEX(医院2县区2人!$C$2:$C$1048576,MATCH(L2158,医院2县区2人!$A$2:$A$1048576,0))</f>
        <v>#N/A</v>
      </c>
      <c r="P2158" s="7">
        <v>43265</v>
      </c>
      <c r="Q2158" s="6">
        <v>30</v>
      </c>
      <c r="S2158" s="6">
        <v>171101</v>
      </c>
      <c r="T2158" s="6" t="e">
        <f>INDEX(医院2县区2人!$D$2:$D$1048576,MATCH(L2158,医院2县区2人!$A$2:$A$1048576,0))</f>
        <v>#N/A</v>
      </c>
      <c r="W2158" s="6" t="str">
        <f t="shared" si="69"/>
        <v>罗红霉素分散片(严迪)75mg*12s</v>
      </c>
      <c r="X2158" s="6" t="s">
        <v>2922</v>
      </c>
    </row>
    <row r="2159" spans="1:24" x14ac:dyDescent="0.15">
      <c r="A2159" s="7" t="str">
        <f t="shared" si="70"/>
        <v>201806</v>
      </c>
      <c r="C2159" s="6" t="str">
        <f>INDEX(工厂基础数据!$A$2:$A$1024,MATCH(X2159,工厂基础数据!$D$2:$D$1024,0))</f>
        <v>02031388</v>
      </c>
      <c r="E2159" s="6" t="str">
        <f>INDEX(工厂基础数据!$B$2:$B$1024,MATCH(X2159,工厂基础数据!$D$2:$D$1024,0))</f>
        <v>山东悦康园通医药有限公司</v>
      </c>
      <c r="F2159" s="6" t="e">
        <f>INDEX(商业2转码!$B$2:$B$10000,MATCH(E2159,商业2转码!$A$2:$A$10000,0))</f>
        <v>#N/A</v>
      </c>
      <c r="G2159" s="6">
        <f>INDEX(品种2编码!$A$2:$A$1048576,MATCH(W2159,品种2编码!$D$2:$D$1048576,0))</f>
        <v>0</v>
      </c>
      <c r="H2159" s="6" t="s">
        <v>911</v>
      </c>
      <c r="I2159" s="6" t="s">
        <v>3453</v>
      </c>
      <c r="J2159" s="6" t="s">
        <v>3038</v>
      </c>
      <c r="L2159" s="6" t="s">
        <v>3487</v>
      </c>
      <c r="M2159" s="6" t="e">
        <f>INDEX(医院2县区2人!$B$2:$B$1048576,MATCH(L2159,医院2县区2人!$A$2:$A$1048576,0))</f>
        <v>#N/A</v>
      </c>
      <c r="N2159" s="6" t="e">
        <f>INDEX(医院2县区2人!$C$2:$C$1048576,MATCH(L2159,医院2县区2人!$A$2:$A$1048576,0))</f>
        <v>#N/A</v>
      </c>
      <c r="P2159" s="7">
        <v>43265</v>
      </c>
      <c r="Q2159" s="6">
        <v>5</v>
      </c>
      <c r="S2159" s="6" t="s">
        <v>3065</v>
      </c>
      <c r="T2159" s="6" t="e">
        <f>INDEX(医院2县区2人!$D$2:$D$1048576,MATCH(L2159,医院2县区2人!$A$2:$A$1048576,0))</f>
        <v>#N/A</v>
      </c>
      <c r="W2159" s="6" t="str">
        <f t="shared" si="69"/>
        <v>注射用乳糖酸阿奇霉素0.25g*10支</v>
      </c>
      <c r="X2159" s="6" t="s">
        <v>2922</v>
      </c>
    </row>
    <row r="2160" spans="1:24" x14ac:dyDescent="0.15">
      <c r="A2160" s="7" t="str">
        <f t="shared" si="70"/>
        <v>201806</v>
      </c>
      <c r="C2160" s="6" t="str">
        <f>INDEX(工厂基础数据!$A$2:$A$1024,MATCH(X2160,工厂基础数据!$D$2:$D$1024,0))</f>
        <v>02031388</v>
      </c>
      <c r="E2160" s="6" t="str">
        <f>INDEX(工厂基础数据!$B$2:$B$1024,MATCH(X2160,工厂基础数据!$D$2:$D$1024,0))</f>
        <v>山东悦康园通医药有限公司</v>
      </c>
      <c r="F2160" s="6" t="e">
        <f>INDEX(商业2转码!$B$2:$B$10000,MATCH(E2160,商业2转码!$A$2:$A$10000,0))</f>
        <v>#N/A</v>
      </c>
      <c r="G2160" s="6" t="str">
        <f>INDEX(品种2编码!$A$2:$A$1048576,MATCH(W2160,品种2编码!$D$2:$D$1048576,0))</f>
        <v>0020030020SJSC0004</v>
      </c>
      <c r="H2160" s="6" t="s">
        <v>394</v>
      </c>
      <c r="I2160" s="6" t="s">
        <v>1871</v>
      </c>
      <c r="J2160" s="6" t="s">
        <v>3045</v>
      </c>
      <c r="L2160" s="6" t="s">
        <v>3501</v>
      </c>
      <c r="M2160" s="6" t="e">
        <f>INDEX(医院2县区2人!$B$2:$B$1048576,MATCH(L2160,医院2县区2人!$A$2:$A$1048576,0))</f>
        <v>#N/A</v>
      </c>
      <c r="N2160" s="6" t="e">
        <f>INDEX(医院2县区2人!$C$2:$C$1048576,MATCH(L2160,医院2县区2人!$A$2:$A$1048576,0))</f>
        <v>#N/A</v>
      </c>
      <c r="P2160" s="7">
        <v>43266</v>
      </c>
      <c r="Q2160" s="6">
        <v>5</v>
      </c>
      <c r="S2160" s="6">
        <v>1709020</v>
      </c>
      <c r="T2160" s="6" t="e">
        <f>INDEX(医院2县区2人!$D$2:$D$1048576,MATCH(L2160,医院2县区2人!$A$2:$A$1048576,0))</f>
        <v>#N/A</v>
      </c>
      <c r="W2160" s="6" t="str">
        <f t="shared" si="69"/>
        <v>复方铝酸铋片50片</v>
      </c>
      <c r="X2160" s="6" t="s">
        <v>2922</v>
      </c>
    </row>
    <row r="2161" spans="1:24" x14ac:dyDescent="0.15">
      <c r="A2161" s="7" t="str">
        <f t="shared" si="70"/>
        <v>201806</v>
      </c>
      <c r="C2161" s="6" t="str">
        <f>INDEX(工厂基础数据!$A$2:$A$1024,MATCH(X2161,工厂基础数据!$D$2:$D$1024,0))</f>
        <v>02031388</v>
      </c>
      <c r="E2161" s="6" t="str">
        <f>INDEX(工厂基础数据!$B$2:$B$1024,MATCH(X2161,工厂基础数据!$D$2:$D$1024,0))</f>
        <v>山东悦康园通医药有限公司</v>
      </c>
      <c r="F2161" s="6" t="e">
        <f>INDEX(商业2转码!$B$2:$B$10000,MATCH(E2161,商业2转码!$A$2:$A$10000,0))</f>
        <v>#N/A</v>
      </c>
      <c r="G2161" s="6">
        <f>INDEX(品种2编码!$A$2:$A$1048576,MATCH(W2161,品种2编码!$D$2:$D$1048576,0))</f>
        <v>0</v>
      </c>
      <c r="H2161" s="6" t="s">
        <v>1833</v>
      </c>
      <c r="I2161" s="6" t="s">
        <v>3522</v>
      </c>
      <c r="J2161" s="6" t="s">
        <v>3040</v>
      </c>
      <c r="L2161" s="6" t="s">
        <v>3496</v>
      </c>
      <c r="M2161" s="6" t="e">
        <f>INDEX(医院2县区2人!$B$2:$B$1048576,MATCH(L2161,医院2县区2人!$A$2:$A$1048576,0))</f>
        <v>#N/A</v>
      </c>
      <c r="N2161" s="6" t="e">
        <f>INDEX(医院2县区2人!$C$2:$C$1048576,MATCH(L2161,医院2县区2人!$A$2:$A$1048576,0))</f>
        <v>#N/A</v>
      </c>
      <c r="P2161" s="7">
        <v>43266</v>
      </c>
      <c r="Q2161" s="6">
        <v>10</v>
      </c>
      <c r="S2161" s="6">
        <v>18030832</v>
      </c>
      <c r="T2161" s="6" t="e">
        <f>INDEX(医院2县区2人!$D$2:$D$1048576,MATCH(L2161,医院2县区2人!$A$2:$A$1048576,0))</f>
        <v>#N/A</v>
      </c>
      <c r="W2161" s="6" t="str">
        <f t="shared" si="69"/>
        <v>葡萄糖酸钙口服溶液10ml*12支（含糖型）</v>
      </c>
      <c r="X2161" s="6" t="s">
        <v>2922</v>
      </c>
    </row>
    <row r="2162" spans="1:24" x14ac:dyDescent="0.15">
      <c r="A2162" s="7" t="str">
        <f t="shared" si="70"/>
        <v>201806</v>
      </c>
      <c r="C2162" s="6" t="str">
        <f>INDEX(工厂基础数据!$A$2:$A$1024,MATCH(X2162,工厂基础数据!$D$2:$D$1024,0))</f>
        <v>02031388</v>
      </c>
      <c r="E2162" s="6" t="str">
        <f>INDEX(工厂基础数据!$B$2:$B$1024,MATCH(X2162,工厂基础数据!$D$2:$D$1024,0))</f>
        <v>山东悦康园通医药有限公司</v>
      </c>
      <c r="F2162" s="6" t="e">
        <f>INDEX(商业2转码!$B$2:$B$10000,MATCH(E2162,商业2转码!$A$2:$A$10000,0))</f>
        <v>#N/A</v>
      </c>
      <c r="G2162" s="6" t="str">
        <f>INDEX(品种2编码!$A$2:$A$1048576,MATCH(W2162,品种2编码!$D$2:$D$1048576,0))</f>
        <v>0020030001SJZY0009</v>
      </c>
      <c r="H2162" s="6" t="s">
        <v>1949</v>
      </c>
      <c r="I2162" s="6" t="s">
        <v>411</v>
      </c>
      <c r="J2162" s="6" t="s">
        <v>3040</v>
      </c>
      <c r="L2162" s="6" t="s">
        <v>3496</v>
      </c>
      <c r="M2162" s="6" t="e">
        <f>INDEX(医院2县区2人!$B$2:$B$1048576,MATCH(L2162,医院2县区2人!$A$2:$A$1048576,0))</f>
        <v>#N/A</v>
      </c>
      <c r="N2162" s="6" t="e">
        <f>INDEX(医院2县区2人!$C$2:$C$1048576,MATCH(L2162,医院2县区2人!$A$2:$A$1048576,0))</f>
        <v>#N/A</v>
      </c>
      <c r="P2162" s="7">
        <v>43266</v>
      </c>
      <c r="Q2162" s="6">
        <v>10</v>
      </c>
      <c r="S2162" s="6">
        <v>17120711</v>
      </c>
      <c r="T2162" s="6" t="e">
        <f>INDEX(医院2县区2人!$D$2:$D$1048576,MATCH(L2162,医院2县区2人!$A$2:$A$1048576,0))</f>
        <v>#N/A</v>
      </c>
      <c r="W2162" s="6" t="str">
        <f t="shared" si="69"/>
        <v>葡萄糖酸锌口服溶液10ml*12支</v>
      </c>
      <c r="X2162" s="6" t="s">
        <v>2922</v>
      </c>
    </row>
    <row r="2163" spans="1:24" x14ac:dyDescent="0.15">
      <c r="A2163" s="7" t="str">
        <f t="shared" si="70"/>
        <v>201806</v>
      </c>
      <c r="C2163" s="6" t="str">
        <f>INDEX(工厂基础数据!$A$2:$A$1024,MATCH(X2163,工厂基础数据!$D$2:$D$1024,0))</f>
        <v>02031388</v>
      </c>
      <c r="E2163" s="6" t="str">
        <f>INDEX(工厂基础数据!$B$2:$B$1024,MATCH(X2163,工厂基础数据!$D$2:$D$1024,0))</f>
        <v>山东悦康园通医药有限公司</v>
      </c>
      <c r="F2163" s="6" t="e">
        <f>INDEX(商业2转码!$B$2:$B$10000,MATCH(E2163,商业2转码!$A$2:$A$10000,0))</f>
        <v>#N/A</v>
      </c>
      <c r="G2163" s="6" t="str">
        <f>INDEX(品种2编码!$A$2:$A$1048576,MATCH(W2163,品种2编码!$D$2:$D$1048576,0))</f>
        <v>0020020020ZYLC0003</v>
      </c>
      <c r="H2163" s="6" t="s">
        <v>1855</v>
      </c>
      <c r="I2163" s="6" t="s">
        <v>381</v>
      </c>
      <c r="J2163" s="6" t="s">
        <v>3036</v>
      </c>
      <c r="L2163" s="6" t="s">
        <v>3502</v>
      </c>
      <c r="M2163" s="6" t="e">
        <f>INDEX(医院2县区2人!$B$2:$B$1048576,MATCH(L2163,医院2县区2人!$A$2:$A$1048576,0))</f>
        <v>#N/A</v>
      </c>
      <c r="N2163" s="6" t="e">
        <f>INDEX(医院2县区2人!$C$2:$C$1048576,MATCH(L2163,医院2县区2人!$A$2:$A$1048576,0))</f>
        <v>#N/A</v>
      </c>
      <c r="P2163" s="7">
        <v>43266</v>
      </c>
      <c r="Q2163" s="6">
        <v>5</v>
      </c>
      <c r="S2163" s="6">
        <v>180301</v>
      </c>
      <c r="T2163" s="6" t="e">
        <f>INDEX(医院2县区2人!$D$2:$D$1048576,MATCH(L2163,医院2县区2人!$A$2:$A$1048576,0))</f>
        <v>#N/A</v>
      </c>
      <c r="W2163" s="6" t="str">
        <f t="shared" si="69"/>
        <v>颠茄磺苄啶片12片</v>
      </c>
      <c r="X2163" s="6" t="s">
        <v>2922</v>
      </c>
    </row>
    <row r="2164" spans="1:24" x14ac:dyDescent="0.15">
      <c r="A2164" s="7" t="str">
        <f t="shared" si="70"/>
        <v>201806</v>
      </c>
      <c r="C2164" s="6" t="str">
        <f>INDEX(工厂基础数据!$A$2:$A$1024,MATCH(X2164,工厂基础数据!$D$2:$D$1024,0))</f>
        <v>02031388</v>
      </c>
      <c r="E2164" s="6" t="str">
        <f>INDEX(工厂基础数据!$B$2:$B$1024,MATCH(X2164,工厂基础数据!$D$2:$D$1024,0))</f>
        <v>山东悦康园通医药有限公司</v>
      </c>
      <c r="F2164" s="6" t="e">
        <f>INDEX(商业2转码!$B$2:$B$10000,MATCH(E2164,商业2转码!$A$2:$A$10000,0))</f>
        <v>#N/A</v>
      </c>
      <c r="G2164" s="6" t="str">
        <f>INDEX(品种2编码!$A$2:$A$1048576,MATCH(W2164,品种2编码!$D$2:$D$1048576,0))</f>
        <v>0020030020SJSC0004</v>
      </c>
      <c r="H2164" s="6" t="s">
        <v>394</v>
      </c>
      <c r="I2164" s="6" t="s">
        <v>1871</v>
      </c>
      <c r="J2164" s="6" t="s">
        <v>3045</v>
      </c>
      <c r="L2164" s="6" t="s">
        <v>3503</v>
      </c>
      <c r="M2164" s="6" t="e">
        <f>INDEX(医院2县区2人!$B$2:$B$1048576,MATCH(L2164,医院2县区2人!$A$2:$A$1048576,0))</f>
        <v>#N/A</v>
      </c>
      <c r="N2164" s="6" t="e">
        <f>INDEX(医院2县区2人!$C$2:$C$1048576,MATCH(L2164,医院2县区2人!$A$2:$A$1048576,0))</f>
        <v>#N/A</v>
      </c>
      <c r="P2164" s="7">
        <v>43270</v>
      </c>
      <c r="Q2164" s="6">
        <v>3</v>
      </c>
      <c r="S2164" s="6">
        <v>1709020</v>
      </c>
      <c r="T2164" s="6" t="e">
        <f>INDEX(医院2县区2人!$D$2:$D$1048576,MATCH(L2164,医院2县区2人!$A$2:$A$1048576,0))</f>
        <v>#N/A</v>
      </c>
      <c r="W2164" s="6" t="str">
        <f t="shared" si="69"/>
        <v>复方铝酸铋片50片</v>
      </c>
      <c r="X2164" s="6" t="s">
        <v>2922</v>
      </c>
    </row>
    <row r="2165" spans="1:24" x14ac:dyDescent="0.15">
      <c r="A2165" s="7" t="str">
        <f t="shared" si="70"/>
        <v>201806</v>
      </c>
      <c r="C2165" s="6" t="str">
        <f>INDEX(工厂基础数据!$A$2:$A$1024,MATCH(X2165,工厂基础数据!$D$2:$D$1024,0))</f>
        <v>02031388</v>
      </c>
      <c r="E2165" s="6" t="str">
        <f>INDEX(工厂基础数据!$B$2:$B$1024,MATCH(X2165,工厂基础数据!$D$2:$D$1024,0))</f>
        <v>山东悦康园通医药有限公司</v>
      </c>
      <c r="F2165" s="6" t="e">
        <f>INDEX(商业2转码!$B$2:$B$10000,MATCH(E2165,商业2转码!$A$2:$A$10000,0))</f>
        <v>#N/A</v>
      </c>
      <c r="G2165" s="6" t="str">
        <f>INDEX(品种2编码!$A$2:$A$1048576,MATCH(W2165,品种2编码!$D$2:$D$1048576,0))</f>
        <v>0020030020SJSC0004</v>
      </c>
      <c r="H2165" s="6" t="s">
        <v>394</v>
      </c>
      <c r="I2165" s="6" t="s">
        <v>1871</v>
      </c>
      <c r="J2165" s="6" t="s">
        <v>3045</v>
      </c>
      <c r="L2165" s="6" t="s">
        <v>3504</v>
      </c>
      <c r="M2165" s="6" t="e">
        <f>INDEX(医院2县区2人!$B$2:$B$1048576,MATCH(L2165,医院2县区2人!$A$2:$A$1048576,0))</f>
        <v>#N/A</v>
      </c>
      <c r="N2165" s="6" t="e">
        <f>INDEX(医院2县区2人!$C$2:$C$1048576,MATCH(L2165,医院2县区2人!$A$2:$A$1048576,0))</f>
        <v>#N/A</v>
      </c>
      <c r="P2165" s="7">
        <v>43270</v>
      </c>
      <c r="Q2165" s="6">
        <v>3</v>
      </c>
      <c r="S2165" s="6">
        <v>1709020</v>
      </c>
      <c r="T2165" s="6" t="e">
        <f>INDEX(医院2县区2人!$D$2:$D$1048576,MATCH(L2165,医院2县区2人!$A$2:$A$1048576,0))</f>
        <v>#N/A</v>
      </c>
      <c r="W2165" s="6" t="str">
        <f t="shared" si="69"/>
        <v>复方铝酸铋片50片</v>
      </c>
      <c r="X2165" s="6" t="s">
        <v>2922</v>
      </c>
    </row>
    <row r="2166" spans="1:24" x14ac:dyDescent="0.15">
      <c r="A2166" s="7" t="str">
        <f t="shared" si="70"/>
        <v>201806</v>
      </c>
      <c r="C2166" s="6" t="str">
        <f>INDEX(工厂基础数据!$A$2:$A$1024,MATCH(X2166,工厂基础数据!$D$2:$D$1024,0))</f>
        <v>02031388</v>
      </c>
      <c r="E2166" s="6" t="str">
        <f>INDEX(工厂基础数据!$B$2:$B$1024,MATCH(X2166,工厂基础数据!$D$2:$D$1024,0))</f>
        <v>山东悦康园通医药有限公司</v>
      </c>
      <c r="F2166" s="6" t="e">
        <f>INDEX(商业2转码!$B$2:$B$10000,MATCH(E2166,商业2转码!$A$2:$A$10000,0))</f>
        <v>#N/A</v>
      </c>
      <c r="G2166" s="6">
        <f>INDEX(品种2编码!$A$2:$A$1048576,MATCH(W2166,品种2编码!$D$2:$D$1048576,0))</f>
        <v>0</v>
      </c>
      <c r="H2166" s="6" t="s">
        <v>1833</v>
      </c>
      <c r="I2166" s="6" t="s">
        <v>3522</v>
      </c>
      <c r="J2166" s="6" t="s">
        <v>3040</v>
      </c>
      <c r="L2166" s="6" t="s">
        <v>3505</v>
      </c>
      <c r="M2166" s="6" t="e">
        <f>INDEX(医院2县区2人!$B$2:$B$1048576,MATCH(L2166,医院2县区2人!$A$2:$A$1048576,0))</f>
        <v>#N/A</v>
      </c>
      <c r="N2166" s="6" t="e">
        <f>INDEX(医院2县区2人!$C$2:$C$1048576,MATCH(L2166,医院2县区2人!$A$2:$A$1048576,0))</f>
        <v>#N/A</v>
      </c>
      <c r="P2166" s="7">
        <v>43270</v>
      </c>
      <c r="Q2166" s="6">
        <v>10</v>
      </c>
      <c r="S2166" s="6">
        <v>18030832</v>
      </c>
      <c r="T2166" s="6" t="e">
        <f>INDEX(医院2县区2人!$D$2:$D$1048576,MATCH(L2166,医院2县区2人!$A$2:$A$1048576,0))</f>
        <v>#N/A</v>
      </c>
      <c r="W2166" s="6" t="str">
        <f t="shared" si="69"/>
        <v>葡萄糖酸钙口服溶液10ml*12支（含糖型）</v>
      </c>
      <c r="X2166" s="6" t="s">
        <v>2922</v>
      </c>
    </row>
    <row r="2167" spans="1:24" x14ac:dyDescent="0.15">
      <c r="A2167" s="7" t="str">
        <f t="shared" si="70"/>
        <v>201806</v>
      </c>
      <c r="C2167" s="6" t="str">
        <f>INDEX(工厂基础数据!$A$2:$A$1024,MATCH(X2167,工厂基础数据!$D$2:$D$1024,0))</f>
        <v>02031388</v>
      </c>
      <c r="E2167" s="6" t="str">
        <f>INDEX(工厂基础数据!$B$2:$B$1024,MATCH(X2167,工厂基础数据!$D$2:$D$1024,0))</f>
        <v>山东悦康园通医药有限公司</v>
      </c>
      <c r="F2167" s="6" t="e">
        <f>INDEX(商业2转码!$B$2:$B$10000,MATCH(E2167,商业2转码!$A$2:$A$10000,0))</f>
        <v>#N/A</v>
      </c>
      <c r="G2167" s="6">
        <f>INDEX(品种2编码!$A$2:$A$1048576,MATCH(W2167,品种2编码!$D$2:$D$1048576,0))</f>
        <v>0</v>
      </c>
      <c r="H2167" s="6" t="s">
        <v>1833</v>
      </c>
      <c r="I2167" s="6" t="s">
        <v>3522</v>
      </c>
      <c r="J2167" s="6" t="s">
        <v>3040</v>
      </c>
      <c r="L2167" s="6" t="s">
        <v>3496</v>
      </c>
      <c r="M2167" s="6" t="e">
        <f>INDEX(医院2县区2人!$B$2:$B$1048576,MATCH(L2167,医院2县区2人!$A$2:$A$1048576,0))</f>
        <v>#N/A</v>
      </c>
      <c r="N2167" s="6" t="e">
        <f>INDEX(医院2县区2人!$C$2:$C$1048576,MATCH(L2167,医院2县区2人!$A$2:$A$1048576,0))</f>
        <v>#N/A</v>
      </c>
      <c r="P2167" s="7">
        <v>43270</v>
      </c>
      <c r="Q2167" s="6">
        <v>2</v>
      </c>
      <c r="S2167" s="6">
        <v>18030832</v>
      </c>
      <c r="T2167" s="6" t="e">
        <f>INDEX(医院2县区2人!$D$2:$D$1048576,MATCH(L2167,医院2县区2人!$A$2:$A$1048576,0))</f>
        <v>#N/A</v>
      </c>
      <c r="W2167" s="6" t="str">
        <f t="shared" si="69"/>
        <v>葡萄糖酸钙口服溶液10ml*12支（含糖型）</v>
      </c>
      <c r="X2167" s="6" t="s">
        <v>2922</v>
      </c>
    </row>
    <row r="2168" spans="1:24" x14ac:dyDescent="0.15">
      <c r="A2168" s="7" t="str">
        <f t="shared" si="70"/>
        <v>201806</v>
      </c>
      <c r="C2168" s="6" t="str">
        <f>INDEX(工厂基础数据!$A$2:$A$1024,MATCH(X2168,工厂基础数据!$D$2:$D$1024,0))</f>
        <v>02031388</v>
      </c>
      <c r="E2168" s="6" t="str">
        <f>INDEX(工厂基础数据!$B$2:$B$1024,MATCH(X2168,工厂基础数据!$D$2:$D$1024,0))</f>
        <v>山东悦康园通医药有限公司</v>
      </c>
      <c r="F2168" s="6" t="e">
        <f>INDEX(商业2转码!$B$2:$B$10000,MATCH(E2168,商业2转码!$A$2:$A$10000,0))</f>
        <v>#N/A</v>
      </c>
      <c r="G2168" s="6" t="str">
        <f>INDEX(品种2编码!$A$2:$A$1048576,MATCH(W2168,品种2编码!$D$2:$D$1048576,0))</f>
        <v>0020030001SJZY0009</v>
      </c>
      <c r="H2168" s="6" t="s">
        <v>1949</v>
      </c>
      <c r="I2168" s="6" t="s">
        <v>411</v>
      </c>
      <c r="J2168" s="6" t="s">
        <v>3040</v>
      </c>
      <c r="L2168" s="6" t="s">
        <v>3496</v>
      </c>
      <c r="M2168" s="6" t="e">
        <f>INDEX(医院2县区2人!$B$2:$B$1048576,MATCH(L2168,医院2县区2人!$A$2:$A$1048576,0))</f>
        <v>#N/A</v>
      </c>
      <c r="N2168" s="6" t="e">
        <f>INDEX(医院2县区2人!$C$2:$C$1048576,MATCH(L2168,医院2县区2人!$A$2:$A$1048576,0))</f>
        <v>#N/A</v>
      </c>
      <c r="P2168" s="7">
        <v>43270</v>
      </c>
      <c r="Q2168" s="6">
        <v>2</v>
      </c>
      <c r="S2168" s="6">
        <v>17120711</v>
      </c>
      <c r="T2168" s="6" t="e">
        <f>INDEX(医院2县区2人!$D$2:$D$1048576,MATCH(L2168,医院2县区2人!$A$2:$A$1048576,0))</f>
        <v>#N/A</v>
      </c>
      <c r="W2168" s="6" t="str">
        <f t="shared" si="69"/>
        <v>葡萄糖酸锌口服溶液10ml*12支</v>
      </c>
      <c r="X2168" s="6" t="s">
        <v>2922</v>
      </c>
    </row>
    <row r="2169" spans="1:24" x14ac:dyDescent="0.15">
      <c r="A2169" s="7" t="str">
        <f t="shared" si="70"/>
        <v>201806</v>
      </c>
      <c r="C2169" s="6" t="str">
        <f>INDEX(工厂基础数据!$A$2:$A$1024,MATCH(X2169,工厂基础数据!$D$2:$D$1024,0))</f>
        <v>02031388</v>
      </c>
      <c r="E2169" s="6" t="str">
        <f>INDEX(工厂基础数据!$B$2:$B$1024,MATCH(X2169,工厂基础数据!$D$2:$D$1024,0))</f>
        <v>山东悦康园通医药有限公司</v>
      </c>
      <c r="F2169" s="6" t="e">
        <f>INDEX(商业2转码!$B$2:$B$10000,MATCH(E2169,商业2转码!$A$2:$A$10000,0))</f>
        <v>#N/A</v>
      </c>
      <c r="G2169" s="6" t="str">
        <f>INDEX(品种2编码!$A$2:$A$1048576,MATCH(W2169,品种2编码!$D$2:$D$1048576,0))</f>
        <v>0020020020ZYLC0003</v>
      </c>
      <c r="H2169" s="6" t="s">
        <v>1855</v>
      </c>
      <c r="I2169" s="6" t="s">
        <v>381</v>
      </c>
      <c r="J2169" s="6" t="s">
        <v>3036</v>
      </c>
      <c r="L2169" s="6" t="s">
        <v>3506</v>
      </c>
      <c r="M2169" s="6" t="e">
        <f>INDEX(医院2县区2人!$B$2:$B$1048576,MATCH(L2169,医院2县区2人!$A$2:$A$1048576,0))</f>
        <v>#N/A</v>
      </c>
      <c r="N2169" s="6" t="e">
        <f>INDEX(医院2县区2人!$C$2:$C$1048576,MATCH(L2169,医院2县区2人!$A$2:$A$1048576,0))</f>
        <v>#N/A</v>
      </c>
      <c r="P2169" s="7">
        <v>43270</v>
      </c>
      <c r="Q2169" s="6">
        <v>5</v>
      </c>
      <c r="S2169" s="6">
        <v>170706</v>
      </c>
      <c r="T2169" s="6" t="e">
        <f>INDEX(医院2县区2人!$D$2:$D$1048576,MATCH(L2169,医院2县区2人!$A$2:$A$1048576,0))</f>
        <v>#N/A</v>
      </c>
      <c r="W2169" s="6" t="str">
        <f t="shared" si="69"/>
        <v>颠茄磺苄啶片12片</v>
      </c>
      <c r="X2169" s="6" t="s">
        <v>2922</v>
      </c>
    </row>
    <row r="2170" spans="1:24" x14ac:dyDescent="0.15">
      <c r="A2170" s="7" t="str">
        <f t="shared" si="70"/>
        <v>201806</v>
      </c>
      <c r="C2170" s="6" t="str">
        <f>INDEX(工厂基础数据!$A$2:$A$1024,MATCH(X2170,工厂基础数据!$D$2:$D$1024,0))</f>
        <v>02031388</v>
      </c>
      <c r="E2170" s="6" t="str">
        <f>INDEX(工厂基础数据!$B$2:$B$1024,MATCH(X2170,工厂基础数据!$D$2:$D$1024,0))</f>
        <v>山东悦康园通医药有限公司</v>
      </c>
      <c r="F2170" s="6" t="e">
        <f>INDEX(商业2转码!$B$2:$B$10000,MATCH(E2170,商业2转码!$A$2:$A$10000,0))</f>
        <v>#N/A</v>
      </c>
      <c r="G2170" s="6" t="str">
        <f>INDEX(品种2编码!$A$2:$A$1048576,MATCH(W2170,品种2编码!$D$2:$D$1048576,0))</f>
        <v>0020020020ZYLC0003</v>
      </c>
      <c r="H2170" s="6" t="s">
        <v>1855</v>
      </c>
      <c r="I2170" s="6" t="s">
        <v>381</v>
      </c>
      <c r="J2170" s="6" t="s">
        <v>3036</v>
      </c>
      <c r="L2170" s="6" t="s">
        <v>3507</v>
      </c>
      <c r="M2170" s="6" t="e">
        <f>INDEX(医院2县区2人!$B$2:$B$1048576,MATCH(L2170,医院2县区2人!$A$2:$A$1048576,0))</f>
        <v>#N/A</v>
      </c>
      <c r="N2170" s="6" t="e">
        <f>INDEX(医院2县区2人!$C$2:$C$1048576,MATCH(L2170,医院2县区2人!$A$2:$A$1048576,0))</f>
        <v>#N/A</v>
      </c>
      <c r="P2170" s="7">
        <v>43270</v>
      </c>
      <c r="Q2170" s="6">
        <v>10</v>
      </c>
      <c r="S2170" s="6">
        <v>180301</v>
      </c>
      <c r="T2170" s="6" t="e">
        <f>INDEX(医院2县区2人!$D$2:$D$1048576,MATCH(L2170,医院2县区2人!$A$2:$A$1048576,0))</f>
        <v>#N/A</v>
      </c>
      <c r="W2170" s="6" t="str">
        <f t="shared" si="69"/>
        <v>颠茄磺苄啶片12片</v>
      </c>
      <c r="X2170" s="6" t="s">
        <v>2922</v>
      </c>
    </row>
    <row r="2171" spans="1:24" x14ac:dyDescent="0.15">
      <c r="A2171" s="7" t="str">
        <f t="shared" si="70"/>
        <v>201806</v>
      </c>
      <c r="C2171" s="6" t="str">
        <f>INDEX(工厂基础数据!$A$2:$A$1024,MATCH(X2171,工厂基础数据!$D$2:$D$1024,0))</f>
        <v>02031388</v>
      </c>
      <c r="E2171" s="6" t="str">
        <f>INDEX(工厂基础数据!$B$2:$B$1024,MATCH(X2171,工厂基础数据!$D$2:$D$1024,0))</f>
        <v>山东悦康园通医药有限公司</v>
      </c>
      <c r="F2171" s="6" t="e">
        <f>INDEX(商业2转码!$B$2:$B$10000,MATCH(E2171,商业2转码!$A$2:$A$10000,0))</f>
        <v>#N/A</v>
      </c>
      <c r="G2171" s="6">
        <f>INDEX(品种2编码!$A$2:$A$1048576,MATCH(W2171,品种2编码!$D$2:$D$1048576,0))</f>
        <v>0</v>
      </c>
      <c r="H2171" s="6" t="s">
        <v>911</v>
      </c>
      <c r="I2171" s="6" t="s">
        <v>3453</v>
      </c>
      <c r="J2171" s="6" t="s">
        <v>3038</v>
      </c>
      <c r="L2171" s="6" t="s">
        <v>3508</v>
      </c>
      <c r="M2171" s="6" t="e">
        <f>INDEX(医院2县区2人!$B$2:$B$1048576,MATCH(L2171,医院2县区2人!$A$2:$A$1048576,0))</f>
        <v>#N/A</v>
      </c>
      <c r="N2171" s="6" t="e">
        <f>INDEX(医院2县区2人!$C$2:$C$1048576,MATCH(L2171,医院2县区2人!$A$2:$A$1048576,0))</f>
        <v>#N/A</v>
      </c>
      <c r="P2171" s="7">
        <v>43270</v>
      </c>
      <c r="Q2171" s="6">
        <v>5</v>
      </c>
      <c r="S2171" s="6" t="s">
        <v>3065</v>
      </c>
      <c r="T2171" s="6" t="e">
        <f>INDEX(医院2县区2人!$D$2:$D$1048576,MATCH(L2171,医院2县区2人!$A$2:$A$1048576,0))</f>
        <v>#N/A</v>
      </c>
      <c r="W2171" s="6" t="str">
        <f t="shared" si="69"/>
        <v>注射用乳糖酸阿奇霉素0.25g*10支</v>
      </c>
      <c r="X2171" s="6" t="s">
        <v>2922</v>
      </c>
    </row>
    <row r="2172" spans="1:24" x14ac:dyDescent="0.15">
      <c r="A2172" s="7" t="str">
        <f t="shared" si="70"/>
        <v>201806</v>
      </c>
      <c r="C2172" s="6" t="str">
        <f>INDEX(工厂基础数据!$A$2:$A$1024,MATCH(X2172,工厂基础数据!$D$2:$D$1024,0))</f>
        <v>02031388</v>
      </c>
      <c r="E2172" s="6" t="str">
        <f>INDEX(工厂基础数据!$B$2:$B$1024,MATCH(X2172,工厂基础数据!$D$2:$D$1024,0))</f>
        <v>山东悦康园通医药有限公司</v>
      </c>
      <c r="F2172" s="6" t="e">
        <f>INDEX(商业2转码!$B$2:$B$10000,MATCH(E2172,商业2转码!$A$2:$A$10000,0))</f>
        <v>#N/A</v>
      </c>
      <c r="G2172" s="6">
        <f>INDEX(品种2编码!$A$2:$A$1048576,MATCH(W2172,品种2编码!$D$2:$D$1048576,0))</f>
        <v>0</v>
      </c>
      <c r="H2172" s="6" t="s">
        <v>911</v>
      </c>
      <c r="I2172" s="6" t="s">
        <v>3453</v>
      </c>
      <c r="J2172" s="6" t="s">
        <v>3038</v>
      </c>
      <c r="L2172" s="6" t="s">
        <v>3509</v>
      </c>
      <c r="M2172" s="6" t="e">
        <f>INDEX(医院2县区2人!$B$2:$B$1048576,MATCH(L2172,医院2县区2人!$A$2:$A$1048576,0))</f>
        <v>#N/A</v>
      </c>
      <c r="N2172" s="6" t="e">
        <f>INDEX(医院2县区2人!$C$2:$C$1048576,MATCH(L2172,医院2县区2人!$A$2:$A$1048576,0))</f>
        <v>#N/A</v>
      </c>
      <c r="P2172" s="7">
        <v>43270</v>
      </c>
      <c r="Q2172" s="6">
        <v>4</v>
      </c>
      <c r="S2172" s="6" t="s">
        <v>3065</v>
      </c>
      <c r="T2172" s="6" t="e">
        <f>INDEX(医院2县区2人!$D$2:$D$1048576,MATCH(L2172,医院2县区2人!$A$2:$A$1048576,0))</f>
        <v>#N/A</v>
      </c>
      <c r="W2172" s="6" t="str">
        <f t="shared" si="69"/>
        <v>注射用乳糖酸阿奇霉素0.25g*10支</v>
      </c>
      <c r="X2172" s="6" t="s">
        <v>2922</v>
      </c>
    </row>
    <row r="2173" spans="1:24" x14ac:dyDescent="0.15">
      <c r="A2173" s="7" t="str">
        <f t="shared" si="70"/>
        <v>201806</v>
      </c>
      <c r="C2173" s="6" t="str">
        <f>INDEX(工厂基础数据!$A$2:$A$1024,MATCH(X2173,工厂基础数据!$D$2:$D$1024,0))</f>
        <v>02031388</v>
      </c>
      <c r="E2173" s="6" t="str">
        <f>INDEX(工厂基础数据!$B$2:$B$1024,MATCH(X2173,工厂基础数据!$D$2:$D$1024,0))</f>
        <v>山东悦康园通医药有限公司</v>
      </c>
      <c r="F2173" s="6" t="e">
        <f>INDEX(商业2转码!$B$2:$B$10000,MATCH(E2173,商业2转码!$A$2:$A$10000,0))</f>
        <v>#N/A</v>
      </c>
      <c r="G2173" s="6">
        <f>INDEX(品种2编码!$A$2:$A$1048576,MATCH(W2173,品种2编码!$D$2:$D$1048576,0))</f>
        <v>0</v>
      </c>
      <c r="H2173" s="6" t="s">
        <v>911</v>
      </c>
      <c r="I2173" s="6" t="s">
        <v>3453</v>
      </c>
      <c r="J2173" s="6" t="s">
        <v>3038</v>
      </c>
      <c r="L2173" s="6" t="s">
        <v>3510</v>
      </c>
      <c r="M2173" s="6" t="e">
        <f>INDEX(医院2县区2人!$B$2:$B$1048576,MATCH(L2173,医院2县区2人!$A$2:$A$1048576,0))</f>
        <v>#N/A</v>
      </c>
      <c r="N2173" s="6" t="e">
        <f>INDEX(医院2县区2人!$C$2:$C$1048576,MATCH(L2173,医院2县区2人!$A$2:$A$1048576,0))</f>
        <v>#N/A</v>
      </c>
      <c r="P2173" s="7">
        <v>43271</v>
      </c>
      <c r="Q2173" s="6">
        <v>10</v>
      </c>
      <c r="S2173" s="6" t="s">
        <v>3065</v>
      </c>
      <c r="T2173" s="6" t="e">
        <f>INDEX(医院2县区2人!$D$2:$D$1048576,MATCH(L2173,医院2县区2人!$A$2:$A$1048576,0))</f>
        <v>#N/A</v>
      </c>
      <c r="W2173" s="6" t="str">
        <f t="shared" ref="W2173:W2235" si="71">H2173&amp;I2173</f>
        <v>注射用乳糖酸阿奇霉素0.25g*10支</v>
      </c>
      <c r="X2173" s="6" t="s">
        <v>2922</v>
      </c>
    </row>
    <row r="2174" spans="1:24" x14ac:dyDescent="0.15">
      <c r="A2174" s="7" t="str">
        <f t="shared" ref="A2174:A2236" si="72">IF(MONTH(P2174)&lt;10,YEAR(P2174)&amp;"0"&amp;MONTH(P2174),YEAR(P2174)&amp;MONTH(P2174))</f>
        <v>201806</v>
      </c>
      <c r="C2174" s="6" t="str">
        <f>INDEX(工厂基础数据!$A$2:$A$1024,MATCH(X2174,工厂基础数据!$D$2:$D$1024,0))</f>
        <v>02031388</v>
      </c>
      <c r="E2174" s="6" t="str">
        <f>INDEX(工厂基础数据!$B$2:$B$1024,MATCH(X2174,工厂基础数据!$D$2:$D$1024,0))</f>
        <v>山东悦康园通医药有限公司</v>
      </c>
      <c r="F2174" s="6" t="e">
        <f>INDEX(商业2转码!$B$2:$B$10000,MATCH(E2174,商业2转码!$A$2:$A$10000,0))</f>
        <v>#N/A</v>
      </c>
      <c r="G2174" s="6" t="str">
        <f>INDEX(品种2编码!$A$2:$A$1048576,MATCH(W2174,品种2编码!$D$2:$D$1048576,0))</f>
        <v>0020030001SJZY0009</v>
      </c>
      <c r="H2174" s="6" t="s">
        <v>1949</v>
      </c>
      <c r="I2174" s="6" t="s">
        <v>411</v>
      </c>
      <c r="J2174" s="6" t="s">
        <v>3040</v>
      </c>
      <c r="L2174" s="6" t="s">
        <v>3498</v>
      </c>
      <c r="M2174" s="6" t="e">
        <f>INDEX(医院2县区2人!$B$2:$B$1048576,MATCH(L2174,医院2县区2人!$A$2:$A$1048576,0))</f>
        <v>#N/A</v>
      </c>
      <c r="N2174" s="6" t="e">
        <f>INDEX(医院2县区2人!$C$2:$C$1048576,MATCH(L2174,医院2县区2人!$A$2:$A$1048576,0))</f>
        <v>#N/A</v>
      </c>
      <c r="P2174" s="7">
        <v>43272</v>
      </c>
      <c r="Q2174" s="6">
        <v>1</v>
      </c>
      <c r="S2174" s="6">
        <v>17120711</v>
      </c>
      <c r="T2174" s="6" t="e">
        <f>INDEX(医院2县区2人!$D$2:$D$1048576,MATCH(L2174,医院2县区2人!$A$2:$A$1048576,0))</f>
        <v>#N/A</v>
      </c>
      <c r="W2174" s="6" t="str">
        <f t="shared" si="71"/>
        <v>葡萄糖酸锌口服溶液10ml*12支</v>
      </c>
      <c r="X2174" s="6" t="s">
        <v>2922</v>
      </c>
    </row>
    <row r="2175" spans="1:24" x14ac:dyDescent="0.15">
      <c r="A2175" s="7" t="str">
        <f t="shared" si="72"/>
        <v>201806</v>
      </c>
      <c r="C2175" s="6" t="str">
        <f>INDEX(工厂基础数据!$A$2:$A$1024,MATCH(X2175,工厂基础数据!$D$2:$D$1024,0))</f>
        <v>02031388</v>
      </c>
      <c r="E2175" s="6" t="str">
        <f>INDEX(工厂基础数据!$B$2:$B$1024,MATCH(X2175,工厂基础数据!$D$2:$D$1024,0))</f>
        <v>山东悦康园通医药有限公司</v>
      </c>
      <c r="F2175" s="6" t="e">
        <f>INDEX(商业2转码!$B$2:$B$10000,MATCH(E2175,商业2转码!$A$2:$A$10000,0))</f>
        <v>#N/A</v>
      </c>
      <c r="G2175" s="6">
        <f>INDEX(品种2编码!$A$2:$A$1048576,MATCH(W2175,品种2编码!$D$2:$D$1048576,0))</f>
        <v>0</v>
      </c>
      <c r="H2175" s="6" t="s">
        <v>494</v>
      </c>
      <c r="I2175" s="6" t="s">
        <v>2932</v>
      </c>
      <c r="J2175" s="6" t="s">
        <v>3036</v>
      </c>
      <c r="L2175" s="6" t="s">
        <v>2956</v>
      </c>
      <c r="M2175" s="6">
        <f>INDEX(医院2县区2人!$B$2:$B$1048576,MATCH(L2175,医院2县区2人!$A$2:$A$1048576,0))</f>
        <v>0</v>
      </c>
      <c r="N2175" s="6">
        <f>INDEX(医院2县区2人!$C$2:$C$1048576,MATCH(L2175,医院2县区2人!$A$2:$A$1048576,0))</f>
        <v>0</v>
      </c>
      <c r="P2175" s="7">
        <v>43272</v>
      </c>
      <c r="Q2175" s="6">
        <v>10</v>
      </c>
      <c r="S2175" s="6">
        <v>171101</v>
      </c>
      <c r="T2175" s="6">
        <f>INDEX(医院2县区2人!$D$2:$D$1048576,MATCH(L2175,医院2县区2人!$A$2:$A$1048576,0))</f>
        <v>0</v>
      </c>
      <c r="W2175" s="6" t="str">
        <f t="shared" si="71"/>
        <v>罗红霉素分散片(严迪)75mg*12s</v>
      </c>
      <c r="X2175" s="6" t="s">
        <v>2922</v>
      </c>
    </row>
    <row r="2176" spans="1:24" x14ac:dyDescent="0.15">
      <c r="A2176" s="7" t="str">
        <f t="shared" si="72"/>
        <v>201806</v>
      </c>
      <c r="C2176" s="6" t="str">
        <f>INDEX(工厂基础数据!$A$2:$A$1024,MATCH(X2176,工厂基础数据!$D$2:$D$1024,0))</f>
        <v>02031388</v>
      </c>
      <c r="E2176" s="6" t="str">
        <f>INDEX(工厂基础数据!$B$2:$B$1024,MATCH(X2176,工厂基础数据!$D$2:$D$1024,0))</f>
        <v>山东悦康园通医药有限公司</v>
      </c>
      <c r="F2176" s="6" t="e">
        <f>INDEX(商业2转码!$B$2:$B$10000,MATCH(E2176,商业2转码!$A$2:$A$10000,0))</f>
        <v>#N/A</v>
      </c>
      <c r="G2176" s="6" t="str">
        <f>INDEX(品种2编码!$A$2:$A$1048576,MATCH(W2176,品种2编码!$D$2:$D$1048576,0))</f>
        <v>0020020020ZYLC0003</v>
      </c>
      <c r="H2176" s="6" t="s">
        <v>1855</v>
      </c>
      <c r="I2176" s="6" t="s">
        <v>381</v>
      </c>
      <c r="J2176" s="6" t="s">
        <v>3036</v>
      </c>
      <c r="L2176" s="6" t="s">
        <v>3494</v>
      </c>
      <c r="M2176" s="6" t="e">
        <f>INDEX(医院2县区2人!$B$2:$B$1048576,MATCH(L2176,医院2县区2人!$A$2:$A$1048576,0))</f>
        <v>#N/A</v>
      </c>
      <c r="N2176" s="6" t="e">
        <f>INDEX(医院2县区2人!$C$2:$C$1048576,MATCH(L2176,医院2县区2人!$A$2:$A$1048576,0))</f>
        <v>#N/A</v>
      </c>
      <c r="P2176" s="7">
        <v>43272</v>
      </c>
      <c r="Q2176" s="6">
        <v>20</v>
      </c>
      <c r="S2176" s="6">
        <v>180301</v>
      </c>
      <c r="T2176" s="6" t="e">
        <f>INDEX(医院2县区2人!$D$2:$D$1048576,MATCH(L2176,医院2县区2人!$A$2:$A$1048576,0))</f>
        <v>#N/A</v>
      </c>
      <c r="W2176" s="6" t="str">
        <f t="shared" si="71"/>
        <v>颠茄磺苄啶片12片</v>
      </c>
      <c r="X2176" s="6" t="s">
        <v>2922</v>
      </c>
    </row>
    <row r="2177" spans="1:24" x14ac:dyDescent="0.15">
      <c r="A2177" s="7" t="str">
        <f t="shared" si="72"/>
        <v>201806</v>
      </c>
      <c r="C2177" s="6" t="str">
        <f>INDEX(工厂基础数据!$A$2:$A$1024,MATCH(X2177,工厂基础数据!$D$2:$D$1024,0))</f>
        <v>02031388</v>
      </c>
      <c r="E2177" s="6" t="str">
        <f>INDEX(工厂基础数据!$B$2:$B$1024,MATCH(X2177,工厂基础数据!$D$2:$D$1024,0))</f>
        <v>山东悦康园通医药有限公司</v>
      </c>
      <c r="F2177" s="6" t="e">
        <f>INDEX(商业2转码!$B$2:$B$10000,MATCH(E2177,商业2转码!$A$2:$A$10000,0))</f>
        <v>#N/A</v>
      </c>
      <c r="G2177" s="6" t="str">
        <f>INDEX(品种2编码!$A$2:$A$1048576,MATCH(W2177,品种2编码!$D$2:$D$1048576,0))</f>
        <v>0020020020ZYLC0003</v>
      </c>
      <c r="H2177" s="6" t="s">
        <v>1855</v>
      </c>
      <c r="I2177" s="6" t="s">
        <v>381</v>
      </c>
      <c r="J2177" s="6" t="s">
        <v>3036</v>
      </c>
      <c r="L2177" s="6" t="s">
        <v>3494</v>
      </c>
      <c r="M2177" s="6" t="e">
        <f>INDEX(医院2县区2人!$B$2:$B$1048576,MATCH(L2177,医院2县区2人!$A$2:$A$1048576,0))</f>
        <v>#N/A</v>
      </c>
      <c r="N2177" s="6" t="e">
        <f>INDEX(医院2县区2人!$C$2:$C$1048576,MATCH(L2177,医院2县区2人!$A$2:$A$1048576,0))</f>
        <v>#N/A</v>
      </c>
      <c r="P2177" s="7">
        <v>43273</v>
      </c>
      <c r="Q2177" s="6">
        <v>20</v>
      </c>
      <c r="S2177" s="6">
        <v>180301</v>
      </c>
      <c r="T2177" s="6" t="e">
        <f>INDEX(医院2县区2人!$D$2:$D$1048576,MATCH(L2177,医院2县区2人!$A$2:$A$1048576,0))</f>
        <v>#N/A</v>
      </c>
      <c r="W2177" s="6" t="str">
        <f t="shared" si="71"/>
        <v>颠茄磺苄啶片12片</v>
      </c>
      <c r="X2177" s="6" t="s">
        <v>2922</v>
      </c>
    </row>
    <row r="2178" spans="1:24" x14ac:dyDescent="0.15">
      <c r="A2178" s="7" t="str">
        <f t="shared" si="72"/>
        <v>201806</v>
      </c>
      <c r="C2178" s="6" t="str">
        <f>INDEX(工厂基础数据!$A$2:$A$1024,MATCH(X2178,工厂基础数据!$D$2:$D$1024,0))</f>
        <v>02031388</v>
      </c>
      <c r="E2178" s="6" t="str">
        <f>INDEX(工厂基础数据!$B$2:$B$1024,MATCH(X2178,工厂基础数据!$D$2:$D$1024,0))</f>
        <v>山东悦康园通医药有限公司</v>
      </c>
      <c r="F2178" s="6" t="e">
        <f>INDEX(商业2转码!$B$2:$B$10000,MATCH(E2178,商业2转码!$A$2:$A$10000,0))</f>
        <v>#N/A</v>
      </c>
      <c r="G2178" s="6">
        <f>INDEX(品种2编码!$A$2:$A$1048576,MATCH(W2178,品种2编码!$D$2:$D$1048576,0))</f>
        <v>0</v>
      </c>
      <c r="H2178" s="6" t="s">
        <v>911</v>
      </c>
      <c r="I2178" s="6" t="s">
        <v>3453</v>
      </c>
      <c r="J2178" s="6" t="s">
        <v>3038</v>
      </c>
      <c r="L2178" s="6" t="s">
        <v>3487</v>
      </c>
      <c r="M2178" s="6" t="e">
        <f>INDEX(医院2县区2人!$B$2:$B$1048576,MATCH(L2178,医院2县区2人!$A$2:$A$1048576,0))</f>
        <v>#N/A</v>
      </c>
      <c r="N2178" s="6" t="e">
        <f>INDEX(医院2县区2人!$C$2:$C$1048576,MATCH(L2178,医院2县区2人!$A$2:$A$1048576,0))</f>
        <v>#N/A</v>
      </c>
      <c r="P2178" s="7">
        <v>43273</v>
      </c>
      <c r="Q2178" s="6">
        <v>3</v>
      </c>
      <c r="S2178" s="6" t="s">
        <v>3065</v>
      </c>
      <c r="T2178" s="6" t="e">
        <f>INDEX(医院2县区2人!$D$2:$D$1048576,MATCH(L2178,医院2县区2人!$A$2:$A$1048576,0))</f>
        <v>#N/A</v>
      </c>
      <c r="W2178" s="6" t="str">
        <f t="shared" si="71"/>
        <v>注射用乳糖酸阿奇霉素0.25g*10支</v>
      </c>
      <c r="X2178" s="6" t="s">
        <v>2922</v>
      </c>
    </row>
    <row r="2179" spans="1:24" x14ac:dyDescent="0.15">
      <c r="A2179" s="7" t="str">
        <f t="shared" si="72"/>
        <v>201806</v>
      </c>
      <c r="C2179" s="6" t="str">
        <f>INDEX(工厂基础数据!$A$2:$A$1024,MATCH(X2179,工厂基础数据!$D$2:$D$1024,0))</f>
        <v>02031388</v>
      </c>
      <c r="E2179" s="6" t="str">
        <f>INDEX(工厂基础数据!$B$2:$B$1024,MATCH(X2179,工厂基础数据!$D$2:$D$1024,0))</f>
        <v>山东悦康园通医药有限公司</v>
      </c>
      <c r="F2179" s="6" t="e">
        <f>INDEX(商业2转码!$B$2:$B$10000,MATCH(E2179,商业2转码!$A$2:$A$10000,0))</f>
        <v>#N/A</v>
      </c>
      <c r="G2179" s="6" t="str">
        <f>INDEX(品种2编码!$A$2:$A$1048576,MATCH(W2179,品种2编码!$D$2:$D$1048576,0))</f>
        <v>0020030040ZYLC0001</v>
      </c>
      <c r="H2179" s="6" t="s">
        <v>1953</v>
      </c>
      <c r="I2179" s="6" t="s">
        <v>1954</v>
      </c>
      <c r="J2179" s="6" t="s">
        <v>3036</v>
      </c>
      <c r="L2179" s="6" t="s">
        <v>3494</v>
      </c>
      <c r="M2179" s="6" t="e">
        <f>INDEX(医院2县区2人!$B$2:$B$1048576,MATCH(L2179,医院2县区2人!$A$2:$A$1048576,0))</f>
        <v>#N/A</v>
      </c>
      <c r="N2179" s="6" t="e">
        <f>INDEX(医院2县区2人!$C$2:$C$1048576,MATCH(L2179,医院2县区2人!$A$2:$A$1048576,0))</f>
        <v>#N/A</v>
      </c>
      <c r="P2179" s="7">
        <v>43274</v>
      </c>
      <c r="Q2179" s="6">
        <v>10</v>
      </c>
      <c r="S2179" s="6">
        <v>180184</v>
      </c>
      <c r="T2179" s="6" t="e">
        <f>INDEX(医院2县区2人!$D$2:$D$1048576,MATCH(L2179,医院2县区2人!$A$2:$A$1048576,0))</f>
        <v>#N/A</v>
      </c>
      <c r="W2179" s="6" t="str">
        <f t="shared" si="71"/>
        <v>小儿氨酚黄那敏颗粒12袋</v>
      </c>
      <c r="X2179" s="6" t="s">
        <v>2922</v>
      </c>
    </row>
    <row r="2180" spans="1:24" x14ac:dyDescent="0.15">
      <c r="A2180" s="7" t="str">
        <f t="shared" si="72"/>
        <v>201806</v>
      </c>
      <c r="C2180" s="6" t="str">
        <f>INDEX(工厂基础数据!$A$2:$A$1024,MATCH(X2180,工厂基础数据!$D$2:$D$1024,0))</f>
        <v>02031388</v>
      </c>
      <c r="E2180" s="6" t="str">
        <f>INDEX(工厂基础数据!$B$2:$B$1024,MATCH(X2180,工厂基础数据!$D$2:$D$1024,0))</f>
        <v>山东悦康园通医药有限公司</v>
      </c>
      <c r="F2180" s="6" t="e">
        <f>INDEX(商业2转码!$B$2:$B$10000,MATCH(E2180,商业2转码!$A$2:$A$10000,0))</f>
        <v>#N/A</v>
      </c>
      <c r="G2180" s="6" t="str">
        <f>INDEX(品种2编码!$A$2:$A$1048576,MATCH(W2180,品种2编码!$D$2:$D$1048576,0))</f>
        <v>0020020020ZYLC0003</v>
      </c>
      <c r="H2180" s="6" t="s">
        <v>1855</v>
      </c>
      <c r="I2180" s="6" t="s">
        <v>381</v>
      </c>
      <c r="J2180" s="6" t="s">
        <v>3036</v>
      </c>
      <c r="L2180" s="6" t="s">
        <v>3511</v>
      </c>
      <c r="M2180" s="6" t="e">
        <f>INDEX(医院2县区2人!$B$2:$B$1048576,MATCH(L2180,医院2县区2人!$A$2:$A$1048576,0))</f>
        <v>#N/A</v>
      </c>
      <c r="N2180" s="6" t="e">
        <f>INDEX(医院2县区2人!$C$2:$C$1048576,MATCH(L2180,医院2县区2人!$A$2:$A$1048576,0))</f>
        <v>#N/A</v>
      </c>
      <c r="P2180" s="7">
        <v>43274</v>
      </c>
      <c r="Q2180" s="6">
        <v>5</v>
      </c>
      <c r="S2180" s="6">
        <v>180301</v>
      </c>
      <c r="T2180" s="6" t="e">
        <f>INDEX(医院2县区2人!$D$2:$D$1048576,MATCH(L2180,医院2县区2人!$A$2:$A$1048576,0))</f>
        <v>#N/A</v>
      </c>
      <c r="W2180" s="6" t="str">
        <f t="shared" si="71"/>
        <v>颠茄磺苄啶片12片</v>
      </c>
      <c r="X2180" s="6" t="s">
        <v>2922</v>
      </c>
    </row>
    <row r="2181" spans="1:24" x14ac:dyDescent="0.15">
      <c r="A2181" s="7" t="str">
        <f t="shared" si="72"/>
        <v>201806</v>
      </c>
      <c r="C2181" s="6" t="str">
        <f>INDEX(工厂基础数据!$A$2:$A$1024,MATCH(X2181,工厂基础数据!$D$2:$D$1024,0))</f>
        <v>02031388</v>
      </c>
      <c r="E2181" s="6" t="str">
        <f>INDEX(工厂基础数据!$B$2:$B$1024,MATCH(X2181,工厂基础数据!$D$2:$D$1024,0))</f>
        <v>山东悦康园通医药有限公司</v>
      </c>
      <c r="F2181" s="6" t="e">
        <f>INDEX(商业2转码!$B$2:$B$10000,MATCH(E2181,商业2转码!$A$2:$A$10000,0))</f>
        <v>#N/A</v>
      </c>
      <c r="G2181" s="6" t="str">
        <f>INDEX(品种2编码!$A$2:$A$1048576,MATCH(W2181,品种2编码!$D$2:$D$1048576,0))</f>
        <v>0020020020ZYLC0003</v>
      </c>
      <c r="H2181" s="6" t="s">
        <v>1855</v>
      </c>
      <c r="I2181" s="6" t="s">
        <v>381</v>
      </c>
      <c r="J2181" s="6" t="s">
        <v>3036</v>
      </c>
      <c r="L2181" s="6" t="s">
        <v>3512</v>
      </c>
      <c r="M2181" s="6" t="e">
        <f>INDEX(医院2县区2人!$B$2:$B$1048576,MATCH(L2181,医院2县区2人!$A$2:$A$1048576,0))</f>
        <v>#N/A</v>
      </c>
      <c r="N2181" s="6" t="e">
        <f>INDEX(医院2县区2人!$C$2:$C$1048576,MATCH(L2181,医院2县区2人!$A$2:$A$1048576,0))</f>
        <v>#N/A</v>
      </c>
      <c r="P2181" s="7">
        <v>43276</v>
      </c>
      <c r="Q2181" s="6">
        <v>10</v>
      </c>
      <c r="S2181" s="6">
        <v>180301</v>
      </c>
      <c r="T2181" s="6" t="e">
        <f>INDEX(医院2县区2人!$D$2:$D$1048576,MATCH(L2181,医院2县区2人!$A$2:$A$1048576,0))</f>
        <v>#N/A</v>
      </c>
      <c r="W2181" s="6" t="str">
        <f t="shared" si="71"/>
        <v>颠茄磺苄啶片12片</v>
      </c>
      <c r="X2181" s="6" t="s">
        <v>2922</v>
      </c>
    </row>
    <row r="2182" spans="1:24" x14ac:dyDescent="0.15">
      <c r="A2182" s="7" t="str">
        <f t="shared" si="72"/>
        <v>201806</v>
      </c>
      <c r="C2182" s="6" t="str">
        <f>INDEX(工厂基础数据!$A$2:$A$1024,MATCH(X2182,工厂基础数据!$D$2:$D$1024,0))</f>
        <v>02031388</v>
      </c>
      <c r="E2182" s="6" t="str">
        <f>INDEX(工厂基础数据!$B$2:$B$1024,MATCH(X2182,工厂基础数据!$D$2:$D$1024,0))</f>
        <v>山东悦康园通医药有限公司</v>
      </c>
      <c r="F2182" s="6" t="e">
        <f>INDEX(商业2转码!$B$2:$B$10000,MATCH(E2182,商业2转码!$A$2:$A$10000,0))</f>
        <v>#N/A</v>
      </c>
      <c r="G2182" s="6" t="str">
        <f>INDEX(品种2编码!$A$2:$A$1048576,MATCH(W2182,品种2编码!$D$2:$D$1048576,0))</f>
        <v>0020020020ZYLC0003</v>
      </c>
      <c r="H2182" s="6" t="s">
        <v>1855</v>
      </c>
      <c r="I2182" s="6" t="s">
        <v>381</v>
      </c>
      <c r="J2182" s="6" t="s">
        <v>3036</v>
      </c>
      <c r="L2182" s="6" t="s">
        <v>3513</v>
      </c>
      <c r="M2182" s="6" t="e">
        <f>INDEX(医院2县区2人!$B$2:$B$1048576,MATCH(L2182,医院2县区2人!$A$2:$A$1048576,0))</f>
        <v>#N/A</v>
      </c>
      <c r="N2182" s="6" t="e">
        <f>INDEX(医院2县区2人!$C$2:$C$1048576,MATCH(L2182,医院2县区2人!$A$2:$A$1048576,0))</f>
        <v>#N/A</v>
      </c>
      <c r="P2182" s="7">
        <v>43276</v>
      </c>
      <c r="Q2182" s="6">
        <v>10</v>
      </c>
      <c r="S2182" s="6">
        <v>180301</v>
      </c>
      <c r="T2182" s="6" t="e">
        <f>INDEX(医院2县区2人!$D$2:$D$1048576,MATCH(L2182,医院2县区2人!$A$2:$A$1048576,0))</f>
        <v>#N/A</v>
      </c>
      <c r="W2182" s="6" t="str">
        <f t="shared" si="71"/>
        <v>颠茄磺苄啶片12片</v>
      </c>
      <c r="X2182" s="6" t="s">
        <v>2922</v>
      </c>
    </row>
    <row r="2183" spans="1:24" x14ac:dyDescent="0.15">
      <c r="A2183" s="7" t="str">
        <f t="shared" si="72"/>
        <v>201806</v>
      </c>
      <c r="C2183" s="6" t="str">
        <f>INDEX(工厂基础数据!$A$2:$A$1024,MATCH(X2183,工厂基础数据!$D$2:$D$1024,0))</f>
        <v>02031388</v>
      </c>
      <c r="E2183" s="6" t="str">
        <f>INDEX(工厂基础数据!$B$2:$B$1024,MATCH(X2183,工厂基础数据!$D$2:$D$1024,0))</f>
        <v>山东悦康园通医药有限公司</v>
      </c>
      <c r="F2183" s="6" t="e">
        <f>INDEX(商业2转码!$B$2:$B$10000,MATCH(E2183,商业2转码!$A$2:$A$10000,0))</f>
        <v>#N/A</v>
      </c>
      <c r="G2183" s="6" t="str">
        <f>INDEX(品种2编码!$A$2:$A$1048576,MATCH(W2183,品种2编码!$D$2:$D$1048576,0))</f>
        <v>0020030040ZYLC0001</v>
      </c>
      <c r="H2183" s="6" t="s">
        <v>1953</v>
      </c>
      <c r="I2183" s="6" t="s">
        <v>1954</v>
      </c>
      <c r="J2183" s="6" t="s">
        <v>3036</v>
      </c>
      <c r="L2183" s="6" t="s">
        <v>3514</v>
      </c>
      <c r="M2183" s="6" t="e">
        <f>INDEX(医院2县区2人!$B$2:$B$1048576,MATCH(L2183,医院2县区2人!$A$2:$A$1048576,0))</f>
        <v>#N/A</v>
      </c>
      <c r="N2183" s="6" t="e">
        <f>INDEX(医院2县区2人!$C$2:$C$1048576,MATCH(L2183,医院2县区2人!$A$2:$A$1048576,0))</f>
        <v>#N/A</v>
      </c>
      <c r="P2183" s="7">
        <v>43276</v>
      </c>
      <c r="Q2183" s="6">
        <v>10</v>
      </c>
      <c r="S2183" s="6">
        <v>180184</v>
      </c>
      <c r="T2183" s="6" t="e">
        <f>INDEX(医院2县区2人!$D$2:$D$1048576,MATCH(L2183,医院2县区2人!$A$2:$A$1048576,0))</f>
        <v>#N/A</v>
      </c>
      <c r="W2183" s="6" t="str">
        <f t="shared" si="71"/>
        <v>小儿氨酚黄那敏颗粒12袋</v>
      </c>
      <c r="X2183" s="6" t="s">
        <v>2922</v>
      </c>
    </row>
    <row r="2184" spans="1:24" x14ac:dyDescent="0.15">
      <c r="A2184" s="7" t="str">
        <f t="shared" si="72"/>
        <v>201806</v>
      </c>
      <c r="C2184" s="6" t="str">
        <f>INDEX(工厂基础数据!$A$2:$A$1024,MATCH(X2184,工厂基础数据!$D$2:$D$1024,0))</f>
        <v>02031388</v>
      </c>
      <c r="E2184" s="6" t="str">
        <f>INDEX(工厂基础数据!$B$2:$B$1024,MATCH(X2184,工厂基础数据!$D$2:$D$1024,0))</f>
        <v>山东悦康园通医药有限公司</v>
      </c>
      <c r="F2184" s="6" t="e">
        <f>INDEX(商业2转码!$B$2:$B$10000,MATCH(E2184,商业2转码!$A$2:$A$10000,0))</f>
        <v>#N/A</v>
      </c>
      <c r="G2184" s="6" t="str">
        <f>INDEX(品种2编码!$A$2:$A$1048576,MATCH(W2184,品种2编码!$D$2:$D$1048576,0))</f>
        <v>0020020020ZYLC0003</v>
      </c>
      <c r="H2184" s="6" t="s">
        <v>1855</v>
      </c>
      <c r="I2184" s="6" t="s">
        <v>381</v>
      </c>
      <c r="J2184" s="6" t="s">
        <v>3036</v>
      </c>
      <c r="L2184" s="6" t="s">
        <v>3474</v>
      </c>
      <c r="M2184" s="6" t="e">
        <f>INDEX(医院2县区2人!$B$2:$B$1048576,MATCH(L2184,医院2县区2人!$A$2:$A$1048576,0))</f>
        <v>#N/A</v>
      </c>
      <c r="N2184" s="6" t="e">
        <f>INDEX(医院2县区2人!$C$2:$C$1048576,MATCH(L2184,医院2县区2人!$A$2:$A$1048576,0))</f>
        <v>#N/A</v>
      </c>
      <c r="P2184" s="7">
        <v>43276</v>
      </c>
      <c r="Q2184" s="6">
        <v>10</v>
      </c>
      <c r="S2184" s="6">
        <v>180301</v>
      </c>
      <c r="T2184" s="6" t="e">
        <f>INDEX(医院2县区2人!$D$2:$D$1048576,MATCH(L2184,医院2县区2人!$A$2:$A$1048576,0))</f>
        <v>#N/A</v>
      </c>
      <c r="W2184" s="6" t="str">
        <f t="shared" si="71"/>
        <v>颠茄磺苄啶片12片</v>
      </c>
      <c r="X2184" s="6" t="s">
        <v>2922</v>
      </c>
    </row>
    <row r="2185" spans="1:24" x14ac:dyDescent="0.15">
      <c r="A2185" s="7" t="str">
        <f t="shared" si="72"/>
        <v>201806</v>
      </c>
      <c r="C2185" s="6" t="str">
        <f>INDEX(工厂基础数据!$A$2:$A$1024,MATCH(X2185,工厂基础数据!$D$2:$D$1024,0))</f>
        <v>02031388</v>
      </c>
      <c r="E2185" s="6" t="str">
        <f>INDEX(工厂基础数据!$B$2:$B$1024,MATCH(X2185,工厂基础数据!$D$2:$D$1024,0))</f>
        <v>山东悦康园通医药有限公司</v>
      </c>
      <c r="F2185" s="6" t="e">
        <f>INDEX(商业2转码!$B$2:$B$10000,MATCH(E2185,商业2转码!$A$2:$A$10000,0))</f>
        <v>#N/A</v>
      </c>
      <c r="G2185" s="6" t="str">
        <f>INDEX(品种2编码!$A$2:$A$1048576,MATCH(W2185,品种2编码!$D$2:$D$1048576,0))</f>
        <v>0020030001SJZY0009</v>
      </c>
      <c r="H2185" s="6" t="s">
        <v>1949</v>
      </c>
      <c r="I2185" s="6" t="s">
        <v>411</v>
      </c>
      <c r="J2185" s="6" t="s">
        <v>3040</v>
      </c>
      <c r="L2185" s="6" t="s">
        <v>3310</v>
      </c>
      <c r="M2185" s="6" t="e">
        <f>INDEX(医院2县区2人!$B$2:$B$1048576,MATCH(L2185,医院2县区2人!$A$2:$A$1048576,0))</f>
        <v>#N/A</v>
      </c>
      <c r="N2185" s="6" t="e">
        <f>INDEX(医院2县区2人!$C$2:$C$1048576,MATCH(L2185,医院2县区2人!$A$2:$A$1048576,0))</f>
        <v>#N/A</v>
      </c>
      <c r="P2185" s="7">
        <v>43277</v>
      </c>
      <c r="Q2185" s="6">
        <v>-3</v>
      </c>
      <c r="S2185" s="6">
        <v>17120711</v>
      </c>
      <c r="T2185" s="6" t="e">
        <f>INDEX(医院2县区2人!$D$2:$D$1048576,MATCH(L2185,医院2县区2人!$A$2:$A$1048576,0))</f>
        <v>#N/A</v>
      </c>
      <c r="W2185" s="6" t="str">
        <f t="shared" si="71"/>
        <v>葡萄糖酸锌口服溶液10ml*12支</v>
      </c>
      <c r="X2185" s="6" t="s">
        <v>2922</v>
      </c>
    </row>
    <row r="2186" spans="1:24" x14ac:dyDescent="0.15">
      <c r="A2186" s="7" t="str">
        <f t="shared" si="72"/>
        <v>201806</v>
      </c>
      <c r="C2186" s="6" t="str">
        <f>INDEX(工厂基础数据!$A$2:$A$1024,MATCH(X2186,工厂基础数据!$D$2:$D$1024,0))</f>
        <v>02031388</v>
      </c>
      <c r="E2186" s="6" t="str">
        <f>INDEX(工厂基础数据!$B$2:$B$1024,MATCH(X2186,工厂基础数据!$D$2:$D$1024,0))</f>
        <v>山东悦康园通医药有限公司</v>
      </c>
      <c r="F2186" s="6" t="e">
        <f>INDEX(商业2转码!$B$2:$B$10000,MATCH(E2186,商业2转码!$A$2:$A$10000,0))</f>
        <v>#N/A</v>
      </c>
      <c r="G2186" s="6" t="str">
        <f>INDEX(品种2编码!$A$2:$A$1048576,MATCH(W2186,品种2编码!$D$2:$D$1048576,0))</f>
        <v>0020030040ZYLC0001</v>
      </c>
      <c r="H2186" s="6" t="s">
        <v>1953</v>
      </c>
      <c r="I2186" s="6" t="s">
        <v>1954</v>
      </c>
      <c r="J2186" s="6" t="s">
        <v>3036</v>
      </c>
      <c r="L2186" s="6" t="s">
        <v>3505</v>
      </c>
      <c r="M2186" s="6" t="e">
        <f>INDEX(医院2县区2人!$B$2:$B$1048576,MATCH(L2186,医院2县区2人!$A$2:$A$1048576,0))</f>
        <v>#N/A</v>
      </c>
      <c r="N2186" s="6" t="e">
        <f>INDEX(医院2县区2人!$C$2:$C$1048576,MATCH(L2186,医院2县区2人!$A$2:$A$1048576,0))</f>
        <v>#N/A</v>
      </c>
      <c r="P2186" s="7">
        <v>43277</v>
      </c>
      <c r="Q2186" s="6">
        <v>10</v>
      </c>
      <c r="S2186" s="6">
        <v>180184</v>
      </c>
      <c r="T2186" s="6" t="e">
        <f>INDEX(医院2县区2人!$D$2:$D$1048576,MATCH(L2186,医院2县区2人!$A$2:$A$1048576,0))</f>
        <v>#N/A</v>
      </c>
      <c r="W2186" s="6" t="str">
        <f t="shared" si="71"/>
        <v>小儿氨酚黄那敏颗粒12袋</v>
      </c>
      <c r="X2186" s="6" t="s">
        <v>2922</v>
      </c>
    </row>
    <row r="2187" spans="1:24" x14ac:dyDescent="0.15">
      <c r="A2187" s="7" t="str">
        <f t="shared" si="72"/>
        <v>201806</v>
      </c>
      <c r="C2187" s="6" t="str">
        <f>INDEX(工厂基础数据!$A$2:$A$1024,MATCH(X2187,工厂基础数据!$D$2:$D$1024,0))</f>
        <v>02031388</v>
      </c>
      <c r="E2187" s="6" t="str">
        <f>INDEX(工厂基础数据!$B$2:$B$1024,MATCH(X2187,工厂基础数据!$D$2:$D$1024,0))</f>
        <v>山东悦康园通医药有限公司</v>
      </c>
      <c r="F2187" s="6" t="e">
        <f>INDEX(商业2转码!$B$2:$B$10000,MATCH(E2187,商业2转码!$A$2:$A$10000,0))</f>
        <v>#N/A</v>
      </c>
      <c r="G2187" s="6" t="str">
        <f>INDEX(品种2编码!$A$2:$A$1048576,MATCH(W2187,品种2编码!$D$2:$D$1048576,0))</f>
        <v>0020020020ZYLC0003</v>
      </c>
      <c r="H2187" s="6" t="s">
        <v>1855</v>
      </c>
      <c r="I2187" s="6" t="s">
        <v>381</v>
      </c>
      <c r="J2187" s="6" t="s">
        <v>3036</v>
      </c>
      <c r="L2187" s="6" t="s">
        <v>3515</v>
      </c>
      <c r="M2187" s="6" t="e">
        <f>INDEX(医院2县区2人!$B$2:$B$1048576,MATCH(L2187,医院2县区2人!$A$2:$A$1048576,0))</f>
        <v>#N/A</v>
      </c>
      <c r="N2187" s="6" t="e">
        <f>INDEX(医院2县区2人!$C$2:$C$1048576,MATCH(L2187,医院2县区2人!$A$2:$A$1048576,0))</f>
        <v>#N/A</v>
      </c>
      <c r="P2187" s="7">
        <v>43278</v>
      </c>
      <c r="Q2187" s="6">
        <v>5</v>
      </c>
      <c r="S2187" s="6">
        <v>180301</v>
      </c>
      <c r="T2187" s="6" t="e">
        <f>INDEX(医院2县区2人!$D$2:$D$1048576,MATCH(L2187,医院2县区2人!$A$2:$A$1048576,0))</f>
        <v>#N/A</v>
      </c>
      <c r="W2187" s="6" t="str">
        <f t="shared" si="71"/>
        <v>颠茄磺苄啶片12片</v>
      </c>
      <c r="X2187" s="6" t="s">
        <v>2922</v>
      </c>
    </row>
    <row r="2188" spans="1:24" x14ac:dyDescent="0.15">
      <c r="A2188" s="7" t="str">
        <f t="shared" si="72"/>
        <v>201806</v>
      </c>
      <c r="C2188" s="6" t="str">
        <f>INDEX(工厂基础数据!$A$2:$A$1024,MATCH(X2188,工厂基础数据!$D$2:$D$1024,0))</f>
        <v>02031388</v>
      </c>
      <c r="E2188" s="6" t="str">
        <f>INDEX(工厂基础数据!$B$2:$B$1024,MATCH(X2188,工厂基础数据!$D$2:$D$1024,0))</f>
        <v>山东悦康园通医药有限公司</v>
      </c>
      <c r="F2188" s="6" t="e">
        <f>INDEX(商业2转码!$B$2:$B$10000,MATCH(E2188,商业2转码!$A$2:$A$10000,0))</f>
        <v>#N/A</v>
      </c>
      <c r="G2188" s="6" t="str">
        <f>INDEX(品种2编码!$A$2:$A$1048576,MATCH(W2188,品种2编码!$D$2:$D$1048576,0))</f>
        <v>0020030020SJSC0004</v>
      </c>
      <c r="H2188" s="6" t="s">
        <v>394</v>
      </c>
      <c r="I2188" s="6" t="s">
        <v>1871</v>
      </c>
      <c r="J2188" s="6" t="s">
        <v>3045</v>
      </c>
      <c r="L2188" s="6" t="s">
        <v>3516</v>
      </c>
      <c r="M2188" s="6" t="e">
        <f>INDEX(医院2县区2人!$B$2:$B$1048576,MATCH(L2188,医院2县区2人!$A$2:$A$1048576,0))</f>
        <v>#N/A</v>
      </c>
      <c r="N2188" s="6" t="e">
        <f>INDEX(医院2县区2人!$C$2:$C$1048576,MATCH(L2188,医院2县区2人!$A$2:$A$1048576,0))</f>
        <v>#N/A</v>
      </c>
      <c r="P2188" s="7">
        <v>43279</v>
      </c>
      <c r="Q2188" s="6">
        <v>20</v>
      </c>
      <c r="S2188" s="6">
        <v>1709020</v>
      </c>
      <c r="T2188" s="6" t="e">
        <f>INDEX(医院2县区2人!$D$2:$D$1048576,MATCH(L2188,医院2县区2人!$A$2:$A$1048576,0))</f>
        <v>#N/A</v>
      </c>
      <c r="W2188" s="6" t="str">
        <f t="shared" si="71"/>
        <v>复方铝酸铋片50片</v>
      </c>
      <c r="X2188" s="6" t="s">
        <v>2922</v>
      </c>
    </row>
    <row r="2189" spans="1:24" x14ac:dyDescent="0.15">
      <c r="A2189" s="7" t="str">
        <f t="shared" si="72"/>
        <v>201806</v>
      </c>
      <c r="C2189" s="6" t="str">
        <f>INDEX(工厂基础数据!$A$2:$A$1024,MATCH(X2189,工厂基础数据!$D$2:$D$1024,0))</f>
        <v>02031388</v>
      </c>
      <c r="E2189" s="6" t="str">
        <f>INDEX(工厂基础数据!$B$2:$B$1024,MATCH(X2189,工厂基础数据!$D$2:$D$1024,0))</f>
        <v>山东悦康园通医药有限公司</v>
      </c>
      <c r="F2189" s="6" t="e">
        <f>INDEX(商业2转码!$B$2:$B$10000,MATCH(E2189,商业2转码!$A$2:$A$10000,0))</f>
        <v>#N/A</v>
      </c>
      <c r="G2189" s="6" t="str">
        <f>INDEX(品种2编码!$A$2:$A$1048576,MATCH(W2189,品种2编码!$D$2:$D$1048576,0))</f>
        <v>0020030020SJSC0004</v>
      </c>
      <c r="H2189" s="6" t="s">
        <v>394</v>
      </c>
      <c r="I2189" s="6" t="s">
        <v>1871</v>
      </c>
      <c r="J2189" s="6" t="s">
        <v>3045</v>
      </c>
      <c r="L2189" s="6" t="s">
        <v>3517</v>
      </c>
      <c r="M2189" s="6" t="e">
        <f>INDEX(医院2县区2人!$B$2:$B$1048576,MATCH(L2189,医院2县区2人!$A$2:$A$1048576,0))</f>
        <v>#N/A</v>
      </c>
      <c r="N2189" s="6" t="e">
        <f>INDEX(医院2县区2人!$C$2:$C$1048576,MATCH(L2189,医院2县区2人!$A$2:$A$1048576,0))</f>
        <v>#N/A</v>
      </c>
      <c r="P2189" s="7">
        <v>43279</v>
      </c>
      <c r="Q2189" s="6">
        <v>10</v>
      </c>
      <c r="S2189" s="6">
        <v>1709020</v>
      </c>
      <c r="T2189" s="6" t="e">
        <f>INDEX(医院2县区2人!$D$2:$D$1048576,MATCH(L2189,医院2县区2人!$A$2:$A$1048576,0))</f>
        <v>#N/A</v>
      </c>
      <c r="W2189" s="6" t="str">
        <f t="shared" si="71"/>
        <v>复方铝酸铋片50片</v>
      </c>
      <c r="X2189" s="6" t="s">
        <v>2922</v>
      </c>
    </row>
    <row r="2190" spans="1:24" x14ac:dyDescent="0.15">
      <c r="A2190" s="7" t="str">
        <f t="shared" si="72"/>
        <v>201806</v>
      </c>
      <c r="C2190" s="6" t="str">
        <f>INDEX(工厂基础数据!$A$2:$A$1024,MATCH(X2190,工厂基础数据!$D$2:$D$1024,0))</f>
        <v>02031388</v>
      </c>
      <c r="E2190" s="6" t="str">
        <f>INDEX(工厂基础数据!$B$2:$B$1024,MATCH(X2190,工厂基础数据!$D$2:$D$1024,0))</f>
        <v>山东悦康园通医药有限公司</v>
      </c>
      <c r="F2190" s="6" t="e">
        <f>INDEX(商业2转码!$B$2:$B$10000,MATCH(E2190,商业2转码!$A$2:$A$10000,0))</f>
        <v>#N/A</v>
      </c>
      <c r="G2190" s="6" t="str">
        <f>INDEX(品种2编码!$A$2:$A$1048576,MATCH(W2190,品种2编码!$D$2:$D$1048576,0))</f>
        <v>0020030020SJSC0004</v>
      </c>
      <c r="H2190" s="6" t="s">
        <v>394</v>
      </c>
      <c r="I2190" s="6" t="s">
        <v>1871</v>
      </c>
      <c r="J2190" s="6" t="s">
        <v>3045</v>
      </c>
      <c r="L2190" s="6" t="s">
        <v>3077</v>
      </c>
      <c r="M2190" s="6" t="e">
        <f>INDEX(医院2县区2人!$B$2:$B$1048576,MATCH(L2190,医院2县区2人!$A$2:$A$1048576,0))</f>
        <v>#N/A</v>
      </c>
      <c r="N2190" s="6" t="e">
        <f>INDEX(医院2县区2人!$C$2:$C$1048576,MATCH(L2190,医院2县区2人!$A$2:$A$1048576,0))</f>
        <v>#N/A</v>
      </c>
      <c r="P2190" s="7">
        <v>43279</v>
      </c>
      <c r="Q2190" s="6">
        <v>20</v>
      </c>
      <c r="S2190" s="6">
        <v>1709020</v>
      </c>
      <c r="T2190" s="6" t="e">
        <f>INDEX(医院2县区2人!$D$2:$D$1048576,MATCH(L2190,医院2县区2人!$A$2:$A$1048576,0))</f>
        <v>#N/A</v>
      </c>
      <c r="W2190" s="6" t="str">
        <f t="shared" si="71"/>
        <v>复方铝酸铋片50片</v>
      </c>
      <c r="X2190" s="6" t="s">
        <v>2922</v>
      </c>
    </row>
    <row r="2191" spans="1:24" x14ac:dyDescent="0.15">
      <c r="A2191" s="7" t="str">
        <f t="shared" si="72"/>
        <v>201806</v>
      </c>
      <c r="C2191" s="6" t="str">
        <f>INDEX(工厂基础数据!$A$2:$A$1024,MATCH(X2191,工厂基础数据!$D$2:$D$1024,0))</f>
        <v>02031388</v>
      </c>
      <c r="E2191" s="6" t="str">
        <f>INDEX(工厂基础数据!$B$2:$B$1024,MATCH(X2191,工厂基础数据!$D$2:$D$1024,0))</f>
        <v>山东悦康园通医药有限公司</v>
      </c>
      <c r="F2191" s="6" t="e">
        <f>INDEX(商业2转码!$B$2:$B$10000,MATCH(E2191,商业2转码!$A$2:$A$10000,0))</f>
        <v>#N/A</v>
      </c>
      <c r="G2191" s="6" t="str">
        <f>INDEX(品种2编码!$A$2:$A$1048576,MATCH(W2191,品种2编码!$D$2:$D$1048576,0))</f>
        <v>0020020020ZYLC0003</v>
      </c>
      <c r="H2191" s="6" t="s">
        <v>1855</v>
      </c>
      <c r="I2191" s="6" t="s">
        <v>381</v>
      </c>
      <c r="J2191" s="6" t="s">
        <v>3036</v>
      </c>
      <c r="L2191" s="6" t="s">
        <v>3498</v>
      </c>
      <c r="M2191" s="6" t="e">
        <f>INDEX(医院2县区2人!$B$2:$B$1048576,MATCH(L2191,医院2县区2人!$A$2:$A$1048576,0))</f>
        <v>#N/A</v>
      </c>
      <c r="N2191" s="6" t="e">
        <f>INDEX(医院2县区2人!$C$2:$C$1048576,MATCH(L2191,医院2县区2人!$A$2:$A$1048576,0))</f>
        <v>#N/A</v>
      </c>
      <c r="P2191" s="7">
        <v>43279</v>
      </c>
      <c r="Q2191" s="6">
        <v>10</v>
      </c>
      <c r="S2191" s="6">
        <v>180301</v>
      </c>
      <c r="T2191" s="6" t="e">
        <f>INDEX(医院2县区2人!$D$2:$D$1048576,MATCH(L2191,医院2县区2人!$A$2:$A$1048576,0))</f>
        <v>#N/A</v>
      </c>
      <c r="W2191" s="6" t="str">
        <f t="shared" si="71"/>
        <v>颠茄磺苄啶片12片</v>
      </c>
      <c r="X2191" s="6" t="s">
        <v>2922</v>
      </c>
    </row>
    <row r="2192" spans="1:24" x14ac:dyDescent="0.15">
      <c r="A2192" s="7" t="str">
        <f t="shared" si="72"/>
        <v>201806</v>
      </c>
      <c r="C2192" s="6" t="str">
        <f>INDEX(工厂基础数据!$A$2:$A$1024,MATCH(X2192,工厂基础数据!$D$2:$D$1024,0))</f>
        <v>02031388</v>
      </c>
      <c r="E2192" s="6" t="str">
        <f>INDEX(工厂基础数据!$B$2:$B$1024,MATCH(X2192,工厂基础数据!$D$2:$D$1024,0))</f>
        <v>山东悦康园通医药有限公司</v>
      </c>
      <c r="F2192" s="6" t="e">
        <f>INDEX(商业2转码!$B$2:$B$10000,MATCH(E2192,商业2转码!$A$2:$A$10000,0))</f>
        <v>#N/A</v>
      </c>
      <c r="G2192" s="6" t="str">
        <f>INDEX(品种2编码!$A$2:$A$1048576,MATCH(W2192,品种2编码!$D$2:$D$1048576,0))</f>
        <v>0020020020ZYLC0003</v>
      </c>
      <c r="H2192" s="6" t="s">
        <v>1855</v>
      </c>
      <c r="I2192" s="6" t="s">
        <v>381</v>
      </c>
      <c r="J2192" s="6" t="s">
        <v>3036</v>
      </c>
      <c r="L2192" s="6" t="s">
        <v>3474</v>
      </c>
      <c r="M2192" s="6" t="e">
        <f>INDEX(医院2县区2人!$B$2:$B$1048576,MATCH(L2192,医院2县区2人!$A$2:$A$1048576,0))</f>
        <v>#N/A</v>
      </c>
      <c r="N2192" s="6" t="e">
        <f>INDEX(医院2县区2人!$C$2:$C$1048576,MATCH(L2192,医院2县区2人!$A$2:$A$1048576,0))</f>
        <v>#N/A</v>
      </c>
      <c r="P2192" s="7">
        <v>43279</v>
      </c>
      <c r="Q2192" s="6">
        <v>20</v>
      </c>
      <c r="S2192" s="6">
        <v>180301</v>
      </c>
      <c r="T2192" s="6" t="e">
        <f>INDEX(医院2县区2人!$D$2:$D$1048576,MATCH(L2192,医院2县区2人!$A$2:$A$1048576,0))</f>
        <v>#N/A</v>
      </c>
      <c r="W2192" s="6" t="str">
        <f t="shared" si="71"/>
        <v>颠茄磺苄啶片12片</v>
      </c>
      <c r="X2192" s="6" t="s">
        <v>2922</v>
      </c>
    </row>
    <row r="2193" spans="1:24" x14ac:dyDescent="0.15">
      <c r="A2193" s="7" t="str">
        <f t="shared" si="72"/>
        <v>201806</v>
      </c>
      <c r="C2193" s="6" t="str">
        <f>INDEX(工厂基础数据!$A$2:$A$1024,MATCH(X2193,工厂基础数据!$D$2:$D$1024,0))</f>
        <v>02031388</v>
      </c>
      <c r="E2193" s="6" t="str">
        <f>INDEX(工厂基础数据!$B$2:$B$1024,MATCH(X2193,工厂基础数据!$D$2:$D$1024,0))</f>
        <v>山东悦康园通医药有限公司</v>
      </c>
      <c r="F2193" s="6" t="e">
        <f>INDEX(商业2转码!$B$2:$B$10000,MATCH(E2193,商业2转码!$A$2:$A$10000,0))</f>
        <v>#N/A</v>
      </c>
      <c r="G2193" s="6" t="str">
        <f>INDEX(品种2编码!$A$2:$A$1048576,MATCH(W2193,品种2编码!$D$2:$D$1048576,0))</f>
        <v>0020020020ZYLC0003</v>
      </c>
      <c r="H2193" s="6" t="s">
        <v>1855</v>
      </c>
      <c r="I2193" s="6" t="s">
        <v>381</v>
      </c>
      <c r="J2193" s="6" t="s">
        <v>3036</v>
      </c>
      <c r="L2193" s="6" t="s">
        <v>3518</v>
      </c>
      <c r="M2193" s="6" t="e">
        <f>INDEX(医院2县区2人!$B$2:$B$1048576,MATCH(L2193,医院2县区2人!$A$2:$A$1048576,0))</f>
        <v>#N/A</v>
      </c>
      <c r="N2193" s="6" t="e">
        <f>INDEX(医院2县区2人!$C$2:$C$1048576,MATCH(L2193,医院2县区2人!$A$2:$A$1048576,0))</f>
        <v>#N/A</v>
      </c>
      <c r="P2193" s="7">
        <v>43279</v>
      </c>
      <c r="Q2193" s="6">
        <v>10</v>
      </c>
      <c r="S2193" s="6">
        <v>180301</v>
      </c>
      <c r="T2193" s="6" t="e">
        <f>INDEX(医院2县区2人!$D$2:$D$1048576,MATCH(L2193,医院2县区2人!$A$2:$A$1048576,0))</f>
        <v>#N/A</v>
      </c>
      <c r="W2193" s="6" t="str">
        <f t="shared" si="71"/>
        <v>颠茄磺苄啶片12片</v>
      </c>
      <c r="X2193" s="6" t="s">
        <v>2922</v>
      </c>
    </row>
    <row r="2194" spans="1:24" x14ac:dyDescent="0.15">
      <c r="A2194" s="7" t="str">
        <f t="shared" si="72"/>
        <v>201806</v>
      </c>
      <c r="C2194" s="6" t="str">
        <f>INDEX(工厂基础数据!$A$2:$A$1024,MATCH(X2194,工厂基础数据!$D$2:$D$1024,0))</f>
        <v>02031388</v>
      </c>
      <c r="E2194" s="6" t="str">
        <f>INDEX(工厂基础数据!$B$2:$B$1024,MATCH(X2194,工厂基础数据!$D$2:$D$1024,0))</f>
        <v>山东悦康园通医药有限公司</v>
      </c>
      <c r="F2194" s="6" t="e">
        <f>INDEX(商业2转码!$B$2:$B$10000,MATCH(E2194,商业2转码!$A$2:$A$10000,0))</f>
        <v>#N/A</v>
      </c>
      <c r="G2194" s="6" t="str">
        <f>INDEX(品种2编码!$A$2:$A$1048576,MATCH(W2194,品种2编码!$D$2:$D$1048576,0))</f>
        <v>0020020021ZYLC0005</v>
      </c>
      <c r="H2194" s="6" t="s">
        <v>1950</v>
      </c>
      <c r="I2194" s="6" t="s">
        <v>1841</v>
      </c>
      <c r="J2194" s="6" t="s">
        <v>3036</v>
      </c>
      <c r="L2194" s="6" t="s">
        <v>3328</v>
      </c>
      <c r="M2194" s="6" t="e">
        <f>INDEX(医院2县区2人!$B$2:$B$1048576,MATCH(L2194,医院2县区2人!$A$2:$A$1048576,0))</f>
        <v>#N/A</v>
      </c>
      <c r="N2194" s="6" t="e">
        <f>INDEX(医院2县区2人!$C$2:$C$1048576,MATCH(L2194,医院2县区2人!$A$2:$A$1048576,0))</f>
        <v>#N/A</v>
      </c>
      <c r="P2194" s="7">
        <v>43279</v>
      </c>
      <c r="Q2194" s="6">
        <v>50</v>
      </c>
      <c r="S2194" s="6">
        <v>161102</v>
      </c>
      <c r="T2194" s="6" t="e">
        <f>INDEX(医院2县区2人!$D$2:$D$1048576,MATCH(L2194,医院2县区2人!$A$2:$A$1048576,0))</f>
        <v>#N/A</v>
      </c>
      <c r="W2194" s="6" t="str">
        <f t="shared" si="71"/>
        <v>罗红霉素分散片50mg*12片</v>
      </c>
      <c r="X2194" s="6" t="s">
        <v>2922</v>
      </c>
    </row>
    <row r="2195" spans="1:24" x14ac:dyDescent="0.15">
      <c r="A2195" s="7" t="str">
        <f t="shared" si="72"/>
        <v>201806</v>
      </c>
      <c r="C2195" s="6" t="str">
        <f>INDEX(工厂基础数据!$A$2:$A$1024,MATCH(X2195,工厂基础数据!$D$2:$D$1024,0))</f>
        <v>02031388</v>
      </c>
      <c r="E2195" s="6" t="str">
        <f>INDEX(工厂基础数据!$B$2:$B$1024,MATCH(X2195,工厂基础数据!$D$2:$D$1024,0))</f>
        <v>山东悦康园通医药有限公司</v>
      </c>
      <c r="F2195" s="6" t="e">
        <f>INDEX(商业2转码!$B$2:$B$10000,MATCH(E2195,商业2转码!$A$2:$A$10000,0))</f>
        <v>#N/A</v>
      </c>
      <c r="G2195" s="6" t="str">
        <f>INDEX(品种2编码!$A$2:$A$1048576,MATCH(W2195,品种2编码!$D$2:$D$1048576,0))</f>
        <v>0020030040ZYLC0001</v>
      </c>
      <c r="H2195" s="6" t="s">
        <v>1953</v>
      </c>
      <c r="I2195" s="6" t="s">
        <v>1954</v>
      </c>
      <c r="J2195" s="6" t="s">
        <v>3036</v>
      </c>
      <c r="L2195" s="6" t="s">
        <v>3519</v>
      </c>
      <c r="M2195" s="6" t="e">
        <f>INDEX(医院2县区2人!$B$2:$B$1048576,MATCH(L2195,医院2县区2人!$A$2:$A$1048576,0))</f>
        <v>#N/A</v>
      </c>
      <c r="N2195" s="6" t="e">
        <f>INDEX(医院2县区2人!$C$2:$C$1048576,MATCH(L2195,医院2县区2人!$A$2:$A$1048576,0))</f>
        <v>#N/A</v>
      </c>
      <c r="P2195" s="7">
        <v>43280</v>
      </c>
      <c r="Q2195" s="6">
        <v>10</v>
      </c>
      <c r="S2195" s="6">
        <v>180184</v>
      </c>
      <c r="T2195" s="6" t="e">
        <f>INDEX(医院2县区2人!$D$2:$D$1048576,MATCH(L2195,医院2县区2人!$A$2:$A$1048576,0))</f>
        <v>#N/A</v>
      </c>
      <c r="W2195" s="6" t="str">
        <f t="shared" si="71"/>
        <v>小儿氨酚黄那敏颗粒12袋</v>
      </c>
      <c r="X2195" s="6" t="s">
        <v>2922</v>
      </c>
    </row>
    <row r="2196" spans="1:24" x14ac:dyDescent="0.15">
      <c r="A2196" s="7" t="str">
        <f t="shared" si="72"/>
        <v>201806</v>
      </c>
      <c r="C2196" s="6" t="str">
        <f>INDEX(工厂基础数据!$A$2:$A$1024,MATCH(X2196,工厂基础数据!$D$2:$D$1024,0))</f>
        <v>02031388</v>
      </c>
      <c r="E2196" s="6" t="str">
        <f>INDEX(工厂基础数据!$B$2:$B$1024,MATCH(X2196,工厂基础数据!$D$2:$D$1024,0))</f>
        <v>山东悦康园通医药有限公司</v>
      </c>
      <c r="F2196" s="6" t="e">
        <f>INDEX(商业2转码!$B$2:$B$10000,MATCH(E2196,商业2转码!$A$2:$A$10000,0))</f>
        <v>#N/A</v>
      </c>
      <c r="G2196" s="6" t="str">
        <f>INDEX(品种2编码!$A$2:$A$1048576,MATCH(W2196,品种2编码!$D$2:$D$1048576,0))</f>
        <v>0020020020ZYLC0003</v>
      </c>
      <c r="H2196" s="6" t="s">
        <v>1855</v>
      </c>
      <c r="I2196" s="6" t="s">
        <v>381</v>
      </c>
      <c r="J2196" s="6" t="s">
        <v>3036</v>
      </c>
      <c r="L2196" s="6" t="s">
        <v>3520</v>
      </c>
      <c r="M2196" s="6" t="e">
        <f>INDEX(医院2县区2人!$B$2:$B$1048576,MATCH(L2196,医院2县区2人!$A$2:$A$1048576,0))</f>
        <v>#N/A</v>
      </c>
      <c r="N2196" s="6" t="e">
        <f>INDEX(医院2县区2人!$C$2:$C$1048576,MATCH(L2196,医院2县区2人!$A$2:$A$1048576,0))</f>
        <v>#N/A</v>
      </c>
      <c r="P2196" s="7">
        <v>43280</v>
      </c>
      <c r="Q2196" s="6">
        <v>10</v>
      </c>
      <c r="S2196" s="6">
        <v>180301</v>
      </c>
      <c r="T2196" s="6" t="e">
        <f>INDEX(医院2县区2人!$D$2:$D$1048576,MATCH(L2196,医院2县区2人!$A$2:$A$1048576,0))</f>
        <v>#N/A</v>
      </c>
      <c r="W2196" s="6" t="str">
        <f t="shared" si="71"/>
        <v>颠茄磺苄啶片12片</v>
      </c>
      <c r="X2196" s="6" t="s">
        <v>2922</v>
      </c>
    </row>
    <row r="2197" spans="1:24" x14ac:dyDescent="0.15">
      <c r="A2197" s="7" t="str">
        <f t="shared" si="72"/>
        <v>201806</v>
      </c>
      <c r="C2197" s="6" t="str">
        <f>INDEX(工厂基础数据!$A$2:$A$1024,MATCH(X2197,工厂基础数据!$D$2:$D$1024,0))</f>
        <v>02031388</v>
      </c>
      <c r="E2197" s="6" t="str">
        <f>INDEX(工厂基础数据!$B$2:$B$1024,MATCH(X2197,工厂基础数据!$D$2:$D$1024,0))</f>
        <v>山东悦康园通医药有限公司</v>
      </c>
      <c r="F2197" s="6" t="e">
        <f>INDEX(商业2转码!$B$2:$B$10000,MATCH(E2197,商业2转码!$A$2:$A$10000,0))</f>
        <v>#N/A</v>
      </c>
      <c r="G2197" s="6" t="str">
        <f>INDEX(品种2编码!$A$2:$A$1048576,MATCH(W2197,品种2编码!$D$2:$D$1048576,0))</f>
        <v>0020020021ZYLC0005</v>
      </c>
      <c r="H2197" s="6" t="s">
        <v>1950</v>
      </c>
      <c r="I2197" s="6" t="s">
        <v>1841</v>
      </c>
      <c r="J2197" s="6" t="s">
        <v>3036</v>
      </c>
      <c r="L2197" s="6" t="s">
        <v>3496</v>
      </c>
      <c r="M2197" s="6" t="e">
        <f>INDEX(医院2县区2人!$B$2:$B$1048576,MATCH(L2197,医院2县区2人!$A$2:$A$1048576,0))</f>
        <v>#N/A</v>
      </c>
      <c r="N2197" s="6" t="e">
        <f>INDEX(医院2县区2人!$C$2:$C$1048576,MATCH(L2197,医院2县区2人!$A$2:$A$1048576,0))</f>
        <v>#N/A</v>
      </c>
      <c r="P2197" s="7">
        <v>43280</v>
      </c>
      <c r="Q2197" s="6">
        <v>10</v>
      </c>
      <c r="S2197" s="6">
        <v>161102</v>
      </c>
      <c r="T2197" s="6" t="e">
        <f>INDEX(医院2县区2人!$D$2:$D$1048576,MATCH(L2197,医院2县区2人!$A$2:$A$1048576,0))</f>
        <v>#N/A</v>
      </c>
      <c r="W2197" s="6" t="str">
        <f t="shared" si="71"/>
        <v>罗红霉素分散片50mg*12片</v>
      </c>
      <c r="X2197" s="6" t="s">
        <v>2922</v>
      </c>
    </row>
    <row r="2198" spans="1:24" x14ac:dyDescent="0.15">
      <c r="A2198" s="7" t="str">
        <f t="shared" si="72"/>
        <v>201806</v>
      </c>
      <c r="C2198" s="6" t="str">
        <f>INDEX(工厂基础数据!$A$2:$A$1024,MATCH(X2198,工厂基础数据!$D$2:$D$1024,0))</f>
        <v>02031388</v>
      </c>
      <c r="E2198" s="6" t="str">
        <f>INDEX(工厂基础数据!$B$2:$B$1024,MATCH(X2198,工厂基础数据!$D$2:$D$1024,0))</f>
        <v>山东悦康园通医药有限公司</v>
      </c>
      <c r="F2198" s="6" t="e">
        <f>INDEX(商业2转码!$B$2:$B$10000,MATCH(E2198,商业2转码!$A$2:$A$10000,0))</f>
        <v>#N/A</v>
      </c>
      <c r="G2198" s="6">
        <f>INDEX(品种2编码!$A$2:$A$1048576,MATCH(W2198,品种2编码!$D$2:$D$1048576,0))</f>
        <v>0</v>
      </c>
      <c r="H2198" s="6" t="s">
        <v>494</v>
      </c>
      <c r="I2198" s="6" t="s">
        <v>2932</v>
      </c>
      <c r="J2198" s="6" t="s">
        <v>3036</v>
      </c>
      <c r="L2198" s="6" t="s">
        <v>3496</v>
      </c>
      <c r="M2198" s="6" t="e">
        <f>INDEX(医院2县区2人!$B$2:$B$1048576,MATCH(L2198,医院2县区2人!$A$2:$A$1048576,0))</f>
        <v>#N/A</v>
      </c>
      <c r="N2198" s="6" t="e">
        <f>INDEX(医院2县区2人!$C$2:$C$1048576,MATCH(L2198,医院2县区2人!$A$2:$A$1048576,0))</f>
        <v>#N/A</v>
      </c>
      <c r="P2198" s="7">
        <v>43280</v>
      </c>
      <c r="Q2198" s="6">
        <v>10</v>
      </c>
      <c r="S2198" s="6">
        <v>171101</v>
      </c>
      <c r="T2198" s="6" t="e">
        <f>INDEX(医院2县区2人!$D$2:$D$1048576,MATCH(L2198,医院2县区2人!$A$2:$A$1048576,0))</f>
        <v>#N/A</v>
      </c>
      <c r="W2198" s="6" t="str">
        <f t="shared" si="71"/>
        <v>罗红霉素分散片(严迪)75mg*12s</v>
      </c>
      <c r="X2198" s="6" t="s">
        <v>2922</v>
      </c>
    </row>
    <row r="2199" spans="1:24" x14ac:dyDescent="0.15">
      <c r="A2199" s="7" t="str">
        <f t="shared" si="72"/>
        <v>201806</v>
      </c>
      <c r="C2199" s="6">
        <f>INDEX(工厂基础数据!$A$2:$A$1024,MATCH(X2199,工厂基础数据!$D$2:$D$1024,0))</f>
        <v>0</v>
      </c>
      <c r="E2199" s="6" t="str">
        <f>INDEX(工厂基础数据!$B$2:$B$1024,MATCH(X2199,工厂基础数据!$D$2:$D$1024,0))</f>
        <v>济南广林医药有限公司</v>
      </c>
      <c r="F2199" s="6" t="e">
        <f>INDEX(商业2转码!$B$2:$B$10000,MATCH(E2199,商业2转码!$A$2:$A$10000,0))</f>
        <v>#N/A</v>
      </c>
      <c r="G2199" s="6">
        <f>INDEX(品种2编码!$A$2:$A$1048576,MATCH(W2199,品种2编码!$D$2:$D$1048576,0))</f>
        <v>0</v>
      </c>
      <c r="H2199" s="6" t="s">
        <v>3607</v>
      </c>
      <c r="I2199" s="6" t="s">
        <v>3453</v>
      </c>
      <c r="L2199" s="6" t="s">
        <v>3524</v>
      </c>
      <c r="M2199" s="6" t="e">
        <f>INDEX(医院2县区2人!$B$2:$B$1048576,MATCH(L2199,医院2县区2人!$A$2:$A$1048576,0))</f>
        <v>#N/A</v>
      </c>
      <c r="N2199" s="6" t="e">
        <f>INDEX(医院2县区2人!$C$2:$C$1048576,MATCH(L2199,医院2县区2人!$A$2:$A$1048576,0))</f>
        <v>#N/A</v>
      </c>
      <c r="P2199" s="7">
        <v>43252</v>
      </c>
      <c r="Q2199" s="6">
        <v>3</v>
      </c>
      <c r="S2199" s="6" t="s">
        <v>3795</v>
      </c>
      <c r="T2199" s="6" t="e">
        <f>INDEX(医院2县区2人!$D$2:$D$1048576,MATCH(L2199,医院2县区2人!$A$2:$A$1048576,0))</f>
        <v>#N/A</v>
      </c>
      <c r="W2199" s="6" t="str">
        <f t="shared" si="71"/>
        <v>(精)注射用乳糖酸阿奇霉素0.25g*10支</v>
      </c>
      <c r="X2199" s="6" t="s">
        <v>2904</v>
      </c>
    </row>
    <row r="2200" spans="1:24" x14ac:dyDescent="0.15">
      <c r="A2200" s="7" t="str">
        <f t="shared" si="72"/>
        <v>201806</v>
      </c>
      <c r="C2200" s="6">
        <f>INDEX(工厂基础数据!$A$2:$A$1024,MATCH(X2200,工厂基础数据!$D$2:$D$1024,0))</f>
        <v>0</v>
      </c>
      <c r="E2200" s="6" t="str">
        <f>INDEX(工厂基础数据!$B$2:$B$1024,MATCH(X2200,工厂基础数据!$D$2:$D$1024,0))</f>
        <v>济南广林医药有限公司</v>
      </c>
      <c r="F2200" s="6" t="e">
        <f>INDEX(商业2转码!$B$2:$B$10000,MATCH(E2200,商业2转码!$A$2:$A$10000,0))</f>
        <v>#N/A</v>
      </c>
      <c r="G2200" s="6">
        <f>INDEX(品种2编码!$A$2:$A$1048576,MATCH(W2200,品种2编码!$D$2:$D$1048576,0))</f>
        <v>0</v>
      </c>
      <c r="H2200" s="6" t="s">
        <v>3607</v>
      </c>
      <c r="I2200" s="6" t="s">
        <v>3453</v>
      </c>
      <c r="L2200" s="6" t="s">
        <v>3525</v>
      </c>
      <c r="M2200" s="6" t="e">
        <f>INDEX(医院2县区2人!$B$2:$B$1048576,MATCH(L2200,医院2县区2人!$A$2:$A$1048576,0))</f>
        <v>#N/A</v>
      </c>
      <c r="N2200" s="6" t="e">
        <f>INDEX(医院2县区2人!$C$2:$C$1048576,MATCH(L2200,医院2县区2人!$A$2:$A$1048576,0))</f>
        <v>#N/A</v>
      </c>
      <c r="P2200" s="7">
        <v>43253</v>
      </c>
      <c r="Q2200" s="6">
        <v>2</v>
      </c>
      <c r="S2200" s="6" t="s">
        <v>3065</v>
      </c>
      <c r="T2200" s="6" t="e">
        <f>INDEX(医院2县区2人!$D$2:$D$1048576,MATCH(L2200,医院2县区2人!$A$2:$A$1048576,0))</f>
        <v>#N/A</v>
      </c>
      <c r="W2200" s="6" t="str">
        <f t="shared" si="71"/>
        <v>(精)注射用乳糖酸阿奇霉素0.25g*10支</v>
      </c>
      <c r="X2200" s="6" t="s">
        <v>2904</v>
      </c>
    </row>
    <row r="2201" spans="1:24" x14ac:dyDescent="0.15">
      <c r="A2201" s="7" t="str">
        <f t="shared" si="72"/>
        <v>201806</v>
      </c>
      <c r="C2201" s="6">
        <f>INDEX(工厂基础数据!$A$2:$A$1024,MATCH(X2201,工厂基础数据!$D$2:$D$1024,0))</f>
        <v>0</v>
      </c>
      <c r="E2201" s="6" t="str">
        <f>INDEX(工厂基础数据!$B$2:$B$1024,MATCH(X2201,工厂基础数据!$D$2:$D$1024,0))</f>
        <v>济南广林医药有限公司</v>
      </c>
      <c r="F2201" s="6" t="e">
        <f>INDEX(商业2转码!$B$2:$B$10000,MATCH(E2201,商业2转码!$A$2:$A$10000,0))</f>
        <v>#N/A</v>
      </c>
      <c r="G2201" s="6">
        <f>INDEX(品种2编码!$A$2:$A$1048576,MATCH(W2201,品种2编码!$D$2:$D$1048576,0))</f>
        <v>0</v>
      </c>
      <c r="H2201" s="6" t="s">
        <v>3607</v>
      </c>
      <c r="I2201" s="6" t="s">
        <v>3453</v>
      </c>
      <c r="L2201" s="6" t="s">
        <v>3526</v>
      </c>
      <c r="M2201" s="6" t="e">
        <f>INDEX(医院2县区2人!$B$2:$B$1048576,MATCH(L2201,医院2县区2人!$A$2:$A$1048576,0))</f>
        <v>#N/A</v>
      </c>
      <c r="N2201" s="6" t="e">
        <f>INDEX(医院2县区2人!$C$2:$C$1048576,MATCH(L2201,医院2县区2人!$A$2:$A$1048576,0))</f>
        <v>#N/A</v>
      </c>
      <c r="P2201" s="7">
        <v>43253</v>
      </c>
      <c r="Q2201" s="6">
        <v>3</v>
      </c>
      <c r="S2201" s="6" t="s">
        <v>3065</v>
      </c>
      <c r="T2201" s="6" t="e">
        <f>INDEX(医院2县区2人!$D$2:$D$1048576,MATCH(L2201,医院2县区2人!$A$2:$A$1048576,0))</f>
        <v>#N/A</v>
      </c>
      <c r="W2201" s="6" t="str">
        <f t="shared" si="71"/>
        <v>(精)注射用乳糖酸阿奇霉素0.25g*10支</v>
      </c>
      <c r="X2201" s="6" t="s">
        <v>2904</v>
      </c>
    </row>
    <row r="2202" spans="1:24" x14ac:dyDescent="0.15">
      <c r="A2202" s="7" t="str">
        <f t="shared" si="72"/>
        <v>201806</v>
      </c>
      <c r="C2202" s="6">
        <f>INDEX(工厂基础数据!$A$2:$A$1024,MATCH(X2202,工厂基础数据!$D$2:$D$1024,0))</f>
        <v>0</v>
      </c>
      <c r="E2202" s="6" t="str">
        <f>INDEX(工厂基础数据!$B$2:$B$1024,MATCH(X2202,工厂基础数据!$D$2:$D$1024,0))</f>
        <v>济南广林医药有限公司</v>
      </c>
      <c r="F2202" s="6" t="e">
        <f>INDEX(商业2转码!$B$2:$B$10000,MATCH(E2202,商业2转码!$A$2:$A$10000,0))</f>
        <v>#N/A</v>
      </c>
      <c r="G2202" s="6">
        <f>INDEX(品种2编码!$A$2:$A$1048576,MATCH(W2202,品种2编码!$D$2:$D$1048576,0))</f>
        <v>0</v>
      </c>
      <c r="H2202" s="6" t="s">
        <v>3607</v>
      </c>
      <c r="I2202" s="6" t="s">
        <v>3453</v>
      </c>
      <c r="L2202" s="6" t="s">
        <v>3527</v>
      </c>
      <c r="M2202" s="6" t="e">
        <f>INDEX(医院2县区2人!$B$2:$B$1048576,MATCH(L2202,医院2县区2人!$A$2:$A$1048576,0))</f>
        <v>#N/A</v>
      </c>
      <c r="N2202" s="6" t="e">
        <f>INDEX(医院2县区2人!$C$2:$C$1048576,MATCH(L2202,医院2县区2人!$A$2:$A$1048576,0))</f>
        <v>#N/A</v>
      </c>
      <c r="P2202" s="7">
        <v>43280</v>
      </c>
      <c r="Q2202" s="6">
        <v>10</v>
      </c>
      <c r="S2202" s="6" t="s">
        <v>3795</v>
      </c>
      <c r="T2202" s="6" t="e">
        <f>INDEX(医院2县区2人!$D$2:$D$1048576,MATCH(L2202,医院2县区2人!$A$2:$A$1048576,0))</f>
        <v>#N/A</v>
      </c>
      <c r="W2202" s="6" t="str">
        <f t="shared" si="71"/>
        <v>(精)注射用乳糖酸阿奇霉素0.25g*10支</v>
      </c>
      <c r="X2202" s="6" t="s">
        <v>2904</v>
      </c>
    </row>
    <row r="2203" spans="1:24" x14ac:dyDescent="0.15">
      <c r="A2203" s="7" t="str">
        <f t="shared" si="72"/>
        <v>201806</v>
      </c>
      <c r="C2203" s="6">
        <f>INDEX(工厂基础数据!$A$2:$A$1024,MATCH(X2203,工厂基础数据!$D$2:$D$1024,0))</f>
        <v>0</v>
      </c>
      <c r="E2203" s="6" t="str">
        <f>INDEX(工厂基础数据!$B$2:$B$1024,MATCH(X2203,工厂基础数据!$D$2:$D$1024,0))</f>
        <v>济南广林医药有限公司</v>
      </c>
      <c r="F2203" s="6" t="e">
        <f>INDEX(商业2转码!$B$2:$B$10000,MATCH(E2203,商业2转码!$A$2:$A$10000,0))</f>
        <v>#N/A</v>
      </c>
      <c r="G2203" s="6" t="str">
        <f>INDEX(品种2编码!$A$2:$A$1048576,MATCH(W2203,品种2编码!$D$2:$D$1048576,0))</f>
        <v>0020020030ZYZC0508</v>
      </c>
      <c r="H2203" s="6" t="s">
        <v>245</v>
      </c>
      <c r="I2203" s="6" t="s">
        <v>246</v>
      </c>
      <c r="L2203" s="6" t="s">
        <v>3526</v>
      </c>
      <c r="M2203" s="6" t="e">
        <f>INDEX(医院2县区2人!$B$2:$B$1048576,MATCH(L2203,医院2县区2人!$A$2:$A$1048576,0))</f>
        <v>#N/A</v>
      </c>
      <c r="N2203" s="6" t="e">
        <f>INDEX(医院2县区2人!$C$2:$C$1048576,MATCH(L2203,医院2县区2人!$A$2:$A$1048576,0))</f>
        <v>#N/A</v>
      </c>
      <c r="P2203" s="7">
        <v>43252</v>
      </c>
      <c r="Q2203" s="6">
        <v>20</v>
      </c>
      <c r="S2203" s="6" t="s">
        <v>3796</v>
      </c>
      <c r="T2203" s="6" t="e">
        <f>INDEX(医院2县区2人!$D$2:$D$1048576,MATCH(L2203,医院2县区2人!$A$2:$A$1048576,0))</f>
        <v>#N/A</v>
      </c>
      <c r="W2203" s="6" t="str">
        <f t="shared" si="71"/>
        <v>阿莫西林胶囊0.25g*20粒</v>
      </c>
      <c r="X2203" s="6" t="s">
        <v>2904</v>
      </c>
    </row>
    <row r="2204" spans="1:24" x14ac:dyDescent="0.15">
      <c r="A2204" s="7" t="str">
        <f t="shared" si="72"/>
        <v>201806</v>
      </c>
      <c r="C2204" s="6">
        <f>INDEX(工厂基础数据!$A$2:$A$1024,MATCH(X2204,工厂基础数据!$D$2:$D$1024,0))</f>
        <v>0</v>
      </c>
      <c r="E2204" s="6" t="str">
        <f>INDEX(工厂基础数据!$B$2:$B$1024,MATCH(X2204,工厂基础数据!$D$2:$D$1024,0))</f>
        <v>济南广林医药有限公司</v>
      </c>
      <c r="F2204" s="6" t="e">
        <f>INDEX(商业2转码!$B$2:$B$10000,MATCH(E2204,商业2转码!$A$2:$A$10000,0))</f>
        <v>#N/A</v>
      </c>
      <c r="G2204" s="6">
        <f>INDEX(品种2编码!$A$2:$A$1048576,MATCH(W2204,品种2编码!$D$2:$D$1048576,0))</f>
        <v>0</v>
      </c>
      <c r="H2204" s="6" t="s">
        <v>245</v>
      </c>
      <c r="I2204" s="6" t="s">
        <v>3611</v>
      </c>
      <c r="L2204" s="6" t="s">
        <v>3528</v>
      </c>
      <c r="M2204" s="6" t="e">
        <f>INDEX(医院2县区2人!$B$2:$B$1048576,MATCH(L2204,医院2县区2人!$A$2:$A$1048576,0))</f>
        <v>#N/A</v>
      </c>
      <c r="N2204" s="6" t="e">
        <f>INDEX(医院2县区2人!$C$2:$C$1048576,MATCH(L2204,医院2县区2人!$A$2:$A$1048576,0))</f>
        <v>#N/A</v>
      </c>
      <c r="P2204" s="7">
        <v>43252</v>
      </c>
      <c r="Q2204" s="6">
        <v>10</v>
      </c>
      <c r="S2204" s="6" t="s">
        <v>3797</v>
      </c>
      <c r="T2204" s="6" t="e">
        <f>INDEX(医院2县区2人!$D$2:$D$1048576,MATCH(L2204,医院2县区2人!$A$2:$A$1048576,0))</f>
        <v>#N/A</v>
      </c>
      <c r="W2204" s="6" t="str">
        <f t="shared" si="71"/>
        <v>阿莫西林胶囊0.5g*10粒*2板</v>
      </c>
      <c r="X2204" s="6" t="s">
        <v>2904</v>
      </c>
    </row>
    <row r="2205" spans="1:24" x14ac:dyDescent="0.15">
      <c r="A2205" s="7" t="str">
        <f t="shared" si="72"/>
        <v>201806</v>
      </c>
      <c r="C2205" s="6">
        <f>INDEX(工厂基础数据!$A$2:$A$1024,MATCH(X2205,工厂基础数据!$D$2:$D$1024,0))</f>
        <v>0</v>
      </c>
      <c r="E2205" s="6" t="str">
        <f>INDEX(工厂基础数据!$B$2:$B$1024,MATCH(X2205,工厂基础数据!$D$2:$D$1024,0))</f>
        <v>济南广林医药有限公司</v>
      </c>
      <c r="F2205" s="6" t="e">
        <f>INDEX(商业2转码!$B$2:$B$10000,MATCH(E2205,商业2转码!$A$2:$A$10000,0))</f>
        <v>#N/A</v>
      </c>
      <c r="G2205" s="6" t="str">
        <f>INDEX(品种2编码!$A$2:$A$1048576,MATCH(W2205,品种2编码!$D$2:$D$1048576,0))</f>
        <v>0020020030ZYZC0508</v>
      </c>
      <c r="H2205" s="6" t="s">
        <v>245</v>
      </c>
      <c r="I2205" s="6" t="s">
        <v>246</v>
      </c>
      <c r="L2205" s="6" t="s">
        <v>3529</v>
      </c>
      <c r="M2205" s="6" t="e">
        <f>INDEX(医院2县区2人!$B$2:$B$1048576,MATCH(L2205,医院2县区2人!$A$2:$A$1048576,0))</f>
        <v>#N/A</v>
      </c>
      <c r="N2205" s="6" t="e">
        <f>INDEX(医院2县区2人!$C$2:$C$1048576,MATCH(L2205,医院2县区2人!$A$2:$A$1048576,0))</f>
        <v>#N/A</v>
      </c>
      <c r="P2205" s="7">
        <v>43257</v>
      </c>
      <c r="Q2205" s="6">
        <v>10</v>
      </c>
      <c r="S2205" s="6" t="s">
        <v>3796</v>
      </c>
      <c r="T2205" s="6" t="e">
        <f>INDEX(医院2县区2人!$D$2:$D$1048576,MATCH(L2205,医院2县区2人!$A$2:$A$1048576,0))</f>
        <v>#N/A</v>
      </c>
      <c r="W2205" s="6" t="str">
        <f t="shared" si="71"/>
        <v>阿莫西林胶囊0.25g*20粒</v>
      </c>
      <c r="X2205" s="6" t="s">
        <v>2904</v>
      </c>
    </row>
    <row r="2206" spans="1:24" x14ac:dyDescent="0.15">
      <c r="A2206" s="7" t="str">
        <f t="shared" si="72"/>
        <v>201806</v>
      </c>
      <c r="C2206" s="6">
        <f>INDEX(工厂基础数据!$A$2:$A$1024,MATCH(X2206,工厂基础数据!$D$2:$D$1024,0))</f>
        <v>0</v>
      </c>
      <c r="E2206" s="6" t="str">
        <f>INDEX(工厂基础数据!$B$2:$B$1024,MATCH(X2206,工厂基础数据!$D$2:$D$1024,0))</f>
        <v>济南广林医药有限公司</v>
      </c>
      <c r="F2206" s="6" t="e">
        <f>INDEX(商业2转码!$B$2:$B$10000,MATCH(E2206,商业2转码!$A$2:$A$10000,0))</f>
        <v>#N/A</v>
      </c>
      <c r="G2206" s="6" t="str">
        <f>INDEX(品种2编码!$A$2:$A$1048576,MATCH(W2206,品种2编码!$D$2:$D$1048576,0))</f>
        <v>0020020030ZYZC0508</v>
      </c>
      <c r="H2206" s="6" t="s">
        <v>245</v>
      </c>
      <c r="I2206" s="6" t="s">
        <v>246</v>
      </c>
      <c r="L2206" s="6" t="s">
        <v>3530</v>
      </c>
      <c r="M2206" s="6" t="e">
        <f>INDEX(医院2县区2人!$B$2:$B$1048576,MATCH(L2206,医院2县区2人!$A$2:$A$1048576,0))</f>
        <v>#N/A</v>
      </c>
      <c r="N2206" s="6" t="e">
        <f>INDEX(医院2县区2人!$C$2:$C$1048576,MATCH(L2206,医院2县区2人!$A$2:$A$1048576,0))</f>
        <v>#N/A</v>
      </c>
      <c r="P2206" s="7">
        <v>43272</v>
      </c>
      <c r="Q2206" s="6">
        <v>10</v>
      </c>
      <c r="S2206" s="6" t="s">
        <v>3796</v>
      </c>
      <c r="T2206" s="6" t="e">
        <f>INDEX(医院2县区2人!$D$2:$D$1048576,MATCH(L2206,医院2县区2人!$A$2:$A$1048576,0))</f>
        <v>#N/A</v>
      </c>
      <c r="W2206" s="6" t="str">
        <f t="shared" si="71"/>
        <v>阿莫西林胶囊0.25g*20粒</v>
      </c>
      <c r="X2206" s="6" t="s">
        <v>2904</v>
      </c>
    </row>
    <row r="2207" spans="1:24" x14ac:dyDescent="0.15">
      <c r="A2207" s="7" t="str">
        <f t="shared" si="72"/>
        <v>201806</v>
      </c>
      <c r="C2207" s="6">
        <f>INDEX(工厂基础数据!$A$2:$A$1024,MATCH(X2207,工厂基础数据!$D$2:$D$1024,0))</f>
        <v>0</v>
      </c>
      <c r="E2207" s="6" t="str">
        <f>INDEX(工厂基础数据!$B$2:$B$1024,MATCH(X2207,工厂基础数据!$D$2:$D$1024,0))</f>
        <v>济南广林医药有限公司</v>
      </c>
      <c r="F2207" s="6" t="e">
        <f>INDEX(商业2转码!$B$2:$B$10000,MATCH(E2207,商业2转码!$A$2:$A$10000,0))</f>
        <v>#N/A</v>
      </c>
      <c r="G2207" s="6">
        <f>INDEX(品种2编码!$A$2:$A$1048576,MATCH(W2207,品种2编码!$D$2:$D$1048576,0))</f>
        <v>0</v>
      </c>
      <c r="H2207" s="6" t="s">
        <v>245</v>
      </c>
      <c r="I2207" s="6" t="s">
        <v>3611</v>
      </c>
      <c r="L2207" s="6" t="s">
        <v>3525</v>
      </c>
      <c r="M2207" s="6" t="e">
        <f>INDEX(医院2县区2人!$B$2:$B$1048576,MATCH(L2207,医院2县区2人!$A$2:$A$1048576,0))</f>
        <v>#N/A</v>
      </c>
      <c r="N2207" s="6" t="e">
        <f>INDEX(医院2县区2人!$C$2:$C$1048576,MATCH(L2207,医院2县区2人!$A$2:$A$1048576,0))</f>
        <v>#N/A</v>
      </c>
      <c r="P2207" s="7">
        <v>43273</v>
      </c>
      <c r="Q2207" s="6">
        <v>20</v>
      </c>
      <c r="S2207" s="6" t="s">
        <v>3797</v>
      </c>
      <c r="T2207" s="6" t="e">
        <f>INDEX(医院2县区2人!$D$2:$D$1048576,MATCH(L2207,医院2县区2人!$A$2:$A$1048576,0))</f>
        <v>#N/A</v>
      </c>
      <c r="W2207" s="6" t="str">
        <f t="shared" si="71"/>
        <v>阿莫西林胶囊0.5g*10粒*2板</v>
      </c>
      <c r="X2207" s="6" t="s">
        <v>2904</v>
      </c>
    </row>
    <row r="2208" spans="1:24" x14ac:dyDescent="0.15">
      <c r="A2208" s="7" t="str">
        <f t="shared" si="72"/>
        <v>201806</v>
      </c>
      <c r="C2208" s="6">
        <f>INDEX(工厂基础数据!$A$2:$A$1024,MATCH(X2208,工厂基础数据!$D$2:$D$1024,0))</f>
        <v>0</v>
      </c>
      <c r="E2208" s="6" t="str">
        <f>INDEX(工厂基础数据!$B$2:$B$1024,MATCH(X2208,工厂基础数据!$D$2:$D$1024,0))</f>
        <v>济南广林医药有限公司</v>
      </c>
      <c r="F2208" s="6" t="e">
        <f>INDEX(商业2转码!$B$2:$B$10000,MATCH(E2208,商业2转码!$A$2:$A$10000,0))</f>
        <v>#N/A</v>
      </c>
      <c r="G2208" s="6" t="str">
        <f>INDEX(品种2编码!$A$2:$A$1048576,MATCH(W2208,品种2编码!$D$2:$D$1048576,0))</f>
        <v>0020020030ZYZC0508</v>
      </c>
      <c r="H2208" s="6" t="s">
        <v>245</v>
      </c>
      <c r="I2208" s="6" t="s">
        <v>246</v>
      </c>
      <c r="L2208" s="6" t="s">
        <v>3531</v>
      </c>
      <c r="M2208" s="6" t="e">
        <f>INDEX(医院2县区2人!$B$2:$B$1048576,MATCH(L2208,医院2县区2人!$A$2:$A$1048576,0))</f>
        <v>#N/A</v>
      </c>
      <c r="N2208" s="6" t="e">
        <f>INDEX(医院2县区2人!$C$2:$C$1048576,MATCH(L2208,医院2县区2人!$A$2:$A$1048576,0))</f>
        <v>#N/A</v>
      </c>
      <c r="P2208" s="7">
        <v>43273</v>
      </c>
      <c r="Q2208" s="6">
        <v>30</v>
      </c>
      <c r="S2208" s="6" t="s">
        <v>3796</v>
      </c>
      <c r="T2208" s="6" t="e">
        <f>INDEX(医院2县区2人!$D$2:$D$1048576,MATCH(L2208,医院2县区2人!$A$2:$A$1048576,0))</f>
        <v>#N/A</v>
      </c>
      <c r="W2208" s="6" t="str">
        <f t="shared" si="71"/>
        <v>阿莫西林胶囊0.25g*20粒</v>
      </c>
      <c r="X2208" s="6" t="s">
        <v>2904</v>
      </c>
    </row>
    <row r="2209" spans="1:24" x14ac:dyDescent="0.15">
      <c r="A2209" s="7" t="str">
        <f t="shared" si="72"/>
        <v>201806</v>
      </c>
      <c r="C2209" s="6">
        <f>INDEX(工厂基础数据!$A$2:$A$1024,MATCH(X2209,工厂基础数据!$D$2:$D$1024,0))</f>
        <v>0</v>
      </c>
      <c r="E2209" s="6" t="str">
        <f>INDEX(工厂基础数据!$B$2:$B$1024,MATCH(X2209,工厂基础数据!$D$2:$D$1024,0))</f>
        <v>济南广林医药有限公司</v>
      </c>
      <c r="F2209" s="6" t="e">
        <f>INDEX(商业2转码!$B$2:$B$10000,MATCH(E2209,商业2转码!$A$2:$A$10000,0))</f>
        <v>#N/A</v>
      </c>
      <c r="G2209" s="6" t="str">
        <f>INDEX(品种2编码!$A$2:$A$1048576,MATCH(W2209,品种2编码!$D$2:$D$1048576,0))</f>
        <v>0020020021ZYZC0341</v>
      </c>
      <c r="H2209" s="6" t="s">
        <v>1936</v>
      </c>
      <c r="I2209" s="6" t="s">
        <v>279</v>
      </c>
      <c r="L2209" s="6" t="s">
        <v>3526</v>
      </c>
      <c r="M2209" s="6" t="e">
        <f>INDEX(医院2县区2人!$B$2:$B$1048576,MATCH(L2209,医院2县区2人!$A$2:$A$1048576,0))</f>
        <v>#N/A</v>
      </c>
      <c r="N2209" s="6" t="e">
        <f>INDEX(医院2县区2人!$C$2:$C$1048576,MATCH(L2209,医院2县区2人!$A$2:$A$1048576,0))</f>
        <v>#N/A</v>
      </c>
      <c r="P2209" s="7">
        <v>43255</v>
      </c>
      <c r="Q2209" s="6">
        <v>5</v>
      </c>
      <c r="S2209" s="6" t="s">
        <v>3275</v>
      </c>
      <c r="T2209" s="6" t="e">
        <f>INDEX(医院2县区2人!$D$2:$D$1048576,MATCH(L2209,医院2县区2人!$A$2:$A$1048576,0))</f>
        <v>#N/A</v>
      </c>
      <c r="W2209" s="6" t="str">
        <f t="shared" si="71"/>
        <v>阿莫西林克拉维酸钾分散片0.2285g*12片</v>
      </c>
      <c r="X2209" s="6" t="s">
        <v>2904</v>
      </c>
    </row>
    <row r="2210" spans="1:24" x14ac:dyDescent="0.15">
      <c r="A2210" s="7" t="str">
        <f t="shared" si="72"/>
        <v>201806</v>
      </c>
      <c r="C2210" s="6">
        <f>INDEX(工厂基础数据!$A$2:$A$1024,MATCH(X2210,工厂基础数据!$D$2:$D$1024,0))</f>
        <v>0</v>
      </c>
      <c r="E2210" s="6" t="str">
        <f>INDEX(工厂基础数据!$B$2:$B$1024,MATCH(X2210,工厂基础数据!$D$2:$D$1024,0))</f>
        <v>济南广林医药有限公司</v>
      </c>
      <c r="F2210" s="6" t="e">
        <f>INDEX(商业2转码!$B$2:$B$10000,MATCH(E2210,商业2转码!$A$2:$A$10000,0))</f>
        <v>#N/A</v>
      </c>
      <c r="G2210" s="6" t="str">
        <f>INDEX(品种2编码!$A$2:$A$1048576,MATCH(W2210,品种2编码!$D$2:$D$1048576,0))</f>
        <v>0020020021ZYZC0341</v>
      </c>
      <c r="H2210" s="6" t="s">
        <v>1936</v>
      </c>
      <c r="I2210" s="6" t="s">
        <v>279</v>
      </c>
      <c r="L2210" s="6" t="s">
        <v>3524</v>
      </c>
      <c r="M2210" s="6" t="e">
        <f>INDEX(医院2县区2人!$B$2:$B$1048576,MATCH(L2210,医院2县区2人!$A$2:$A$1048576,0))</f>
        <v>#N/A</v>
      </c>
      <c r="N2210" s="6" t="e">
        <f>INDEX(医院2县区2人!$C$2:$C$1048576,MATCH(L2210,医院2县区2人!$A$2:$A$1048576,0))</f>
        <v>#N/A</v>
      </c>
      <c r="P2210" s="7">
        <v>43257</v>
      </c>
      <c r="Q2210" s="6">
        <v>4</v>
      </c>
      <c r="S2210" s="6" t="s">
        <v>3798</v>
      </c>
      <c r="T2210" s="6" t="e">
        <f>INDEX(医院2县区2人!$D$2:$D$1048576,MATCH(L2210,医院2县区2人!$A$2:$A$1048576,0))</f>
        <v>#N/A</v>
      </c>
      <c r="W2210" s="6" t="str">
        <f t="shared" si="71"/>
        <v>阿莫西林克拉维酸钾分散片0.2285g*12片</v>
      </c>
      <c r="X2210" s="6" t="s">
        <v>2904</v>
      </c>
    </row>
    <row r="2211" spans="1:24" x14ac:dyDescent="0.15">
      <c r="A2211" s="7" t="str">
        <f t="shared" si="72"/>
        <v>201806</v>
      </c>
      <c r="C2211" s="6">
        <f>INDEX(工厂基础数据!$A$2:$A$1024,MATCH(X2211,工厂基础数据!$D$2:$D$1024,0))</f>
        <v>0</v>
      </c>
      <c r="E2211" s="6" t="str">
        <f>INDEX(工厂基础数据!$B$2:$B$1024,MATCH(X2211,工厂基础数据!$D$2:$D$1024,0))</f>
        <v>济南广林医药有限公司</v>
      </c>
      <c r="F2211" s="6" t="e">
        <f>INDEX(商业2转码!$B$2:$B$10000,MATCH(E2211,商业2转码!$A$2:$A$10000,0))</f>
        <v>#N/A</v>
      </c>
      <c r="G2211" s="6" t="str">
        <f>INDEX(品种2编码!$A$2:$A$1048576,MATCH(W2211,品种2编码!$D$2:$D$1048576,0))</f>
        <v>0020020021ZYZC0341</v>
      </c>
      <c r="H2211" s="6" t="s">
        <v>1936</v>
      </c>
      <c r="I2211" s="6" t="s">
        <v>279</v>
      </c>
      <c r="L2211" s="6" t="s">
        <v>3528</v>
      </c>
      <c r="M2211" s="6" t="e">
        <f>INDEX(医院2县区2人!$B$2:$B$1048576,MATCH(L2211,医院2县区2人!$A$2:$A$1048576,0))</f>
        <v>#N/A</v>
      </c>
      <c r="N2211" s="6" t="e">
        <f>INDEX(医院2县区2人!$C$2:$C$1048576,MATCH(L2211,医院2县区2人!$A$2:$A$1048576,0))</f>
        <v>#N/A</v>
      </c>
      <c r="P2211" s="7">
        <v>43269</v>
      </c>
      <c r="Q2211" s="6">
        <v>50</v>
      </c>
      <c r="S2211" s="6" t="s">
        <v>3275</v>
      </c>
      <c r="T2211" s="6" t="e">
        <f>INDEX(医院2县区2人!$D$2:$D$1048576,MATCH(L2211,医院2县区2人!$A$2:$A$1048576,0))</f>
        <v>#N/A</v>
      </c>
      <c r="W2211" s="6" t="str">
        <f t="shared" si="71"/>
        <v>阿莫西林克拉维酸钾分散片0.2285g*12片</v>
      </c>
      <c r="X2211" s="6" t="s">
        <v>2904</v>
      </c>
    </row>
    <row r="2212" spans="1:24" x14ac:dyDescent="0.15">
      <c r="A2212" s="7" t="str">
        <f t="shared" si="72"/>
        <v>201806</v>
      </c>
      <c r="C2212" s="6">
        <f>INDEX(工厂基础数据!$A$2:$A$1024,MATCH(X2212,工厂基础数据!$D$2:$D$1024,0))</f>
        <v>0</v>
      </c>
      <c r="E2212" s="6" t="str">
        <f>INDEX(工厂基础数据!$B$2:$B$1024,MATCH(X2212,工厂基础数据!$D$2:$D$1024,0))</f>
        <v>济南广林医药有限公司</v>
      </c>
      <c r="F2212" s="6" t="e">
        <f>INDEX(商业2转码!$B$2:$B$10000,MATCH(E2212,商业2转码!$A$2:$A$10000,0))</f>
        <v>#N/A</v>
      </c>
      <c r="G2212" s="6">
        <f>INDEX(品种2编码!$A$2:$A$1048576,MATCH(W2212,品种2编码!$D$2:$D$1048576,0))</f>
        <v>0</v>
      </c>
      <c r="H2212" s="6" t="s">
        <v>3608</v>
      </c>
      <c r="I2212" s="6" t="s">
        <v>381</v>
      </c>
      <c r="L2212" s="6" t="s">
        <v>3532</v>
      </c>
      <c r="M2212" s="6" t="e">
        <f>INDEX(医院2县区2人!$B$2:$B$1048576,MATCH(L2212,医院2县区2人!$A$2:$A$1048576,0))</f>
        <v>#N/A</v>
      </c>
      <c r="N2212" s="6" t="e">
        <f>INDEX(医院2县区2人!$C$2:$C$1048576,MATCH(L2212,医院2县区2人!$A$2:$A$1048576,0))</f>
        <v>#N/A</v>
      </c>
      <c r="P2212" s="7">
        <v>43252</v>
      </c>
      <c r="Q2212" s="6">
        <v>400</v>
      </c>
      <c r="S2212" s="6">
        <v>161103</v>
      </c>
      <c r="T2212" s="6" t="e">
        <f>INDEX(医院2县区2人!$D$2:$D$1048576,MATCH(L2212,医院2县区2人!$A$2:$A$1048576,0))</f>
        <v>#N/A</v>
      </c>
      <c r="W2212" s="6" t="str">
        <f t="shared" si="71"/>
        <v>颠茄磺苄啶片(泻利停)12片</v>
      </c>
      <c r="X2212" s="6" t="s">
        <v>2904</v>
      </c>
    </row>
    <row r="2213" spans="1:24" x14ac:dyDescent="0.15">
      <c r="A2213" s="7" t="str">
        <f t="shared" si="72"/>
        <v>201806</v>
      </c>
      <c r="C2213" s="6">
        <f>INDEX(工厂基础数据!$A$2:$A$1024,MATCH(X2213,工厂基础数据!$D$2:$D$1024,0))</f>
        <v>0</v>
      </c>
      <c r="E2213" s="6" t="str">
        <f>INDEX(工厂基础数据!$B$2:$B$1024,MATCH(X2213,工厂基础数据!$D$2:$D$1024,0))</f>
        <v>济南广林医药有限公司</v>
      </c>
      <c r="F2213" s="6" t="e">
        <f>INDEX(商业2转码!$B$2:$B$10000,MATCH(E2213,商业2转码!$A$2:$A$10000,0))</f>
        <v>#N/A</v>
      </c>
      <c r="G2213" s="6">
        <f>INDEX(品种2编码!$A$2:$A$1048576,MATCH(W2213,品种2编码!$D$2:$D$1048576,0))</f>
        <v>0</v>
      </c>
      <c r="H2213" s="6" t="s">
        <v>3608</v>
      </c>
      <c r="I2213" s="6" t="s">
        <v>381</v>
      </c>
      <c r="L2213" s="6" t="s">
        <v>3533</v>
      </c>
      <c r="M2213" s="6" t="e">
        <f>INDEX(医院2县区2人!$B$2:$B$1048576,MATCH(L2213,医院2县区2人!$A$2:$A$1048576,0))</f>
        <v>#N/A</v>
      </c>
      <c r="N2213" s="6" t="e">
        <f>INDEX(医院2县区2人!$C$2:$C$1048576,MATCH(L2213,医院2县区2人!$A$2:$A$1048576,0))</f>
        <v>#N/A</v>
      </c>
      <c r="P2213" s="7">
        <v>43252</v>
      </c>
      <c r="Q2213" s="6">
        <v>20</v>
      </c>
      <c r="S2213" s="6">
        <v>161103</v>
      </c>
      <c r="T2213" s="6" t="e">
        <f>INDEX(医院2县区2人!$D$2:$D$1048576,MATCH(L2213,医院2县区2人!$A$2:$A$1048576,0))</f>
        <v>#N/A</v>
      </c>
      <c r="W2213" s="6" t="str">
        <f t="shared" si="71"/>
        <v>颠茄磺苄啶片(泻利停)12片</v>
      </c>
      <c r="X2213" s="6" t="s">
        <v>2904</v>
      </c>
    </row>
    <row r="2214" spans="1:24" x14ac:dyDescent="0.15">
      <c r="A2214" s="7" t="str">
        <f t="shared" si="72"/>
        <v>201806</v>
      </c>
      <c r="C2214" s="6">
        <f>INDEX(工厂基础数据!$A$2:$A$1024,MATCH(X2214,工厂基础数据!$D$2:$D$1024,0))</f>
        <v>0</v>
      </c>
      <c r="E2214" s="6" t="str">
        <f>INDEX(工厂基础数据!$B$2:$B$1024,MATCH(X2214,工厂基础数据!$D$2:$D$1024,0))</f>
        <v>济南广林医药有限公司</v>
      </c>
      <c r="F2214" s="6" t="e">
        <f>INDEX(商业2转码!$B$2:$B$10000,MATCH(E2214,商业2转码!$A$2:$A$10000,0))</f>
        <v>#N/A</v>
      </c>
      <c r="G2214" s="6">
        <f>INDEX(品种2编码!$A$2:$A$1048576,MATCH(W2214,品种2编码!$D$2:$D$1048576,0))</f>
        <v>0</v>
      </c>
      <c r="H2214" s="6" t="s">
        <v>3608</v>
      </c>
      <c r="I2214" s="6" t="s">
        <v>381</v>
      </c>
      <c r="L2214" s="6" t="s">
        <v>3534</v>
      </c>
      <c r="M2214" s="6" t="e">
        <f>INDEX(医院2县区2人!$B$2:$B$1048576,MATCH(L2214,医院2县区2人!$A$2:$A$1048576,0))</f>
        <v>#N/A</v>
      </c>
      <c r="N2214" s="6" t="e">
        <f>INDEX(医院2县区2人!$C$2:$C$1048576,MATCH(L2214,医院2县区2人!$A$2:$A$1048576,0))</f>
        <v>#N/A</v>
      </c>
      <c r="P2214" s="7">
        <v>43252</v>
      </c>
      <c r="Q2214" s="6">
        <v>400</v>
      </c>
      <c r="S2214" s="6">
        <v>161103</v>
      </c>
      <c r="T2214" s="6" t="e">
        <f>INDEX(医院2县区2人!$D$2:$D$1048576,MATCH(L2214,医院2县区2人!$A$2:$A$1048576,0))</f>
        <v>#N/A</v>
      </c>
      <c r="W2214" s="6" t="str">
        <f t="shared" si="71"/>
        <v>颠茄磺苄啶片(泻利停)12片</v>
      </c>
      <c r="X2214" s="6" t="s">
        <v>2904</v>
      </c>
    </row>
    <row r="2215" spans="1:24" x14ac:dyDescent="0.15">
      <c r="A2215" s="7" t="str">
        <f t="shared" si="72"/>
        <v>201806</v>
      </c>
      <c r="C2215" s="6">
        <f>INDEX(工厂基础数据!$A$2:$A$1024,MATCH(X2215,工厂基础数据!$D$2:$D$1024,0))</f>
        <v>0</v>
      </c>
      <c r="E2215" s="6" t="str">
        <f>INDEX(工厂基础数据!$B$2:$B$1024,MATCH(X2215,工厂基础数据!$D$2:$D$1024,0))</f>
        <v>济南广林医药有限公司</v>
      </c>
      <c r="F2215" s="6" t="e">
        <f>INDEX(商业2转码!$B$2:$B$10000,MATCH(E2215,商业2转码!$A$2:$A$10000,0))</f>
        <v>#N/A</v>
      </c>
      <c r="G2215" s="6">
        <f>INDEX(品种2编码!$A$2:$A$1048576,MATCH(W2215,品种2编码!$D$2:$D$1048576,0))</f>
        <v>0</v>
      </c>
      <c r="H2215" s="6" t="s">
        <v>3608</v>
      </c>
      <c r="I2215" s="6" t="s">
        <v>381</v>
      </c>
      <c r="L2215" s="6" t="s">
        <v>3535</v>
      </c>
      <c r="M2215" s="6" t="e">
        <f>INDEX(医院2县区2人!$B$2:$B$1048576,MATCH(L2215,医院2县区2人!$A$2:$A$1048576,0))</f>
        <v>#N/A</v>
      </c>
      <c r="N2215" s="6" t="e">
        <f>INDEX(医院2县区2人!$C$2:$C$1048576,MATCH(L2215,医院2县区2人!$A$2:$A$1048576,0))</f>
        <v>#N/A</v>
      </c>
      <c r="P2215" s="7">
        <v>43253</v>
      </c>
      <c r="Q2215" s="6">
        <v>5</v>
      </c>
      <c r="S2215" s="6">
        <v>161103</v>
      </c>
      <c r="T2215" s="6" t="e">
        <f>INDEX(医院2县区2人!$D$2:$D$1048576,MATCH(L2215,医院2县区2人!$A$2:$A$1048576,0))</f>
        <v>#N/A</v>
      </c>
      <c r="W2215" s="6" t="str">
        <f t="shared" si="71"/>
        <v>颠茄磺苄啶片(泻利停)12片</v>
      </c>
      <c r="X2215" s="6" t="s">
        <v>2904</v>
      </c>
    </row>
    <row r="2216" spans="1:24" x14ac:dyDescent="0.15">
      <c r="A2216" s="7" t="str">
        <f t="shared" si="72"/>
        <v>201806</v>
      </c>
      <c r="C2216" s="6">
        <f>INDEX(工厂基础数据!$A$2:$A$1024,MATCH(X2216,工厂基础数据!$D$2:$D$1024,0))</f>
        <v>0</v>
      </c>
      <c r="E2216" s="6" t="str">
        <f>INDEX(工厂基础数据!$B$2:$B$1024,MATCH(X2216,工厂基础数据!$D$2:$D$1024,0))</f>
        <v>济南广林医药有限公司</v>
      </c>
      <c r="F2216" s="6" t="e">
        <f>INDEX(商业2转码!$B$2:$B$10000,MATCH(E2216,商业2转码!$A$2:$A$10000,0))</f>
        <v>#N/A</v>
      </c>
      <c r="G2216" s="6">
        <f>INDEX(品种2编码!$A$2:$A$1048576,MATCH(W2216,品种2编码!$D$2:$D$1048576,0))</f>
        <v>0</v>
      </c>
      <c r="H2216" s="6" t="s">
        <v>3608</v>
      </c>
      <c r="I2216" s="6" t="s">
        <v>381</v>
      </c>
      <c r="L2216" s="6" t="s">
        <v>3528</v>
      </c>
      <c r="M2216" s="6" t="e">
        <f>INDEX(医院2县区2人!$B$2:$B$1048576,MATCH(L2216,医院2县区2人!$A$2:$A$1048576,0))</f>
        <v>#N/A</v>
      </c>
      <c r="N2216" s="6" t="e">
        <f>INDEX(医院2县区2人!$C$2:$C$1048576,MATCH(L2216,医院2县区2人!$A$2:$A$1048576,0))</f>
        <v>#N/A</v>
      </c>
      <c r="P2216" s="7">
        <v>43255</v>
      </c>
      <c r="Q2216" s="6">
        <v>10</v>
      </c>
      <c r="S2216" s="6">
        <v>161103</v>
      </c>
      <c r="T2216" s="6" t="e">
        <f>INDEX(医院2县区2人!$D$2:$D$1048576,MATCH(L2216,医院2县区2人!$A$2:$A$1048576,0))</f>
        <v>#N/A</v>
      </c>
      <c r="W2216" s="6" t="str">
        <f t="shared" si="71"/>
        <v>颠茄磺苄啶片(泻利停)12片</v>
      </c>
      <c r="X2216" s="6" t="s">
        <v>2904</v>
      </c>
    </row>
    <row r="2217" spans="1:24" x14ac:dyDescent="0.15">
      <c r="A2217" s="7" t="str">
        <f t="shared" si="72"/>
        <v>201806</v>
      </c>
      <c r="C2217" s="6">
        <f>INDEX(工厂基础数据!$A$2:$A$1024,MATCH(X2217,工厂基础数据!$D$2:$D$1024,0))</f>
        <v>0</v>
      </c>
      <c r="E2217" s="6" t="str">
        <f>INDEX(工厂基础数据!$B$2:$B$1024,MATCH(X2217,工厂基础数据!$D$2:$D$1024,0))</f>
        <v>济南广林医药有限公司</v>
      </c>
      <c r="F2217" s="6" t="e">
        <f>INDEX(商业2转码!$B$2:$B$10000,MATCH(E2217,商业2转码!$A$2:$A$10000,0))</f>
        <v>#N/A</v>
      </c>
      <c r="G2217" s="6">
        <f>INDEX(品种2编码!$A$2:$A$1048576,MATCH(W2217,品种2编码!$D$2:$D$1048576,0))</f>
        <v>0</v>
      </c>
      <c r="H2217" s="6" t="s">
        <v>3608</v>
      </c>
      <c r="I2217" s="6" t="s">
        <v>381</v>
      </c>
      <c r="L2217" s="6" t="s">
        <v>3536</v>
      </c>
      <c r="M2217" s="6" t="e">
        <f>INDEX(医院2县区2人!$B$2:$B$1048576,MATCH(L2217,医院2县区2人!$A$2:$A$1048576,0))</f>
        <v>#N/A</v>
      </c>
      <c r="N2217" s="6" t="e">
        <f>INDEX(医院2县区2人!$C$2:$C$1048576,MATCH(L2217,医院2县区2人!$A$2:$A$1048576,0))</f>
        <v>#N/A</v>
      </c>
      <c r="P2217" s="7">
        <v>43255</v>
      </c>
      <c r="Q2217" s="6">
        <v>20</v>
      </c>
      <c r="S2217" s="6">
        <v>161103</v>
      </c>
      <c r="T2217" s="6" t="e">
        <f>INDEX(医院2县区2人!$D$2:$D$1048576,MATCH(L2217,医院2县区2人!$A$2:$A$1048576,0))</f>
        <v>#N/A</v>
      </c>
      <c r="W2217" s="6" t="str">
        <f t="shared" si="71"/>
        <v>颠茄磺苄啶片(泻利停)12片</v>
      </c>
      <c r="X2217" s="6" t="s">
        <v>2904</v>
      </c>
    </row>
    <row r="2218" spans="1:24" x14ac:dyDescent="0.15">
      <c r="A2218" s="7" t="str">
        <f t="shared" si="72"/>
        <v>201806</v>
      </c>
      <c r="C2218" s="6">
        <f>INDEX(工厂基础数据!$A$2:$A$1024,MATCH(X2218,工厂基础数据!$D$2:$D$1024,0))</f>
        <v>0</v>
      </c>
      <c r="E2218" s="6" t="str">
        <f>INDEX(工厂基础数据!$B$2:$B$1024,MATCH(X2218,工厂基础数据!$D$2:$D$1024,0))</f>
        <v>济南广林医药有限公司</v>
      </c>
      <c r="F2218" s="6" t="e">
        <f>INDEX(商业2转码!$B$2:$B$10000,MATCH(E2218,商业2转码!$A$2:$A$10000,0))</f>
        <v>#N/A</v>
      </c>
      <c r="G2218" s="6">
        <f>INDEX(品种2编码!$A$2:$A$1048576,MATCH(W2218,品种2编码!$D$2:$D$1048576,0))</f>
        <v>0</v>
      </c>
      <c r="H2218" s="6" t="s">
        <v>3608</v>
      </c>
      <c r="I2218" s="6" t="s">
        <v>381</v>
      </c>
      <c r="L2218" s="6" t="s">
        <v>3537</v>
      </c>
      <c r="M2218" s="6" t="e">
        <f>INDEX(医院2县区2人!$B$2:$B$1048576,MATCH(L2218,医院2县区2人!$A$2:$A$1048576,0))</f>
        <v>#N/A</v>
      </c>
      <c r="N2218" s="6" t="e">
        <f>INDEX(医院2县区2人!$C$2:$C$1048576,MATCH(L2218,医院2县区2人!$A$2:$A$1048576,0))</f>
        <v>#N/A</v>
      </c>
      <c r="P2218" s="7">
        <v>43255</v>
      </c>
      <c r="Q2218" s="6">
        <v>10</v>
      </c>
      <c r="S2218" s="6">
        <v>161103</v>
      </c>
      <c r="T2218" s="6" t="e">
        <f>INDEX(医院2县区2人!$D$2:$D$1048576,MATCH(L2218,医院2县区2人!$A$2:$A$1048576,0))</f>
        <v>#N/A</v>
      </c>
      <c r="W2218" s="6" t="str">
        <f t="shared" si="71"/>
        <v>颠茄磺苄啶片(泻利停)12片</v>
      </c>
      <c r="X2218" s="6" t="s">
        <v>2904</v>
      </c>
    </row>
    <row r="2219" spans="1:24" x14ac:dyDescent="0.15">
      <c r="A2219" s="7" t="str">
        <f t="shared" si="72"/>
        <v>201806</v>
      </c>
      <c r="C2219" s="6">
        <f>INDEX(工厂基础数据!$A$2:$A$1024,MATCH(X2219,工厂基础数据!$D$2:$D$1024,0))</f>
        <v>0</v>
      </c>
      <c r="E2219" s="6" t="str">
        <f>INDEX(工厂基础数据!$B$2:$B$1024,MATCH(X2219,工厂基础数据!$D$2:$D$1024,0))</f>
        <v>济南广林医药有限公司</v>
      </c>
      <c r="F2219" s="6" t="e">
        <f>INDEX(商业2转码!$B$2:$B$10000,MATCH(E2219,商业2转码!$A$2:$A$10000,0))</f>
        <v>#N/A</v>
      </c>
      <c r="G2219" s="6">
        <f>INDEX(品种2编码!$A$2:$A$1048576,MATCH(W2219,品种2编码!$D$2:$D$1048576,0))</f>
        <v>0</v>
      </c>
      <c r="H2219" s="6" t="s">
        <v>3608</v>
      </c>
      <c r="I2219" s="6" t="s">
        <v>381</v>
      </c>
      <c r="L2219" s="6" t="s">
        <v>3528</v>
      </c>
      <c r="M2219" s="6" t="e">
        <f>INDEX(医院2县区2人!$B$2:$B$1048576,MATCH(L2219,医院2县区2人!$A$2:$A$1048576,0))</f>
        <v>#N/A</v>
      </c>
      <c r="N2219" s="6" t="e">
        <f>INDEX(医院2县区2人!$C$2:$C$1048576,MATCH(L2219,医院2县区2人!$A$2:$A$1048576,0))</f>
        <v>#N/A</v>
      </c>
      <c r="P2219" s="7">
        <v>43255</v>
      </c>
      <c r="Q2219" s="6">
        <v>10</v>
      </c>
      <c r="S2219" s="6">
        <v>161103</v>
      </c>
      <c r="T2219" s="6" t="e">
        <f>INDEX(医院2县区2人!$D$2:$D$1048576,MATCH(L2219,医院2县区2人!$A$2:$A$1048576,0))</f>
        <v>#N/A</v>
      </c>
      <c r="W2219" s="6" t="str">
        <f t="shared" si="71"/>
        <v>颠茄磺苄啶片(泻利停)12片</v>
      </c>
      <c r="X2219" s="6" t="s">
        <v>2904</v>
      </c>
    </row>
    <row r="2220" spans="1:24" x14ac:dyDescent="0.15">
      <c r="A2220" s="7" t="str">
        <f t="shared" si="72"/>
        <v>201806</v>
      </c>
      <c r="C2220" s="6">
        <f>INDEX(工厂基础数据!$A$2:$A$1024,MATCH(X2220,工厂基础数据!$D$2:$D$1024,0))</f>
        <v>0</v>
      </c>
      <c r="E2220" s="6" t="str">
        <f>INDEX(工厂基础数据!$B$2:$B$1024,MATCH(X2220,工厂基础数据!$D$2:$D$1024,0))</f>
        <v>济南广林医药有限公司</v>
      </c>
      <c r="F2220" s="6" t="e">
        <f>INDEX(商业2转码!$B$2:$B$10000,MATCH(E2220,商业2转码!$A$2:$A$10000,0))</f>
        <v>#N/A</v>
      </c>
      <c r="G2220" s="6">
        <f>INDEX(品种2编码!$A$2:$A$1048576,MATCH(W2220,品种2编码!$D$2:$D$1048576,0))</f>
        <v>0</v>
      </c>
      <c r="H2220" s="6" t="s">
        <v>3608</v>
      </c>
      <c r="I2220" s="6" t="s">
        <v>381</v>
      </c>
      <c r="L2220" s="6" t="s">
        <v>3538</v>
      </c>
      <c r="M2220" s="6" t="e">
        <f>INDEX(医院2县区2人!$B$2:$B$1048576,MATCH(L2220,医院2县区2人!$A$2:$A$1048576,0))</f>
        <v>#N/A</v>
      </c>
      <c r="N2220" s="6" t="e">
        <f>INDEX(医院2县区2人!$C$2:$C$1048576,MATCH(L2220,医院2县区2人!$A$2:$A$1048576,0))</f>
        <v>#N/A</v>
      </c>
      <c r="P2220" s="7">
        <v>43255</v>
      </c>
      <c r="Q2220" s="6">
        <v>10</v>
      </c>
      <c r="S2220" s="6">
        <v>161103</v>
      </c>
      <c r="T2220" s="6" t="e">
        <f>INDEX(医院2县区2人!$D$2:$D$1048576,MATCH(L2220,医院2县区2人!$A$2:$A$1048576,0))</f>
        <v>#N/A</v>
      </c>
      <c r="W2220" s="6" t="str">
        <f t="shared" si="71"/>
        <v>颠茄磺苄啶片(泻利停)12片</v>
      </c>
      <c r="X2220" s="6" t="s">
        <v>2904</v>
      </c>
    </row>
    <row r="2221" spans="1:24" x14ac:dyDescent="0.15">
      <c r="A2221" s="7" t="str">
        <f t="shared" si="72"/>
        <v>201806</v>
      </c>
      <c r="C2221" s="6">
        <f>INDEX(工厂基础数据!$A$2:$A$1024,MATCH(X2221,工厂基础数据!$D$2:$D$1024,0))</f>
        <v>0</v>
      </c>
      <c r="E2221" s="6" t="str">
        <f>INDEX(工厂基础数据!$B$2:$B$1024,MATCH(X2221,工厂基础数据!$D$2:$D$1024,0))</f>
        <v>济南广林医药有限公司</v>
      </c>
      <c r="F2221" s="6" t="e">
        <f>INDEX(商业2转码!$B$2:$B$10000,MATCH(E2221,商业2转码!$A$2:$A$10000,0))</f>
        <v>#N/A</v>
      </c>
      <c r="G2221" s="6">
        <f>INDEX(品种2编码!$A$2:$A$1048576,MATCH(W2221,品种2编码!$D$2:$D$1048576,0))</f>
        <v>0</v>
      </c>
      <c r="H2221" s="6" t="s">
        <v>3608</v>
      </c>
      <c r="I2221" s="6" t="s">
        <v>381</v>
      </c>
      <c r="L2221" s="6" t="s">
        <v>3539</v>
      </c>
      <c r="M2221" s="6" t="e">
        <f>INDEX(医院2县区2人!$B$2:$B$1048576,MATCH(L2221,医院2县区2人!$A$2:$A$1048576,0))</f>
        <v>#N/A</v>
      </c>
      <c r="N2221" s="6" t="e">
        <f>INDEX(医院2县区2人!$C$2:$C$1048576,MATCH(L2221,医院2县区2人!$A$2:$A$1048576,0))</f>
        <v>#N/A</v>
      </c>
      <c r="P2221" s="7">
        <v>43255</v>
      </c>
      <c r="Q2221" s="6">
        <v>50</v>
      </c>
      <c r="S2221" s="6">
        <v>161103</v>
      </c>
      <c r="T2221" s="6" t="e">
        <f>INDEX(医院2县区2人!$D$2:$D$1048576,MATCH(L2221,医院2县区2人!$A$2:$A$1048576,0))</f>
        <v>#N/A</v>
      </c>
      <c r="W2221" s="6" t="str">
        <f t="shared" si="71"/>
        <v>颠茄磺苄啶片(泻利停)12片</v>
      </c>
      <c r="X2221" s="6" t="s">
        <v>2904</v>
      </c>
    </row>
    <row r="2222" spans="1:24" x14ac:dyDescent="0.15">
      <c r="A2222" s="7" t="str">
        <f t="shared" si="72"/>
        <v>201806</v>
      </c>
      <c r="C2222" s="6">
        <f>INDEX(工厂基础数据!$A$2:$A$1024,MATCH(X2222,工厂基础数据!$D$2:$D$1024,0))</f>
        <v>0</v>
      </c>
      <c r="E2222" s="6" t="str">
        <f>INDEX(工厂基础数据!$B$2:$B$1024,MATCH(X2222,工厂基础数据!$D$2:$D$1024,0))</f>
        <v>济南广林医药有限公司</v>
      </c>
      <c r="F2222" s="6" t="e">
        <f>INDEX(商业2转码!$B$2:$B$10000,MATCH(E2222,商业2转码!$A$2:$A$10000,0))</f>
        <v>#N/A</v>
      </c>
      <c r="G2222" s="6">
        <f>INDEX(品种2编码!$A$2:$A$1048576,MATCH(W2222,品种2编码!$D$2:$D$1048576,0))</f>
        <v>0</v>
      </c>
      <c r="H2222" s="6" t="s">
        <v>3608</v>
      </c>
      <c r="I2222" s="6" t="s">
        <v>381</v>
      </c>
      <c r="L2222" s="6" t="s">
        <v>3526</v>
      </c>
      <c r="M2222" s="6" t="e">
        <f>INDEX(医院2县区2人!$B$2:$B$1048576,MATCH(L2222,医院2县区2人!$A$2:$A$1048576,0))</f>
        <v>#N/A</v>
      </c>
      <c r="N2222" s="6" t="e">
        <f>INDEX(医院2县区2人!$C$2:$C$1048576,MATCH(L2222,医院2县区2人!$A$2:$A$1048576,0))</f>
        <v>#N/A</v>
      </c>
      <c r="P2222" s="7">
        <v>43255</v>
      </c>
      <c r="Q2222" s="6">
        <v>100</v>
      </c>
      <c r="S2222" s="6">
        <v>161103</v>
      </c>
      <c r="T2222" s="6" t="e">
        <f>INDEX(医院2县区2人!$D$2:$D$1048576,MATCH(L2222,医院2县区2人!$A$2:$A$1048576,0))</f>
        <v>#N/A</v>
      </c>
      <c r="W2222" s="6" t="str">
        <f t="shared" si="71"/>
        <v>颠茄磺苄啶片(泻利停)12片</v>
      </c>
      <c r="X2222" s="6" t="s">
        <v>2904</v>
      </c>
    </row>
    <row r="2223" spans="1:24" x14ac:dyDescent="0.15">
      <c r="A2223" s="7" t="str">
        <f t="shared" si="72"/>
        <v>201806</v>
      </c>
      <c r="C2223" s="6">
        <f>INDEX(工厂基础数据!$A$2:$A$1024,MATCH(X2223,工厂基础数据!$D$2:$D$1024,0))</f>
        <v>0</v>
      </c>
      <c r="E2223" s="6" t="str">
        <f>INDEX(工厂基础数据!$B$2:$B$1024,MATCH(X2223,工厂基础数据!$D$2:$D$1024,0))</f>
        <v>济南广林医药有限公司</v>
      </c>
      <c r="F2223" s="6" t="e">
        <f>INDEX(商业2转码!$B$2:$B$10000,MATCH(E2223,商业2转码!$A$2:$A$10000,0))</f>
        <v>#N/A</v>
      </c>
      <c r="G2223" s="6">
        <f>INDEX(品种2编码!$A$2:$A$1048576,MATCH(W2223,品种2编码!$D$2:$D$1048576,0))</f>
        <v>0</v>
      </c>
      <c r="H2223" s="6" t="s">
        <v>3608</v>
      </c>
      <c r="I2223" s="6" t="s">
        <v>381</v>
      </c>
      <c r="L2223" s="6" t="s">
        <v>3540</v>
      </c>
      <c r="M2223" s="6" t="e">
        <f>INDEX(医院2县区2人!$B$2:$B$1048576,MATCH(L2223,医院2县区2人!$A$2:$A$1048576,0))</f>
        <v>#N/A</v>
      </c>
      <c r="N2223" s="6" t="e">
        <f>INDEX(医院2县区2人!$C$2:$C$1048576,MATCH(L2223,医院2县区2人!$A$2:$A$1048576,0))</f>
        <v>#N/A</v>
      </c>
      <c r="P2223" s="7">
        <v>43255</v>
      </c>
      <c r="Q2223" s="6">
        <v>10</v>
      </c>
      <c r="S2223" s="6">
        <v>161103</v>
      </c>
      <c r="T2223" s="6" t="e">
        <f>INDEX(医院2县区2人!$D$2:$D$1048576,MATCH(L2223,医院2县区2人!$A$2:$A$1048576,0))</f>
        <v>#N/A</v>
      </c>
      <c r="W2223" s="6" t="str">
        <f t="shared" si="71"/>
        <v>颠茄磺苄啶片(泻利停)12片</v>
      </c>
      <c r="X2223" s="6" t="s">
        <v>2904</v>
      </c>
    </row>
    <row r="2224" spans="1:24" x14ac:dyDescent="0.15">
      <c r="A2224" s="7" t="str">
        <f t="shared" si="72"/>
        <v>201806</v>
      </c>
      <c r="C2224" s="6">
        <f>INDEX(工厂基础数据!$A$2:$A$1024,MATCH(X2224,工厂基础数据!$D$2:$D$1024,0))</f>
        <v>0</v>
      </c>
      <c r="E2224" s="6" t="str">
        <f>INDEX(工厂基础数据!$B$2:$B$1024,MATCH(X2224,工厂基础数据!$D$2:$D$1024,0))</f>
        <v>济南广林医药有限公司</v>
      </c>
      <c r="F2224" s="6" t="e">
        <f>INDEX(商业2转码!$B$2:$B$10000,MATCH(E2224,商业2转码!$A$2:$A$10000,0))</f>
        <v>#N/A</v>
      </c>
      <c r="G2224" s="6">
        <f>INDEX(品种2编码!$A$2:$A$1048576,MATCH(W2224,品种2编码!$D$2:$D$1048576,0))</f>
        <v>0</v>
      </c>
      <c r="H2224" s="6" t="s">
        <v>3608</v>
      </c>
      <c r="I2224" s="6" t="s">
        <v>381</v>
      </c>
      <c r="L2224" s="6" t="s">
        <v>3541</v>
      </c>
      <c r="M2224" s="6" t="e">
        <f>INDEX(医院2县区2人!$B$2:$B$1048576,MATCH(L2224,医院2县区2人!$A$2:$A$1048576,0))</f>
        <v>#N/A</v>
      </c>
      <c r="N2224" s="6" t="e">
        <f>INDEX(医院2县区2人!$C$2:$C$1048576,MATCH(L2224,医院2县区2人!$A$2:$A$1048576,0))</f>
        <v>#N/A</v>
      </c>
      <c r="P2224" s="7">
        <v>43256</v>
      </c>
      <c r="Q2224" s="6">
        <v>10</v>
      </c>
      <c r="S2224" s="6">
        <v>161103</v>
      </c>
      <c r="T2224" s="6" t="e">
        <f>INDEX(医院2县区2人!$D$2:$D$1048576,MATCH(L2224,医院2县区2人!$A$2:$A$1048576,0))</f>
        <v>#N/A</v>
      </c>
      <c r="W2224" s="6" t="str">
        <f t="shared" si="71"/>
        <v>颠茄磺苄啶片(泻利停)12片</v>
      </c>
      <c r="X2224" s="6" t="s">
        <v>2904</v>
      </c>
    </row>
    <row r="2225" spans="1:24" x14ac:dyDescent="0.15">
      <c r="A2225" s="7" t="str">
        <f t="shared" si="72"/>
        <v>201806</v>
      </c>
      <c r="C2225" s="6">
        <f>INDEX(工厂基础数据!$A$2:$A$1024,MATCH(X2225,工厂基础数据!$D$2:$D$1024,0))</f>
        <v>0</v>
      </c>
      <c r="E2225" s="6" t="str">
        <f>INDEX(工厂基础数据!$B$2:$B$1024,MATCH(X2225,工厂基础数据!$D$2:$D$1024,0))</f>
        <v>济南广林医药有限公司</v>
      </c>
      <c r="F2225" s="6" t="e">
        <f>INDEX(商业2转码!$B$2:$B$10000,MATCH(E2225,商业2转码!$A$2:$A$10000,0))</f>
        <v>#N/A</v>
      </c>
      <c r="G2225" s="6">
        <f>INDEX(品种2编码!$A$2:$A$1048576,MATCH(W2225,品种2编码!$D$2:$D$1048576,0))</f>
        <v>0</v>
      </c>
      <c r="H2225" s="6" t="s">
        <v>3608</v>
      </c>
      <c r="I2225" s="6" t="s">
        <v>381</v>
      </c>
      <c r="L2225" s="6" t="s">
        <v>3529</v>
      </c>
      <c r="M2225" s="6" t="e">
        <f>INDEX(医院2县区2人!$B$2:$B$1048576,MATCH(L2225,医院2县区2人!$A$2:$A$1048576,0))</f>
        <v>#N/A</v>
      </c>
      <c r="N2225" s="6" t="e">
        <f>INDEX(医院2县区2人!$C$2:$C$1048576,MATCH(L2225,医院2县区2人!$A$2:$A$1048576,0))</f>
        <v>#N/A</v>
      </c>
      <c r="P2225" s="7">
        <v>43256</v>
      </c>
      <c r="Q2225" s="6">
        <v>20</v>
      </c>
      <c r="S2225" s="6">
        <v>161103</v>
      </c>
      <c r="T2225" s="6" t="e">
        <f>INDEX(医院2县区2人!$D$2:$D$1048576,MATCH(L2225,医院2县区2人!$A$2:$A$1048576,0))</f>
        <v>#N/A</v>
      </c>
      <c r="W2225" s="6" t="str">
        <f t="shared" si="71"/>
        <v>颠茄磺苄啶片(泻利停)12片</v>
      </c>
      <c r="X2225" s="6" t="s">
        <v>2904</v>
      </c>
    </row>
    <row r="2226" spans="1:24" x14ac:dyDescent="0.15">
      <c r="A2226" s="7" t="str">
        <f t="shared" si="72"/>
        <v>201806</v>
      </c>
      <c r="C2226" s="6">
        <f>INDEX(工厂基础数据!$A$2:$A$1024,MATCH(X2226,工厂基础数据!$D$2:$D$1024,0))</f>
        <v>0</v>
      </c>
      <c r="E2226" s="6" t="str">
        <f>INDEX(工厂基础数据!$B$2:$B$1024,MATCH(X2226,工厂基础数据!$D$2:$D$1024,0))</f>
        <v>济南广林医药有限公司</v>
      </c>
      <c r="F2226" s="6" t="e">
        <f>INDEX(商业2转码!$B$2:$B$10000,MATCH(E2226,商业2转码!$A$2:$A$10000,0))</f>
        <v>#N/A</v>
      </c>
      <c r="G2226" s="6">
        <f>INDEX(品种2编码!$A$2:$A$1048576,MATCH(W2226,品种2编码!$D$2:$D$1048576,0))</f>
        <v>0</v>
      </c>
      <c r="H2226" s="6" t="s">
        <v>3608</v>
      </c>
      <c r="I2226" s="6" t="s">
        <v>381</v>
      </c>
      <c r="L2226" s="6" t="s">
        <v>3535</v>
      </c>
      <c r="M2226" s="6" t="e">
        <f>INDEX(医院2县区2人!$B$2:$B$1048576,MATCH(L2226,医院2县区2人!$A$2:$A$1048576,0))</f>
        <v>#N/A</v>
      </c>
      <c r="N2226" s="6" t="e">
        <f>INDEX(医院2县区2人!$C$2:$C$1048576,MATCH(L2226,医院2县区2人!$A$2:$A$1048576,0))</f>
        <v>#N/A</v>
      </c>
      <c r="P2226" s="7">
        <v>43256</v>
      </c>
      <c r="Q2226" s="6">
        <v>10</v>
      </c>
      <c r="S2226" s="6">
        <v>161103</v>
      </c>
      <c r="T2226" s="6" t="e">
        <f>INDEX(医院2县区2人!$D$2:$D$1048576,MATCH(L2226,医院2县区2人!$A$2:$A$1048576,0))</f>
        <v>#N/A</v>
      </c>
      <c r="W2226" s="6" t="str">
        <f t="shared" si="71"/>
        <v>颠茄磺苄啶片(泻利停)12片</v>
      </c>
      <c r="X2226" s="6" t="s">
        <v>2904</v>
      </c>
    </row>
    <row r="2227" spans="1:24" x14ac:dyDescent="0.15">
      <c r="A2227" s="7" t="str">
        <f t="shared" si="72"/>
        <v>201806</v>
      </c>
      <c r="C2227" s="6">
        <f>INDEX(工厂基础数据!$A$2:$A$1024,MATCH(X2227,工厂基础数据!$D$2:$D$1024,0))</f>
        <v>0</v>
      </c>
      <c r="E2227" s="6" t="str">
        <f>INDEX(工厂基础数据!$B$2:$B$1024,MATCH(X2227,工厂基础数据!$D$2:$D$1024,0))</f>
        <v>济南广林医药有限公司</v>
      </c>
      <c r="F2227" s="6" t="e">
        <f>INDEX(商业2转码!$B$2:$B$10000,MATCH(E2227,商业2转码!$A$2:$A$10000,0))</f>
        <v>#N/A</v>
      </c>
      <c r="G2227" s="6">
        <f>INDEX(品种2编码!$A$2:$A$1048576,MATCH(W2227,品种2编码!$D$2:$D$1048576,0))</f>
        <v>0</v>
      </c>
      <c r="H2227" s="6" t="s">
        <v>3608</v>
      </c>
      <c r="I2227" s="6" t="s">
        <v>381</v>
      </c>
      <c r="L2227" s="6" t="s">
        <v>3539</v>
      </c>
      <c r="M2227" s="6" t="e">
        <f>INDEX(医院2县区2人!$B$2:$B$1048576,MATCH(L2227,医院2县区2人!$A$2:$A$1048576,0))</f>
        <v>#N/A</v>
      </c>
      <c r="N2227" s="6" t="e">
        <f>INDEX(医院2县区2人!$C$2:$C$1048576,MATCH(L2227,医院2县区2人!$A$2:$A$1048576,0))</f>
        <v>#N/A</v>
      </c>
      <c r="P2227" s="7">
        <v>43257</v>
      </c>
      <c r="Q2227" s="6">
        <v>50</v>
      </c>
      <c r="S2227" s="6">
        <v>161103</v>
      </c>
      <c r="T2227" s="6" t="e">
        <f>INDEX(医院2县区2人!$D$2:$D$1048576,MATCH(L2227,医院2县区2人!$A$2:$A$1048576,0))</f>
        <v>#N/A</v>
      </c>
      <c r="W2227" s="6" t="str">
        <f t="shared" si="71"/>
        <v>颠茄磺苄啶片(泻利停)12片</v>
      </c>
      <c r="X2227" s="6" t="s">
        <v>2904</v>
      </c>
    </row>
    <row r="2228" spans="1:24" x14ac:dyDescent="0.15">
      <c r="A2228" s="7" t="str">
        <f t="shared" si="72"/>
        <v>201806</v>
      </c>
      <c r="C2228" s="6">
        <f>INDEX(工厂基础数据!$A$2:$A$1024,MATCH(X2228,工厂基础数据!$D$2:$D$1024,0))</f>
        <v>0</v>
      </c>
      <c r="E2228" s="6" t="str">
        <f>INDEX(工厂基础数据!$B$2:$B$1024,MATCH(X2228,工厂基础数据!$D$2:$D$1024,0))</f>
        <v>济南广林医药有限公司</v>
      </c>
      <c r="F2228" s="6" t="e">
        <f>INDEX(商业2转码!$B$2:$B$10000,MATCH(E2228,商业2转码!$A$2:$A$10000,0))</f>
        <v>#N/A</v>
      </c>
      <c r="G2228" s="6">
        <f>INDEX(品种2编码!$A$2:$A$1048576,MATCH(W2228,品种2编码!$D$2:$D$1048576,0))</f>
        <v>0</v>
      </c>
      <c r="H2228" s="6" t="s">
        <v>3608</v>
      </c>
      <c r="I2228" s="6" t="s">
        <v>381</v>
      </c>
      <c r="L2228" s="6" t="s">
        <v>3533</v>
      </c>
      <c r="M2228" s="6" t="e">
        <f>INDEX(医院2县区2人!$B$2:$B$1048576,MATCH(L2228,医院2县区2人!$A$2:$A$1048576,0))</f>
        <v>#N/A</v>
      </c>
      <c r="N2228" s="6" t="e">
        <f>INDEX(医院2县区2人!$C$2:$C$1048576,MATCH(L2228,医院2县区2人!$A$2:$A$1048576,0))</f>
        <v>#N/A</v>
      </c>
      <c r="P2228" s="7">
        <v>43257</v>
      </c>
      <c r="Q2228" s="6">
        <v>20</v>
      </c>
      <c r="S2228" s="6">
        <v>161103</v>
      </c>
      <c r="T2228" s="6" t="e">
        <f>INDEX(医院2县区2人!$D$2:$D$1048576,MATCH(L2228,医院2县区2人!$A$2:$A$1048576,0))</f>
        <v>#N/A</v>
      </c>
      <c r="W2228" s="6" t="str">
        <f t="shared" si="71"/>
        <v>颠茄磺苄啶片(泻利停)12片</v>
      </c>
      <c r="X2228" s="6" t="s">
        <v>2904</v>
      </c>
    </row>
    <row r="2229" spans="1:24" x14ac:dyDescent="0.15">
      <c r="A2229" s="7" t="str">
        <f t="shared" si="72"/>
        <v>201806</v>
      </c>
      <c r="C2229" s="6">
        <f>INDEX(工厂基础数据!$A$2:$A$1024,MATCH(X2229,工厂基础数据!$D$2:$D$1024,0))</f>
        <v>0</v>
      </c>
      <c r="E2229" s="6" t="str">
        <f>INDEX(工厂基础数据!$B$2:$B$1024,MATCH(X2229,工厂基础数据!$D$2:$D$1024,0))</f>
        <v>济南广林医药有限公司</v>
      </c>
      <c r="F2229" s="6" t="e">
        <f>INDEX(商业2转码!$B$2:$B$10000,MATCH(E2229,商业2转码!$A$2:$A$10000,0))</f>
        <v>#N/A</v>
      </c>
      <c r="G2229" s="6">
        <f>INDEX(品种2编码!$A$2:$A$1048576,MATCH(W2229,品种2编码!$D$2:$D$1048576,0))</f>
        <v>0</v>
      </c>
      <c r="H2229" s="6" t="s">
        <v>3608</v>
      </c>
      <c r="I2229" s="6" t="s">
        <v>381</v>
      </c>
      <c r="L2229" s="6" t="s">
        <v>3534</v>
      </c>
      <c r="M2229" s="6" t="e">
        <f>INDEX(医院2县区2人!$B$2:$B$1048576,MATCH(L2229,医院2县区2人!$A$2:$A$1048576,0))</f>
        <v>#N/A</v>
      </c>
      <c r="N2229" s="6" t="e">
        <f>INDEX(医院2县区2人!$C$2:$C$1048576,MATCH(L2229,医院2县区2人!$A$2:$A$1048576,0))</f>
        <v>#N/A</v>
      </c>
      <c r="P2229" s="7">
        <v>43257</v>
      </c>
      <c r="Q2229" s="6">
        <v>20</v>
      </c>
      <c r="S2229" s="6">
        <v>161103</v>
      </c>
      <c r="T2229" s="6" t="e">
        <f>INDEX(医院2县区2人!$D$2:$D$1048576,MATCH(L2229,医院2县区2人!$A$2:$A$1048576,0))</f>
        <v>#N/A</v>
      </c>
      <c r="W2229" s="6" t="str">
        <f t="shared" si="71"/>
        <v>颠茄磺苄啶片(泻利停)12片</v>
      </c>
      <c r="X2229" s="6" t="s">
        <v>2904</v>
      </c>
    </row>
    <row r="2230" spans="1:24" x14ac:dyDescent="0.15">
      <c r="A2230" s="7" t="str">
        <f t="shared" si="72"/>
        <v>201806</v>
      </c>
      <c r="C2230" s="6">
        <f>INDEX(工厂基础数据!$A$2:$A$1024,MATCH(X2230,工厂基础数据!$D$2:$D$1024,0))</f>
        <v>0</v>
      </c>
      <c r="E2230" s="6" t="str">
        <f>INDEX(工厂基础数据!$B$2:$B$1024,MATCH(X2230,工厂基础数据!$D$2:$D$1024,0))</f>
        <v>济南广林医药有限公司</v>
      </c>
      <c r="F2230" s="6" t="e">
        <f>INDEX(商业2转码!$B$2:$B$10000,MATCH(E2230,商业2转码!$A$2:$A$10000,0))</f>
        <v>#N/A</v>
      </c>
      <c r="G2230" s="6">
        <f>INDEX(品种2编码!$A$2:$A$1048576,MATCH(W2230,品种2编码!$D$2:$D$1048576,0))</f>
        <v>0</v>
      </c>
      <c r="H2230" s="6" t="s">
        <v>3608</v>
      </c>
      <c r="I2230" s="6" t="s">
        <v>381</v>
      </c>
      <c r="L2230" s="6" t="s">
        <v>3535</v>
      </c>
      <c r="M2230" s="6" t="e">
        <f>INDEX(医院2县区2人!$B$2:$B$1048576,MATCH(L2230,医院2县区2人!$A$2:$A$1048576,0))</f>
        <v>#N/A</v>
      </c>
      <c r="N2230" s="6" t="e">
        <f>INDEX(医院2县区2人!$C$2:$C$1048576,MATCH(L2230,医院2县区2人!$A$2:$A$1048576,0))</f>
        <v>#N/A</v>
      </c>
      <c r="P2230" s="7">
        <v>43257</v>
      </c>
      <c r="Q2230" s="6">
        <v>6</v>
      </c>
      <c r="S2230" s="6">
        <v>161103</v>
      </c>
      <c r="T2230" s="6" t="e">
        <f>INDEX(医院2县区2人!$D$2:$D$1048576,MATCH(L2230,医院2县区2人!$A$2:$A$1048576,0))</f>
        <v>#N/A</v>
      </c>
      <c r="W2230" s="6" t="str">
        <f t="shared" si="71"/>
        <v>颠茄磺苄啶片(泻利停)12片</v>
      </c>
      <c r="X2230" s="6" t="s">
        <v>2904</v>
      </c>
    </row>
    <row r="2231" spans="1:24" x14ac:dyDescent="0.15">
      <c r="A2231" s="7" t="str">
        <f t="shared" si="72"/>
        <v>201806</v>
      </c>
      <c r="C2231" s="6">
        <f>INDEX(工厂基础数据!$A$2:$A$1024,MATCH(X2231,工厂基础数据!$D$2:$D$1024,0))</f>
        <v>0</v>
      </c>
      <c r="E2231" s="6" t="str">
        <f>INDEX(工厂基础数据!$B$2:$B$1024,MATCH(X2231,工厂基础数据!$D$2:$D$1024,0))</f>
        <v>济南广林医药有限公司</v>
      </c>
      <c r="F2231" s="6" t="e">
        <f>INDEX(商业2转码!$B$2:$B$10000,MATCH(E2231,商业2转码!$A$2:$A$10000,0))</f>
        <v>#N/A</v>
      </c>
      <c r="G2231" s="6">
        <f>INDEX(品种2编码!$A$2:$A$1048576,MATCH(W2231,品种2编码!$D$2:$D$1048576,0))</f>
        <v>0</v>
      </c>
      <c r="H2231" s="6" t="s">
        <v>3608</v>
      </c>
      <c r="I2231" s="6" t="s">
        <v>381</v>
      </c>
      <c r="L2231" s="6" t="s">
        <v>3541</v>
      </c>
      <c r="M2231" s="6" t="e">
        <f>INDEX(医院2县区2人!$B$2:$B$1048576,MATCH(L2231,医院2县区2人!$A$2:$A$1048576,0))</f>
        <v>#N/A</v>
      </c>
      <c r="N2231" s="6" t="e">
        <f>INDEX(医院2县区2人!$C$2:$C$1048576,MATCH(L2231,医院2县区2人!$A$2:$A$1048576,0))</f>
        <v>#N/A</v>
      </c>
      <c r="P2231" s="7">
        <v>43258</v>
      </c>
      <c r="Q2231" s="6">
        <v>10</v>
      </c>
      <c r="S2231" s="6">
        <v>161103</v>
      </c>
      <c r="T2231" s="6" t="e">
        <f>INDEX(医院2县区2人!$D$2:$D$1048576,MATCH(L2231,医院2县区2人!$A$2:$A$1048576,0))</f>
        <v>#N/A</v>
      </c>
      <c r="W2231" s="6" t="str">
        <f t="shared" si="71"/>
        <v>颠茄磺苄啶片(泻利停)12片</v>
      </c>
      <c r="X2231" s="6" t="s">
        <v>2904</v>
      </c>
    </row>
    <row r="2232" spans="1:24" x14ac:dyDescent="0.15">
      <c r="A2232" s="7" t="str">
        <f t="shared" si="72"/>
        <v>201806</v>
      </c>
      <c r="C2232" s="6">
        <f>INDEX(工厂基础数据!$A$2:$A$1024,MATCH(X2232,工厂基础数据!$D$2:$D$1024,0))</f>
        <v>0</v>
      </c>
      <c r="E2232" s="6" t="str">
        <f>INDEX(工厂基础数据!$B$2:$B$1024,MATCH(X2232,工厂基础数据!$D$2:$D$1024,0))</f>
        <v>济南广林医药有限公司</v>
      </c>
      <c r="F2232" s="6" t="e">
        <f>INDEX(商业2转码!$B$2:$B$10000,MATCH(E2232,商业2转码!$A$2:$A$10000,0))</f>
        <v>#N/A</v>
      </c>
      <c r="G2232" s="6">
        <f>INDEX(品种2编码!$A$2:$A$1048576,MATCH(W2232,品种2编码!$D$2:$D$1048576,0))</f>
        <v>0</v>
      </c>
      <c r="H2232" s="6" t="s">
        <v>3608</v>
      </c>
      <c r="I2232" s="6" t="s">
        <v>381</v>
      </c>
      <c r="L2232" s="6" t="s">
        <v>3542</v>
      </c>
      <c r="M2232" s="6" t="e">
        <f>INDEX(医院2县区2人!$B$2:$B$1048576,MATCH(L2232,医院2县区2人!$A$2:$A$1048576,0))</f>
        <v>#N/A</v>
      </c>
      <c r="N2232" s="6" t="e">
        <f>INDEX(医院2县区2人!$C$2:$C$1048576,MATCH(L2232,医院2县区2人!$A$2:$A$1048576,0))</f>
        <v>#N/A</v>
      </c>
      <c r="P2232" s="7">
        <v>43258</v>
      </c>
      <c r="Q2232" s="6">
        <v>5</v>
      </c>
      <c r="S2232" s="6">
        <v>161103</v>
      </c>
      <c r="T2232" s="6" t="e">
        <f>INDEX(医院2县区2人!$D$2:$D$1048576,MATCH(L2232,医院2县区2人!$A$2:$A$1048576,0))</f>
        <v>#N/A</v>
      </c>
      <c r="W2232" s="6" t="str">
        <f t="shared" si="71"/>
        <v>颠茄磺苄啶片(泻利停)12片</v>
      </c>
      <c r="X2232" s="6" t="s">
        <v>2904</v>
      </c>
    </row>
    <row r="2233" spans="1:24" x14ac:dyDescent="0.15">
      <c r="A2233" s="7" t="str">
        <f t="shared" si="72"/>
        <v>201806</v>
      </c>
      <c r="C2233" s="6">
        <f>INDEX(工厂基础数据!$A$2:$A$1024,MATCH(X2233,工厂基础数据!$D$2:$D$1024,0))</f>
        <v>0</v>
      </c>
      <c r="E2233" s="6" t="str">
        <f>INDEX(工厂基础数据!$B$2:$B$1024,MATCH(X2233,工厂基础数据!$D$2:$D$1024,0))</f>
        <v>济南广林医药有限公司</v>
      </c>
      <c r="F2233" s="6" t="e">
        <f>INDEX(商业2转码!$B$2:$B$10000,MATCH(E2233,商业2转码!$A$2:$A$10000,0))</f>
        <v>#N/A</v>
      </c>
      <c r="G2233" s="6">
        <f>INDEX(品种2编码!$A$2:$A$1048576,MATCH(W2233,品种2编码!$D$2:$D$1048576,0))</f>
        <v>0</v>
      </c>
      <c r="H2233" s="6" t="s">
        <v>3608</v>
      </c>
      <c r="I2233" s="6" t="s">
        <v>381</v>
      </c>
      <c r="L2233" s="6" t="s">
        <v>3524</v>
      </c>
      <c r="M2233" s="6" t="e">
        <f>INDEX(医院2县区2人!$B$2:$B$1048576,MATCH(L2233,医院2县区2人!$A$2:$A$1048576,0))</f>
        <v>#N/A</v>
      </c>
      <c r="N2233" s="6" t="e">
        <f>INDEX(医院2县区2人!$C$2:$C$1048576,MATCH(L2233,医院2县区2人!$A$2:$A$1048576,0))</f>
        <v>#N/A</v>
      </c>
      <c r="P2233" s="7">
        <v>43258</v>
      </c>
      <c r="Q2233" s="6">
        <v>10</v>
      </c>
      <c r="S2233" s="6">
        <v>161103</v>
      </c>
      <c r="T2233" s="6" t="e">
        <f>INDEX(医院2县区2人!$D$2:$D$1048576,MATCH(L2233,医院2县区2人!$A$2:$A$1048576,0))</f>
        <v>#N/A</v>
      </c>
      <c r="W2233" s="6" t="str">
        <f t="shared" si="71"/>
        <v>颠茄磺苄啶片(泻利停)12片</v>
      </c>
      <c r="X2233" s="6" t="s">
        <v>2904</v>
      </c>
    </row>
    <row r="2234" spans="1:24" x14ac:dyDescent="0.15">
      <c r="A2234" s="7" t="str">
        <f t="shared" si="72"/>
        <v>201806</v>
      </c>
      <c r="C2234" s="6">
        <f>INDEX(工厂基础数据!$A$2:$A$1024,MATCH(X2234,工厂基础数据!$D$2:$D$1024,0))</f>
        <v>0</v>
      </c>
      <c r="E2234" s="6" t="str">
        <f>INDEX(工厂基础数据!$B$2:$B$1024,MATCH(X2234,工厂基础数据!$D$2:$D$1024,0))</f>
        <v>济南广林医药有限公司</v>
      </c>
      <c r="F2234" s="6" t="e">
        <f>INDEX(商业2转码!$B$2:$B$10000,MATCH(E2234,商业2转码!$A$2:$A$10000,0))</f>
        <v>#N/A</v>
      </c>
      <c r="G2234" s="6">
        <f>INDEX(品种2编码!$A$2:$A$1048576,MATCH(W2234,品种2编码!$D$2:$D$1048576,0))</f>
        <v>0</v>
      </c>
      <c r="H2234" s="6" t="s">
        <v>3608</v>
      </c>
      <c r="I2234" s="6" t="s">
        <v>381</v>
      </c>
      <c r="L2234" s="6" t="s">
        <v>3543</v>
      </c>
      <c r="M2234" s="6" t="e">
        <f>INDEX(医院2县区2人!$B$2:$B$1048576,MATCH(L2234,医院2县区2人!$A$2:$A$1048576,0))</f>
        <v>#N/A</v>
      </c>
      <c r="N2234" s="6" t="e">
        <f>INDEX(医院2县区2人!$C$2:$C$1048576,MATCH(L2234,医院2县区2人!$A$2:$A$1048576,0))</f>
        <v>#N/A</v>
      </c>
      <c r="P2234" s="7">
        <v>43258</v>
      </c>
      <c r="Q2234" s="6">
        <v>10</v>
      </c>
      <c r="S2234" s="6">
        <v>161103</v>
      </c>
      <c r="T2234" s="6" t="e">
        <f>INDEX(医院2县区2人!$D$2:$D$1048576,MATCH(L2234,医院2县区2人!$A$2:$A$1048576,0))</f>
        <v>#N/A</v>
      </c>
      <c r="W2234" s="6" t="str">
        <f t="shared" si="71"/>
        <v>颠茄磺苄啶片(泻利停)12片</v>
      </c>
      <c r="X2234" s="6" t="s">
        <v>2904</v>
      </c>
    </row>
    <row r="2235" spans="1:24" x14ac:dyDescent="0.15">
      <c r="A2235" s="7" t="str">
        <f t="shared" si="72"/>
        <v>201806</v>
      </c>
      <c r="C2235" s="6">
        <f>INDEX(工厂基础数据!$A$2:$A$1024,MATCH(X2235,工厂基础数据!$D$2:$D$1024,0))</f>
        <v>0</v>
      </c>
      <c r="E2235" s="6" t="str">
        <f>INDEX(工厂基础数据!$B$2:$B$1024,MATCH(X2235,工厂基础数据!$D$2:$D$1024,0))</f>
        <v>济南广林医药有限公司</v>
      </c>
      <c r="F2235" s="6" t="e">
        <f>INDEX(商业2转码!$B$2:$B$10000,MATCH(E2235,商业2转码!$A$2:$A$10000,0))</f>
        <v>#N/A</v>
      </c>
      <c r="G2235" s="6">
        <f>INDEX(品种2编码!$A$2:$A$1048576,MATCH(W2235,品种2编码!$D$2:$D$1048576,0))</f>
        <v>0</v>
      </c>
      <c r="H2235" s="6" t="s">
        <v>3608</v>
      </c>
      <c r="I2235" s="6" t="s">
        <v>381</v>
      </c>
      <c r="L2235" s="6" t="s">
        <v>3528</v>
      </c>
      <c r="M2235" s="6" t="e">
        <f>INDEX(医院2县区2人!$B$2:$B$1048576,MATCH(L2235,医院2县区2人!$A$2:$A$1048576,0))</f>
        <v>#N/A</v>
      </c>
      <c r="N2235" s="6" t="e">
        <f>INDEX(医院2县区2人!$C$2:$C$1048576,MATCH(L2235,医院2县区2人!$A$2:$A$1048576,0))</f>
        <v>#N/A</v>
      </c>
      <c r="P2235" s="7">
        <v>43258</v>
      </c>
      <c r="Q2235" s="6">
        <v>10</v>
      </c>
      <c r="S2235" s="6">
        <v>161103</v>
      </c>
      <c r="T2235" s="6" t="e">
        <f>INDEX(医院2县区2人!$D$2:$D$1048576,MATCH(L2235,医院2县区2人!$A$2:$A$1048576,0))</f>
        <v>#N/A</v>
      </c>
      <c r="W2235" s="6" t="str">
        <f t="shared" si="71"/>
        <v>颠茄磺苄啶片(泻利停)12片</v>
      </c>
      <c r="X2235" s="6" t="s">
        <v>2904</v>
      </c>
    </row>
    <row r="2236" spans="1:24" x14ac:dyDescent="0.15">
      <c r="A2236" s="7" t="str">
        <f t="shared" si="72"/>
        <v>201806</v>
      </c>
      <c r="C2236" s="6">
        <f>INDEX(工厂基础数据!$A$2:$A$1024,MATCH(X2236,工厂基础数据!$D$2:$D$1024,0))</f>
        <v>0</v>
      </c>
      <c r="E2236" s="6" t="str">
        <f>INDEX(工厂基础数据!$B$2:$B$1024,MATCH(X2236,工厂基础数据!$D$2:$D$1024,0))</f>
        <v>济南广林医药有限公司</v>
      </c>
      <c r="F2236" s="6" t="e">
        <f>INDEX(商业2转码!$B$2:$B$10000,MATCH(E2236,商业2转码!$A$2:$A$10000,0))</f>
        <v>#N/A</v>
      </c>
      <c r="G2236" s="6">
        <f>INDEX(品种2编码!$A$2:$A$1048576,MATCH(W2236,品种2编码!$D$2:$D$1048576,0))</f>
        <v>0</v>
      </c>
      <c r="H2236" s="6" t="s">
        <v>3608</v>
      </c>
      <c r="I2236" s="6" t="s">
        <v>381</v>
      </c>
      <c r="L2236" s="6" t="s">
        <v>3544</v>
      </c>
      <c r="M2236" s="6" t="e">
        <f>INDEX(医院2县区2人!$B$2:$B$1048576,MATCH(L2236,医院2县区2人!$A$2:$A$1048576,0))</f>
        <v>#N/A</v>
      </c>
      <c r="N2236" s="6" t="e">
        <f>INDEX(医院2县区2人!$C$2:$C$1048576,MATCH(L2236,医院2县区2人!$A$2:$A$1048576,0))</f>
        <v>#N/A</v>
      </c>
      <c r="P2236" s="7">
        <v>43258</v>
      </c>
      <c r="Q2236" s="6">
        <v>10</v>
      </c>
      <c r="S2236" s="6">
        <v>161103</v>
      </c>
      <c r="T2236" s="6" t="e">
        <f>INDEX(医院2县区2人!$D$2:$D$1048576,MATCH(L2236,医院2县区2人!$A$2:$A$1048576,0))</f>
        <v>#N/A</v>
      </c>
      <c r="W2236" s="6" t="str">
        <f t="shared" ref="W2236:W2299" si="73">H2236&amp;I2236</f>
        <v>颠茄磺苄啶片(泻利停)12片</v>
      </c>
      <c r="X2236" s="6" t="s">
        <v>2904</v>
      </c>
    </row>
    <row r="2237" spans="1:24" x14ac:dyDescent="0.15">
      <c r="A2237" s="7" t="str">
        <f t="shared" ref="A2237:A2300" si="74">IF(MONTH(P2237)&lt;10,YEAR(P2237)&amp;"0"&amp;MONTH(P2237),YEAR(P2237)&amp;MONTH(P2237))</f>
        <v>201806</v>
      </c>
      <c r="C2237" s="6">
        <f>INDEX(工厂基础数据!$A$2:$A$1024,MATCH(X2237,工厂基础数据!$D$2:$D$1024,0))</f>
        <v>0</v>
      </c>
      <c r="E2237" s="6" t="str">
        <f>INDEX(工厂基础数据!$B$2:$B$1024,MATCH(X2237,工厂基础数据!$D$2:$D$1024,0))</f>
        <v>济南广林医药有限公司</v>
      </c>
      <c r="F2237" s="6" t="e">
        <f>INDEX(商业2转码!$B$2:$B$10000,MATCH(E2237,商业2转码!$A$2:$A$10000,0))</f>
        <v>#N/A</v>
      </c>
      <c r="G2237" s="6">
        <f>INDEX(品种2编码!$A$2:$A$1048576,MATCH(W2237,品种2编码!$D$2:$D$1048576,0))</f>
        <v>0</v>
      </c>
      <c r="H2237" s="6" t="s">
        <v>3608</v>
      </c>
      <c r="I2237" s="6" t="s">
        <v>381</v>
      </c>
      <c r="L2237" s="6" t="s">
        <v>3545</v>
      </c>
      <c r="M2237" s="6" t="e">
        <f>INDEX(医院2县区2人!$B$2:$B$1048576,MATCH(L2237,医院2县区2人!$A$2:$A$1048576,0))</f>
        <v>#N/A</v>
      </c>
      <c r="N2237" s="6" t="e">
        <f>INDEX(医院2县区2人!$C$2:$C$1048576,MATCH(L2237,医院2县区2人!$A$2:$A$1048576,0))</f>
        <v>#N/A</v>
      </c>
      <c r="P2237" s="7">
        <v>43259</v>
      </c>
      <c r="Q2237" s="6">
        <v>5</v>
      </c>
      <c r="S2237" s="6">
        <v>161103</v>
      </c>
      <c r="T2237" s="6" t="e">
        <f>INDEX(医院2县区2人!$D$2:$D$1048576,MATCH(L2237,医院2县区2人!$A$2:$A$1048576,0))</f>
        <v>#N/A</v>
      </c>
      <c r="W2237" s="6" t="str">
        <f t="shared" si="73"/>
        <v>颠茄磺苄啶片(泻利停)12片</v>
      </c>
      <c r="X2237" s="6" t="s">
        <v>2904</v>
      </c>
    </row>
    <row r="2238" spans="1:24" x14ac:dyDescent="0.15">
      <c r="A2238" s="7" t="str">
        <f t="shared" si="74"/>
        <v>201806</v>
      </c>
      <c r="C2238" s="6">
        <f>INDEX(工厂基础数据!$A$2:$A$1024,MATCH(X2238,工厂基础数据!$D$2:$D$1024,0))</f>
        <v>0</v>
      </c>
      <c r="E2238" s="6" t="str">
        <f>INDEX(工厂基础数据!$B$2:$B$1024,MATCH(X2238,工厂基础数据!$D$2:$D$1024,0))</f>
        <v>济南广林医药有限公司</v>
      </c>
      <c r="F2238" s="6" t="e">
        <f>INDEX(商业2转码!$B$2:$B$10000,MATCH(E2238,商业2转码!$A$2:$A$10000,0))</f>
        <v>#N/A</v>
      </c>
      <c r="G2238" s="6">
        <f>INDEX(品种2编码!$A$2:$A$1048576,MATCH(W2238,品种2编码!$D$2:$D$1048576,0))</f>
        <v>0</v>
      </c>
      <c r="H2238" s="6" t="s">
        <v>3608</v>
      </c>
      <c r="I2238" s="6" t="s">
        <v>381</v>
      </c>
      <c r="L2238" s="6" t="s">
        <v>3546</v>
      </c>
      <c r="M2238" s="6" t="e">
        <f>INDEX(医院2县区2人!$B$2:$B$1048576,MATCH(L2238,医院2县区2人!$A$2:$A$1048576,0))</f>
        <v>#N/A</v>
      </c>
      <c r="N2238" s="6" t="e">
        <f>INDEX(医院2县区2人!$C$2:$C$1048576,MATCH(L2238,医院2县区2人!$A$2:$A$1048576,0))</f>
        <v>#N/A</v>
      </c>
      <c r="P2238" s="7">
        <v>43259</v>
      </c>
      <c r="Q2238" s="6">
        <v>10</v>
      </c>
      <c r="S2238" s="6">
        <v>161103</v>
      </c>
      <c r="T2238" s="6" t="e">
        <f>INDEX(医院2县区2人!$D$2:$D$1048576,MATCH(L2238,医院2县区2人!$A$2:$A$1048576,0))</f>
        <v>#N/A</v>
      </c>
      <c r="W2238" s="6" t="str">
        <f t="shared" si="73"/>
        <v>颠茄磺苄啶片(泻利停)12片</v>
      </c>
      <c r="X2238" s="6" t="s">
        <v>2904</v>
      </c>
    </row>
    <row r="2239" spans="1:24" x14ac:dyDescent="0.15">
      <c r="A2239" s="7" t="str">
        <f t="shared" si="74"/>
        <v>201806</v>
      </c>
      <c r="C2239" s="6">
        <f>INDEX(工厂基础数据!$A$2:$A$1024,MATCH(X2239,工厂基础数据!$D$2:$D$1024,0))</f>
        <v>0</v>
      </c>
      <c r="E2239" s="6" t="str">
        <f>INDEX(工厂基础数据!$B$2:$B$1024,MATCH(X2239,工厂基础数据!$D$2:$D$1024,0))</f>
        <v>济南广林医药有限公司</v>
      </c>
      <c r="F2239" s="6" t="e">
        <f>INDEX(商业2转码!$B$2:$B$10000,MATCH(E2239,商业2转码!$A$2:$A$10000,0))</f>
        <v>#N/A</v>
      </c>
      <c r="G2239" s="6">
        <f>INDEX(品种2编码!$A$2:$A$1048576,MATCH(W2239,品种2编码!$D$2:$D$1048576,0))</f>
        <v>0</v>
      </c>
      <c r="H2239" s="6" t="s">
        <v>3608</v>
      </c>
      <c r="I2239" s="6" t="s">
        <v>381</v>
      </c>
      <c r="L2239" s="6" t="s">
        <v>3547</v>
      </c>
      <c r="M2239" s="6" t="e">
        <f>INDEX(医院2县区2人!$B$2:$B$1048576,MATCH(L2239,医院2县区2人!$A$2:$A$1048576,0))</f>
        <v>#N/A</v>
      </c>
      <c r="N2239" s="6" t="e">
        <f>INDEX(医院2县区2人!$C$2:$C$1048576,MATCH(L2239,医院2县区2人!$A$2:$A$1048576,0))</f>
        <v>#N/A</v>
      </c>
      <c r="P2239" s="7">
        <v>43259</v>
      </c>
      <c r="Q2239" s="6">
        <v>50</v>
      </c>
      <c r="S2239" s="6">
        <v>161103</v>
      </c>
      <c r="T2239" s="6" t="e">
        <f>INDEX(医院2县区2人!$D$2:$D$1048576,MATCH(L2239,医院2县区2人!$A$2:$A$1048576,0))</f>
        <v>#N/A</v>
      </c>
      <c r="W2239" s="6" t="str">
        <f t="shared" si="73"/>
        <v>颠茄磺苄啶片(泻利停)12片</v>
      </c>
      <c r="X2239" s="6" t="s">
        <v>2904</v>
      </c>
    </row>
    <row r="2240" spans="1:24" x14ac:dyDescent="0.15">
      <c r="A2240" s="7" t="str">
        <f t="shared" si="74"/>
        <v>201806</v>
      </c>
      <c r="C2240" s="6">
        <f>INDEX(工厂基础数据!$A$2:$A$1024,MATCH(X2240,工厂基础数据!$D$2:$D$1024,0))</f>
        <v>0</v>
      </c>
      <c r="E2240" s="6" t="str">
        <f>INDEX(工厂基础数据!$B$2:$B$1024,MATCH(X2240,工厂基础数据!$D$2:$D$1024,0))</f>
        <v>济南广林医药有限公司</v>
      </c>
      <c r="F2240" s="6" t="e">
        <f>INDEX(商业2转码!$B$2:$B$10000,MATCH(E2240,商业2转码!$A$2:$A$10000,0))</f>
        <v>#N/A</v>
      </c>
      <c r="G2240" s="6">
        <f>INDEX(品种2编码!$A$2:$A$1048576,MATCH(W2240,品种2编码!$D$2:$D$1048576,0))</f>
        <v>0</v>
      </c>
      <c r="H2240" s="6" t="s">
        <v>3608</v>
      </c>
      <c r="I2240" s="6" t="s">
        <v>381</v>
      </c>
      <c r="L2240" s="6" t="s">
        <v>3526</v>
      </c>
      <c r="M2240" s="6" t="e">
        <f>INDEX(医院2县区2人!$B$2:$B$1048576,MATCH(L2240,医院2县区2人!$A$2:$A$1048576,0))</f>
        <v>#N/A</v>
      </c>
      <c r="N2240" s="6" t="e">
        <f>INDEX(医院2县区2人!$C$2:$C$1048576,MATCH(L2240,医院2县区2人!$A$2:$A$1048576,0))</f>
        <v>#N/A</v>
      </c>
      <c r="P2240" s="7">
        <v>43259</v>
      </c>
      <c r="Q2240" s="6">
        <v>100</v>
      </c>
      <c r="S2240" s="6">
        <v>161103</v>
      </c>
      <c r="T2240" s="6" t="e">
        <f>INDEX(医院2县区2人!$D$2:$D$1048576,MATCH(L2240,医院2县区2人!$A$2:$A$1048576,0))</f>
        <v>#N/A</v>
      </c>
      <c r="W2240" s="6" t="str">
        <f t="shared" si="73"/>
        <v>颠茄磺苄啶片(泻利停)12片</v>
      </c>
      <c r="X2240" s="6" t="s">
        <v>2904</v>
      </c>
    </row>
    <row r="2241" spans="1:24" x14ac:dyDescent="0.15">
      <c r="A2241" s="7" t="str">
        <f t="shared" si="74"/>
        <v>201806</v>
      </c>
      <c r="C2241" s="6">
        <f>INDEX(工厂基础数据!$A$2:$A$1024,MATCH(X2241,工厂基础数据!$D$2:$D$1024,0))</f>
        <v>0</v>
      </c>
      <c r="E2241" s="6" t="str">
        <f>INDEX(工厂基础数据!$B$2:$B$1024,MATCH(X2241,工厂基础数据!$D$2:$D$1024,0))</f>
        <v>济南广林医药有限公司</v>
      </c>
      <c r="F2241" s="6" t="e">
        <f>INDEX(商业2转码!$B$2:$B$10000,MATCH(E2241,商业2转码!$A$2:$A$10000,0))</f>
        <v>#N/A</v>
      </c>
      <c r="G2241" s="6">
        <f>INDEX(品种2编码!$A$2:$A$1048576,MATCH(W2241,品种2编码!$D$2:$D$1048576,0))</f>
        <v>0</v>
      </c>
      <c r="H2241" s="6" t="s">
        <v>3608</v>
      </c>
      <c r="I2241" s="6" t="s">
        <v>381</v>
      </c>
      <c r="L2241" s="6" t="s">
        <v>3535</v>
      </c>
      <c r="M2241" s="6" t="e">
        <f>INDEX(医院2县区2人!$B$2:$B$1048576,MATCH(L2241,医院2县区2人!$A$2:$A$1048576,0))</f>
        <v>#N/A</v>
      </c>
      <c r="N2241" s="6" t="e">
        <f>INDEX(医院2县区2人!$C$2:$C$1048576,MATCH(L2241,医院2县区2人!$A$2:$A$1048576,0))</f>
        <v>#N/A</v>
      </c>
      <c r="P2241" s="7">
        <v>43260</v>
      </c>
      <c r="Q2241" s="6">
        <v>10</v>
      </c>
      <c r="S2241" s="6">
        <v>161103</v>
      </c>
      <c r="T2241" s="6" t="e">
        <f>INDEX(医院2县区2人!$D$2:$D$1048576,MATCH(L2241,医院2县区2人!$A$2:$A$1048576,0))</f>
        <v>#N/A</v>
      </c>
      <c r="W2241" s="6" t="str">
        <f t="shared" si="73"/>
        <v>颠茄磺苄啶片(泻利停)12片</v>
      </c>
      <c r="X2241" s="6" t="s">
        <v>2904</v>
      </c>
    </row>
    <row r="2242" spans="1:24" x14ac:dyDescent="0.15">
      <c r="A2242" s="7" t="str">
        <f t="shared" si="74"/>
        <v>201806</v>
      </c>
      <c r="C2242" s="6">
        <f>INDEX(工厂基础数据!$A$2:$A$1024,MATCH(X2242,工厂基础数据!$D$2:$D$1024,0))</f>
        <v>0</v>
      </c>
      <c r="E2242" s="6" t="str">
        <f>INDEX(工厂基础数据!$B$2:$B$1024,MATCH(X2242,工厂基础数据!$D$2:$D$1024,0))</f>
        <v>济南广林医药有限公司</v>
      </c>
      <c r="F2242" s="6" t="e">
        <f>INDEX(商业2转码!$B$2:$B$10000,MATCH(E2242,商业2转码!$A$2:$A$10000,0))</f>
        <v>#N/A</v>
      </c>
      <c r="G2242" s="6">
        <f>INDEX(品种2编码!$A$2:$A$1048576,MATCH(W2242,品种2编码!$D$2:$D$1048576,0))</f>
        <v>0</v>
      </c>
      <c r="H2242" s="6" t="s">
        <v>3608</v>
      </c>
      <c r="I2242" s="6" t="s">
        <v>381</v>
      </c>
      <c r="L2242" s="6" t="s">
        <v>3548</v>
      </c>
      <c r="M2242" s="6" t="e">
        <f>INDEX(医院2县区2人!$B$2:$B$1048576,MATCH(L2242,医院2县区2人!$A$2:$A$1048576,0))</f>
        <v>#N/A</v>
      </c>
      <c r="N2242" s="6" t="e">
        <f>INDEX(医院2县区2人!$C$2:$C$1048576,MATCH(L2242,医院2县区2人!$A$2:$A$1048576,0))</f>
        <v>#N/A</v>
      </c>
      <c r="P2242" s="7">
        <v>43262</v>
      </c>
      <c r="Q2242" s="6">
        <v>20</v>
      </c>
      <c r="S2242" s="6">
        <v>161103</v>
      </c>
      <c r="T2242" s="6" t="e">
        <f>INDEX(医院2县区2人!$D$2:$D$1048576,MATCH(L2242,医院2县区2人!$A$2:$A$1048576,0))</f>
        <v>#N/A</v>
      </c>
      <c r="W2242" s="6" t="str">
        <f t="shared" si="73"/>
        <v>颠茄磺苄啶片(泻利停)12片</v>
      </c>
      <c r="X2242" s="6" t="s">
        <v>2904</v>
      </c>
    </row>
    <row r="2243" spans="1:24" x14ac:dyDescent="0.15">
      <c r="A2243" s="7" t="str">
        <f t="shared" si="74"/>
        <v>201806</v>
      </c>
      <c r="C2243" s="6">
        <f>INDEX(工厂基础数据!$A$2:$A$1024,MATCH(X2243,工厂基础数据!$D$2:$D$1024,0))</f>
        <v>0</v>
      </c>
      <c r="E2243" s="6" t="str">
        <f>INDEX(工厂基础数据!$B$2:$B$1024,MATCH(X2243,工厂基础数据!$D$2:$D$1024,0))</f>
        <v>济南广林医药有限公司</v>
      </c>
      <c r="F2243" s="6" t="e">
        <f>INDEX(商业2转码!$B$2:$B$10000,MATCH(E2243,商业2转码!$A$2:$A$10000,0))</f>
        <v>#N/A</v>
      </c>
      <c r="G2243" s="6">
        <f>INDEX(品种2编码!$A$2:$A$1048576,MATCH(W2243,品种2编码!$D$2:$D$1048576,0))</f>
        <v>0</v>
      </c>
      <c r="H2243" s="6" t="s">
        <v>3608</v>
      </c>
      <c r="I2243" s="6" t="s">
        <v>381</v>
      </c>
      <c r="L2243" s="6" t="s">
        <v>3549</v>
      </c>
      <c r="M2243" s="6" t="e">
        <f>INDEX(医院2县区2人!$B$2:$B$1048576,MATCH(L2243,医院2县区2人!$A$2:$A$1048576,0))</f>
        <v>#N/A</v>
      </c>
      <c r="N2243" s="6" t="e">
        <f>INDEX(医院2县区2人!$C$2:$C$1048576,MATCH(L2243,医院2县区2人!$A$2:$A$1048576,0))</f>
        <v>#N/A</v>
      </c>
      <c r="P2243" s="7">
        <v>43262</v>
      </c>
      <c r="Q2243" s="6">
        <v>5</v>
      </c>
      <c r="S2243" s="6">
        <v>161103</v>
      </c>
      <c r="T2243" s="6" t="e">
        <f>INDEX(医院2县区2人!$D$2:$D$1048576,MATCH(L2243,医院2县区2人!$A$2:$A$1048576,0))</f>
        <v>#N/A</v>
      </c>
      <c r="W2243" s="6" t="str">
        <f t="shared" si="73"/>
        <v>颠茄磺苄啶片(泻利停)12片</v>
      </c>
      <c r="X2243" s="6" t="s">
        <v>2904</v>
      </c>
    </row>
    <row r="2244" spans="1:24" x14ac:dyDescent="0.15">
      <c r="A2244" s="7" t="str">
        <f t="shared" si="74"/>
        <v>201806</v>
      </c>
      <c r="C2244" s="6">
        <f>INDEX(工厂基础数据!$A$2:$A$1024,MATCH(X2244,工厂基础数据!$D$2:$D$1024,0))</f>
        <v>0</v>
      </c>
      <c r="E2244" s="6" t="str">
        <f>INDEX(工厂基础数据!$B$2:$B$1024,MATCH(X2244,工厂基础数据!$D$2:$D$1024,0))</f>
        <v>济南广林医药有限公司</v>
      </c>
      <c r="F2244" s="6" t="e">
        <f>INDEX(商业2转码!$B$2:$B$10000,MATCH(E2244,商业2转码!$A$2:$A$10000,0))</f>
        <v>#N/A</v>
      </c>
      <c r="G2244" s="6">
        <f>INDEX(品种2编码!$A$2:$A$1048576,MATCH(W2244,品种2编码!$D$2:$D$1048576,0))</f>
        <v>0</v>
      </c>
      <c r="H2244" s="6" t="s">
        <v>3608</v>
      </c>
      <c r="I2244" s="6" t="s">
        <v>381</v>
      </c>
      <c r="L2244" s="6" t="s">
        <v>3550</v>
      </c>
      <c r="M2244" s="6" t="e">
        <f>INDEX(医院2县区2人!$B$2:$B$1048576,MATCH(L2244,医院2县区2人!$A$2:$A$1048576,0))</f>
        <v>#N/A</v>
      </c>
      <c r="N2244" s="6" t="e">
        <f>INDEX(医院2县区2人!$C$2:$C$1048576,MATCH(L2244,医院2县区2人!$A$2:$A$1048576,0))</f>
        <v>#N/A</v>
      </c>
      <c r="P2244" s="7">
        <v>43262</v>
      </c>
      <c r="Q2244" s="6">
        <v>30</v>
      </c>
      <c r="S2244" s="6">
        <v>161103</v>
      </c>
      <c r="T2244" s="6" t="e">
        <f>INDEX(医院2县区2人!$D$2:$D$1048576,MATCH(L2244,医院2县区2人!$A$2:$A$1048576,0))</f>
        <v>#N/A</v>
      </c>
      <c r="W2244" s="6" t="str">
        <f t="shared" si="73"/>
        <v>颠茄磺苄啶片(泻利停)12片</v>
      </c>
      <c r="X2244" s="6" t="s">
        <v>2904</v>
      </c>
    </row>
    <row r="2245" spans="1:24" x14ac:dyDescent="0.15">
      <c r="A2245" s="7" t="str">
        <f t="shared" si="74"/>
        <v>201806</v>
      </c>
      <c r="C2245" s="6">
        <f>INDEX(工厂基础数据!$A$2:$A$1024,MATCH(X2245,工厂基础数据!$D$2:$D$1024,0))</f>
        <v>0</v>
      </c>
      <c r="E2245" s="6" t="str">
        <f>INDEX(工厂基础数据!$B$2:$B$1024,MATCH(X2245,工厂基础数据!$D$2:$D$1024,0))</f>
        <v>济南广林医药有限公司</v>
      </c>
      <c r="F2245" s="6" t="e">
        <f>INDEX(商业2转码!$B$2:$B$10000,MATCH(E2245,商业2转码!$A$2:$A$10000,0))</f>
        <v>#N/A</v>
      </c>
      <c r="G2245" s="6">
        <f>INDEX(品种2编码!$A$2:$A$1048576,MATCH(W2245,品种2编码!$D$2:$D$1048576,0))</f>
        <v>0</v>
      </c>
      <c r="H2245" s="6" t="s">
        <v>3608</v>
      </c>
      <c r="I2245" s="6" t="s">
        <v>381</v>
      </c>
      <c r="L2245" s="6" t="s">
        <v>3529</v>
      </c>
      <c r="M2245" s="6" t="e">
        <f>INDEX(医院2县区2人!$B$2:$B$1048576,MATCH(L2245,医院2县区2人!$A$2:$A$1048576,0))</f>
        <v>#N/A</v>
      </c>
      <c r="N2245" s="6" t="e">
        <f>INDEX(医院2县区2人!$C$2:$C$1048576,MATCH(L2245,医院2县区2人!$A$2:$A$1048576,0))</f>
        <v>#N/A</v>
      </c>
      <c r="P2245" s="7">
        <v>43262</v>
      </c>
      <c r="Q2245" s="6">
        <v>10</v>
      </c>
      <c r="S2245" s="6">
        <v>161103</v>
      </c>
      <c r="T2245" s="6" t="e">
        <f>INDEX(医院2县区2人!$D$2:$D$1048576,MATCH(L2245,医院2县区2人!$A$2:$A$1048576,0))</f>
        <v>#N/A</v>
      </c>
      <c r="W2245" s="6" t="str">
        <f t="shared" si="73"/>
        <v>颠茄磺苄啶片(泻利停)12片</v>
      </c>
      <c r="X2245" s="6" t="s">
        <v>2904</v>
      </c>
    </row>
    <row r="2246" spans="1:24" x14ac:dyDescent="0.15">
      <c r="A2246" s="7" t="str">
        <f t="shared" si="74"/>
        <v>201806</v>
      </c>
      <c r="C2246" s="6">
        <f>INDEX(工厂基础数据!$A$2:$A$1024,MATCH(X2246,工厂基础数据!$D$2:$D$1024,0))</f>
        <v>0</v>
      </c>
      <c r="E2246" s="6" t="str">
        <f>INDEX(工厂基础数据!$B$2:$B$1024,MATCH(X2246,工厂基础数据!$D$2:$D$1024,0))</f>
        <v>济南广林医药有限公司</v>
      </c>
      <c r="F2246" s="6" t="e">
        <f>INDEX(商业2转码!$B$2:$B$10000,MATCH(E2246,商业2转码!$A$2:$A$10000,0))</f>
        <v>#N/A</v>
      </c>
      <c r="G2246" s="6">
        <f>INDEX(品种2编码!$A$2:$A$1048576,MATCH(W2246,品种2编码!$D$2:$D$1048576,0))</f>
        <v>0</v>
      </c>
      <c r="H2246" s="6" t="s">
        <v>3608</v>
      </c>
      <c r="I2246" s="6" t="s">
        <v>381</v>
      </c>
      <c r="L2246" s="6" t="s">
        <v>3551</v>
      </c>
      <c r="M2246" s="6" t="e">
        <f>INDEX(医院2县区2人!$B$2:$B$1048576,MATCH(L2246,医院2县区2人!$A$2:$A$1048576,0))</f>
        <v>#N/A</v>
      </c>
      <c r="N2246" s="6" t="e">
        <f>INDEX(医院2县区2人!$C$2:$C$1048576,MATCH(L2246,医院2县区2人!$A$2:$A$1048576,0))</f>
        <v>#N/A</v>
      </c>
      <c r="P2246" s="7">
        <v>43262</v>
      </c>
      <c r="Q2246" s="6">
        <v>10</v>
      </c>
      <c r="S2246" s="6">
        <v>161103</v>
      </c>
      <c r="T2246" s="6" t="e">
        <f>INDEX(医院2县区2人!$D$2:$D$1048576,MATCH(L2246,医院2县区2人!$A$2:$A$1048576,0))</f>
        <v>#N/A</v>
      </c>
      <c r="W2246" s="6" t="str">
        <f t="shared" si="73"/>
        <v>颠茄磺苄啶片(泻利停)12片</v>
      </c>
      <c r="X2246" s="6" t="s">
        <v>2904</v>
      </c>
    </row>
    <row r="2247" spans="1:24" x14ac:dyDescent="0.15">
      <c r="A2247" s="7" t="str">
        <f t="shared" si="74"/>
        <v>201806</v>
      </c>
      <c r="C2247" s="6">
        <f>INDEX(工厂基础数据!$A$2:$A$1024,MATCH(X2247,工厂基础数据!$D$2:$D$1024,0))</f>
        <v>0</v>
      </c>
      <c r="E2247" s="6" t="str">
        <f>INDEX(工厂基础数据!$B$2:$B$1024,MATCH(X2247,工厂基础数据!$D$2:$D$1024,0))</f>
        <v>济南广林医药有限公司</v>
      </c>
      <c r="F2247" s="6" t="e">
        <f>INDEX(商业2转码!$B$2:$B$10000,MATCH(E2247,商业2转码!$A$2:$A$10000,0))</f>
        <v>#N/A</v>
      </c>
      <c r="G2247" s="6">
        <f>INDEX(品种2编码!$A$2:$A$1048576,MATCH(W2247,品种2编码!$D$2:$D$1048576,0))</f>
        <v>0</v>
      </c>
      <c r="H2247" s="6" t="s">
        <v>3608</v>
      </c>
      <c r="I2247" s="6" t="s">
        <v>381</v>
      </c>
      <c r="L2247" s="6" t="s">
        <v>3539</v>
      </c>
      <c r="M2247" s="6" t="e">
        <f>INDEX(医院2县区2人!$B$2:$B$1048576,MATCH(L2247,医院2县区2人!$A$2:$A$1048576,0))</f>
        <v>#N/A</v>
      </c>
      <c r="N2247" s="6" t="e">
        <f>INDEX(医院2县区2人!$C$2:$C$1048576,MATCH(L2247,医院2县区2人!$A$2:$A$1048576,0))</f>
        <v>#N/A</v>
      </c>
      <c r="P2247" s="7">
        <v>43262</v>
      </c>
      <c r="Q2247" s="6">
        <v>10</v>
      </c>
      <c r="S2247" s="6">
        <v>161103</v>
      </c>
      <c r="T2247" s="6" t="e">
        <f>INDEX(医院2县区2人!$D$2:$D$1048576,MATCH(L2247,医院2县区2人!$A$2:$A$1048576,0))</f>
        <v>#N/A</v>
      </c>
      <c r="W2247" s="6" t="str">
        <f t="shared" si="73"/>
        <v>颠茄磺苄啶片(泻利停)12片</v>
      </c>
      <c r="X2247" s="6" t="s">
        <v>2904</v>
      </c>
    </row>
    <row r="2248" spans="1:24" x14ac:dyDescent="0.15">
      <c r="A2248" s="7" t="str">
        <f t="shared" si="74"/>
        <v>201806</v>
      </c>
      <c r="C2248" s="6">
        <f>INDEX(工厂基础数据!$A$2:$A$1024,MATCH(X2248,工厂基础数据!$D$2:$D$1024,0))</f>
        <v>0</v>
      </c>
      <c r="E2248" s="6" t="str">
        <f>INDEX(工厂基础数据!$B$2:$B$1024,MATCH(X2248,工厂基础数据!$D$2:$D$1024,0))</f>
        <v>济南广林医药有限公司</v>
      </c>
      <c r="F2248" s="6" t="e">
        <f>INDEX(商业2转码!$B$2:$B$10000,MATCH(E2248,商业2转码!$A$2:$A$10000,0))</f>
        <v>#N/A</v>
      </c>
      <c r="G2248" s="6">
        <f>INDEX(品种2编码!$A$2:$A$1048576,MATCH(W2248,品种2编码!$D$2:$D$1048576,0))</f>
        <v>0</v>
      </c>
      <c r="H2248" s="6" t="s">
        <v>3608</v>
      </c>
      <c r="I2248" s="6" t="s">
        <v>381</v>
      </c>
      <c r="L2248" s="6" t="s">
        <v>3552</v>
      </c>
      <c r="M2248" s="6" t="e">
        <f>INDEX(医院2县区2人!$B$2:$B$1048576,MATCH(L2248,医院2县区2人!$A$2:$A$1048576,0))</f>
        <v>#N/A</v>
      </c>
      <c r="N2248" s="6" t="e">
        <f>INDEX(医院2县区2人!$C$2:$C$1048576,MATCH(L2248,医院2县区2人!$A$2:$A$1048576,0))</f>
        <v>#N/A</v>
      </c>
      <c r="P2248" s="7">
        <v>43262</v>
      </c>
      <c r="Q2248" s="6">
        <v>10</v>
      </c>
      <c r="S2248" s="6">
        <v>161103</v>
      </c>
      <c r="T2248" s="6" t="e">
        <f>INDEX(医院2县区2人!$D$2:$D$1048576,MATCH(L2248,医院2县区2人!$A$2:$A$1048576,0))</f>
        <v>#N/A</v>
      </c>
      <c r="W2248" s="6" t="str">
        <f t="shared" si="73"/>
        <v>颠茄磺苄啶片(泻利停)12片</v>
      </c>
      <c r="X2248" s="6" t="s">
        <v>2904</v>
      </c>
    </row>
    <row r="2249" spans="1:24" x14ac:dyDescent="0.15">
      <c r="A2249" s="7" t="str">
        <f t="shared" si="74"/>
        <v>201806</v>
      </c>
      <c r="C2249" s="6">
        <f>INDEX(工厂基础数据!$A$2:$A$1024,MATCH(X2249,工厂基础数据!$D$2:$D$1024,0))</f>
        <v>0</v>
      </c>
      <c r="E2249" s="6" t="str">
        <f>INDEX(工厂基础数据!$B$2:$B$1024,MATCH(X2249,工厂基础数据!$D$2:$D$1024,0))</f>
        <v>济南广林医药有限公司</v>
      </c>
      <c r="F2249" s="6" t="e">
        <f>INDEX(商业2转码!$B$2:$B$10000,MATCH(E2249,商业2转码!$A$2:$A$10000,0))</f>
        <v>#N/A</v>
      </c>
      <c r="G2249" s="6">
        <f>INDEX(品种2编码!$A$2:$A$1048576,MATCH(W2249,品种2编码!$D$2:$D$1048576,0))</f>
        <v>0</v>
      </c>
      <c r="H2249" s="6" t="s">
        <v>3608</v>
      </c>
      <c r="I2249" s="6" t="s">
        <v>381</v>
      </c>
      <c r="L2249" s="6" t="s">
        <v>3535</v>
      </c>
      <c r="M2249" s="6" t="e">
        <f>INDEX(医院2县区2人!$B$2:$B$1048576,MATCH(L2249,医院2县区2人!$A$2:$A$1048576,0))</f>
        <v>#N/A</v>
      </c>
      <c r="N2249" s="6" t="e">
        <f>INDEX(医院2县区2人!$C$2:$C$1048576,MATCH(L2249,医院2县区2人!$A$2:$A$1048576,0))</f>
        <v>#N/A</v>
      </c>
      <c r="P2249" s="7">
        <v>43262</v>
      </c>
      <c r="Q2249" s="6">
        <v>50</v>
      </c>
      <c r="S2249" s="6">
        <v>161103</v>
      </c>
      <c r="T2249" s="6" t="e">
        <f>INDEX(医院2县区2人!$D$2:$D$1048576,MATCH(L2249,医院2县区2人!$A$2:$A$1048576,0))</f>
        <v>#N/A</v>
      </c>
      <c r="W2249" s="6" t="str">
        <f t="shared" si="73"/>
        <v>颠茄磺苄啶片(泻利停)12片</v>
      </c>
      <c r="X2249" s="6" t="s">
        <v>2904</v>
      </c>
    </row>
    <row r="2250" spans="1:24" x14ac:dyDescent="0.15">
      <c r="A2250" s="7" t="str">
        <f t="shared" si="74"/>
        <v>201806</v>
      </c>
      <c r="C2250" s="6">
        <f>INDEX(工厂基础数据!$A$2:$A$1024,MATCH(X2250,工厂基础数据!$D$2:$D$1024,0))</f>
        <v>0</v>
      </c>
      <c r="E2250" s="6" t="str">
        <f>INDEX(工厂基础数据!$B$2:$B$1024,MATCH(X2250,工厂基础数据!$D$2:$D$1024,0))</f>
        <v>济南广林医药有限公司</v>
      </c>
      <c r="F2250" s="6" t="e">
        <f>INDEX(商业2转码!$B$2:$B$10000,MATCH(E2250,商业2转码!$A$2:$A$10000,0))</f>
        <v>#N/A</v>
      </c>
      <c r="G2250" s="6">
        <f>INDEX(品种2编码!$A$2:$A$1048576,MATCH(W2250,品种2编码!$D$2:$D$1048576,0))</f>
        <v>0</v>
      </c>
      <c r="H2250" s="6" t="s">
        <v>3608</v>
      </c>
      <c r="I2250" s="6" t="s">
        <v>381</v>
      </c>
      <c r="L2250" s="6" t="s">
        <v>3540</v>
      </c>
      <c r="M2250" s="6" t="e">
        <f>INDEX(医院2县区2人!$B$2:$B$1048576,MATCH(L2250,医院2县区2人!$A$2:$A$1048576,0))</f>
        <v>#N/A</v>
      </c>
      <c r="N2250" s="6" t="e">
        <f>INDEX(医院2县区2人!$C$2:$C$1048576,MATCH(L2250,医院2县区2人!$A$2:$A$1048576,0))</f>
        <v>#N/A</v>
      </c>
      <c r="P2250" s="7">
        <v>43262</v>
      </c>
      <c r="Q2250" s="6">
        <v>5</v>
      </c>
      <c r="S2250" s="6">
        <v>161103</v>
      </c>
      <c r="T2250" s="6" t="e">
        <f>INDEX(医院2县区2人!$D$2:$D$1048576,MATCH(L2250,医院2县区2人!$A$2:$A$1048576,0))</f>
        <v>#N/A</v>
      </c>
      <c r="W2250" s="6" t="str">
        <f t="shared" si="73"/>
        <v>颠茄磺苄啶片(泻利停)12片</v>
      </c>
      <c r="X2250" s="6" t="s">
        <v>2904</v>
      </c>
    </row>
    <row r="2251" spans="1:24" x14ac:dyDescent="0.15">
      <c r="A2251" s="7" t="str">
        <f t="shared" si="74"/>
        <v>201806</v>
      </c>
      <c r="C2251" s="6">
        <f>INDEX(工厂基础数据!$A$2:$A$1024,MATCH(X2251,工厂基础数据!$D$2:$D$1024,0))</f>
        <v>0</v>
      </c>
      <c r="E2251" s="6" t="str">
        <f>INDEX(工厂基础数据!$B$2:$B$1024,MATCH(X2251,工厂基础数据!$D$2:$D$1024,0))</f>
        <v>济南广林医药有限公司</v>
      </c>
      <c r="F2251" s="6" t="e">
        <f>INDEX(商业2转码!$B$2:$B$10000,MATCH(E2251,商业2转码!$A$2:$A$10000,0))</f>
        <v>#N/A</v>
      </c>
      <c r="G2251" s="6">
        <f>INDEX(品种2编码!$A$2:$A$1048576,MATCH(W2251,品种2编码!$D$2:$D$1048576,0))</f>
        <v>0</v>
      </c>
      <c r="H2251" s="6" t="s">
        <v>3608</v>
      </c>
      <c r="I2251" s="6" t="s">
        <v>381</v>
      </c>
      <c r="L2251" s="6" t="s">
        <v>3553</v>
      </c>
      <c r="M2251" s="6" t="e">
        <f>INDEX(医院2县区2人!$B$2:$B$1048576,MATCH(L2251,医院2县区2人!$A$2:$A$1048576,0))</f>
        <v>#N/A</v>
      </c>
      <c r="N2251" s="6" t="e">
        <f>INDEX(医院2县区2人!$C$2:$C$1048576,MATCH(L2251,医院2县区2人!$A$2:$A$1048576,0))</f>
        <v>#N/A</v>
      </c>
      <c r="P2251" s="7">
        <v>43262</v>
      </c>
      <c r="Q2251" s="6">
        <v>20</v>
      </c>
      <c r="S2251" s="6">
        <v>161103</v>
      </c>
      <c r="T2251" s="6" t="e">
        <f>INDEX(医院2县区2人!$D$2:$D$1048576,MATCH(L2251,医院2县区2人!$A$2:$A$1048576,0))</f>
        <v>#N/A</v>
      </c>
      <c r="W2251" s="6" t="str">
        <f t="shared" si="73"/>
        <v>颠茄磺苄啶片(泻利停)12片</v>
      </c>
      <c r="X2251" s="6" t="s">
        <v>2904</v>
      </c>
    </row>
    <row r="2252" spans="1:24" x14ac:dyDescent="0.15">
      <c r="A2252" s="7" t="str">
        <f t="shared" si="74"/>
        <v>201806</v>
      </c>
      <c r="C2252" s="6">
        <f>INDEX(工厂基础数据!$A$2:$A$1024,MATCH(X2252,工厂基础数据!$D$2:$D$1024,0))</f>
        <v>0</v>
      </c>
      <c r="E2252" s="6" t="str">
        <f>INDEX(工厂基础数据!$B$2:$B$1024,MATCH(X2252,工厂基础数据!$D$2:$D$1024,0))</f>
        <v>济南广林医药有限公司</v>
      </c>
      <c r="F2252" s="6" t="e">
        <f>INDEX(商业2转码!$B$2:$B$10000,MATCH(E2252,商业2转码!$A$2:$A$10000,0))</f>
        <v>#N/A</v>
      </c>
      <c r="G2252" s="6">
        <f>INDEX(品种2编码!$A$2:$A$1048576,MATCH(W2252,品种2编码!$D$2:$D$1048576,0))</f>
        <v>0</v>
      </c>
      <c r="H2252" s="6" t="s">
        <v>3608</v>
      </c>
      <c r="I2252" s="6" t="s">
        <v>381</v>
      </c>
      <c r="L2252" s="6" t="s">
        <v>3554</v>
      </c>
      <c r="M2252" s="6" t="e">
        <f>INDEX(医院2县区2人!$B$2:$B$1048576,MATCH(L2252,医院2县区2人!$A$2:$A$1048576,0))</f>
        <v>#N/A</v>
      </c>
      <c r="N2252" s="6" t="e">
        <f>INDEX(医院2县区2人!$C$2:$C$1048576,MATCH(L2252,医院2县区2人!$A$2:$A$1048576,0))</f>
        <v>#N/A</v>
      </c>
      <c r="P2252" s="7">
        <v>43262</v>
      </c>
      <c r="Q2252" s="6">
        <v>30</v>
      </c>
      <c r="S2252" s="6">
        <v>161103</v>
      </c>
      <c r="T2252" s="6" t="e">
        <f>INDEX(医院2县区2人!$D$2:$D$1048576,MATCH(L2252,医院2县区2人!$A$2:$A$1048576,0))</f>
        <v>#N/A</v>
      </c>
      <c r="W2252" s="6" t="str">
        <f t="shared" si="73"/>
        <v>颠茄磺苄啶片(泻利停)12片</v>
      </c>
      <c r="X2252" s="6" t="s">
        <v>2904</v>
      </c>
    </row>
    <row r="2253" spans="1:24" x14ac:dyDescent="0.15">
      <c r="A2253" s="7" t="str">
        <f t="shared" si="74"/>
        <v>201806</v>
      </c>
      <c r="C2253" s="6">
        <f>INDEX(工厂基础数据!$A$2:$A$1024,MATCH(X2253,工厂基础数据!$D$2:$D$1024,0))</f>
        <v>0</v>
      </c>
      <c r="E2253" s="6" t="str">
        <f>INDEX(工厂基础数据!$B$2:$B$1024,MATCH(X2253,工厂基础数据!$D$2:$D$1024,0))</f>
        <v>济南广林医药有限公司</v>
      </c>
      <c r="F2253" s="6" t="e">
        <f>INDEX(商业2转码!$B$2:$B$10000,MATCH(E2253,商业2转码!$A$2:$A$10000,0))</f>
        <v>#N/A</v>
      </c>
      <c r="G2253" s="6">
        <f>INDEX(品种2编码!$A$2:$A$1048576,MATCH(W2253,品种2编码!$D$2:$D$1048576,0))</f>
        <v>0</v>
      </c>
      <c r="H2253" s="6" t="s">
        <v>3608</v>
      </c>
      <c r="I2253" s="6" t="s">
        <v>381</v>
      </c>
      <c r="L2253" s="6" t="s">
        <v>3555</v>
      </c>
      <c r="M2253" s="6" t="e">
        <f>INDEX(医院2县区2人!$B$2:$B$1048576,MATCH(L2253,医院2县区2人!$A$2:$A$1048576,0))</f>
        <v>#N/A</v>
      </c>
      <c r="N2253" s="6" t="e">
        <f>INDEX(医院2县区2人!$C$2:$C$1048576,MATCH(L2253,医院2县区2人!$A$2:$A$1048576,0))</f>
        <v>#N/A</v>
      </c>
      <c r="P2253" s="7">
        <v>43262</v>
      </c>
      <c r="Q2253" s="6">
        <v>10</v>
      </c>
      <c r="S2253" s="6">
        <v>161103</v>
      </c>
      <c r="T2253" s="6" t="e">
        <f>INDEX(医院2县区2人!$D$2:$D$1048576,MATCH(L2253,医院2县区2人!$A$2:$A$1048576,0))</f>
        <v>#N/A</v>
      </c>
      <c r="W2253" s="6" t="str">
        <f t="shared" si="73"/>
        <v>颠茄磺苄啶片(泻利停)12片</v>
      </c>
      <c r="X2253" s="6" t="s">
        <v>2904</v>
      </c>
    </row>
    <row r="2254" spans="1:24" x14ac:dyDescent="0.15">
      <c r="A2254" s="7" t="str">
        <f t="shared" si="74"/>
        <v>201806</v>
      </c>
      <c r="C2254" s="6">
        <f>INDEX(工厂基础数据!$A$2:$A$1024,MATCH(X2254,工厂基础数据!$D$2:$D$1024,0))</f>
        <v>0</v>
      </c>
      <c r="E2254" s="6" t="str">
        <f>INDEX(工厂基础数据!$B$2:$B$1024,MATCH(X2254,工厂基础数据!$D$2:$D$1024,0))</f>
        <v>济南广林医药有限公司</v>
      </c>
      <c r="F2254" s="6" t="e">
        <f>INDEX(商业2转码!$B$2:$B$10000,MATCH(E2254,商业2转码!$A$2:$A$10000,0))</f>
        <v>#N/A</v>
      </c>
      <c r="G2254" s="6">
        <f>INDEX(品种2编码!$A$2:$A$1048576,MATCH(W2254,品种2编码!$D$2:$D$1048576,0))</f>
        <v>0</v>
      </c>
      <c r="H2254" s="6" t="s">
        <v>3608</v>
      </c>
      <c r="I2254" s="6" t="s">
        <v>381</v>
      </c>
      <c r="L2254" s="6" t="s">
        <v>3529</v>
      </c>
      <c r="M2254" s="6" t="e">
        <f>INDEX(医院2县区2人!$B$2:$B$1048576,MATCH(L2254,医院2县区2人!$A$2:$A$1048576,0))</f>
        <v>#N/A</v>
      </c>
      <c r="N2254" s="6" t="e">
        <f>INDEX(医院2县区2人!$C$2:$C$1048576,MATCH(L2254,医院2县区2人!$A$2:$A$1048576,0))</f>
        <v>#N/A</v>
      </c>
      <c r="P2254" s="7">
        <v>43262</v>
      </c>
      <c r="Q2254" s="6">
        <v>30</v>
      </c>
      <c r="S2254" s="6">
        <v>161103</v>
      </c>
      <c r="T2254" s="6" t="e">
        <f>INDEX(医院2县区2人!$D$2:$D$1048576,MATCH(L2254,医院2县区2人!$A$2:$A$1048576,0))</f>
        <v>#N/A</v>
      </c>
      <c r="W2254" s="6" t="str">
        <f t="shared" si="73"/>
        <v>颠茄磺苄啶片(泻利停)12片</v>
      </c>
      <c r="X2254" s="6" t="s">
        <v>2904</v>
      </c>
    </row>
    <row r="2255" spans="1:24" x14ac:dyDescent="0.15">
      <c r="A2255" s="7" t="str">
        <f t="shared" si="74"/>
        <v>201806</v>
      </c>
      <c r="C2255" s="6">
        <f>INDEX(工厂基础数据!$A$2:$A$1024,MATCH(X2255,工厂基础数据!$D$2:$D$1024,0))</f>
        <v>0</v>
      </c>
      <c r="E2255" s="6" t="str">
        <f>INDEX(工厂基础数据!$B$2:$B$1024,MATCH(X2255,工厂基础数据!$D$2:$D$1024,0))</f>
        <v>济南广林医药有限公司</v>
      </c>
      <c r="F2255" s="6" t="e">
        <f>INDEX(商业2转码!$B$2:$B$10000,MATCH(E2255,商业2转码!$A$2:$A$10000,0))</f>
        <v>#N/A</v>
      </c>
      <c r="G2255" s="6">
        <f>INDEX(品种2编码!$A$2:$A$1048576,MATCH(W2255,品种2编码!$D$2:$D$1048576,0))</f>
        <v>0</v>
      </c>
      <c r="H2255" s="6" t="s">
        <v>3608</v>
      </c>
      <c r="I2255" s="6" t="s">
        <v>381</v>
      </c>
      <c r="L2255" s="6" t="s">
        <v>3556</v>
      </c>
      <c r="M2255" s="6" t="e">
        <f>INDEX(医院2县区2人!$B$2:$B$1048576,MATCH(L2255,医院2县区2人!$A$2:$A$1048576,0))</f>
        <v>#N/A</v>
      </c>
      <c r="N2255" s="6" t="e">
        <f>INDEX(医院2县区2人!$C$2:$C$1048576,MATCH(L2255,医院2县区2人!$A$2:$A$1048576,0))</f>
        <v>#N/A</v>
      </c>
      <c r="P2255" s="7">
        <v>43262</v>
      </c>
      <c r="Q2255" s="6">
        <v>10</v>
      </c>
      <c r="S2255" s="6">
        <v>161103</v>
      </c>
      <c r="T2255" s="6" t="e">
        <f>INDEX(医院2县区2人!$D$2:$D$1048576,MATCH(L2255,医院2县区2人!$A$2:$A$1048576,0))</f>
        <v>#N/A</v>
      </c>
      <c r="W2255" s="6" t="str">
        <f t="shared" si="73"/>
        <v>颠茄磺苄啶片(泻利停)12片</v>
      </c>
      <c r="X2255" s="6" t="s">
        <v>2904</v>
      </c>
    </row>
    <row r="2256" spans="1:24" x14ac:dyDescent="0.15">
      <c r="A2256" s="7" t="str">
        <f t="shared" si="74"/>
        <v>201806</v>
      </c>
      <c r="C2256" s="6">
        <f>INDEX(工厂基础数据!$A$2:$A$1024,MATCH(X2256,工厂基础数据!$D$2:$D$1024,0))</f>
        <v>0</v>
      </c>
      <c r="E2256" s="6" t="str">
        <f>INDEX(工厂基础数据!$B$2:$B$1024,MATCH(X2256,工厂基础数据!$D$2:$D$1024,0))</f>
        <v>济南广林医药有限公司</v>
      </c>
      <c r="F2256" s="6" t="e">
        <f>INDEX(商业2转码!$B$2:$B$10000,MATCH(E2256,商业2转码!$A$2:$A$10000,0))</f>
        <v>#N/A</v>
      </c>
      <c r="G2256" s="6">
        <f>INDEX(品种2编码!$A$2:$A$1048576,MATCH(W2256,品种2编码!$D$2:$D$1048576,0))</f>
        <v>0</v>
      </c>
      <c r="H2256" s="6" t="s">
        <v>3608</v>
      </c>
      <c r="I2256" s="6" t="s">
        <v>381</v>
      </c>
      <c r="L2256" s="6" t="s">
        <v>3557</v>
      </c>
      <c r="M2256" s="6" t="e">
        <f>INDEX(医院2县区2人!$B$2:$B$1048576,MATCH(L2256,医院2县区2人!$A$2:$A$1048576,0))</f>
        <v>#N/A</v>
      </c>
      <c r="N2256" s="6" t="e">
        <f>INDEX(医院2县区2人!$C$2:$C$1048576,MATCH(L2256,医院2县区2人!$A$2:$A$1048576,0))</f>
        <v>#N/A</v>
      </c>
      <c r="P2256" s="7">
        <v>43262</v>
      </c>
      <c r="Q2256" s="6">
        <v>10</v>
      </c>
      <c r="S2256" s="6">
        <v>161103</v>
      </c>
      <c r="T2256" s="6" t="e">
        <f>INDEX(医院2县区2人!$D$2:$D$1048576,MATCH(L2256,医院2县区2人!$A$2:$A$1048576,0))</f>
        <v>#N/A</v>
      </c>
      <c r="W2256" s="6" t="str">
        <f t="shared" si="73"/>
        <v>颠茄磺苄啶片(泻利停)12片</v>
      </c>
      <c r="X2256" s="6" t="s">
        <v>2904</v>
      </c>
    </row>
    <row r="2257" spans="1:24" x14ac:dyDescent="0.15">
      <c r="A2257" s="7" t="str">
        <f t="shared" si="74"/>
        <v>201806</v>
      </c>
      <c r="C2257" s="6">
        <f>INDEX(工厂基础数据!$A$2:$A$1024,MATCH(X2257,工厂基础数据!$D$2:$D$1024,0))</f>
        <v>0</v>
      </c>
      <c r="E2257" s="6" t="str">
        <f>INDEX(工厂基础数据!$B$2:$B$1024,MATCH(X2257,工厂基础数据!$D$2:$D$1024,0))</f>
        <v>济南广林医药有限公司</v>
      </c>
      <c r="F2257" s="6" t="e">
        <f>INDEX(商业2转码!$B$2:$B$10000,MATCH(E2257,商业2转码!$A$2:$A$10000,0))</f>
        <v>#N/A</v>
      </c>
      <c r="G2257" s="6">
        <f>INDEX(品种2编码!$A$2:$A$1048576,MATCH(W2257,品种2编码!$D$2:$D$1048576,0))</f>
        <v>0</v>
      </c>
      <c r="H2257" s="6" t="s">
        <v>3608</v>
      </c>
      <c r="I2257" s="6" t="s">
        <v>381</v>
      </c>
      <c r="L2257" s="6" t="s">
        <v>3558</v>
      </c>
      <c r="M2257" s="6" t="e">
        <f>INDEX(医院2县区2人!$B$2:$B$1048576,MATCH(L2257,医院2县区2人!$A$2:$A$1048576,0))</f>
        <v>#N/A</v>
      </c>
      <c r="N2257" s="6" t="e">
        <f>INDEX(医院2县区2人!$C$2:$C$1048576,MATCH(L2257,医院2县区2人!$A$2:$A$1048576,0))</f>
        <v>#N/A</v>
      </c>
      <c r="P2257" s="7">
        <v>43263</v>
      </c>
      <c r="Q2257" s="6">
        <v>10</v>
      </c>
      <c r="S2257" s="6">
        <v>161103</v>
      </c>
      <c r="T2257" s="6" t="e">
        <f>INDEX(医院2县区2人!$D$2:$D$1048576,MATCH(L2257,医院2县区2人!$A$2:$A$1048576,0))</f>
        <v>#N/A</v>
      </c>
      <c r="W2257" s="6" t="str">
        <f t="shared" si="73"/>
        <v>颠茄磺苄啶片(泻利停)12片</v>
      </c>
      <c r="X2257" s="6" t="s">
        <v>2904</v>
      </c>
    </row>
    <row r="2258" spans="1:24" x14ac:dyDescent="0.15">
      <c r="A2258" s="7" t="str">
        <f t="shared" si="74"/>
        <v>201806</v>
      </c>
      <c r="C2258" s="6">
        <f>INDEX(工厂基础数据!$A$2:$A$1024,MATCH(X2258,工厂基础数据!$D$2:$D$1024,0))</f>
        <v>0</v>
      </c>
      <c r="E2258" s="6" t="str">
        <f>INDEX(工厂基础数据!$B$2:$B$1024,MATCH(X2258,工厂基础数据!$D$2:$D$1024,0))</f>
        <v>济南广林医药有限公司</v>
      </c>
      <c r="F2258" s="6" t="e">
        <f>INDEX(商业2转码!$B$2:$B$10000,MATCH(E2258,商业2转码!$A$2:$A$10000,0))</f>
        <v>#N/A</v>
      </c>
      <c r="G2258" s="6">
        <f>INDEX(品种2编码!$A$2:$A$1048576,MATCH(W2258,品种2编码!$D$2:$D$1048576,0))</f>
        <v>0</v>
      </c>
      <c r="H2258" s="6" t="s">
        <v>3608</v>
      </c>
      <c r="I2258" s="6" t="s">
        <v>381</v>
      </c>
      <c r="L2258" s="6" t="s">
        <v>3559</v>
      </c>
      <c r="M2258" s="6" t="e">
        <f>INDEX(医院2县区2人!$B$2:$B$1048576,MATCH(L2258,医院2县区2人!$A$2:$A$1048576,0))</f>
        <v>#N/A</v>
      </c>
      <c r="N2258" s="6" t="e">
        <f>INDEX(医院2县区2人!$C$2:$C$1048576,MATCH(L2258,医院2县区2人!$A$2:$A$1048576,0))</f>
        <v>#N/A</v>
      </c>
      <c r="P2258" s="7">
        <v>43263</v>
      </c>
      <c r="Q2258" s="6">
        <v>10</v>
      </c>
      <c r="S2258" s="6">
        <v>161103</v>
      </c>
      <c r="T2258" s="6" t="e">
        <f>INDEX(医院2县区2人!$D$2:$D$1048576,MATCH(L2258,医院2县区2人!$A$2:$A$1048576,0))</f>
        <v>#N/A</v>
      </c>
      <c r="W2258" s="6" t="str">
        <f t="shared" si="73"/>
        <v>颠茄磺苄啶片(泻利停)12片</v>
      </c>
      <c r="X2258" s="6" t="s">
        <v>2904</v>
      </c>
    </row>
    <row r="2259" spans="1:24" x14ac:dyDescent="0.15">
      <c r="A2259" s="7" t="str">
        <f t="shared" si="74"/>
        <v>201806</v>
      </c>
      <c r="C2259" s="6">
        <f>INDEX(工厂基础数据!$A$2:$A$1024,MATCH(X2259,工厂基础数据!$D$2:$D$1024,0))</f>
        <v>0</v>
      </c>
      <c r="E2259" s="6" t="str">
        <f>INDEX(工厂基础数据!$B$2:$B$1024,MATCH(X2259,工厂基础数据!$D$2:$D$1024,0))</f>
        <v>济南广林医药有限公司</v>
      </c>
      <c r="F2259" s="6" t="e">
        <f>INDEX(商业2转码!$B$2:$B$10000,MATCH(E2259,商业2转码!$A$2:$A$10000,0))</f>
        <v>#N/A</v>
      </c>
      <c r="G2259" s="6">
        <f>INDEX(品种2编码!$A$2:$A$1048576,MATCH(W2259,品种2编码!$D$2:$D$1048576,0))</f>
        <v>0</v>
      </c>
      <c r="H2259" s="6" t="s">
        <v>3608</v>
      </c>
      <c r="I2259" s="6" t="s">
        <v>381</v>
      </c>
      <c r="L2259" s="6" t="s">
        <v>3560</v>
      </c>
      <c r="M2259" s="6" t="e">
        <f>INDEX(医院2县区2人!$B$2:$B$1048576,MATCH(L2259,医院2县区2人!$A$2:$A$1048576,0))</f>
        <v>#N/A</v>
      </c>
      <c r="N2259" s="6" t="e">
        <f>INDEX(医院2县区2人!$C$2:$C$1048576,MATCH(L2259,医院2县区2人!$A$2:$A$1048576,0))</f>
        <v>#N/A</v>
      </c>
      <c r="P2259" s="7">
        <v>43263</v>
      </c>
      <c r="Q2259" s="6">
        <v>10</v>
      </c>
      <c r="S2259" s="6">
        <v>161103</v>
      </c>
      <c r="T2259" s="6" t="e">
        <f>INDEX(医院2县区2人!$D$2:$D$1048576,MATCH(L2259,医院2县区2人!$A$2:$A$1048576,0))</f>
        <v>#N/A</v>
      </c>
      <c r="W2259" s="6" t="str">
        <f t="shared" si="73"/>
        <v>颠茄磺苄啶片(泻利停)12片</v>
      </c>
      <c r="X2259" s="6" t="s">
        <v>2904</v>
      </c>
    </row>
    <row r="2260" spans="1:24" x14ac:dyDescent="0.15">
      <c r="A2260" s="7" t="str">
        <f t="shared" si="74"/>
        <v>201806</v>
      </c>
      <c r="C2260" s="6">
        <f>INDEX(工厂基础数据!$A$2:$A$1024,MATCH(X2260,工厂基础数据!$D$2:$D$1024,0))</f>
        <v>0</v>
      </c>
      <c r="E2260" s="6" t="str">
        <f>INDEX(工厂基础数据!$B$2:$B$1024,MATCH(X2260,工厂基础数据!$D$2:$D$1024,0))</f>
        <v>济南广林医药有限公司</v>
      </c>
      <c r="F2260" s="6" t="e">
        <f>INDEX(商业2转码!$B$2:$B$10000,MATCH(E2260,商业2转码!$A$2:$A$10000,0))</f>
        <v>#N/A</v>
      </c>
      <c r="G2260" s="6">
        <f>INDEX(品种2编码!$A$2:$A$1048576,MATCH(W2260,品种2编码!$D$2:$D$1048576,0))</f>
        <v>0</v>
      </c>
      <c r="H2260" s="6" t="s">
        <v>3608</v>
      </c>
      <c r="I2260" s="6" t="s">
        <v>381</v>
      </c>
      <c r="L2260" s="6" t="s">
        <v>3561</v>
      </c>
      <c r="M2260" s="6" t="e">
        <f>INDEX(医院2县区2人!$B$2:$B$1048576,MATCH(L2260,医院2县区2人!$A$2:$A$1048576,0))</f>
        <v>#N/A</v>
      </c>
      <c r="N2260" s="6" t="e">
        <f>INDEX(医院2县区2人!$C$2:$C$1048576,MATCH(L2260,医院2县区2人!$A$2:$A$1048576,0))</f>
        <v>#N/A</v>
      </c>
      <c r="P2260" s="7">
        <v>43263</v>
      </c>
      <c r="Q2260" s="6">
        <v>10</v>
      </c>
      <c r="S2260" s="6">
        <v>161103</v>
      </c>
      <c r="T2260" s="6" t="e">
        <f>INDEX(医院2县区2人!$D$2:$D$1048576,MATCH(L2260,医院2县区2人!$A$2:$A$1048576,0))</f>
        <v>#N/A</v>
      </c>
      <c r="W2260" s="6" t="str">
        <f t="shared" si="73"/>
        <v>颠茄磺苄啶片(泻利停)12片</v>
      </c>
      <c r="X2260" s="6" t="s">
        <v>2904</v>
      </c>
    </row>
    <row r="2261" spans="1:24" x14ac:dyDescent="0.15">
      <c r="A2261" s="7" t="str">
        <f t="shared" si="74"/>
        <v>201806</v>
      </c>
      <c r="C2261" s="6">
        <f>INDEX(工厂基础数据!$A$2:$A$1024,MATCH(X2261,工厂基础数据!$D$2:$D$1024,0))</f>
        <v>0</v>
      </c>
      <c r="E2261" s="6" t="str">
        <f>INDEX(工厂基础数据!$B$2:$B$1024,MATCH(X2261,工厂基础数据!$D$2:$D$1024,0))</f>
        <v>济南广林医药有限公司</v>
      </c>
      <c r="F2261" s="6" t="e">
        <f>INDEX(商业2转码!$B$2:$B$10000,MATCH(E2261,商业2转码!$A$2:$A$10000,0))</f>
        <v>#N/A</v>
      </c>
      <c r="G2261" s="6">
        <f>INDEX(品种2编码!$A$2:$A$1048576,MATCH(W2261,品种2编码!$D$2:$D$1048576,0))</f>
        <v>0</v>
      </c>
      <c r="H2261" s="6" t="s">
        <v>3608</v>
      </c>
      <c r="I2261" s="6" t="s">
        <v>381</v>
      </c>
      <c r="L2261" s="6" t="s">
        <v>3562</v>
      </c>
      <c r="M2261" s="6" t="e">
        <f>INDEX(医院2县区2人!$B$2:$B$1048576,MATCH(L2261,医院2县区2人!$A$2:$A$1048576,0))</f>
        <v>#N/A</v>
      </c>
      <c r="N2261" s="6" t="e">
        <f>INDEX(医院2县区2人!$C$2:$C$1048576,MATCH(L2261,医院2县区2人!$A$2:$A$1048576,0))</f>
        <v>#N/A</v>
      </c>
      <c r="P2261" s="7">
        <v>43263</v>
      </c>
      <c r="Q2261" s="6">
        <v>30</v>
      </c>
      <c r="S2261" s="6">
        <v>161103</v>
      </c>
      <c r="T2261" s="6" t="e">
        <f>INDEX(医院2县区2人!$D$2:$D$1048576,MATCH(L2261,医院2县区2人!$A$2:$A$1048576,0))</f>
        <v>#N/A</v>
      </c>
      <c r="W2261" s="6" t="str">
        <f t="shared" si="73"/>
        <v>颠茄磺苄啶片(泻利停)12片</v>
      </c>
      <c r="X2261" s="6" t="s">
        <v>2904</v>
      </c>
    </row>
    <row r="2262" spans="1:24" x14ac:dyDescent="0.15">
      <c r="A2262" s="7" t="str">
        <f t="shared" si="74"/>
        <v>201806</v>
      </c>
      <c r="C2262" s="6">
        <f>INDEX(工厂基础数据!$A$2:$A$1024,MATCH(X2262,工厂基础数据!$D$2:$D$1024,0))</f>
        <v>0</v>
      </c>
      <c r="E2262" s="6" t="str">
        <f>INDEX(工厂基础数据!$B$2:$B$1024,MATCH(X2262,工厂基础数据!$D$2:$D$1024,0))</f>
        <v>济南广林医药有限公司</v>
      </c>
      <c r="F2262" s="6" t="e">
        <f>INDEX(商业2转码!$B$2:$B$10000,MATCH(E2262,商业2转码!$A$2:$A$10000,0))</f>
        <v>#N/A</v>
      </c>
      <c r="G2262" s="6">
        <f>INDEX(品种2编码!$A$2:$A$1048576,MATCH(W2262,品种2编码!$D$2:$D$1048576,0))</f>
        <v>0</v>
      </c>
      <c r="H2262" s="6" t="s">
        <v>3608</v>
      </c>
      <c r="I2262" s="6" t="s">
        <v>381</v>
      </c>
      <c r="L2262" s="6" t="s">
        <v>3539</v>
      </c>
      <c r="M2262" s="6" t="e">
        <f>INDEX(医院2县区2人!$B$2:$B$1048576,MATCH(L2262,医院2县区2人!$A$2:$A$1048576,0))</f>
        <v>#N/A</v>
      </c>
      <c r="N2262" s="6" t="e">
        <f>INDEX(医院2县区2人!$C$2:$C$1048576,MATCH(L2262,医院2县区2人!$A$2:$A$1048576,0))</f>
        <v>#N/A</v>
      </c>
      <c r="P2262" s="7">
        <v>43264</v>
      </c>
      <c r="Q2262" s="6">
        <v>10</v>
      </c>
      <c r="S2262" s="6">
        <v>161103</v>
      </c>
      <c r="T2262" s="6" t="e">
        <f>INDEX(医院2县区2人!$D$2:$D$1048576,MATCH(L2262,医院2县区2人!$A$2:$A$1048576,0))</f>
        <v>#N/A</v>
      </c>
      <c r="W2262" s="6" t="str">
        <f t="shared" si="73"/>
        <v>颠茄磺苄啶片(泻利停)12片</v>
      </c>
      <c r="X2262" s="6" t="s">
        <v>2904</v>
      </c>
    </row>
    <row r="2263" spans="1:24" x14ac:dyDescent="0.15">
      <c r="A2263" s="7" t="str">
        <f t="shared" si="74"/>
        <v>201806</v>
      </c>
      <c r="C2263" s="6">
        <f>INDEX(工厂基础数据!$A$2:$A$1024,MATCH(X2263,工厂基础数据!$D$2:$D$1024,0))</f>
        <v>0</v>
      </c>
      <c r="E2263" s="6" t="str">
        <f>INDEX(工厂基础数据!$B$2:$B$1024,MATCH(X2263,工厂基础数据!$D$2:$D$1024,0))</f>
        <v>济南广林医药有限公司</v>
      </c>
      <c r="F2263" s="6" t="e">
        <f>INDEX(商业2转码!$B$2:$B$10000,MATCH(E2263,商业2转码!$A$2:$A$10000,0))</f>
        <v>#N/A</v>
      </c>
      <c r="G2263" s="6">
        <f>INDEX(品种2编码!$A$2:$A$1048576,MATCH(W2263,品种2编码!$D$2:$D$1048576,0))</f>
        <v>0</v>
      </c>
      <c r="H2263" s="6" t="s">
        <v>3608</v>
      </c>
      <c r="I2263" s="6" t="s">
        <v>381</v>
      </c>
      <c r="L2263" s="6" t="s">
        <v>3549</v>
      </c>
      <c r="M2263" s="6" t="e">
        <f>INDEX(医院2县区2人!$B$2:$B$1048576,MATCH(L2263,医院2县区2人!$A$2:$A$1048576,0))</f>
        <v>#N/A</v>
      </c>
      <c r="N2263" s="6" t="e">
        <f>INDEX(医院2县区2人!$C$2:$C$1048576,MATCH(L2263,医院2县区2人!$A$2:$A$1048576,0))</f>
        <v>#N/A</v>
      </c>
      <c r="P2263" s="7">
        <v>43264</v>
      </c>
      <c r="Q2263" s="6">
        <v>10</v>
      </c>
      <c r="S2263" s="6">
        <v>161103</v>
      </c>
      <c r="T2263" s="6" t="e">
        <f>INDEX(医院2县区2人!$D$2:$D$1048576,MATCH(L2263,医院2县区2人!$A$2:$A$1048576,0))</f>
        <v>#N/A</v>
      </c>
      <c r="W2263" s="6" t="str">
        <f t="shared" si="73"/>
        <v>颠茄磺苄啶片(泻利停)12片</v>
      </c>
      <c r="X2263" s="6" t="s">
        <v>2904</v>
      </c>
    </row>
    <row r="2264" spans="1:24" x14ac:dyDescent="0.15">
      <c r="A2264" s="7" t="str">
        <f t="shared" si="74"/>
        <v>201806</v>
      </c>
      <c r="C2264" s="6">
        <f>INDEX(工厂基础数据!$A$2:$A$1024,MATCH(X2264,工厂基础数据!$D$2:$D$1024,0))</f>
        <v>0</v>
      </c>
      <c r="E2264" s="6" t="str">
        <f>INDEX(工厂基础数据!$B$2:$B$1024,MATCH(X2264,工厂基础数据!$D$2:$D$1024,0))</f>
        <v>济南广林医药有限公司</v>
      </c>
      <c r="F2264" s="6" t="e">
        <f>INDEX(商业2转码!$B$2:$B$10000,MATCH(E2264,商业2转码!$A$2:$A$10000,0))</f>
        <v>#N/A</v>
      </c>
      <c r="G2264" s="6">
        <f>INDEX(品种2编码!$A$2:$A$1048576,MATCH(W2264,品种2编码!$D$2:$D$1048576,0))</f>
        <v>0</v>
      </c>
      <c r="H2264" s="6" t="s">
        <v>3608</v>
      </c>
      <c r="I2264" s="6" t="s">
        <v>381</v>
      </c>
      <c r="L2264" s="6" t="s">
        <v>3563</v>
      </c>
      <c r="M2264" s="6" t="e">
        <f>INDEX(医院2县区2人!$B$2:$B$1048576,MATCH(L2264,医院2县区2人!$A$2:$A$1048576,0))</f>
        <v>#N/A</v>
      </c>
      <c r="N2264" s="6" t="e">
        <f>INDEX(医院2县区2人!$C$2:$C$1048576,MATCH(L2264,医院2县区2人!$A$2:$A$1048576,0))</f>
        <v>#N/A</v>
      </c>
      <c r="P2264" s="7">
        <v>43264</v>
      </c>
      <c r="Q2264" s="6">
        <v>10</v>
      </c>
      <c r="S2264" s="6">
        <v>161103</v>
      </c>
      <c r="T2264" s="6" t="e">
        <f>INDEX(医院2县区2人!$D$2:$D$1048576,MATCH(L2264,医院2县区2人!$A$2:$A$1048576,0))</f>
        <v>#N/A</v>
      </c>
      <c r="W2264" s="6" t="str">
        <f t="shared" si="73"/>
        <v>颠茄磺苄啶片(泻利停)12片</v>
      </c>
      <c r="X2264" s="6" t="s">
        <v>2904</v>
      </c>
    </row>
    <row r="2265" spans="1:24" x14ac:dyDescent="0.15">
      <c r="A2265" s="7" t="str">
        <f t="shared" si="74"/>
        <v>201806</v>
      </c>
      <c r="C2265" s="6">
        <f>INDEX(工厂基础数据!$A$2:$A$1024,MATCH(X2265,工厂基础数据!$D$2:$D$1024,0))</f>
        <v>0</v>
      </c>
      <c r="E2265" s="6" t="str">
        <f>INDEX(工厂基础数据!$B$2:$B$1024,MATCH(X2265,工厂基础数据!$D$2:$D$1024,0))</f>
        <v>济南广林医药有限公司</v>
      </c>
      <c r="F2265" s="6" t="e">
        <f>INDEX(商业2转码!$B$2:$B$10000,MATCH(E2265,商业2转码!$A$2:$A$10000,0))</f>
        <v>#N/A</v>
      </c>
      <c r="G2265" s="6">
        <f>INDEX(品种2编码!$A$2:$A$1048576,MATCH(W2265,品种2编码!$D$2:$D$1048576,0))</f>
        <v>0</v>
      </c>
      <c r="H2265" s="6" t="s">
        <v>3608</v>
      </c>
      <c r="I2265" s="6" t="s">
        <v>381</v>
      </c>
      <c r="L2265" s="6" t="s">
        <v>3564</v>
      </c>
      <c r="M2265" s="6" t="e">
        <f>INDEX(医院2县区2人!$B$2:$B$1048576,MATCH(L2265,医院2县区2人!$A$2:$A$1048576,0))</f>
        <v>#N/A</v>
      </c>
      <c r="N2265" s="6" t="e">
        <f>INDEX(医院2县区2人!$C$2:$C$1048576,MATCH(L2265,医院2县区2人!$A$2:$A$1048576,0))</f>
        <v>#N/A</v>
      </c>
      <c r="P2265" s="7">
        <v>43265</v>
      </c>
      <c r="Q2265" s="6">
        <v>10</v>
      </c>
      <c r="S2265" s="6">
        <v>161103</v>
      </c>
      <c r="T2265" s="6" t="e">
        <f>INDEX(医院2县区2人!$D$2:$D$1048576,MATCH(L2265,医院2县区2人!$A$2:$A$1048576,0))</f>
        <v>#N/A</v>
      </c>
      <c r="W2265" s="6" t="str">
        <f t="shared" si="73"/>
        <v>颠茄磺苄啶片(泻利停)12片</v>
      </c>
      <c r="X2265" s="6" t="s">
        <v>2904</v>
      </c>
    </row>
    <row r="2266" spans="1:24" x14ac:dyDescent="0.15">
      <c r="A2266" s="7" t="str">
        <f t="shared" si="74"/>
        <v>201806</v>
      </c>
      <c r="C2266" s="6">
        <f>INDEX(工厂基础数据!$A$2:$A$1024,MATCH(X2266,工厂基础数据!$D$2:$D$1024,0))</f>
        <v>0</v>
      </c>
      <c r="E2266" s="6" t="str">
        <f>INDEX(工厂基础数据!$B$2:$B$1024,MATCH(X2266,工厂基础数据!$D$2:$D$1024,0))</f>
        <v>济南广林医药有限公司</v>
      </c>
      <c r="F2266" s="6" t="e">
        <f>INDEX(商业2转码!$B$2:$B$10000,MATCH(E2266,商业2转码!$A$2:$A$10000,0))</f>
        <v>#N/A</v>
      </c>
      <c r="G2266" s="6">
        <f>INDEX(品种2编码!$A$2:$A$1048576,MATCH(W2266,品种2编码!$D$2:$D$1048576,0))</f>
        <v>0</v>
      </c>
      <c r="H2266" s="6" t="s">
        <v>3608</v>
      </c>
      <c r="I2266" s="6" t="s">
        <v>381</v>
      </c>
      <c r="L2266" s="6" t="s">
        <v>3526</v>
      </c>
      <c r="M2266" s="6" t="e">
        <f>INDEX(医院2县区2人!$B$2:$B$1048576,MATCH(L2266,医院2县区2人!$A$2:$A$1048576,0))</f>
        <v>#N/A</v>
      </c>
      <c r="N2266" s="6" t="e">
        <f>INDEX(医院2县区2人!$C$2:$C$1048576,MATCH(L2266,医院2县区2人!$A$2:$A$1048576,0))</f>
        <v>#N/A</v>
      </c>
      <c r="P2266" s="7">
        <v>43265</v>
      </c>
      <c r="Q2266" s="6">
        <v>200</v>
      </c>
      <c r="S2266" s="6">
        <v>161103</v>
      </c>
      <c r="T2266" s="6" t="e">
        <f>INDEX(医院2县区2人!$D$2:$D$1048576,MATCH(L2266,医院2县区2人!$A$2:$A$1048576,0))</f>
        <v>#N/A</v>
      </c>
      <c r="W2266" s="6" t="str">
        <f t="shared" si="73"/>
        <v>颠茄磺苄啶片(泻利停)12片</v>
      </c>
      <c r="X2266" s="6" t="s">
        <v>2904</v>
      </c>
    </row>
    <row r="2267" spans="1:24" x14ac:dyDescent="0.15">
      <c r="A2267" s="7" t="str">
        <f t="shared" si="74"/>
        <v>201806</v>
      </c>
      <c r="C2267" s="6">
        <f>INDEX(工厂基础数据!$A$2:$A$1024,MATCH(X2267,工厂基础数据!$D$2:$D$1024,0))</f>
        <v>0</v>
      </c>
      <c r="E2267" s="6" t="str">
        <f>INDEX(工厂基础数据!$B$2:$B$1024,MATCH(X2267,工厂基础数据!$D$2:$D$1024,0))</f>
        <v>济南广林医药有限公司</v>
      </c>
      <c r="F2267" s="6" t="e">
        <f>INDEX(商业2转码!$B$2:$B$10000,MATCH(E2267,商业2转码!$A$2:$A$10000,0))</f>
        <v>#N/A</v>
      </c>
      <c r="G2267" s="6">
        <f>INDEX(品种2编码!$A$2:$A$1048576,MATCH(W2267,品种2编码!$D$2:$D$1048576,0))</f>
        <v>0</v>
      </c>
      <c r="H2267" s="6" t="s">
        <v>3608</v>
      </c>
      <c r="I2267" s="6" t="s">
        <v>381</v>
      </c>
      <c r="L2267" s="6" t="s">
        <v>3529</v>
      </c>
      <c r="M2267" s="6" t="e">
        <f>INDEX(医院2县区2人!$B$2:$B$1048576,MATCH(L2267,医院2县区2人!$A$2:$A$1048576,0))</f>
        <v>#N/A</v>
      </c>
      <c r="N2267" s="6" t="e">
        <f>INDEX(医院2县区2人!$C$2:$C$1048576,MATCH(L2267,医院2县区2人!$A$2:$A$1048576,0))</f>
        <v>#N/A</v>
      </c>
      <c r="P2267" s="7">
        <v>43265</v>
      </c>
      <c r="Q2267" s="6">
        <v>20</v>
      </c>
      <c r="S2267" s="6">
        <v>161103</v>
      </c>
      <c r="T2267" s="6" t="e">
        <f>INDEX(医院2县区2人!$D$2:$D$1048576,MATCH(L2267,医院2县区2人!$A$2:$A$1048576,0))</f>
        <v>#N/A</v>
      </c>
      <c r="W2267" s="6" t="str">
        <f t="shared" si="73"/>
        <v>颠茄磺苄啶片(泻利停)12片</v>
      </c>
      <c r="X2267" s="6" t="s">
        <v>2904</v>
      </c>
    </row>
    <row r="2268" spans="1:24" x14ac:dyDescent="0.15">
      <c r="A2268" s="7" t="str">
        <f t="shared" si="74"/>
        <v>201806</v>
      </c>
      <c r="C2268" s="6">
        <f>INDEX(工厂基础数据!$A$2:$A$1024,MATCH(X2268,工厂基础数据!$D$2:$D$1024,0))</f>
        <v>0</v>
      </c>
      <c r="E2268" s="6" t="str">
        <f>INDEX(工厂基础数据!$B$2:$B$1024,MATCH(X2268,工厂基础数据!$D$2:$D$1024,0))</f>
        <v>济南广林医药有限公司</v>
      </c>
      <c r="F2268" s="6" t="e">
        <f>INDEX(商业2转码!$B$2:$B$10000,MATCH(E2268,商业2转码!$A$2:$A$10000,0))</f>
        <v>#N/A</v>
      </c>
      <c r="G2268" s="6">
        <f>INDEX(品种2编码!$A$2:$A$1048576,MATCH(W2268,品种2编码!$D$2:$D$1048576,0))</f>
        <v>0</v>
      </c>
      <c r="H2268" s="6" t="s">
        <v>3608</v>
      </c>
      <c r="I2268" s="6" t="s">
        <v>381</v>
      </c>
      <c r="L2268" s="6" t="s">
        <v>3540</v>
      </c>
      <c r="M2268" s="6" t="e">
        <f>INDEX(医院2县区2人!$B$2:$B$1048576,MATCH(L2268,医院2县区2人!$A$2:$A$1048576,0))</f>
        <v>#N/A</v>
      </c>
      <c r="N2268" s="6" t="e">
        <f>INDEX(医院2县区2人!$C$2:$C$1048576,MATCH(L2268,医院2县区2人!$A$2:$A$1048576,0))</f>
        <v>#N/A</v>
      </c>
      <c r="P2268" s="7">
        <v>43265</v>
      </c>
      <c r="Q2268" s="6">
        <v>30</v>
      </c>
      <c r="S2268" s="6">
        <v>161103</v>
      </c>
      <c r="T2268" s="6" t="e">
        <f>INDEX(医院2县区2人!$D$2:$D$1048576,MATCH(L2268,医院2县区2人!$A$2:$A$1048576,0))</f>
        <v>#N/A</v>
      </c>
      <c r="W2268" s="6" t="str">
        <f t="shared" si="73"/>
        <v>颠茄磺苄啶片(泻利停)12片</v>
      </c>
      <c r="X2268" s="6" t="s">
        <v>2904</v>
      </c>
    </row>
    <row r="2269" spans="1:24" x14ac:dyDescent="0.15">
      <c r="A2269" s="7" t="str">
        <f t="shared" si="74"/>
        <v>201806</v>
      </c>
      <c r="C2269" s="6">
        <f>INDEX(工厂基础数据!$A$2:$A$1024,MATCH(X2269,工厂基础数据!$D$2:$D$1024,0))</f>
        <v>0</v>
      </c>
      <c r="E2269" s="6" t="str">
        <f>INDEX(工厂基础数据!$B$2:$B$1024,MATCH(X2269,工厂基础数据!$D$2:$D$1024,0))</f>
        <v>济南广林医药有限公司</v>
      </c>
      <c r="F2269" s="6" t="e">
        <f>INDEX(商业2转码!$B$2:$B$10000,MATCH(E2269,商业2转码!$A$2:$A$10000,0))</f>
        <v>#N/A</v>
      </c>
      <c r="G2269" s="6">
        <f>INDEX(品种2编码!$A$2:$A$1048576,MATCH(W2269,品种2编码!$D$2:$D$1048576,0))</f>
        <v>0</v>
      </c>
      <c r="H2269" s="6" t="s">
        <v>3608</v>
      </c>
      <c r="I2269" s="6" t="s">
        <v>381</v>
      </c>
      <c r="L2269" s="6" t="s">
        <v>3565</v>
      </c>
      <c r="M2269" s="6" t="e">
        <f>INDEX(医院2县区2人!$B$2:$B$1048576,MATCH(L2269,医院2县区2人!$A$2:$A$1048576,0))</f>
        <v>#N/A</v>
      </c>
      <c r="N2269" s="6" t="e">
        <f>INDEX(医院2县区2人!$C$2:$C$1048576,MATCH(L2269,医院2县区2人!$A$2:$A$1048576,0))</f>
        <v>#N/A</v>
      </c>
      <c r="P2269" s="7">
        <v>43265</v>
      </c>
      <c r="Q2269" s="6">
        <v>5</v>
      </c>
      <c r="S2269" s="6">
        <v>161103</v>
      </c>
      <c r="T2269" s="6" t="e">
        <f>INDEX(医院2县区2人!$D$2:$D$1048576,MATCH(L2269,医院2县区2人!$A$2:$A$1048576,0))</f>
        <v>#N/A</v>
      </c>
      <c r="W2269" s="6" t="str">
        <f t="shared" si="73"/>
        <v>颠茄磺苄啶片(泻利停)12片</v>
      </c>
      <c r="X2269" s="6" t="s">
        <v>2904</v>
      </c>
    </row>
    <row r="2270" spans="1:24" x14ac:dyDescent="0.15">
      <c r="A2270" s="7" t="str">
        <f t="shared" si="74"/>
        <v>201806</v>
      </c>
      <c r="C2270" s="6">
        <f>INDEX(工厂基础数据!$A$2:$A$1024,MATCH(X2270,工厂基础数据!$D$2:$D$1024,0))</f>
        <v>0</v>
      </c>
      <c r="E2270" s="6" t="str">
        <f>INDEX(工厂基础数据!$B$2:$B$1024,MATCH(X2270,工厂基础数据!$D$2:$D$1024,0))</f>
        <v>济南广林医药有限公司</v>
      </c>
      <c r="F2270" s="6" t="e">
        <f>INDEX(商业2转码!$B$2:$B$10000,MATCH(E2270,商业2转码!$A$2:$A$10000,0))</f>
        <v>#N/A</v>
      </c>
      <c r="G2270" s="6">
        <f>INDEX(品种2编码!$A$2:$A$1048576,MATCH(W2270,品种2编码!$D$2:$D$1048576,0))</f>
        <v>0</v>
      </c>
      <c r="H2270" s="6" t="s">
        <v>3608</v>
      </c>
      <c r="I2270" s="6" t="s">
        <v>381</v>
      </c>
      <c r="L2270" s="6" t="s">
        <v>3566</v>
      </c>
      <c r="M2270" s="6" t="e">
        <f>INDEX(医院2县区2人!$B$2:$B$1048576,MATCH(L2270,医院2县区2人!$A$2:$A$1048576,0))</f>
        <v>#N/A</v>
      </c>
      <c r="N2270" s="6" t="e">
        <f>INDEX(医院2县区2人!$C$2:$C$1048576,MATCH(L2270,医院2县区2人!$A$2:$A$1048576,0))</f>
        <v>#N/A</v>
      </c>
      <c r="P2270" s="7">
        <v>43266</v>
      </c>
      <c r="Q2270" s="6">
        <v>100</v>
      </c>
      <c r="S2270" s="6">
        <v>161103</v>
      </c>
      <c r="T2270" s="6" t="e">
        <f>INDEX(医院2县区2人!$D$2:$D$1048576,MATCH(L2270,医院2县区2人!$A$2:$A$1048576,0))</f>
        <v>#N/A</v>
      </c>
      <c r="W2270" s="6" t="str">
        <f t="shared" si="73"/>
        <v>颠茄磺苄啶片(泻利停)12片</v>
      </c>
      <c r="X2270" s="6" t="s">
        <v>2904</v>
      </c>
    </row>
    <row r="2271" spans="1:24" x14ac:dyDescent="0.15">
      <c r="A2271" s="7" t="str">
        <f t="shared" si="74"/>
        <v>201806</v>
      </c>
      <c r="C2271" s="6">
        <f>INDEX(工厂基础数据!$A$2:$A$1024,MATCH(X2271,工厂基础数据!$D$2:$D$1024,0))</f>
        <v>0</v>
      </c>
      <c r="E2271" s="6" t="str">
        <f>INDEX(工厂基础数据!$B$2:$B$1024,MATCH(X2271,工厂基础数据!$D$2:$D$1024,0))</f>
        <v>济南广林医药有限公司</v>
      </c>
      <c r="F2271" s="6" t="e">
        <f>INDEX(商业2转码!$B$2:$B$10000,MATCH(E2271,商业2转码!$A$2:$A$10000,0))</f>
        <v>#N/A</v>
      </c>
      <c r="G2271" s="6">
        <f>INDEX(品种2编码!$A$2:$A$1048576,MATCH(W2271,品种2编码!$D$2:$D$1048576,0))</f>
        <v>0</v>
      </c>
      <c r="H2271" s="6" t="s">
        <v>3608</v>
      </c>
      <c r="I2271" s="6" t="s">
        <v>381</v>
      </c>
      <c r="L2271" s="6" t="s">
        <v>3524</v>
      </c>
      <c r="M2271" s="6" t="e">
        <f>INDEX(医院2县区2人!$B$2:$B$1048576,MATCH(L2271,医院2县区2人!$A$2:$A$1048576,0))</f>
        <v>#N/A</v>
      </c>
      <c r="N2271" s="6" t="e">
        <f>INDEX(医院2县区2人!$C$2:$C$1048576,MATCH(L2271,医院2县区2人!$A$2:$A$1048576,0))</f>
        <v>#N/A</v>
      </c>
      <c r="P2271" s="7">
        <v>43266</v>
      </c>
      <c r="Q2271" s="6">
        <v>20</v>
      </c>
      <c r="S2271" s="6">
        <v>161103</v>
      </c>
      <c r="T2271" s="6" t="e">
        <f>INDEX(医院2县区2人!$D$2:$D$1048576,MATCH(L2271,医院2县区2人!$A$2:$A$1048576,0))</f>
        <v>#N/A</v>
      </c>
      <c r="W2271" s="6" t="str">
        <f t="shared" si="73"/>
        <v>颠茄磺苄啶片(泻利停)12片</v>
      </c>
      <c r="X2271" s="6" t="s">
        <v>2904</v>
      </c>
    </row>
    <row r="2272" spans="1:24" x14ac:dyDescent="0.15">
      <c r="A2272" s="7" t="str">
        <f t="shared" si="74"/>
        <v>201806</v>
      </c>
      <c r="C2272" s="6">
        <f>INDEX(工厂基础数据!$A$2:$A$1024,MATCH(X2272,工厂基础数据!$D$2:$D$1024,0))</f>
        <v>0</v>
      </c>
      <c r="E2272" s="6" t="str">
        <f>INDEX(工厂基础数据!$B$2:$B$1024,MATCH(X2272,工厂基础数据!$D$2:$D$1024,0))</f>
        <v>济南广林医药有限公司</v>
      </c>
      <c r="F2272" s="6" t="e">
        <f>INDEX(商业2转码!$B$2:$B$10000,MATCH(E2272,商业2转码!$A$2:$A$10000,0))</f>
        <v>#N/A</v>
      </c>
      <c r="G2272" s="6">
        <f>INDEX(品种2编码!$A$2:$A$1048576,MATCH(W2272,品种2编码!$D$2:$D$1048576,0))</f>
        <v>0</v>
      </c>
      <c r="H2272" s="6" t="s">
        <v>3608</v>
      </c>
      <c r="I2272" s="6" t="s">
        <v>381</v>
      </c>
      <c r="L2272" s="6" t="s">
        <v>3567</v>
      </c>
      <c r="M2272" s="6" t="e">
        <f>INDEX(医院2县区2人!$B$2:$B$1048576,MATCH(L2272,医院2县区2人!$A$2:$A$1048576,0))</f>
        <v>#N/A</v>
      </c>
      <c r="N2272" s="6" t="e">
        <f>INDEX(医院2县区2人!$C$2:$C$1048576,MATCH(L2272,医院2县区2人!$A$2:$A$1048576,0))</f>
        <v>#N/A</v>
      </c>
      <c r="P2272" s="7">
        <v>43266</v>
      </c>
      <c r="Q2272" s="6">
        <v>20</v>
      </c>
      <c r="S2272" s="6">
        <v>161103</v>
      </c>
      <c r="T2272" s="6" t="e">
        <f>INDEX(医院2县区2人!$D$2:$D$1048576,MATCH(L2272,医院2县区2人!$A$2:$A$1048576,0))</f>
        <v>#N/A</v>
      </c>
      <c r="W2272" s="6" t="str">
        <f t="shared" si="73"/>
        <v>颠茄磺苄啶片(泻利停)12片</v>
      </c>
      <c r="X2272" s="6" t="s">
        <v>2904</v>
      </c>
    </row>
    <row r="2273" spans="1:24" x14ac:dyDescent="0.15">
      <c r="A2273" s="7" t="str">
        <f t="shared" si="74"/>
        <v>201806</v>
      </c>
      <c r="C2273" s="6">
        <f>INDEX(工厂基础数据!$A$2:$A$1024,MATCH(X2273,工厂基础数据!$D$2:$D$1024,0))</f>
        <v>0</v>
      </c>
      <c r="E2273" s="6" t="str">
        <f>INDEX(工厂基础数据!$B$2:$B$1024,MATCH(X2273,工厂基础数据!$D$2:$D$1024,0))</f>
        <v>济南广林医药有限公司</v>
      </c>
      <c r="F2273" s="6" t="e">
        <f>INDEX(商业2转码!$B$2:$B$10000,MATCH(E2273,商业2转码!$A$2:$A$10000,0))</f>
        <v>#N/A</v>
      </c>
      <c r="G2273" s="6">
        <f>INDEX(品种2编码!$A$2:$A$1048576,MATCH(W2273,品种2编码!$D$2:$D$1048576,0))</f>
        <v>0</v>
      </c>
      <c r="H2273" s="6" t="s">
        <v>3608</v>
      </c>
      <c r="I2273" s="6" t="s">
        <v>381</v>
      </c>
      <c r="L2273" s="6" t="s">
        <v>3475</v>
      </c>
      <c r="M2273" s="6" t="e">
        <f>INDEX(医院2县区2人!$B$2:$B$1048576,MATCH(L2273,医院2县区2人!$A$2:$A$1048576,0))</f>
        <v>#N/A</v>
      </c>
      <c r="N2273" s="6" t="e">
        <f>INDEX(医院2县区2人!$C$2:$C$1048576,MATCH(L2273,医院2县区2人!$A$2:$A$1048576,0))</f>
        <v>#N/A</v>
      </c>
      <c r="P2273" s="7">
        <v>43266</v>
      </c>
      <c r="Q2273" s="6">
        <v>5</v>
      </c>
      <c r="S2273" s="6">
        <v>161103</v>
      </c>
      <c r="T2273" s="6" t="e">
        <f>INDEX(医院2县区2人!$D$2:$D$1048576,MATCH(L2273,医院2县区2人!$A$2:$A$1048576,0))</f>
        <v>#N/A</v>
      </c>
      <c r="W2273" s="6" t="str">
        <f t="shared" si="73"/>
        <v>颠茄磺苄啶片(泻利停)12片</v>
      </c>
      <c r="X2273" s="6" t="s">
        <v>2904</v>
      </c>
    </row>
    <row r="2274" spans="1:24" x14ac:dyDescent="0.15">
      <c r="A2274" s="7" t="str">
        <f t="shared" si="74"/>
        <v>201806</v>
      </c>
      <c r="C2274" s="6">
        <f>INDEX(工厂基础数据!$A$2:$A$1024,MATCH(X2274,工厂基础数据!$D$2:$D$1024,0))</f>
        <v>0</v>
      </c>
      <c r="E2274" s="6" t="str">
        <f>INDEX(工厂基础数据!$B$2:$B$1024,MATCH(X2274,工厂基础数据!$D$2:$D$1024,0))</f>
        <v>济南广林医药有限公司</v>
      </c>
      <c r="F2274" s="6" t="e">
        <f>INDEX(商业2转码!$B$2:$B$10000,MATCH(E2274,商业2转码!$A$2:$A$10000,0))</f>
        <v>#N/A</v>
      </c>
      <c r="G2274" s="6">
        <f>INDEX(品种2编码!$A$2:$A$1048576,MATCH(W2274,品种2编码!$D$2:$D$1048576,0))</f>
        <v>0</v>
      </c>
      <c r="H2274" s="6" t="s">
        <v>3608</v>
      </c>
      <c r="I2274" s="6" t="s">
        <v>381</v>
      </c>
      <c r="L2274" s="6" t="s">
        <v>3568</v>
      </c>
      <c r="M2274" s="6" t="e">
        <f>INDEX(医院2县区2人!$B$2:$B$1048576,MATCH(L2274,医院2县区2人!$A$2:$A$1048576,0))</f>
        <v>#N/A</v>
      </c>
      <c r="N2274" s="6" t="e">
        <f>INDEX(医院2县区2人!$C$2:$C$1048576,MATCH(L2274,医院2县区2人!$A$2:$A$1048576,0))</f>
        <v>#N/A</v>
      </c>
      <c r="P2274" s="7">
        <v>43266</v>
      </c>
      <c r="Q2274" s="6">
        <v>20</v>
      </c>
      <c r="S2274" s="6">
        <v>161103</v>
      </c>
      <c r="T2274" s="6" t="e">
        <f>INDEX(医院2县区2人!$D$2:$D$1048576,MATCH(L2274,医院2县区2人!$A$2:$A$1048576,0))</f>
        <v>#N/A</v>
      </c>
      <c r="W2274" s="6" t="str">
        <f t="shared" si="73"/>
        <v>颠茄磺苄啶片(泻利停)12片</v>
      </c>
      <c r="X2274" s="6" t="s">
        <v>2904</v>
      </c>
    </row>
    <row r="2275" spans="1:24" x14ac:dyDescent="0.15">
      <c r="A2275" s="7" t="str">
        <f t="shared" si="74"/>
        <v>201806</v>
      </c>
      <c r="C2275" s="6">
        <f>INDEX(工厂基础数据!$A$2:$A$1024,MATCH(X2275,工厂基础数据!$D$2:$D$1024,0))</f>
        <v>0</v>
      </c>
      <c r="E2275" s="6" t="str">
        <f>INDEX(工厂基础数据!$B$2:$B$1024,MATCH(X2275,工厂基础数据!$D$2:$D$1024,0))</f>
        <v>济南广林医药有限公司</v>
      </c>
      <c r="F2275" s="6" t="e">
        <f>INDEX(商业2转码!$B$2:$B$10000,MATCH(E2275,商业2转码!$A$2:$A$10000,0))</f>
        <v>#N/A</v>
      </c>
      <c r="G2275" s="6">
        <f>INDEX(品种2编码!$A$2:$A$1048576,MATCH(W2275,品种2编码!$D$2:$D$1048576,0))</f>
        <v>0</v>
      </c>
      <c r="H2275" s="6" t="s">
        <v>3608</v>
      </c>
      <c r="I2275" s="6" t="s">
        <v>381</v>
      </c>
      <c r="L2275" s="6" t="s">
        <v>3569</v>
      </c>
      <c r="M2275" s="6" t="e">
        <f>INDEX(医院2县区2人!$B$2:$B$1048576,MATCH(L2275,医院2县区2人!$A$2:$A$1048576,0))</f>
        <v>#N/A</v>
      </c>
      <c r="N2275" s="6" t="e">
        <f>INDEX(医院2县区2人!$C$2:$C$1048576,MATCH(L2275,医院2县区2人!$A$2:$A$1048576,0))</f>
        <v>#N/A</v>
      </c>
      <c r="P2275" s="7">
        <v>43266</v>
      </c>
      <c r="Q2275" s="6">
        <v>10</v>
      </c>
      <c r="S2275" s="6">
        <v>161103</v>
      </c>
      <c r="T2275" s="6" t="e">
        <f>INDEX(医院2县区2人!$D$2:$D$1048576,MATCH(L2275,医院2县区2人!$A$2:$A$1048576,0))</f>
        <v>#N/A</v>
      </c>
      <c r="W2275" s="6" t="str">
        <f t="shared" si="73"/>
        <v>颠茄磺苄啶片(泻利停)12片</v>
      </c>
      <c r="X2275" s="6" t="s">
        <v>2904</v>
      </c>
    </row>
    <row r="2276" spans="1:24" x14ac:dyDescent="0.15">
      <c r="A2276" s="7" t="str">
        <f t="shared" si="74"/>
        <v>201806</v>
      </c>
      <c r="C2276" s="6">
        <f>INDEX(工厂基础数据!$A$2:$A$1024,MATCH(X2276,工厂基础数据!$D$2:$D$1024,0))</f>
        <v>0</v>
      </c>
      <c r="E2276" s="6" t="str">
        <f>INDEX(工厂基础数据!$B$2:$B$1024,MATCH(X2276,工厂基础数据!$D$2:$D$1024,0))</f>
        <v>济南广林医药有限公司</v>
      </c>
      <c r="F2276" s="6" t="e">
        <f>INDEX(商业2转码!$B$2:$B$10000,MATCH(E2276,商业2转码!$A$2:$A$10000,0))</f>
        <v>#N/A</v>
      </c>
      <c r="G2276" s="6">
        <f>INDEX(品种2编码!$A$2:$A$1048576,MATCH(W2276,品种2编码!$D$2:$D$1048576,0))</f>
        <v>0</v>
      </c>
      <c r="H2276" s="6" t="s">
        <v>3608</v>
      </c>
      <c r="I2276" s="6" t="s">
        <v>381</v>
      </c>
      <c r="L2276" s="6" t="s">
        <v>3570</v>
      </c>
      <c r="M2276" s="6" t="e">
        <f>INDEX(医院2县区2人!$B$2:$B$1048576,MATCH(L2276,医院2县区2人!$A$2:$A$1048576,0))</f>
        <v>#N/A</v>
      </c>
      <c r="N2276" s="6" t="e">
        <f>INDEX(医院2县区2人!$C$2:$C$1048576,MATCH(L2276,医院2县区2人!$A$2:$A$1048576,0))</f>
        <v>#N/A</v>
      </c>
      <c r="P2276" s="7">
        <v>43266</v>
      </c>
      <c r="Q2276" s="6">
        <v>5</v>
      </c>
      <c r="S2276" s="6">
        <v>161103</v>
      </c>
      <c r="T2276" s="6" t="e">
        <f>INDEX(医院2县区2人!$D$2:$D$1048576,MATCH(L2276,医院2县区2人!$A$2:$A$1048576,0))</f>
        <v>#N/A</v>
      </c>
      <c r="W2276" s="6" t="str">
        <f t="shared" si="73"/>
        <v>颠茄磺苄啶片(泻利停)12片</v>
      </c>
      <c r="X2276" s="6" t="s">
        <v>2904</v>
      </c>
    </row>
    <row r="2277" spans="1:24" x14ac:dyDescent="0.15">
      <c r="A2277" s="7" t="str">
        <f t="shared" si="74"/>
        <v>201806</v>
      </c>
      <c r="C2277" s="6">
        <f>INDEX(工厂基础数据!$A$2:$A$1024,MATCH(X2277,工厂基础数据!$D$2:$D$1024,0))</f>
        <v>0</v>
      </c>
      <c r="E2277" s="6" t="str">
        <f>INDEX(工厂基础数据!$B$2:$B$1024,MATCH(X2277,工厂基础数据!$D$2:$D$1024,0))</f>
        <v>济南广林医药有限公司</v>
      </c>
      <c r="F2277" s="6" t="e">
        <f>INDEX(商业2转码!$B$2:$B$10000,MATCH(E2277,商业2转码!$A$2:$A$10000,0))</f>
        <v>#N/A</v>
      </c>
      <c r="G2277" s="6">
        <f>INDEX(品种2编码!$A$2:$A$1048576,MATCH(W2277,品种2编码!$D$2:$D$1048576,0))</f>
        <v>0</v>
      </c>
      <c r="H2277" s="6" t="s">
        <v>3608</v>
      </c>
      <c r="I2277" s="6" t="s">
        <v>381</v>
      </c>
      <c r="L2277" s="6" t="s">
        <v>3538</v>
      </c>
      <c r="M2277" s="6" t="e">
        <f>INDEX(医院2县区2人!$B$2:$B$1048576,MATCH(L2277,医院2县区2人!$A$2:$A$1048576,0))</f>
        <v>#N/A</v>
      </c>
      <c r="N2277" s="6" t="e">
        <f>INDEX(医院2县区2人!$C$2:$C$1048576,MATCH(L2277,医院2县区2人!$A$2:$A$1048576,0))</f>
        <v>#N/A</v>
      </c>
      <c r="P2277" s="7">
        <v>43266</v>
      </c>
      <c r="Q2277" s="6">
        <v>10</v>
      </c>
      <c r="S2277" s="6">
        <v>161103</v>
      </c>
      <c r="T2277" s="6" t="e">
        <f>INDEX(医院2县区2人!$D$2:$D$1048576,MATCH(L2277,医院2县区2人!$A$2:$A$1048576,0))</f>
        <v>#N/A</v>
      </c>
      <c r="W2277" s="6" t="str">
        <f t="shared" si="73"/>
        <v>颠茄磺苄啶片(泻利停)12片</v>
      </c>
      <c r="X2277" s="6" t="s">
        <v>2904</v>
      </c>
    </row>
    <row r="2278" spans="1:24" x14ac:dyDescent="0.15">
      <c r="A2278" s="7" t="str">
        <f t="shared" si="74"/>
        <v>201806</v>
      </c>
      <c r="C2278" s="6">
        <f>INDEX(工厂基础数据!$A$2:$A$1024,MATCH(X2278,工厂基础数据!$D$2:$D$1024,0))</f>
        <v>0</v>
      </c>
      <c r="E2278" s="6" t="str">
        <f>INDEX(工厂基础数据!$B$2:$B$1024,MATCH(X2278,工厂基础数据!$D$2:$D$1024,0))</f>
        <v>济南广林医药有限公司</v>
      </c>
      <c r="F2278" s="6" t="e">
        <f>INDEX(商业2转码!$B$2:$B$10000,MATCH(E2278,商业2转码!$A$2:$A$10000,0))</f>
        <v>#N/A</v>
      </c>
      <c r="G2278" s="6">
        <f>INDEX(品种2编码!$A$2:$A$1048576,MATCH(W2278,品种2编码!$D$2:$D$1048576,0))</f>
        <v>0</v>
      </c>
      <c r="H2278" s="6" t="s">
        <v>3608</v>
      </c>
      <c r="I2278" s="6" t="s">
        <v>381</v>
      </c>
      <c r="L2278" s="6" t="s">
        <v>3535</v>
      </c>
      <c r="M2278" s="6" t="e">
        <f>INDEX(医院2县区2人!$B$2:$B$1048576,MATCH(L2278,医院2县区2人!$A$2:$A$1048576,0))</f>
        <v>#N/A</v>
      </c>
      <c r="N2278" s="6" t="e">
        <f>INDEX(医院2县区2人!$C$2:$C$1048576,MATCH(L2278,医院2县区2人!$A$2:$A$1048576,0))</f>
        <v>#N/A</v>
      </c>
      <c r="P2278" s="7">
        <v>43269</v>
      </c>
      <c r="Q2278" s="6">
        <v>5</v>
      </c>
      <c r="S2278" s="6">
        <v>161103</v>
      </c>
      <c r="T2278" s="6" t="e">
        <f>INDEX(医院2县区2人!$D$2:$D$1048576,MATCH(L2278,医院2县区2人!$A$2:$A$1048576,0))</f>
        <v>#N/A</v>
      </c>
      <c r="W2278" s="6" t="str">
        <f t="shared" si="73"/>
        <v>颠茄磺苄啶片(泻利停)12片</v>
      </c>
      <c r="X2278" s="6" t="s">
        <v>2904</v>
      </c>
    </row>
    <row r="2279" spans="1:24" x14ac:dyDescent="0.15">
      <c r="A2279" s="7" t="str">
        <f t="shared" si="74"/>
        <v>201806</v>
      </c>
      <c r="C2279" s="6">
        <f>INDEX(工厂基础数据!$A$2:$A$1024,MATCH(X2279,工厂基础数据!$D$2:$D$1024,0))</f>
        <v>0</v>
      </c>
      <c r="E2279" s="6" t="str">
        <f>INDEX(工厂基础数据!$B$2:$B$1024,MATCH(X2279,工厂基础数据!$D$2:$D$1024,0))</f>
        <v>济南广林医药有限公司</v>
      </c>
      <c r="F2279" s="6" t="e">
        <f>INDEX(商业2转码!$B$2:$B$10000,MATCH(E2279,商业2转码!$A$2:$A$10000,0))</f>
        <v>#N/A</v>
      </c>
      <c r="G2279" s="6">
        <f>INDEX(品种2编码!$A$2:$A$1048576,MATCH(W2279,品种2编码!$D$2:$D$1048576,0))</f>
        <v>0</v>
      </c>
      <c r="H2279" s="6" t="s">
        <v>3608</v>
      </c>
      <c r="I2279" s="6" t="s">
        <v>381</v>
      </c>
      <c r="L2279" s="6" t="s">
        <v>3571</v>
      </c>
      <c r="M2279" s="6" t="e">
        <f>INDEX(医院2县区2人!$B$2:$B$1048576,MATCH(L2279,医院2县区2人!$A$2:$A$1048576,0))</f>
        <v>#N/A</v>
      </c>
      <c r="N2279" s="6" t="e">
        <f>INDEX(医院2县区2人!$C$2:$C$1048576,MATCH(L2279,医院2县区2人!$A$2:$A$1048576,0))</f>
        <v>#N/A</v>
      </c>
      <c r="P2279" s="7">
        <v>43269</v>
      </c>
      <c r="Q2279" s="6">
        <v>20</v>
      </c>
      <c r="S2279" s="6">
        <v>161103</v>
      </c>
      <c r="T2279" s="6" t="e">
        <f>INDEX(医院2县区2人!$D$2:$D$1048576,MATCH(L2279,医院2县区2人!$A$2:$A$1048576,0))</f>
        <v>#N/A</v>
      </c>
      <c r="W2279" s="6" t="str">
        <f t="shared" si="73"/>
        <v>颠茄磺苄啶片(泻利停)12片</v>
      </c>
      <c r="X2279" s="6" t="s">
        <v>2904</v>
      </c>
    </row>
    <row r="2280" spans="1:24" x14ac:dyDescent="0.15">
      <c r="A2280" s="7" t="str">
        <f t="shared" si="74"/>
        <v>201806</v>
      </c>
      <c r="C2280" s="6">
        <f>INDEX(工厂基础数据!$A$2:$A$1024,MATCH(X2280,工厂基础数据!$D$2:$D$1024,0))</f>
        <v>0</v>
      </c>
      <c r="E2280" s="6" t="str">
        <f>INDEX(工厂基础数据!$B$2:$B$1024,MATCH(X2280,工厂基础数据!$D$2:$D$1024,0))</f>
        <v>济南广林医药有限公司</v>
      </c>
      <c r="F2280" s="6" t="e">
        <f>INDEX(商业2转码!$B$2:$B$10000,MATCH(E2280,商业2转码!$A$2:$A$10000,0))</f>
        <v>#N/A</v>
      </c>
      <c r="G2280" s="6">
        <f>INDEX(品种2编码!$A$2:$A$1048576,MATCH(W2280,品种2编码!$D$2:$D$1048576,0))</f>
        <v>0</v>
      </c>
      <c r="H2280" s="6" t="s">
        <v>3608</v>
      </c>
      <c r="I2280" s="6" t="s">
        <v>381</v>
      </c>
      <c r="L2280" s="6" t="s">
        <v>3572</v>
      </c>
      <c r="M2280" s="6" t="e">
        <f>INDEX(医院2县区2人!$B$2:$B$1048576,MATCH(L2280,医院2县区2人!$A$2:$A$1048576,0))</f>
        <v>#N/A</v>
      </c>
      <c r="N2280" s="6" t="e">
        <f>INDEX(医院2县区2人!$C$2:$C$1048576,MATCH(L2280,医院2县区2人!$A$2:$A$1048576,0))</f>
        <v>#N/A</v>
      </c>
      <c r="P2280" s="7">
        <v>43269</v>
      </c>
      <c r="Q2280" s="6">
        <v>10</v>
      </c>
      <c r="S2280" s="6">
        <v>161103</v>
      </c>
      <c r="T2280" s="6" t="e">
        <f>INDEX(医院2县区2人!$D$2:$D$1048576,MATCH(L2280,医院2县区2人!$A$2:$A$1048576,0))</f>
        <v>#N/A</v>
      </c>
      <c r="W2280" s="6" t="str">
        <f t="shared" si="73"/>
        <v>颠茄磺苄啶片(泻利停)12片</v>
      </c>
      <c r="X2280" s="6" t="s">
        <v>2904</v>
      </c>
    </row>
    <row r="2281" spans="1:24" x14ac:dyDescent="0.15">
      <c r="A2281" s="7" t="str">
        <f t="shared" si="74"/>
        <v>201806</v>
      </c>
      <c r="C2281" s="6">
        <f>INDEX(工厂基础数据!$A$2:$A$1024,MATCH(X2281,工厂基础数据!$D$2:$D$1024,0))</f>
        <v>0</v>
      </c>
      <c r="E2281" s="6" t="str">
        <f>INDEX(工厂基础数据!$B$2:$B$1024,MATCH(X2281,工厂基础数据!$D$2:$D$1024,0))</f>
        <v>济南广林医药有限公司</v>
      </c>
      <c r="F2281" s="6" t="e">
        <f>INDEX(商业2转码!$B$2:$B$10000,MATCH(E2281,商业2转码!$A$2:$A$10000,0))</f>
        <v>#N/A</v>
      </c>
      <c r="G2281" s="6">
        <f>INDEX(品种2编码!$A$2:$A$1048576,MATCH(W2281,品种2编码!$D$2:$D$1048576,0))</f>
        <v>0</v>
      </c>
      <c r="H2281" s="6" t="s">
        <v>3608</v>
      </c>
      <c r="I2281" s="6" t="s">
        <v>381</v>
      </c>
      <c r="L2281" s="6" t="s">
        <v>3573</v>
      </c>
      <c r="M2281" s="6" t="e">
        <f>INDEX(医院2县区2人!$B$2:$B$1048576,MATCH(L2281,医院2县区2人!$A$2:$A$1048576,0))</f>
        <v>#N/A</v>
      </c>
      <c r="N2281" s="6" t="e">
        <f>INDEX(医院2县区2人!$C$2:$C$1048576,MATCH(L2281,医院2县区2人!$A$2:$A$1048576,0))</f>
        <v>#N/A</v>
      </c>
      <c r="P2281" s="7">
        <v>43269</v>
      </c>
      <c r="Q2281" s="6">
        <v>20</v>
      </c>
      <c r="S2281" s="6">
        <v>161103</v>
      </c>
      <c r="T2281" s="6" t="e">
        <f>INDEX(医院2县区2人!$D$2:$D$1048576,MATCH(L2281,医院2县区2人!$A$2:$A$1048576,0))</f>
        <v>#N/A</v>
      </c>
      <c r="W2281" s="6" t="str">
        <f t="shared" si="73"/>
        <v>颠茄磺苄啶片(泻利停)12片</v>
      </c>
      <c r="X2281" s="6" t="s">
        <v>2904</v>
      </c>
    </row>
    <row r="2282" spans="1:24" x14ac:dyDescent="0.15">
      <c r="A2282" s="7" t="str">
        <f t="shared" si="74"/>
        <v>201806</v>
      </c>
      <c r="C2282" s="6">
        <f>INDEX(工厂基础数据!$A$2:$A$1024,MATCH(X2282,工厂基础数据!$D$2:$D$1024,0))</f>
        <v>0</v>
      </c>
      <c r="E2282" s="6" t="str">
        <f>INDEX(工厂基础数据!$B$2:$B$1024,MATCH(X2282,工厂基础数据!$D$2:$D$1024,0))</f>
        <v>济南广林医药有限公司</v>
      </c>
      <c r="F2282" s="6" t="e">
        <f>INDEX(商业2转码!$B$2:$B$10000,MATCH(E2282,商业2转码!$A$2:$A$10000,0))</f>
        <v>#N/A</v>
      </c>
      <c r="G2282" s="6">
        <f>INDEX(品种2编码!$A$2:$A$1048576,MATCH(W2282,品种2编码!$D$2:$D$1048576,0))</f>
        <v>0</v>
      </c>
      <c r="H2282" s="6" t="s">
        <v>3608</v>
      </c>
      <c r="I2282" s="6" t="s">
        <v>381</v>
      </c>
      <c r="L2282" s="6" t="s">
        <v>3574</v>
      </c>
      <c r="M2282" s="6" t="e">
        <f>INDEX(医院2县区2人!$B$2:$B$1048576,MATCH(L2282,医院2县区2人!$A$2:$A$1048576,0))</f>
        <v>#N/A</v>
      </c>
      <c r="N2282" s="6" t="e">
        <f>INDEX(医院2县区2人!$C$2:$C$1048576,MATCH(L2282,医院2县区2人!$A$2:$A$1048576,0))</f>
        <v>#N/A</v>
      </c>
      <c r="P2282" s="7">
        <v>43270</v>
      </c>
      <c r="Q2282" s="6">
        <v>10</v>
      </c>
      <c r="S2282" s="6">
        <v>161103</v>
      </c>
      <c r="T2282" s="6" t="e">
        <f>INDEX(医院2县区2人!$D$2:$D$1048576,MATCH(L2282,医院2县区2人!$A$2:$A$1048576,0))</f>
        <v>#N/A</v>
      </c>
      <c r="W2282" s="6" t="str">
        <f t="shared" si="73"/>
        <v>颠茄磺苄啶片(泻利停)12片</v>
      </c>
      <c r="X2282" s="6" t="s">
        <v>2904</v>
      </c>
    </row>
    <row r="2283" spans="1:24" x14ac:dyDescent="0.15">
      <c r="A2283" s="7" t="str">
        <f t="shared" si="74"/>
        <v>201806</v>
      </c>
      <c r="C2283" s="6">
        <f>INDEX(工厂基础数据!$A$2:$A$1024,MATCH(X2283,工厂基础数据!$D$2:$D$1024,0))</f>
        <v>0</v>
      </c>
      <c r="E2283" s="6" t="str">
        <f>INDEX(工厂基础数据!$B$2:$B$1024,MATCH(X2283,工厂基础数据!$D$2:$D$1024,0))</f>
        <v>济南广林医药有限公司</v>
      </c>
      <c r="F2283" s="6" t="e">
        <f>INDEX(商业2转码!$B$2:$B$10000,MATCH(E2283,商业2转码!$A$2:$A$10000,0))</f>
        <v>#N/A</v>
      </c>
      <c r="G2283" s="6">
        <f>INDEX(品种2编码!$A$2:$A$1048576,MATCH(W2283,品种2编码!$D$2:$D$1048576,0))</f>
        <v>0</v>
      </c>
      <c r="H2283" s="6" t="s">
        <v>3608</v>
      </c>
      <c r="I2283" s="6" t="s">
        <v>381</v>
      </c>
      <c r="L2283" s="6" t="s">
        <v>3535</v>
      </c>
      <c r="M2283" s="6" t="e">
        <f>INDEX(医院2县区2人!$B$2:$B$1048576,MATCH(L2283,医院2县区2人!$A$2:$A$1048576,0))</f>
        <v>#N/A</v>
      </c>
      <c r="N2283" s="6" t="e">
        <f>INDEX(医院2县区2人!$C$2:$C$1048576,MATCH(L2283,医院2县区2人!$A$2:$A$1048576,0))</f>
        <v>#N/A</v>
      </c>
      <c r="P2283" s="7">
        <v>43270</v>
      </c>
      <c r="Q2283" s="6">
        <v>60</v>
      </c>
      <c r="S2283" s="6">
        <v>161103</v>
      </c>
      <c r="T2283" s="6" t="e">
        <f>INDEX(医院2县区2人!$D$2:$D$1048576,MATCH(L2283,医院2县区2人!$A$2:$A$1048576,0))</f>
        <v>#N/A</v>
      </c>
      <c r="W2283" s="6" t="str">
        <f t="shared" si="73"/>
        <v>颠茄磺苄啶片(泻利停)12片</v>
      </c>
      <c r="X2283" s="6" t="s">
        <v>2904</v>
      </c>
    </row>
    <row r="2284" spans="1:24" x14ac:dyDescent="0.15">
      <c r="A2284" s="7" t="str">
        <f t="shared" si="74"/>
        <v>201806</v>
      </c>
      <c r="C2284" s="6">
        <f>INDEX(工厂基础数据!$A$2:$A$1024,MATCH(X2284,工厂基础数据!$D$2:$D$1024,0))</f>
        <v>0</v>
      </c>
      <c r="E2284" s="6" t="str">
        <f>INDEX(工厂基础数据!$B$2:$B$1024,MATCH(X2284,工厂基础数据!$D$2:$D$1024,0))</f>
        <v>济南广林医药有限公司</v>
      </c>
      <c r="F2284" s="6" t="e">
        <f>INDEX(商业2转码!$B$2:$B$10000,MATCH(E2284,商业2转码!$A$2:$A$10000,0))</f>
        <v>#N/A</v>
      </c>
      <c r="G2284" s="6">
        <f>INDEX(品种2编码!$A$2:$A$1048576,MATCH(W2284,品种2编码!$D$2:$D$1048576,0))</f>
        <v>0</v>
      </c>
      <c r="H2284" s="6" t="s">
        <v>3608</v>
      </c>
      <c r="I2284" s="6" t="s">
        <v>381</v>
      </c>
      <c r="L2284" s="6" t="s">
        <v>3539</v>
      </c>
      <c r="M2284" s="6" t="e">
        <f>INDEX(医院2县区2人!$B$2:$B$1048576,MATCH(L2284,医院2县区2人!$A$2:$A$1048576,0))</f>
        <v>#N/A</v>
      </c>
      <c r="N2284" s="6" t="e">
        <f>INDEX(医院2县区2人!$C$2:$C$1048576,MATCH(L2284,医院2县区2人!$A$2:$A$1048576,0))</f>
        <v>#N/A</v>
      </c>
      <c r="P2284" s="7">
        <v>43270</v>
      </c>
      <c r="Q2284" s="6">
        <v>10</v>
      </c>
      <c r="S2284" s="6">
        <v>161103</v>
      </c>
      <c r="T2284" s="6" t="e">
        <f>INDEX(医院2县区2人!$D$2:$D$1048576,MATCH(L2284,医院2县区2人!$A$2:$A$1048576,0))</f>
        <v>#N/A</v>
      </c>
      <c r="W2284" s="6" t="str">
        <f t="shared" si="73"/>
        <v>颠茄磺苄啶片(泻利停)12片</v>
      </c>
      <c r="X2284" s="6" t="s">
        <v>2904</v>
      </c>
    </row>
    <row r="2285" spans="1:24" x14ac:dyDescent="0.15">
      <c r="A2285" s="7" t="str">
        <f t="shared" si="74"/>
        <v>201806</v>
      </c>
      <c r="C2285" s="6">
        <f>INDEX(工厂基础数据!$A$2:$A$1024,MATCH(X2285,工厂基础数据!$D$2:$D$1024,0))</f>
        <v>0</v>
      </c>
      <c r="E2285" s="6" t="str">
        <f>INDEX(工厂基础数据!$B$2:$B$1024,MATCH(X2285,工厂基础数据!$D$2:$D$1024,0))</f>
        <v>济南广林医药有限公司</v>
      </c>
      <c r="F2285" s="6" t="e">
        <f>INDEX(商业2转码!$B$2:$B$10000,MATCH(E2285,商业2转码!$A$2:$A$10000,0))</f>
        <v>#N/A</v>
      </c>
      <c r="G2285" s="6">
        <f>INDEX(品种2编码!$A$2:$A$1048576,MATCH(W2285,品种2编码!$D$2:$D$1048576,0))</f>
        <v>0</v>
      </c>
      <c r="H2285" s="6" t="s">
        <v>3608</v>
      </c>
      <c r="I2285" s="6" t="s">
        <v>381</v>
      </c>
      <c r="L2285" s="6" t="s">
        <v>3552</v>
      </c>
      <c r="M2285" s="6" t="e">
        <f>INDEX(医院2县区2人!$B$2:$B$1048576,MATCH(L2285,医院2县区2人!$A$2:$A$1048576,0))</f>
        <v>#N/A</v>
      </c>
      <c r="N2285" s="6" t="e">
        <f>INDEX(医院2县区2人!$C$2:$C$1048576,MATCH(L2285,医院2县区2人!$A$2:$A$1048576,0))</f>
        <v>#N/A</v>
      </c>
      <c r="P2285" s="7">
        <v>43270</v>
      </c>
      <c r="Q2285" s="6">
        <v>20</v>
      </c>
      <c r="S2285" s="6">
        <v>161103</v>
      </c>
      <c r="T2285" s="6" t="e">
        <f>INDEX(医院2县区2人!$D$2:$D$1048576,MATCH(L2285,医院2县区2人!$A$2:$A$1048576,0))</f>
        <v>#N/A</v>
      </c>
      <c r="W2285" s="6" t="str">
        <f t="shared" si="73"/>
        <v>颠茄磺苄啶片(泻利停)12片</v>
      </c>
      <c r="X2285" s="6" t="s">
        <v>2904</v>
      </c>
    </row>
    <row r="2286" spans="1:24" x14ac:dyDescent="0.15">
      <c r="A2286" s="7" t="str">
        <f t="shared" si="74"/>
        <v>201806</v>
      </c>
      <c r="C2286" s="6">
        <f>INDEX(工厂基础数据!$A$2:$A$1024,MATCH(X2286,工厂基础数据!$D$2:$D$1024,0))</f>
        <v>0</v>
      </c>
      <c r="E2286" s="6" t="str">
        <f>INDEX(工厂基础数据!$B$2:$B$1024,MATCH(X2286,工厂基础数据!$D$2:$D$1024,0))</f>
        <v>济南广林医药有限公司</v>
      </c>
      <c r="F2286" s="6" t="e">
        <f>INDEX(商业2转码!$B$2:$B$10000,MATCH(E2286,商业2转码!$A$2:$A$10000,0))</f>
        <v>#N/A</v>
      </c>
      <c r="G2286" s="6">
        <f>INDEX(品种2编码!$A$2:$A$1048576,MATCH(W2286,品种2编码!$D$2:$D$1048576,0))</f>
        <v>0</v>
      </c>
      <c r="H2286" s="6" t="s">
        <v>3608</v>
      </c>
      <c r="I2286" s="6" t="s">
        <v>381</v>
      </c>
      <c r="L2286" s="6" t="s">
        <v>3575</v>
      </c>
      <c r="M2286" s="6" t="e">
        <f>INDEX(医院2县区2人!$B$2:$B$1048576,MATCH(L2286,医院2县区2人!$A$2:$A$1048576,0))</f>
        <v>#N/A</v>
      </c>
      <c r="N2286" s="6" t="e">
        <f>INDEX(医院2县区2人!$C$2:$C$1048576,MATCH(L2286,医院2县区2人!$A$2:$A$1048576,0))</f>
        <v>#N/A</v>
      </c>
      <c r="P2286" s="7">
        <v>43270</v>
      </c>
      <c r="Q2286" s="6">
        <v>100</v>
      </c>
      <c r="S2286" s="6">
        <v>161103</v>
      </c>
      <c r="T2286" s="6" t="e">
        <f>INDEX(医院2县区2人!$D$2:$D$1048576,MATCH(L2286,医院2县区2人!$A$2:$A$1048576,0))</f>
        <v>#N/A</v>
      </c>
      <c r="W2286" s="6" t="str">
        <f t="shared" si="73"/>
        <v>颠茄磺苄啶片(泻利停)12片</v>
      </c>
      <c r="X2286" s="6" t="s">
        <v>2904</v>
      </c>
    </row>
    <row r="2287" spans="1:24" x14ac:dyDescent="0.15">
      <c r="A2287" s="7" t="str">
        <f t="shared" si="74"/>
        <v>201806</v>
      </c>
      <c r="C2287" s="6">
        <f>INDEX(工厂基础数据!$A$2:$A$1024,MATCH(X2287,工厂基础数据!$D$2:$D$1024,0))</f>
        <v>0</v>
      </c>
      <c r="E2287" s="6" t="str">
        <f>INDEX(工厂基础数据!$B$2:$B$1024,MATCH(X2287,工厂基础数据!$D$2:$D$1024,0))</f>
        <v>济南广林医药有限公司</v>
      </c>
      <c r="F2287" s="6" t="e">
        <f>INDEX(商业2转码!$B$2:$B$10000,MATCH(E2287,商业2转码!$A$2:$A$10000,0))</f>
        <v>#N/A</v>
      </c>
      <c r="G2287" s="6">
        <f>INDEX(品种2编码!$A$2:$A$1048576,MATCH(W2287,品种2编码!$D$2:$D$1048576,0))</f>
        <v>0</v>
      </c>
      <c r="H2287" s="6" t="s">
        <v>3608</v>
      </c>
      <c r="I2287" s="6" t="s">
        <v>381</v>
      </c>
      <c r="L2287" s="6" t="s">
        <v>3576</v>
      </c>
      <c r="M2287" s="6" t="e">
        <f>INDEX(医院2县区2人!$B$2:$B$1048576,MATCH(L2287,医院2县区2人!$A$2:$A$1048576,0))</f>
        <v>#N/A</v>
      </c>
      <c r="N2287" s="6" t="e">
        <f>INDEX(医院2县区2人!$C$2:$C$1048576,MATCH(L2287,医院2县区2人!$A$2:$A$1048576,0))</f>
        <v>#N/A</v>
      </c>
      <c r="P2287" s="7">
        <v>43270</v>
      </c>
      <c r="Q2287" s="6">
        <v>10</v>
      </c>
      <c r="S2287" s="6">
        <v>161103</v>
      </c>
      <c r="T2287" s="6" t="e">
        <f>INDEX(医院2县区2人!$D$2:$D$1048576,MATCH(L2287,医院2县区2人!$A$2:$A$1048576,0))</f>
        <v>#N/A</v>
      </c>
      <c r="W2287" s="6" t="str">
        <f t="shared" si="73"/>
        <v>颠茄磺苄啶片(泻利停)12片</v>
      </c>
      <c r="X2287" s="6" t="s">
        <v>2904</v>
      </c>
    </row>
    <row r="2288" spans="1:24" x14ac:dyDescent="0.15">
      <c r="A2288" s="7" t="str">
        <f t="shared" si="74"/>
        <v>201806</v>
      </c>
      <c r="C2288" s="6">
        <f>INDEX(工厂基础数据!$A$2:$A$1024,MATCH(X2288,工厂基础数据!$D$2:$D$1024,0))</f>
        <v>0</v>
      </c>
      <c r="E2288" s="6" t="str">
        <f>INDEX(工厂基础数据!$B$2:$B$1024,MATCH(X2288,工厂基础数据!$D$2:$D$1024,0))</f>
        <v>济南广林医药有限公司</v>
      </c>
      <c r="F2288" s="6" t="e">
        <f>INDEX(商业2转码!$B$2:$B$10000,MATCH(E2288,商业2转码!$A$2:$A$10000,0))</f>
        <v>#N/A</v>
      </c>
      <c r="G2288" s="6">
        <f>INDEX(品种2编码!$A$2:$A$1048576,MATCH(W2288,品种2编码!$D$2:$D$1048576,0))</f>
        <v>0</v>
      </c>
      <c r="H2288" s="6" t="s">
        <v>3608</v>
      </c>
      <c r="I2288" s="6" t="s">
        <v>381</v>
      </c>
      <c r="L2288" s="6" t="s">
        <v>3531</v>
      </c>
      <c r="M2288" s="6" t="e">
        <f>INDEX(医院2县区2人!$B$2:$B$1048576,MATCH(L2288,医院2县区2人!$A$2:$A$1048576,0))</f>
        <v>#N/A</v>
      </c>
      <c r="N2288" s="6" t="e">
        <f>INDEX(医院2县区2人!$C$2:$C$1048576,MATCH(L2288,医院2县区2人!$A$2:$A$1048576,0))</f>
        <v>#N/A</v>
      </c>
      <c r="P2288" s="7">
        <v>43270</v>
      </c>
      <c r="Q2288" s="6">
        <v>30</v>
      </c>
      <c r="S2288" s="6">
        <v>161103</v>
      </c>
      <c r="T2288" s="6" t="e">
        <f>INDEX(医院2县区2人!$D$2:$D$1048576,MATCH(L2288,医院2县区2人!$A$2:$A$1048576,0))</f>
        <v>#N/A</v>
      </c>
      <c r="W2288" s="6" t="str">
        <f t="shared" si="73"/>
        <v>颠茄磺苄啶片(泻利停)12片</v>
      </c>
      <c r="X2288" s="6" t="s">
        <v>2904</v>
      </c>
    </row>
    <row r="2289" spans="1:24" x14ac:dyDescent="0.15">
      <c r="A2289" s="7" t="str">
        <f t="shared" si="74"/>
        <v>201806</v>
      </c>
      <c r="C2289" s="6">
        <f>INDEX(工厂基础数据!$A$2:$A$1024,MATCH(X2289,工厂基础数据!$D$2:$D$1024,0))</f>
        <v>0</v>
      </c>
      <c r="E2289" s="6" t="str">
        <f>INDEX(工厂基础数据!$B$2:$B$1024,MATCH(X2289,工厂基础数据!$D$2:$D$1024,0))</f>
        <v>济南广林医药有限公司</v>
      </c>
      <c r="F2289" s="6" t="e">
        <f>INDEX(商业2转码!$B$2:$B$10000,MATCH(E2289,商业2转码!$A$2:$A$10000,0))</f>
        <v>#N/A</v>
      </c>
      <c r="G2289" s="6">
        <f>INDEX(品种2编码!$A$2:$A$1048576,MATCH(W2289,品种2编码!$D$2:$D$1048576,0))</f>
        <v>0</v>
      </c>
      <c r="H2289" s="6" t="s">
        <v>3608</v>
      </c>
      <c r="I2289" s="6" t="s">
        <v>381</v>
      </c>
      <c r="L2289" s="6" t="s">
        <v>3525</v>
      </c>
      <c r="M2289" s="6" t="e">
        <f>INDEX(医院2县区2人!$B$2:$B$1048576,MATCH(L2289,医院2县区2人!$A$2:$A$1048576,0))</f>
        <v>#N/A</v>
      </c>
      <c r="N2289" s="6" t="e">
        <f>INDEX(医院2县区2人!$C$2:$C$1048576,MATCH(L2289,医院2县区2人!$A$2:$A$1048576,0))</f>
        <v>#N/A</v>
      </c>
      <c r="P2289" s="7">
        <v>43271</v>
      </c>
      <c r="Q2289" s="6">
        <v>50</v>
      </c>
      <c r="S2289" s="6">
        <v>161103</v>
      </c>
      <c r="T2289" s="6" t="e">
        <f>INDEX(医院2县区2人!$D$2:$D$1048576,MATCH(L2289,医院2县区2人!$A$2:$A$1048576,0))</f>
        <v>#N/A</v>
      </c>
      <c r="W2289" s="6" t="str">
        <f t="shared" si="73"/>
        <v>颠茄磺苄啶片(泻利停)12片</v>
      </c>
      <c r="X2289" s="6" t="s">
        <v>2904</v>
      </c>
    </row>
    <row r="2290" spans="1:24" x14ac:dyDescent="0.15">
      <c r="A2290" s="7" t="str">
        <f t="shared" si="74"/>
        <v>201806</v>
      </c>
      <c r="C2290" s="6">
        <f>INDEX(工厂基础数据!$A$2:$A$1024,MATCH(X2290,工厂基础数据!$D$2:$D$1024,0))</f>
        <v>0</v>
      </c>
      <c r="E2290" s="6" t="str">
        <f>INDEX(工厂基础数据!$B$2:$B$1024,MATCH(X2290,工厂基础数据!$D$2:$D$1024,0))</f>
        <v>济南广林医药有限公司</v>
      </c>
      <c r="F2290" s="6" t="e">
        <f>INDEX(商业2转码!$B$2:$B$10000,MATCH(E2290,商业2转码!$A$2:$A$10000,0))</f>
        <v>#N/A</v>
      </c>
      <c r="G2290" s="6">
        <f>INDEX(品种2编码!$A$2:$A$1048576,MATCH(W2290,品种2编码!$D$2:$D$1048576,0))</f>
        <v>0</v>
      </c>
      <c r="H2290" s="6" t="s">
        <v>3608</v>
      </c>
      <c r="I2290" s="6" t="s">
        <v>381</v>
      </c>
      <c r="L2290" s="6" t="s">
        <v>3529</v>
      </c>
      <c r="M2290" s="6" t="e">
        <f>INDEX(医院2县区2人!$B$2:$B$1048576,MATCH(L2290,医院2县区2人!$A$2:$A$1048576,0))</f>
        <v>#N/A</v>
      </c>
      <c r="N2290" s="6" t="e">
        <f>INDEX(医院2县区2人!$C$2:$C$1048576,MATCH(L2290,医院2县区2人!$A$2:$A$1048576,0))</f>
        <v>#N/A</v>
      </c>
      <c r="P2290" s="7">
        <v>43271</v>
      </c>
      <c r="Q2290" s="6">
        <v>30</v>
      </c>
      <c r="S2290" s="6">
        <v>161103</v>
      </c>
      <c r="T2290" s="6" t="e">
        <f>INDEX(医院2县区2人!$D$2:$D$1048576,MATCH(L2290,医院2县区2人!$A$2:$A$1048576,0))</f>
        <v>#N/A</v>
      </c>
      <c r="W2290" s="6" t="str">
        <f t="shared" si="73"/>
        <v>颠茄磺苄啶片(泻利停)12片</v>
      </c>
      <c r="X2290" s="6" t="s">
        <v>2904</v>
      </c>
    </row>
    <row r="2291" spans="1:24" x14ac:dyDescent="0.15">
      <c r="A2291" s="7" t="str">
        <f t="shared" si="74"/>
        <v>201806</v>
      </c>
      <c r="C2291" s="6">
        <f>INDEX(工厂基础数据!$A$2:$A$1024,MATCH(X2291,工厂基础数据!$D$2:$D$1024,0))</f>
        <v>0</v>
      </c>
      <c r="E2291" s="6" t="str">
        <f>INDEX(工厂基础数据!$B$2:$B$1024,MATCH(X2291,工厂基础数据!$D$2:$D$1024,0))</f>
        <v>济南广林医药有限公司</v>
      </c>
      <c r="F2291" s="6" t="e">
        <f>INDEX(商业2转码!$B$2:$B$10000,MATCH(E2291,商业2转码!$A$2:$A$10000,0))</f>
        <v>#N/A</v>
      </c>
      <c r="G2291" s="6">
        <f>INDEX(品种2编码!$A$2:$A$1048576,MATCH(W2291,品种2编码!$D$2:$D$1048576,0))</f>
        <v>0</v>
      </c>
      <c r="H2291" s="6" t="s">
        <v>3608</v>
      </c>
      <c r="I2291" s="6" t="s">
        <v>381</v>
      </c>
      <c r="L2291" s="6" t="s">
        <v>3577</v>
      </c>
      <c r="M2291" s="6" t="e">
        <f>INDEX(医院2县区2人!$B$2:$B$1048576,MATCH(L2291,医院2县区2人!$A$2:$A$1048576,0))</f>
        <v>#N/A</v>
      </c>
      <c r="N2291" s="6" t="e">
        <f>INDEX(医院2县区2人!$C$2:$C$1048576,MATCH(L2291,医院2县区2人!$A$2:$A$1048576,0))</f>
        <v>#N/A</v>
      </c>
      <c r="P2291" s="7">
        <v>43271</v>
      </c>
      <c r="Q2291" s="6">
        <v>10</v>
      </c>
      <c r="S2291" s="6">
        <v>161103</v>
      </c>
      <c r="T2291" s="6" t="e">
        <f>INDEX(医院2县区2人!$D$2:$D$1048576,MATCH(L2291,医院2县区2人!$A$2:$A$1048576,0))</f>
        <v>#N/A</v>
      </c>
      <c r="W2291" s="6" t="str">
        <f t="shared" si="73"/>
        <v>颠茄磺苄啶片(泻利停)12片</v>
      </c>
      <c r="X2291" s="6" t="s">
        <v>2904</v>
      </c>
    </row>
    <row r="2292" spans="1:24" x14ac:dyDescent="0.15">
      <c r="A2292" s="7" t="str">
        <f t="shared" si="74"/>
        <v>201806</v>
      </c>
      <c r="C2292" s="6">
        <f>INDEX(工厂基础数据!$A$2:$A$1024,MATCH(X2292,工厂基础数据!$D$2:$D$1024,0))</f>
        <v>0</v>
      </c>
      <c r="E2292" s="6" t="str">
        <f>INDEX(工厂基础数据!$B$2:$B$1024,MATCH(X2292,工厂基础数据!$D$2:$D$1024,0))</f>
        <v>济南广林医药有限公司</v>
      </c>
      <c r="F2292" s="6" t="e">
        <f>INDEX(商业2转码!$B$2:$B$10000,MATCH(E2292,商业2转码!$A$2:$A$10000,0))</f>
        <v>#N/A</v>
      </c>
      <c r="G2292" s="6">
        <f>INDEX(品种2编码!$A$2:$A$1048576,MATCH(W2292,品种2编码!$D$2:$D$1048576,0))</f>
        <v>0</v>
      </c>
      <c r="H2292" s="6" t="s">
        <v>3608</v>
      </c>
      <c r="I2292" s="6" t="s">
        <v>381</v>
      </c>
      <c r="L2292" s="6" t="s">
        <v>3535</v>
      </c>
      <c r="M2292" s="6" t="e">
        <f>INDEX(医院2县区2人!$B$2:$B$1048576,MATCH(L2292,医院2县区2人!$A$2:$A$1048576,0))</f>
        <v>#N/A</v>
      </c>
      <c r="N2292" s="6" t="e">
        <f>INDEX(医院2县区2人!$C$2:$C$1048576,MATCH(L2292,医院2县区2人!$A$2:$A$1048576,0))</f>
        <v>#N/A</v>
      </c>
      <c r="P2292" s="7">
        <v>43271</v>
      </c>
      <c r="Q2292" s="6">
        <v>20</v>
      </c>
      <c r="S2292" s="6">
        <v>161103</v>
      </c>
      <c r="T2292" s="6" t="e">
        <f>INDEX(医院2县区2人!$D$2:$D$1048576,MATCH(L2292,医院2县区2人!$A$2:$A$1048576,0))</f>
        <v>#N/A</v>
      </c>
      <c r="W2292" s="6" t="str">
        <f t="shared" si="73"/>
        <v>颠茄磺苄啶片(泻利停)12片</v>
      </c>
      <c r="X2292" s="6" t="s">
        <v>2904</v>
      </c>
    </row>
    <row r="2293" spans="1:24" x14ac:dyDescent="0.15">
      <c r="A2293" s="7" t="str">
        <f t="shared" si="74"/>
        <v>201806</v>
      </c>
      <c r="C2293" s="6">
        <f>INDEX(工厂基础数据!$A$2:$A$1024,MATCH(X2293,工厂基础数据!$D$2:$D$1024,0))</f>
        <v>0</v>
      </c>
      <c r="E2293" s="6" t="str">
        <f>INDEX(工厂基础数据!$B$2:$B$1024,MATCH(X2293,工厂基础数据!$D$2:$D$1024,0))</f>
        <v>济南广林医药有限公司</v>
      </c>
      <c r="F2293" s="6" t="e">
        <f>INDEX(商业2转码!$B$2:$B$10000,MATCH(E2293,商业2转码!$A$2:$A$10000,0))</f>
        <v>#N/A</v>
      </c>
      <c r="G2293" s="6">
        <f>INDEX(品种2编码!$A$2:$A$1048576,MATCH(W2293,品种2编码!$D$2:$D$1048576,0))</f>
        <v>0</v>
      </c>
      <c r="H2293" s="6" t="s">
        <v>3608</v>
      </c>
      <c r="I2293" s="6" t="s">
        <v>381</v>
      </c>
      <c r="L2293" s="6" t="s">
        <v>3531</v>
      </c>
      <c r="M2293" s="6" t="e">
        <f>INDEX(医院2县区2人!$B$2:$B$1048576,MATCH(L2293,医院2县区2人!$A$2:$A$1048576,0))</f>
        <v>#N/A</v>
      </c>
      <c r="N2293" s="6" t="e">
        <f>INDEX(医院2县区2人!$C$2:$C$1048576,MATCH(L2293,医院2县区2人!$A$2:$A$1048576,0))</f>
        <v>#N/A</v>
      </c>
      <c r="P2293" s="7">
        <v>43272</v>
      </c>
      <c r="Q2293" s="6">
        <v>10</v>
      </c>
      <c r="S2293" s="6">
        <v>161103</v>
      </c>
      <c r="T2293" s="6" t="e">
        <f>INDEX(医院2县区2人!$D$2:$D$1048576,MATCH(L2293,医院2县区2人!$A$2:$A$1048576,0))</f>
        <v>#N/A</v>
      </c>
      <c r="W2293" s="6" t="str">
        <f t="shared" si="73"/>
        <v>颠茄磺苄啶片(泻利停)12片</v>
      </c>
      <c r="X2293" s="6" t="s">
        <v>2904</v>
      </c>
    </row>
    <row r="2294" spans="1:24" x14ac:dyDescent="0.15">
      <c r="A2294" s="7" t="str">
        <f t="shared" si="74"/>
        <v>201806</v>
      </c>
      <c r="C2294" s="6">
        <f>INDEX(工厂基础数据!$A$2:$A$1024,MATCH(X2294,工厂基础数据!$D$2:$D$1024,0))</f>
        <v>0</v>
      </c>
      <c r="E2294" s="6" t="str">
        <f>INDEX(工厂基础数据!$B$2:$B$1024,MATCH(X2294,工厂基础数据!$D$2:$D$1024,0))</f>
        <v>济南广林医药有限公司</v>
      </c>
      <c r="F2294" s="6" t="e">
        <f>INDEX(商业2转码!$B$2:$B$10000,MATCH(E2294,商业2转码!$A$2:$A$10000,0))</f>
        <v>#N/A</v>
      </c>
      <c r="G2294" s="6">
        <f>INDEX(品种2编码!$A$2:$A$1048576,MATCH(W2294,品种2编码!$D$2:$D$1048576,0))</f>
        <v>0</v>
      </c>
      <c r="H2294" s="6" t="s">
        <v>3608</v>
      </c>
      <c r="I2294" s="6" t="s">
        <v>381</v>
      </c>
      <c r="L2294" s="6" t="s">
        <v>3578</v>
      </c>
      <c r="M2294" s="6" t="e">
        <f>INDEX(医院2县区2人!$B$2:$B$1048576,MATCH(L2294,医院2县区2人!$A$2:$A$1048576,0))</f>
        <v>#N/A</v>
      </c>
      <c r="N2294" s="6" t="e">
        <f>INDEX(医院2县区2人!$C$2:$C$1048576,MATCH(L2294,医院2县区2人!$A$2:$A$1048576,0))</f>
        <v>#N/A</v>
      </c>
      <c r="P2294" s="7">
        <v>43272</v>
      </c>
      <c r="Q2294" s="6">
        <v>50</v>
      </c>
      <c r="S2294" s="6">
        <v>161103</v>
      </c>
      <c r="T2294" s="6" t="e">
        <f>INDEX(医院2县区2人!$D$2:$D$1048576,MATCH(L2294,医院2县区2人!$A$2:$A$1048576,0))</f>
        <v>#N/A</v>
      </c>
      <c r="W2294" s="6" t="str">
        <f t="shared" si="73"/>
        <v>颠茄磺苄啶片(泻利停)12片</v>
      </c>
      <c r="X2294" s="6" t="s">
        <v>2904</v>
      </c>
    </row>
    <row r="2295" spans="1:24" x14ac:dyDescent="0.15">
      <c r="A2295" s="7" t="str">
        <f t="shared" si="74"/>
        <v>201806</v>
      </c>
      <c r="C2295" s="6">
        <f>INDEX(工厂基础数据!$A$2:$A$1024,MATCH(X2295,工厂基础数据!$D$2:$D$1024,0))</f>
        <v>0</v>
      </c>
      <c r="E2295" s="6" t="str">
        <f>INDEX(工厂基础数据!$B$2:$B$1024,MATCH(X2295,工厂基础数据!$D$2:$D$1024,0))</f>
        <v>济南广林医药有限公司</v>
      </c>
      <c r="F2295" s="6" t="e">
        <f>INDEX(商业2转码!$B$2:$B$10000,MATCH(E2295,商业2转码!$A$2:$A$10000,0))</f>
        <v>#N/A</v>
      </c>
      <c r="G2295" s="6">
        <f>INDEX(品种2编码!$A$2:$A$1048576,MATCH(W2295,品种2编码!$D$2:$D$1048576,0))</f>
        <v>0</v>
      </c>
      <c r="H2295" s="6" t="s">
        <v>3608</v>
      </c>
      <c r="I2295" s="6" t="s">
        <v>381</v>
      </c>
      <c r="L2295" s="6" t="s">
        <v>3525</v>
      </c>
      <c r="M2295" s="6" t="e">
        <f>INDEX(医院2县区2人!$B$2:$B$1048576,MATCH(L2295,医院2县区2人!$A$2:$A$1048576,0))</f>
        <v>#N/A</v>
      </c>
      <c r="N2295" s="6" t="e">
        <f>INDEX(医院2县区2人!$C$2:$C$1048576,MATCH(L2295,医院2县区2人!$A$2:$A$1048576,0))</f>
        <v>#N/A</v>
      </c>
      <c r="P2295" s="7">
        <v>43272</v>
      </c>
      <c r="Q2295" s="6">
        <v>10</v>
      </c>
      <c r="S2295" s="6">
        <v>161103</v>
      </c>
      <c r="T2295" s="6" t="e">
        <f>INDEX(医院2县区2人!$D$2:$D$1048576,MATCH(L2295,医院2县区2人!$A$2:$A$1048576,0))</f>
        <v>#N/A</v>
      </c>
      <c r="W2295" s="6" t="str">
        <f t="shared" si="73"/>
        <v>颠茄磺苄啶片(泻利停)12片</v>
      </c>
      <c r="X2295" s="6" t="s">
        <v>2904</v>
      </c>
    </row>
    <row r="2296" spans="1:24" x14ac:dyDescent="0.15">
      <c r="A2296" s="7" t="str">
        <f t="shared" si="74"/>
        <v>201806</v>
      </c>
      <c r="C2296" s="6">
        <f>INDEX(工厂基础数据!$A$2:$A$1024,MATCH(X2296,工厂基础数据!$D$2:$D$1024,0))</f>
        <v>0</v>
      </c>
      <c r="E2296" s="6" t="str">
        <f>INDEX(工厂基础数据!$B$2:$B$1024,MATCH(X2296,工厂基础数据!$D$2:$D$1024,0))</f>
        <v>济南广林医药有限公司</v>
      </c>
      <c r="F2296" s="6" t="e">
        <f>INDEX(商业2转码!$B$2:$B$10000,MATCH(E2296,商业2转码!$A$2:$A$10000,0))</f>
        <v>#N/A</v>
      </c>
      <c r="G2296" s="6">
        <f>INDEX(品种2编码!$A$2:$A$1048576,MATCH(W2296,品种2编码!$D$2:$D$1048576,0))</f>
        <v>0</v>
      </c>
      <c r="H2296" s="6" t="s">
        <v>3608</v>
      </c>
      <c r="I2296" s="6" t="s">
        <v>381</v>
      </c>
      <c r="L2296" s="6" t="s">
        <v>3579</v>
      </c>
      <c r="M2296" s="6" t="e">
        <f>INDEX(医院2县区2人!$B$2:$B$1048576,MATCH(L2296,医院2县区2人!$A$2:$A$1048576,0))</f>
        <v>#N/A</v>
      </c>
      <c r="N2296" s="6" t="e">
        <f>INDEX(医院2县区2人!$C$2:$C$1048576,MATCH(L2296,医院2县区2人!$A$2:$A$1048576,0))</f>
        <v>#N/A</v>
      </c>
      <c r="P2296" s="7">
        <v>43273</v>
      </c>
      <c r="Q2296" s="6">
        <v>10</v>
      </c>
      <c r="S2296" s="6">
        <v>161103</v>
      </c>
      <c r="T2296" s="6" t="e">
        <f>INDEX(医院2县区2人!$D$2:$D$1048576,MATCH(L2296,医院2县区2人!$A$2:$A$1048576,0))</f>
        <v>#N/A</v>
      </c>
      <c r="W2296" s="6" t="str">
        <f t="shared" si="73"/>
        <v>颠茄磺苄啶片(泻利停)12片</v>
      </c>
      <c r="X2296" s="6" t="s">
        <v>2904</v>
      </c>
    </row>
    <row r="2297" spans="1:24" x14ac:dyDescent="0.15">
      <c r="A2297" s="7" t="str">
        <f t="shared" si="74"/>
        <v>201806</v>
      </c>
      <c r="C2297" s="6">
        <f>INDEX(工厂基础数据!$A$2:$A$1024,MATCH(X2297,工厂基础数据!$D$2:$D$1024,0))</f>
        <v>0</v>
      </c>
      <c r="E2297" s="6" t="str">
        <f>INDEX(工厂基础数据!$B$2:$B$1024,MATCH(X2297,工厂基础数据!$D$2:$D$1024,0))</f>
        <v>济南广林医药有限公司</v>
      </c>
      <c r="F2297" s="6" t="e">
        <f>INDEX(商业2转码!$B$2:$B$10000,MATCH(E2297,商业2转码!$A$2:$A$10000,0))</f>
        <v>#N/A</v>
      </c>
      <c r="G2297" s="6">
        <f>INDEX(品种2编码!$A$2:$A$1048576,MATCH(W2297,品种2编码!$D$2:$D$1048576,0))</f>
        <v>0</v>
      </c>
      <c r="H2297" s="6" t="s">
        <v>3608</v>
      </c>
      <c r="I2297" s="6" t="s">
        <v>381</v>
      </c>
      <c r="L2297" s="6" t="s">
        <v>3475</v>
      </c>
      <c r="M2297" s="6" t="e">
        <f>INDEX(医院2县区2人!$B$2:$B$1048576,MATCH(L2297,医院2县区2人!$A$2:$A$1048576,0))</f>
        <v>#N/A</v>
      </c>
      <c r="N2297" s="6" t="e">
        <f>INDEX(医院2县区2人!$C$2:$C$1048576,MATCH(L2297,医院2县区2人!$A$2:$A$1048576,0))</f>
        <v>#N/A</v>
      </c>
      <c r="P2297" s="7">
        <v>43273</v>
      </c>
      <c r="Q2297" s="6">
        <v>10</v>
      </c>
      <c r="S2297" s="6">
        <v>161103</v>
      </c>
      <c r="T2297" s="6" t="e">
        <f>INDEX(医院2县区2人!$D$2:$D$1048576,MATCH(L2297,医院2县区2人!$A$2:$A$1048576,0))</f>
        <v>#N/A</v>
      </c>
      <c r="W2297" s="6" t="str">
        <f t="shared" si="73"/>
        <v>颠茄磺苄啶片(泻利停)12片</v>
      </c>
      <c r="X2297" s="6" t="s">
        <v>2904</v>
      </c>
    </row>
    <row r="2298" spans="1:24" x14ac:dyDescent="0.15">
      <c r="A2298" s="7" t="str">
        <f t="shared" si="74"/>
        <v>201806</v>
      </c>
      <c r="C2298" s="6">
        <f>INDEX(工厂基础数据!$A$2:$A$1024,MATCH(X2298,工厂基础数据!$D$2:$D$1024,0))</f>
        <v>0</v>
      </c>
      <c r="E2298" s="6" t="str">
        <f>INDEX(工厂基础数据!$B$2:$B$1024,MATCH(X2298,工厂基础数据!$D$2:$D$1024,0))</f>
        <v>济南广林医药有限公司</v>
      </c>
      <c r="F2298" s="6" t="e">
        <f>INDEX(商业2转码!$B$2:$B$10000,MATCH(E2298,商业2转码!$A$2:$A$10000,0))</f>
        <v>#N/A</v>
      </c>
      <c r="G2298" s="6">
        <f>INDEX(品种2编码!$A$2:$A$1048576,MATCH(W2298,品种2编码!$D$2:$D$1048576,0))</f>
        <v>0</v>
      </c>
      <c r="H2298" s="6" t="s">
        <v>3608</v>
      </c>
      <c r="I2298" s="6" t="s">
        <v>381</v>
      </c>
      <c r="L2298" s="6" t="s">
        <v>3540</v>
      </c>
      <c r="M2298" s="6" t="e">
        <f>INDEX(医院2县区2人!$B$2:$B$1048576,MATCH(L2298,医院2县区2人!$A$2:$A$1048576,0))</f>
        <v>#N/A</v>
      </c>
      <c r="N2298" s="6" t="e">
        <f>INDEX(医院2县区2人!$C$2:$C$1048576,MATCH(L2298,医院2县区2人!$A$2:$A$1048576,0))</f>
        <v>#N/A</v>
      </c>
      <c r="P2298" s="7">
        <v>43273</v>
      </c>
      <c r="Q2298" s="6">
        <v>20</v>
      </c>
      <c r="S2298" s="6">
        <v>161103</v>
      </c>
      <c r="T2298" s="6" t="e">
        <f>INDEX(医院2县区2人!$D$2:$D$1048576,MATCH(L2298,医院2县区2人!$A$2:$A$1048576,0))</f>
        <v>#N/A</v>
      </c>
      <c r="W2298" s="6" t="str">
        <f t="shared" si="73"/>
        <v>颠茄磺苄啶片(泻利停)12片</v>
      </c>
      <c r="X2298" s="6" t="s">
        <v>2904</v>
      </c>
    </row>
    <row r="2299" spans="1:24" x14ac:dyDescent="0.15">
      <c r="A2299" s="7" t="str">
        <f t="shared" si="74"/>
        <v>201806</v>
      </c>
      <c r="C2299" s="6">
        <f>INDEX(工厂基础数据!$A$2:$A$1024,MATCH(X2299,工厂基础数据!$D$2:$D$1024,0))</f>
        <v>0</v>
      </c>
      <c r="E2299" s="6" t="str">
        <f>INDEX(工厂基础数据!$B$2:$B$1024,MATCH(X2299,工厂基础数据!$D$2:$D$1024,0))</f>
        <v>济南广林医药有限公司</v>
      </c>
      <c r="F2299" s="6" t="e">
        <f>INDEX(商业2转码!$B$2:$B$10000,MATCH(E2299,商业2转码!$A$2:$A$10000,0))</f>
        <v>#N/A</v>
      </c>
      <c r="G2299" s="6">
        <f>INDEX(品种2编码!$A$2:$A$1048576,MATCH(W2299,品种2编码!$D$2:$D$1048576,0))</f>
        <v>0</v>
      </c>
      <c r="H2299" s="6" t="s">
        <v>3608</v>
      </c>
      <c r="I2299" s="6" t="s">
        <v>381</v>
      </c>
      <c r="L2299" s="6" t="s">
        <v>3539</v>
      </c>
      <c r="M2299" s="6" t="e">
        <f>INDEX(医院2县区2人!$B$2:$B$1048576,MATCH(L2299,医院2县区2人!$A$2:$A$1048576,0))</f>
        <v>#N/A</v>
      </c>
      <c r="N2299" s="6" t="e">
        <f>INDEX(医院2县区2人!$C$2:$C$1048576,MATCH(L2299,医院2县区2人!$A$2:$A$1048576,0))</f>
        <v>#N/A</v>
      </c>
      <c r="P2299" s="7">
        <v>43274</v>
      </c>
      <c r="Q2299" s="6">
        <v>10</v>
      </c>
      <c r="S2299" s="6">
        <v>161103</v>
      </c>
      <c r="T2299" s="6" t="e">
        <f>INDEX(医院2县区2人!$D$2:$D$1048576,MATCH(L2299,医院2县区2人!$A$2:$A$1048576,0))</f>
        <v>#N/A</v>
      </c>
      <c r="W2299" s="6" t="str">
        <f t="shared" si="73"/>
        <v>颠茄磺苄啶片(泻利停)12片</v>
      </c>
      <c r="X2299" s="6" t="s">
        <v>2904</v>
      </c>
    </row>
    <row r="2300" spans="1:24" x14ac:dyDescent="0.15">
      <c r="A2300" s="7" t="str">
        <f t="shared" si="74"/>
        <v>201806</v>
      </c>
      <c r="C2300" s="6">
        <f>INDEX(工厂基础数据!$A$2:$A$1024,MATCH(X2300,工厂基础数据!$D$2:$D$1024,0))</f>
        <v>0</v>
      </c>
      <c r="E2300" s="6" t="str">
        <f>INDEX(工厂基础数据!$B$2:$B$1024,MATCH(X2300,工厂基础数据!$D$2:$D$1024,0))</f>
        <v>济南广林医药有限公司</v>
      </c>
      <c r="F2300" s="6" t="e">
        <f>INDEX(商业2转码!$B$2:$B$10000,MATCH(E2300,商业2转码!$A$2:$A$10000,0))</f>
        <v>#N/A</v>
      </c>
      <c r="G2300" s="6">
        <f>INDEX(品种2编码!$A$2:$A$1048576,MATCH(W2300,品种2编码!$D$2:$D$1048576,0))</f>
        <v>0</v>
      </c>
      <c r="H2300" s="6" t="s">
        <v>3608</v>
      </c>
      <c r="I2300" s="6" t="s">
        <v>381</v>
      </c>
      <c r="L2300" s="6" t="s">
        <v>3524</v>
      </c>
      <c r="M2300" s="6" t="e">
        <f>INDEX(医院2县区2人!$B$2:$B$1048576,MATCH(L2300,医院2县区2人!$A$2:$A$1048576,0))</f>
        <v>#N/A</v>
      </c>
      <c r="N2300" s="6" t="e">
        <f>INDEX(医院2县区2人!$C$2:$C$1048576,MATCH(L2300,医院2县区2人!$A$2:$A$1048576,0))</f>
        <v>#N/A</v>
      </c>
      <c r="P2300" s="7">
        <v>43276</v>
      </c>
      <c r="Q2300" s="6">
        <v>150</v>
      </c>
      <c r="S2300" s="6">
        <v>161103</v>
      </c>
      <c r="T2300" s="6" t="e">
        <f>INDEX(医院2县区2人!$D$2:$D$1048576,MATCH(L2300,医院2县区2人!$A$2:$A$1048576,0))</f>
        <v>#N/A</v>
      </c>
      <c r="W2300" s="6" t="str">
        <f t="shared" ref="W2300:W2363" si="75">H2300&amp;I2300</f>
        <v>颠茄磺苄啶片(泻利停)12片</v>
      </c>
      <c r="X2300" s="6" t="s">
        <v>2904</v>
      </c>
    </row>
    <row r="2301" spans="1:24" x14ac:dyDescent="0.15">
      <c r="A2301" s="7" t="str">
        <f t="shared" ref="A2301:A2364" si="76">IF(MONTH(P2301)&lt;10,YEAR(P2301)&amp;"0"&amp;MONTH(P2301),YEAR(P2301)&amp;MONTH(P2301))</f>
        <v>201806</v>
      </c>
      <c r="C2301" s="6">
        <f>INDEX(工厂基础数据!$A$2:$A$1024,MATCH(X2301,工厂基础数据!$D$2:$D$1024,0))</f>
        <v>0</v>
      </c>
      <c r="E2301" s="6" t="str">
        <f>INDEX(工厂基础数据!$B$2:$B$1024,MATCH(X2301,工厂基础数据!$D$2:$D$1024,0))</f>
        <v>济南广林医药有限公司</v>
      </c>
      <c r="F2301" s="6" t="e">
        <f>INDEX(商业2转码!$B$2:$B$10000,MATCH(E2301,商业2转码!$A$2:$A$10000,0))</f>
        <v>#N/A</v>
      </c>
      <c r="G2301" s="6">
        <f>INDEX(品种2编码!$A$2:$A$1048576,MATCH(W2301,品种2编码!$D$2:$D$1048576,0))</f>
        <v>0</v>
      </c>
      <c r="H2301" s="6" t="s">
        <v>3608</v>
      </c>
      <c r="I2301" s="6" t="s">
        <v>381</v>
      </c>
      <c r="L2301" s="6" t="s">
        <v>3580</v>
      </c>
      <c r="M2301" s="6" t="e">
        <f>INDEX(医院2县区2人!$B$2:$B$1048576,MATCH(L2301,医院2县区2人!$A$2:$A$1048576,0))</f>
        <v>#N/A</v>
      </c>
      <c r="N2301" s="6" t="e">
        <f>INDEX(医院2县区2人!$C$2:$C$1048576,MATCH(L2301,医院2县区2人!$A$2:$A$1048576,0))</f>
        <v>#N/A</v>
      </c>
      <c r="P2301" s="7">
        <v>43276</v>
      </c>
      <c r="Q2301" s="6">
        <v>10</v>
      </c>
      <c r="S2301" s="6">
        <v>161103</v>
      </c>
      <c r="T2301" s="6" t="e">
        <f>INDEX(医院2县区2人!$D$2:$D$1048576,MATCH(L2301,医院2县区2人!$A$2:$A$1048576,0))</f>
        <v>#N/A</v>
      </c>
      <c r="W2301" s="6" t="str">
        <f t="shared" si="75"/>
        <v>颠茄磺苄啶片(泻利停)12片</v>
      </c>
      <c r="X2301" s="6" t="s">
        <v>2904</v>
      </c>
    </row>
    <row r="2302" spans="1:24" x14ac:dyDescent="0.15">
      <c r="A2302" s="7" t="str">
        <f t="shared" si="76"/>
        <v>201806</v>
      </c>
      <c r="C2302" s="6">
        <f>INDEX(工厂基础数据!$A$2:$A$1024,MATCH(X2302,工厂基础数据!$D$2:$D$1024,0))</f>
        <v>0</v>
      </c>
      <c r="E2302" s="6" t="str">
        <f>INDEX(工厂基础数据!$B$2:$B$1024,MATCH(X2302,工厂基础数据!$D$2:$D$1024,0))</f>
        <v>济南广林医药有限公司</v>
      </c>
      <c r="F2302" s="6" t="e">
        <f>INDEX(商业2转码!$B$2:$B$10000,MATCH(E2302,商业2转码!$A$2:$A$10000,0))</f>
        <v>#N/A</v>
      </c>
      <c r="G2302" s="6">
        <f>INDEX(品种2编码!$A$2:$A$1048576,MATCH(W2302,品种2编码!$D$2:$D$1048576,0))</f>
        <v>0</v>
      </c>
      <c r="H2302" s="6" t="s">
        <v>3608</v>
      </c>
      <c r="I2302" s="6" t="s">
        <v>381</v>
      </c>
      <c r="L2302" s="6" t="s">
        <v>3540</v>
      </c>
      <c r="M2302" s="6" t="e">
        <f>INDEX(医院2县区2人!$B$2:$B$1048576,MATCH(L2302,医院2县区2人!$A$2:$A$1048576,0))</f>
        <v>#N/A</v>
      </c>
      <c r="N2302" s="6" t="e">
        <f>INDEX(医院2县区2人!$C$2:$C$1048576,MATCH(L2302,医院2县区2人!$A$2:$A$1048576,0))</f>
        <v>#N/A</v>
      </c>
      <c r="P2302" s="7">
        <v>43276</v>
      </c>
      <c r="Q2302" s="6">
        <v>10</v>
      </c>
      <c r="S2302" s="6">
        <v>161103</v>
      </c>
      <c r="T2302" s="6" t="e">
        <f>INDEX(医院2县区2人!$D$2:$D$1048576,MATCH(L2302,医院2县区2人!$A$2:$A$1048576,0))</f>
        <v>#N/A</v>
      </c>
      <c r="W2302" s="6" t="str">
        <f t="shared" si="75"/>
        <v>颠茄磺苄啶片(泻利停)12片</v>
      </c>
      <c r="X2302" s="6" t="s">
        <v>2904</v>
      </c>
    </row>
    <row r="2303" spans="1:24" x14ac:dyDescent="0.15">
      <c r="A2303" s="7" t="str">
        <f t="shared" si="76"/>
        <v>201806</v>
      </c>
      <c r="C2303" s="6">
        <f>INDEX(工厂基础数据!$A$2:$A$1024,MATCH(X2303,工厂基础数据!$D$2:$D$1024,0))</f>
        <v>0</v>
      </c>
      <c r="E2303" s="6" t="str">
        <f>INDEX(工厂基础数据!$B$2:$B$1024,MATCH(X2303,工厂基础数据!$D$2:$D$1024,0))</f>
        <v>济南广林医药有限公司</v>
      </c>
      <c r="F2303" s="6" t="e">
        <f>INDEX(商业2转码!$B$2:$B$10000,MATCH(E2303,商业2转码!$A$2:$A$10000,0))</f>
        <v>#N/A</v>
      </c>
      <c r="G2303" s="6">
        <f>INDEX(品种2编码!$A$2:$A$1048576,MATCH(W2303,品种2编码!$D$2:$D$1048576,0))</f>
        <v>0</v>
      </c>
      <c r="H2303" s="6" t="s">
        <v>3608</v>
      </c>
      <c r="I2303" s="6" t="s">
        <v>381</v>
      </c>
      <c r="L2303" s="6" t="s">
        <v>3539</v>
      </c>
      <c r="M2303" s="6" t="e">
        <f>INDEX(医院2县区2人!$B$2:$B$1048576,MATCH(L2303,医院2县区2人!$A$2:$A$1048576,0))</f>
        <v>#N/A</v>
      </c>
      <c r="N2303" s="6" t="e">
        <f>INDEX(医院2县区2人!$C$2:$C$1048576,MATCH(L2303,医院2县区2人!$A$2:$A$1048576,0))</f>
        <v>#N/A</v>
      </c>
      <c r="P2303" s="7">
        <v>43276</v>
      </c>
      <c r="Q2303" s="6">
        <v>30</v>
      </c>
      <c r="S2303" s="6">
        <v>161103</v>
      </c>
      <c r="T2303" s="6" t="e">
        <f>INDEX(医院2县区2人!$D$2:$D$1048576,MATCH(L2303,医院2县区2人!$A$2:$A$1048576,0))</f>
        <v>#N/A</v>
      </c>
      <c r="W2303" s="6" t="str">
        <f t="shared" si="75"/>
        <v>颠茄磺苄啶片(泻利停)12片</v>
      </c>
      <c r="X2303" s="6" t="s">
        <v>2904</v>
      </c>
    </row>
    <row r="2304" spans="1:24" x14ac:dyDescent="0.15">
      <c r="A2304" s="7" t="str">
        <f t="shared" si="76"/>
        <v>201806</v>
      </c>
      <c r="C2304" s="6">
        <f>INDEX(工厂基础数据!$A$2:$A$1024,MATCH(X2304,工厂基础数据!$D$2:$D$1024,0))</f>
        <v>0</v>
      </c>
      <c r="E2304" s="6" t="str">
        <f>INDEX(工厂基础数据!$B$2:$B$1024,MATCH(X2304,工厂基础数据!$D$2:$D$1024,0))</f>
        <v>济南广林医药有限公司</v>
      </c>
      <c r="F2304" s="6" t="e">
        <f>INDEX(商业2转码!$B$2:$B$10000,MATCH(E2304,商业2转码!$A$2:$A$10000,0))</f>
        <v>#N/A</v>
      </c>
      <c r="G2304" s="6">
        <f>INDEX(品种2编码!$A$2:$A$1048576,MATCH(W2304,品种2编码!$D$2:$D$1048576,0))</f>
        <v>0</v>
      </c>
      <c r="H2304" s="6" t="s">
        <v>3608</v>
      </c>
      <c r="I2304" s="6" t="s">
        <v>381</v>
      </c>
      <c r="L2304" s="6" t="s">
        <v>3578</v>
      </c>
      <c r="M2304" s="6" t="e">
        <f>INDEX(医院2县区2人!$B$2:$B$1048576,MATCH(L2304,医院2县区2人!$A$2:$A$1048576,0))</f>
        <v>#N/A</v>
      </c>
      <c r="N2304" s="6" t="e">
        <f>INDEX(医院2县区2人!$C$2:$C$1048576,MATCH(L2304,医院2县区2人!$A$2:$A$1048576,0))</f>
        <v>#N/A</v>
      </c>
      <c r="P2304" s="7">
        <v>43276</v>
      </c>
      <c r="Q2304" s="6">
        <v>10</v>
      </c>
      <c r="S2304" s="6">
        <v>161103</v>
      </c>
      <c r="T2304" s="6" t="e">
        <f>INDEX(医院2县区2人!$D$2:$D$1048576,MATCH(L2304,医院2县区2人!$A$2:$A$1048576,0))</f>
        <v>#N/A</v>
      </c>
      <c r="W2304" s="6" t="str">
        <f t="shared" si="75"/>
        <v>颠茄磺苄啶片(泻利停)12片</v>
      </c>
      <c r="X2304" s="6" t="s">
        <v>2904</v>
      </c>
    </row>
    <row r="2305" spans="1:24" x14ac:dyDescent="0.15">
      <c r="A2305" s="7" t="str">
        <f t="shared" si="76"/>
        <v>201806</v>
      </c>
      <c r="C2305" s="6">
        <f>INDEX(工厂基础数据!$A$2:$A$1024,MATCH(X2305,工厂基础数据!$D$2:$D$1024,0))</f>
        <v>0</v>
      </c>
      <c r="E2305" s="6" t="str">
        <f>INDEX(工厂基础数据!$B$2:$B$1024,MATCH(X2305,工厂基础数据!$D$2:$D$1024,0))</f>
        <v>济南广林医药有限公司</v>
      </c>
      <c r="F2305" s="6" t="e">
        <f>INDEX(商业2转码!$B$2:$B$10000,MATCH(E2305,商业2转码!$A$2:$A$10000,0))</f>
        <v>#N/A</v>
      </c>
      <c r="G2305" s="6">
        <f>INDEX(品种2编码!$A$2:$A$1048576,MATCH(W2305,品种2编码!$D$2:$D$1048576,0))</f>
        <v>0</v>
      </c>
      <c r="H2305" s="6" t="s">
        <v>3608</v>
      </c>
      <c r="I2305" s="6" t="s">
        <v>381</v>
      </c>
      <c r="L2305" s="6" t="s">
        <v>3581</v>
      </c>
      <c r="M2305" s="6" t="e">
        <f>INDEX(医院2县区2人!$B$2:$B$1048576,MATCH(L2305,医院2县区2人!$A$2:$A$1048576,0))</f>
        <v>#N/A</v>
      </c>
      <c r="N2305" s="6" t="e">
        <f>INDEX(医院2县区2人!$C$2:$C$1048576,MATCH(L2305,医院2县区2人!$A$2:$A$1048576,0))</f>
        <v>#N/A</v>
      </c>
      <c r="P2305" s="7">
        <v>43276</v>
      </c>
      <c r="Q2305" s="6">
        <v>10</v>
      </c>
      <c r="S2305" s="6">
        <v>161103</v>
      </c>
      <c r="T2305" s="6" t="e">
        <f>INDEX(医院2县区2人!$D$2:$D$1048576,MATCH(L2305,医院2县区2人!$A$2:$A$1048576,0))</f>
        <v>#N/A</v>
      </c>
      <c r="W2305" s="6" t="str">
        <f t="shared" si="75"/>
        <v>颠茄磺苄啶片(泻利停)12片</v>
      </c>
      <c r="X2305" s="6" t="s">
        <v>2904</v>
      </c>
    </row>
    <row r="2306" spans="1:24" x14ac:dyDescent="0.15">
      <c r="A2306" s="7" t="str">
        <f t="shared" si="76"/>
        <v>201806</v>
      </c>
      <c r="C2306" s="6">
        <f>INDEX(工厂基础数据!$A$2:$A$1024,MATCH(X2306,工厂基础数据!$D$2:$D$1024,0))</f>
        <v>0</v>
      </c>
      <c r="E2306" s="6" t="str">
        <f>INDEX(工厂基础数据!$B$2:$B$1024,MATCH(X2306,工厂基础数据!$D$2:$D$1024,0))</f>
        <v>济南广林医药有限公司</v>
      </c>
      <c r="F2306" s="6" t="e">
        <f>INDEX(商业2转码!$B$2:$B$10000,MATCH(E2306,商业2转码!$A$2:$A$10000,0))</f>
        <v>#N/A</v>
      </c>
      <c r="G2306" s="6">
        <f>INDEX(品种2编码!$A$2:$A$1048576,MATCH(W2306,品种2编码!$D$2:$D$1048576,0))</f>
        <v>0</v>
      </c>
      <c r="H2306" s="6" t="s">
        <v>3608</v>
      </c>
      <c r="I2306" s="6" t="s">
        <v>381</v>
      </c>
      <c r="L2306" s="6" t="s">
        <v>3582</v>
      </c>
      <c r="M2306" s="6" t="e">
        <f>INDEX(医院2县区2人!$B$2:$B$1048576,MATCH(L2306,医院2县区2人!$A$2:$A$1048576,0))</f>
        <v>#N/A</v>
      </c>
      <c r="N2306" s="6" t="e">
        <f>INDEX(医院2县区2人!$C$2:$C$1048576,MATCH(L2306,医院2县区2人!$A$2:$A$1048576,0))</f>
        <v>#N/A</v>
      </c>
      <c r="P2306" s="7">
        <v>43276</v>
      </c>
      <c r="Q2306" s="6">
        <v>10</v>
      </c>
      <c r="S2306" s="6">
        <v>161103</v>
      </c>
      <c r="T2306" s="6" t="e">
        <f>INDEX(医院2县区2人!$D$2:$D$1048576,MATCH(L2306,医院2县区2人!$A$2:$A$1048576,0))</f>
        <v>#N/A</v>
      </c>
      <c r="W2306" s="6" t="str">
        <f t="shared" si="75"/>
        <v>颠茄磺苄啶片(泻利停)12片</v>
      </c>
      <c r="X2306" s="6" t="s">
        <v>2904</v>
      </c>
    </row>
    <row r="2307" spans="1:24" x14ac:dyDescent="0.15">
      <c r="A2307" s="7" t="str">
        <f t="shared" si="76"/>
        <v>201806</v>
      </c>
      <c r="C2307" s="6">
        <f>INDEX(工厂基础数据!$A$2:$A$1024,MATCH(X2307,工厂基础数据!$D$2:$D$1024,0))</f>
        <v>0</v>
      </c>
      <c r="E2307" s="6" t="str">
        <f>INDEX(工厂基础数据!$B$2:$B$1024,MATCH(X2307,工厂基础数据!$D$2:$D$1024,0))</f>
        <v>济南广林医药有限公司</v>
      </c>
      <c r="F2307" s="6" t="e">
        <f>INDEX(商业2转码!$B$2:$B$10000,MATCH(E2307,商业2转码!$A$2:$A$10000,0))</f>
        <v>#N/A</v>
      </c>
      <c r="G2307" s="6">
        <f>INDEX(品种2编码!$A$2:$A$1048576,MATCH(W2307,品种2编码!$D$2:$D$1048576,0))</f>
        <v>0</v>
      </c>
      <c r="H2307" s="6" t="s">
        <v>3608</v>
      </c>
      <c r="I2307" s="6" t="s">
        <v>381</v>
      </c>
      <c r="L2307" s="6" t="s">
        <v>3578</v>
      </c>
      <c r="M2307" s="6" t="e">
        <f>INDEX(医院2县区2人!$B$2:$B$1048576,MATCH(L2307,医院2县区2人!$A$2:$A$1048576,0))</f>
        <v>#N/A</v>
      </c>
      <c r="N2307" s="6" t="e">
        <f>INDEX(医院2县区2人!$C$2:$C$1048576,MATCH(L2307,医院2县区2人!$A$2:$A$1048576,0))</f>
        <v>#N/A</v>
      </c>
      <c r="P2307" s="7">
        <v>43276</v>
      </c>
      <c r="Q2307" s="6">
        <v>15</v>
      </c>
      <c r="S2307" s="6">
        <v>161103</v>
      </c>
      <c r="T2307" s="6" t="e">
        <f>INDEX(医院2县区2人!$D$2:$D$1048576,MATCH(L2307,医院2县区2人!$A$2:$A$1048576,0))</f>
        <v>#N/A</v>
      </c>
      <c r="W2307" s="6" t="str">
        <f t="shared" si="75"/>
        <v>颠茄磺苄啶片(泻利停)12片</v>
      </c>
      <c r="X2307" s="6" t="s">
        <v>2904</v>
      </c>
    </row>
    <row r="2308" spans="1:24" x14ac:dyDescent="0.15">
      <c r="A2308" s="7" t="str">
        <f t="shared" si="76"/>
        <v>201806</v>
      </c>
      <c r="C2308" s="6">
        <f>INDEX(工厂基础数据!$A$2:$A$1024,MATCH(X2308,工厂基础数据!$D$2:$D$1024,0))</f>
        <v>0</v>
      </c>
      <c r="E2308" s="6" t="str">
        <f>INDEX(工厂基础数据!$B$2:$B$1024,MATCH(X2308,工厂基础数据!$D$2:$D$1024,0))</f>
        <v>济南广林医药有限公司</v>
      </c>
      <c r="F2308" s="6" t="e">
        <f>INDEX(商业2转码!$B$2:$B$10000,MATCH(E2308,商业2转码!$A$2:$A$10000,0))</f>
        <v>#N/A</v>
      </c>
      <c r="G2308" s="6">
        <f>INDEX(品种2编码!$A$2:$A$1048576,MATCH(W2308,品种2编码!$D$2:$D$1048576,0))</f>
        <v>0</v>
      </c>
      <c r="H2308" s="6" t="s">
        <v>3608</v>
      </c>
      <c r="I2308" s="6" t="s">
        <v>381</v>
      </c>
      <c r="L2308" s="6" t="s">
        <v>3097</v>
      </c>
      <c r="M2308" s="6" t="e">
        <f>INDEX(医院2县区2人!$B$2:$B$1048576,MATCH(L2308,医院2县区2人!$A$2:$A$1048576,0))</f>
        <v>#N/A</v>
      </c>
      <c r="N2308" s="6" t="e">
        <f>INDEX(医院2县区2人!$C$2:$C$1048576,MATCH(L2308,医院2县区2人!$A$2:$A$1048576,0))</f>
        <v>#N/A</v>
      </c>
      <c r="P2308" s="7">
        <v>43276</v>
      </c>
      <c r="Q2308" s="6">
        <v>10</v>
      </c>
      <c r="S2308" s="6">
        <v>161103</v>
      </c>
      <c r="T2308" s="6" t="e">
        <f>INDEX(医院2县区2人!$D$2:$D$1048576,MATCH(L2308,医院2县区2人!$A$2:$A$1048576,0))</f>
        <v>#N/A</v>
      </c>
      <c r="W2308" s="6" t="str">
        <f t="shared" si="75"/>
        <v>颠茄磺苄啶片(泻利停)12片</v>
      </c>
      <c r="X2308" s="6" t="s">
        <v>2904</v>
      </c>
    </row>
    <row r="2309" spans="1:24" x14ac:dyDescent="0.15">
      <c r="A2309" s="7" t="str">
        <f t="shared" si="76"/>
        <v>201806</v>
      </c>
      <c r="C2309" s="6">
        <f>INDEX(工厂基础数据!$A$2:$A$1024,MATCH(X2309,工厂基础数据!$D$2:$D$1024,0))</f>
        <v>0</v>
      </c>
      <c r="E2309" s="6" t="str">
        <f>INDEX(工厂基础数据!$B$2:$B$1024,MATCH(X2309,工厂基础数据!$D$2:$D$1024,0))</f>
        <v>济南广林医药有限公司</v>
      </c>
      <c r="F2309" s="6" t="e">
        <f>INDEX(商业2转码!$B$2:$B$10000,MATCH(E2309,商业2转码!$A$2:$A$10000,0))</f>
        <v>#N/A</v>
      </c>
      <c r="G2309" s="6">
        <f>INDEX(品种2编码!$A$2:$A$1048576,MATCH(W2309,品种2编码!$D$2:$D$1048576,0))</f>
        <v>0</v>
      </c>
      <c r="H2309" s="6" t="s">
        <v>3608</v>
      </c>
      <c r="I2309" s="6" t="s">
        <v>381</v>
      </c>
      <c r="L2309" s="6" t="s">
        <v>3097</v>
      </c>
      <c r="M2309" s="6" t="e">
        <f>INDEX(医院2县区2人!$B$2:$B$1048576,MATCH(L2309,医院2县区2人!$A$2:$A$1048576,0))</f>
        <v>#N/A</v>
      </c>
      <c r="N2309" s="6" t="e">
        <f>INDEX(医院2县区2人!$C$2:$C$1048576,MATCH(L2309,医院2县区2人!$A$2:$A$1048576,0))</f>
        <v>#N/A</v>
      </c>
      <c r="P2309" s="7">
        <v>43277</v>
      </c>
      <c r="Q2309" s="6">
        <v>30</v>
      </c>
      <c r="S2309" s="6">
        <v>161103</v>
      </c>
      <c r="T2309" s="6" t="e">
        <f>INDEX(医院2县区2人!$D$2:$D$1048576,MATCH(L2309,医院2县区2人!$A$2:$A$1048576,0))</f>
        <v>#N/A</v>
      </c>
      <c r="W2309" s="6" t="str">
        <f t="shared" si="75"/>
        <v>颠茄磺苄啶片(泻利停)12片</v>
      </c>
      <c r="X2309" s="6" t="s">
        <v>2904</v>
      </c>
    </row>
    <row r="2310" spans="1:24" x14ac:dyDescent="0.15">
      <c r="A2310" s="7" t="str">
        <f t="shared" si="76"/>
        <v>201806</v>
      </c>
      <c r="C2310" s="6">
        <f>INDEX(工厂基础数据!$A$2:$A$1024,MATCH(X2310,工厂基础数据!$D$2:$D$1024,0))</f>
        <v>0</v>
      </c>
      <c r="E2310" s="6" t="str">
        <f>INDEX(工厂基础数据!$B$2:$B$1024,MATCH(X2310,工厂基础数据!$D$2:$D$1024,0))</f>
        <v>济南广林医药有限公司</v>
      </c>
      <c r="F2310" s="6" t="e">
        <f>INDEX(商业2转码!$B$2:$B$10000,MATCH(E2310,商业2转码!$A$2:$A$10000,0))</f>
        <v>#N/A</v>
      </c>
      <c r="G2310" s="6">
        <f>INDEX(品种2编码!$A$2:$A$1048576,MATCH(W2310,品种2编码!$D$2:$D$1048576,0))</f>
        <v>0</v>
      </c>
      <c r="H2310" s="6" t="s">
        <v>3608</v>
      </c>
      <c r="I2310" s="6" t="s">
        <v>381</v>
      </c>
      <c r="L2310" s="6" t="s">
        <v>3532</v>
      </c>
      <c r="M2310" s="6" t="e">
        <f>INDEX(医院2县区2人!$B$2:$B$1048576,MATCH(L2310,医院2县区2人!$A$2:$A$1048576,0))</f>
        <v>#N/A</v>
      </c>
      <c r="N2310" s="6" t="e">
        <f>INDEX(医院2县区2人!$C$2:$C$1048576,MATCH(L2310,医院2县区2人!$A$2:$A$1048576,0))</f>
        <v>#N/A</v>
      </c>
      <c r="P2310" s="7">
        <v>43277</v>
      </c>
      <c r="Q2310" s="6">
        <v>10</v>
      </c>
      <c r="S2310" s="6">
        <v>161103</v>
      </c>
      <c r="T2310" s="6" t="e">
        <f>INDEX(医院2县区2人!$D$2:$D$1048576,MATCH(L2310,医院2县区2人!$A$2:$A$1048576,0))</f>
        <v>#N/A</v>
      </c>
      <c r="W2310" s="6" t="str">
        <f t="shared" si="75"/>
        <v>颠茄磺苄啶片(泻利停)12片</v>
      </c>
      <c r="X2310" s="6" t="s">
        <v>2904</v>
      </c>
    </row>
    <row r="2311" spans="1:24" x14ac:dyDescent="0.15">
      <c r="A2311" s="7" t="str">
        <f t="shared" si="76"/>
        <v>201806</v>
      </c>
      <c r="C2311" s="6">
        <f>INDEX(工厂基础数据!$A$2:$A$1024,MATCH(X2311,工厂基础数据!$D$2:$D$1024,0))</f>
        <v>0</v>
      </c>
      <c r="E2311" s="6" t="str">
        <f>INDEX(工厂基础数据!$B$2:$B$1024,MATCH(X2311,工厂基础数据!$D$2:$D$1024,0))</f>
        <v>济南广林医药有限公司</v>
      </c>
      <c r="F2311" s="6" t="e">
        <f>INDEX(商业2转码!$B$2:$B$10000,MATCH(E2311,商业2转码!$A$2:$A$10000,0))</f>
        <v>#N/A</v>
      </c>
      <c r="G2311" s="6">
        <f>INDEX(品种2编码!$A$2:$A$1048576,MATCH(W2311,品种2编码!$D$2:$D$1048576,0))</f>
        <v>0</v>
      </c>
      <c r="H2311" s="6" t="s">
        <v>3608</v>
      </c>
      <c r="I2311" s="6" t="s">
        <v>381</v>
      </c>
      <c r="L2311" s="6" t="s">
        <v>3526</v>
      </c>
      <c r="M2311" s="6" t="e">
        <f>INDEX(医院2县区2人!$B$2:$B$1048576,MATCH(L2311,医院2县区2人!$A$2:$A$1048576,0))</f>
        <v>#N/A</v>
      </c>
      <c r="N2311" s="6" t="e">
        <f>INDEX(医院2县区2人!$C$2:$C$1048576,MATCH(L2311,医院2县区2人!$A$2:$A$1048576,0))</f>
        <v>#N/A</v>
      </c>
      <c r="P2311" s="7">
        <v>43277</v>
      </c>
      <c r="Q2311" s="6">
        <v>10</v>
      </c>
      <c r="S2311" s="6">
        <v>161103</v>
      </c>
      <c r="T2311" s="6" t="e">
        <f>INDEX(医院2县区2人!$D$2:$D$1048576,MATCH(L2311,医院2县区2人!$A$2:$A$1048576,0))</f>
        <v>#N/A</v>
      </c>
      <c r="W2311" s="6" t="str">
        <f t="shared" si="75"/>
        <v>颠茄磺苄啶片(泻利停)12片</v>
      </c>
      <c r="X2311" s="6" t="s">
        <v>2904</v>
      </c>
    </row>
    <row r="2312" spans="1:24" x14ac:dyDescent="0.15">
      <c r="A2312" s="7" t="str">
        <f t="shared" si="76"/>
        <v>201806</v>
      </c>
      <c r="C2312" s="6">
        <f>INDEX(工厂基础数据!$A$2:$A$1024,MATCH(X2312,工厂基础数据!$D$2:$D$1024,0))</f>
        <v>0</v>
      </c>
      <c r="E2312" s="6" t="str">
        <f>INDEX(工厂基础数据!$B$2:$B$1024,MATCH(X2312,工厂基础数据!$D$2:$D$1024,0))</f>
        <v>济南广林医药有限公司</v>
      </c>
      <c r="F2312" s="6" t="e">
        <f>INDEX(商业2转码!$B$2:$B$10000,MATCH(E2312,商业2转码!$A$2:$A$10000,0))</f>
        <v>#N/A</v>
      </c>
      <c r="G2312" s="6">
        <f>INDEX(品种2编码!$A$2:$A$1048576,MATCH(W2312,品种2编码!$D$2:$D$1048576,0))</f>
        <v>0</v>
      </c>
      <c r="H2312" s="6" t="s">
        <v>3608</v>
      </c>
      <c r="I2312" s="6" t="s">
        <v>381</v>
      </c>
      <c r="L2312" s="6" t="s">
        <v>3583</v>
      </c>
      <c r="M2312" s="6" t="e">
        <f>INDEX(医院2县区2人!$B$2:$B$1048576,MATCH(L2312,医院2县区2人!$A$2:$A$1048576,0))</f>
        <v>#N/A</v>
      </c>
      <c r="N2312" s="6" t="e">
        <f>INDEX(医院2县区2人!$C$2:$C$1048576,MATCH(L2312,医院2县区2人!$A$2:$A$1048576,0))</f>
        <v>#N/A</v>
      </c>
      <c r="P2312" s="7">
        <v>43277</v>
      </c>
      <c r="Q2312" s="6">
        <v>20</v>
      </c>
      <c r="S2312" s="6">
        <v>161103</v>
      </c>
      <c r="T2312" s="6" t="e">
        <f>INDEX(医院2县区2人!$D$2:$D$1048576,MATCH(L2312,医院2县区2人!$A$2:$A$1048576,0))</f>
        <v>#N/A</v>
      </c>
      <c r="W2312" s="6" t="str">
        <f t="shared" si="75"/>
        <v>颠茄磺苄啶片(泻利停)12片</v>
      </c>
      <c r="X2312" s="6" t="s">
        <v>2904</v>
      </c>
    </row>
    <row r="2313" spans="1:24" x14ac:dyDescent="0.15">
      <c r="A2313" s="7" t="str">
        <f t="shared" si="76"/>
        <v>201806</v>
      </c>
      <c r="C2313" s="6">
        <f>INDEX(工厂基础数据!$A$2:$A$1024,MATCH(X2313,工厂基础数据!$D$2:$D$1024,0))</f>
        <v>0</v>
      </c>
      <c r="E2313" s="6" t="str">
        <f>INDEX(工厂基础数据!$B$2:$B$1024,MATCH(X2313,工厂基础数据!$D$2:$D$1024,0))</f>
        <v>济南广林医药有限公司</v>
      </c>
      <c r="F2313" s="6" t="e">
        <f>INDEX(商业2转码!$B$2:$B$10000,MATCH(E2313,商业2转码!$A$2:$A$10000,0))</f>
        <v>#N/A</v>
      </c>
      <c r="G2313" s="6">
        <f>INDEX(品种2编码!$A$2:$A$1048576,MATCH(W2313,品种2编码!$D$2:$D$1048576,0))</f>
        <v>0</v>
      </c>
      <c r="H2313" s="6" t="s">
        <v>3608</v>
      </c>
      <c r="I2313" s="6" t="s">
        <v>381</v>
      </c>
      <c r="L2313" s="6" t="s">
        <v>3564</v>
      </c>
      <c r="M2313" s="6" t="e">
        <f>INDEX(医院2县区2人!$B$2:$B$1048576,MATCH(L2313,医院2县区2人!$A$2:$A$1048576,0))</f>
        <v>#N/A</v>
      </c>
      <c r="N2313" s="6" t="e">
        <f>INDEX(医院2县区2人!$C$2:$C$1048576,MATCH(L2313,医院2县区2人!$A$2:$A$1048576,0))</f>
        <v>#N/A</v>
      </c>
      <c r="P2313" s="7">
        <v>43277</v>
      </c>
      <c r="Q2313" s="6">
        <v>10</v>
      </c>
      <c r="S2313" s="6">
        <v>161103</v>
      </c>
      <c r="T2313" s="6" t="e">
        <f>INDEX(医院2县区2人!$D$2:$D$1048576,MATCH(L2313,医院2县区2人!$A$2:$A$1048576,0))</f>
        <v>#N/A</v>
      </c>
      <c r="W2313" s="6" t="str">
        <f t="shared" si="75"/>
        <v>颠茄磺苄啶片(泻利停)12片</v>
      </c>
      <c r="X2313" s="6" t="s">
        <v>2904</v>
      </c>
    </row>
    <row r="2314" spans="1:24" x14ac:dyDescent="0.15">
      <c r="A2314" s="7" t="str">
        <f t="shared" si="76"/>
        <v>201806</v>
      </c>
      <c r="C2314" s="6">
        <f>INDEX(工厂基础数据!$A$2:$A$1024,MATCH(X2314,工厂基础数据!$D$2:$D$1024,0))</f>
        <v>0</v>
      </c>
      <c r="E2314" s="6" t="str">
        <f>INDEX(工厂基础数据!$B$2:$B$1024,MATCH(X2314,工厂基础数据!$D$2:$D$1024,0))</f>
        <v>济南广林医药有限公司</v>
      </c>
      <c r="F2314" s="6" t="e">
        <f>INDEX(商业2转码!$B$2:$B$10000,MATCH(E2314,商业2转码!$A$2:$A$10000,0))</f>
        <v>#N/A</v>
      </c>
      <c r="G2314" s="6">
        <f>INDEX(品种2编码!$A$2:$A$1048576,MATCH(W2314,品种2编码!$D$2:$D$1048576,0))</f>
        <v>0</v>
      </c>
      <c r="H2314" s="6" t="s">
        <v>3608</v>
      </c>
      <c r="I2314" s="6" t="s">
        <v>381</v>
      </c>
      <c r="L2314" s="6" t="s">
        <v>3584</v>
      </c>
      <c r="M2314" s="6" t="e">
        <f>INDEX(医院2县区2人!$B$2:$B$1048576,MATCH(L2314,医院2县区2人!$A$2:$A$1048576,0))</f>
        <v>#N/A</v>
      </c>
      <c r="N2314" s="6" t="e">
        <f>INDEX(医院2县区2人!$C$2:$C$1048576,MATCH(L2314,医院2县区2人!$A$2:$A$1048576,0))</f>
        <v>#N/A</v>
      </c>
      <c r="P2314" s="7">
        <v>43278</v>
      </c>
      <c r="Q2314" s="6">
        <v>10</v>
      </c>
      <c r="S2314" s="6">
        <v>161103</v>
      </c>
      <c r="T2314" s="6" t="e">
        <f>INDEX(医院2县区2人!$D$2:$D$1048576,MATCH(L2314,医院2县区2人!$A$2:$A$1048576,0))</f>
        <v>#N/A</v>
      </c>
      <c r="W2314" s="6" t="str">
        <f t="shared" si="75"/>
        <v>颠茄磺苄啶片(泻利停)12片</v>
      </c>
      <c r="X2314" s="6" t="s">
        <v>2904</v>
      </c>
    </row>
    <row r="2315" spans="1:24" x14ac:dyDescent="0.15">
      <c r="A2315" s="7" t="str">
        <f t="shared" si="76"/>
        <v>201806</v>
      </c>
      <c r="C2315" s="6">
        <f>INDEX(工厂基础数据!$A$2:$A$1024,MATCH(X2315,工厂基础数据!$D$2:$D$1024,0))</f>
        <v>0</v>
      </c>
      <c r="E2315" s="6" t="str">
        <f>INDEX(工厂基础数据!$B$2:$B$1024,MATCH(X2315,工厂基础数据!$D$2:$D$1024,0))</f>
        <v>济南广林医药有限公司</v>
      </c>
      <c r="F2315" s="6" t="e">
        <f>INDEX(商业2转码!$B$2:$B$10000,MATCH(E2315,商业2转码!$A$2:$A$10000,0))</f>
        <v>#N/A</v>
      </c>
      <c r="G2315" s="6">
        <f>INDEX(品种2编码!$A$2:$A$1048576,MATCH(W2315,品种2编码!$D$2:$D$1048576,0))</f>
        <v>0</v>
      </c>
      <c r="H2315" s="6" t="s">
        <v>3608</v>
      </c>
      <c r="I2315" s="6" t="s">
        <v>381</v>
      </c>
      <c r="L2315" s="6" t="s">
        <v>3585</v>
      </c>
      <c r="M2315" s="6" t="e">
        <f>INDEX(医院2县区2人!$B$2:$B$1048576,MATCH(L2315,医院2县区2人!$A$2:$A$1048576,0))</f>
        <v>#N/A</v>
      </c>
      <c r="N2315" s="6" t="e">
        <f>INDEX(医院2县区2人!$C$2:$C$1048576,MATCH(L2315,医院2县区2人!$A$2:$A$1048576,0))</f>
        <v>#N/A</v>
      </c>
      <c r="P2315" s="7">
        <v>43278</v>
      </c>
      <c r="Q2315" s="6">
        <v>10</v>
      </c>
      <c r="S2315" s="6">
        <v>161103</v>
      </c>
      <c r="T2315" s="6" t="e">
        <f>INDEX(医院2县区2人!$D$2:$D$1048576,MATCH(L2315,医院2县区2人!$A$2:$A$1048576,0))</f>
        <v>#N/A</v>
      </c>
      <c r="W2315" s="6" t="str">
        <f t="shared" si="75"/>
        <v>颠茄磺苄啶片(泻利停)12片</v>
      </c>
      <c r="X2315" s="6" t="s">
        <v>2904</v>
      </c>
    </row>
    <row r="2316" spans="1:24" x14ac:dyDescent="0.15">
      <c r="A2316" s="7" t="str">
        <f t="shared" si="76"/>
        <v>201806</v>
      </c>
      <c r="C2316" s="6">
        <f>INDEX(工厂基础数据!$A$2:$A$1024,MATCH(X2316,工厂基础数据!$D$2:$D$1024,0))</f>
        <v>0</v>
      </c>
      <c r="E2316" s="6" t="str">
        <f>INDEX(工厂基础数据!$B$2:$B$1024,MATCH(X2316,工厂基础数据!$D$2:$D$1024,0))</f>
        <v>济南广林医药有限公司</v>
      </c>
      <c r="F2316" s="6" t="e">
        <f>INDEX(商业2转码!$B$2:$B$10000,MATCH(E2316,商业2转码!$A$2:$A$10000,0))</f>
        <v>#N/A</v>
      </c>
      <c r="G2316" s="6">
        <f>INDEX(品种2编码!$A$2:$A$1048576,MATCH(W2316,品种2编码!$D$2:$D$1048576,0))</f>
        <v>0</v>
      </c>
      <c r="H2316" s="6" t="s">
        <v>3608</v>
      </c>
      <c r="I2316" s="6" t="s">
        <v>381</v>
      </c>
      <c r="L2316" s="6" t="s">
        <v>3577</v>
      </c>
      <c r="M2316" s="6" t="e">
        <f>INDEX(医院2县区2人!$B$2:$B$1048576,MATCH(L2316,医院2县区2人!$A$2:$A$1048576,0))</f>
        <v>#N/A</v>
      </c>
      <c r="N2316" s="6" t="e">
        <f>INDEX(医院2县区2人!$C$2:$C$1048576,MATCH(L2316,医院2县区2人!$A$2:$A$1048576,0))</f>
        <v>#N/A</v>
      </c>
      <c r="P2316" s="7">
        <v>43278</v>
      </c>
      <c r="Q2316" s="6">
        <v>10</v>
      </c>
      <c r="S2316" s="6">
        <v>161103</v>
      </c>
      <c r="T2316" s="6" t="e">
        <f>INDEX(医院2县区2人!$D$2:$D$1048576,MATCH(L2316,医院2县区2人!$A$2:$A$1048576,0))</f>
        <v>#N/A</v>
      </c>
      <c r="W2316" s="6" t="str">
        <f t="shared" si="75"/>
        <v>颠茄磺苄啶片(泻利停)12片</v>
      </c>
      <c r="X2316" s="6" t="s">
        <v>2904</v>
      </c>
    </row>
    <row r="2317" spans="1:24" x14ac:dyDescent="0.15">
      <c r="A2317" s="7" t="str">
        <f t="shared" si="76"/>
        <v>201806</v>
      </c>
      <c r="C2317" s="6">
        <f>INDEX(工厂基础数据!$A$2:$A$1024,MATCH(X2317,工厂基础数据!$D$2:$D$1024,0))</f>
        <v>0</v>
      </c>
      <c r="E2317" s="6" t="str">
        <f>INDEX(工厂基础数据!$B$2:$B$1024,MATCH(X2317,工厂基础数据!$D$2:$D$1024,0))</f>
        <v>济南广林医药有限公司</v>
      </c>
      <c r="F2317" s="6" t="e">
        <f>INDEX(商业2转码!$B$2:$B$10000,MATCH(E2317,商业2转码!$A$2:$A$10000,0))</f>
        <v>#N/A</v>
      </c>
      <c r="G2317" s="6">
        <f>INDEX(品种2编码!$A$2:$A$1048576,MATCH(W2317,品种2编码!$D$2:$D$1048576,0))</f>
        <v>0</v>
      </c>
      <c r="H2317" s="6" t="s">
        <v>3608</v>
      </c>
      <c r="I2317" s="6" t="s">
        <v>381</v>
      </c>
      <c r="L2317" s="6" t="s">
        <v>3527</v>
      </c>
      <c r="M2317" s="6" t="e">
        <f>INDEX(医院2县区2人!$B$2:$B$1048576,MATCH(L2317,医院2县区2人!$A$2:$A$1048576,0))</f>
        <v>#N/A</v>
      </c>
      <c r="N2317" s="6" t="e">
        <f>INDEX(医院2县区2人!$C$2:$C$1048576,MATCH(L2317,医院2县区2人!$A$2:$A$1048576,0))</f>
        <v>#N/A</v>
      </c>
      <c r="P2317" s="7">
        <v>43278</v>
      </c>
      <c r="Q2317" s="6">
        <v>10</v>
      </c>
      <c r="S2317" s="6">
        <v>161103</v>
      </c>
      <c r="T2317" s="6" t="e">
        <f>INDEX(医院2县区2人!$D$2:$D$1048576,MATCH(L2317,医院2县区2人!$A$2:$A$1048576,0))</f>
        <v>#N/A</v>
      </c>
      <c r="W2317" s="6" t="str">
        <f t="shared" si="75"/>
        <v>颠茄磺苄啶片(泻利停)12片</v>
      </c>
      <c r="X2317" s="6" t="s">
        <v>2904</v>
      </c>
    </row>
    <row r="2318" spans="1:24" x14ac:dyDescent="0.15">
      <c r="A2318" s="7" t="str">
        <f t="shared" si="76"/>
        <v>201806</v>
      </c>
      <c r="C2318" s="6">
        <f>INDEX(工厂基础数据!$A$2:$A$1024,MATCH(X2318,工厂基础数据!$D$2:$D$1024,0))</f>
        <v>0</v>
      </c>
      <c r="E2318" s="6" t="str">
        <f>INDEX(工厂基础数据!$B$2:$B$1024,MATCH(X2318,工厂基础数据!$D$2:$D$1024,0))</f>
        <v>济南广林医药有限公司</v>
      </c>
      <c r="F2318" s="6" t="e">
        <f>INDEX(商业2转码!$B$2:$B$10000,MATCH(E2318,商业2转码!$A$2:$A$10000,0))</f>
        <v>#N/A</v>
      </c>
      <c r="G2318" s="6">
        <f>INDEX(品种2编码!$A$2:$A$1048576,MATCH(W2318,品种2编码!$D$2:$D$1048576,0))</f>
        <v>0</v>
      </c>
      <c r="H2318" s="6" t="s">
        <v>3608</v>
      </c>
      <c r="I2318" s="6" t="s">
        <v>381</v>
      </c>
      <c r="L2318" s="6" t="s">
        <v>3097</v>
      </c>
      <c r="M2318" s="6" t="e">
        <f>INDEX(医院2县区2人!$B$2:$B$1048576,MATCH(L2318,医院2县区2人!$A$2:$A$1048576,0))</f>
        <v>#N/A</v>
      </c>
      <c r="N2318" s="6" t="e">
        <f>INDEX(医院2县区2人!$C$2:$C$1048576,MATCH(L2318,医院2县区2人!$A$2:$A$1048576,0))</f>
        <v>#N/A</v>
      </c>
      <c r="P2318" s="7">
        <v>43279</v>
      </c>
      <c r="Q2318" s="6">
        <v>5</v>
      </c>
      <c r="S2318" s="6">
        <v>161103</v>
      </c>
      <c r="T2318" s="6" t="e">
        <f>INDEX(医院2县区2人!$D$2:$D$1048576,MATCH(L2318,医院2县区2人!$A$2:$A$1048576,0))</f>
        <v>#N/A</v>
      </c>
      <c r="W2318" s="6" t="str">
        <f t="shared" si="75"/>
        <v>颠茄磺苄啶片(泻利停)12片</v>
      </c>
      <c r="X2318" s="6" t="s">
        <v>2904</v>
      </c>
    </row>
    <row r="2319" spans="1:24" x14ac:dyDescent="0.15">
      <c r="A2319" s="7" t="str">
        <f t="shared" si="76"/>
        <v>201806</v>
      </c>
      <c r="C2319" s="6">
        <f>INDEX(工厂基础数据!$A$2:$A$1024,MATCH(X2319,工厂基础数据!$D$2:$D$1024,0))</f>
        <v>0</v>
      </c>
      <c r="E2319" s="6" t="str">
        <f>INDEX(工厂基础数据!$B$2:$B$1024,MATCH(X2319,工厂基础数据!$D$2:$D$1024,0))</f>
        <v>济南广林医药有限公司</v>
      </c>
      <c r="F2319" s="6" t="e">
        <f>INDEX(商业2转码!$B$2:$B$10000,MATCH(E2319,商业2转码!$A$2:$A$10000,0))</f>
        <v>#N/A</v>
      </c>
      <c r="G2319" s="6">
        <f>INDEX(品种2编码!$A$2:$A$1048576,MATCH(W2319,品种2编码!$D$2:$D$1048576,0))</f>
        <v>0</v>
      </c>
      <c r="H2319" s="6" t="s">
        <v>3608</v>
      </c>
      <c r="I2319" s="6" t="s">
        <v>381</v>
      </c>
      <c r="L2319" s="6" t="s">
        <v>3546</v>
      </c>
      <c r="M2319" s="6" t="e">
        <f>INDEX(医院2县区2人!$B$2:$B$1048576,MATCH(L2319,医院2县区2人!$A$2:$A$1048576,0))</f>
        <v>#N/A</v>
      </c>
      <c r="N2319" s="6" t="e">
        <f>INDEX(医院2县区2人!$C$2:$C$1048576,MATCH(L2319,医院2县区2人!$A$2:$A$1048576,0))</f>
        <v>#N/A</v>
      </c>
      <c r="P2319" s="7">
        <v>43279</v>
      </c>
      <c r="Q2319" s="6">
        <v>50</v>
      </c>
      <c r="S2319" s="6">
        <v>161103</v>
      </c>
      <c r="T2319" s="6" t="e">
        <f>INDEX(医院2县区2人!$D$2:$D$1048576,MATCH(L2319,医院2县区2人!$A$2:$A$1048576,0))</f>
        <v>#N/A</v>
      </c>
      <c r="W2319" s="6" t="str">
        <f t="shared" si="75"/>
        <v>颠茄磺苄啶片(泻利停)12片</v>
      </c>
      <c r="X2319" s="6" t="s">
        <v>2904</v>
      </c>
    </row>
    <row r="2320" spans="1:24" x14ac:dyDescent="0.15">
      <c r="A2320" s="7" t="str">
        <f t="shared" si="76"/>
        <v>201806</v>
      </c>
      <c r="C2320" s="6">
        <f>INDEX(工厂基础数据!$A$2:$A$1024,MATCH(X2320,工厂基础数据!$D$2:$D$1024,0))</f>
        <v>0</v>
      </c>
      <c r="E2320" s="6" t="str">
        <f>INDEX(工厂基础数据!$B$2:$B$1024,MATCH(X2320,工厂基础数据!$D$2:$D$1024,0))</f>
        <v>济南广林医药有限公司</v>
      </c>
      <c r="F2320" s="6" t="e">
        <f>INDEX(商业2转码!$B$2:$B$10000,MATCH(E2320,商业2转码!$A$2:$A$10000,0))</f>
        <v>#N/A</v>
      </c>
      <c r="G2320" s="6">
        <f>INDEX(品种2编码!$A$2:$A$1048576,MATCH(W2320,品种2编码!$D$2:$D$1048576,0))</f>
        <v>0</v>
      </c>
      <c r="H2320" s="6" t="s">
        <v>3608</v>
      </c>
      <c r="I2320" s="6" t="s">
        <v>381</v>
      </c>
      <c r="L2320" s="6" t="s">
        <v>3538</v>
      </c>
      <c r="M2320" s="6" t="e">
        <f>INDEX(医院2县区2人!$B$2:$B$1048576,MATCH(L2320,医院2县区2人!$A$2:$A$1048576,0))</f>
        <v>#N/A</v>
      </c>
      <c r="N2320" s="6" t="e">
        <f>INDEX(医院2县区2人!$C$2:$C$1048576,MATCH(L2320,医院2县区2人!$A$2:$A$1048576,0))</f>
        <v>#N/A</v>
      </c>
      <c r="P2320" s="7">
        <v>43279</v>
      </c>
      <c r="Q2320" s="6">
        <v>800</v>
      </c>
      <c r="S2320" s="6">
        <v>161103</v>
      </c>
      <c r="T2320" s="6" t="e">
        <f>INDEX(医院2县区2人!$D$2:$D$1048576,MATCH(L2320,医院2县区2人!$A$2:$A$1048576,0))</f>
        <v>#N/A</v>
      </c>
      <c r="W2320" s="6" t="str">
        <f t="shared" si="75"/>
        <v>颠茄磺苄啶片(泻利停)12片</v>
      </c>
      <c r="X2320" s="6" t="s">
        <v>2904</v>
      </c>
    </row>
    <row r="2321" spans="1:24" x14ac:dyDescent="0.15">
      <c r="A2321" s="7" t="str">
        <f t="shared" si="76"/>
        <v>201806</v>
      </c>
      <c r="C2321" s="6">
        <f>INDEX(工厂基础数据!$A$2:$A$1024,MATCH(X2321,工厂基础数据!$D$2:$D$1024,0))</f>
        <v>0</v>
      </c>
      <c r="E2321" s="6" t="str">
        <f>INDEX(工厂基础数据!$B$2:$B$1024,MATCH(X2321,工厂基础数据!$D$2:$D$1024,0))</f>
        <v>济南广林医药有限公司</v>
      </c>
      <c r="F2321" s="6" t="e">
        <f>INDEX(商业2转码!$B$2:$B$10000,MATCH(E2321,商业2转码!$A$2:$A$10000,0))</f>
        <v>#N/A</v>
      </c>
      <c r="G2321" s="6">
        <f>INDEX(品种2编码!$A$2:$A$1048576,MATCH(W2321,品种2编码!$D$2:$D$1048576,0))</f>
        <v>0</v>
      </c>
      <c r="H2321" s="6" t="s">
        <v>3608</v>
      </c>
      <c r="I2321" s="6" t="s">
        <v>381</v>
      </c>
      <c r="L2321" s="6" t="s">
        <v>3552</v>
      </c>
      <c r="M2321" s="6" t="e">
        <f>INDEX(医院2县区2人!$B$2:$B$1048576,MATCH(L2321,医院2县区2人!$A$2:$A$1048576,0))</f>
        <v>#N/A</v>
      </c>
      <c r="N2321" s="6" t="e">
        <f>INDEX(医院2县区2人!$C$2:$C$1048576,MATCH(L2321,医院2县区2人!$A$2:$A$1048576,0))</f>
        <v>#N/A</v>
      </c>
      <c r="P2321" s="7">
        <v>43279</v>
      </c>
      <c r="Q2321" s="6">
        <v>10</v>
      </c>
      <c r="S2321" s="6">
        <v>161103</v>
      </c>
      <c r="T2321" s="6" t="e">
        <f>INDEX(医院2县区2人!$D$2:$D$1048576,MATCH(L2321,医院2县区2人!$A$2:$A$1048576,0))</f>
        <v>#N/A</v>
      </c>
      <c r="W2321" s="6" t="str">
        <f t="shared" si="75"/>
        <v>颠茄磺苄啶片(泻利停)12片</v>
      </c>
      <c r="X2321" s="6" t="s">
        <v>2904</v>
      </c>
    </row>
    <row r="2322" spans="1:24" x14ac:dyDescent="0.15">
      <c r="A2322" s="7" t="str">
        <f t="shared" si="76"/>
        <v>201806</v>
      </c>
      <c r="C2322" s="6">
        <f>INDEX(工厂基础数据!$A$2:$A$1024,MATCH(X2322,工厂基础数据!$D$2:$D$1024,0))</f>
        <v>0</v>
      </c>
      <c r="E2322" s="6" t="str">
        <f>INDEX(工厂基础数据!$B$2:$B$1024,MATCH(X2322,工厂基础数据!$D$2:$D$1024,0))</f>
        <v>济南广林医药有限公司</v>
      </c>
      <c r="F2322" s="6" t="e">
        <f>INDEX(商业2转码!$B$2:$B$10000,MATCH(E2322,商业2转码!$A$2:$A$10000,0))</f>
        <v>#N/A</v>
      </c>
      <c r="G2322" s="6">
        <f>INDEX(品种2编码!$A$2:$A$1048576,MATCH(W2322,品种2编码!$D$2:$D$1048576,0))</f>
        <v>0</v>
      </c>
      <c r="H2322" s="6" t="s">
        <v>3608</v>
      </c>
      <c r="I2322" s="6" t="s">
        <v>381</v>
      </c>
      <c r="L2322" s="6" t="s">
        <v>3539</v>
      </c>
      <c r="M2322" s="6" t="e">
        <f>INDEX(医院2县区2人!$B$2:$B$1048576,MATCH(L2322,医院2县区2人!$A$2:$A$1048576,0))</f>
        <v>#N/A</v>
      </c>
      <c r="N2322" s="6" t="e">
        <f>INDEX(医院2县区2人!$C$2:$C$1048576,MATCH(L2322,医院2县区2人!$A$2:$A$1048576,0))</f>
        <v>#N/A</v>
      </c>
      <c r="P2322" s="7">
        <v>43279</v>
      </c>
      <c r="Q2322" s="6">
        <v>10</v>
      </c>
      <c r="S2322" s="6">
        <v>161103</v>
      </c>
      <c r="T2322" s="6" t="e">
        <f>INDEX(医院2县区2人!$D$2:$D$1048576,MATCH(L2322,医院2县区2人!$A$2:$A$1048576,0))</f>
        <v>#N/A</v>
      </c>
      <c r="W2322" s="6" t="str">
        <f t="shared" si="75"/>
        <v>颠茄磺苄啶片(泻利停)12片</v>
      </c>
      <c r="X2322" s="6" t="s">
        <v>2904</v>
      </c>
    </row>
    <row r="2323" spans="1:24" x14ac:dyDescent="0.15">
      <c r="A2323" s="7" t="str">
        <f t="shared" si="76"/>
        <v>201806</v>
      </c>
      <c r="C2323" s="6">
        <f>INDEX(工厂基础数据!$A$2:$A$1024,MATCH(X2323,工厂基础数据!$D$2:$D$1024,0))</f>
        <v>0</v>
      </c>
      <c r="E2323" s="6" t="str">
        <f>INDEX(工厂基础数据!$B$2:$B$1024,MATCH(X2323,工厂基础数据!$D$2:$D$1024,0))</f>
        <v>济南广林医药有限公司</v>
      </c>
      <c r="F2323" s="6" t="e">
        <f>INDEX(商业2转码!$B$2:$B$10000,MATCH(E2323,商业2转码!$A$2:$A$10000,0))</f>
        <v>#N/A</v>
      </c>
      <c r="G2323" s="6">
        <f>INDEX(品种2编码!$A$2:$A$1048576,MATCH(W2323,品种2编码!$D$2:$D$1048576,0))</f>
        <v>0</v>
      </c>
      <c r="H2323" s="6" t="s">
        <v>3608</v>
      </c>
      <c r="I2323" s="6" t="s">
        <v>381</v>
      </c>
      <c r="L2323" s="6" t="s">
        <v>3584</v>
      </c>
      <c r="M2323" s="6" t="e">
        <f>INDEX(医院2县区2人!$B$2:$B$1048576,MATCH(L2323,医院2县区2人!$A$2:$A$1048576,0))</f>
        <v>#N/A</v>
      </c>
      <c r="N2323" s="6" t="e">
        <f>INDEX(医院2县区2人!$C$2:$C$1048576,MATCH(L2323,医院2县区2人!$A$2:$A$1048576,0))</f>
        <v>#N/A</v>
      </c>
      <c r="P2323" s="7">
        <v>43280</v>
      </c>
      <c r="Q2323" s="6">
        <v>20</v>
      </c>
      <c r="S2323" s="6">
        <v>161103</v>
      </c>
      <c r="T2323" s="6" t="e">
        <f>INDEX(医院2县区2人!$D$2:$D$1048576,MATCH(L2323,医院2县区2人!$A$2:$A$1048576,0))</f>
        <v>#N/A</v>
      </c>
      <c r="W2323" s="6" t="str">
        <f t="shared" si="75"/>
        <v>颠茄磺苄啶片(泻利停)12片</v>
      </c>
      <c r="X2323" s="6" t="s">
        <v>2904</v>
      </c>
    </row>
    <row r="2324" spans="1:24" x14ac:dyDescent="0.15">
      <c r="A2324" s="7" t="str">
        <f t="shared" si="76"/>
        <v>201806</v>
      </c>
      <c r="C2324" s="6">
        <f>INDEX(工厂基础数据!$A$2:$A$1024,MATCH(X2324,工厂基础数据!$D$2:$D$1024,0))</f>
        <v>0</v>
      </c>
      <c r="E2324" s="6" t="str">
        <f>INDEX(工厂基础数据!$B$2:$B$1024,MATCH(X2324,工厂基础数据!$D$2:$D$1024,0))</f>
        <v>济南广林医药有限公司</v>
      </c>
      <c r="F2324" s="6" t="e">
        <f>INDEX(商业2转码!$B$2:$B$10000,MATCH(E2324,商业2转码!$A$2:$A$10000,0))</f>
        <v>#N/A</v>
      </c>
      <c r="G2324" s="6">
        <f>INDEX(品种2编码!$A$2:$A$1048576,MATCH(W2324,品种2编码!$D$2:$D$1048576,0))</f>
        <v>0</v>
      </c>
      <c r="H2324" s="6" t="s">
        <v>3608</v>
      </c>
      <c r="I2324" s="6" t="s">
        <v>381</v>
      </c>
      <c r="L2324" s="6" t="s">
        <v>3528</v>
      </c>
      <c r="M2324" s="6" t="e">
        <f>INDEX(医院2县区2人!$B$2:$B$1048576,MATCH(L2324,医院2县区2人!$A$2:$A$1048576,0))</f>
        <v>#N/A</v>
      </c>
      <c r="N2324" s="6" t="e">
        <f>INDEX(医院2县区2人!$C$2:$C$1048576,MATCH(L2324,医院2县区2人!$A$2:$A$1048576,0))</f>
        <v>#N/A</v>
      </c>
      <c r="P2324" s="7">
        <v>43280</v>
      </c>
      <c r="Q2324" s="6">
        <v>50</v>
      </c>
      <c r="S2324" s="6">
        <v>161103</v>
      </c>
      <c r="T2324" s="6" t="e">
        <f>INDEX(医院2县区2人!$D$2:$D$1048576,MATCH(L2324,医院2县区2人!$A$2:$A$1048576,0))</f>
        <v>#N/A</v>
      </c>
      <c r="W2324" s="6" t="str">
        <f t="shared" si="75"/>
        <v>颠茄磺苄啶片(泻利停)12片</v>
      </c>
      <c r="X2324" s="6" t="s">
        <v>2904</v>
      </c>
    </row>
    <row r="2325" spans="1:24" x14ac:dyDescent="0.15">
      <c r="A2325" s="7" t="str">
        <f t="shared" si="76"/>
        <v>201806</v>
      </c>
      <c r="C2325" s="6">
        <f>INDEX(工厂基础数据!$A$2:$A$1024,MATCH(X2325,工厂基础数据!$D$2:$D$1024,0))</f>
        <v>0</v>
      </c>
      <c r="E2325" s="6" t="str">
        <f>INDEX(工厂基础数据!$B$2:$B$1024,MATCH(X2325,工厂基础数据!$D$2:$D$1024,0))</f>
        <v>济南广林医药有限公司</v>
      </c>
      <c r="F2325" s="6" t="e">
        <f>INDEX(商业2转码!$B$2:$B$10000,MATCH(E2325,商业2转码!$A$2:$A$10000,0))</f>
        <v>#N/A</v>
      </c>
      <c r="G2325" s="6">
        <f>INDEX(品种2编码!$A$2:$A$1048576,MATCH(W2325,品种2编码!$D$2:$D$1048576,0))</f>
        <v>0</v>
      </c>
      <c r="H2325" s="6" t="s">
        <v>3608</v>
      </c>
      <c r="I2325" s="6" t="s">
        <v>381</v>
      </c>
      <c r="L2325" s="6" t="s">
        <v>3552</v>
      </c>
      <c r="M2325" s="6" t="e">
        <f>INDEX(医院2县区2人!$B$2:$B$1048576,MATCH(L2325,医院2县区2人!$A$2:$A$1048576,0))</f>
        <v>#N/A</v>
      </c>
      <c r="N2325" s="6" t="e">
        <f>INDEX(医院2县区2人!$C$2:$C$1048576,MATCH(L2325,医院2县区2人!$A$2:$A$1048576,0))</f>
        <v>#N/A</v>
      </c>
      <c r="P2325" s="7">
        <v>43280</v>
      </c>
      <c r="Q2325" s="6">
        <v>20</v>
      </c>
      <c r="S2325" s="6">
        <v>161103</v>
      </c>
      <c r="T2325" s="6" t="e">
        <f>INDEX(医院2县区2人!$D$2:$D$1048576,MATCH(L2325,医院2县区2人!$A$2:$A$1048576,0))</f>
        <v>#N/A</v>
      </c>
      <c r="W2325" s="6" t="str">
        <f t="shared" si="75"/>
        <v>颠茄磺苄啶片(泻利停)12片</v>
      </c>
      <c r="X2325" s="6" t="s">
        <v>2904</v>
      </c>
    </row>
    <row r="2326" spans="1:24" x14ac:dyDescent="0.15">
      <c r="A2326" s="7" t="str">
        <f t="shared" si="76"/>
        <v>201806</v>
      </c>
      <c r="C2326" s="6">
        <f>INDEX(工厂基础数据!$A$2:$A$1024,MATCH(X2326,工厂基础数据!$D$2:$D$1024,0))</f>
        <v>0</v>
      </c>
      <c r="E2326" s="6" t="str">
        <f>INDEX(工厂基础数据!$B$2:$B$1024,MATCH(X2326,工厂基础数据!$D$2:$D$1024,0))</f>
        <v>济南广林医药有限公司</v>
      </c>
      <c r="F2326" s="6" t="e">
        <f>INDEX(商业2转码!$B$2:$B$10000,MATCH(E2326,商业2转码!$A$2:$A$10000,0))</f>
        <v>#N/A</v>
      </c>
      <c r="G2326" s="6">
        <f>INDEX(品种2编码!$A$2:$A$1048576,MATCH(W2326,品种2编码!$D$2:$D$1048576,0))</f>
        <v>0</v>
      </c>
      <c r="H2326" s="6" t="s">
        <v>3608</v>
      </c>
      <c r="I2326" s="6" t="s">
        <v>381</v>
      </c>
      <c r="L2326" s="6" t="s">
        <v>3586</v>
      </c>
      <c r="M2326" s="6" t="e">
        <f>INDEX(医院2县区2人!$B$2:$B$1048576,MATCH(L2326,医院2县区2人!$A$2:$A$1048576,0))</f>
        <v>#N/A</v>
      </c>
      <c r="N2326" s="6" t="e">
        <f>INDEX(医院2县区2人!$C$2:$C$1048576,MATCH(L2326,医院2县区2人!$A$2:$A$1048576,0))</f>
        <v>#N/A</v>
      </c>
      <c r="P2326" s="7">
        <v>43280</v>
      </c>
      <c r="Q2326" s="6">
        <v>20</v>
      </c>
      <c r="S2326" s="6">
        <v>161103</v>
      </c>
      <c r="T2326" s="6" t="e">
        <f>INDEX(医院2县区2人!$D$2:$D$1048576,MATCH(L2326,医院2县区2人!$A$2:$A$1048576,0))</f>
        <v>#N/A</v>
      </c>
      <c r="W2326" s="6" t="str">
        <f t="shared" si="75"/>
        <v>颠茄磺苄啶片(泻利停)12片</v>
      </c>
      <c r="X2326" s="6" t="s">
        <v>2904</v>
      </c>
    </row>
    <row r="2327" spans="1:24" x14ac:dyDescent="0.15">
      <c r="A2327" s="7" t="str">
        <f t="shared" si="76"/>
        <v>201806</v>
      </c>
      <c r="C2327" s="6">
        <f>INDEX(工厂基础数据!$A$2:$A$1024,MATCH(X2327,工厂基础数据!$D$2:$D$1024,0))</f>
        <v>0</v>
      </c>
      <c r="E2327" s="6" t="str">
        <f>INDEX(工厂基础数据!$B$2:$B$1024,MATCH(X2327,工厂基础数据!$D$2:$D$1024,0))</f>
        <v>济南广林医药有限公司</v>
      </c>
      <c r="F2327" s="6" t="e">
        <f>INDEX(商业2转码!$B$2:$B$10000,MATCH(E2327,商业2转码!$A$2:$A$10000,0))</f>
        <v>#N/A</v>
      </c>
      <c r="G2327" s="6">
        <f>INDEX(品种2编码!$A$2:$A$1048576,MATCH(W2327,品种2编码!$D$2:$D$1048576,0))</f>
        <v>0</v>
      </c>
      <c r="H2327" s="6" t="s">
        <v>3608</v>
      </c>
      <c r="I2327" s="6" t="s">
        <v>381</v>
      </c>
      <c r="L2327" s="6" t="s">
        <v>3587</v>
      </c>
      <c r="M2327" s="6" t="e">
        <f>INDEX(医院2县区2人!$B$2:$B$1048576,MATCH(L2327,医院2县区2人!$A$2:$A$1048576,0))</f>
        <v>#N/A</v>
      </c>
      <c r="N2327" s="6" t="e">
        <f>INDEX(医院2县区2人!$C$2:$C$1048576,MATCH(L2327,医院2县区2人!$A$2:$A$1048576,0))</f>
        <v>#N/A</v>
      </c>
      <c r="P2327" s="7">
        <v>43280</v>
      </c>
      <c r="Q2327" s="6">
        <v>10</v>
      </c>
      <c r="S2327" s="6">
        <v>161103</v>
      </c>
      <c r="T2327" s="6" t="e">
        <f>INDEX(医院2县区2人!$D$2:$D$1048576,MATCH(L2327,医院2县区2人!$A$2:$A$1048576,0))</f>
        <v>#N/A</v>
      </c>
      <c r="W2327" s="6" t="str">
        <f t="shared" si="75"/>
        <v>颠茄磺苄啶片(泻利停)12片</v>
      </c>
      <c r="X2327" s="6" t="s">
        <v>2904</v>
      </c>
    </row>
    <row r="2328" spans="1:24" x14ac:dyDescent="0.15">
      <c r="A2328" s="7" t="str">
        <f t="shared" si="76"/>
        <v>201806</v>
      </c>
      <c r="C2328" s="6">
        <f>INDEX(工厂基础数据!$A$2:$A$1024,MATCH(X2328,工厂基础数据!$D$2:$D$1024,0))</f>
        <v>0</v>
      </c>
      <c r="E2328" s="6" t="str">
        <f>INDEX(工厂基础数据!$B$2:$B$1024,MATCH(X2328,工厂基础数据!$D$2:$D$1024,0))</f>
        <v>济南广林医药有限公司</v>
      </c>
      <c r="F2328" s="6" t="e">
        <f>INDEX(商业2转码!$B$2:$B$10000,MATCH(E2328,商业2转码!$A$2:$A$10000,0))</f>
        <v>#N/A</v>
      </c>
      <c r="G2328" s="6">
        <f>INDEX(品种2编码!$A$2:$A$1048576,MATCH(W2328,品种2编码!$D$2:$D$1048576,0))</f>
        <v>0</v>
      </c>
      <c r="H2328" s="6" t="s">
        <v>3608</v>
      </c>
      <c r="I2328" s="6" t="s">
        <v>381</v>
      </c>
      <c r="L2328" s="6" t="s">
        <v>3540</v>
      </c>
      <c r="M2328" s="6" t="e">
        <f>INDEX(医院2县区2人!$B$2:$B$1048576,MATCH(L2328,医院2县区2人!$A$2:$A$1048576,0))</f>
        <v>#N/A</v>
      </c>
      <c r="N2328" s="6" t="e">
        <f>INDEX(医院2县区2人!$C$2:$C$1048576,MATCH(L2328,医院2县区2人!$A$2:$A$1048576,0))</f>
        <v>#N/A</v>
      </c>
      <c r="P2328" s="7">
        <v>43280</v>
      </c>
      <c r="Q2328" s="6">
        <v>10</v>
      </c>
      <c r="S2328" s="6">
        <v>161103</v>
      </c>
      <c r="T2328" s="6" t="e">
        <f>INDEX(医院2县区2人!$D$2:$D$1048576,MATCH(L2328,医院2县区2人!$A$2:$A$1048576,0))</f>
        <v>#N/A</v>
      </c>
      <c r="W2328" s="6" t="str">
        <f t="shared" si="75"/>
        <v>颠茄磺苄啶片(泻利停)12片</v>
      </c>
      <c r="X2328" s="6" t="s">
        <v>2904</v>
      </c>
    </row>
    <row r="2329" spans="1:24" x14ac:dyDescent="0.15">
      <c r="A2329" s="7" t="str">
        <f t="shared" si="76"/>
        <v>201806</v>
      </c>
      <c r="C2329" s="6">
        <f>INDEX(工厂基础数据!$A$2:$A$1024,MATCH(X2329,工厂基础数据!$D$2:$D$1024,0))</f>
        <v>0</v>
      </c>
      <c r="E2329" s="6" t="str">
        <f>INDEX(工厂基础数据!$B$2:$B$1024,MATCH(X2329,工厂基础数据!$D$2:$D$1024,0))</f>
        <v>济南广林医药有限公司</v>
      </c>
      <c r="F2329" s="6" t="e">
        <f>INDEX(商业2转码!$B$2:$B$10000,MATCH(E2329,商业2转码!$A$2:$A$10000,0))</f>
        <v>#N/A</v>
      </c>
      <c r="G2329" s="6" t="str">
        <f>INDEX(品种2编码!$A$2:$A$1048576,MATCH(W2329,品种2编码!$D$2:$D$1048576,0))</f>
        <v>0020040220SHYT0005</v>
      </c>
      <c r="H2329" s="6" t="s">
        <v>1857</v>
      </c>
      <c r="I2329" s="6" t="s">
        <v>2006</v>
      </c>
      <c r="L2329" s="6" t="s">
        <v>3550</v>
      </c>
      <c r="M2329" s="6" t="e">
        <f>INDEX(医院2县区2人!$B$2:$B$1048576,MATCH(L2329,医院2县区2人!$A$2:$A$1048576,0))</f>
        <v>#N/A</v>
      </c>
      <c r="N2329" s="6" t="e">
        <f>INDEX(医院2县区2人!$C$2:$C$1048576,MATCH(L2329,医院2县区2人!$A$2:$A$1048576,0))</f>
        <v>#N/A</v>
      </c>
      <c r="P2329" s="7">
        <v>43262</v>
      </c>
      <c r="Q2329" s="6">
        <v>5</v>
      </c>
      <c r="S2329" s="6">
        <v>1703406</v>
      </c>
      <c r="T2329" s="6" t="e">
        <f>INDEX(医院2县区2人!$D$2:$D$1048576,MATCH(L2329,医院2县区2人!$A$2:$A$1048576,0))</f>
        <v>#N/A</v>
      </c>
      <c r="W2329" s="6" t="str">
        <f t="shared" si="75"/>
        <v>妇宁栓1.6g*7粒</v>
      </c>
      <c r="X2329" s="6" t="s">
        <v>2904</v>
      </c>
    </row>
    <row r="2330" spans="1:24" x14ac:dyDescent="0.15">
      <c r="A2330" s="7" t="str">
        <f t="shared" si="76"/>
        <v>201806</v>
      </c>
      <c r="C2330" s="6">
        <f>INDEX(工厂基础数据!$A$2:$A$1024,MATCH(X2330,工厂基础数据!$D$2:$D$1024,0))</f>
        <v>0</v>
      </c>
      <c r="E2330" s="6" t="str">
        <f>INDEX(工厂基础数据!$B$2:$B$1024,MATCH(X2330,工厂基础数据!$D$2:$D$1024,0))</f>
        <v>济南广林医药有限公司</v>
      </c>
      <c r="F2330" s="6" t="e">
        <f>INDEX(商业2转码!$B$2:$B$10000,MATCH(E2330,商业2转码!$A$2:$A$10000,0))</f>
        <v>#N/A</v>
      </c>
      <c r="G2330" s="6" t="str">
        <f>INDEX(品种2编码!$A$2:$A$1048576,MATCH(W2330,品种2编码!$D$2:$D$1048576,0))</f>
        <v>0020040220SHYT0005</v>
      </c>
      <c r="H2330" s="6" t="s">
        <v>1857</v>
      </c>
      <c r="I2330" s="6" t="s">
        <v>2006</v>
      </c>
      <c r="L2330" s="6" t="s">
        <v>3570</v>
      </c>
      <c r="M2330" s="6" t="e">
        <f>INDEX(医院2县区2人!$B$2:$B$1048576,MATCH(L2330,医院2县区2人!$A$2:$A$1048576,0))</f>
        <v>#N/A</v>
      </c>
      <c r="N2330" s="6" t="e">
        <f>INDEX(医院2县区2人!$C$2:$C$1048576,MATCH(L2330,医院2县区2人!$A$2:$A$1048576,0))</f>
        <v>#N/A</v>
      </c>
      <c r="P2330" s="7">
        <v>43264</v>
      </c>
      <c r="Q2330" s="6">
        <v>2</v>
      </c>
      <c r="S2330" s="6">
        <v>1703406</v>
      </c>
      <c r="T2330" s="6" t="e">
        <f>INDEX(医院2县区2人!$D$2:$D$1048576,MATCH(L2330,医院2县区2人!$A$2:$A$1048576,0))</f>
        <v>#N/A</v>
      </c>
      <c r="W2330" s="6" t="str">
        <f t="shared" si="75"/>
        <v>妇宁栓1.6g*7粒</v>
      </c>
      <c r="X2330" s="6" t="s">
        <v>2904</v>
      </c>
    </row>
    <row r="2331" spans="1:24" x14ac:dyDescent="0.15">
      <c r="A2331" s="7" t="str">
        <f t="shared" si="76"/>
        <v>201806</v>
      </c>
      <c r="C2331" s="6">
        <f>INDEX(工厂基础数据!$A$2:$A$1024,MATCH(X2331,工厂基础数据!$D$2:$D$1024,0))</f>
        <v>0</v>
      </c>
      <c r="E2331" s="6" t="str">
        <f>INDEX(工厂基础数据!$B$2:$B$1024,MATCH(X2331,工厂基础数据!$D$2:$D$1024,0))</f>
        <v>济南广林医药有限公司</v>
      </c>
      <c r="F2331" s="6" t="e">
        <f>INDEX(商业2转码!$B$2:$B$10000,MATCH(E2331,商业2转码!$A$2:$A$10000,0))</f>
        <v>#N/A</v>
      </c>
      <c r="G2331" s="6">
        <f>INDEX(品种2编码!$A$2:$A$1048576,MATCH(W2331,品种2编码!$D$2:$D$1048576,0))</f>
        <v>0</v>
      </c>
      <c r="H2331" s="6" t="s">
        <v>380</v>
      </c>
      <c r="I2331" s="6" t="s">
        <v>3612</v>
      </c>
      <c r="L2331" s="6" t="s">
        <v>3588</v>
      </c>
      <c r="M2331" s="6" t="e">
        <f>INDEX(医院2县区2人!$B$2:$B$1048576,MATCH(L2331,医院2县区2人!$A$2:$A$1048576,0))</f>
        <v>#N/A</v>
      </c>
      <c r="N2331" s="6" t="e">
        <f>INDEX(医院2县区2人!$C$2:$C$1048576,MATCH(L2331,医院2县区2人!$A$2:$A$1048576,0))</f>
        <v>#N/A</v>
      </c>
      <c r="P2331" s="7">
        <v>43256</v>
      </c>
      <c r="Q2331" s="6">
        <v>20</v>
      </c>
      <c r="S2331" s="6">
        <v>1705001</v>
      </c>
      <c r="T2331" s="6" t="e">
        <f>INDEX(医院2县区2人!$D$2:$D$1048576,MATCH(L2331,医院2县区2人!$A$2:$A$1048576,0))</f>
        <v>#N/A</v>
      </c>
      <c r="W2331" s="6" t="str">
        <f t="shared" si="75"/>
        <v>复方氨酚烷胺片12片*1板</v>
      </c>
      <c r="X2331" s="6" t="s">
        <v>2904</v>
      </c>
    </row>
    <row r="2332" spans="1:24" x14ac:dyDescent="0.15">
      <c r="A2332" s="7" t="str">
        <f t="shared" si="76"/>
        <v>201806</v>
      </c>
      <c r="C2332" s="6">
        <f>INDEX(工厂基础数据!$A$2:$A$1024,MATCH(X2332,工厂基础数据!$D$2:$D$1024,0))</f>
        <v>0</v>
      </c>
      <c r="E2332" s="6" t="str">
        <f>INDEX(工厂基础数据!$B$2:$B$1024,MATCH(X2332,工厂基础数据!$D$2:$D$1024,0))</f>
        <v>济南广林医药有限公司</v>
      </c>
      <c r="F2332" s="6" t="e">
        <f>INDEX(商业2转码!$B$2:$B$10000,MATCH(E2332,商业2转码!$A$2:$A$10000,0))</f>
        <v>#N/A</v>
      </c>
      <c r="G2332" s="6">
        <f>INDEX(品种2编码!$A$2:$A$1048576,MATCH(W2332,品种2编码!$D$2:$D$1048576,0))</f>
        <v>0</v>
      </c>
      <c r="H2332" s="6" t="s">
        <v>380</v>
      </c>
      <c r="I2332" s="6" t="s">
        <v>3612</v>
      </c>
      <c r="L2332" s="6" t="s">
        <v>3550</v>
      </c>
      <c r="M2332" s="6" t="e">
        <f>INDEX(医院2县区2人!$B$2:$B$1048576,MATCH(L2332,医院2县区2人!$A$2:$A$1048576,0))</f>
        <v>#N/A</v>
      </c>
      <c r="N2332" s="6" t="e">
        <f>INDEX(医院2县区2人!$C$2:$C$1048576,MATCH(L2332,医院2县区2人!$A$2:$A$1048576,0))</f>
        <v>#N/A</v>
      </c>
      <c r="P2332" s="7">
        <v>43260</v>
      </c>
      <c r="Q2332" s="6">
        <v>10</v>
      </c>
      <c r="S2332" s="6">
        <v>1711002</v>
      </c>
      <c r="T2332" s="6" t="e">
        <f>INDEX(医院2县区2人!$D$2:$D$1048576,MATCH(L2332,医院2县区2人!$A$2:$A$1048576,0))</f>
        <v>#N/A</v>
      </c>
      <c r="W2332" s="6" t="str">
        <f t="shared" si="75"/>
        <v>复方氨酚烷胺片12片*1板</v>
      </c>
      <c r="X2332" s="6" t="s">
        <v>2904</v>
      </c>
    </row>
    <row r="2333" spans="1:24" x14ac:dyDescent="0.15">
      <c r="A2333" s="7" t="str">
        <f t="shared" si="76"/>
        <v>201806</v>
      </c>
      <c r="C2333" s="6">
        <f>INDEX(工厂基础数据!$A$2:$A$1024,MATCH(X2333,工厂基础数据!$D$2:$D$1024,0))</f>
        <v>0</v>
      </c>
      <c r="E2333" s="6" t="str">
        <f>INDEX(工厂基础数据!$B$2:$B$1024,MATCH(X2333,工厂基础数据!$D$2:$D$1024,0))</f>
        <v>济南广林医药有限公司</v>
      </c>
      <c r="F2333" s="6" t="e">
        <f>INDEX(商业2转码!$B$2:$B$10000,MATCH(E2333,商业2转码!$A$2:$A$10000,0))</f>
        <v>#N/A</v>
      </c>
      <c r="G2333" s="6">
        <f>INDEX(品种2编码!$A$2:$A$1048576,MATCH(W2333,品种2编码!$D$2:$D$1048576,0))</f>
        <v>0</v>
      </c>
      <c r="H2333" s="6" t="s">
        <v>380</v>
      </c>
      <c r="I2333" s="6" t="s">
        <v>3612</v>
      </c>
      <c r="L2333" s="6" t="s">
        <v>3589</v>
      </c>
      <c r="M2333" s="6" t="e">
        <f>INDEX(医院2县区2人!$B$2:$B$1048576,MATCH(L2333,医院2县区2人!$A$2:$A$1048576,0))</f>
        <v>#N/A</v>
      </c>
      <c r="N2333" s="6" t="e">
        <f>INDEX(医院2县区2人!$C$2:$C$1048576,MATCH(L2333,医院2县区2人!$A$2:$A$1048576,0))</f>
        <v>#N/A</v>
      </c>
      <c r="P2333" s="7">
        <v>43269</v>
      </c>
      <c r="Q2333" s="6">
        <v>30</v>
      </c>
      <c r="S2333" s="6">
        <v>1705001</v>
      </c>
      <c r="T2333" s="6" t="e">
        <f>INDEX(医院2县区2人!$D$2:$D$1048576,MATCH(L2333,医院2县区2人!$A$2:$A$1048576,0))</f>
        <v>#N/A</v>
      </c>
      <c r="W2333" s="6" t="str">
        <f t="shared" si="75"/>
        <v>复方氨酚烷胺片12片*1板</v>
      </c>
      <c r="X2333" s="6" t="s">
        <v>2904</v>
      </c>
    </row>
    <row r="2334" spans="1:24" x14ac:dyDescent="0.15">
      <c r="A2334" s="7" t="str">
        <f t="shared" si="76"/>
        <v>201806</v>
      </c>
      <c r="C2334" s="6">
        <f>INDEX(工厂基础数据!$A$2:$A$1024,MATCH(X2334,工厂基础数据!$D$2:$D$1024,0))</f>
        <v>0</v>
      </c>
      <c r="E2334" s="6" t="str">
        <f>INDEX(工厂基础数据!$B$2:$B$1024,MATCH(X2334,工厂基础数据!$D$2:$D$1024,0))</f>
        <v>济南广林医药有限公司</v>
      </c>
      <c r="F2334" s="6" t="e">
        <f>INDEX(商业2转码!$B$2:$B$10000,MATCH(E2334,商业2转码!$A$2:$A$10000,0))</f>
        <v>#N/A</v>
      </c>
      <c r="G2334" s="6">
        <f>INDEX(品种2编码!$A$2:$A$1048576,MATCH(W2334,品种2编码!$D$2:$D$1048576,0))</f>
        <v>0</v>
      </c>
      <c r="H2334" s="6" t="s">
        <v>380</v>
      </c>
      <c r="I2334" s="6" t="s">
        <v>3612</v>
      </c>
      <c r="L2334" s="6" t="s">
        <v>3590</v>
      </c>
      <c r="M2334" s="6" t="e">
        <f>INDEX(医院2县区2人!$B$2:$B$1048576,MATCH(L2334,医院2县区2人!$A$2:$A$1048576,0))</f>
        <v>#N/A</v>
      </c>
      <c r="N2334" s="6" t="e">
        <f>INDEX(医院2县区2人!$C$2:$C$1048576,MATCH(L2334,医院2县区2人!$A$2:$A$1048576,0))</f>
        <v>#N/A</v>
      </c>
      <c r="P2334" s="7">
        <v>43278</v>
      </c>
      <c r="Q2334" s="6">
        <v>20</v>
      </c>
      <c r="S2334" s="6">
        <v>1711002</v>
      </c>
      <c r="T2334" s="6" t="e">
        <f>INDEX(医院2县区2人!$D$2:$D$1048576,MATCH(L2334,医院2县区2人!$A$2:$A$1048576,0))</f>
        <v>#N/A</v>
      </c>
      <c r="W2334" s="6" t="str">
        <f t="shared" si="75"/>
        <v>复方氨酚烷胺片12片*1板</v>
      </c>
      <c r="X2334" s="6" t="s">
        <v>2904</v>
      </c>
    </row>
    <row r="2335" spans="1:24" x14ac:dyDescent="0.15">
      <c r="A2335" s="7" t="str">
        <f t="shared" si="76"/>
        <v>201806</v>
      </c>
      <c r="C2335" s="6">
        <f>INDEX(工厂基础数据!$A$2:$A$1024,MATCH(X2335,工厂基础数据!$D$2:$D$1024,0))</f>
        <v>0</v>
      </c>
      <c r="E2335" s="6" t="str">
        <f>INDEX(工厂基础数据!$B$2:$B$1024,MATCH(X2335,工厂基础数据!$D$2:$D$1024,0))</f>
        <v>济南广林医药有限公司</v>
      </c>
      <c r="F2335" s="6" t="e">
        <f>INDEX(商业2转码!$B$2:$B$10000,MATCH(E2335,商业2转码!$A$2:$A$10000,0))</f>
        <v>#N/A</v>
      </c>
      <c r="G2335" s="6" t="str">
        <f>INDEX(品种2编码!$A$2:$A$1048576,MATCH(W2335,品种2编码!$D$2:$D$1048576,0))</f>
        <v>0020070001ZYZC0383</v>
      </c>
      <c r="H2335" s="6" t="s">
        <v>1849</v>
      </c>
      <c r="I2335" s="6" t="s">
        <v>1850</v>
      </c>
      <c r="L2335" s="6" t="s">
        <v>3525</v>
      </c>
      <c r="M2335" s="6" t="e">
        <f>INDEX(医院2县区2人!$B$2:$B$1048576,MATCH(L2335,医院2县区2人!$A$2:$A$1048576,0))</f>
        <v>#N/A</v>
      </c>
      <c r="N2335" s="6" t="e">
        <f>INDEX(医院2县区2人!$C$2:$C$1048576,MATCH(L2335,医院2县区2人!$A$2:$A$1048576,0))</f>
        <v>#N/A</v>
      </c>
      <c r="P2335" s="7">
        <v>43255</v>
      </c>
      <c r="Q2335" s="6">
        <v>10</v>
      </c>
      <c r="S2335" s="6" t="s">
        <v>2938</v>
      </c>
      <c r="T2335" s="6" t="e">
        <f>INDEX(医院2县区2人!$D$2:$D$1048576,MATCH(L2335,医院2县区2人!$A$2:$A$1048576,0))</f>
        <v>#N/A</v>
      </c>
      <c r="W2335" s="6" t="str">
        <f t="shared" si="75"/>
        <v>哈药牌钙铁锌口服液10ml*10支</v>
      </c>
      <c r="X2335" s="6" t="s">
        <v>2904</v>
      </c>
    </row>
    <row r="2336" spans="1:24" x14ac:dyDescent="0.15">
      <c r="A2336" s="7" t="str">
        <f t="shared" si="76"/>
        <v>201806</v>
      </c>
      <c r="C2336" s="6">
        <f>INDEX(工厂基础数据!$A$2:$A$1024,MATCH(X2336,工厂基础数据!$D$2:$D$1024,0))</f>
        <v>0</v>
      </c>
      <c r="E2336" s="6" t="str">
        <f>INDEX(工厂基础数据!$B$2:$B$1024,MATCH(X2336,工厂基础数据!$D$2:$D$1024,0))</f>
        <v>济南广林医药有限公司</v>
      </c>
      <c r="F2336" s="6" t="e">
        <f>INDEX(商业2转码!$B$2:$B$10000,MATCH(E2336,商业2转码!$A$2:$A$10000,0))</f>
        <v>#N/A</v>
      </c>
      <c r="G2336" s="6" t="str">
        <f>INDEX(品种2编码!$A$2:$A$1048576,MATCH(W2336,品种2编码!$D$2:$D$1048576,0))</f>
        <v>0020070001ZYZC0383</v>
      </c>
      <c r="H2336" s="6" t="s">
        <v>1849</v>
      </c>
      <c r="I2336" s="6" t="s">
        <v>1850</v>
      </c>
      <c r="L2336" s="6" t="s">
        <v>3525</v>
      </c>
      <c r="M2336" s="6" t="e">
        <f>INDEX(医院2县区2人!$B$2:$B$1048576,MATCH(L2336,医院2县区2人!$A$2:$A$1048576,0))</f>
        <v>#N/A</v>
      </c>
      <c r="N2336" s="6" t="e">
        <f>INDEX(医院2县区2人!$C$2:$C$1048576,MATCH(L2336,医院2县区2人!$A$2:$A$1048576,0))</f>
        <v>#N/A</v>
      </c>
      <c r="P2336" s="7">
        <v>43257</v>
      </c>
      <c r="Q2336" s="6">
        <v>5</v>
      </c>
      <c r="S2336" s="6" t="s">
        <v>2938</v>
      </c>
      <c r="T2336" s="6" t="e">
        <f>INDEX(医院2县区2人!$D$2:$D$1048576,MATCH(L2336,医院2县区2人!$A$2:$A$1048576,0))</f>
        <v>#N/A</v>
      </c>
      <c r="W2336" s="6" t="str">
        <f t="shared" si="75"/>
        <v>哈药牌钙铁锌口服液10ml*10支</v>
      </c>
      <c r="X2336" s="6" t="s">
        <v>2904</v>
      </c>
    </row>
    <row r="2337" spans="1:24" x14ac:dyDescent="0.15">
      <c r="A2337" s="7" t="str">
        <f t="shared" si="76"/>
        <v>201806</v>
      </c>
      <c r="C2337" s="6">
        <f>INDEX(工厂基础数据!$A$2:$A$1024,MATCH(X2337,工厂基础数据!$D$2:$D$1024,0))</f>
        <v>0</v>
      </c>
      <c r="E2337" s="6" t="str">
        <f>INDEX(工厂基础数据!$B$2:$B$1024,MATCH(X2337,工厂基础数据!$D$2:$D$1024,0))</f>
        <v>济南广林医药有限公司</v>
      </c>
      <c r="F2337" s="6" t="e">
        <f>INDEX(商业2转码!$B$2:$B$10000,MATCH(E2337,商业2转码!$A$2:$A$10000,0))</f>
        <v>#N/A</v>
      </c>
      <c r="G2337" s="6" t="str">
        <f>INDEX(品种2编码!$A$2:$A$1048576,MATCH(W2337,品种2编码!$D$2:$D$1048576,0))</f>
        <v>0020070001ZYZC0383</v>
      </c>
      <c r="H2337" s="6" t="s">
        <v>1849</v>
      </c>
      <c r="I2337" s="6" t="s">
        <v>1850</v>
      </c>
      <c r="L2337" s="6" t="s">
        <v>3561</v>
      </c>
      <c r="M2337" s="6" t="e">
        <f>INDEX(医院2县区2人!$B$2:$B$1048576,MATCH(L2337,医院2县区2人!$A$2:$A$1048576,0))</f>
        <v>#N/A</v>
      </c>
      <c r="N2337" s="6" t="e">
        <f>INDEX(医院2县区2人!$C$2:$C$1048576,MATCH(L2337,医院2县区2人!$A$2:$A$1048576,0))</f>
        <v>#N/A</v>
      </c>
      <c r="P2337" s="7">
        <v>43266</v>
      </c>
      <c r="Q2337" s="6">
        <v>5</v>
      </c>
      <c r="S2337" s="6" t="s">
        <v>2938</v>
      </c>
      <c r="T2337" s="6" t="e">
        <f>INDEX(医院2县区2人!$D$2:$D$1048576,MATCH(L2337,医院2县区2人!$A$2:$A$1048576,0))</f>
        <v>#N/A</v>
      </c>
      <c r="W2337" s="6" t="str">
        <f t="shared" si="75"/>
        <v>哈药牌钙铁锌口服液10ml*10支</v>
      </c>
      <c r="X2337" s="6" t="s">
        <v>2904</v>
      </c>
    </row>
    <row r="2338" spans="1:24" x14ac:dyDescent="0.15">
      <c r="A2338" s="7" t="str">
        <f t="shared" si="76"/>
        <v>201806</v>
      </c>
      <c r="C2338" s="6">
        <f>INDEX(工厂基础数据!$A$2:$A$1024,MATCH(X2338,工厂基础数据!$D$2:$D$1024,0))</f>
        <v>0</v>
      </c>
      <c r="E2338" s="6" t="str">
        <f>INDEX(工厂基础数据!$B$2:$B$1024,MATCH(X2338,工厂基础数据!$D$2:$D$1024,0))</f>
        <v>济南广林医药有限公司</v>
      </c>
      <c r="F2338" s="6" t="e">
        <f>INDEX(商业2转码!$B$2:$B$10000,MATCH(E2338,商业2转码!$A$2:$A$10000,0))</f>
        <v>#N/A</v>
      </c>
      <c r="G2338" s="6" t="str">
        <f>INDEX(品种2编码!$A$2:$A$1048576,MATCH(W2338,品种2编码!$D$2:$D$1048576,0))</f>
        <v>0020070001ZYZC0383</v>
      </c>
      <c r="H2338" s="6" t="s">
        <v>1849</v>
      </c>
      <c r="I2338" s="6" t="s">
        <v>1850</v>
      </c>
      <c r="L2338" s="6" t="s">
        <v>3540</v>
      </c>
      <c r="M2338" s="6" t="e">
        <f>INDEX(医院2县区2人!$B$2:$B$1048576,MATCH(L2338,医院2县区2人!$A$2:$A$1048576,0))</f>
        <v>#N/A</v>
      </c>
      <c r="N2338" s="6" t="e">
        <f>INDEX(医院2县区2人!$C$2:$C$1048576,MATCH(L2338,医院2县区2人!$A$2:$A$1048576,0))</f>
        <v>#N/A</v>
      </c>
      <c r="P2338" s="7">
        <v>43279</v>
      </c>
      <c r="Q2338" s="6">
        <v>5</v>
      </c>
      <c r="S2338" s="6" t="s">
        <v>2938</v>
      </c>
      <c r="T2338" s="6" t="e">
        <f>INDEX(医院2县区2人!$D$2:$D$1048576,MATCH(L2338,医院2县区2人!$A$2:$A$1048576,0))</f>
        <v>#N/A</v>
      </c>
      <c r="W2338" s="6" t="str">
        <f t="shared" si="75"/>
        <v>哈药牌钙铁锌口服液10ml*10支</v>
      </c>
      <c r="X2338" s="6" t="s">
        <v>2904</v>
      </c>
    </row>
    <row r="2339" spans="1:24" x14ac:dyDescent="0.15">
      <c r="A2339" s="7" t="str">
        <f t="shared" si="76"/>
        <v>201806</v>
      </c>
      <c r="C2339" s="6">
        <f>INDEX(工厂基础数据!$A$2:$A$1024,MATCH(X2339,工厂基础数据!$D$2:$D$1024,0))</f>
        <v>0</v>
      </c>
      <c r="E2339" s="6" t="str">
        <f>INDEX(工厂基础数据!$B$2:$B$1024,MATCH(X2339,工厂基础数据!$D$2:$D$1024,0))</f>
        <v>济南广林医药有限公司</v>
      </c>
      <c r="F2339" s="6" t="e">
        <f>INDEX(商业2转码!$B$2:$B$10000,MATCH(E2339,商业2转码!$A$2:$A$10000,0))</f>
        <v>#N/A</v>
      </c>
      <c r="G2339" s="6">
        <f>INDEX(品种2编码!$A$2:$A$1048576,MATCH(W2339,品种2编码!$D$2:$D$1048576,0))</f>
        <v>0</v>
      </c>
      <c r="H2339" s="6" t="s">
        <v>474</v>
      </c>
      <c r="I2339" s="6" t="s">
        <v>3064</v>
      </c>
      <c r="L2339" s="6" t="s">
        <v>3578</v>
      </c>
      <c r="M2339" s="6" t="e">
        <f>INDEX(医院2县区2人!$B$2:$B$1048576,MATCH(L2339,医院2县区2人!$A$2:$A$1048576,0))</f>
        <v>#N/A</v>
      </c>
      <c r="N2339" s="6" t="e">
        <f>INDEX(医院2县区2人!$C$2:$C$1048576,MATCH(L2339,医院2县区2人!$A$2:$A$1048576,0))</f>
        <v>#N/A</v>
      </c>
      <c r="P2339" s="7">
        <v>43257</v>
      </c>
      <c r="Q2339" s="6">
        <v>10</v>
      </c>
      <c r="S2339" s="6">
        <v>1803028</v>
      </c>
      <c r="T2339" s="6" t="e">
        <f>INDEX(医院2县区2人!$D$2:$D$1048576,MATCH(L2339,医院2县区2人!$A$2:$A$1048576,0))</f>
        <v>#N/A</v>
      </c>
      <c r="W2339" s="6" t="str">
        <f t="shared" si="75"/>
        <v>拉西地平片4mg*30片</v>
      </c>
      <c r="X2339" s="6" t="s">
        <v>2904</v>
      </c>
    </row>
    <row r="2340" spans="1:24" x14ac:dyDescent="0.15">
      <c r="A2340" s="7" t="str">
        <f t="shared" si="76"/>
        <v>201806</v>
      </c>
      <c r="C2340" s="6">
        <f>INDEX(工厂基础数据!$A$2:$A$1024,MATCH(X2340,工厂基础数据!$D$2:$D$1024,0))</f>
        <v>0</v>
      </c>
      <c r="E2340" s="6" t="str">
        <f>INDEX(工厂基础数据!$B$2:$B$1024,MATCH(X2340,工厂基础数据!$D$2:$D$1024,0))</f>
        <v>济南广林医药有限公司</v>
      </c>
      <c r="F2340" s="6" t="e">
        <f>INDEX(商业2转码!$B$2:$B$10000,MATCH(E2340,商业2转码!$A$2:$A$10000,0))</f>
        <v>#N/A</v>
      </c>
      <c r="G2340" s="6">
        <f>INDEX(品种2编码!$A$2:$A$1048576,MATCH(W2340,品种2编码!$D$2:$D$1048576,0))</f>
        <v>0</v>
      </c>
      <c r="H2340" s="6" t="s">
        <v>474</v>
      </c>
      <c r="I2340" s="6" t="s">
        <v>3064</v>
      </c>
      <c r="L2340" s="6" t="s">
        <v>3539</v>
      </c>
      <c r="M2340" s="6" t="e">
        <f>INDEX(医院2县区2人!$B$2:$B$1048576,MATCH(L2340,医院2县区2人!$A$2:$A$1048576,0))</f>
        <v>#N/A</v>
      </c>
      <c r="N2340" s="6" t="e">
        <f>INDEX(医院2县区2人!$C$2:$C$1048576,MATCH(L2340,医院2县区2人!$A$2:$A$1048576,0))</f>
        <v>#N/A</v>
      </c>
      <c r="P2340" s="7">
        <v>43258</v>
      </c>
      <c r="Q2340" s="6">
        <v>20</v>
      </c>
      <c r="S2340" s="6">
        <v>1803028</v>
      </c>
      <c r="T2340" s="6" t="e">
        <f>INDEX(医院2县区2人!$D$2:$D$1048576,MATCH(L2340,医院2县区2人!$A$2:$A$1048576,0))</f>
        <v>#N/A</v>
      </c>
      <c r="W2340" s="6" t="str">
        <f t="shared" si="75"/>
        <v>拉西地平片4mg*30片</v>
      </c>
      <c r="X2340" s="6" t="s">
        <v>2904</v>
      </c>
    </row>
    <row r="2341" spans="1:24" x14ac:dyDescent="0.15">
      <c r="A2341" s="7" t="str">
        <f t="shared" si="76"/>
        <v>201806</v>
      </c>
      <c r="C2341" s="6">
        <f>INDEX(工厂基础数据!$A$2:$A$1024,MATCH(X2341,工厂基础数据!$D$2:$D$1024,0))</f>
        <v>0</v>
      </c>
      <c r="E2341" s="6" t="str">
        <f>INDEX(工厂基础数据!$B$2:$B$1024,MATCH(X2341,工厂基础数据!$D$2:$D$1024,0))</f>
        <v>济南广林医药有限公司</v>
      </c>
      <c r="F2341" s="6" t="e">
        <f>INDEX(商业2转码!$B$2:$B$10000,MATCH(E2341,商业2转码!$A$2:$A$10000,0))</f>
        <v>#N/A</v>
      </c>
      <c r="G2341" s="6">
        <f>INDEX(品种2编码!$A$2:$A$1048576,MATCH(W2341,品种2编码!$D$2:$D$1048576,0))</f>
        <v>0</v>
      </c>
      <c r="H2341" s="6" t="s">
        <v>474</v>
      </c>
      <c r="I2341" s="6" t="s">
        <v>3064</v>
      </c>
      <c r="L2341" s="6" t="s">
        <v>3097</v>
      </c>
      <c r="M2341" s="6" t="e">
        <f>INDEX(医院2县区2人!$B$2:$B$1048576,MATCH(L2341,医院2县区2人!$A$2:$A$1048576,0))</f>
        <v>#N/A</v>
      </c>
      <c r="N2341" s="6" t="e">
        <f>INDEX(医院2县区2人!$C$2:$C$1048576,MATCH(L2341,医院2县区2人!$A$2:$A$1048576,0))</f>
        <v>#N/A</v>
      </c>
      <c r="P2341" s="7">
        <v>43259</v>
      </c>
      <c r="Q2341" s="6">
        <v>3</v>
      </c>
      <c r="S2341" s="6">
        <v>1803028</v>
      </c>
      <c r="T2341" s="6" t="e">
        <f>INDEX(医院2县区2人!$D$2:$D$1048576,MATCH(L2341,医院2县区2人!$A$2:$A$1048576,0))</f>
        <v>#N/A</v>
      </c>
      <c r="W2341" s="6" t="str">
        <f t="shared" si="75"/>
        <v>拉西地平片4mg*30片</v>
      </c>
      <c r="X2341" s="6" t="s">
        <v>2904</v>
      </c>
    </row>
    <row r="2342" spans="1:24" x14ac:dyDescent="0.15">
      <c r="A2342" s="7" t="str">
        <f t="shared" si="76"/>
        <v>201806</v>
      </c>
      <c r="C2342" s="6">
        <f>INDEX(工厂基础数据!$A$2:$A$1024,MATCH(X2342,工厂基础数据!$D$2:$D$1024,0))</f>
        <v>0</v>
      </c>
      <c r="E2342" s="6" t="str">
        <f>INDEX(工厂基础数据!$B$2:$B$1024,MATCH(X2342,工厂基础数据!$D$2:$D$1024,0))</f>
        <v>济南广林医药有限公司</v>
      </c>
      <c r="F2342" s="6" t="e">
        <f>INDEX(商业2转码!$B$2:$B$10000,MATCH(E2342,商业2转码!$A$2:$A$10000,0))</f>
        <v>#N/A</v>
      </c>
      <c r="G2342" s="6">
        <f>INDEX(品种2编码!$A$2:$A$1048576,MATCH(W2342,品种2编码!$D$2:$D$1048576,0))</f>
        <v>0</v>
      </c>
      <c r="H2342" s="6" t="s">
        <v>474</v>
      </c>
      <c r="I2342" s="6" t="s">
        <v>3064</v>
      </c>
      <c r="L2342" s="6" t="s">
        <v>3591</v>
      </c>
      <c r="M2342" s="6" t="e">
        <f>INDEX(医院2县区2人!$B$2:$B$1048576,MATCH(L2342,医院2县区2人!$A$2:$A$1048576,0))</f>
        <v>#N/A</v>
      </c>
      <c r="N2342" s="6" t="e">
        <f>INDEX(医院2县区2人!$C$2:$C$1048576,MATCH(L2342,医院2县区2人!$A$2:$A$1048576,0))</f>
        <v>#N/A</v>
      </c>
      <c r="P2342" s="7">
        <v>43265</v>
      </c>
      <c r="Q2342" s="6">
        <v>10</v>
      </c>
      <c r="S2342" s="6">
        <v>1803028</v>
      </c>
      <c r="T2342" s="6" t="e">
        <f>INDEX(医院2县区2人!$D$2:$D$1048576,MATCH(L2342,医院2县区2人!$A$2:$A$1048576,0))</f>
        <v>#N/A</v>
      </c>
      <c r="W2342" s="6" t="str">
        <f t="shared" si="75"/>
        <v>拉西地平片4mg*30片</v>
      </c>
      <c r="X2342" s="6" t="s">
        <v>2904</v>
      </c>
    </row>
    <row r="2343" spans="1:24" x14ac:dyDescent="0.15">
      <c r="A2343" s="7" t="str">
        <f t="shared" si="76"/>
        <v>201806</v>
      </c>
      <c r="C2343" s="6">
        <f>INDEX(工厂基础数据!$A$2:$A$1024,MATCH(X2343,工厂基础数据!$D$2:$D$1024,0))</f>
        <v>0</v>
      </c>
      <c r="E2343" s="6" t="str">
        <f>INDEX(工厂基础数据!$B$2:$B$1024,MATCH(X2343,工厂基础数据!$D$2:$D$1024,0))</f>
        <v>济南广林医药有限公司</v>
      </c>
      <c r="F2343" s="6" t="e">
        <f>INDEX(商业2转码!$B$2:$B$10000,MATCH(E2343,商业2转码!$A$2:$A$10000,0))</f>
        <v>#N/A</v>
      </c>
      <c r="G2343" s="6">
        <f>INDEX(品种2编码!$A$2:$A$1048576,MATCH(W2343,品种2编码!$D$2:$D$1048576,0))</f>
        <v>0</v>
      </c>
      <c r="H2343" s="6" t="s">
        <v>474</v>
      </c>
      <c r="I2343" s="6" t="s">
        <v>3064</v>
      </c>
      <c r="L2343" s="6" t="s">
        <v>3528</v>
      </c>
      <c r="M2343" s="6" t="e">
        <f>INDEX(医院2县区2人!$B$2:$B$1048576,MATCH(L2343,医院2县区2人!$A$2:$A$1048576,0))</f>
        <v>#N/A</v>
      </c>
      <c r="N2343" s="6" t="e">
        <f>INDEX(医院2县区2人!$C$2:$C$1048576,MATCH(L2343,医院2县区2人!$A$2:$A$1048576,0))</f>
        <v>#N/A</v>
      </c>
      <c r="P2343" s="7">
        <v>43265</v>
      </c>
      <c r="Q2343" s="6">
        <v>10</v>
      </c>
      <c r="S2343" s="6">
        <v>1803028</v>
      </c>
      <c r="T2343" s="6" t="e">
        <f>INDEX(医院2县区2人!$D$2:$D$1048576,MATCH(L2343,医院2县区2人!$A$2:$A$1048576,0))</f>
        <v>#N/A</v>
      </c>
      <c r="W2343" s="6" t="str">
        <f t="shared" si="75"/>
        <v>拉西地平片4mg*30片</v>
      </c>
      <c r="X2343" s="6" t="s">
        <v>2904</v>
      </c>
    </row>
    <row r="2344" spans="1:24" x14ac:dyDescent="0.15">
      <c r="A2344" s="7" t="str">
        <f t="shared" si="76"/>
        <v>201806</v>
      </c>
      <c r="C2344" s="6">
        <f>INDEX(工厂基础数据!$A$2:$A$1024,MATCH(X2344,工厂基础数据!$D$2:$D$1024,0))</f>
        <v>0</v>
      </c>
      <c r="E2344" s="6" t="str">
        <f>INDEX(工厂基础数据!$B$2:$B$1024,MATCH(X2344,工厂基础数据!$D$2:$D$1024,0))</f>
        <v>济南广林医药有限公司</v>
      </c>
      <c r="F2344" s="6" t="e">
        <f>INDEX(商业2转码!$B$2:$B$10000,MATCH(E2344,商业2转码!$A$2:$A$10000,0))</f>
        <v>#N/A</v>
      </c>
      <c r="G2344" s="6">
        <f>INDEX(品种2编码!$A$2:$A$1048576,MATCH(W2344,品种2编码!$D$2:$D$1048576,0))</f>
        <v>0</v>
      </c>
      <c r="H2344" s="6" t="s">
        <v>474</v>
      </c>
      <c r="I2344" s="6" t="s">
        <v>3064</v>
      </c>
      <c r="L2344" s="6" t="s">
        <v>3528</v>
      </c>
      <c r="M2344" s="6" t="e">
        <f>INDEX(医院2县区2人!$B$2:$B$1048576,MATCH(L2344,医院2县区2人!$A$2:$A$1048576,0))</f>
        <v>#N/A</v>
      </c>
      <c r="N2344" s="6" t="e">
        <f>INDEX(医院2县区2人!$C$2:$C$1048576,MATCH(L2344,医院2县区2人!$A$2:$A$1048576,0))</f>
        <v>#N/A</v>
      </c>
      <c r="P2344" s="7">
        <v>43272</v>
      </c>
      <c r="Q2344" s="6">
        <v>10</v>
      </c>
      <c r="S2344" s="6">
        <v>1803028</v>
      </c>
      <c r="T2344" s="6" t="e">
        <f>INDEX(医院2县区2人!$D$2:$D$1048576,MATCH(L2344,医院2县区2人!$A$2:$A$1048576,0))</f>
        <v>#N/A</v>
      </c>
      <c r="W2344" s="6" t="str">
        <f t="shared" si="75"/>
        <v>拉西地平片4mg*30片</v>
      </c>
      <c r="X2344" s="6" t="s">
        <v>2904</v>
      </c>
    </row>
    <row r="2345" spans="1:24" x14ac:dyDescent="0.15">
      <c r="A2345" s="7" t="str">
        <f t="shared" si="76"/>
        <v>201806</v>
      </c>
      <c r="C2345" s="6">
        <f>INDEX(工厂基础数据!$A$2:$A$1024,MATCH(X2345,工厂基础数据!$D$2:$D$1024,0))</f>
        <v>0</v>
      </c>
      <c r="E2345" s="6" t="str">
        <f>INDEX(工厂基础数据!$B$2:$B$1024,MATCH(X2345,工厂基础数据!$D$2:$D$1024,0))</f>
        <v>济南广林医药有限公司</v>
      </c>
      <c r="F2345" s="6" t="e">
        <f>INDEX(商业2转码!$B$2:$B$10000,MATCH(E2345,商业2转码!$A$2:$A$10000,0))</f>
        <v>#N/A</v>
      </c>
      <c r="G2345" s="6">
        <f>INDEX(品种2编码!$A$2:$A$1048576,MATCH(W2345,品种2编码!$D$2:$D$1048576,0))</f>
        <v>0</v>
      </c>
      <c r="H2345" s="6" t="s">
        <v>494</v>
      </c>
      <c r="I2345" s="6" t="s">
        <v>1841</v>
      </c>
      <c r="L2345" s="6" t="s">
        <v>3592</v>
      </c>
      <c r="M2345" s="6" t="e">
        <f>INDEX(医院2县区2人!$B$2:$B$1048576,MATCH(L2345,医院2县区2人!$A$2:$A$1048576,0))</f>
        <v>#N/A</v>
      </c>
      <c r="N2345" s="6" t="e">
        <f>INDEX(医院2县区2人!$C$2:$C$1048576,MATCH(L2345,医院2县区2人!$A$2:$A$1048576,0))</f>
        <v>#N/A</v>
      </c>
      <c r="P2345" s="7">
        <v>43252</v>
      </c>
      <c r="Q2345" s="6">
        <v>10</v>
      </c>
      <c r="S2345" s="6">
        <v>160504</v>
      </c>
      <c r="T2345" s="6" t="e">
        <f>INDEX(医院2县区2人!$D$2:$D$1048576,MATCH(L2345,医院2县区2人!$A$2:$A$1048576,0))</f>
        <v>#N/A</v>
      </c>
      <c r="W2345" s="6" t="str">
        <f t="shared" si="75"/>
        <v>罗红霉素分散片(严迪)50mg*12片</v>
      </c>
      <c r="X2345" s="6" t="s">
        <v>2904</v>
      </c>
    </row>
    <row r="2346" spans="1:24" x14ac:dyDescent="0.15">
      <c r="A2346" s="7" t="str">
        <f t="shared" si="76"/>
        <v>201806</v>
      </c>
      <c r="C2346" s="6">
        <f>INDEX(工厂基础数据!$A$2:$A$1024,MATCH(X2346,工厂基础数据!$D$2:$D$1024,0))</f>
        <v>0</v>
      </c>
      <c r="E2346" s="6" t="str">
        <f>INDEX(工厂基础数据!$B$2:$B$1024,MATCH(X2346,工厂基础数据!$D$2:$D$1024,0))</f>
        <v>济南广林医药有限公司</v>
      </c>
      <c r="F2346" s="6" t="e">
        <f>INDEX(商业2转码!$B$2:$B$10000,MATCH(E2346,商业2转码!$A$2:$A$10000,0))</f>
        <v>#N/A</v>
      </c>
      <c r="G2346" s="6">
        <f>INDEX(品种2编码!$A$2:$A$1048576,MATCH(W2346,品种2编码!$D$2:$D$1048576,0))</f>
        <v>0</v>
      </c>
      <c r="H2346" s="6" t="s">
        <v>494</v>
      </c>
      <c r="I2346" s="6" t="s">
        <v>1869</v>
      </c>
      <c r="L2346" s="6" t="s">
        <v>3540</v>
      </c>
      <c r="M2346" s="6" t="e">
        <f>INDEX(医院2县区2人!$B$2:$B$1048576,MATCH(L2346,医院2县区2人!$A$2:$A$1048576,0))</f>
        <v>#N/A</v>
      </c>
      <c r="N2346" s="6" t="e">
        <f>INDEX(医院2县区2人!$C$2:$C$1048576,MATCH(L2346,医院2县区2人!$A$2:$A$1048576,0))</f>
        <v>#N/A</v>
      </c>
      <c r="P2346" s="7">
        <v>43252</v>
      </c>
      <c r="Q2346" s="6">
        <v>5</v>
      </c>
      <c r="S2346" s="6">
        <v>180201</v>
      </c>
      <c r="T2346" s="6" t="e">
        <f>INDEX(医院2县区2人!$D$2:$D$1048576,MATCH(L2346,医院2县区2人!$A$2:$A$1048576,0))</f>
        <v>#N/A</v>
      </c>
      <c r="W2346" s="6" t="str">
        <f t="shared" si="75"/>
        <v>罗红霉素分散片(严迪)75mg*12片</v>
      </c>
      <c r="X2346" s="6" t="s">
        <v>2904</v>
      </c>
    </row>
    <row r="2347" spans="1:24" x14ac:dyDescent="0.15">
      <c r="A2347" s="7" t="str">
        <f t="shared" si="76"/>
        <v>201806</v>
      </c>
      <c r="C2347" s="6">
        <f>INDEX(工厂基础数据!$A$2:$A$1024,MATCH(X2347,工厂基础数据!$D$2:$D$1024,0))</f>
        <v>0</v>
      </c>
      <c r="E2347" s="6" t="str">
        <f>INDEX(工厂基础数据!$B$2:$B$1024,MATCH(X2347,工厂基础数据!$D$2:$D$1024,0))</f>
        <v>济南广林医药有限公司</v>
      </c>
      <c r="F2347" s="6" t="e">
        <f>INDEX(商业2转码!$B$2:$B$10000,MATCH(E2347,商业2转码!$A$2:$A$10000,0))</f>
        <v>#N/A</v>
      </c>
      <c r="G2347" s="6">
        <f>INDEX(品种2编码!$A$2:$A$1048576,MATCH(W2347,品种2编码!$D$2:$D$1048576,0))</f>
        <v>0</v>
      </c>
      <c r="H2347" s="6" t="s">
        <v>494</v>
      </c>
      <c r="I2347" s="6" t="s">
        <v>1869</v>
      </c>
      <c r="L2347" s="6" t="s">
        <v>3524</v>
      </c>
      <c r="M2347" s="6" t="e">
        <f>INDEX(医院2县区2人!$B$2:$B$1048576,MATCH(L2347,医院2县区2人!$A$2:$A$1048576,0))</f>
        <v>#N/A</v>
      </c>
      <c r="N2347" s="6" t="e">
        <f>INDEX(医院2县区2人!$C$2:$C$1048576,MATCH(L2347,医院2县区2人!$A$2:$A$1048576,0))</f>
        <v>#N/A</v>
      </c>
      <c r="P2347" s="7">
        <v>43252</v>
      </c>
      <c r="Q2347" s="6">
        <v>20</v>
      </c>
      <c r="S2347" s="6">
        <v>180201</v>
      </c>
      <c r="T2347" s="6" t="e">
        <f>INDEX(医院2县区2人!$D$2:$D$1048576,MATCH(L2347,医院2县区2人!$A$2:$A$1048576,0))</f>
        <v>#N/A</v>
      </c>
      <c r="W2347" s="6" t="str">
        <f t="shared" si="75"/>
        <v>罗红霉素分散片(严迪)75mg*12片</v>
      </c>
      <c r="X2347" s="6" t="s">
        <v>2904</v>
      </c>
    </row>
    <row r="2348" spans="1:24" x14ac:dyDescent="0.15">
      <c r="A2348" s="7" t="str">
        <f t="shared" si="76"/>
        <v>201806</v>
      </c>
      <c r="C2348" s="6">
        <f>INDEX(工厂基础数据!$A$2:$A$1024,MATCH(X2348,工厂基础数据!$D$2:$D$1024,0))</f>
        <v>0</v>
      </c>
      <c r="E2348" s="6" t="str">
        <f>INDEX(工厂基础数据!$B$2:$B$1024,MATCH(X2348,工厂基础数据!$D$2:$D$1024,0))</f>
        <v>济南广林医药有限公司</v>
      </c>
      <c r="F2348" s="6" t="e">
        <f>INDEX(商业2转码!$B$2:$B$10000,MATCH(E2348,商业2转码!$A$2:$A$10000,0))</f>
        <v>#N/A</v>
      </c>
      <c r="G2348" s="6">
        <f>INDEX(品种2编码!$A$2:$A$1048576,MATCH(W2348,品种2编码!$D$2:$D$1048576,0))</f>
        <v>0</v>
      </c>
      <c r="H2348" s="6" t="s">
        <v>494</v>
      </c>
      <c r="I2348" s="6" t="s">
        <v>1841</v>
      </c>
      <c r="L2348" s="6" t="s">
        <v>3528</v>
      </c>
      <c r="M2348" s="6" t="e">
        <f>INDEX(医院2县区2人!$B$2:$B$1048576,MATCH(L2348,医院2县区2人!$A$2:$A$1048576,0))</f>
        <v>#N/A</v>
      </c>
      <c r="N2348" s="6" t="e">
        <f>INDEX(医院2县区2人!$C$2:$C$1048576,MATCH(L2348,医院2县区2人!$A$2:$A$1048576,0))</f>
        <v>#N/A</v>
      </c>
      <c r="P2348" s="7">
        <v>43252</v>
      </c>
      <c r="Q2348" s="6">
        <v>10</v>
      </c>
      <c r="S2348" s="6">
        <v>160504</v>
      </c>
      <c r="T2348" s="6" t="e">
        <f>INDEX(医院2县区2人!$D$2:$D$1048576,MATCH(L2348,医院2县区2人!$A$2:$A$1048576,0))</f>
        <v>#N/A</v>
      </c>
      <c r="W2348" s="6" t="str">
        <f t="shared" si="75"/>
        <v>罗红霉素分散片(严迪)50mg*12片</v>
      </c>
      <c r="X2348" s="6" t="s">
        <v>2904</v>
      </c>
    </row>
    <row r="2349" spans="1:24" x14ac:dyDescent="0.15">
      <c r="A2349" s="7" t="str">
        <f t="shared" si="76"/>
        <v>201806</v>
      </c>
      <c r="C2349" s="6">
        <f>INDEX(工厂基础数据!$A$2:$A$1024,MATCH(X2349,工厂基础数据!$D$2:$D$1024,0))</f>
        <v>0</v>
      </c>
      <c r="E2349" s="6" t="str">
        <f>INDEX(工厂基础数据!$B$2:$B$1024,MATCH(X2349,工厂基础数据!$D$2:$D$1024,0))</f>
        <v>济南广林医药有限公司</v>
      </c>
      <c r="F2349" s="6" t="e">
        <f>INDEX(商业2转码!$B$2:$B$10000,MATCH(E2349,商业2转码!$A$2:$A$10000,0))</f>
        <v>#N/A</v>
      </c>
      <c r="G2349" s="6">
        <f>INDEX(品种2编码!$A$2:$A$1048576,MATCH(W2349,品种2编码!$D$2:$D$1048576,0))</f>
        <v>0</v>
      </c>
      <c r="H2349" s="6" t="s">
        <v>494</v>
      </c>
      <c r="I2349" s="6" t="s">
        <v>1841</v>
      </c>
      <c r="L2349" s="6" t="s">
        <v>3526</v>
      </c>
      <c r="M2349" s="6" t="e">
        <f>INDEX(医院2县区2人!$B$2:$B$1048576,MATCH(L2349,医院2县区2人!$A$2:$A$1048576,0))</f>
        <v>#N/A</v>
      </c>
      <c r="N2349" s="6" t="e">
        <f>INDEX(医院2县区2人!$C$2:$C$1048576,MATCH(L2349,医院2县区2人!$A$2:$A$1048576,0))</f>
        <v>#N/A</v>
      </c>
      <c r="P2349" s="7">
        <v>43255</v>
      </c>
      <c r="Q2349" s="6">
        <v>-30</v>
      </c>
      <c r="S2349" s="6">
        <v>160504</v>
      </c>
      <c r="T2349" s="6" t="e">
        <f>INDEX(医院2县区2人!$D$2:$D$1048576,MATCH(L2349,医院2县区2人!$A$2:$A$1048576,0))</f>
        <v>#N/A</v>
      </c>
      <c r="W2349" s="6" t="str">
        <f t="shared" si="75"/>
        <v>罗红霉素分散片(严迪)50mg*12片</v>
      </c>
      <c r="X2349" s="6" t="s">
        <v>2904</v>
      </c>
    </row>
    <row r="2350" spans="1:24" x14ac:dyDescent="0.15">
      <c r="A2350" s="7" t="str">
        <f t="shared" si="76"/>
        <v>201806</v>
      </c>
      <c r="C2350" s="6">
        <f>INDEX(工厂基础数据!$A$2:$A$1024,MATCH(X2350,工厂基础数据!$D$2:$D$1024,0))</f>
        <v>0</v>
      </c>
      <c r="E2350" s="6" t="str">
        <f>INDEX(工厂基础数据!$B$2:$B$1024,MATCH(X2350,工厂基础数据!$D$2:$D$1024,0))</f>
        <v>济南广林医药有限公司</v>
      </c>
      <c r="F2350" s="6" t="e">
        <f>INDEX(商业2转码!$B$2:$B$10000,MATCH(E2350,商业2转码!$A$2:$A$10000,0))</f>
        <v>#N/A</v>
      </c>
      <c r="G2350" s="6">
        <f>INDEX(品种2编码!$A$2:$A$1048576,MATCH(W2350,品种2编码!$D$2:$D$1048576,0))</f>
        <v>0</v>
      </c>
      <c r="H2350" s="6" t="s">
        <v>494</v>
      </c>
      <c r="I2350" s="6" t="s">
        <v>1869</v>
      </c>
      <c r="L2350" s="6" t="s">
        <v>3528</v>
      </c>
      <c r="M2350" s="6" t="e">
        <f>INDEX(医院2县区2人!$B$2:$B$1048576,MATCH(L2350,医院2县区2人!$A$2:$A$1048576,0))</f>
        <v>#N/A</v>
      </c>
      <c r="N2350" s="6" t="e">
        <f>INDEX(医院2县区2人!$C$2:$C$1048576,MATCH(L2350,医院2县区2人!$A$2:$A$1048576,0))</f>
        <v>#N/A</v>
      </c>
      <c r="P2350" s="7">
        <v>43255</v>
      </c>
      <c r="Q2350" s="6">
        <v>10</v>
      </c>
      <c r="S2350" s="6">
        <v>180201</v>
      </c>
      <c r="T2350" s="6" t="e">
        <f>INDEX(医院2县区2人!$D$2:$D$1048576,MATCH(L2350,医院2县区2人!$A$2:$A$1048576,0))</f>
        <v>#N/A</v>
      </c>
      <c r="W2350" s="6" t="str">
        <f t="shared" si="75"/>
        <v>罗红霉素分散片(严迪)75mg*12片</v>
      </c>
      <c r="X2350" s="6" t="s">
        <v>2904</v>
      </c>
    </row>
    <row r="2351" spans="1:24" x14ac:dyDescent="0.15">
      <c r="A2351" s="7" t="str">
        <f t="shared" si="76"/>
        <v>201806</v>
      </c>
      <c r="C2351" s="6">
        <f>INDEX(工厂基础数据!$A$2:$A$1024,MATCH(X2351,工厂基础数据!$D$2:$D$1024,0))</f>
        <v>0</v>
      </c>
      <c r="E2351" s="6" t="str">
        <f>INDEX(工厂基础数据!$B$2:$B$1024,MATCH(X2351,工厂基础数据!$D$2:$D$1024,0))</f>
        <v>济南广林医药有限公司</v>
      </c>
      <c r="F2351" s="6" t="e">
        <f>INDEX(商业2转码!$B$2:$B$10000,MATCH(E2351,商业2转码!$A$2:$A$10000,0))</f>
        <v>#N/A</v>
      </c>
      <c r="G2351" s="6">
        <f>INDEX(品种2编码!$A$2:$A$1048576,MATCH(W2351,品种2编码!$D$2:$D$1048576,0))</f>
        <v>0</v>
      </c>
      <c r="H2351" s="6" t="s">
        <v>494</v>
      </c>
      <c r="I2351" s="6" t="s">
        <v>1841</v>
      </c>
      <c r="L2351" s="6" t="s">
        <v>3552</v>
      </c>
      <c r="M2351" s="6" t="e">
        <f>INDEX(医院2县区2人!$B$2:$B$1048576,MATCH(L2351,医院2县区2人!$A$2:$A$1048576,0))</f>
        <v>#N/A</v>
      </c>
      <c r="N2351" s="6" t="e">
        <f>INDEX(医院2县区2人!$C$2:$C$1048576,MATCH(L2351,医院2县区2人!$A$2:$A$1048576,0))</f>
        <v>#N/A</v>
      </c>
      <c r="P2351" s="7">
        <v>43256</v>
      </c>
      <c r="Q2351" s="6">
        <v>20</v>
      </c>
      <c r="S2351" s="6">
        <v>160504</v>
      </c>
      <c r="T2351" s="6" t="e">
        <f>INDEX(医院2县区2人!$D$2:$D$1048576,MATCH(L2351,医院2县区2人!$A$2:$A$1048576,0))</f>
        <v>#N/A</v>
      </c>
      <c r="W2351" s="6" t="str">
        <f t="shared" si="75"/>
        <v>罗红霉素分散片(严迪)50mg*12片</v>
      </c>
      <c r="X2351" s="6" t="s">
        <v>2904</v>
      </c>
    </row>
    <row r="2352" spans="1:24" x14ac:dyDescent="0.15">
      <c r="A2352" s="7" t="str">
        <f t="shared" si="76"/>
        <v>201806</v>
      </c>
      <c r="C2352" s="6">
        <f>INDEX(工厂基础数据!$A$2:$A$1024,MATCH(X2352,工厂基础数据!$D$2:$D$1024,0))</f>
        <v>0</v>
      </c>
      <c r="E2352" s="6" t="str">
        <f>INDEX(工厂基础数据!$B$2:$B$1024,MATCH(X2352,工厂基础数据!$D$2:$D$1024,0))</f>
        <v>济南广林医药有限公司</v>
      </c>
      <c r="F2352" s="6" t="e">
        <f>INDEX(商业2转码!$B$2:$B$10000,MATCH(E2352,商业2转码!$A$2:$A$10000,0))</f>
        <v>#N/A</v>
      </c>
      <c r="G2352" s="6">
        <f>INDEX(品种2编码!$A$2:$A$1048576,MATCH(W2352,品种2编码!$D$2:$D$1048576,0))</f>
        <v>0</v>
      </c>
      <c r="H2352" s="6" t="s">
        <v>494</v>
      </c>
      <c r="I2352" s="6" t="s">
        <v>1841</v>
      </c>
      <c r="L2352" s="6" t="s">
        <v>3544</v>
      </c>
      <c r="M2352" s="6" t="e">
        <f>INDEX(医院2县区2人!$B$2:$B$1048576,MATCH(L2352,医院2县区2人!$A$2:$A$1048576,0))</f>
        <v>#N/A</v>
      </c>
      <c r="N2352" s="6" t="e">
        <f>INDEX(医院2县区2人!$C$2:$C$1048576,MATCH(L2352,医院2县区2人!$A$2:$A$1048576,0))</f>
        <v>#N/A</v>
      </c>
      <c r="P2352" s="7">
        <v>43257</v>
      </c>
      <c r="Q2352" s="6">
        <v>10</v>
      </c>
      <c r="S2352" s="6">
        <v>160504</v>
      </c>
      <c r="T2352" s="6" t="e">
        <f>INDEX(医院2县区2人!$D$2:$D$1048576,MATCH(L2352,医院2县区2人!$A$2:$A$1048576,0))</f>
        <v>#N/A</v>
      </c>
      <c r="W2352" s="6" t="str">
        <f t="shared" si="75"/>
        <v>罗红霉素分散片(严迪)50mg*12片</v>
      </c>
      <c r="X2352" s="6" t="s">
        <v>2904</v>
      </c>
    </row>
    <row r="2353" spans="1:24" x14ac:dyDescent="0.15">
      <c r="A2353" s="7" t="str">
        <f t="shared" si="76"/>
        <v>201806</v>
      </c>
      <c r="C2353" s="6">
        <f>INDEX(工厂基础数据!$A$2:$A$1024,MATCH(X2353,工厂基础数据!$D$2:$D$1024,0))</f>
        <v>0</v>
      </c>
      <c r="E2353" s="6" t="str">
        <f>INDEX(工厂基础数据!$B$2:$B$1024,MATCH(X2353,工厂基础数据!$D$2:$D$1024,0))</f>
        <v>济南广林医药有限公司</v>
      </c>
      <c r="F2353" s="6" t="e">
        <f>INDEX(商业2转码!$B$2:$B$10000,MATCH(E2353,商业2转码!$A$2:$A$10000,0))</f>
        <v>#N/A</v>
      </c>
      <c r="G2353" s="6">
        <f>INDEX(品种2编码!$A$2:$A$1048576,MATCH(W2353,品种2编码!$D$2:$D$1048576,0))</f>
        <v>0</v>
      </c>
      <c r="H2353" s="6" t="s">
        <v>494</v>
      </c>
      <c r="I2353" s="6" t="s">
        <v>1869</v>
      </c>
      <c r="L2353" s="6" t="s">
        <v>3539</v>
      </c>
      <c r="M2353" s="6" t="e">
        <f>INDEX(医院2县区2人!$B$2:$B$1048576,MATCH(L2353,医院2县区2人!$A$2:$A$1048576,0))</f>
        <v>#N/A</v>
      </c>
      <c r="N2353" s="6" t="e">
        <f>INDEX(医院2县区2人!$C$2:$C$1048576,MATCH(L2353,医院2县区2人!$A$2:$A$1048576,0))</f>
        <v>#N/A</v>
      </c>
      <c r="P2353" s="7">
        <v>43258</v>
      </c>
      <c r="Q2353" s="6">
        <v>20</v>
      </c>
      <c r="S2353" s="6">
        <v>180201</v>
      </c>
      <c r="T2353" s="6" t="e">
        <f>INDEX(医院2县区2人!$D$2:$D$1048576,MATCH(L2353,医院2县区2人!$A$2:$A$1048576,0))</f>
        <v>#N/A</v>
      </c>
      <c r="W2353" s="6" t="str">
        <f t="shared" si="75"/>
        <v>罗红霉素分散片(严迪)75mg*12片</v>
      </c>
      <c r="X2353" s="6" t="s">
        <v>2904</v>
      </c>
    </row>
    <row r="2354" spans="1:24" x14ac:dyDescent="0.15">
      <c r="A2354" s="7" t="str">
        <f t="shared" si="76"/>
        <v>201806</v>
      </c>
      <c r="C2354" s="6">
        <f>INDEX(工厂基础数据!$A$2:$A$1024,MATCH(X2354,工厂基础数据!$D$2:$D$1024,0))</f>
        <v>0</v>
      </c>
      <c r="E2354" s="6" t="str">
        <f>INDEX(工厂基础数据!$B$2:$B$1024,MATCH(X2354,工厂基础数据!$D$2:$D$1024,0))</f>
        <v>济南广林医药有限公司</v>
      </c>
      <c r="F2354" s="6" t="e">
        <f>INDEX(商业2转码!$B$2:$B$10000,MATCH(E2354,商业2转码!$A$2:$A$10000,0))</f>
        <v>#N/A</v>
      </c>
      <c r="G2354" s="6">
        <f>INDEX(品种2编码!$A$2:$A$1048576,MATCH(W2354,品种2编码!$D$2:$D$1048576,0))</f>
        <v>0</v>
      </c>
      <c r="H2354" s="6" t="s">
        <v>494</v>
      </c>
      <c r="I2354" s="6" t="s">
        <v>1869</v>
      </c>
      <c r="L2354" s="6" t="s">
        <v>3524</v>
      </c>
      <c r="M2354" s="6" t="e">
        <f>INDEX(医院2县区2人!$B$2:$B$1048576,MATCH(L2354,医院2县区2人!$A$2:$A$1048576,0))</f>
        <v>#N/A</v>
      </c>
      <c r="N2354" s="6" t="e">
        <f>INDEX(医院2县区2人!$C$2:$C$1048576,MATCH(L2354,医院2县区2人!$A$2:$A$1048576,0))</f>
        <v>#N/A</v>
      </c>
      <c r="P2354" s="7">
        <v>43259</v>
      </c>
      <c r="Q2354" s="6">
        <v>30</v>
      </c>
      <c r="S2354" s="6">
        <v>180201</v>
      </c>
      <c r="T2354" s="6" t="e">
        <f>INDEX(医院2县区2人!$D$2:$D$1048576,MATCH(L2354,医院2县区2人!$A$2:$A$1048576,0))</f>
        <v>#N/A</v>
      </c>
      <c r="W2354" s="6" t="str">
        <f t="shared" si="75"/>
        <v>罗红霉素分散片(严迪)75mg*12片</v>
      </c>
      <c r="X2354" s="6" t="s">
        <v>2904</v>
      </c>
    </row>
    <row r="2355" spans="1:24" x14ac:dyDescent="0.15">
      <c r="A2355" s="7" t="str">
        <f t="shared" si="76"/>
        <v>201806</v>
      </c>
      <c r="C2355" s="6">
        <f>INDEX(工厂基础数据!$A$2:$A$1024,MATCH(X2355,工厂基础数据!$D$2:$D$1024,0))</f>
        <v>0</v>
      </c>
      <c r="E2355" s="6" t="str">
        <f>INDEX(工厂基础数据!$B$2:$B$1024,MATCH(X2355,工厂基础数据!$D$2:$D$1024,0))</f>
        <v>济南广林医药有限公司</v>
      </c>
      <c r="F2355" s="6" t="e">
        <f>INDEX(商业2转码!$B$2:$B$10000,MATCH(E2355,商业2转码!$A$2:$A$10000,0))</f>
        <v>#N/A</v>
      </c>
      <c r="G2355" s="6">
        <f>INDEX(品种2编码!$A$2:$A$1048576,MATCH(W2355,品种2编码!$D$2:$D$1048576,0))</f>
        <v>0</v>
      </c>
      <c r="H2355" s="6" t="s">
        <v>494</v>
      </c>
      <c r="I2355" s="6" t="s">
        <v>1869</v>
      </c>
      <c r="L2355" s="6" t="s">
        <v>3524</v>
      </c>
      <c r="M2355" s="6" t="e">
        <f>INDEX(医院2县区2人!$B$2:$B$1048576,MATCH(L2355,医院2县区2人!$A$2:$A$1048576,0))</f>
        <v>#N/A</v>
      </c>
      <c r="N2355" s="6" t="e">
        <f>INDEX(医院2县区2人!$C$2:$C$1048576,MATCH(L2355,医院2县区2人!$A$2:$A$1048576,0))</f>
        <v>#N/A</v>
      </c>
      <c r="P2355" s="7">
        <v>43262</v>
      </c>
      <c r="Q2355" s="6">
        <v>10</v>
      </c>
      <c r="S2355" s="6">
        <v>180201</v>
      </c>
      <c r="T2355" s="6" t="e">
        <f>INDEX(医院2县区2人!$D$2:$D$1048576,MATCH(L2355,医院2县区2人!$A$2:$A$1048576,0))</f>
        <v>#N/A</v>
      </c>
      <c r="W2355" s="6" t="str">
        <f t="shared" si="75"/>
        <v>罗红霉素分散片(严迪)75mg*12片</v>
      </c>
      <c r="X2355" s="6" t="s">
        <v>2904</v>
      </c>
    </row>
    <row r="2356" spans="1:24" x14ac:dyDescent="0.15">
      <c r="A2356" s="7" t="str">
        <f t="shared" si="76"/>
        <v>201806</v>
      </c>
      <c r="C2356" s="6">
        <f>INDEX(工厂基础数据!$A$2:$A$1024,MATCH(X2356,工厂基础数据!$D$2:$D$1024,0))</f>
        <v>0</v>
      </c>
      <c r="E2356" s="6" t="str">
        <f>INDEX(工厂基础数据!$B$2:$B$1024,MATCH(X2356,工厂基础数据!$D$2:$D$1024,0))</f>
        <v>济南广林医药有限公司</v>
      </c>
      <c r="F2356" s="6" t="e">
        <f>INDEX(商业2转码!$B$2:$B$10000,MATCH(E2356,商业2转码!$A$2:$A$10000,0))</f>
        <v>#N/A</v>
      </c>
      <c r="G2356" s="6">
        <f>INDEX(品种2编码!$A$2:$A$1048576,MATCH(W2356,品种2编码!$D$2:$D$1048576,0))</f>
        <v>0</v>
      </c>
      <c r="H2356" s="6" t="s">
        <v>494</v>
      </c>
      <c r="I2356" s="6" t="s">
        <v>1841</v>
      </c>
      <c r="L2356" s="6" t="s">
        <v>3564</v>
      </c>
      <c r="M2356" s="6" t="e">
        <f>INDEX(医院2县区2人!$B$2:$B$1048576,MATCH(L2356,医院2县区2人!$A$2:$A$1048576,0))</f>
        <v>#N/A</v>
      </c>
      <c r="N2356" s="6" t="e">
        <f>INDEX(医院2县区2人!$C$2:$C$1048576,MATCH(L2356,医院2县区2人!$A$2:$A$1048576,0))</f>
        <v>#N/A</v>
      </c>
      <c r="P2356" s="7">
        <v>43262</v>
      </c>
      <c r="Q2356" s="6">
        <v>20</v>
      </c>
      <c r="S2356" s="6">
        <v>160504</v>
      </c>
      <c r="T2356" s="6" t="e">
        <f>INDEX(医院2县区2人!$D$2:$D$1048576,MATCH(L2356,医院2县区2人!$A$2:$A$1048576,0))</f>
        <v>#N/A</v>
      </c>
      <c r="W2356" s="6" t="str">
        <f t="shared" si="75"/>
        <v>罗红霉素分散片(严迪)50mg*12片</v>
      </c>
      <c r="X2356" s="6" t="s">
        <v>2904</v>
      </c>
    </row>
    <row r="2357" spans="1:24" x14ac:dyDescent="0.15">
      <c r="A2357" s="7" t="str">
        <f t="shared" si="76"/>
        <v>201806</v>
      </c>
      <c r="C2357" s="6">
        <f>INDEX(工厂基础数据!$A$2:$A$1024,MATCH(X2357,工厂基础数据!$D$2:$D$1024,0))</f>
        <v>0</v>
      </c>
      <c r="E2357" s="6" t="str">
        <f>INDEX(工厂基础数据!$B$2:$B$1024,MATCH(X2357,工厂基础数据!$D$2:$D$1024,0))</f>
        <v>济南广林医药有限公司</v>
      </c>
      <c r="F2357" s="6" t="e">
        <f>INDEX(商业2转码!$B$2:$B$10000,MATCH(E2357,商业2转码!$A$2:$A$10000,0))</f>
        <v>#N/A</v>
      </c>
      <c r="G2357" s="6">
        <f>INDEX(品种2编码!$A$2:$A$1048576,MATCH(W2357,品种2编码!$D$2:$D$1048576,0))</f>
        <v>0</v>
      </c>
      <c r="H2357" s="6" t="s">
        <v>494</v>
      </c>
      <c r="I2357" s="6" t="s">
        <v>1869</v>
      </c>
      <c r="L2357" s="6" t="s">
        <v>3593</v>
      </c>
      <c r="M2357" s="6" t="e">
        <f>INDEX(医院2县区2人!$B$2:$B$1048576,MATCH(L2357,医院2县区2人!$A$2:$A$1048576,0))</f>
        <v>#N/A</v>
      </c>
      <c r="N2357" s="6" t="e">
        <f>INDEX(医院2县区2人!$C$2:$C$1048576,MATCH(L2357,医院2县区2人!$A$2:$A$1048576,0))</f>
        <v>#N/A</v>
      </c>
      <c r="P2357" s="7">
        <v>43262</v>
      </c>
      <c r="Q2357" s="6">
        <v>20</v>
      </c>
      <c r="S2357" s="6">
        <v>180201</v>
      </c>
      <c r="T2357" s="6" t="e">
        <f>INDEX(医院2县区2人!$D$2:$D$1048576,MATCH(L2357,医院2县区2人!$A$2:$A$1048576,0))</f>
        <v>#N/A</v>
      </c>
      <c r="W2357" s="6" t="str">
        <f t="shared" si="75"/>
        <v>罗红霉素分散片(严迪)75mg*12片</v>
      </c>
      <c r="X2357" s="6" t="s">
        <v>2904</v>
      </c>
    </row>
    <row r="2358" spans="1:24" x14ac:dyDescent="0.15">
      <c r="A2358" s="7" t="str">
        <f t="shared" si="76"/>
        <v>201806</v>
      </c>
      <c r="C2358" s="6">
        <f>INDEX(工厂基础数据!$A$2:$A$1024,MATCH(X2358,工厂基础数据!$D$2:$D$1024,0))</f>
        <v>0</v>
      </c>
      <c r="E2358" s="6" t="str">
        <f>INDEX(工厂基础数据!$B$2:$B$1024,MATCH(X2358,工厂基础数据!$D$2:$D$1024,0))</f>
        <v>济南广林医药有限公司</v>
      </c>
      <c r="F2358" s="6" t="e">
        <f>INDEX(商业2转码!$B$2:$B$10000,MATCH(E2358,商业2转码!$A$2:$A$10000,0))</f>
        <v>#N/A</v>
      </c>
      <c r="G2358" s="6">
        <f>INDEX(品种2编码!$A$2:$A$1048576,MATCH(W2358,品种2编码!$D$2:$D$1048576,0))</f>
        <v>0</v>
      </c>
      <c r="H2358" s="6" t="s">
        <v>494</v>
      </c>
      <c r="I2358" s="6" t="s">
        <v>1869</v>
      </c>
      <c r="L2358" s="6" t="s">
        <v>3538</v>
      </c>
      <c r="M2358" s="6" t="e">
        <f>INDEX(医院2县区2人!$B$2:$B$1048576,MATCH(L2358,医院2县区2人!$A$2:$A$1048576,0))</f>
        <v>#N/A</v>
      </c>
      <c r="N2358" s="6" t="e">
        <f>INDEX(医院2县区2人!$C$2:$C$1048576,MATCH(L2358,医院2县区2人!$A$2:$A$1048576,0))</f>
        <v>#N/A</v>
      </c>
      <c r="P2358" s="7">
        <v>43263</v>
      </c>
      <c r="Q2358" s="6">
        <v>10</v>
      </c>
      <c r="S2358" s="6">
        <v>180201</v>
      </c>
      <c r="T2358" s="6" t="e">
        <f>INDEX(医院2县区2人!$D$2:$D$1048576,MATCH(L2358,医院2县区2人!$A$2:$A$1048576,0))</f>
        <v>#N/A</v>
      </c>
      <c r="W2358" s="6" t="str">
        <f t="shared" si="75"/>
        <v>罗红霉素分散片(严迪)75mg*12片</v>
      </c>
      <c r="X2358" s="6" t="s">
        <v>2904</v>
      </c>
    </row>
    <row r="2359" spans="1:24" x14ac:dyDescent="0.15">
      <c r="A2359" s="7" t="str">
        <f t="shared" si="76"/>
        <v>201806</v>
      </c>
      <c r="C2359" s="6">
        <f>INDEX(工厂基础数据!$A$2:$A$1024,MATCH(X2359,工厂基础数据!$D$2:$D$1024,0))</f>
        <v>0</v>
      </c>
      <c r="E2359" s="6" t="str">
        <f>INDEX(工厂基础数据!$B$2:$B$1024,MATCH(X2359,工厂基础数据!$D$2:$D$1024,0))</f>
        <v>济南广林医药有限公司</v>
      </c>
      <c r="F2359" s="6" t="e">
        <f>INDEX(商业2转码!$B$2:$B$10000,MATCH(E2359,商业2转码!$A$2:$A$10000,0))</f>
        <v>#N/A</v>
      </c>
      <c r="G2359" s="6">
        <f>INDEX(品种2编码!$A$2:$A$1048576,MATCH(W2359,品种2编码!$D$2:$D$1048576,0))</f>
        <v>0</v>
      </c>
      <c r="H2359" s="6" t="s">
        <v>494</v>
      </c>
      <c r="I2359" s="6" t="s">
        <v>1841</v>
      </c>
      <c r="L2359" s="6" t="s">
        <v>3532</v>
      </c>
      <c r="M2359" s="6" t="e">
        <f>INDEX(医院2县区2人!$B$2:$B$1048576,MATCH(L2359,医院2县区2人!$A$2:$A$1048576,0))</f>
        <v>#N/A</v>
      </c>
      <c r="N2359" s="6" t="e">
        <f>INDEX(医院2县区2人!$C$2:$C$1048576,MATCH(L2359,医院2县区2人!$A$2:$A$1048576,0))</f>
        <v>#N/A</v>
      </c>
      <c r="P2359" s="7">
        <v>43263</v>
      </c>
      <c r="Q2359" s="6">
        <v>10</v>
      </c>
      <c r="S2359" s="6">
        <v>160504</v>
      </c>
      <c r="T2359" s="6" t="e">
        <f>INDEX(医院2县区2人!$D$2:$D$1048576,MATCH(L2359,医院2县区2人!$A$2:$A$1048576,0))</f>
        <v>#N/A</v>
      </c>
      <c r="W2359" s="6" t="str">
        <f t="shared" si="75"/>
        <v>罗红霉素分散片(严迪)50mg*12片</v>
      </c>
      <c r="X2359" s="6" t="s">
        <v>2904</v>
      </c>
    </row>
    <row r="2360" spans="1:24" x14ac:dyDescent="0.15">
      <c r="A2360" s="7" t="str">
        <f t="shared" si="76"/>
        <v>201806</v>
      </c>
      <c r="C2360" s="6">
        <f>INDEX(工厂基础数据!$A$2:$A$1024,MATCH(X2360,工厂基础数据!$D$2:$D$1024,0))</f>
        <v>0</v>
      </c>
      <c r="E2360" s="6" t="str">
        <f>INDEX(工厂基础数据!$B$2:$B$1024,MATCH(X2360,工厂基础数据!$D$2:$D$1024,0))</f>
        <v>济南广林医药有限公司</v>
      </c>
      <c r="F2360" s="6" t="e">
        <f>INDEX(商业2转码!$B$2:$B$10000,MATCH(E2360,商业2转码!$A$2:$A$10000,0))</f>
        <v>#N/A</v>
      </c>
      <c r="G2360" s="6">
        <f>INDEX(品种2编码!$A$2:$A$1048576,MATCH(W2360,品种2编码!$D$2:$D$1048576,0))</f>
        <v>0</v>
      </c>
      <c r="H2360" s="6" t="s">
        <v>494</v>
      </c>
      <c r="I2360" s="6" t="s">
        <v>1869</v>
      </c>
      <c r="L2360" s="6" t="s">
        <v>3558</v>
      </c>
      <c r="M2360" s="6" t="e">
        <f>INDEX(医院2县区2人!$B$2:$B$1048576,MATCH(L2360,医院2县区2人!$A$2:$A$1048576,0))</f>
        <v>#N/A</v>
      </c>
      <c r="N2360" s="6" t="e">
        <f>INDEX(医院2县区2人!$C$2:$C$1048576,MATCH(L2360,医院2县区2人!$A$2:$A$1048576,0))</f>
        <v>#N/A</v>
      </c>
      <c r="P2360" s="7">
        <v>43263</v>
      </c>
      <c r="Q2360" s="6">
        <v>20</v>
      </c>
      <c r="S2360" s="6">
        <v>180201</v>
      </c>
      <c r="T2360" s="6" t="e">
        <f>INDEX(医院2县区2人!$D$2:$D$1048576,MATCH(L2360,医院2县区2人!$A$2:$A$1048576,0))</f>
        <v>#N/A</v>
      </c>
      <c r="W2360" s="6" t="str">
        <f t="shared" si="75"/>
        <v>罗红霉素分散片(严迪)75mg*12片</v>
      </c>
      <c r="X2360" s="6" t="s">
        <v>2904</v>
      </c>
    </row>
    <row r="2361" spans="1:24" x14ac:dyDescent="0.15">
      <c r="A2361" s="7" t="str">
        <f t="shared" si="76"/>
        <v>201806</v>
      </c>
      <c r="C2361" s="6">
        <f>INDEX(工厂基础数据!$A$2:$A$1024,MATCH(X2361,工厂基础数据!$D$2:$D$1024,0))</f>
        <v>0</v>
      </c>
      <c r="E2361" s="6" t="str">
        <f>INDEX(工厂基础数据!$B$2:$B$1024,MATCH(X2361,工厂基础数据!$D$2:$D$1024,0))</f>
        <v>济南广林医药有限公司</v>
      </c>
      <c r="F2361" s="6" t="e">
        <f>INDEX(商业2转码!$B$2:$B$10000,MATCH(E2361,商业2转码!$A$2:$A$10000,0))</f>
        <v>#N/A</v>
      </c>
      <c r="G2361" s="6">
        <f>INDEX(品种2编码!$A$2:$A$1048576,MATCH(W2361,品种2编码!$D$2:$D$1048576,0))</f>
        <v>0</v>
      </c>
      <c r="H2361" s="6" t="s">
        <v>494</v>
      </c>
      <c r="I2361" s="6" t="s">
        <v>1869</v>
      </c>
      <c r="L2361" s="6" t="s">
        <v>3564</v>
      </c>
      <c r="M2361" s="6" t="e">
        <f>INDEX(医院2县区2人!$B$2:$B$1048576,MATCH(L2361,医院2县区2人!$A$2:$A$1048576,0))</f>
        <v>#N/A</v>
      </c>
      <c r="N2361" s="6" t="e">
        <f>INDEX(医院2县区2人!$C$2:$C$1048576,MATCH(L2361,医院2县区2人!$A$2:$A$1048576,0))</f>
        <v>#N/A</v>
      </c>
      <c r="P2361" s="7">
        <v>43265</v>
      </c>
      <c r="Q2361" s="6">
        <v>20</v>
      </c>
      <c r="S2361" s="6">
        <v>180201</v>
      </c>
      <c r="T2361" s="6" t="e">
        <f>INDEX(医院2县区2人!$D$2:$D$1048576,MATCH(L2361,医院2县区2人!$A$2:$A$1048576,0))</f>
        <v>#N/A</v>
      </c>
      <c r="W2361" s="6" t="str">
        <f t="shared" si="75"/>
        <v>罗红霉素分散片(严迪)75mg*12片</v>
      </c>
      <c r="X2361" s="6" t="s">
        <v>2904</v>
      </c>
    </row>
    <row r="2362" spans="1:24" x14ac:dyDescent="0.15">
      <c r="A2362" s="7" t="str">
        <f t="shared" si="76"/>
        <v>201806</v>
      </c>
      <c r="C2362" s="6">
        <f>INDEX(工厂基础数据!$A$2:$A$1024,MATCH(X2362,工厂基础数据!$D$2:$D$1024,0))</f>
        <v>0</v>
      </c>
      <c r="E2362" s="6" t="str">
        <f>INDEX(工厂基础数据!$B$2:$B$1024,MATCH(X2362,工厂基础数据!$D$2:$D$1024,0))</f>
        <v>济南广林医药有限公司</v>
      </c>
      <c r="F2362" s="6" t="e">
        <f>INDEX(商业2转码!$B$2:$B$10000,MATCH(E2362,商业2转码!$A$2:$A$10000,0))</f>
        <v>#N/A</v>
      </c>
      <c r="G2362" s="6">
        <f>INDEX(品种2编码!$A$2:$A$1048576,MATCH(W2362,品种2编码!$D$2:$D$1048576,0))</f>
        <v>0</v>
      </c>
      <c r="H2362" s="6" t="s">
        <v>494</v>
      </c>
      <c r="I2362" s="6" t="s">
        <v>1869</v>
      </c>
      <c r="L2362" s="6" t="s">
        <v>3578</v>
      </c>
      <c r="M2362" s="6" t="e">
        <f>INDEX(医院2县区2人!$B$2:$B$1048576,MATCH(L2362,医院2县区2人!$A$2:$A$1048576,0))</f>
        <v>#N/A</v>
      </c>
      <c r="N2362" s="6" t="e">
        <f>INDEX(医院2县区2人!$C$2:$C$1048576,MATCH(L2362,医院2县区2人!$A$2:$A$1048576,0))</f>
        <v>#N/A</v>
      </c>
      <c r="P2362" s="7">
        <v>43265</v>
      </c>
      <c r="Q2362" s="6">
        <v>5</v>
      </c>
      <c r="S2362" s="6">
        <v>180201</v>
      </c>
      <c r="T2362" s="6" t="e">
        <f>INDEX(医院2县区2人!$D$2:$D$1048576,MATCH(L2362,医院2县区2人!$A$2:$A$1048576,0))</f>
        <v>#N/A</v>
      </c>
      <c r="W2362" s="6" t="str">
        <f t="shared" si="75"/>
        <v>罗红霉素分散片(严迪)75mg*12片</v>
      </c>
      <c r="X2362" s="6" t="s">
        <v>2904</v>
      </c>
    </row>
    <row r="2363" spans="1:24" x14ac:dyDescent="0.15">
      <c r="A2363" s="7" t="str">
        <f t="shared" si="76"/>
        <v>201806</v>
      </c>
      <c r="C2363" s="6">
        <f>INDEX(工厂基础数据!$A$2:$A$1024,MATCH(X2363,工厂基础数据!$D$2:$D$1024,0))</f>
        <v>0</v>
      </c>
      <c r="E2363" s="6" t="str">
        <f>INDEX(工厂基础数据!$B$2:$B$1024,MATCH(X2363,工厂基础数据!$D$2:$D$1024,0))</f>
        <v>济南广林医药有限公司</v>
      </c>
      <c r="F2363" s="6" t="e">
        <f>INDEX(商业2转码!$B$2:$B$10000,MATCH(E2363,商业2转码!$A$2:$A$10000,0))</f>
        <v>#N/A</v>
      </c>
      <c r="G2363" s="6">
        <f>INDEX(品种2编码!$A$2:$A$1048576,MATCH(W2363,品种2编码!$D$2:$D$1048576,0))</f>
        <v>0</v>
      </c>
      <c r="H2363" s="6" t="s">
        <v>494</v>
      </c>
      <c r="I2363" s="6" t="s">
        <v>1841</v>
      </c>
      <c r="L2363" s="6" t="s">
        <v>3564</v>
      </c>
      <c r="M2363" s="6" t="e">
        <f>INDEX(医院2县区2人!$B$2:$B$1048576,MATCH(L2363,医院2县区2人!$A$2:$A$1048576,0))</f>
        <v>#N/A</v>
      </c>
      <c r="N2363" s="6" t="e">
        <f>INDEX(医院2县区2人!$C$2:$C$1048576,MATCH(L2363,医院2县区2人!$A$2:$A$1048576,0))</f>
        <v>#N/A</v>
      </c>
      <c r="P2363" s="7">
        <v>43266</v>
      </c>
      <c r="Q2363" s="6">
        <v>20</v>
      </c>
      <c r="S2363" s="6">
        <v>160504</v>
      </c>
      <c r="T2363" s="6" t="e">
        <f>INDEX(医院2县区2人!$D$2:$D$1048576,MATCH(L2363,医院2县区2人!$A$2:$A$1048576,0))</f>
        <v>#N/A</v>
      </c>
      <c r="W2363" s="6" t="str">
        <f t="shared" si="75"/>
        <v>罗红霉素分散片(严迪)50mg*12片</v>
      </c>
      <c r="X2363" s="6" t="s">
        <v>2904</v>
      </c>
    </row>
    <row r="2364" spans="1:24" x14ac:dyDescent="0.15">
      <c r="A2364" s="7" t="str">
        <f t="shared" si="76"/>
        <v>201806</v>
      </c>
      <c r="C2364" s="6">
        <f>INDEX(工厂基础数据!$A$2:$A$1024,MATCH(X2364,工厂基础数据!$D$2:$D$1024,0))</f>
        <v>0</v>
      </c>
      <c r="E2364" s="6" t="str">
        <f>INDEX(工厂基础数据!$B$2:$B$1024,MATCH(X2364,工厂基础数据!$D$2:$D$1024,0))</f>
        <v>济南广林医药有限公司</v>
      </c>
      <c r="F2364" s="6" t="e">
        <f>INDEX(商业2转码!$B$2:$B$10000,MATCH(E2364,商业2转码!$A$2:$A$10000,0))</f>
        <v>#N/A</v>
      </c>
      <c r="G2364" s="6">
        <f>INDEX(品种2编码!$A$2:$A$1048576,MATCH(W2364,品种2编码!$D$2:$D$1048576,0))</f>
        <v>0</v>
      </c>
      <c r="H2364" s="6" t="s">
        <v>494</v>
      </c>
      <c r="I2364" s="6" t="s">
        <v>1841</v>
      </c>
      <c r="L2364" s="6" t="s">
        <v>3539</v>
      </c>
      <c r="M2364" s="6" t="e">
        <f>INDEX(医院2县区2人!$B$2:$B$1048576,MATCH(L2364,医院2县区2人!$A$2:$A$1048576,0))</f>
        <v>#N/A</v>
      </c>
      <c r="N2364" s="6" t="e">
        <f>INDEX(医院2县区2人!$C$2:$C$1048576,MATCH(L2364,医院2县区2人!$A$2:$A$1048576,0))</f>
        <v>#N/A</v>
      </c>
      <c r="P2364" s="7">
        <v>43269</v>
      </c>
      <c r="Q2364" s="6">
        <v>10</v>
      </c>
      <c r="S2364" s="6">
        <v>160504</v>
      </c>
      <c r="T2364" s="6" t="e">
        <f>INDEX(医院2县区2人!$D$2:$D$1048576,MATCH(L2364,医院2县区2人!$A$2:$A$1048576,0))</f>
        <v>#N/A</v>
      </c>
      <c r="W2364" s="6" t="str">
        <f t="shared" ref="W2364:W2427" si="77">H2364&amp;I2364</f>
        <v>罗红霉素分散片(严迪)50mg*12片</v>
      </c>
      <c r="X2364" s="6" t="s">
        <v>2904</v>
      </c>
    </row>
    <row r="2365" spans="1:24" x14ac:dyDescent="0.15">
      <c r="A2365" s="7" t="str">
        <f t="shared" ref="A2365:A2428" si="78">IF(MONTH(P2365)&lt;10,YEAR(P2365)&amp;"0"&amp;MONTH(P2365),YEAR(P2365)&amp;MONTH(P2365))</f>
        <v>201806</v>
      </c>
      <c r="C2365" s="6">
        <f>INDEX(工厂基础数据!$A$2:$A$1024,MATCH(X2365,工厂基础数据!$D$2:$D$1024,0))</f>
        <v>0</v>
      </c>
      <c r="E2365" s="6" t="str">
        <f>INDEX(工厂基础数据!$B$2:$B$1024,MATCH(X2365,工厂基础数据!$D$2:$D$1024,0))</f>
        <v>济南广林医药有限公司</v>
      </c>
      <c r="F2365" s="6" t="e">
        <f>INDEX(商业2转码!$B$2:$B$10000,MATCH(E2365,商业2转码!$A$2:$A$10000,0))</f>
        <v>#N/A</v>
      </c>
      <c r="G2365" s="6">
        <f>INDEX(品种2编码!$A$2:$A$1048576,MATCH(W2365,品种2编码!$D$2:$D$1048576,0))</f>
        <v>0</v>
      </c>
      <c r="H2365" s="6" t="s">
        <v>494</v>
      </c>
      <c r="I2365" s="6" t="s">
        <v>1841</v>
      </c>
      <c r="L2365" s="6" t="s">
        <v>3525</v>
      </c>
      <c r="M2365" s="6" t="e">
        <f>INDEX(医院2县区2人!$B$2:$B$1048576,MATCH(L2365,医院2县区2人!$A$2:$A$1048576,0))</f>
        <v>#N/A</v>
      </c>
      <c r="N2365" s="6" t="e">
        <f>INDEX(医院2县区2人!$C$2:$C$1048576,MATCH(L2365,医院2县区2人!$A$2:$A$1048576,0))</f>
        <v>#N/A</v>
      </c>
      <c r="P2365" s="7">
        <v>43272</v>
      </c>
      <c r="Q2365" s="6">
        <v>10</v>
      </c>
      <c r="S2365" s="6">
        <v>160504</v>
      </c>
      <c r="T2365" s="6" t="e">
        <f>INDEX(医院2县区2人!$D$2:$D$1048576,MATCH(L2365,医院2县区2人!$A$2:$A$1048576,0))</f>
        <v>#N/A</v>
      </c>
      <c r="W2365" s="6" t="str">
        <f t="shared" si="77"/>
        <v>罗红霉素分散片(严迪)50mg*12片</v>
      </c>
      <c r="X2365" s="6" t="s">
        <v>2904</v>
      </c>
    </row>
    <row r="2366" spans="1:24" x14ac:dyDescent="0.15">
      <c r="A2366" s="7" t="str">
        <f t="shared" si="78"/>
        <v>201806</v>
      </c>
      <c r="C2366" s="6">
        <f>INDEX(工厂基础数据!$A$2:$A$1024,MATCH(X2366,工厂基础数据!$D$2:$D$1024,0))</f>
        <v>0</v>
      </c>
      <c r="E2366" s="6" t="str">
        <f>INDEX(工厂基础数据!$B$2:$B$1024,MATCH(X2366,工厂基础数据!$D$2:$D$1024,0))</f>
        <v>济南广林医药有限公司</v>
      </c>
      <c r="F2366" s="6" t="e">
        <f>INDEX(商业2转码!$B$2:$B$10000,MATCH(E2366,商业2转码!$A$2:$A$10000,0))</f>
        <v>#N/A</v>
      </c>
      <c r="G2366" s="6">
        <f>INDEX(品种2编码!$A$2:$A$1048576,MATCH(W2366,品种2编码!$D$2:$D$1048576,0))</f>
        <v>0</v>
      </c>
      <c r="H2366" s="6" t="s">
        <v>494</v>
      </c>
      <c r="I2366" s="6" t="s">
        <v>1869</v>
      </c>
      <c r="L2366" s="6" t="s">
        <v>3475</v>
      </c>
      <c r="M2366" s="6" t="e">
        <f>INDEX(医院2县区2人!$B$2:$B$1048576,MATCH(L2366,医院2县区2人!$A$2:$A$1048576,0))</f>
        <v>#N/A</v>
      </c>
      <c r="N2366" s="6" t="e">
        <f>INDEX(医院2县区2人!$C$2:$C$1048576,MATCH(L2366,医院2县区2人!$A$2:$A$1048576,0))</f>
        <v>#N/A</v>
      </c>
      <c r="P2366" s="7">
        <v>43273</v>
      </c>
      <c r="Q2366" s="6">
        <v>10</v>
      </c>
      <c r="S2366" s="6">
        <v>180201</v>
      </c>
      <c r="T2366" s="6" t="e">
        <f>INDEX(医院2县区2人!$D$2:$D$1048576,MATCH(L2366,医院2县区2人!$A$2:$A$1048576,0))</f>
        <v>#N/A</v>
      </c>
      <c r="W2366" s="6" t="str">
        <f t="shared" si="77"/>
        <v>罗红霉素分散片(严迪)75mg*12片</v>
      </c>
      <c r="X2366" s="6" t="s">
        <v>2904</v>
      </c>
    </row>
    <row r="2367" spans="1:24" x14ac:dyDescent="0.15">
      <c r="A2367" s="7" t="str">
        <f t="shared" si="78"/>
        <v>201806</v>
      </c>
      <c r="C2367" s="6">
        <f>INDEX(工厂基础数据!$A$2:$A$1024,MATCH(X2367,工厂基础数据!$D$2:$D$1024,0))</f>
        <v>0</v>
      </c>
      <c r="E2367" s="6" t="str">
        <f>INDEX(工厂基础数据!$B$2:$B$1024,MATCH(X2367,工厂基础数据!$D$2:$D$1024,0))</f>
        <v>济南广林医药有限公司</v>
      </c>
      <c r="F2367" s="6" t="e">
        <f>INDEX(商业2转码!$B$2:$B$10000,MATCH(E2367,商业2转码!$A$2:$A$10000,0))</f>
        <v>#N/A</v>
      </c>
      <c r="G2367" s="6">
        <f>INDEX(品种2编码!$A$2:$A$1048576,MATCH(W2367,品种2编码!$D$2:$D$1048576,0))</f>
        <v>0</v>
      </c>
      <c r="H2367" s="6" t="s">
        <v>494</v>
      </c>
      <c r="I2367" s="6" t="s">
        <v>1869</v>
      </c>
      <c r="L2367" s="6" t="s">
        <v>3485</v>
      </c>
      <c r="M2367" s="6" t="e">
        <f>INDEX(医院2县区2人!$B$2:$B$1048576,MATCH(L2367,医院2县区2人!$A$2:$A$1048576,0))</f>
        <v>#N/A</v>
      </c>
      <c r="N2367" s="6" t="e">
        <f>INDEX(医院2县区2人!$C$2:$C$1048576,MATCH(L2367,医院2县区2人!$A$2:$A$1048576,0))</f>
        <v>#N/A</v>
      </c>
      <c r="P2367" s="7">
        <v>43273</v>
      </c>
      <c r="Q2367" s="6">
        <v>20</v>
      </c>
      <c r="S2367" s="6">
        <v>180201</v>
      </c>
      <c r="T2367" s="6" t="e">
        <f>INDEX(医院2县区2人!$D$2:$D$1048576,MATCH(L2367,医院2县区2人!$A$2:$A$1048576,0))</f>
        <v>#N/A</v>
      </c>
      <c r="W2367" s="6" t="str">
        <f t="shared" si="77"/>
        <v>罗红霉素分散片(严迪)75mg*12片</v>
      </c>
      <c r="X2367" s="6" t="s">
        <v>2904</v>
      </c>
    </row>
    <row r="2368" spans="1:24" x14ac:dyDescent="0.15">
      <c r="A2368" s="7" t="str">
        <f t="shared" si="78"/>
        <v>201806</v>
      </c>
      <c r="C2368" s="6">
        <f>INDEX(工厂基础数据!$A$2:$A$1024,MATCH(X2368,工厂基础数据!$D$2:$D$1024,0))</f>
        <v>0</v>
      </c>
      <c r="E2368" s="6" t="str">
        <f>INDEX(工厂基础数据!$B$2:$B$1024,MATCH(X2368,工厂基础数据!$D$2:$D$1024,0))</f>
        <v>济南广林医药有限公司</v>
      </c>
      <c r="F2368" s="6" t="e">
        <f>INDEX(商业2转码!$B$2:$B$10000,MATCH(E2368,商业2转码!$A$2:$A$10000,0))</f>
        <v>#N/A</v>
      </c>
      <c r="G2368" s="6">
        <f>INDEX(品种2编码!$A$2:$A$1048576,MATCH(W2368,品种2编码!$D$2:$D$1048576,0))</f>
        <v>0</v>
      </c>
      <c r="H2368" s="6" t="s">
        <v>494</v>
      </c>
      <c r="I2368" s="6" t="s">
        <v>1869</v>
      </c>
      <c r="L2368" s="6" t="s">
        <v>3580</v>
      </c>
      <c r="M2368" s="6" t="e">
        <f>INDEX(医院2县区2人!$B$2:$B$1048576,MATCH(L2368,医院2县区2人!$A$2:$A$1048576,0))</f>
        <v>#N/A</v>
      </c>
      <c r="N2368" s="6" t="e">
        <f>INDEX(医院2县区2人!$C$2:$C$1048576,MATCH(L2368,医院2县区2人!$A$2:$A$1048576,0))</f>
        <v>#N/A</v>
      </c>
      <c r="P2368" s="7">
        <v>43274</v>
      </c>
      <c r="Q2368" s="6">
        <v>5</v>
      </c>
      <c r="S2368" s="6">
        <v>180201</v>
      </c>
      <c r="T2368" s="6" t="e">
        <f>INDEX(医院2县区2人!$D$2:$D$1048576,MATCH(L2368,医院2县区2人!$A$2:$A$1048576,0))</f>
        <v>#N/A</v>
      </c>
      <c r="W2368" s="6" t="str">
        <f t="shared" si="77"/>
        <v>罗红霉素分散片(严迪)75mg*12片</v>
      </c>
      <c r="X2368" s="6" t="s">
        <v>2904</v>
      </c>
    </row>
    <row r="2369" spans="1:24" x14ac:dyDescent="0.15">
      <c r="A2369" s="7" t="str">
        <f t="shared" si="78"/>
        <v>201806</v>
      </c>
      <c r="C2369" s="6">
        <f>INDEX(工厂基础数据!$A$2:$A$1024,MATCH(X2369,工厂基础数据!$D$2:$D$1024,0))</f>
        <v>0</v>
      </c>
      <c r="E2369" s="6" t="str">
        <f>INDEX(工厂基础数据!$B$2:$B$1024,MATCH(X2369,工厂基础数据!$D$2:$D$1024,0))</f>
        <v>济南广林医药有限公司</v>
      </c>
      <c r="F2369" s="6" t="e">
        <f>INDEX(商业2转码!$B$2:$B$10000,MATCH(E2369,商业2转码!$A$2:$A$10000,0))</f>
        <v>#N/A</v>
      </c>
      <c r="G2369" s="6">
        <f>INDEX(品种2编码!$A$2:$A$1048576,MATCH(W2369,品种2编码!$D$2:$D$1048576,0))</f>
        <v>0</v>
      </c>
      <c r="H2369" s="6" t="s">
        <v>494</v>
      </c>
      <c r="I2369" s="6" t="s">
        <v>1869</v>
      </c>
      <c r="L2369" s="6" t="s">
        <v>3524</v>
      </c>
      <c r="M2369" s="6" t="e">
        <f>INDEX(医院2县区2人!$B$2:$B$1048576,MATCH(L2369,医院2县区2人!$A$2:$A$1048576,0))</f>
        <v>#N/A</v>
      </c>
      <c r="N2369" s="6" t="e">
        <f>INDEX(医院2县区2人!$C$2:$C$1048576,MATCH(L2369,医院2县区2人!$A$2:$A$1048576,0))</f>
        <v>#N/A</v>
      </c>
      <c r="P2369" s="7">
        <v>43276</v>
      </c>
      <c r="Q2369" s="6">
        <v>10</v>
      </c>
      <c r="S2369" s="6">
        <v>180201</v>
      </c>
      <c r="T2369" s="6" t="e">
        <f>INDEX(医院2县区2人!$D$2:$D$1048576,MATCH(L2369,医院2县区2人!$A$2:$A$1048576,0))</f>
        <v>#N/A</v>
      </c>
      <c r="W2369" s="6" t="str">
        <f t="shared" si="77"/>
        <v>罗红霉素分散片(严迪)75mg*12片</v>
      </c>
      <c r="X2369" s="6" t="s">
        <v>2904</v>
      </c>
    </row>
    <row r="2370" spans="1:24" x14ac:dyDescent="0.15">
      <c r="A2370" s="7" t="str">
        <f t="shared" si="78"/>
        <v>201806</v>
      </c>
      <c r="C2370" s="6">
        <f>INDEX(工厂基础数据!$A$2:$A$1024,MATCH(X2370,工厂基础数据!$D$2:$D$1024,0))</f>
        <v>0</v>
      </c>
      <c r="E2370" s="6" t="str">
        <f>INDEX(工厂基础数据!$B$2:$B$1024,MATCH(X2370,工厂基础数据!$D$2:$D$1024,0))</f>
        <v>济南广林医药有限公司</v>
      </c>
      <c r="F2370" s="6" t="e">
        <f>INDEX(商业2转码!$B$2:$B$10000,MATCH(E2370,商业2转码!$A$2:$A$10000,0))</f>
        <v>#N/A</v>
      </c>
      <c r="G2370" s="6">
        <f>INDEX(品种2编码!$A$2:$A$1048576,MATCH(W2370,品种2编码!$D$2:$D$1048576,0))</f>
        <v>0</v>
      </c>
      <c r="H2370" s="6" t="s">
        <v>494</v>
      </c>
      <c r="I2370" s="6" t="s">
        <v>1869</v>
      </c>
      <c r="L2370" s="6" t="s">
        <v>3524</v>
      </c>
      <c r="M2370" s="6" t="e">
        <f>INDEX(医院2县区2人!$B$2:$B$1048576,MATCH(L2370,医院2县区2人!$A$2:$A$1048576,0))</f>
        <v>#N/A</v>
      </c>
      <c r="N2370" s="6" t="e">
        <f>INDEX(医院2县区2人!$C$2:$C$1048576,MATCH(L2370,医院2县区2人!$A$2:$A$1048576,0))</f>
        <v>#N/A</v>
      </c>
      <c r="P2370" s="7">
        <v>43276</v>
      </c>
      <c r="Q2370" s="6">
        <v>10</v>
      </c>
      <c r="S2370" s="6">
        <v>180201</v>
      </c>
      <c r="T2370" s="6" t="e">
        <f>INDEX(医院2县区2人!$D$2:$D$1048576,MATCH(L2370,医院2县区2人!$A$2:$A$1048576,0))</f>
        <v>#N/A</v>
      </c>
      <c r="W2370" s="6" t="str">
        <f t="shared" si="77"/>
        <v>罗红霉素分散片(严迪)75mg*12片</v>
      </c>
      <c r="X2370" s="6" t="s">
        <v>2904</v>
      </c>
    </row>
    <row r="2371" spans="1:24" x14ac:dyDescent="0.15">
      <c r="A2371" s="7" t="str">
        <f t="shared" si="78"/>
        <v>201806</v>
      </c>
      <c r="C2371" s="6">
        <f>INDEX(工厂基础数据!$A$2:$A$1024,MATCH(X2371,工厂基础数据!$D$2:$D$1024,0))</f>
        <v>0</v>
      </c>
      <c r="E2371" s="6" t="str">
        <f>INDEX(工厂基础数据!$B$2:$B$1024,MATCH(X2371,工厂基础数据!$D$2:$D$1024,0))</f>
        <v>济南广林医药有限公司</v>
      </c>
      <c r="F2371" s="6" t="e">
        <f>INDEX(商业2转码!$B$2:$B$10000,MATCH(E2371,商业2转码!$A$2:$A$10000,0))</f>
        <v>#N/A</v>
      </c>
      <c r="G2371" s="6">
        <f>INDEX(品种2编码!$A$2:$A$1048576,MATCH(W2371,品种2编码!$D$2:$D$1048576,0))</f>
        <v>0</v>
      </c>
      <c r="H2371" s="6" t="s">
        <v>494</v>
      </c>
      <c r="I2371" s="6" t="s">
        <v>1841</v>
      </c>
      <c r="L2371" s="6" t="s">
        <v>3572</v>
      </c>
      <c r="M2371" s="6" t="e">
        <f>INDEX(医院2县区2人!$B$2:$B$1048576,MATCH(L2371,医院2县区2人!$A$2:$A$1048576,0))</f>
        <v>#N/A</v>
      </c>
      <c r="N2371" s="6" t="e">
        <f>INDEX(医院2县区2人!$C$2:$C$1048576,MATCH(L2371,医院2县区2人!$A$2:$A$1048576,0))</f>
        <v>#N/A</v>
      </c>
      <c r="P2371" s="7">
        <v>43276</v>
      </c>
      <c r="Q2371" s="6">
        <v>10</v>
      </c>
      <c r="S2371" s="6">
        <v>160504</v>
      </c>
      <c r="T2371" s="6" t="e">
        <f>INDEX(医院2县区2人!$D$2:$D$1048576,MATCH(L2371,医院2县区2人!$A$2:$A$1048576,0))</f>
        <v>#N/A</v>
      </c>
      <c r="W2371" s="6" t="str">
        <f t="shared" si="77"/>
        <v>罗红霉素分散片(严迪)50mg*12片</v>
      </c>
      <c r="X2371" s="6" t="s">
        <v>2904</v>
      </c>
    </row>
    <row r="2372" spans="1:24" x14ac:dyDescent="0.15">
      <c r="A2372" s="7" t="str">
        <f t="shared" si="78"/>
        <v>201806</v>
      </c>
      <c r="C2372" s="6">
        <f>INDEX(工厂基础数据!$A$2:$A$1024,MATCH(X2372,工厂基础数据!$D$2:$D$1024,0))</f>
        <v>0</v>
      </c>
      <c r="E2372" s="6" t="str">
        <f>INDEX(工厂基础数据!$B$2:$B$1024,MATCH(X2372,工厂基础数据!$D$2:$D$1024,0))</f>
        <v>济南广林医药有限公司</v>
      </c>
      <c r="F2372" s="6" t="e">
        <f>INDEX(商业2转码!$B$2:$B$10000,MATCH(E2372,商业2转码!$A$2:$A$10000,0))</f>
        <v>#N/A</v>
      </c>
      <c r="G2372" s="6">
        <f>INDEX(品种2编码!$A$2:$A$1048576,MATCH(W2372,品种2编码!$D$2:$D$1048576,0))</f>
        <v>0</v>
      </c>
      <c r="H2372" s="6" t="s">
        <v>494</v>
      </c>
      <c r="I2372" s="6" t="s">
        <v>1841</v>
      </c>
      <c r="L2372" s="6" t="s">
        <v>3529</v>
      </c>
      <c r="M2372" s="6" t="e">
        <f>INDEX(医院2县区2人!$B$2:$B$1048576,MATCH(L2372,医院2县区2人!$A$2:$A$1048576,0))</f>
        <v>#N/A</v>
      </c>
      <c r="N2372" s="6" t="e">
        <f>INDEX(医院2县区2人!$C$2:$C$1048576,MATCH(L2372,医院2县区2人!$A$2:$A$1048576,0))</f>
        <v>#N/A</v>
      </c>
      <c r="P2372" s="7">
        <v>43276</v>
      </c>
      <c r="Q2372" s="6">
        <v>20</v>
      </c>
      <c r="S2372" s="6">
        <v>160504</v>
      </c>
      <c r="T2372" s="6" t="e">
        <f>INDEX(医院2县区2人!$D$2:$D$1048576,MATCH(L2372,医院2县区2人!$A$2:$A$1048576,0))</f>
        <v>#N/A</v>
      </c>
      <c r="W2372" s="6" t="str">
        <f t="shared" si="77"/>
        <v>罗红霉素分散片(严迪)50mg*12片</v>
      </c>
      <c r="X2372" s="6" t="s">
        <v>2904</v>
      </c>
    </row>
    <row r="2373" spans="1:24" x14ac:dyDescent="0.15">
      <c r="A2373" s="7" t="str">
        <f t="shared" si="78"/>
        <v>201806</v>
      </c>
      <c r="C2373" s="6">
        <f>INDEX(工厂基础数据!$A$2:$A$1024,MATCH(X2373,工厂基础数据!$D$2:$D$1024,0))</f>
        <v>0</v>
      </c>
      <c r="E2373" s="6" t="str">
        <f>INDEX(工厂基础数据!$B$2:$B$1024,MATCH(X2373,工厂基础数据!$D$2:$D$1024,0))</f>
        <v>济南广林医药有限公司</v>
      </c>
      <c r="F2373" s="6" t="e">
        <f>INDEX(商业2转码!$B$2:$B$10000,MATCH(E2373,商业2转码!$A$2:$A$10000,0))</f>
        <v>#N/A</v>
      </c>
      <c r="G2373" s="6">
        <f>INDEX(品种2编码!$A$2:$A$1048576,MATCH(W2373,品种2编码!$D$2:$D$1048576,0))</f>
        <v>0</v>
      </c>
      <c r="H2373" s="6" t="s">
        <v>494</v>
      </c>
      <c r="I2373" s="6" t="s">
        <v>1869</v>
      </c>
      <c r="L2373" s="6" t="s">
        <v>3564</v>
      </c>
      <c r="M2373" s="6" t="e">
        <f>INDEX(医院2县区2人!$B$2:$B$1048576,MATCH(L2373,医院2县区2人!$A$2:$A$1048576,0))</f>
        <v>#N/A</v>
      </c>
      <c r="N2373" s="6" t="e">
        <f>INDEX(医院2县区2人!$C$2:$C$1048576,MATCH(L2373,医院2县区2人!$A$2:$A$1048576,0))</f>
        <v>#N/A</v>
      </c>
      <c r="P2373" s="7">
        <v>43276</v>
      </c>
      <c r="Q2373" s="6">
        <v>10</v>
      </c>
      <c r="S2373" s="6">
        <v>180201</v>
      </c>
      <c r="T2373" s="6" t="e">
        <f>INDEX(医院2县区2人!$D$2:$D$1048576,MATCH(L2373,医院2县区2人!$A$2:$A$1048576,0))</f>
        <v>#N/A</v>
      </c>
      <c r="W2373" s="6" t="str">
        <f t="shared" si="77"/>
        <v>罗红霉素分散片(严迪)75mg*12片</v>
      </c>
      <c r="X2373" s="6" t="s">
        <v>2904</v>
      </c>
    </row>
    <row r="2374" spans="1:24" x14ac:dyDescent="0.15">
      <c r="A2374" s="7" t="str">
        <f t="shared" si="78"/>
        <v>201806</v>
      </c>
      <c r="C2374" s="6">
        <f>INDEX(工厂基础数据!$A$2:$A$1024,MATCH(X2374,工厂基础数据!$D$2:$D$1024,0))</f>
        <v>0</v>
      </c>
      <c r="E2374" s="6" t="str">
        <f>INDEX(工厂基础数据!$B$2:$B$1024,MATCH(X2374,工厂基础数据!$D$2:$D$1024,0))</f>
        <v>济南广林医药有限公司</v>
      </c>
      <c r="F2374" s="6" t="e">
        <f>INDEX(商业2转码!$B$2:$B$10000,MATCH(E2374,商业2转码!$A$2:$A$10000,0))</f>
        <v>#N/A</v>
      </c>
      <c r="G2374" s="6">
        <f>INDEX(品种2编码!$A$2:$A$1048576,MATCH(W2374,品种2编码!$D$2:$D$1048576,0))</f>
        <v>0</v>
      </c>
      <c r="H2374" s="6" t="s">
        <v>494</v>
      </c>
      <c r="I2374" s="6" t="s">
        <v>1869</v>
      </c>
      <c r="L2374" s="6" t="s">
        <v>3526</v>
      </c>
      <c r="M2374" s="6" t="e">
        <f>INDEX(医院2县区2人!$B$2:$B$1048576,MATCH(L2374,医院2县区2人!$A$2:$A$1048576,0))</f>
        <v>#N/A</v>
      </c>
      <c r="N2374" s="6" t="e">
        <f>INDEX(医院2县区2人!$C$2:$C$1048576,MATCH(L2374,医院2县区2人!$A$2:$A$1048576,0))</f>
        <v>#N/A</v>
      </c>
      <c r="P2374" s="7">
        <v>43277</v>
      </c>
      <c r="Q2374" s="6">
        <v>10</v>
      </c>
      <c r="S2374" s="6">
        <v>180201</v>
      </c>
      <c r="T2374" s="6" t="e">
        <f>INDEX(医院2县区2人!$D$2:$D$1048576,MATCH(L2374,医院2县区2人!$A$2:$A$1048576,0))</f>
        <v>#N/A</v>
      </c>
      <c r="W2374" s="6" t="str">
        <f t="shared" si="77"/>
        <v>罗红霉素分散片(严迪)75mg*12片</v>
      </c>
      <c r="X2374" s="6" t="s">
        <v>2904</v>
      </c>
    </row>
    <row r="2375" spans="1:24" x14ac:dyDescent="0.15">
      <c r="A2375" s="7" t="str">
        <f t="shared" si="78"/>
        <v>201806</v>
      </c>
      <c r="C2375" s="6">
        <f>INDEX(工厂基础数据!$A$2:$A$1024,MATCH(X2375,工厂基础数据!$D$2:$D$1024,0))</f>
        <v>0</v>
      </c>
      <c r="E2375" s="6" t="str">
        <f>INDEX(工厂基础数据!$B$2:$B$1024,MATCH(X2375,工厂基础数据!$D$2:$D$1024,0))</f>
        <v>济南广林医药有限公司</v>
      </c>
      <c r="F2375" s="6" t="e">
        <f>INDEX(商业2转码!$B$2:$B$10000,MATCH(E2375,商业2转码!$A$2:$A$10000,0))</f>
        <v>#N/A</v>
      </c>
      <c r="G2375" s="6">
        <f>INDEX(品种2编码!$A$2:$A$1048576,MATCH(W2375,品种2编码!$D$2:$D$1048576,0))</f>
        <v>0</v>
      </c>
      <c r="H2375" s="6" t="s">
        <v>494</v>
      </c>
      <c r="I2375" s="6" t="s">
        <v>1841</v>
      </c>
      <c r="L2375" s="6" t="s">
        <v>3584</v>
      </c>
      <c r="M2375" s="6" t="e">
        <f>INDEX(医院2县区2人!$B$2:$B$1048576,MATCH(L2375,医院2县区2人!$A$2:$A$1048576,0))</f>
        <v>#N/A</v>
      </c>
      <c r="N2375" s="6" t="e">
        <f>INDEX(医院2县区2人!$C$2:$C$1048576,MATCH(L2375,医院2县区2人!$A$2:$A$1048576,0))</f>
        <v>#N/A</v>
      </c>
      <c r="P2375" s="7">
        <v>43278</v>
      </c>
      <c r="Q2375" s="6">
        <v>100</v>
      </c>
      <c r="S2375" s="6">
        <v>160504</v>
      </c>
      <c r="T2375" s="6" t="e">
        <f>INDEX(医院2县区2人!$D$2:$D$1048576,MATCH(L2375,医院2县区2人!$A$2:$A$1048576,0))</f>
        <v>#N/A</v>
      </c>
      <c r="W2375" s="6" t="str">
        <f t="shared" si="77"/>
        <v>罗红霉素分散片(严迪)50mg*12片</v>
      </c>
      <c r="X2375" s="6" t="s">
        <v>2904</v>
      </c>
    </row>
    <row r="2376" spans="1:24" x14ac:dyDescent="0.15">
      <c r="A2376" s="7" t="str">
        <f t="shared" si="78"/>
        <v>201806</v>
      </c>
      <c r="C2376" s="6">
        <f>INDEX(工厂基础数据!$A$2:$A$1024,MATCH(X2376,工厂基础数据!$D$2:$D$1024,0))</f>
        <v>0</v>
      </c>
      <c r="E2376" s="6" t="str">
        <f>INDEX(工厂基础数据!$B$2:$B$1024,MATCH(X2376,工厂基础数据!$D$2:$D$1024,0))</f>
        <v>济南广林医药有限公司</v>
      </c>
      <c r="F2376" s="6" t="e">
        <f>INDEX(商业2转码!$B$2:$B$10000,MATCH(E2376,商业2转码!$A$2:$A$10000,0))</f>
        <v>#N/A</v>
      </c>
      <c r="G2376" s="6">
        <f>INDEX(品种2编码!$A$2:$A$1048576,MATCH(W2376,品种2编码!$D$2:$D$1048576,0))</f>
        <v>0</v>
      </c>
      <c r="H2376" s="6" t="s">
        <v>494</v>
      </c>
      <c r="I2376" s="6" t="s">
        <v>1869</v>
      </c>
      <c r="L2376" s="6" t="s">
        <v>3586</v>
      </c>
      <c r="M2376" s="6" t="e">
        <f>INDEX(医院2县区2人!$B$2:$B$1048576,MATCH(L2376,医院2县区2人!$A$2:$A$1048576,0))</f>
        <v>#N/A</v>
      </c>
      <c r="N2376" s="6" t="e">
        <f>INDEX(医院2县区2人!$C$2:$C$1048576,MATCH(L2376,医院2县区2人!$A$2:$A$1048576,0))</f>
        <v>#N/A</v>
      </c>
      <c r="P2376" s="7">
        <v>43280</v>
      </c>
      <c r="Q2376" s="6">
        <v>10</v>
      </c>
      <c r="S2376" s="6">
        <v>180201</v>
      </c>
      <c r="T2376" s="6" t="e">
        <f>INDEX(医院2县区2人!$D$2:$D$1048576,MATCH(L2376,医院2县区2人!$A$2:$A$1048576,0))</f>
        <v>#N/A</v>
      </c>
      <c r="W2376" s="6" t="str">
        <f t="shared" si="77"/>
        <v>罗红霉素分散片(严迪)75mg*12片</v>
      </c>
      <c r="X2376" s="6" t="s">
        <v>2904</v>
      </c>
    </row>
    <row r="2377" spans="1:24" x14ac:dyDescent="0.15">
      <c r="A2377" s="7" t="str">
        <f t="shared" si="78"/>
        <v>201806</v>
      </c>
      <c r="C2377" s="6">
        <f>INDEX(工厂基础数据!$A$2:$A$1024,MATCH(X2377,工厂基础数据!$D$2:$D$1024,0))</f>
        <v>0</v>
      </c>
      <c r="E2377" s="6" t="str">
        <f>INDEX(工厂基础数据!$B$2:$B$1024,MATCH(X2377,工厂基础数据!$D$2:$D$1024,0))</f>
        <v>济南广林医药有限公司</v>
      </c>
      <c r="F2377" s="6" t="e">
        <f>INDEX(商业2转码!$B$2:$B$10000,MATCH(E2377,商业2转码!$A$2:$A$10000,0))</f>
        <v>#N/A</v>
      </c>
      <c r="G2377" s="6">
        <f>INDEX(品种2编码!$A$2:$A$1048576,MATCH(W2377,品种2编码!$D$2:$D$1048576,0))</f>
        <v>0</v>
      </c>
      <c r="H2377" s="6" t="s">
        <v>494</v>
      </c>
      <c r="I2377" s="6" t="s">
        <v>1869</v>
      </c>
      <c r="L2377" s="6" t="s">
        <v>3583</v>
      </c>
      <c r="M2377" s="6" t="e">
        <f>INDEX(医院2县区2人!$B$2:$B$1048576,MATCH(L2377,医院2县区2人!$A$2:$A$1048576,0))</f>
        <v>#N/A</v>
      </c>
      <c r="N2377" s="6" t="e">
        <f>INDEX(医院2县区2人!$C$2:$C$1048576,MATCH(L2377,医院2县区2人!$A$2:$A$1048576,0))</f>
        <v>#N/A</v>
      </c>
      <c r="P2377" s="7">
        <v>43280</v>
      </c>
      <c r="Q2377" s="6">
        <v>5</v>
      </c>
      <c r="S2377" s="6">
        <v>180201</v>
      </c>
      <c r="T2377" s="6" t="e">
        <f>INDEX(医院2县区2人!$D$2:$D$1048576,MATCH(L2377,医院2县区2人!$A$2:$A$1048576,0))</f>
        <v>#N/A</v>
      </c>
      <c r="W2377" s="6" t="str">
        <f t="shared" si="77"/>
        <v>罗红霉素分散片(严迪)75mg*12片</v>
      </c>
      <c r="X2377" s="6" t="s">
        <v>2904</v>
      </c>
    </row>
    <row r="2378" spans="1:24" x14ac:dyDescent="0.15">
      <c r="A2378" s="7" t="str">
        <f t="shared" si="78"/>
        <v>201806</v>
      </c>
      <c r="C2378" s="6">
        <f>INDEX(工厂基础数据!$A$2:$A$1024,MATCH(X2378,工厂基础数据!$D$2:$D$1024,0))</f>
        <v>0</v>
      </c>
      <c r="E2378" s="6" t="str">
        <f>INDEX(工厂基础数据!$B$2:$B$1024,MATCH(X2378,工厂基础数据!$D$2:$D$1024,0))</f>
        <v>济南广林医药有限公司</v>
      </c>
      <c r="F2378" s="6" t="e">
        <f>INDEX(商业2转码!$B$2:$B$10000,MATCH(E2378,商业2转码!$A$2:$A$10000,0))</f>
        <v>#N/A</v>
      </c>
      <c r="G2378" s="6">
        <f>INDEX(品种2编码!$A$2:$A$1048576,MATCH(W2378,品种2编码!$D$2:$D$1048576,0))</f>
        <v>0</v>
      </c>
      <c r="H2378" s="6" t="s">
        <v>494</v>
      </c>
      <c r="I2378" s="6" t="s">
        <v>1841</v>
      </c>
      <c r="L2378" s="6" t="s">
        <v>3524</v>
      </c>
      <c r="M2378" s="6" t="e">
        <f>INDEX(医院2县区2人!$B$2:$B$1048576,MATCH(L2378,医院2县区2人!$A$2:$A$1048576,0))</f>
        <v>#N/A</v>
      </c>
      <c r="N2378" s="6" t="e">
        <f>INDEX(医院2县区2人!$C$2:$C$1048576,MATCH(L2378,医院2县区2人!$A$2:$A$1048576,0))</f>
        <v>#N/A</v>
      </c>
      <c r="P2378" s="7">
        <v>43280</v>
      </c>
      <c r="Q2378" s="6">
        <v>10</v>
      </c>
      <c r="S2378" s="6">
        <v>160504</v>
      </c>
      <c r="T2378" s="6" t="e">
        <f>INDEX(医院2县区2人!$D$2:$D$1048576,MATCH(L2378,医院2县区2人!$A$2:$A$1048576,0))</f>
        <v>#N/A</v>
      </c>
      <c r="W2378" s="6" t="str">
        <f t="shared" si="77"/>
        <v>罗红霉素分散片(严迪)50mg*12片</v>
      </c>
      <c r="X2378" s="6" t="s">
        <v>2904</v>
      </c>
    </row>
    <row r="2379" spans="1:24" x14ac:dyDescent="0.15">
      <c r="A2379" s="7" t="str">
        <f t="shared" si="78"/>
        <v>201806</v>
      </c>
      <c r="C2379" s="6">
        <f>INDEX(工厂基础数据!$A$2:$A$1024,MATCH(X2379,工厂基础数据!$D$2:$D$1024,0))</f>
        <v>0</v>
      </c>
      <c r="E2379" s="6" t="str">
        <f>INDEX(工厂基础数据!$B$2:$B$1024,MATCH(X2379,工厂基础数据!$D$2:$D$1024,0))</f>
        <v>济南广林医药有限公司</v>
      </c>
      <c r="F2379" s="6" t="e">
        <f>INDEX(商业2转码!$B$2:$B$10000,MATCH(E2379,商业2转码!$A$2:$A$10000,0))</f>
        <v>#N/A</v>
      </c>
      <c r="G2379" s="6">
        <f>INDEX(品种2编码!$A$2:$A$1048576,MATCH(W2379,品种2编码!$D$2:$D$1048576,0))</f>
        <v>0</v>
      </c>
      <c r="H2379" s="6" t="s">
        <v>494</v>
      </c>
      <c r="I2379" s="6" t="s">
        <v>1841</v>
      </c>
      <c r="L2379" s="6" t="s">
        <v>3540</v>
      </c>
      <c r="M2379" s="6" t="e">
        <f>INDEX(医院2县区2人!$B$2:$B$1048576,MATCH(L2379,医院2县区2人!$A$2:$A$1048576,0))</f>
        <v>#N/A</v>
      </c>
      <c r="N2379" s="6" t="e">
        <f>INDEX(医院2县区2人!$C$2:$C$1048576,MATCH(L2379,医院2县区2人!$A$2:$A$1048576,0))</f>
        <v>#N/A</v>
      </c>
      <c r="P2379" s="7">
        <v>43280</v>
      </c>
      <c r="Q2379" s="6">
        <v>50</v>
      </c>
      <c r="S2379" s="6">
        <v>160504</v>
      </c>
      <c r="T2379" s="6" t="e">
        <f>INDEX(医院2县区2人!$D$2:$D$1048576,MATCH(L2379,医院2县区2人!$A$2:$A$1048576,0))</f>
        <v>#N/A</v>
      </c>
      <c r="W2379" s="6" t="str">
        <f t="shared" si="77"/>
        <v>罗红霉素分散片(严迪)50mg*12片</v>
      </c>
      <c r="X2379" s="6" t="s">
        <v>2904</v>
      </c>
    </row>
    <row r="2380" spans="1:24" x14ac:dyDescent="0.15">
      <c r="A2380" s="7" t="str">
        <f t="shared" si="78"/>
        <v>201806</v>
      </c>
      <c r="C2380" s="6">
        <f>INDEX(工厂基础数据!$A$2:$A$1024,MATCH(X2380,工厂基础数据!$D$2:$D$1024,0))</f>
        <v>0</v>
      </c>
      <c r="E2380" s="6" t="str">
        <f>INDEX(工厂基础数据!$B$2:$B$1024,MATCH(X2380,工厂基础数据!$D$2:$D$1024,0))</f>
        <v>济南广林医药有限公司</v>
      </c>
      <c r="F2380" s="6" t="e">
        <f>INDEX(商业2转码!$B$2:$B$10000,MATCH(E2380,商业2转码!$A$2:$A$10000,0))</f>
        <v>#N/A</v>
      </c>
      <c r="G2380" s="6">
        <f>INDEX(品种2编码!$A$2:$A$1048576,MATCH(W2380,品种2编码!$D$2:$D$1048576,0))</f>
        <v>0</v>
      </c>
      <c r="H2380" s="6" t="s">
        <v>3609</v>
      </c>
      <c r="I2380" s="6" t="s">
        <v>411</v>
      </c>
      <c r="L2380" s="6" t="s">
        <v>3535</v>
      </c>
      <c r="M2380" s="6" t="e">
        <f>INDEX(医院2县区2人!$B$2:$B$1048576,MATCH(L2380,医院2县区2人!$A$2:$A$1048576,0))</f>
        <v>#N/A</v>
      </c>
      <c r="N2380" s="6" t="e">
        <f>INDEX(医院2县区2人!$C$2:$C$1048576,MATCH(L2380,医院2县区2人!$A$2:$A$1048576,0))</f>
        <v>#N/A</v>
      </c>
      <c r="P2380" s="7">
        <v>43252</v>
      </c>
      <c r="Q2380" s="6">
        <v>5</v>
      </c>
      <c r="S2380" s="6">
        <v>18030832</v>
      </c>
      <c r="T2380" s="6" t="e">
        <f>INDEX(医院2县区2人!$D$2:$D$1048576,MATCH(L2380,医院2县区2人!$A$2:$A$1048576,0))</f>
        <v>#N/A</v>
      </c>
      <c r="W2380" s="6" t="str">
        <f t="shared" si="77"/>
        <v>葡萄糖酸钙口服溶液10%10ml*12支</v>
      </c>
      <c r="X2380" s="6" t="s">
        <v>2904</v>
      </c>
    </row>
    <row r="2381" spans="1:24" x14ac:dyDescent="0.15">
      <c r="A2381" s="7" t="str">
        <f t="shared" si="78"/>
        <v>201806</v>
      </c>
      <c r="C2381" s="6">
        <f>INDEX(工厂基础数据!$A$2:$A$1024,MATCH(X2381,工厂基础数据!$D$2:$D$1024,0))</f>
        <v>0</v>
      </c>
      <c r="E2381" s="6" t="str">
        <f>INDEX(工厂基础数据!$B$2:$B$1024,MATCH(X2381,工厂基础数据!$D$2:$D$1024,0))</f>
        <v>济南广林医药有限公司</v>
      </c>
      <c r="F2381" s="6" t="e">
        <f>INDEX(商业2转码!$B$2:$B$10000,MATCH(E2381,商业2转码!$A$2:$A$10000,0))</f>
        <v>#N/A</v>
      </c>
      <c r="G2381" s="6">
        <f>INDEX(品种2编码!$A$2:$A$1048576,MATCH(W2381,品种2编码!$D$2:$D$1048576,0))</f>
        <v>0</v>
      </c>
      <c r="H2381" s="6" t="s">
        <v>3609</v>
      </c>
      <c r="I2381" s="6" t="s">
        <v>411</v>
      </c>
      <c r="L2381" s="6" t="s">
        <v>3539</v>
      </c>
      <c r="M2381" s="6" t="e">
        <f>INDEX(医院2县区2人!$B$2:$B$1048576,MATCH(L2381,医院2县区2人!$A$2:$A$1048576,0))</f>
        <v>#N/A</v>
      </c>
      <c r="N2381" s="6" t="e">
        <f>INDEX(医院2县区2人!$C$2:$C$1048576,MATCH(L2381,医院2县区2人!$A$2:$A$1048576,0))</f>
        <v>#N/A</v>
      </c>
      <c r="P2381" s="7">
        <v>43255</v>
      </c>
      <c r="Q2381" s="6">
        <v>20</v>
      </c>
      <c r="S2381" s="6">
        <v>18030832</v>
      </c>
      <c r="T2381" s="6" t="e">
        <f>INDEX(医院2县区2人!$D$2:$D$1048576,MATCH(L2381,医院2县区2人!$A$2:$A$1048576,0))</f>
        <v>#N/A</v>
      </c>
      <c r="W2381" s="6" t="str">
        <f t="shared" si="77"/>
        <v>葡萄糖酸钙口服溶液10%10ml*12支</v>
      </c>
      <c r="X2381" s="6" t="s">
        <v>2904</v>
      </c>
    </row>
    <row r="2382" spans="1:24" x14ac:dyDescent="0.15">
      <c r="A2382" s="7" t="str">
        <f t="shared" si="78"/>
        <v>201806</v>
      </c>
      <c r="C2382" s="6">
        <f>INDEX(工厂基础数据!$A$2:$A$1024,MATCH(X2382,工厂基础数据!$D$2:$D$1024,0))</f>
        <v>0</v>
      </c>
      <c r="E2382" s="6" t="str">
        <f>INDEX(工厂基础数据!$B$2:$B$1024,MATCH(X2382,工厂基础数据!$D$2:$D$1024,0))</f>
        <v>济南广林医药有限公司</v>
      </c>
      <c r="F2382" s="6" t="e">
        <f>INDEX(商业2转码!$B$2:$B$10000,MATCH(E2382,商业2转码!$A$2:$A$10000,0))</f>
        <v>#N/A</v>
      </c>
      <c r="G2382" s="6">
        <f>INDEX(品种2编码!$A$2:$A$1048576,MATCH(W2382,品种2编码!$D$2:$D$1048576,0))</f>
        <v>0</v>
      </c>
      <c r="H2382" s="6" t="s">
        <v>3609</v>
      </c>
      <c r="I2382" s="6" t="s">
        <v>411</v>
      </c>
      <c r="L2382" s="6" t="s">
        <v>3536</v>
      </c>
      <c r="M2382" s="6" t="e">
        <f>INDEX(医院2县区2人!$B$2:$B$1048576,MATCH(L2382,医院2县区2人!$A$2:$A$1048576,0))</f>
        <v>#N/A</v>
      </c>
      <c r="N2382" s="6" t="e">
        <f>INDEX(医院2县区2人!$C$2:$C$1048576,MATCH(L2382,医院2县区2人!$A$2:$A$1048576,0))</f>
        <v>#N/A</v>
      </c>
      <c r="P2382" s="7">
        <v>43255</v>
      </c>
      <c r="Q2382" s="6">
        <v>3</v>
      </c>
      <c r="S2382" s="6">
        <v>18030832</v>
      </c>
      <c r="T2382" s="6" t="e">
        <f>INDEX(医院2县区2人!$D$2:$D$1048576,MATCH(L2382,医院2县区2人!$A$2:$A$1048576,0))</f>
        <v>#N/A</v>
      </c>
      <c r="W2382" s="6" t="str">
        <f t="shared" si="77"/>
        <v>葡萄糖酸钙口服溶液10%10ml*12支</v>
      </c>
      <c r="X2382" s="6" t="s">
        <v>2904</v>
      </c>
    </row>
    <row r="2383" spans="1:24" x14ac:dyDescent="0.15">
      <c r="A2383" s="7" t="str">
        <f t="shared" si="78"/>
        <v>201806</v>
      </c>
      <c r="C2383" s="6">
        <f>INDEX(工厂基础数据!$A$2:$A$1024,MATCH(X2383,工厂基础数据!$D$2:$D$1024,0))</f>
        <v>0</v>
      </c>
      <c r="E2383" s="6" t="str">
        <f>INDEX(工厂基础数据!$B$2:$B$1024,MATCH(X2383,工厂基础数据!$D$2:$D$1024,0))</f>
        <v>济南广林医药有限公司</v>
      </c>
      <c r="F2383" s="6" t="e">
        <f>INDEX(商业2转码!$B$2:$B$10000,MATCH(E2383,商业2转码!$A$2:$A$10000,0))</f>
        <v>#N/A</v>
      </c>
      <c r="G2383" s="6">
        <f>INDEX(品种2编码!$A$2:$A$1048576,MATCH(W2383,品种2编码!$D$2:$D$1048576,0))</f>
        <v>0</v>
      </c>
      <c r="H2383" s="6" t="s">
        <v>3609</v>
      </c>
      <c r="I2383" s="6" t="s">
        <v>411</v>
      </c>
      <c r="L2383" s="6" t="s">
        <v>3540</v>
      </c>
      <c r="M2383" s="6" t="e">
        <f>INDEX(医院2县区2人!$B$2:$B$1048576,MATCH(L2383,医院2县区2人!$A$2:$A$1048576,0))</f>
        <v>#N/A</v>
      </c>
      <c r="N2383" s="6" t="e">
        <f>INDEX(医院2县区2人!$C$2:$C$1048576,MATCH(L2383,医院2县区2人!$A$2:$A$1048576,0))</f>
        <v>#N/A</v>
      </c>
      <c r="P2383" s="7">
        <v>43255</v>
      </c>
      <c r="Q2383" s="6">
        <v>5</v>
      </c>
      <c r="S2383" s="6">
        <v>18030832</v>
      </c>
      <c r="T2383" s="6" t="e">
        <f>INDEX(医院2县区2人!$D$2:$D$1048576,MATCH(L2383,医院2县区2人!$A$2:$A$1048576,0))</f>
        <v>#N/A</v>
      </c>
      <c r="W2383" s="6" t="str">
        <f t="shared" si="77"/>
        <v>葡萄糖酸钙口服溶液10%10ml*12支</v>
      </c>
      <c r="X2383" s="6" t="s">
        <v>2904</v>
      </c>
    </row>
    <row r="2384" spans="1:24" x14ac:dyDescent="0.15">
      <c r="A2384" s="7" t="str">
        <f t="shared" si="78"/>
        <v>201806</v>
      </c>
      <c r="C2384" s="6">
        <f>INDEX(工厂基础数据!$A$2:$A$1024,MATCH(X2384,工厂基础数据!$D$2:$D$1024,0))</f>
        <v>0</v>
      </c>
      <c r="E2384" s="6" t="str">
        <f>INDEX(工厂基础数据!$B$2:$B$1024,MATCH(X2384,工厂基础数据!$D$2:$D$1024,0))</f>
        <v>济南广林医药有限公司</v>
      </c>
      <c r="F2384" s="6" t="e">
        <f>INDEX(商业2转码!$B$2:$B$10000,MATCH(E2384,商业2转码!$A$2:$A$10000,0))</f>
        <v>#N/A</v>
      </c>
      <c r="G2384" s="6">
        <f>INDEX(品种2编码!$A$2:$A$1048576,MATCH(W2384,品种2编码!$D$2:$D$1048576,0))</f>
        <v>0</v>
      </c>
      <c r="H2384" s="6" t="s">
        <v>3609</v>
      </c>
      <c r="I2384" s="6" t="s">
        <v>411</v>
      </c>
      <c r="L2384" s="6" t="s">
        <v>3594</v>
      </c>
      <c r="M2384" s="6" t="e">
        <f>INDEX(医院2县区2人!$B$2:$B$1048576,MATCH(L2384,医院2县区2人!$A$2:$A$1048576,0))</f>
        <v>#N/A</v>
      </c>
      <c r="N2384" s="6" t="e">
        <f>INDEX(医院2县区2人!$C$2:$C$1048576,MATCH(L2384,医院2县区2人!$A$2:$A$1048576,0))</f>
        <v>#N/A</v>
      </c>
      <c r="P2384" s="7">
        <v>43257</v>
      </c>
      <c r="Q2384" s="6">
        <v>2</v>
      </c>
      <c r="S2384" s="6">
        <v>18030832</v>
      </c>
      <c r="T2384" s="6" t="e">
        <f>INDEX(医院2县区2人!$D$2:$D$1048576,MATCH(L2384,医院2县区2人!$A$2:$A$1048576,0))</f>
        <v>#N/A</v>
      </c>
      <c r="W2384" s="6" t="str">
        <f t="shared" si="77"/>
        <v>葡萄糖酸钙口服溶液10%10ml*12支</v>
      </c>
      <c r="X2384" s="6" t="s">
        <v>2904</v>
      </c>
    </row>
    <row r="2385" spans="1:24" x14ac:dyDescent="0.15">
      <c r="A2385" s="7" t="str">
        <f t="shared" si="78"/>
        <v>201806</v>
      </c>
      <c r="C2385" s="6">
        <f>INDEX(工厂基础数据!$A$2:$A$1024,MATCH(X2385,工厂基础数据!$D$2:$D$1024,0))</f>
        <v>0</v>
      </c>
      <c r="E2385" s="6" t="str">
        <f>INDEX(工厂基础数据!$B$2:$B$1024,MATCH(X2385,工厂基础数据!$D$2:$D$1024,0))</f>
        <v>济南广林医药有限公司</v>
      </c>
      <c r="F2385" s="6" t="e">
        <f>INDEX(商业2转码!$B$2:$B$10000,MATCH(E2385,商业2转码!$A$2:$A$10000,0))</f>
        <v>#N/A</v>
      </c>
      <c r="G2385" s="6">
        <f>INDEX(品种2编码!$A$2:$A$1048576,MATCH(W2385,品种2编码!$D$2:$D$1048576,0))</f>
        <v>0</v>
      </c>
      <c r="H2385" s="6" t="s">
        <v>3609</v>
      </c>
      <c r="I2385" s="6" t="s">
        <v>411</v>
      </c>
      <c r="L2385" s="6" t="s">
        <v>3528</v>
      </c>
      <c r="M2385" s="6" t="e">
        <f>INDEX(医院2县区2人!$B$2:$B$1048576,MATCH(L2385,医院2县区2人!$A$2:$A$1048576,0))</f>
        <v>#N/A</v>
      </c>
      <c r="N2385" s="6" t="e">
        <f>INDEX(医院2县区2人!$C$2:$C$1048576,MATCH(L2385,医院2县区2人!$A$2:$A$1048576,0))</f>
        <v>#N/A</v>
      </c>
      <c r="P2385" s="7">
        <v>43258</v>
      </c>
      <c r="Q2385" s="6">
        <v>30</v>
      </c>
      <c r="S2385" s="6">
        <v>18030832</v>
      </c>
      <c r="T2385" s="6" t="e">
        <f>INDEX(医院2县区2人!$D$2:$D$1048576,MATCH(L2385,医院2县区2人!$A$2:$A$1048576,0))</f>
        <v>#N/A</v>
      </c>
      <c r="W2385" s="6" t="str">
        <f t="shared" si="77"/>
        <v>葡萄糖酸钙口服溶液10%10ml*12支</v>
      </c>
      <c r="X2385" s="6" t="s">
        <v>2904</v>
      </c>
    </row>
    <row r="2386" spans="1:24" x14ac:dyDescent="0.15">
      <c r="A2386" s="7" t="str">
        <f t="shared" si="78"/>
        <v>201806</v>
      </c>
      <c r="C2386" s="6">
        <f>INDEX(工厂基础数据!$A$2:$A$1024,MATCH(X2386,工厂基础数据!$D$2:$D$1024,0))</f>
        <v>0</v>
      </c>
      <c r="E2386" s="6" t="str">
        <f>INDEX(工厂基础数据!$B$2:$B$1024,MATCH(X2386,工厂基础数据!$D$2:$D$1024,0))</f>
        <v>济南广林医药有限公司</v>
      </c>
      <c r="F2386" s="6" t="e">
        <f>INDEX(商业2转码!$B$2:$B$10000,MATCH(E2386,商业2转码!$A$2:$A$10000,0))</f>
        <v>#N/A</v>
      </c>
      <c r="G2386" s="6">
        <f>INDEX(品种2编码!$A$2:$A$1048576,MATCH(W2386,品种2编码!$D$2:$D$1048576,0))</f>
        <v>0</v>
      </c>
      <c r="H2386" s="6" t="s">
        <v>3609</v>
      </c>
      <c r="I2386" s="6" t="s">
        <v>411</v>
      </c>
      <c r="L2386" s="6" t="s">
        <v>3550</v>
      </c>
      <c r="M2386" s="6" t="e">
        <f>INDEX(医院2县区2人!$B$2:$B$1048576,MATCH(L2386,医院2县区2人!$A$2:$A$1048576,0))</f>
        <v>#N/A</v>
      </c>
      <c r="N2386" s="6" t="e">
        <f>INDEX(医院2县区2人!$C$2:$C$1048576,MATCH(L2386,医院2县区2人!$A$2:$A$1048576,0))</f>
        <v>#N/A</v>
      </c>
      <c r="P2386" s="7">
        <v>43262</v>
      </c>
      <c r="Q2386" s="6">
        <v>5</v>
      </c>
      <c r="S2386" s="6">
        <v>18030832</v>
      </c>
      <c r="T2386" s="6" t="e">
        <f>INDEX(医院2县区2人!$D$2:$D$1048576,MATCH(L2386,医院2县区2人!$A$2:$A$1048576,0))</f>
        <v>#N/A</v>
      </c>
      <c r="W2386" s="6" t="str">
        <f t="shared" si="77"/>
        <v>葡萄糖酸钙口服溶液10%10ml*12支</v>
      </c>
      <c r="X2386" s="6" t="s">
        <v>2904</v>
      </c>
    </row>
    <row r="2387" spans="1:24" x14ac:dyDescent="0.15">
      <c r="A2387" s="7" t="str">
        <f t="shared" si="78"/>
        <v>201806</v>
      </c>
      <c r="C2387" s="6">
        <f>INDEX(工厂基础数据!$A$2:$A$1024,MATCH(X2387,工厂基础数据!$D$2:$D$1024,0))</f>
        <v>0</v>
      </c>
      <c r="E2387" s="6" t="str">
        <f>INDEX(工厂基础数据!$B$2:$B$1024,MATCH(X2387,工厂基础数据!$D$2:$D$1024,0))</f>
        <v>济南广林医药有限公司</v>
      </c>
      <c r="F2387" s="6" t="e">
        <f>INDEX(商业2转码!$B$2:$B$10000,MATCH(E2387,商业2转码!$A$2:$A$10000,0))</f>
        <v>#N/A</v>
      </c>
      <c r="G2387" s="6">
        <f>INDEX(品种2编码!$A$2:$A$1048576,MATCH(W2387,品种2编码!$D$2:$D$1048576,0))</f>
        <v>0</v>
      </c>
      <c r="H2387" s="6" t="s">
        <v>3609</v>
      </c>
      <c r="I2387" s="6" t="s">
        <v>411</v>
      </c>
      <c r="L2387" s="6" t="s">
        <v>3553</v>
      </c>
      <c r="M2387" s="6" t="e">
        <f>INDEX(医院2县区2人!$B$2:$B$1048576,MATCH(L2387,医院2县区2人!$A$2:$A$1048576,0))</f>
        <v>#N/A</v>
      </c>
      <c r="N2387" s="6" t="e">
        <f>INDEX(医院2县区2人!$C$2:$C$1048576,MATCH(L2387,医院2县区2人!$A$2:$A$1048576,0))</f>
        <v>#N/A</v>
      </c>
      <c r="P2387" s="7">
        <v>43262</v>
      </c>
      <c r="Q2387" s="6">
        <v>3</v>
      </c>
      <c r="S2387" s="6">
        <v>18030832</v>
      </c>
      <c r="T2387" s="6" t="e">
        <f>INDEX(医院2县区2人!$D$2:$D$1048576,MATCH(L2387,医院2县区2人!$A$2:$A$1048576,0))</f>
        <v>#N/A</v>
      </c>
      <c r="W2387" s="6" t="str">
        <f t="shared" si="77"/>
        <v>葡萄糖酸钙口服溶液10%10ml*12支</v>
      </c>
      <c r="X2387" s="6" t="s">
        <v>2904</v>
      </c>
    </row>
    <row r="2388" spans="1:24" x14ac:dyDescent="0.15">
      <c r="A2388" s="7" t="str">
        <f t="shared" si="78"/>
        <v>201806</v>
      </c>
      <c r="C2388" s="6">
        <f>INDEX(工厂基础数据!$A$2:$A$1024,MATCH(X2388,工厂基础数据!$D$2:$D$1024,0))</f>
        <v>0</v>
      </c>
      <c r="E2388" s="6" t="str">
        <f>INDEX(工厂基础数据!$B$2:$B$1024,MATCH(X2388,工厂基础数据!$D$2:$D$1024,0))</f>
        <v>济南广林医药有限公司</v>
      </c>
      <c r="F2388" s="6" t="e">
        <f>INDEX(商业2转码!$B$2:$B$10000,MATCH(E2388,商业2转码!$A$2:$A$10000,0))</f>
        <v>#N/A</v>
      </c>
      <c r="G2388" s="6">
        <f>INDEX(品种2编码!$A$2:$A$1048576,MATCH(W2388,品种2编码!$D$2:$D$1048576,0))</f>
        <v>0</v>
      </c>
      <c r="H2388" s="6" t="s">
        <v>3609</v>
      </c>
      <c r="I2388" s="6" t="s">
        <v>411</v>
      </c>
      <c r="L2388" s="6" t="s">
        <v>3570</v>
      </c>
      <c r="M2388" s="6" t="e">
        <f>INDEX(医院2县区2人!$B$2:$B$1048576,MATCH(L2388,医院2县区2人!$A$2:$A$1048576,0))</f>
        <v>#N/A</v>
      </c>
      <c r="N2388" s="6" t="e">
        <f>INDEX(医院2县区2人!$C$2:$C$1048576,MATCH(L2388,医院2县区2人!$A$2:$A$1048576,0))</f>
        <v>#N/A</v>
      </c>
      <c r="P2388" s="7">
        <v>43262</v>
      </c>
      <c r="Q2388" s="6">
        <v>2</v>
      </c>
      <c r="S2388" s="6">
        <v>18030832</v>
      </c>
      <c r="T2388" s="6" t="e">
        <f>INDEX(医院2县区2人!$D$2:$D$1048576,MATCH(L2388,医院2县区2人!$A$2:$A$1048576,0))</f>
        <v>#N/A</v>
      </c>
      <c r="W2388" s="6" t="str">
        <f t="shared" si="77"/>
        <v>葡萄糖酸钙口服溶液10%10ml*12支</v>
      </c>
      <c r="X2388" s="6" t="s">
        <v>2904</v>
      </c>
    </row>
    <row r="2389" spans="1:24" x14ac:dyDescent="0.15">
      <c r="A2389" s="7" t="str">
        <f t="shared" si="78"/>
        <v>201806</v>
      </c>
      <c r="C2389" s="6">
        <f>INDEX(工厂基础数据!$A$2:$A$1024,MATCH(X2389,工厂基础数据!$D$2:$D$1024,0))</f>
        <v>0</v>
      </c>
      <c r="E2389" s="6" t="str">
        <f>INDEX(工厂基础数据!$B$2:$B$1024,MATCH(X2389,工厂基础数据!$D$2:$D$1024,0))</f>
        <v>济南广林医药有限公司</v>
      </c>
      <c r="F2389" s="6" t="e">
        <f>INDEX(商业2转码!$B$2:$B$10000,MATCH(E2389,商业2转码!$A$2:$A$10000,0))</f>
        <v>#N/A</v>
      </c>
      <c r="G2389" s="6">
        <f>INDEX(品种2编码!$A$2:$A$1048576,MATCH(W2389,品种2编码!$D$2:$D$1048576,0))</f>
        <v>0</v>
      </c>
      <c r="H2389" s="6" t="s">
        <v>3609</v>
      </c>
      <c r="I2389" s="6" t="s">
        <v>411</v>
      </c>
      <c r="L2389" s="6" t="s">
        <v>3595</v>
      </c>
      <c r="M2389" s="6" t="e">
        <f>INDEX(医院2县区2人!$B$2:$B$1048576,MATCH(L2389,医院2县区2人!$A$2:$A$1048576,0))</f>
        <v>#N/A</v>
      </c>
      <c r="N2389" s="6" t="e">
        <f>INDEX(医院2县区2人!$C$2:$C$1048576,MATCH(L2389,医院2县区2人!$A$2:$A$1048576,0))</f>
        <v>#N/A</v>
      </c>
      <c r="P2389" s="7">
        <v>43263</v>
      </c>
      <c r="Q2389" s="6">
        <v>2</v>
      </c>
      <c r="S2389" s="6">
        <v>18030832</v>
      </c>
      <c r="T2389" s="6" t="e">
        <f>INDEX(医院2县区2人!$D$2:$D$1048576,MATCH(L2389,医院2县区2人!$A$2:$A$1048576,0))</f>
        <v>#N/A</v>
      </c>
      <c r="W2389" s="6" t="str">
        <f t="shared" si="77"/>
        <v>葡萄糖酸钙口服溶液10%10ml*12支</v>
      </c>
      <c r="X2389" s="6" t="s">
        <v>2904</v>
      </c>
    </row>
    <row r="2390" spans="1:24" x14ac:dyDescent="0.15">
      <c r="A2390" s="7" t="str">
        <f t="shared" si="78"/>
        <v>201806</v>
      </c>
      <c r="C2390" s="6">
        <f>INDEX(工厂基础数据!$A$2:$A$1024,MATCH(X2390,工厂基础数据!$D$2:$D$1024,0))</f>
        <v>0</v>
      </c>
      <c r="E2390" s="6" t="str">
        <f>INDEX(工厂基础数据!$B$2:$B$1024,MATCH(X2390,工厂基础数据!$D$2:$D$1024,0))</f>
        <v>济南广林医药有限公司</v>
      </c>
      <c r="F2390" s="6" t="e">
        <f>INDEX(商业2转码!$B$2:$B$10000,MATCH(E2390,商业2转码!$A$2:$A$10000,0))</f>
        <v>#N/A</v>
      </c>
      <c r="G2390" s="6">
        <f>INDEX(品种2编码!$A$2:$A$1048576,MATCH(W2390,品种2编码!$D$2:$D$1048576,0))</f>
        <v>0</v>
      </c>
      <c r="H2390" s="6" t="s">
        <v>3609</v>
      </c>
      <c r="I2390" s="6" t="s">
        <v>411</v>
      </c>
      <c r="L2390" s="6" t="s">
        <v>3549</v>
      </c>
      <c r="M2390" s="6" t="e">
        <f>INDEX(医院2县区2人!$B$2:$B$1048576,MATCH(L2390,医院2县区2人!$A$2:$A$1048576,0))</f>
        <v>#N/A</v>
      </c>
      <c r="N2390" s="6" t="e">
        <f>INDEX(医院2县区2人!$C$2:$C$1048576,MATCH(L2390,医院2县区2人!$A$2:$A$1048576,0))</f>
        <v>#N/A</v>
      </c>
      <c r="P2390" s="7">
        <v>43264</v>
      </c>
      <c r="Q2390" s="6">
        <v>5</v>
      </c>
      <c r="S2390" s="6">
        <v>18030832</v>
      </c>
      <c r="T2390" s="6" t="e">
        <f>INDEX(医院2县区2人!$D$2:$D$1048576,MATCH(L2390,医院2县区2人!$A$2:$A$1048576,0))</f>
        <v>#N/A</v>
      </c>
      <c r="W2390" s="6" t="str">
        <f t="shared" si="77"/>
        <v>葡萄糖酸钙口服溶液10%10ml*12支</v>
      </c>
      <c r="X2390" s="6" t="s">
        <v>2904</v>
      </c>
    </row>
    <row r="2391" spans="1:24" x14ac:dyDescent="0.15">
      <c r="A2391" s="7" t="str">
        <f t="shared" si="78"/>
        <v>201806</v>
      </c>
      <c r="C2391" s="6">
        <f>INDEX(工厂基础数据!$A$2:$A$1024,MATCH(X2391,工厂基础数据!$D$2:$D$1024,0))</f>
        <v>0</v>
      </c>
      <c r="E2391" s="6" t="str">
        <f>INDEX(工厂基础数据!$B$2:$B$1024,MATCH(X2391,工厂基础数据!$D$2:$D$1024,0))</f>
        <v>济南广林医药有限公司</v>
      </c>
      <c r="F2391" s="6" t="e">
        <f>INDEX(商业2转码!$B$2:$B$10000,MATCH(E2391,商业2转码!$A$2:$A$10000,0))</f>
        <v>#N/A</v>
      </c>
      <c r="G2391" s="6">
        <f>INDEX(品种2编码!$A$2:$A$1048576,MATCH(W2391,品种2编码!$D$2:$D$1048576,0))</f>
        <v>0</v>
      </c>
      <c r="H2391" s="6" t="s">
        <v>3609</v>
      </c>
      <c r="I2391" s="6" t="s">
        <v>411</v>
      </c>
      <c r="L2391" s="6" t="s">
        <v>3529</v>
      </c>
      <c r="M2391" s="6" t="e">
        <f>INDEX(医院2县区2人!$B$2:$B$1048576,MATCH(L2391,医院2县区2人!$A$2:$A$1048576,0))</f>
        <v>#N/A</v>
      </c>
      <c r="N2391" s="6" t="e">
        <f>INDEX(医院2县区2人!$C$2:$C$1048576,MATCH(L2391,医院2县区2人!$A$2:$A$1048576,0))</f>
        <v>#N/A</v>
      </c>
      <c r="P2391" s="7">
        <v>43266</v>
      </c>
      <c r="Q2391" s="6">
        <v>2</v>
      </c>
      <c r="S2391" s="6">
        <v>18030832</v>
      </c>
      <c r="T2391" s="6" t="e">
        <f>INDEX(医院2县区2人!$D$2:$D$1048576,MATCH(L2391,医院2县区2人!$A$2:$A$1048576,0))</f>
        <v>#N/A</v>
      </c>
      <c r="W2391" s="6" t="str">
        <f t="shared" si="77"/>
        <v>葡萄糖酸钙口服溶液10%10ml*12支</v>
      </c>
      <c r="X2391" s="6" t="s">
        <v>2904</v>
      </c>
    </row>
    <row r="2392" spans="1:24" x14ac:dyDescent="0.15">
      <c r="A2392" s="7" t="str">
        <f t="shared" si="78"/>
        <v>201806</v>
      </c>
      <c r="C2392" s="6">
        <f>INDEX(工厂基础数据!$A$2:$A$1024,MATCH(X2392,工厂基础数据!$D$2:$D$1024,0))</f>
        <v>0</v>
      </c>
      <c r="E2392" s="6" t="str">
        <f>INDEX(工厂基础数据!$B$2:$B$1024,MATCH(X2392,工厂基础数据!$D$2:$D$1024,0))</f>
        <v>济南广林医药有限公司</v>
      </c>
      <c r="F2392" s="6" t="e">
        <f>INDEX(商业2转码!$B$2:$B$10000,MATCH(E2392,商业2转码!$A$2:$A$10000,0))</f>
        <v>#N/A</v>
      </c>
      <c r="G2392" s="6">
        <f>INDEX(品种2编码!$A$2:$A$1048576,MATCH(W2392,品种2编码!$D$2:$D$1048576,0))</f>
        <v>0</v>
      </c>
      <c r="H2392" s="6" t="s">
        <v>3609</v>
      </c>
      <c r="I2392" s="6" t="s">
        <v>411</v>
      </c>
      <c r="L2392" s="6" t="s">
        <v>3583</v>
      </c>
      <c r="M2392" s="6" t="e">
        <f>INDEX(医院2县区2人!$B$2:$B$1048576,MATCH(L2392,医院2县区2人!$A$2:$A$1048576,0))</f>
        <v>#N/A</v>
      </c>
      <c r="N2392" s="6" t="e">
        <f>INDEX(医院2县区2人!$C$2:$C$1048576,MATCH(L2392,医院2县区2人!$A$2:$A$1048576,0))</f>
        <v>#N/A</v>
      </c>
      <c r="P2392" s="7">
        <v>43266</v>
      </c>
      <c r="Q2392" s="6">
        <v>5</v>
      </c>
      <c r="S2392" s="6">
        <v>18030832</v>
      </c>
      <c r="T2392" s="6" t="e">
        <f>INDEX(医院2县区2人!$D$2:$D$1048576,MATCH(L2392,医院2县区2人!$A$2:$A$1048576,0))</f>
        <v>#N/A</v>
      </c>
      <c r="W2392" s="6" t="str">
        <f t="shared" si="77"/>
        <v>葡萄糖酸钙口服溶液10%10ml*12支</v>
      </c>
      <c r="X2392" s="6" t="s">
        <v>2904</v>
      </c>
    </row>
    <row r="2393" spans="1:24" x14ac:dyDescent="0.15">
      <c r="A2393" s="7" t="str">
        <f t="shared" si="78"/>
        <v>201806</v>
      </c>
      <c r="C2393" s="6">
        <f>INDEX(工厂基础数据!$A$2:$A$1024,MATCH(X2393,工厂基础数据!$D$2:$D$1024,0))</f>
        <v>0</v>
      </c>
      <c r="E2393" s="6" t="str">
        <f>INDEX(工厂基础数据!$B$2:$B$1024,MATCH(X2393,工厂基础数据!$D$2:$D$1024,0))</f>
        <v>济南广林医药有限公司</v>
      </c>
      <c r="F2393" s="6" t="e">
        <f>INDEX(商业2转码!$B$2:$B$10000,MATCH(E2393,商业2转码!$A$2:$A$10000,0))</f>
        <v>#N/A</v>
      </c>
      <c r="G2393" s="6">
        <f>INDEX(品种2编码!$A$2:$A$1048576,MATCH(W2393,品种2编码!$D$2:$D$1048576,0))</f>
        <v>0</v>
      </c>
      <c r="H2393" s="6" t="s">
        <v>3609</v>
      </c>
      <c r="I2393" s="6" t="s">
        <v>411</v>
      </c>
      <c r="L2393" s="6" t="s">
        <v>3552</v>
      </c>
      <c r="M2393" s="6" t="e">
        <f>INDEX(医院2县区2人!$B$2:$B$1048576,MATCH(L2393,医院2县区2人!$A$2:$A$1048576,0))</f>
        <v>#N/A</v>
      </c>
      <c r="N2393" s="6" t="e">
        <f>INDEX(医院2县区2人!$C$2:$C$1048576,MATCH(L2393,医院2县区2人!$A$2:$A$1048576,0))</f>
        <v>#N/A</v>
      </c>
      <c r="P2393" s="7">
        <v>43266</v>
      </c>
      <c r="Q2393" s="6">
        <v>5</v>
      </c>
      <c r="S2393" s="6">
        <v>18030832</v>
      </c>
      <c r="T2393" s="6" t="e">
        <f>INDEX(医院2县区2人!$D$2:$D$1048576,MATCH(L2393,医院2县区2人!$A$2:$A$1048576,0))</f>
        <v>#N/A</v>
      </c>
      <c r="W2393" s="6" t="str">
        <f t="shared" si="77"/>
        <v>葡萄糖酸钙口服溶液10%10ml*12支</v>
      </c>
      <c r="X2393" s="6" t="s">
        <v>2904</v>
      </c>
    </row>
    <row r="2394" spans="1:24" x14ac:dyDescent="0.15">
      <c r="A2394" s="7" t="str">
        <f t="shared" si="78"/>
        <v>201806</v>
      </c>
      <c r="C2394" s="6">
        <f>INDEX(工厂基础数据!$A$2:$A$1024,MATCH(X2394,工厂基础数据!$D$2:$D$1024,0))</f>
        <v>0</v>
      </c>
      <c r="E2394" s="6" t="str">
        <f>INDEX(工厂基础数据!$B$2:$B$1024,MATCH(X2394,工厂基础数据!$D$2:$D$1024,0))</f>
        <v>济南广林医药有限公司</v>
      </c>
      <c r="F2394" s="6" t="e">
        <f>INDEX(商业2转码!$B$2:$B$10000,MATCH(E2394,商业2转码!$A$2:$A$10000,0))</f>
        <v>#N/A</v>
      </c>
      <c r="G2394" s="6">
        <f>INDEX(品种2编码!$A$2:$A$1048576,MATCH(W2394,品种2编码!$D$2:$D$1048576,0))</f>
        <v>0</v>
      </c>
      <c r="H2394" s="6" t="s">
        <v>3609</v>
      </c>
      <c r="I2394" s="6" t="s">
        <v>411</v>
      </c>
      <c r="L2394" s="6" t="s">
        <v>3539</v>
      </c>
      <c r="M2394" s="6" t="e">
        <f>INDEX(医院2县区2人!$B$2:$B$1048576,MATCH(L2394,医院2县区2人!$A$2:$A$1048576,0))</f>
        <v>#N/A</v>
      </c>
      <c r="N2394" s="6" t="e">
        <f>INDEX(医院2县区2人!$C$2:$C$1048576,MATCH(L2394,医院2县区2人!$A$2:$A$1048576,0))</f>
        <v>#N/A</v>
      </c>
      <c r="P2394" s="7">
        <v>43269</v>
      </c>
      <c r="Q2394" s="6">
        <v>1</v>
      </c>
      <c r="S2394" s="6">
        <v>18030832</v>
      </c>
      <c r="T2394" s="6" t="e">
        <f>INDEX(医院2县区2人!$D$2:$D$1048576,MATCH(L2394,医院2县区2人!$A$2:$A$1048576,0))</f>
        <v>#N/A</v>
      </c>
      <c r="W2394" s="6" t="str">
        <f t="shared" si="77"/>
        <v>葡萄糖酸钙口服溶液10%10ml*12支</v>
      </c>
      <c r="X2394" s="6" t="s">
        <v>2904</v>
      </c>
    </row>
    <row r="2395" spans="1:24" x14ac:dyDescent="0.15">
      <c r="A2395" s="7" t="str">
        <f t="shared" si="78"/>
        <v>201806</v>
      </c>
      <c r="C2395" s="6">
        <f>INDEX(工厂基础数据!$A$2:$A$1024,MATCH(X2395,工厂基础数据!$D$2:$D$1024,0))</f>
        <v>0</v>
      </c>
      <c r="E2395" s="6" t="str">
        <f>INDEX(工厂基础数据!$B$2:$B$1024,MATCH(X2395,工厂基础数据!$D$2:$D$1024,0))</f>
        <v>济南广林医药有限公司</v>
      </c>
      <c r="F2395" s="6" t="e">
        <f>INDEX(商业2转码!$B$2:$B$10000,MATCH(E2395,商业2转码!$A$2:$A$10000,0))</f>
        <v>#N/A</v>
      </c>
      <c r="G2395" s="6">
        <f>INDEX(品种2编码!$A$2:$A$1048576,MATCH(W2395,品种2编码!$D$2:$D$1048576,0))</f>
        <v>0</v>
      </c>
      <c r="H2395" s="6" t="s">
        <v>3609</v>
      </c>
      <c r="I2395" s="6" t="s">
        <v>411</v>
      </c>
      <c r="L2395" s="6" t="s">
        <v>3539</v>
      </c>
      <c r="M2395" s="6" t="e">
        <f>INDEX(医院2县区2人!$B$2:$B$1048576,MATCH(L2395,医院2县区2人!$A$2:$A$1048576,0))</f>
        <v>#N/A</v>
      </c>
      <c r="N2395" s="6" t="e">
        <f>INDEX(医院2县区2人!$C$2:$C$1048576,MATCH(L2395,医院2县区2人!$A$2:$A$1048576,0))</f>
        <v>#N/A</v>
      </c>
      <c r="P2395" s="7">
        <v>43270</v>
      </c>
      <c r="Q2395" s="6">
        <v>5</v>
      </c>
      <c r="S2395" s="6">
        <v>18030832</v>
      </c>
      <c r="T2395" s="6" t="e">
        <f>INDEX(医院2县区2人!$D$2:$D$1048576,MATCH(L2395,医院2县区2人!$A$2:$A$1048576,0))</f>
        <v>#N/A</v>
      </c>
      <c r="W2395" s="6" t="str">
        <f t="shared" si="77"/>
        <v>葡萄糖酸钙口服溶液10%10ml*12支</v>
      </c>
      <c r="X2395" s="6" t="s">
        <v>2904</v>
      </c>
    </row>
    <row r="2396" spans="1:24" x14ac:dyDescent="0.15">
      <c r="A2396" s="7" t="str">
        <f t="shared" si="78"/>
        <v>201806</v>
      </c>
      <c r="C2396" s="6">
        <f>INDEX(工厂基础数据!$A$2:$A$1024,MATCH(X2396,工厂基础数据!$D$2:$D$1024,0))</f>
        <v>0</v>
      </c>
      <c r="E2396" s="6" t="str">
        <f>INDEX(工厂基础数据!$B$2:$B$1024,MATCH(X2396,工厂基础数据!$D$2:$D$1024,0))</f>
        <v>济南广林医药有限公司</v>
      </c>
      <c r="F2396" s="6" t="e">
        <f>INDEX(商业2转码!$B$2:$B$10000,MATCH(E2396,商业2转码!$A$2:$A$10000,0))</f>
        <v>#N/A</v>
      </c>
      <c r="G2396" s="6">
        <f>INDEX(品种2编码!$A$2:$A$1048576,MATCH(W2396,品种2编码!$D$2:$D$1048576,0))</f>
        <v>0</v>
      </c>
      <c r="H2396" s="6" t="s">
        <v>3609</v>
      </c>
      <c r="I2396" s="6" t="s">
        <v>411</v>
      </c>
      <c r="L2396" s="6" t="s">
        <v>3535</v>
      </c>
      <c r="M2396" s="6" t="e">
        <f>INDEX(医院2县区2人!$B$2:$B$1048576,MATCH(L2396,医院2县区2人!$A$2:$A$1048576,0))</f>
        <v>#N/A</v>
      </c>
      <c r="N2396" s="6" t="e">
        <f>INDEX(医院2县区2人!$C$2:$C$1048576,MATCH(L2396,医院2县区2人!$A$2:$A$1048576,0))</f>
        <v>#N/A</v>
      </c>
      <c r="P2396" s="7">
        <v>43270</v>
      </c>
      <c r="Q2396" s="6">
        <v>5</v>
      </c>
      <c r="S2396" s="6">
        <v>18030832</v>
      </c>
      <c r="T2396" s="6" t="e">
        <f>INDEX(医院2县区2人!$D$2:$D$1048576,MATCH(L2396,医院2县区2人!$A$2:$A$1048576,0))</f>
        <v>#N/A</v>
      </c>
      <c r="W2396" s="6" t="str">
        <f t="shared" si="77"/>
        <v>葡萄糖酸钙口服溶液10%10ml*12支</v>
      </c>
      <c r="X2396" s="6" t="s">
        <v>2904</v>
      </c>
    </row>
    <row r="2397" spans="1:24" x14ac:dyDescent="0.15">
      <c r="A2397" s="7" t="str">
        <f t="shared" si="78"/>
        <v>201806</v>
      </c>
      <c r="C2397" s="6">
        <f>INDEX(工厂基础数据!$A$2:$A$1024,MATCH(X2397,工厂基础数据!$D$2:$D$1024,0))</f>
        <v>0</v>
      </c>
      <c r="E2397" s="6" t="str">
        <f>INDEX(工厂基础数据!$B$2:$B$1024,MATCH(X2397,工厂基础数据!$D$2:$D$1024,0))</f>
        <v>济南广林医药有限公司</v>
      </c>
      <c r="F2397" s="6" t="e">
        <f>INDEX(商业2转码!$B$2:$B$10000,MATCH(E2397,商业2转码!$A$2:$A$10000,0))</f>
        <v>#N/A</v>
      </c>
      <c r="G2397" s="6">
        <f>INDEX(品种2编码!$A$2:$A$1048576,MATCH(W2397,品种2编码!$D$2:$D$1048576,0))</f>
        <v>0</v>
      </c>
      <c r="H2397" s="6" t="s">
        <v>3609</v>
      </c>
      <c r="I2397" s="6" t="s">
        <v>411</v>
      </c>
      <c r="L2397" s="6" t="s">
        <v>3526</v>
      </c>
      <c r="M2397" s="6" t="e">
        <f>INDEX(医院2县区2人!$B$2:$B$1048576,MATCH(L2397,医院2县区2人!$A$2:$A$1048576,0))</f>
        <v>#N/A</v>
      </c>
      <c r="N2397" s="6" t="e">
        <f>INDEX(医院2县区2人!$C$2:$C$1048576,MATCH(L2397,医院2县区2人!$A$2:$A$1048576,0))</f>
        <v>#N/A</v>
      </c>
      <c r="P2397" s="7">
        <v>43270</v>
      </c>
      <c r="Q2397" s="6">
        <v>10</v>
      </c>
      <c r="S2397" s="6">
        <v>18030832</v>
      </c>
      <c r="T2397" s="6" t="e">
        <f>INDEX(医院2县区2人!$D$2:$D$1048576,MATCH(L2397,医院2县区2人!$A$2:$A$1048576,0))</f>
        <v>#N/A</v>
      </c>
      <c r="W2397" s="6" t="str">
        <f t="shared" si="77"/>
        <v>葡萄糖酸钙口服溶液10%10ml*12支</v>
      </c>
      <c r="X2397" s="6" t="s">
        <v>2904</v>
      </c>
    </row>
    <row r="2398" spans="1:24" x14ac:dyDescent="0.15">
      <c r="A2398" s="7" t="str">
        <f t="shared" si="78"/>
        <v>201806</v>
      </c>
      <c r="C2398" s="6">
        <f>INDEX(工厂基础数据!$A$2:$A$1024,MATCH(X2398,工厂基础数据!$D$2:$D$1024,0))</f>
        <v>0</v>
      </c>
      <c r="E2398" s="6" t="str">
        <f>INDEX(工厂基础数据!$B$2:$B$1024,MATCH(X2398,工厂基础数据!$D$2:$D$1024,0))</f>
        <v>济南广林医药有限公司</v>
      </c>
      <c r="F2398" s="6" t="e">
        <f>INDEX(商业2转码!$B$2:$B$10000,MATCH(E2398,商业2转码!$A$2:$A$10000,0))</f>
        <v>#N/A</v>
      </c>
      <c r="G2398" s="6">
        <f>INDEX(品种2编码!$A$2:$A$1048576,MATCH(W2398,品种2编码!$D$2:$D$1048576,0))</f>
        <v>0</v>
      </c>
      <c r="H2398" s="6" t="s">
        <v>3609</v>
      </c>
      <c r="I2398" s="6" t="s">
        <v>411</v>
      </c>
      <c r="L2398" s="6" t="s">
        <v>3596</v>
      </c>
      <c r="M2398" s="6" t="e">
        <f>INDEX(医院2县区2人!$B$2:$B$1048576,MATCH(L2398,医院2县区2人!$A$2:$A$1048576,0))</f>
        <v>#N/A</v>
      </c>
      <c r="N2398" s="6" t="e">
        <f>INDEX(医院2县区2人!$C$2:$C$1048576,MATCH(L2398,医院2县区2人!$A$2:$A$1048576,0))</f>
        <v>#N/A</v>
      </c>
      <c r="P2398" s="7">
        <v>43272</v>
      </c>
      <c r="Q2398" s="6">
        <v>3</v>
      </c>
      <c r="S2398" s="6">
        <v>18030832</v>
      </c>
      <c r="T2398" s="6" t="e">
        <f>INDEX(医院2县区2人!$D$2:$D$1048576,MATCH(L2398,医院2县区2人!$A$2:$A$1048576,0))</f>
        <v>#N/A</v>
      </c>
      <c r="W2398" s="6" t="str">
        <f t="shared" si="77"/>
        <v>葡萄糖酸钙口服溶液10%10ml*12支</v>
      </c>
      <c r="X2398" s="6" t="s">
        <v>2904</v>
      </c>
    </row>
    <row r="2399" spans="1:24" x14ac:dyDescent="0.15">
      <c r="A2399" s="7" t="str">
        <f t="shared" si="78"/>
        <v>201806</v>
      </c>
      <c r="C2399" s="6">
        <f>INDEX(工厂基础数据!$A$2:$A$1024,MATCH(X2399,工厂基础数据!$D$2:$D$1024,0))</f>
        <v>0</v>
      </c>
      <c r="E2399" s="6" t="str">
        <f>INDEX(工厂基础数据!$B$2:$B$1024,MATCH(X2399,工厂基础数据!$D$2:$D$1024,0))</f>
        <v>济南广林医药有限公司</v>
      </c>
      <c r="F2399" s="6" t="e">
        <f>INDEX(商业2转码!$B$2:$B$10000,MATCH(E2399,商业2转码!$A$2:$A$10000,0))</f>
        <v>#N/A</v>
      </c>
      <c r="G2399" s="6">
        <f>INDEX(品种2编码!$A$2:$A$1048576,MATCH(W2399,品种2编码!$D$2:$D$1048576,0))</f>
        <v>0</v>
      </c>
      <c r="H2399" s="6" t="s">
        <v>3609</v>
      </c>
      <c r="I2399" s="6" t="s">
        <v>411</v>
      </c>
      <c r="L2399" s="6" t="s">
        <v>3540</v>
      </c>
      <c r="M2399" s="6" t="e">
        <f>INDEX(医院2县区2人!$B$2:$B$1048576,MATCH(L2399,医院2县区2人!$A$2:$A$1048576,0))</f>
        <v>#N/A</v>
      </c>
      <c r="N2399" s="6" t="e">
        <f>INDEX(医院2县区2人!$C$2:$C$1048576,MATCH(L2399,医院2县区2人!$A$2:$A$1048576,0))</f>
        <v>#N/A</v>
      </c>
      <c r="P2399" s="7">
        <v>43272</v>
      </c>
      <c r="Q2399" s="6">
        <v>5</v>
      </c>
      <c r="S2399" s="6">
        <v>18030832</v>
      </c>
      <c r="T2399" s="6" t="e">
        <f>INDEX(医院2县区2人!$D$2:$D$1048576,MATCH(L2399,医院2县区2人!$A$2:$A$1048576,0))</f>
        <v>#N/A</v>
      </c>
      <c r="W2399" s="6" t="str">
        <f t="shared" si="77"/>
        <v>葡萄糖酸钙口服溶液10%10ml*12支</v>
      </c>
      <c r="X2399" s="6" t="s">
        <v>2904</v>
      </c>
    </row>
    <row r="2400" spans="1:24" x14ac:dyDescent="0.15">
      <c r="A2400" s="7" t="str">
        <f t="shared" si="78"/>
        <v>201806</v>
      </c>
      <c r="C2400" s="6">
        <f>INDEX(工厂基础数据!$A$2:$A$1024,MATCH(X2400,工厂基础数据!$D$2:$D$1024,0))</f>
        <v>0</v>
      </c>
      <c r="E2400" s="6" t="str">
        <f>INDEX(工厂基础数据!$B$2:$B$1024,MATCH(X2400,工厂基础数据!$D$2:$D$1024,0))</f>
        <v>济南广林医药有限公司</v>
      </c>
      <c r="F2400" s="6" t="e">
        <f>INDEX(商业2转码!$B$2:$B$10000,MATCH(E2400,商业2转码!$A$2:$A$10000,0))</f>
        <v>#N/A</v>
      </c>
      <c r="G2400" s="6">
        <f>INDEX(品种2编码!$A$2:$A$1048576,MATCH(W2400,品种2编码!$D$2:$D$1048576,0))</f>
        <v>0</v>
      </c>
      <c r="H2400" s="6" t="s">
        <v>3609</v>
      </c>
      <c r="I2400" s="6" t="s">
        <v>411</v>
      </c>
      <c r="L2400" s="6" t="s">
        <v>3485</v>
      </c>
      <c r="M2400" s="6" t="e">
        <f>INDEX(医院2县区2人!$B$2:$B$1048576,MATCH(L2400,医院2县区2人!$A$2:$A$1048576,0))</f>
        <v>#N/A</v>
      </c>
      <c r="N2400" s="6" t="e">
        <f>INDEX(医院2县区2人!$C$2:$C$1048576,MATCH(L2400,医院2县区2人!$A$2:$A$1048576,0))</f>
        <v>#N/A</v>
      </c>
      <c r="P2400" s="7">
        <v>43273</v>
      </c>
      <c r="Q2400" s="6">
        <v>3</v>
      </c>
      <c r="S2400" s="6">
        <v>18030832</v>
      </c>
      <c r="T2400" s="6" t="e">
        <f>INDEX(医院2县区2人!$D$2:$D$1048576,MATCH(L2400,医院2县区2人!$A$2:$A$1048576,0))</f>
        <v>#N/A</v>
      </c>
      <c r="W2400" s="6" t="str">
        <f t="shared" si="77"/>
        <v>葡萄糖酸钙口服溶液10%10ml*12支</v>
      </c>
      <c r="X2400" s="6" t="s">
        <v>2904</v>
      </c>
    </row>
    <row r="2401" spans="1:24" x14ac:dyDescent="0.15">
      <c r="A2401" s="7" t="str">
        <f t="shared" si="78"/>
        <v>201806</v>
      </c>
      <c r="C2401" s="6">
        <f>INDEX(工厂基础数据!$A$2:$A$1024,MATCH(X2401,工厂基础数据!$D$2:$D$1024,0))</f>
        <v>0</v>
      </c>
      <c r="E2401" s="6" t="str">
        <f>INDEX(工厂基础数据!$B$2:$B$1024,MATCH(X2401,工厂基础数据!$D$2:$D$1024,0))</f>
        <v>济南广林医药有限公司</v>
      </c>
      <c r="F2401" s="6" t="e">
        <f>INDEX(商业2转码!$B$2:$B$10000,MATCH(E2401,商业2转码!$A$2:$A$10000,0))</f>
        <v>#N/A</v>
      </c>
      <c r="G2401" s="6">
        <f>INDEX(品种2编码!$A$2:$A$1048576,MATCH(W2401,品种2编码!$D$2:$D$1048576,0))</f>
        <v>0</v>
      </c>
      <c r="H2401" s="6" t="s">
        <v>3609</v>
      </c>
      <c r="I2401" s="6" t="s">
        <v>411</v>
      </c>
      <c r="L2401" s="6" t="s">
        <v>3528</v>
      </c>
      <c r="M2401" s="6" t="e">
        <f>INDEX(医院2县区2人!$B$2:$B$1048576,MATCH(L2401,医院2县区2人!$A$2:$A$1048576,0))</f>
        <v>#N/A</v>
      </c>
      <c r="N2401" s="6" t="e">
        <f>INDEX(医院2县区2人!$C$2:$C$1048576,MATCH(L2401,医院2县区2人!$A$2:$A$1048576,0))</f>
        <v>#N/A</v>
      </c>
      <c r="P2401" s="7">
        <v>43276</v>
      </c>
      <c r="Q2401" s="6">
        <v>2</v>
      </c>
      <c r="S2401" s="6">
        <v>18030832</v>
      </c>
      <c r="T2401" s="6" t="e">
        <f>INDEX(医院2县区2人!$D$2:$D$1048576,MATCH(L2401,医院2县区2人!$A$2:$A$1048576,0))</f>
        <v>#N/A</v>
      </c>
      <c r="W2401" s="6" t="str">
        <f t="shared" si="77"/>
        <v>葡萄糖酸钙口服溶液10%10ml*12支</v>
      </c>
      <c r="X2401" s="6" t="s">
        <v>2904</v>
      </c>
    </row>
    <row r="2402" spans="1:24" x14ac:dyDescent="0.15">
      <c r="A2402" s="7" t="str">
        <f t="shared" si="78"/>
        <v>201806</v>
      </c>
      <c r="C2402" s="6">
        <f>INDEX(工厂基础数据!$A$2:$A$1024,MATCH(X2402,工厂基础数据!$D$2:$D$1024,0))</f>
        <v>0</v>
      </c>
      <c r="E2402" s="6" t="str">
        <f>INDEX(工厂基础数据!$B$2:$B$1024,MATCH(X2402,工厂基础数据!$D$2:$D$1024,0))</f>
        <v>济南广林医药有限公司</v>
      </c>
      <c r="F2402" s="6" t="e">
        <f>INDEX(商业2转码!$B$2:$B$10000,MATCH(E2402,商业2转码!$A$2:$A$10000,0))</f>
        <v>#N/A</v>
      </c>
      <c r="G2402" s="6">
        <f>INDEX(品种2编码!$A$2:$A$1048576,MATCH(W2402,品种2编码!$D$2:$D$1048576,0))</f>
        <v>0</v>
      </c>
      <c r="H2402" s="6" t="s">
        <v>3609</v>
      </c>
      <c r="I2402" s="6" t="s">
        <v>411</v>
      </c>
      <c r="L2402" s="6" t="s">
        <v>3578</v>
      </c>
      <c r="M2402" s="6" t="e">
        <f>INDEX(医院2县区2人!$B$2:$B$1048576,MATCH(L2402,医院2县区2人!$A$2:$A$1048576,0))</f>
        <v>#N/A</v>
      </c>
      <c r="N2402" s="6" t="e">
        <f>INDEX(医院2县区2人!$C$2:$C$1048576,MATCH(L2402,医院2县区2人!$A$2:$A$1048576,0))</f>
        <v>#N/A</v>
      </c>
      <c r="P2402" s="7">
        <v>43279</v>
      </c>
      <c r="Q2402" s="6">
        <v>3</v>
      </c>
      <c r="S2402" s="6">
        <v>18030832</v>
      </c>
      <c r="T2402" s="6" t="e">
        <f>INDEX(医院2县区2人!$D$2:$D$1048576,MATCH(L2402,医院2县区2人!$A$2:$A$1048576,0))</f>
        <v>#N/A</v>
      </c>
      <c r="W2402" s="6" t="str">
        <f t="shared" si="77"/>
        <v>葡萄糖酸钙口服溶液10%10ml*12支</v>
      </c>
      <c r="X2402" s="6" t="s">
        <v>2904</v>
      </c>
    </row>
    <row r="2403" spans="1:24" x14ac:dyDescent="0.15">
      <c r="A2403" s="7" t="str">
        <f t="shared" si="78"/>
        <v>201806</v>
      </c>
      <c r="C2403" s="6">
        <f>INDEX(工厂基础数据!$A$2:$A$1024,MATCH(X2403,工厂基础数据!$D$2:$D$1024,0))</f>
        <v>0</v>
      </c>
      <c r="E2403" s="6" t="str">
        <f>INDEX(工厂基础数据!$B$2:$B$1024,MATCH(X2403,工厂基础数据!$D$2:$D$1024,0))</f>
        <v>济南广林医药有限公司</v>
      </c>
      <c r="F2403" s="6" t="e">
        <f>INDEX(商业2转码!$B$2:$B$10000,MATCH(E2403,商业2转码!$A$2:$A$10000,0))</f>
        <v>#N/A</v>
      </c>
      <c r="G2403" s="6" t="str">
        <f>INDEX(品种2编码!$A$2:$A$1048576,MATCH(W2403,品种2编码!$D$2:$D$1048576,0))</f>
        <v>0020030001SJZY0009</v>
      </c>
      <c r="H2403" s="6" t="s">
        <v>1949</v>
      </c>
      <c r="I2403" s="6" t="s">
        <v>411</v>
      </c>
      <c r="L2403" s="6" t="s">
        <v>3535</v>
      </c>
      <c r="M2403" s="6" t="e">
        <f>INDEX(医院2县区2人!$B$2:$B$1048576,MATCH(L2403,医院2县区2人!$A$2:$A$1048576,0))</f>
        <v>#N/A</v>
      </c>
      <c r="N2403" s="6" t="e">
        <f>INDEX(医院2县区2人!$C$2:$C$1048576,MATCH(L2403,医院2县区2人!$A$2:$A$1048576,0))</f>
        <v>#N/A</v>
      </c>
      <c r="P2403" s="7">
        <v>43255</v>
      </c>
      <c r="Q2403" s="6">
        <v>10</v>
      </c>
      <c r="S2403" s="6">
        <v>17120711</v>
      </c>
      <c r="T2403" s="6" t="e">
        <f>INDEX(医院2县区2人!$D$2:$D$1048576,MATCH(L2403,医院2县区2人!$A$2:$A$1048576,0))</f>
        <v>#N/A</v>
      </c>
      <c r="W2403" s="6" t="str">
        <f t="shared" si="77"/>
        <v>葡萄糖酸锌口服溶液10ml*12支</v>
      </c>
      <c r="X2403" s="6" t="s">
        <v>2904</v>
      </c>
    </row>
    <row r="2404" spans="1:24" x14ac:dyDescent="0.15">
      <c r="A2404" s="7" t="str">
        <f t="shared" si="78"/>
        <v>201806</v>
      </c>
      <c r="C2404" s="6">
        <f>INDEX(工厂基础数据!$A$2:$A$1024,MATCH(X2404,工厂基础数据!$D$2:$D$1024,0))</f>
        <v>0</v>
      </c>
      <c r="E2404" s="6" t="str">
        <f>INDEX(工厂基础数据!$B$2:$B$1024,MATCH(X2404,工厂基础数据!$D$2:$D$1024,0))</f>
        <v>济南广林医药有限公司</v>
      </c>
      <c r="F2404" s="6" t="e">
        <f>INDEX(商业2转码!$B$2:$B$10000,MATCH(E2404,商业2转码!$A$2:$A$10000,0))</f>
        <v>#N/A</v>
      </c>
      <c r="G2404" s="6" t="str">
        <f>INDEX(品种2编码!$A$2:$A$1048576,MATCH(W2404,品种2编码!$D$2:$D$1048576,0))</f>
        <v>0020030001SJZY0009</v>
      </c>
      <c r="H2404" s="6" t="s">
        <v>1949</v>
      </c>
      <c r="I2404" s="6" t="s">
        <v>411</v>
      </c>
      <c r="L2404" s="6" t="s">
        <v>3536</v>
      </c>
      <c r="M2404" s="6" t="e">
        <f>INDEX(医院2县区2人!$B$2:$B$1048576,MATCH(L2404,医院2县区2人!$A$2:$A$1048576,0))</f>
        <v>#N/A</v>
      </c>
      <c r="N2404" s="6" t="e">
        <f>INDEX(医院2县区2人!$C$2:$C$1048576,MATCH(L2404,医院2县区2人!$A$2:$A$1048576,0))</f>
        <v>#N/A</v>
      </c>
      <c r="P2404" s="7">
        <v>43255</v>
      </c>
      <c r="Q2404" s="6">
        <v>5</v>
      </c>
      <c r="S2404" s="6">
        <v>17120711</v>
      </c>
      <c r="T2404" s="6" t="e">
        <f>INDEX(医院2县区2人!$D$2:$D$1048576,MATCH(L2404,医院2县区2人!$A$2:$A$1048576,0))</f>
        <v>#N/A</v>
      </c>
      <c r="W2404" s="6" t="str">
        <f t="shared" si="77"/>
        <v>葡萄糖酸锌口服溶液10ml*12支</v>
      </c>
      <c r="X2404" s="6" t="s">
        <v>2904</v>
      </c>
    </row>
    <row r="2405" spans="1:24" x14ac:dyDescent="0.15">
      <c r="A2405" s="7" t="str">
        <f t="shared" si="78"/>
        <v>201806</v>
      </c>
      <c r="C2405" s="6">
        <f>INDEX(工厂基础数据!$A$2:$A$1024,MATCH(X2405,工厂基础数据!$D$2:$D$1024,0))</f>
        <v>0</v>
      </c>
      <c r="E2405" s="6" t="str">
        <f>INDEX(工厂基础数据!$B$2:$B$1024,MATCH(X2405,工厂基础数据!$D$2:$D$1024,0))</f>
        <v>济南广林医药有限公司</v>
      </c>
      <c r="F2405" s="6" t="e">
        <f>INDEX(商业2转码!$B$2:$B$10000,MATCH(E2405,商业2转码!$A$2:$A$10000,0))</f>
        <v>#N/A</v>
      </c>
      <c r="G2405" s="6" t="str">
        <f>INDEX(品种2编码!$A$2:$A$1048576,MATCH(W2405,品种2编码!$D$2:$D$1048576,0))</f>
        <v>0020030001SJZY0009</v>
      </c>
      <c r="H2405" s="6" t="s">
        <v>1949</v>
      </c>
      <c r="I2405" s="6" t="s">
        <v>411</v>
      </c>
      <c r="L2405" s="6" t="s">
        <v>2964</v>
      </c>
      <c r="M2405" s="6">
        <f>INDEX(医院2县区2人!$B$2:$B$1048576,MATCH(L2405,医院2县区2人!$A$2:$A$1048576,0))</f>
        <v>0</v>
      </c>
      <c r="N2405" s="6">
        <f>INDEX(医院2县区2人!$C$2:$C$1048576,MATCH(L2405,医院2县区2人!$A$2:$A$1048576,0))</f>
        <v>0</v>
      </c>
      <c r="P2405" s="7">
        <v>43255</v>
      </c>
      <c r="Q2405" s="6">
        <v>5</v>
      </c>
      <c r="S2405" s="6">
        <v>17120711</v>
      </c>
      <c r="T2405" s="6">
        <f>INDEX(医院2县区2人!$D$2:$D$1048576,MATCH(L2405,医院2县区2人!$A$2:$A$1048576,0))</f>
        <v>0</v>
      </c>
      <c r="W2405" s="6" t="str">
        <f t="shared" si="77"/>
        <v>葡萄糖酸锌口服溶液10ml*12支</v>
      </c>
      <c r="X2405" s="6" t="s">
        <v>2904</v>
      </c>
    </row>
    <row r="2406" spans="1:24" x14ac:dyDescent="0.15">
      <c r="A2406" s="7" t="str">
        <f t="shared" si="78"/>
        <v>201806</v>
      </c>
      <c r="C2406" s="6">
        <f>INDEX(工厂基础数据!$A$2:$A$1024,MATCH(X2406,工厂基础数据!$D$2:$D$1024,0))</f>
        <v>0</v>
      </c>
      <c r="E2406" s="6" t="str">
        <f>INDEX(工厂基础数据!$B$2:$B$1024,MATCH(X2406,工厂基础数据!$D$2:$D$1024,0))</f>
        <v>济南广林医药有限公司</v>
      </c>
      <c r="F2406" s="6" t="e">
        <f>INDEX(商业2转码!$B$2:$B$10000,MATCH(E2406,商业2转码!$A$2:$A$10000,0))</f>
        <v>#N/A</v>
      </c>
      <c r="G2406" s="6" t="str">
        <f>INDEX(品种2编码!$A$2:$A$1048576,MATCH(W2406,品种2编码!$D$2:$D$1048576,0))</f>
        <v>0020030001SJZY0009</v>
      </c>
      <c r="H2406" s="6" t="s">
        <v>1949</v>
      </c>
      <c r="I2406" s="6" t="s">
        <v>411</v>
      </c>
      <c r="L2406" s="6" t="s">
        <v>3525</v>
      </c>
      <c r="M2406" s="6" t="e">
        <f>INDEX(医院2县区2人!$B$2:$B$1048576,MATCH(L2406,医院2县区2人!$A$2:$A$1048576,0))</f>
        <v>#N/A</v>
      </c>
      <c r="N2406" s="6" t="e">
        <f>INDEX(医院2县区2人!$C$2:$C$1048576,MATCH(L2406,医院2县区2人!$A$2:$A$1048576,0))</f>
        <v>#N/A</v>
      </c>
      <c r="P2406" s="7">
        <v>43255</v>
      </c>
      <c r="Q2406" s="6">
        <v>85</v>
      </c>
      <c r="S2406" s="6">
        <v>17120711</v>
      </c>
      <c r="T2406" s="6" t="e">
        <f>INDEX(医院2县区2人!$D$2:$D$1048576,MATCH(L2406,医院2县区2人!$A$2:$A$1048576,0))</f>
        <v>#N/A</v>
      </c>
      <c r="W2406" s="6" t="str">
        <f t="shared" si="77"/>
        <v>葡萄糖酸锌口服溶液10ml*12支</v>
      </c>
      <c r="X2406" s="6" t="s">
        <v>2904</v>
      </c>
    </row>
    <row r="2407" spans="1:24" x14ac:dyDescent="0.15">
      <c r="A2407" s="7" t="str">
        <f t="shared" si="78"/>
        <v>201806</v>
      </c>
      <c r="C2407" s="6">
        <f>INDEX(工厂基础数据!$A$2:$A$1024,MATCH(X2407,工厂基础数据!$D$2:$D$1024,0))</f>
        <v>0</v>
      </c>
      <c r="E2407" s="6" t="str">
        <f>INDEX(工厂基础数据!$B$2:$B$1024,MATCH(X2407,工厂基础数据!$D$2:$D$1024,0))</f>
        <v>济南广林医药有限公司</v>
      </c>
      <c r="F2407" s="6" t="e">
        <f>INDEX(商业2转码!$B$2:$B$10000,MATCH(E2407,商业2转码!$A$2:$A$10000,0))</f>
        <v>#N/A</v>
      </c>
      <c r="G2407" s="6" t="str">
        <f>INDEX(品种2编码!$A$2:$A$1048576,MATCH(W2407,品种2编码!$D$2:$D$1048576,0))</f>
        <v>0020030001SJZY0009</v>
      </c>
      <c r="H2407" s="6" t="s">
        <v>1949</v>
      </c>
      <c r="I2407" s="6" t="s">
        <v>411</v>
      </c>
      <c r="L2407" s="6" t="s">
        <v>3542</v>
      </c>
      <c r="M2407" s="6" t="e">
        <f>INDEX(医院2县区2人!$B$2:$B$1048576,MATCH(L2407,医院2县区2人!$A$2:$A$1048576,0))</f>
        <v>#N/A</v>
      </c>
      <c r="N2407" s="6" t="e">
        <f>INDEX(医院2县区2人!$C$2:$C$1048576,MATCH(L2407,医院2县区2人!$A$2:$A$1048576,0))</f>
        <v>#N/A</v>
      </c>
      <c r="P2407" s="7">
        <v>43256</v>
      </c>
      <c r="Q2407" s="6">
        <v>2</v>
      </c>
      <c r="S2407" s="6">
        <v>17120711</v>
      </c>
      <c r="T2407" s="6" t="e">
        <f>INDEX(医院2县区2人!$D$2:$D$1048576,MATCH(L2407,医院2县区2人!$A$2:$A$1048576,0))</f>
        <v>#N/A</v>
      </c>
      <c r="W2407" s="6" t="str">
        <f t="shared" si="77"/>
        <v>葡萄糖酸锌口服溶液10ml*12支</v>
      </c>
      <c r="X2407" s="6" t="s">
        <v>2904</v>
      </c>
    </row>
    <row r="2408" spans="1:24" x14ac:dyDescent="0.15">
      <c r="A2408" s="7" t="str">
        <f t="shared" si="78"/>
        <v>201806</v>
      </c>
      <c r="C2408" s="6">
        <f>INDEX(工厂基础数据!$A$2:$A$1024,MATCH(X2408,工厂基础数据!$D$2:$D$1024,0))</f>
        <v>0</v>
      </c>
      <c r="E2408" s="6" t="str">
        <f>INDEX(工厂基础数据!$B$2:$B$1024,MATCH(X2408,工厂基础数据!$D$2:$D$1024,0))</f>
        <v>济南广林医药有限公司</v>
      </c>
      <c r="F2408" s="6" t="e">
        <f>INDEX(商业2转码!$B$2:$B$10000,MATCH(E2408,商业2转码!$A$2:$A$10000,0))</f>
        <v>#N/A</v>
      </c>
      <c r="G2408" s="6" t="str">
        <f>INDEX(品种2编码!$A$2:$A$1048576,MATCH(W2408,品种2编码!$D$2:$D$1048576,0))</f>
        <v>0020030001SJZY0009</v>
      </c>
      <c r="H2408" s="6" t="s">
        <v>1949</v>
      </c>
      <c r="I2408" s="6" t="s">
        <v>411</v>
      </c>
      <c r="L2408" s="6" t="s">
        <v>3528</v>
      </c>
      <c r="M2408" s="6" t="e">
        <f>INDEX(医院2县区2人!$B$2:$B$1048576,MATCH(L2408,医院2县区2人!$A$2:$A$1048576,0))</f>
        <v>#N/A</v>
      </c>
      <c r="N2408" s="6" t="e">
        <f>INDEX(医院2县区2人!$C$2:$C$1048576,MATCH(L2408,医院2县区2人!$A$2:$A$1048576,0))</f>
        <v>#N/A</v>
      </c>
      <c r="P2408" s="7">
        <v>43258</v>
      </c>
      <c r="Q2408" s="6">
        <v>10</v>
      </c>
      <c r="S2408" s="6">
        <v>17120711</v>
      </c>
      <c r="T2408" s="6" t="e">
        <f>INDEX(医院2县区2人!$D$2:$D$1048576,MATCH(L2408,医院2县区2人!$A$2:$A$1048576,0))</f>
        <v>#N/A</v>
      </c>
      <c r="W2408" s="6" t="str">
        <f t="shared" si="77"/>
        <v>葡萄糖酸锌口服溶液10ml*12支</v>
      </c>
      <c r="X2408" s="6" t="s">
        <v>2904</v>
      </c>
    </row>
    <row r="2409" spans="1:24" x14ac:dyDescent="0.15">
      <c r="A2409" s="7" t="str">
        <f t="shared" si="78"/>
        <v>201806</v>
      </c>
      <c r="C2409" s="6">
        <f>INDEX(工厂基础数据!$A$2:$A$1024,MATCH(X2409,工厂基础数据!$D$2:$D$1024,0))</f>
        <v>0</v>
      </c>
      <c r="E2409" s="6" t="str">
        <f>INDEX(工厂基础数据!$B$2:$B$1024,MATCH(X2409,工厂基础数据!$D$2:$D$1024,0))</f>
        <v>济南广林医药有限公司</v>
      </c>
      <c r="F2409" s="6" t="e">
        <f>INDEX(商业2转码!$B$2:$B$10000,MATCH(E2409,商业2转码!$A$2:$A$10000,0))</f>
        <v>#N/A</v>
      </c>
      <c r="G2409" s="6" t="str">
        <f>INDEX(品种2编码!$A$2:$A$1048576,MATCH(W2409,品种2编码!$D$2:$D$1048576,0))</f>
        <v>0020030001SJZY0009</v>
      </c>
      <c r="H2409" s="6" t="s">
        <v>1949</v>
      </c>
      <c r="I2409" s="6" t="s">
        <v>411</v>
      </c>
      <c r="L2409" s="6" t="s">
        <v>3535</v>
      </c>
      <c r="M2409" s="6" t="e">
        <f>INDEX(医院2县区2人!$B$2:$B$1048576,MATCH(L2409,医院2县区2人!$A$2:$A$1048576,0))</f>
        <v>#N/A</v>
      </c>
      <c r="N2409" s="6" t="e">
        <f>INDEX(医院2县区2人!$C$2:$C$1048576,MATCH(L2409,医院2县区2人!$A$2:$A$1048576,0))</f>
        <v>#N/A</v>
      </c>
      <c r="P2409" s="7">
        <v>43259</v>
      </c>
      <c r="Q2409" s="6">
        <v>5</v>
      </c>
      <c r="S2409" s="6">
        <v>17120711</v>
      </c>
      <c r="T2409" s="6" t="e">
        <f>INDEX(医院2县区2人!$D$2:$D$1048576,MATCH(L2409,医院2县区2人!$A$2:$A$1048576,0))</f>
        <v>#N/A</v>
      </c>
      <c r="W2409" s="6" t="str">
        <f t="shared" si="77"/>
        <v>葡萄糖酸锌口服溶液10ml*12支</v>
      </c>
      <c r="X2409" s="6" t="s">
        <v>2904</v>
      </c>
    </row>
    <row r="2410" spans="1:24" x14ac:dyDescent="0.15">
      <c r="A2410" s="7" t="str">
        <f t="shared" si="78"/>
        <v>201806</v>
      </c>
      <c r="C2410" s="6">
        <f>INDEX(工厂基础数据!$A$2:$A$1024,MATCH(X2410,工厂基础数据!$D$2:$D$1024,0))</f>
        <v>0</v>
      </c>
      <c r="E2410" s="6" t="str">
        <f>INDEX(工厂基础数据!$B$2:$B$1024,MATCH(X2410,工厂基础数据!$D$2:$D$1024,0))</f>
        <v>济南广林医药有限公司</v>
      </c>
      <c r="F2410" s="6" t="e">
        <f>INDEX(商业2转码!$B$2:$B$10000,MATCH(E2410,商业2转码!$A$2:$A$10000,0))</f>
        <v>#N/A</v>
      </c>
      <c r="G2410" s="6" t="str">
        <f>INDEX(品种2编码!$A$2:$A$1048576,MATCH(W2410,品种2编码!$D$2:$D$1048576,0))</f>
        <v>0020030001SJZY0009</v>
      </c>
      <c r="H2410" s="6" t="s">
        <v>1949</v>
      </c>
      <c r="I2410" s="6" t="s">
        <v>411</v>
      </c>
      <c r="L2410" s="6" t="s">
        <v>3545</v>
      </c>
      <c r="M2410" s="6" t="e">
        <f>INDEX(医院2县区2人!$B$2:$B$1048576,MATCH(L2410,医院2县区2人!$A$2:$A$1048576,0))</f>
        <v>#N/A</v>
      </c>
      <c r="N2410" s="6" t="e">
        <f>INDEX(医院2县区2人!$C$2:$C$1048576,MATCH(L2410,医院2县区2人!$A$2:$A$1048576,0))</f>
        <v>#N/A</v>
      </c>
      <c r="P2410" s="7">
        <v>43259</v>
      </c>
      <c r="Q2410" s="6">
        <v>10</v>
      </c>
      <c r="S2410" s="6">
        <v>17120711</v>
      </c>
      <c r="T2410" s="6" t="e">
        <f>INDEX(医院2县区2人!$D$2:$D$1048576,MATCH(L2410,医院2县区2人!$A$2:$A$1048576,0))</f>
        <v>#N/A</v>
      </c>
      <c r="W2410" s="6" t="str">
        <f t="shared" si="77"/>
        <v>葡萄糖酸锌口服溶液10ml*12支</v>
      </c>
      <c r="X2410" s="6" t="s">
        <v>2904</v>
      </c>
    </row>
    <row r="2411" spans="1:24" x14ac:dyDescent="0.15">
      <c r="A2411" s="7" t="str">
        <f t="shared" si="78"/>
        <v>201806</v>
      </c>
      <c r="C2411" s="6">
        <f>INDEX(工厂基础数据!$A$2:$A$1024,MATCH(X2411,工厂基础数据!$D$2:$D$1024,0))</f>
        <v>0</v>
      </c>
      <c r="E2411" s="6" t="str">
        <f>INDEX(工厂基础数据!$B$2:$B$1024,MATCH(X2411,工厂基础数据!$D$2:$D$1024,0))</f>
        <v>济南广林医药有限公司</v>
      </c>
      <c r="F2411" s="6" t="e">
        <f>INDEX(商业2转码!$B$2:$B$10000,MATCH(E2411,商业2转码!$A$2:$A$10000,0))</f>
        <v>#N/A</v>
      </c>
      <c r="G2411" s="6" t="str">
        <f>INDEX(品种2编码!$A$2:$A$1048576,MATCH(W2411,品种2编码!$D$2:$D$1048576,0))</f>
        <v>0020030001SJZY0009</v>
      </c>
      <c r="H2411" s="6" t="s">
        <v>1949</v>
      </c>
      <c r="I2411" s="6" t="s">
        <v>411</v>
      </c>
      <c r="L2411" s="6" t="s">
        <v>3549</v>
      </c>
      <c r="M2411" s="6" t="e">
        <f>INDEX(医院2县区2人!$B$2:$B$1048576,MATCH(L2411,医院2县区2人!$A$2:$A$1048576,0))</f>
        <v>#N/A</v>
      </c>
      <c r="N2411" s="6" t="e">
        <f>INDEX(医院2县区2人!$C$2:$C$1048576,MATCH(L2411,医院2县区2人!$A$2:$A$1048576,0))</f>
        <v>#N/A</v>
      </c>
      <c r="P2411" s="7">
        <v>43262</v>
      </c>
      <c r="Q2411" s="6">
        <v>5</v>
      </c>
      <c r="S2411" s="6">
        <v>17120711</v>
      </c>
      <c r="T2411" s="6" t="e">
        <f>INDEX(医院2县区2人!$D$2:$D$1048576,MATCH(L2411,医院2县区2人!$A$2:$A$1048576,0))</f>
        <v>#N/A</v>
      </c>
      <c r="W2411" s="6" t="str">
        <f t="shared" si="77"/>
        <v>葡萄糖酸锌口服溶液10ml*12支</v>
      </c>
      <c r="X2411" s="6" t="s">
        <v>2904</v>
      </c>
    </row>
    <row r="2412" spans="1:24" x14ac:dyDescent="0.15">
      <c r="A2412" s="7" t="str">
        <f t="shared" si="78"/>
        <v>201806</v>
      </c>
      <c r="C2412" s="6">
        <f>INDEX(工厂基础数据!$A$2:$A$1024,MATCH(X2412,工厂基础数据!$D$2:$D$1024,0))</f>
        <v>0</v>
      </c>
      <c r="E2412" s="6" t="str">
        <f>INDEX(工厂基础数据!$B$2:$B$1024,MATCH(X2412,工厂基础数据!$D$2:$D$1024,0))</f>
        <v>济南广林医药有限公司</v>
      </c>
      <c r="F2412" s="6" t="e">
        <f>INDEX(商业2转码!$B$2:$B$10000,MATCH(E2412,商业2转码!$A$2:$A$10000,0))</f>
        <v>#N/A</v>
      </c>
      <c r="G2412" s="6" t="str">
        <f>INDEX(品种2编码!$A$2:$A$1048576,MATCH(W2412,品种2编码!$D$2:$D$1048576,0))</f>
        <v>0020030001SJZY0009</v>
      </c>
      <c r="H2412" s="6" t="s">
        <v>1949</v>
      </c>
      <c r="I2412" s="6" t="s">
        <v>411</v>
      </c>
      <c r="L2412" s="6" t="s">
        <v>3529</v>
      </c>
      <c r="M2412" s="6" t="e">
        <f>INDEX(医院2县区2人!$B$2:$B$1048576,MATCH(L2412,医院2县区2人!$A$2:$A$1048576,0))</f>
        <v>#N/A</v>
      </c>
      <c r="N2412" s="6" t="e">
        <f>INDEX(医院2县区2人!$C$2:$C$1048576,MATCH(L2412,医院2县区2人!$A$2:$A$1048576,0))</f>
        <v>#N/A</v>
      </c>
      <c r="P2412" s="7">
        <v>43262</v>
      </c>
      <c r="Q2412" s="6">
        <v>10</v>
      </c>
      <c r="S2412" s="6">
        <v>17120711</v>
      </c>
      <c r="T2412" s="6" t="e">
        <f>INDEX(医院2县区2人!$D$2:$D$1048576,MATCH(L2412,医院2县区2人!$A$2:$A$1048576,0))</f>
        <v>#N/A</v>
      </c>
      <c r="W2412" s="6" t="str">
        <f t="shared" si="77"/>
        <v>葡萄糖酸锌口服溶液10ml*12支</v>
      </c>
      <c r="X2412" s="6" t="s">
        <v>2904</v>
      </c>
    </row>
    <row r="2413" spans="1:24" x14ac:dyDescent="0.15">
      <c r="A2413" s="7" t="str">
        <f t="shared" si="78"/>
        <v>201806</v>
      </c>
      <c r="C2413" s="6">
        <f>INDEX(工厂基础数据!$A$2:$A$1024,MATCH(X2413,工厂基础数据!$D$2:$D$1024,0))</f>
        <v>0</v>
      </c>
      <c r="E2413" s="6" t="str">
        <f>INDEX(工厂基础数据!$B$2:$B$1024,MATCH(X2413,工厂基础数据!$D$2:$D$1024,0))</f>
        <v>济南广林医药有限公司</v>
      </c>
      <c r="F2413" s="6" t="e">
        <f>INDEX(商业2转码!$B$2:$B$10000,MATCH(E2413,商业2转码!$A$2:$A$10000,0))</f>
        <v>#N/A</v>
      </c>
      <c r="G2413" s="6" t="str">
        <f>INDEX(品种2编码!$A$2:$A$1048576,MATCH(W2413,品种2编码!$D$2:$D$1048576,0))</f>
        <v>0020030001SJZY0009</v>
      </c>
      <c r="H2413" s="6" t="s">
        <v>1949</v>
      </c>
      <c r="I2413" s="6" t="s">
        <v>411</v>
      </c>
      <c r="L2413" s="6" t="s">
        <v>3561</v>
      </c>
      <c r="M2413" s="6" t="e">
        <f>INDEX(医院2县区2人!$B$2:$B$1048576,MATCH(L2413,医院2县区2人!$A$2:$A$1048576,0))</f>
        <v>#N/A</v>
      </c>
      <c r="N2413" s="6" t="e">
        <f>INDEX(医院2县区2人!$C$2:$C$1048576,MATCH(L2413,医院2县区2人!$A$2:$A$1048576,0))</f>
        <v>#N/A</v>
      </c>
      <c r="P2413" s="7">
        <v>43262</v>
      </c>
      <c r="Q2413" s="6">
        <v>10</v>
      </c>
      <c r="S2413" s="6">
        <v>17120711</v>
      </c>
      <c r="T2413" s="6" t="e">
        <f>INDEX(医院2县区2人!$D$2:$D$1048576,MATCH(L2413,医院2县区2人!$A$2:$A$1048576,0))</f>
        <v>#N/A</v>
      </c>
      <c r="W2413" s="6" t="str">
        <f t="shared" si="77"/>
        <v>葡萄糖酸锌口服溶液10ml*12支</v>
      </c>
      <c r="X2413" s="6" t="s">
        <v>2904</v>
      </c>
    </row>
    <row r="2414" spans="1:24" x14ac:dyDescent="0.15">
      <c r="A2414" s="7" t="str">
        <f t="shared" si="78"/>
        <v>201806</v>
      </c>
      <c r="C2414" s="6">
        <f>INDEX(工厂基础数据!$A$2:$A$1024,MATCH(X2414,工厂基础数据!$D$2:$D$1024,0))</f>
        <v>0</v>
      </c>
      <c r="E2414" s="6" t="str">
        <f>INDEX(工厂基础数据!$B$2:$B$1024,MATCH(X2414,工厂基础数据!$D$2:$D$1024,0))</f>
        <v>济南广林医药有限公司</v>
      </c>
      <c r="F2414" s="6" t="e">
        <f>INDEX(商业2转码!$B$2:$B$10000,MATCH(E2414,商业2转码!$A$2:$A$10000,0))</f>
        <v>#N/A</v>
      </c>
      <c r="G2414" s="6" t="str">
        <f>INDEX(品种2编码!$A$2:$A$1048576,MATCH(W2414,品种2编码!$D$2:$D$1048576,0))</f>
        <v>0020030001SJZY0009</v>
      </c>
      <c r="H2414" s="6" t="s">
        <v>1949</v>
      </c>
      <c r="I2414" s="6" t="s">
        <v>411</v>
      </c>
      <c r="L2414" s="6" t="s">
        <v>3562</v>
      </c>
      <c r="M2414" s="6" t="e">
        <f>INDEX(医院2县区2人!$B$2:$B$1048576,MATCH(L2414,医院2县区2人!$A$2:$A$1048576,0))</f>
        <v>#N/A</v>
      </c>
      <c r="N2414" s="6" t="e">
        <f>INDEX(医院2县区2人!$C$2:$C$1048576,MATCH(L2414,医院2县区2人!$A$2:$A$1048576,0))</f>
        <v>#N/A</v>
      </c>
      <c r="P2414" s="7">
        <v>43262</v>
      </c>
      <c r="Q2414" s="6">
        <v>5</v>
      </c>
      <c r="S2414" s="6">
        <v>17120711</v>
      </c>
      <c r="T2414" s="6" t="e">
        <f>INDEX(医院2县区2人!$D$2:$D$1048576,MATCH(L2414,医院2县区2人!$A$2:$A$1048576,0))</f>
        <v>#N/A</v>
      </c>
      <c r="W2414" s="6" t="str">
        <f t="shared" si="77"/>
        <v>葡萄糖酸锌口服溶液10ml*12支</v>
      </c>
      <c r="X2414" s="6" t="s">
        <v>2904</v>
      </c>
    </row>
    <row r="2415" spans="1:24" x14ac:dyDescent="0.15">
      <c r="A2415" s="7" t="str">
        <f t="shared" si="78"/>
        <v>201806</v>
      </c>
      <c r="C2415" s="6">
        <f>INDEX(工厂基础数据!$A$2:$A$1024,MATCH(X2415,工厂基础数据!$D$2:$D$1024,0))</f>
        <v>0</v>
      </c>
      <c r="E2415" s="6" t="str">
        <f>INDEX(工厂基础数据!$B$2:$B$1024,MATCH(X2415,工厂基础数据!$D$2:$D$1024,0))</f>
        <v>济南广林医药有限公司</v>
      </c>
      <c r="F2415" s="6" t="e">
        <f>INDEX(商业2转码!$B$2:$B$10000,MATCH(E2415,商业2转码!$A$2:$A$10000,0))</f>
        <v>#N/A</v>
      </c>
      <c r="G2415" s="6" t="str">
        <f>INDEX(品种2编码!$A$2:$A$1048576,MATCH(W2415,品种2编码!$D$2:$D$1048576,0))</f>
        <v>0020030001SJZY0009</v>
      </c>
      <c r="H2415" s="6" t="s">
        <v>1949</v>
      </c>
      <c r="I2415" s="6" t="s">
        <v>411</v>
      </c>
      <c r="L2415" s="6" t="s">
        <v>3559</v>
      </c>
      <c r="M2415" s="6" t="e">
        <f>INDEX(医院2县区2人!$B$2:$B$1048576,MATCH(L2415,医院2县区2人!$A$2:$A$1048576,0))</f>
        <v>#N/A</v>
      </c>
      <c r="N2415" s="6" t="e">
        <f>INDEX(医院2县区2人!$C$2:$C$1048576,MATCH(L2415,医院2县区2人!$A$2:$A$1048576,0))</f>
        <v>#N/A</v>
      </c>
      <c r="P2415" s="7">
        <v>43263</v>
      </c>
      <c r="Q2415" s="6">
        <v>1</v>
      </c>
      <c r="S2415" s="6">
        <v>17120711</v>
      </c>
      <c r="T2415" s="6" t="e">
        <f>INDEX(医院2县区2人!$D$2:$D$1048576,MATCH(L2415,医院2县区2人!$A$2:$A$1048576,0))</f>
        <v>#N/A</v>
      </c>
      <c r="W2415" s="6" t="str">
        <f t="shared" si="77"/>
        <v>葡萄糖酸锌口服溶液10ml*12支</v>
      </c>
      <c r="X2415" s="6" t="s">
        <v>2904</v>
      </c>
    </row>
    <row r="2416" spans="1:24" x14ac:dyDescent="0.15">
      <c r="A2416" s="7" t="str">
        <f t="shared" si="78"/>
        <v>201806</v>
      </c>
      <c r="C2416" s="6">
        <f>INDEX(工厂基础数据!$A$2:$A$1024,MATCH(X2416,工厂基础数据!$D$2:$D$1024,0))</f>
        <v>0</v>
      </c>
      <c r="E2416" s="6" t="str">
        <f>INDEX(工厂基础数据!$B$2:$B$1024,MATCH(X2416,工厂基础数据!$D$2:$D$1024,0))</f>
        <v>济南广林医药有限公司</v>
      </c>
      <c r="F2416" s="6" t="e">
        <f>INDEX(商业2转码!$B$2:$B$10000,MATCH(E2416,商业2转码!$A$2:$A$10000,0))</f>
        <v>#N/A</v>
      </c>
      <c r="G2416" s="6" t="str">
        <f>INDEX(品种2编码!$A$2:$A$1048576,MATCH(W2416,品种2编码!$D$2:$D$1048576,0))</f>
        <v>0020030001SJZY0009</v>
      </c>
      <c r="H2416" s="6" t="s">
        <v>1949</v>
      </c>
      <c r="I2416" s="6" t="s">
        <v>411</v>
      </c>
      <c r="L2416" s="6" t="s">
        <v>3475</v>
      </c>
      <c r="M2416" s="6" t="e">
        <f>INDEX(医院2县区2人!$B$2:$B$1048576,MATCH(L2416,医院2县区2人!$A$2:$A$1048576,0))</f>
        <v>#N/A</v>
      </c>
      <c r="N2416" s="6" t="e">
        <f>INDEX(医院2县区2人!$C$2:$C$1048576,MATCH(L2416,医院2县区2人!$A$2:$A$1048576,0))</f>
        <v>#N/A</v>
      </c>
      <c r="P2416" s="7">
        <v>43265</v>
      </c>
      <c r="Q2416" s="6">
        <v>5</v>
      </c>
      <c r="S2416" s="6">
        <v>17120711</v>
      </c>
      <c r="T2416" s="6" t="e">
        <f>INDEX(医院2县区2人!$D$2:$D$1048576,MATCH(L2416,医院2县区2人!$A$2:$A$1048576,0))</f>
        <v>#N/A</v>
      </c>
      <c r="W2416" s="6" t="str">
        <f t="shared" si="77"/>
        <v>葡萄糖酸锌口服溶液10ml*12支</v>
      </c>
      <c r="X2416" s="6" t="s">
        <v>2904</v>
      </c>
    </row>
    <row r="2417" spans="1:24" x14ac:dyDescent="0.15">
      <c r="A2417" s="7" t="str">
        <f t="shared" si="78"/>
        <v>201806</v>
      </c>
      <c r="C2417" s="6">
        <f>INDEX(工厂基础数据!$A$2:$A$1024,MATCH(X2417,工厂基础数据!$D$2:$D$1024,0))</f>
        <v>0</v>
      </c>
      <c r="E2417" s="6" t="str">
        <f>INDEX(工厂基础数据!$B$2:$B$1024,MATCH(X2417,工厂基础数据!$D$2:$D$1024,0))</f>
        <v>济南广林医药有限公司</v>
      </c>
      <c r="F2417" s="6" t="e">
        <f>INDEX(商业2转码!$B$2:$B$10000,MATCH(E2417,商业2转码!$A$2:$A$10000,0))</f>
        <v>#N/A</v>
      </c>
      <c r="G2417" s="6" t="str">
        <f>INDEX(品种2编码!$A$2:$A$1048576,MATCH(W2417,品种2编码!$D$2:$D$1048576,0))</f>
        <v>0020030001SJZY0009</v>
      </c>
      <c r="H2417" s="6" t="s">
        <v>1949</v>
      </c>
      <c r="I2417" s="6" t="s">
        <v>411</v>
      </c>
      <c r="L2417" s="6" t="s">
        <v>3559</v>
      </c>
      <c r="M2417" s="6" t="e">
        <f>INDEX(医院2县区2人!$B$2:$B$1048576,MATCH(L2417,医院2县区2人!$A$2:$A$1048576,0))</f>
        <v>#N/A</v>
      </c>
      <c r="N2417" s="6" t="e">
        <f>INDEX(医院2县区2人!$C$2:$C$1048576,MATCH(L2417,医院2县区2人!$A$2:$A$1048576,0))</f>
        <v>#N/A</v>
      </c>
      <c r="P2417" s="7">
        <v>43265</v>
      </c>
      <c r="Q2417" s="6">
        <v>5</v>
      </c>
      <c r="S2417" s="6">
        <v>17120711</v>
      </c>
      <c r="T2417" s="6" t="e">
        <f>INDEX(医院2县区2人!$D$2:$D$1048576,MATCH(L2417,医院2县区2人!$A$2:$A$1048576,0))</f>
        <v>#N/A</v>
      </c>
      <c r="W2417" s="6" t="str">
        <f t="shared" si="77"/>
        <v>葡萄糖酸锌口服溶液10ml*12支</v>
      </c>
      <c r="X2417" s="6" t="s">
        <v>2904</v>
      </c>
    </row>
    <row r="2418" spans="1:24" x14ac:dyDescent="0.15">
      <c r="A2418" s="7" t="str">
        <f t="shared" si="78"/>
        <v>201806</v>
      </c>
      <c r="C2418" s="6">
        <f>INDEX(工厂基础数据!$A$2:$A$1024,MATCH(X2418,工厂基础数据!$D$2:$D$1024,0))</f>
        <v>0</v>
      </c>
      <c r="E2418" s="6" t="str">
        <f>INDEX(工厂基础数据!$B$2:$B$1024,MATCH(X2418,工厂基础数据!$D$2:$D$1024,0))</f>
        <v>济南广林医药有限公司</v>
      </c>
      <c r="F2418" s="6" t="e">
        <f>INDEX(商业2转码!$B$2:$B$10000,MATCH(E2418,商业2转码!$A$2:$A$10000,0))</f>
        <v>#N/A</v>
      </c>
      <c r="G2418" s="6" t="str">
        <f>INDEX(品种2编码!$A$2:$A$1048576,MATCH(W2418,品种2编码!$D$2:$D$1048576,0))</f>
        <v>0020030001SJZY0009</v>
      </c>
      <c r="H2418" s="6" t="s">
        <v>1949</v>
      </c>
      <c r="I2418" s="6" t="s">
        <v>411</v>
      </c>
      <c r="L2418" s="6" t="s">
        <v>3535</v>
      </c>
      <c r="M2418" s="6" t="e">
        <f>INDEX(医院2县区2人!$B$2:$B$1048576,MATCH(L2418,医院2县区2人!$A$2:$A$1048576,0))</f>
        <v>#N/A</v>
      </c>
      <c r="N2418" s="6" t="e">
        <f>INDEX(医院2县区2人!$C$2:$C$1048576,MATCH(L2418,医院2县区2人!$A$2:$A$1048576,0))</f>
        <v>#N/A</v>
      </c>
      <c r="P2418" s="7">
        <v>43266</v>
      </c>
      <c r="Q2418" s="6">
        <v>10</v>
      </c>
      <c r="S2418" s="6">
        <v>17120711</v>
      </c>
      <c r="T2418" s="6" t="e">
        <f>INDEX(医院2县区2人!$D$2:$D$1048576,MATCH(L2418,医院2县区2人!$A$2:$A$1048576,0))</f>
        <v>#N/A</v>
      </c>
      <c r="W2418" s="6" t="str">
        <f t="shared" si="77"/>
        <v>葡萄糖酸锌口服溶液10ml*12支</v>
      </c>
      <c r="X2418" s="6" t="s">
        <v>2904</v>
      </c>
    </row>
    <row r="2419" spans="1:24" x14ac:dyDescent="0.15">
      <c r="A2419" s="7" t="str">
        <f t="shared" si="78"/>
        <v>201806</v>
      </c>
      <c r="C2419" s="6">
        <f>INDEX(工厂基础数据!$A$2:$A$1024,MATCH(X2419,工厂基础数据!$D$2:$D$1024,0))</f>
        <v>0</v>
      </c>
      <c r="E2419" s="6" t="str">
        <f>INDEX(工厂基础数据!$B$2:$B$1024,MATCH(X2419,工厂基础数据!$D$2:$D$1024,0))</f>
        <v>济南广林医药有限公司</v>
      </c>
      <c r="F2419" s="6" t="e">
        <f>INDEX(商业2转码!$B$2:$B$10000,MATCH(E2419,商业2转码!$A$2:$A$10000,0))</f>
        <v>#N/A</v>
      </c>
      <c r="G2419" s="6" t="str">
        <f>INDEX(品种2编码!$A$2:$A$1048576,MATCH(W2419,品种2编码!$D$2:$D$1048576,0))</f>
        <v>0020030001SJZY0009</v>
      </c>
      <c r="H2419" s="6" t="s">
        <v>1949</v>
      </c>
      <c r="I2419" s="6" t="s">
        <v>411</v>
      </c>
      <c r="L2419" s="6" t="s">
        <v>3535</v>
      </c>
      <c r="M2419" s="6" t="e">
        <f>INDEX(医院2县区2人!$B$2:$B$1048576,MATCH(L2419,医院2县区2人!$A$2:$A$1048576,0))</f>
        <v>#N/A</v>
      </c>
      <c r="N2419" s="6" t="e">
        <f>INDEX(医院2县区2人!$C$2:$C$1048576,MATCH(L2419,医院2县区2人!$A$2:$A$1048576,0))</f>
        <v>#N/A</v>
      </c>
      <c r="P2419" s="7">
        <v>43270</v>
      </c>
      <c r="Q2419" s="6">
        <v>3</v>
      </c>
      <c r="S2419" s="6">
        <v>17120711</v>
      </c>
      <c r="T2419" s="6" t="e">
        <f>INDEX(医院2县区2人!$D$2:$D$1048576,MATCH(L2419,医院2县区2人!$A$2:$A$1048576,0))</f>
        <v>#N/A</v>
      </c>
      <c r="W2419" s="6" t="str">
        <f t="shared" si="77"/>
        <v>葡萄糖酸锌口服溶液10ml*12支</v>
      </c>
      <c r="X2419" s="6" t="s">
        <v>2904</v>
      </c>
    </row>
    <row r="2420" spans="1:24" x14ac:dyDescent="0.15">
      <c r="A2420" s="7" t="str">
        <f t="shared" si="78"/>
        <v>201806</v>
      </c>
      <c r="C2420" s="6">
        <f>INDEX(工厂基础数据!$A$2:$A$1024,MATCH(X2420,工厂基础数据!$D$2:$D$1024,0))</f>
        <v>0</v>
      </c>
      <c r="E2420" s="6" t="str">
        <f>INDEX(工厂基础数据!$B$2:$B$1024,MATCH(X2420,工厂基础数据!$D$2:$D$1024,0))</f>
        <v>济南广林医药有限公司</v>
      </c>
      <c r="F2420" s="6" t="e">
        <f>INDEX(商业2转码!$B$2:$B$10000,MATCH(E2420,商业2转码!$A$2:$A$10000,0))</f>
        <v>#N/A</v>
      </c>
      <c r="G2420" s="6" t="str">
        <f>INDEX(品种2编码!$A$2:$A$1048576,MATCH(W2420,品种2编码!$D$2:$D$1048576,0))</f>
        <v>0020030001SJZY0009</v>
      </c>
      <c r="H2420" s="6" t="s">
        <v>1949</v>
      </c>
      <c r="I2420" s="6" t="s">
        <v>411</v>
      </c>
      <c r="L2420" s="6" t="s">
        <v>3549</v>
      </c>
      <c r="M2420" s="6" t="e">
        <f>INDEX(医院2县区2人!$B$2:$B$1048576,MATCH(L2420,医院2县区2人!$A$2:$A$1048576,0))</f>
        <v>#N/A</v>
      </c>
      <c r="N2420" s="6" t="e">
        <f>INDEX(医院2县区2人!$C$2:$C$1048576,MATCH(L2420,医院2县区2人!$A$2:$A$1048576,0))</f>
        <v>#N/A</v>
      </c>
      <c r="P2420" s="7">
        <v>43270</v>
      </c>
      <c r="Q2420" s="6">
        <v>5</v>
      </c>
      <c r="S2420" s="6">
        <v>17120711</v>
      </c>
      <c r="T2420" s="6" t="e">
        <f>INDEX(医院2县区2人!$D$2:$D$1048576,MATCH(L2420,医院2县区2人!$A$2:$A$1048576,0))</f>
        <v>#N/A</v>
      </c>
      <c r="W2420" s="6" t="str">
        <f t="shared" si="77"/>
        <v>葡萄糖酸锌口服溶液10ml*12支</v>
      </c>
      <c r="X2420" s="6" t="s">
        <v>2904</v>
      </c>
    </row>
    <row r="2421" spans="1:24" x14ac:dyDescent="0.15">
      <c r="A2421" s="7" t="str">
        <f t="shared" si="78"/>
        <v>201806</v>
      </c>
      <c r="C2421" s="6">
        <f>INDEX(工厂基础数据!$A$2:$A$1024,MATCH(X2421,工厂基础数据!$D$2:$D$1024,0))</f>
        <v>0</v>
      </c>
      <c r="E2421" s="6" t="str">
        <f>INDEX(工厂基础数据!$B$2:$B$1024,MATCH(X2421,工厂基础数据!$D$2:$D$1024,0))</f>
        <v>济南广林医药有限公司</v>
      </c>
      <c r="F2421" s="6" t="e">
        <f>INDEX(商业2转码!$B$2:$B$10000,MATCH(E2421,商业2转码!$A$2:$A$10000,0))</f>
        <v>#N/A</v>
      </c>
      <c r="G2421" s="6" t="str">
        <f>INDEX(品种2编码!$A$2:$A$1048576,MATCH(W2421,品种2编码!$D$2:$D$1048576,0))</f>
        <v>0020030001SJZY0009</v>
      </c>
      <c r="H2421" s="6" t="s">
        <v>1949</v>
      </c>
      <c r="I2421" s="6" t="s">
        <v>411</v>
      </c>
      <c r="L2421" s="6" t="s">
        <v>3535</v>
      </c>
      <c r="M2421" s="6" t="e">
        <f>INDEX(医院2县区2人!$B$2:$B$1048576,MATCH(L2421,医院2县区2人!$A$2:$A$1048576,0))</f>
        <v>#N/A</v>
      </c>
      <c r="N2421" s="6" t="e">
        <f>INDEX(医院2县区2人!$C$2:$C$1048576,MATCH(L2421,医院2县区2人!$A$2:$A$1048576,0))</f>
        <v>#N/A</v>
      </c>
      <c r="P2421" s="7">
        <v>43271</v>
      </c>
      <c r="Q2421" s="6">
        <v>20</v>
      </c>
      <c r="S2421" s="6">
        <v>17120711</v>
      </c>
      <c r="T2421" s="6" t="e">
        <f>INDEX(医院2县区2人!$D$2:$D$1048576,MATCH(L2421,医院2县区2人!$A$2:$A$1048576,0))</f>
        <v>#N/A</v>
      </c>
      <c r="W2421" s="6" t="str">
        <f t="shared" si="77"/>
        <v>葡萄糖酸锌口服溶液10ml*12支</v>
      </c>
      <c r="X2421" s="6" t="s">
        <v>2904</v>
      </c>
    </row>
    <row r="2422" spans="1:24" x14ac:dyDescent="0.15">
      <c r="A2422" s="7" t="str">
        <f t="shared" si="78"/>
        <v>201806</v>
      </c>
      <c r="C2422" s="6">
        <f>INDEX(工厂基础数据!$A$2:$A$1024,MATCH(X2422,工厂基础数据!$D$2:$D$1024,0))</f>
        <v>0</v>
      </c>
      <c r="E2422" s="6" t="str">
        <f>INDEX(工厂基础数据!$B$2:$B$1024,MATCH(X2422,工厂基础数据!$D$2:$D$1024,0))</f>
        <v>济南广林医药有限公司</v>
      </c>
      <c r="F2422" s="6" t="e">
        <f>INDEX(商业2转码!$B$2:$B$10000,MATCH(E2422,商业2转码!$A$2:$A$10000,0))</f>
        <v>#N/A</v>
      </c>
      <c r="G2422" s="6" t="str">
        <f>INDEX(品种2编码!$A$2:$A$1048576,MATCH(W2422,品种2编码!$D$2:$D$1048576,0))</f>
        <v>0020030001SJZY0009</v>
      </c>
      <c r="H2422" s="6" t="s">
        <v>1949</v>
      </c>
      <c r="I2422" s="6" t="s">
        <v>411</v>
      </c>
      <c r="L2422" s="6" t="s">
        <v>3540</v>
      </c>
      <c r="M2422" s="6" t="e">
        <f>INDEX(医院2县区2人!$B$2:$B$1048576,MATCH(L2422,医院2县区2人!$A$2:$A$1048576,0))</f>
        <v>#N/A</v>
      </c>
      <c r="N2422" s="6" t="e">
        <f>INDEX(医院2县区2人!$C$2:$C$1048576,MATCH(L2422,医院2县区2人!$A$2:$A$1048576,0))</f>
        <v>#N/A</v>
      </c>
      <c r="P2422" s="7">
        <v>43272</v>
      </c>
      <c r="Q2422" s="6">
        <v>10</v>
      </c>
      <c r="S2422" s="6">
        <v>17120711</v>
      </c>
      <c r="T2422" s="6" t="e">
        <f>INDEX(医院2县区2人!$D$2:$D$1048576,MATCH(L2422,医院2县区2人!$A$2:$A$1048576,0))</f>
        <v>#N/A</v>
      </c>
      <c r="W2422" s="6" t="str">
        <f t="shared" si="77"/>
        <v>葡萄糖酸锌口服溶液10ml*12支</v>
      </c>
      <c r="X2422" s="6" t="s">
        <v>2904</v>
      </c>
    </row>
    <row r="2423" spans="1:24" x14ac:dyDescent="0.15">
      <c r="A2423" s="7" t="str">
        <f t="shared" si="78"/>
        <v>201806</v>
      </c>
      <c r="C2423" s="6">
        <f>INDEX(工厂基础数据!$A$2:$A$1024,MATCH(X2423,工厂基础数据!$D$2:$D$1024,0))</f>
        <v>0</v>
      </c>
      <c r="E2423" s="6" t="str">
        <f>INDEX(工厂基础数据!$B$2:$B$1024,MATCH(X2423,工厂基础数据!$D$2:$D$1024,0))</f>
        <v>济南广林医药有限公司</v>
      </c>
      <c r="F2423" s="6" t="e">
        <f>INDEX(商业2转码!$B$2:$B$10000,MATCH(E2423,商业2转码!$A$2:$A$10000,0))</f>
        <v>#N/A</v>
      </c>
      <c r="G2423" s="6" t="str">
        <f>INDEX(品种2编码!$A$2:$A$1048576,MATCH(W2423,品种2编码!$D$2:$D$1048576,0))</f>
        <v>0020030001SJZY0009</v>
      </c>
      <c r="H2423" s="6" t="s">
        <v>1949</v>
      </c>
      <c r="I2423" s="6" t="s">
        <v>411</v>
      </c>
      <c r="L2423" s="6" t="s">
        <v>3580</v>
      </c>
      <c r="M2423" s="6" t="e">
        <f>INDEX(医院2县区2人!$B$2:$B$1048576,MATCH(L2423,医院2县区2人!$A$2:$A$1048576,0))</f>
        <v>#N/A</v>
      </c>
      <c r="N2423" s="6" t="e">
        <f>INDEX(医院2县区2人!$C$2:$C$1048576,MATCH(L2423,医院2县区2人!$A$2:$A$1048576,0))</f>
        <v>#N/A</v>
      </c>
      <c r="P2423" s="7">
        <v>43273</v>
      </c>
      <c r="Q2423" s="6">
        <v>15</v>
      </c>
      <c r="S2423" s="6">
        <v>17120711</v>
      </c>
      <c r="T2423" s="6" t="e">
        <f>INDEX(医院2县区2人!$D$2:$D$1048576,MATCH(L2423,医院2县区2人!$A$2:$A$1048576,0))</f>
        <v>#N/A</v>
      </c>
      <c r="W2423" s="6" t="str">
        <f t="shared" si="77"/>
        <v>葡萄糖酸锌口服溶液10ml*12支</v>
      </c>
      <c r="X2423" s="6" t="s">
        <v>2904</v>
      </c>
    </row>
    <row r="2424" spans="1:24" x14ac:dyDescent="0.15">
      <c r="A2424" s="7" t="str">
        <f t="shared" si="78"/>
        <v>201806</v>
      </c>
      <c r="C2424" s="6">
        <f>INDEX(工厂基础数据!$A$2:$A$1024,MATCH(X2424,工厂基础数据!$D$2:$D$1024,0))</f>
        <v>0</v>
      </c>
      <c r="E2424" s="6" t="str">
        <f>INDEX(工厂基础数据!$B$2:$B$1024,MATCH(X2424,工厂基础数据!$D$2:$D$1024,0))</f>
        <v>济南广林医药有限公司</v>
      </c>
      <c r="F2424" s="6" t="e">
        <f>INDEX(商业2转码!$B$2:$B$10000,MATCH(E2424,商业2转码!$A$2:$A$10000,0))</f>
        <v>#N/A</v>
      </c>
      <c r="G2424" s="6" t="str">
        <f>INDEX(品种2编码!$A$2:$A$1048576,MATCH(W2424,品种2编码!$D$2:$D$1048576,0))</f>
        <v>0020030001SJZY0009</v>
      </c>
      <c r="H2424" s="6" t="s">
        <v>1949</v>
      </c>
      <c r="I2424" s="6" t="s">
        <v>411</v>
      </c>
      <c r="L2424" s="6" t="s">
        <v>3597</v>
      </c>
      <c r="M2424" s="6" t="e">
        <f>INDEX(医院2县区2人!$B$2:$B$1048576,MATCH(L2424,医院2县区2人!$A$2:$A$1048576,0))</f>
        <v>#N/A</v>
      </c>
      <c r="N2424" s="6" t="e">
        <f>INDEX(医院2县区2人!$C$2:$C$1048576,MATCH(L2424,医院2县区2人!$A$2:$A$1048576,0))</f>
        <v>#N/A</v>
      </c>
      <c r="P2424" s="7">
        <v>43276</v>
      </c>
      <c r="Q2424" s="6">
        <v>5</v>
      </c>
      <c r="S2424" s="6">
        <v>17120711</v>
      </c>
      <c r="T2424" s="6" t="e">
        <f>INDEX(医院2县区2人!$D$2:$D$1048576,MATCH(L2424,医院2县区2人!$A$2:$A$1048576,0))</f>
        <v>#N/A</v>
      </c>
      <c r="W2424" s="6" t="str">
        <f t="shared" si="77"/>
        <v>葡萄糖酸锌口服溶液10ml*12支</v>
      </c>
      <c r="X2424" s="6" t="s">
        <v>2904</v>
      </c>
    </row>
    <row r="2425" spans="1:24" x14ac:dyDescent="0.15">
      <c r="A2425" s="7" t="str">
        <f t="shared" si="78"/>
        <v>201806</v>
      </c>
      <c r="C2425" s="6">
        <f>INDEX(工厂基础数据!$A$2:$A$1024,MATCH(X2425,工厂基础数据!$D$2:$D$1024,0))</f>
        <v>0</v>
      </c>
      <c r="E2425" s="6" t="str">
        <f>INDEX(工厂基础数据!$B$2:$B$1024,MATCH(X2425,工厂基础数据!$D$2:$D$1024,0))</f>
        <v>济南广林医药有限公司</v>
      </c>
      <c r="F2425" s="6" t="e">
        <f>INDEX(商业2转码!$B$2:$B$10000,MATCH(E2425,商业2转码!$A$2:$A$10000,0))</f>
        <v>#N/A</v>
      </c>
      <c r="G2425" s="6" t="str">
        <f>INDEX(品种2编码!$A$2:$A$1048576,MATCH(W2425,品种2编码!$D$2:$D$1048576,0))</f>
        <v>0020030001SJZY0009</v>
      </c>
      <c r="H2425" s="6" t="s">
        <v>1949</v>
      </c>
      <c r="I2425" s="6" t="s">
        <v>411</v>
      </c>
      <c r="L2425" s="6" t="s">
        <v>3583</v>
      </c>
      <c r="M2425" s="6" t="e">
        <f>INDEX(医院2县区2人!$B$2:$B$1048576,MATCH(L2425,医院2县区2人!$A$2:$A$1048576,0))</f>
        <v>#N/A</v>
      </c>
      <c r="N2425" s="6" t="e">
        <f>INDEX(医院2县区2人!$C$2:$C$1048576,MATCH(L2425,医院2县区2人!$A$2:$A$1048576,0))</f>
        <v>#N/A</v>
      </c>
      <c r="P2425" s="7">
        <v>43276</v>
      </c>
      <c r="Q2425" s="6">
        <v>5</v>
      </c>
      <c r="S2425" s="6">
        <v>17120711</v>
      </c>
      <c r="T2425" s="6" t="e">
        <f>INDEX(医院2县区2人!$D$2:$D$1048576,MATCH(L2425,医院2县区2人!$A$2:$A$1048576,0))</f>
        <v>#N/A</v>
      </c>
      <c r="W2425" s="6" t="str">
        <f t="shared" si="77"/>
        <v>葡萄糖酸锌口服溶液10ml*12支</v>
      </c>
      <c r="X2425" s="6" t="s">
        <v>2904</v>
      </c>
    </row>
    <row r="2426" spans="1:24" x14ac:dyDescent="0.15">
      <c r="A2426" s="7" t="str">
        <f t="shared" si="78"/>
        <v>201806</v>
      </c>
      <c r="C2426" s="6">
        <f>INDEX(工厂基础数据!$A$2:$A$1024,MATCH(X2426,工厂基础数据!$D$2:$D$1024,0))</f>
        <v>0</v>
      </c>
      <c r="E2426" s="6" t="str">
        <f>INDEX(工厂基础数据!$B$2:$B$1024,MATCH(X2426,工厂基础数据!$D$2:$D$1024,0))</f>
        <v>济南广林医药有限公司</v>
      </c>
      <c r="F2426" s="6" t="e">
        <f>INDEX(商业2转码!$B$2:$B$10000,MATCH(E2426,商业2转码!$A$2:$A$10000,0))</f>
        <v>#N/A</v>
      </c>
      <c r="G2426" s="6" t="str">
        <f>INDEX(品种2编码!$A$2:$A$1048576,MATCH(W2426,品种2编码!$D$2:$D$1048576,0))</f>
        <v>0020030001SJZY0009</v>
      </c>
      <c r="H2426" s="6" t="s">
        <v>1949</v>
      </c>
      <c r="I2426" s="6" t="s">
        <v>411</v>
      </c>
      <c r="L2426" s="6" t="s">
        <v>3535</v>
      </c>
      <c r="M2426" s="6" t="e">
        <f>INDEX(医院2县区2人!$B$2:$B$1048576,MATCH(L2426,医院2县区2人!$A$2:$A$1048576,0))</f>
        <v>#N/A</v>
      </c>
      <c r="N2426" s="6" t="e">
        <f>INDEX(医院2县区2人!$C$2:$C$1048576,MATCH(L2426,医院2县区2人!$A$2:$A$1048576,0))</f>
        <v>#N/A</v>
      </c>
      <c r="P2426" s="7">
        <v>43276</v>
      </c>
      <c r="Q2426" s="6">
        <v>10</v>
      </c>
      <c r="S2426" s="6">
        <v>17120711</v>
      </c>
      <c r="T2426" s="6" t="e">
        <f>INDEX(医院2县区2人!$D$2:$D$1048576,MATCH(L2426,医院2县区2人!$A$2:$A$1048576,0))</f>
        <v>#N/A</v>
      </c>
      <c r="W2426" s="6" t="str">
        <f t="shared" si="77"/>
        <v>葡萄糖酸锌口服溶液10ml*12支</v>
      </c>
      <c r="X2426" s="6" t="s">
        <v>2904</v>
      </c>
    </row>
    <row r="2427" spans="1:24" x14ac:dyDescent="0.15">
      <c r="A2427" s="7" t="str">
        <f t="shared" si="78"/>
        <v>201806</v>
      </c>
      <c r="C2427" s="6">
        <f>INDEX(工厂基础数据!$A$2:$A$1024,MATCH(X2427,工厂基础数据!$D$2:$D$1024,0))</f>
        <v>0</v>
      </c>
      <c r="E2427" s="6" t="str">
        <f>INDEX(工厂基础数据!$B$2:$B$1024,MATCH(X2427,工厂基础数据!$D$2:$D$1024,0))</f>
        <v>济南广林医药有限公司</v>
      </c>
      <c r="F2427" s="6" t="e">
        <f>INDEX(商业2转码!$B$2:$B$10000,MATCH(E2427,商业2转码!$A$2:$A$10000,0))</f>
        <v>#N/A</v>
      </c>
      <c r="G2427" s="6" t="str">
        <f>INDEX(品种2编码!$A$2:$A$1048576,MATCH(W2427,品种2编码!$D$2:$D$1048576,0))</f>
        <v>0020030001SJZY0009</v>
      </c>
      <c r="H2427" s="6" t="s">
        <v>1949</v>
      </c>
      <c r="I2427" s="6" t="s">
        <v>411</v>
      </c>
      <c r="L2427" s="6" t="s">
        <v>3583</v>
      </c>
      <c r="M2427" s="6" t="e">
        <f>INDEX(医院2县区2人!$B$2:$B$1048576,MATCH(L2427,医院2县区2人!$A$2:$A$1048576,0))</f>
        <v>#N/A</v>
      </c>
      <c r="N2427" s="6" t="e">
        <f>INDEX(医院2县区2人!$C$2:$C$1048576,MATCH(L2427,医院2县区2人!$A$2:$A$1048576,0))</f>
        <v>#N/A</v>
      </c>
      <c r="P2427" s="7">
        <v>43278</v>
      </c>
      <c r="Q2427" s="6">
        <v>5</v>
      </c>
      <c r="S2427" s="6">
        <v>17120711</v>
      </c>
      <c r="T2427" s="6" t="e">
        <f>INDEX(医院2县区2人!$D$2:$D$1048576,MATCH(L2427,医院2县区2人!$A$2:$A$1048576,0))</f>
        <v>#N/A</v>
      </c>
      <c r="W2427" s="6" t="str">
        <f t="shared" si="77"/>
        <v>葡萄糖酸锌口服溶液10ml*12支</v>
      </c>
      <c r="X2427" s="6" t="s">
        <v>2904</v>
      </c>
    </row>
    <row r="2428" spans="1:24" x14ac:dyDescent="0.15">
      <c r="A2428" s="7" t="str">
        <f t="shared" si="78"/>
        <v>201806</v>
      </c>
      <c r="C2428" s="6">
        <f>INDEX(工厂基础数据!$A$2:$A$1024,MATCH(X2428,工厂基础数据!$D$2:$D$1024,0))</f>
        <v>0</v>
      </c>
      <c r="E2428" s="6" t="str">
        <f>INDEX(工厂基础数据!$B$2:$B$1024,MATCH(X2428,工厂基础数据!$D$2:$D$1024,0))</f>
        <v>济南广林医药有限公司</v>
      </c>
      <c r="F2428" s="6" t="e">
        <f>INDEX(商业2转码!$B$2:$B$10000,MATCH(E2428,商业2转码!$A$2:$A$10000,0))</f>
        <v>#N/A</v>
      </c>
      <c r="G2428" s="6" t="str">
        <f>INDEX(品种2编码!$A$2:$A$1048576,MATCH(W2428,品种2编码!$D$2:$D$1048576,0))</f>
        <v>0020030001SJZY0009</v>
      </c>
      <c r="H2428" s="6" t="s">
        <v>1949</v>
      </c>
      <c r="I2428" s="6" t="s">
        <v>411</v>
      </c>
      <c r="L2428" s="6" t="s">
        <v>3598</v>
      </c>
      <c r="M2428" s="6" t="e">
        <f>INDEX(医院2县区2人!$B$2:$B$1048576,MATCH(L2428,医院2县区2人!$A$2:$A$1048576,0))</f>
        <v>#N/A</v>
      </c>
      <c r="N2428" s="6" t="e">
        <f>INDEX(医院2县区2人!$C$2:$C$1048576,MATCH(L2428,医院2县区2人!$A$2:$A$1048576,0))</f>
        <v>#N/A</v>
      </c>
      <c r="P2428" s="7">
        <v>43279</v>
      </c>
      <c r="Q2428" s="6">
        <v>5</v>
      </c>
      <c r="S2428" s="6">
        <v>17120711</v>
      </c>
      <c r="T2428" s="6" t="e">
        <f>INDEX(医院2县区2人!$D$2:$D$1048576,MATCH(L2428,医院2县区2人!$A$2:$A$1048576,0))</f>
        <v>#N/A</v>
      </c>
      <c r="W2428" s="6" t="str">
        <f t="shared" ref="W2428:W2490" si="79">H2428&amp;I2428</f>
        <v>葡萄糖酸锌口服溶液10ml*12支</v>
      </c>
      <c r="X2428" s="6" t="s">
        <v>2904</v>
      </c>
    </row>
    <row r="2429" spans="1:24" x14ac:dyDescent="0.15">
      <c r="A2429" s="7" t="str">
        <f t="shared" ref="A2429:A2491" si="80">IF(MONTH(P2429)&lt;10,YEAR(P2429)&amp;"0"&amp;MONTH(P2429),YEAR(P2429)&amp;MONTH(P2429))</f>
        <v>201806</v>
      </c>
      <c r="C2429" s="6">
        <f>INDEX(工厂基础数据!$A$2:$A$1024,MATCH(X2429,工厂基础数据!$D$2:$D$1024,0))</f>
        <v>0</v>
      </c>
      <c r="E2429" s="6" t="str">
        <f>INDEX(工厂基础数据!$B$2:$B$1024,MATCH(X2429,工厂基础数据!$D$2:$D$1024,0))</f>
        <v>济南广林医药有限公司</v>
      </c>
      <c r="F2429" s="6" t="e">
        <f>INDEX(商业2转码!$B$2:$B$10000,MATCH(E2429,商业2转码!$A$2:$A$10000,0))</f>
        <v>#N/A</v>
      </c>
      <c r="G2429" s="6" t="str">
        <f>INDEX(品种2编码!$A$2:$A$1048576,MATCH(W2429,品种2编码!$D$2:$D$1048576,0))</f>
        <v>0020030001SJZY0009</v>
      </c>
      <c r="H2429" s="6" t="s">
        <v>1949</v>
      </c>
      <c r="I2429" s="6" t="s">
        <v>411</v>
      </c>
      <c r="L2429" s="6" t="s">
        <v>3578</v>
      </c>
      <c r="M2429" s="6" t="e">
        <f>INDEX(医院2县区2人!$B$2:$B$1048576,MATCH(L2429,医院2县区2人!$A$2:$A$1048576,0))</f>
        <v>#N/A</v>
      </c>
      <c r="N2429" s="6" t="e">
        <f>INDEX(医院2县区2人!$C$2:$C$1048576,MATCH(L2429,医院2县区2人!$A$2:$A$1048576,0))</f>
        <v>#N/A</v>
      </c>
      <c r="P2429" s="7">
        <v>43279</v>
      </c>
      <c r="Q2429" s="6">
        <v>3</v>
      </c>
      <c r="S2429" s="6">
        <v>17120711</v>
      </c>
      <c r="T2429" s="6" t="e">
        <f>INDEX(医院2县区2人!$D$2:$D$1048576,MATCH(L2429,医院2县区2人!$A$2:$A$1048576,0))</f>
        <v>#N/A</v>
      </c>
      <c r="W2429" s="6" t="str">
        <f t="shared" si="79"/>
        <v>葡萄糖酸锌口服溶液10ml*12支</v>
      </c>
      <c r="X2429" s="6" t="s">
        <v>2904</v>
      </c>
    </row>
    <row r="2430" spans="1:24" x14ac:dyDescent="0.15">
      <c r="A2430" s="7" t="str">
        <f t="shared" si="80"/>
        <v>201806</v>
      </c>
      <c r="C2430" s="6">
        <f>INDEX(工厂基础数据!$A$2:$A$1024,MATCH(X2430,工厂基础数据!$D$2:$D$1024,0))</f>
        <v>0</v>
      </c>
      <c r="E2430" s="6" t="str">
        <f>INDEX(工厂基础数据!$B$2:$B$1024,MATCH(X2430,工厂基础数据!$D$2:$D$1024,0))</f>
        <v>济南广林医药有限公司</v>
      </c>
      <c r="F2430" s="6" t="e">
        <f>INDEX(商业2转码!$B$2:$B$10000,MATCH(E2430,商业2转码!$A$2:$A$10000,0))</f>
        <v>#N/A</v>
      </c>
      <c r="G2430" s="6" t="str">
        <f>INDEX(品种2编码!$A$2:$A$1048576,MATCH(W2430,品种2编码!$D$2:$D$1048576,0))</f>
        <v>0020030001SJZY0009</v>
      </c>
      <c r="H2430" s="6" t="s">
        <v>1949</v>
      </c>
      <c r="I2430" s="6" t="s">
        <v>411</v>
      </c>
      <c r="L2430" s="6" t="s">
        <v>3539</v>
      </c>
      <c r="M2430" s="6" t="e">
        <f>INDEX(医院2县区2人!$B$2:$B$1048576,MATCH(L2430,医院2县区2人!$A$2:$A$1048576,0))</f>
        <v>#N/A</v>
      </c>
      <c r="N2430" s="6" t="e">
        <f>INDEX(医院2县区2人!$C$2:$C$1048576,MATCH(L2430,医院2县区2人!$A$2:$A$1048576,0))</f>
        <v>#N/A</v>
      </c>
      <c r="P2430" s="7">
        <v>43280</v>
      </c>
      <c r="Q2430" s="6">
        <v>5</v>
      </c>
      <c r="S2430" s="6">
        <v>17120711</v>
      </c>
      <c r="T2430" s="6" t="e">
        <f>INDEX(医院2县区2人!$D$2:$D$1048576,MATCH(L2430,医院2县区2人!$A$2:$A$1048576,0))</f>
        <v>#N/A</v>
      </c>
      <c r="W2430" s="6" t="str">
        <f t="shared" si="79"/>
        <v>葡萄糖酸锌口服溶液10ml*12支</v>
      </c>
      <c r="X2430" s="6" t="s">
        <v>2904</v>
      </c>
    </row>
    <row r="2431" spans="1:24" x14ac:dyDescent="0.15">
      <c r="A2431" s="7" t="str">
        <f t="shared" si="80"/>
        <v>201806</v>
      </c>
      <c r="C2431" s="6">
        <f>INDEX(工厂基础数据!$A$2:$A$1024,MATCH(X2431,工厂基础数据!$D$2:$D$1024,0))</f>
        <v>0</v>
      </c>
      <c r="E2431" s="6" t="str">
        <f>INDEX(工厂基础数据!$B$2:$B$1024,MATCH(X2431,工厂基础数据!$D$2:$D$1024,0))</f>
        <v>济南广林医药有限公司</v>
      </c>
      <c r="F2431" s="6" t="e">
        <f>INDEX(商业2转码!$B$2:$B$10000,MATCH(E2431,商业2转码!$A$2:$A$10000,0))</f>
        <v>#N/A</v>
      </c>
      <c r="G2431" s="6" t="str">
        <f>INDEX(品种2编码!$A$2:$A$1048576,MATCH(W2431,品种2编码!$D$2:$D$1048576,0))</f>
        <v>0020030001SJZY0009</v>
      </c>
      <c r="H2431" s="6" t="s">
        <v>1949</v>
      </c>
      <c r="I2431" s="6" t="s">
        <v>411</v>
      </c>
      <c r="L2431" s="6" t="s">
        <v>3599</v>
      </c>
      <c r="M2431" s="6" t="e">
        <f>INDEX(医院2县区2人!$B$2:$B$1048576,MATCH(L2431,医院2县区2人!$A$2:$A$1048576,0))</f>
        <v>#N/A</v>
      </c>
      <c r="N2431" s="6" t="e">
        <f>INDEX(医院2县区2人!$C$2:$C$1048576,MATCH(L2431,医院2县区2人!$A$2:$A$1048576,0))</f>
        <v>#N/A</v>
      </c>
      <c r="P2431" s="7">
        <v>43280</v>
      </c>
      <c r="Q2431" s="6">
        <v>10</v>
      </c>
      <c r="S2431" s="6">
        <v>17120711</v>
      </c>
      <c r="T2431" s="6" t="e">
        <f>INDEX(医院2县区2人!$D$2:$D$1048576,MATCH(L2431,医院2县区2人!$A$2:$A$1048576,0))</f>
        <v>#N/A</v>
      </c>
      <c r="W2431" s="6" t="str">
        <f t="shared" si="79"/>
        <v>葡萄糖酸锌口服溶液10ml*12支</v>
      </c>
      <c r="X2431" s="6" t="s">
        <v>2904</v>
      </c>
    </row>
    <row r="2432" spans="1:24" x14ac:dyDescent="0.15">
      <c r="A2432" s="7" t="str">
        <f t="shared" si="80"/>
        <v>201806</v>
      </c>
      <c r="C2432" s="6">
        <f>INDEX(工厂基础数据!$A$2:$A$1024,MATCH(X2432,工厂基础数据!$D$2:$D$1024,0))</f>
        <v>0</v>
      </c>
      <c r="E2432" s="6" t="str">
        <f>INDEX(工厂基础数据!$B$2:$B$1024,MATCH(X2432,工厂基础数据!$D$2:$D$1024,0))</f>
        <v>济南广林医药有限公司</v>
      </c>
      <c r="F2432" s="6" t="e">
        <f>INDEX(商业2转码!$B$2:$B$10000,MATCH(E2432,商业2转码!$A$2:$A$10000,0))</f>
        <v>#N/A</v>
      </c>
      <c r="G2432" s="6">
        <f>INDEX(品种2编码!$A$2:$A$1048576,MATCH(W2432,品种2编码!$D$2:$D$1048576,0))</f>
        <v>0</v>
      </c>
      <c r="H2432" s="6" t="s">
        <v>586</v>
      </c>
      <c r="I2432" s="6" t="s">
        <v>3613</v>
      </c>
      <c r="L2432" s="6" t="s">
        <v>3090</v>
      </c>
      <c r="M2432" s="6" t="e">
        <f>INDEX(医院2县区2人!$B$2:$B$1048576,MATCH(L2432,医院2县区2人!$A$2:$A$1048576,0))</f>
        <v>#N/A</v>
      </c>
      <c r="N2432" s="6" t="e">
        <f>INDEX(医院2县区2人!$C$2:$C$1048576,MATCH(L2432,医院2县区2人!$A$2:$A$1048576,0))</f>
        <v>#N/A</v>
      </c>
      <c r="P2432" s="7">
        <v>43255</v>
      </c>
      <c r="Q2432" s="6">
        <v>30</v>
      </c>
      <c r="S2432" s="6">
        <v>1711004</v>
      </c>
      <c r="T2432" s="6" t="e">
        <f>INDEX(医院2县区2人!$D$2:$D$1048576,MATCH(L2432,医院2县区2人!$A$2:$A$1048576,0))</f>
        <v>#N/A</v>
      </c>
      <c r="W2432" s="6" t="str">
        <f t="shared" si="79"/>
        <v>人工牛黄甲硝唑胶囊0.2g*10粒*3板</v>
      </c>
      <c r="X2432" s="6" t="s">
        <v>2904</v>
      </c>
    </row>
    <row r="2433" spans="1:24" x14ac:dyDescent="0.15">
      <c r="A2433" s="7" t="str">
        <f t="shared" si="80"/>
        <v>201806</v>
      </c>
      <c r="C2433" s="6">
        <f>INDEX(工厂基础数据!$A$2:$A$1024,MATCH(X2433,工厂基础数据!$D$2:$D$1024,0))</f>
        <v>0</v>
      </c>
      <c r="E2433" s="6" t="str">
        <f>INDEX(工厂基础数据!$B$2:$B$1024,MATCH(X2433,工厂基础数据!$D$2:$D$1024,0))</f>
        <v>济南广林医药有限公司</v>
      </c>
      <c r="F2433" s="6" t="e">
        <f>INDEX(商业2转码!$B$2:$B$10000,MATCH(E2433,商业2转码!$A$2:$A$10000,0))</f>
        <v>#N/A</v>
      </c>
      <c r="G2433" s="6">
        <f>INDEX(品种2编码!$A$2:$A$1048576,MATCH(W2433,品种2编码!$D$2:$D$1048576,0))</f>
        <v>0</v>
      </c>
      <c r="H2433" s="6" t="s">
        <v>586</v>
      </c>
      <c r="I2433" s="6" t="s">
        <v>3613</v>
      </c>
      <c r="L2433" s="6" t="s">
        <v>3535</v>
      </c>
      <c r="M2433" s="6" t="e">
        <f>INDEX(医院2县区2人!$B$2:$B$1048576,MATCH(L2433,医院2县区2人!$A$2:$A$1048576,0))</f>
        <v>#N/A</v>
      </c>
      <c r="N2433" s="6" t="e">
        <f>INDEX(医院2县区2人!$C$2:$C$1048576,MATCH(L2433,医院2县区2人!$A$2:$A$1048576,0))</f>
        <v>#N/A</v>
      </c>
      <c r="P2433" s="7">
        <v>43257</v>
      </c>
      <c r="Q2433" s="6">
        <v>100</v>
      </c>
      <c r="S2433" s="6">
        <v>1711004</v>
      </c>
      <c r="T2433" s="6" t="e">
        <f>INDEX(医院2县区2人!$D$2:$D$1048576,MATCH(L2433,医院2县区2人!$A$2:$A$1048576,0))</f>
        <v>#N/A</v>
      </c>
      <c r="W2433" s="6" t="str">
        <f t="shared" si="79"/>
        <v>人工牛黄甲硝唑胶囊0.2g*10粒*3板</v>
      </c>
      <c r="X2433" s="6" t="s">
        <v>2904</v>
      </c>
    </row>
    <row r="2434" spans="1:24" x14ac:dyDescent="0.15">
      <c r="A2434" s="7" t="str">
        <f t="shared" si="80"/>
        <v>201806</v>
      </c>
      <c r="C2434" s="6">
        <f>INDEX(工厂基础数据!$A$2:$A$1024,MATCH(X2434,工厂基础数据!$D$2:$D$1024,0))</f>
        <v>0</v>
      </c>
      <c r="E2434" s="6" t="str">
        <f>INDEX(工厂基础数据!$B$2:$B$1024,MATCH(X2434,工厂基础数据!$D$2:$D$1024,0))</f>
        <v>济南广林医药有限公司</v>
      </c>
      <c r="F2434" s="6" t="e">
        <f>INDEX(商业2转码!$B$2:$B$10000,MATCH(E2434,商业2转码!$A$2:$A$10000,0))</f>
        <v>#N/A</v>
      </c>
      <c r="G2434" s="6">
        <f>INDEX(品种2编码!$A$2:$A$1048576,MATCH(W2434,品种2编码!$D$2:$D$1048576,0))</f>
        <v>0</v>
      </c>
      <c r="H2434" s="6" t="s">
        <v>586</v>
      </c>
      <c r="I2434" s="6" t="s">
        <v>3613</v>
      </c>
      <c r="L2434" s="6" t="s">
        <v>3524</v>
      </c>
      <c r="M2434" s="6" t="e">
        <f>INDEX(医院2县区2人!$B$2:$B$1048576,MATCH(L2434,医院2县区2人!$A$2:$A$1048576,0))</f>
        <v>#N/A</v>
      </c>
      <c r="N2434" s="6" t="e">
        <f>INDEX(医院2县区2人!$C$2:$C$1048576,MATCH(L2434,医院2县区2人!$A$2:$A$1048576,0))</f>
        <v>#N/A</v>
      </c>
      <c r="P2434" s="7">
        <v>43258</v>
      </c>
      <c r="Q2434" s="6">
        <v>10</v>
      </c>
      <c r="S2434" s="6">
        <v>1711004</v>
      </c>
      <c r="T2434" s="6" t="e">
        <f>INDEX(医院2县区2人!$D$2:$D$1048576,MATCH(L2434,医院2县区2人!$A$2:$A$1048576,0))</f>
        <v>#N/A</v>
      </c>
      <c r="W2434" s="6" t="str">
        <f t="shared" si="79"/>
        <v>人工牛黄甲硝唑胶囊0.2g*10粒*3板</v>
      </c>
      <c r="X2434" s="6" t="s">
        <v>2904</v>
      </c>
    </row>
    <row r="2435" spans="1:24" x14ac:dyDescent="0.15">
      <c r="A2435" s="7" t="str">
        <f t="shared" si="80"/>
        <v>201806</v>
      </c>
      <c r="C2435" s="6">
        <f>INDEX(工厂基础数据!$A$2:$A$1024,MATCH(X2435,工厂基础数据!$D$2:$D$1024,0))</f>
        <v>0</v>
      </c>
      <c r="E2435" s="6" t="str">
        <f>INDEX(工厂基础数据!$B$2:$B$1024,MATCH(X2435,工厂基础数据!$D$2:$D$1024,0))</f>
        <v>济南广林医药有限公司</v>
      </c>
      <c r="F2435" s="6" t="e">
        <f>INDEX(商业2转码!$B$2:$B$10000,MATCH(E2435,商业2转码!$A$2:$A$10000,0))</f>
        <v>#N/A</v>
      </c>
      <c r="G2435" s="6">
        <f>INDEX(品种2编码!$A$2:$A$1048576,MATCH(W2435,品种2编码!$D$2:$D$1048576,0))</f>
        <v>0</v>
      </c>
      <c r="H2435" s="6" t="s">
        <v>586</v>
      </c>
      <c r="I2435" s="6" t="s">
        <v>3613</v>
      </c>
      <c r="L2435" s="6" t="s">
        <v>3600</v>
      </c>
      <c r="M2435" s="6" t="e">
        <f>INDEX(医院2县区2人!$B$2:$B$1048576,MATCH(L2435,医院2县区2人!$A$2:$A$1048576,0))</f>
        <v>#N/A</v>
      </c>
      <c r="N2435" s="6" t="e">
        <f>INDEX(医院2县区2人!$C$2:$C$1048576,MATCH(L2435,医院2县区2人!$A$2:$A$1048576,0))</f>
        <v>#N/A</v>
      </c>
      <c r="P2435" s="7">
        <v>43259</v>
      </c>
      <c r="Q2435" s="6">
        <v>10</v>
      </c>
      <c r="S2435" s="6">
        <v>1711004</v>
      </c>
      <c r="T2435" s="6" t="e">
        <f>INDEX(医院2县区2人!$D$2:$D$1048576,MATCH(L2435,医院2县区2人!$A$2:$A$1048576,0))</f>
        <v>#N/A</v>
      </c>
      <c r="W2435" s="6" t="str">
        <f t="shared" si="79"/>
        <v>人工牛黄甲硝唑胶囊0.2g*10粒*3板</v>
      </c>
      <c r="X2435" s="6" t="s">
        <v>2904</v>
      </c>
    </row>
    <row r="2436" spans="1:24" x14ac:dyDescent="0.15">
      <c r="A2436" s="7" t="str">
        <f t="shared" si="80"/>
        <v>201806</v>
      </c>
      <c r="C2436" s="6">
        <f>INDEX(工厂基础数据!$A$2:$A$1024,MATCH(X2436,工厂基础数据!$D$2:$D$1024,0))</f>
        <v>0</v>
      </c>
      <c r="E2436" s="6" t="str">
        <f>INDEX(工厂基础数据!$B$2:$B$1024,MATCH(X2436,工厂基础数据!$D$2:$D$1024,0))</f>
        <v>济南广林医药有限公司</v>
      </c>
      <c r="F2436" s="6" t="e">
        <f>INDEX(商业2转码!$B$2:$B$10000,MATCH(E2436,商业2转码!$A$2:$A$10000,0))</f>
        <v>#N/A</v>
      </c>
      <c r="G2436" s="6">
        <f>INDEX(品种2编码!$A$2:$A$1048576,MATCH(W2436,品种2编码!$D$2:$D$1048576,0))</f>
        <v>0</v>
      </c>
      <c r="H2436" s="6" t="s">
        <v>586</v>
      </c>
      <c r="I2436" s="6" t="s">
        <v>3613</v>
      </c>
      <c r="L2436" s="6" t="s">
        <v>3540</v>
      </c>
      <c r="M2436" s="6" t="e">
        <f>INDEX(医院2县区2人!$B$2:$B$1048576,MATCH(L2436,医院2县区2人!$A$2:$A$1048576,0))</f>
        <v>#N/A</v>
      </c>
      <c r="N2436" s="6" t="e">
        <f>INDEX(医院2县区2人!$C$2:$C$1048576,MATCH(L2436,医院2县区2人!$A$2:$A$1048576,0))</f>
        <v>#N/A</v>
      </c>
      <c r="P2436" s="7">
        <v>43262</v>
      </c>
      <c r="Q2436" s="6">
        <v>10</v>
      </c>
      <c r="S2436" s="6">
        <v>1711004</v>
      </c>
      <c r="T2436" s="6" t="e">
        <f>INDEX(医院2县区2人!$D$2:$D$1048576,MATCH(L2436,医院2县区2人!$A$2:$A$1048576,0))</f>
        <v>#N/A</v>
      </c>
      <c r="W2436" s="6" t="str">
        <f t="shared" si="79"/>
        <v>人工牛黄甲硝唑胶囊0.2g*10粒*3板</v>
      </c>
      <c r="X2436" s="6" t="s">
        <v>2904</v>
      </c>
    </row>
    <row r="2437" spans="1:24" x14ac:dyDescent="0.15">
      <c r="A2437" s="7" t="str">
        <f t="shared" si="80"/>
        <v>201806</v>
      </c>
      <c r="C2437" s="6">
        <f>INDEX(工厂基础数据!$A$2:$A$1024,MATCH(X2437,工厂基础数据!$D$2:$D$1024,0))</f>
        <v>0</v>
      </c>
      <c r="E2437" s="6" t="str">
        <f>INDEX(工厂基础数据!$B$2:$B$1024,MATCH(X2437,工厂基础数据!$D$2:$D$1024,0))</f>
        <v>济南广林医药有限公司</v>
      </c>
      <c r="F2437" s="6" t="e">
        <f>INDEX(商业2转码!$B$2:$B$10000,MATCH(E2437,商业2转码!$A$2:$A$10000,0))</f>
        <v>#N/A</v>
      </c>
      <c r="G2437" s="6">
        <f>INDEX(品种2编码!$A$2:$A$1048576,MATCH(W2437,品种2编码!$D$2:$D$1048576,0))</f>
        <v>0</v>
      </c>
      <c r="H2437" s="6" t="s">
        <v>586</v>
      </c>
      <c r="I2437" s="6" t="s">
        <v>3613</v>
      </c>
      <c r="L2437" s="6" t="s">
        <v>3553</v>
      </c>
      <c r="M2437" s="6" t="e">
        <f>INDEX(医院2县区2人!$B$2:$B$1048576,MATCH(L2437,医院2县区2人!$A$2:$A$1048576,0))</f>
        <v>#N/A</v>
      </c>
      <c r="N2437" s="6" t="e">
        <f>INDEX(医院2县区2人!$C$2:$C$1048576,MATCH(L2437,医院2县区2人!$A$2:$A$1048576,0))</f>
        <v>#N/A</v>
      </c>
      <c r="P2437" s="7">
        <v>43262</v>
      </c>
      <c r="Q2437" s="6">
        <v>10</v>
      </c>
      <c r="S2437" s="6">
        <v>1711004</v>
      </c>
      <c r="T2437" s="6" t="e">
        <f>INDEX(医院2县区2人!$D$2:$D$1048576,MATCH(L2437,医院2县区2人!$A$2:$A$1048576,0))</f>
        <v>#N/A</v>
      </c>
      <c r="W2437" s="6" t="str">
        <f t="shared" si="79"/>
        <v>人工牛黄甲硝唑胶囊0.2g*10粒*3板</v>
      </c>
      <c r="X2437" s="6" t="s">
        <v>2904</v>
      </c>
    </row>
    <row r="2438" spans="1:24" x14ac:dyDescent="0.15">
      <c r="A2438" s="7" t="str">
        <f t="shared" si="80"/>
        <v>201806</v>
      </c>
      <c r="C2438" s="6">
        <f>INDEX(工厂基础数据!$A$2:$A$1024,MATCH(X2438,工厂基础数据!$D$2:$D$1024,0))</f>
        <v>0</v>
      </c>
      <c r="E2438" s="6" t="str">
        <f>INDEX(工厂基础数据!$B$2:$B$1024,MATCH(X2438,工厂基础数据!$D$2:$D$1024,0))</f>
        <v>济南广林医药有限公司</v>
      </c>
      <c r="F2438" s="6" t="e">
        <f>INDEX(商业2转码!$B$2:$B$10000,MATCH(E2438,商业2转码!$A$2:$A$10000,0))</f>
        <v>#N/A</v>
      </c>
      <c r="G2438" s="6">
        <f>INDEX(品种2编码!$A$2:$A$1048576,MATCH(W2438,品种2编码!$D$2:$D$1048576,0))</f>
        <v>0</v>
      </c>
      <c r="H2438" s="6" t="s">
        <v>586</v>
      </c>
      <c r="I2438" s="6" t="s">
        <v>3613</v>
      </c>
      <c r="L2438" s="6" t="s">
        <v>3526</v>
      </c>
      <c r="M2438" s="6" t="e">
        <f>INDEX(医院2县区2人!$B$2:$B$1048576,MATCH(L2438,医院2县区2人!$A$2:$A$1048576,0))</f>
        <v>#N/A</v>
      </c>
      <c r="N2438" s="6" t="e">
        <f>INDEX(医院2县区2人!$C$2:$C$1048576,MATCH(L2438,医院2县区2人!$A$2:$A$1048576,0))</f>
        <v>#N/A</v>
      </c>
      <c r="P2438" s="7">
        <v>43263</v>
      </c>
      <c r="Q2438" s="6">
        <v>20</v>
      </c>
      <c r="S2438" s="6">
        <v>1711004</v>
      </c>
      <c r="T2438" s="6" t="e">
        <f>INDEX(医院2县区2人!$D$2:$D$1048576,MATCH(L2438,医院2县区2人!$A$2:$A$1048576,0))</f>
        <v>#N/A</v>
      </c>
      <c r="W2438" s="6" t="str">
        <f t="shared" si="79"/>
        <v>人工牛黄甲硝唑胶囊0.2g*10粒*3板</v>
      </c>
      <c r="X2438" s="6" t="s">
        <v>2904</v>
      </c>
    </row>
    <row r="2439" spans="1:24" x14ac:dyDescent="0.15">
      <c r="A2439" s="7" t="str">
        <f t="shared" si="80"/>
        <v>201806</v>
      </c>
      <c r="C2439" s="6">
        <f>INDEX(工厂基础数据!$A$2:$A$1024,MATCH(X2439,工厂基础数据!$D$2:$D$1024,0))</f>
        <v>0</v>
      </c>
      <c r="E2439" s="6" t="str">
        <f>INDEX(工厂基础数据!$B$2:$B$1024,MATCH(X2439,工厂基础数据!$D$2:$D$1024,0))</f>
        <v>济南广林医药有限公司</v>
      </c>
      <c r="F2439" s="6" t="e">
        <f>INDEX(商业2转码!$B$2:$B$10000,MATCH(E2439,商业2转码!$A$2:$A$10000,0))</f>
        <v>#N/A</v>
      </c>
      <c r="G2439" s="6">
        <f>INDEX(品种2编码!$A$2:$A$1048576,MATCH(W2439,品种2编码!$D$2:$D$1048576,0))</f>
        <v>0</v>
      </c>
      <c r="H2439" s="6" t="s">
        <v>586</v>
      </c>
      <c r="I2439" s="6" t="s">
        <v>3613</v>
      </c>
      <c r="L2439" s="6" t="s">
        <v>3526</v>
      </c>
      <c r="M2439" s="6" t="e">
        <f>INDEX(医院2县区2人!$B$2:$B$1048576,MATCH(L2439,医院2县区2人!$A$2:$A$1048576,0))</f>
        <v>#N/A</v>
      </c>
      <c r="N2439" s="6" t="e">
        <f>INDEX(医院2县区2人!$C$2:$C$1048576,MATCH(L2439,医院2县区2人!$A$2:$A$1048576,0))</f>
        <v>#N/A</v>
      </c>
      <c r="P2439" s="7">
        <v>43264</v>
      </c>
      <c r="Q2439" s="6">
        <v>10</v>
      </c>
      <c r="S2439" s="6">
        <v>1711004</v>
      </c>
      <c r="T2439" s="6" t="e">
        <f>INDEX(医院2县区2人!$D$2:$D$1048576,MATCH(L2439,医院2县区2人!$A$2:$A$1048576,0))</f>
        <v>#N/A</v>
      </c>
      <c r="W2439" s="6" t="str">
        <f t="shared" si="79"/>
        <v>人工牛黄甲硝唑胶囊0.2g*10粒*3板</v>
      </c>
      <c r="X2439" s="6" t="s">
        <v>2904</v>
      </c>
    </row>
    <row r="2440" spans="1:24" x14ac:dyDescent="0.15">
      <c r="A2440" s="7" t="str">
        <f t="shared" si="80"/>
        <v>201806</v>
      </c>
      <c r="C2440" s="6">
        <f>INDEX(工厂基础数据!$A$2:$A$1024,MATCH(X2440,工厂基础数据!$D$2:$D$1024,0))</f>
        <v>0</v>
      </c>
      <c r="E2440" s="6" t="str">
        <f>INDEX(工厂基础数据!$B$2:$B$1024,MATCH(X2440,工厂基础数据!$D$2:$D$1024,0))</f>
        <v>济南广林医药有限公司</v>
      </c>
      <c r="F2440" s="6" t="e">
        <f>INDEX(商业2转码!$B$2:$B$10000,MATCH(E2440,商业2转码!$A$2:$A$10000,0))</f>
        <v>#N/A</v>
      </c>
      <c r="G2440" s="6">
        <f>INDEX(品种2编码!$A$2:$A$1048576,MATCH(W2440,品种2编码!$D$2:$D$1048576,0))</f>
        <v>0</v>
      </c>
      <c r="H2440" s="6" t="s">
        <v>586</v>
      </c>
      <c r="I2440" s="6" t="s">
        <v>3613</v>
      </c>
      <c r="L2440" s="6" t="s">
        <v>3529</v>
      </c>
      <c r="M2440" s="6" t="e">
        <f>INDEX(医院2县区2人!$B$2:$B$1048576,MATCH(L2440,医院2县区2人!$A$2:$A$1048576,0))</f>
        <v>#N/A</v>
      </c>
      <c r="N2440" s="6" t="e">
        <f>INDEX(医院2县区2人!$C$2:$C$1048576,MATCH(L2440,医院2县区2人!$A$2:$A$1048576,0))</f>
        <v>#N/A</v>
      </c>
      <c r="P2440" s="7">
        <v>43265</v>
      </c>
      <c r="Q2440" s="6">
        <v>30</v>
      </c>
      <c r="S2440" s="6">
        <v>1711004</v>
      </c>
      <c r="T2440" s="6" t="e">
        <f>INDEX(医院2县区2人!$D$2:$D$1048576,MATCH(L2440,医院2县区2人!$A$2:$A$1048576,0))</f>
        <v>#N/A</v>
      </c>
      <c r="W2440" s="6" t="str">
        <f t="shared" si="79"/>
        <v>人工牛黄甲硝唑胶囊0.2g*10粒*3板</v>
      </c>
      <c r="X2440" s="6" t="s">
        <v>2904</v>
      </c>
    </row>
    <row r="2441" spans="1:24" x14ac:dyDescent="0.15">
      <c r="A2441" s="7" t="str">
        <f t="shared" si="80"/>
        <v>201806</v>
      </c>
      <c r="C2441" s="6">
        <f>INDEX(工厂基础数据!$A$2:$A$1024,MATCH(X2441,工厂基础数据!$D$2:$D$1024,0))</f>
        <v>0</v>
      </c>
      <c r="E2441" s="6" t="str">
        <f>INDEX(工厂基础数据!$B$2:$B$1024,MATCH(X2441,工厂基础数据!$D$2:$D$1024,0))</f>
        <v>济南广林医药有限公司</v>
      </c>
      <c r="F2441" s="6" t="e">
        <f>INDEX(商业2转码!$B$2:$B$10000,MATCH(E2441,商业2转码!$A$2:$A$10000,0))</f>
        <v>#N/A</v>
      </c>
      <c r="G2441" s="6">
        <f>INDEX(品种2编码!$A$2:$A$1048576,MATCH(W2441,品种2编码!$D$2:$D$1048576,0))</f>
        <v>0</v>
      </c>
      <c r="H2441" s="6" t="s">
        <v>586</v>
      </c>
      <c r="I2441" s="6" t="s">
        <v>3613</v>
      </c>
      <c r="L2441" s="6" t="s">
        <v>3539</v>
      </c>
      <c r="M2441" s="6" t="e">
        <f>INDEX(医院2县区2人!$B$2:$B$1048576,MATCH(L2441,医院2县区2人!$A$2:$A$1048576,0))</f>
        <v>#N/A</v>
      </c>
      <c r="N2441" s="6" t="e">
        <f>INDEX(医院2县区2人!$C$2:$C$1048576,MATCH(L2441,医院2县区2人!$A$2:$A$1048576,0))</f>
        <v>#N/A</v>
      </c>
      <c r="P2441" s="7">
        <v>43266</v>
      </c>
      <c r="Q2441" s="6">
        <v>20</v>
      </c>
      <c r="S2441" s="6">
        <v>1711004</v>
      </c>
      <c r="T2441" s="6" t="e">
        <f>INDEX(医院2县区2人!$D$2:$D$1048576,MATCH(L2441,医院2县区2人!$A$2:$A$1048576,0))</f>
        <v>#N/A</v>
      </c>
      <c r="W2441" s="6" t="str">
        <f t="shared" si="79"/>
        <v>人工牛黄甲硝唑胶囊0.2g*10粒*3板</v>
      </c>
      <c r="X2441" s="6" t="s">
        <v>2904</v>
      </c>
    </row>
    <row r="2442" spans="1:24" x14ac:dyDescent="0.15">
      <c r="A2442" s="7" t="str">
        <f t="shared" si="80"/>
        <v>201806</v>
      </c>
      <c r="C2442" s="6">
        <f>INDEX(工厂基础数据!$A$2:$A$1024,MATCH(X2442,工厂基础数据!$D$2:$D$1024,0))</f>
        <v>0</v>
      </c>
      <c r="E2442" s="6" t="str">
        <f>INDEX(工厂基础数据!$B$2:$B$1024,MATCH(X2442,工厂基础数据!$D$2:$D$1024,0))</f>
        <v>济南广林医药有限公司</v>
      </c>
      <c r="F2442" s="6" t="e">
        <f>INDEX(商业2转码!$B$2:$B$10000,MATCH(E2442,商业2转码!$A$2:$A$10000,0))</f>
        <v>#N/A</v>
      </c>
      <c r="G2442" s="6">
        <f>INDEX(品种2编码!$A$2:$A$1048576,MATCH(W2442,品种2编码!$D$2:$D$1048576,0))</f>
        <v>0</v>
      </c>
      <c r="H2442" s="6" t="s">
        <v>586</v>
      </c>
      <c r="I2442" s="6" t="s">
        <v>3613</v>
      </c>
      <c r="L2442" s="6" t="s">
        <v>3090</v>
      </c>
      <c r="M2442" s="6" t="e">
        <f>INDEX(医院2县区2人!$B$2:$B$1048576,MATCH(L2442,医院2县区2人!$A$2:$A$1048576,0))</f>
        <v>#N/A</v>
      </c>
      <c r="N2442" s="6" t="e">
        <f>INDEX(医院2县区2人!$C$2:$C$1048576,MATCH(L2442,医院2县区2人!$A$2:$A$1048576,0))</f>
        <v>#N/A</v>
      </c>
      <c r="P2442" s="7">
        <v>43270</v>
      </c>
      <c r="Q2442" s="6">
        <v>30</v>
      </c>
      <c r="S2442" s="6">
        <v>1711004</v>
      </c>
      <c r="T2442" s="6" t="e">
        <f>INDEX(医院2县区2人!$D$2:$D$1048576,MATCH(L2442,医院2县区2人!$A$2:$A$1048576,0))</f>
        <v>#N/A</v>
      </c>
      <c r="W2442" s="6" t="str">
        <f t="shared" si="79"/>
        <v>人工牛黄甲硝唑胶囊0.2g*10粒*3板</v>
      </c>
      <c r="X2442" s="6" t="s">
        <v>2904</v>
      </c>
    </row>
    <row r="2443" spans="1:24" x14ac:dyDescent="0.15">
      <c r="A2443" s="7" t="str">
        <f t="shared" si="80"/>
        <v>201806</v>
      </c>
      <c r="C2443" s="6">
        <f>INDEX(工厂基础数据!$A$2:$A$1024,MATCH(X2443,工厂基础数据!$D$2:$D$1024,0))</f>
        <v>0</v>
      </c>
      <c r="E2443" s="6" t="str">
        <f>INDEX(工厂基础数据!$B$2:$B$1024,MATCH(X2443,工厂基础数据!$D$2:$D$1024,0))</f>
        <v>济南广林医药有限公司</v>
      </c>
      <c r="F2443" s="6" t="e">
        <f>INDEX(商业2转码!$B$2:$B$10000,MATCH(E2443,商业2转码!$A$2:$A$10000,0))</f>
        <v>#N/A</v>
      </c>
      <c r="G2443" s="6">
        <f>INDEX(品种2编码!$A$2:$A$1048576,MATCH(W2443,品种2编码!$D$2:$D$1048576,0))</f>
        <v>0</v>
      </c>
      <c r="H2443" s="6" t="s">
        <v>586</v>
      </c>
      <c r="I2443" s="6" t="s">
        <v>3613</v>
      </c>
      <c r="L2443" s="6" t="s">
        <v>3572</v>
      </c>
      <c r="M2443" s="6" t="e">
        <f>INDEX(医院2县区2人!$B$2:$B$1048576,MATCH(L2443,医院2县区2人!$A$2:$A$1048576,0))</f>
        <v>#N/A</v>
      </c>
      <c r="N2443" s="6" t="e">
        <f>INDEX(医院2县区2人!$C$2:$C$1048576,MATCH(L2443,医院2县区2人!$A$2:$A$1048576,0))</f>
        <v>#N/A</v>
      </c>
      <c r="P2443" s="7">
        <v>43270</v>
      </c>
      <c r="Q2443" s="6">
        <v>20</v>
      </c>
      <c r="S2443" s="6">
        <v>1711004</v>
      </c>
      <c r="T2443" s="6" t="e">
        <f>INDEX(医院2县区2人!$D$2:$D$1048576,MATCH(L2443,医院2县区2人!$A$2:$A$1048576,0))</f>
        <v>#N/A</v>
      </c>
      <c r="W2443" s="6" t="str">
        <f t="shared" si="79"/>
        <v>人工牛黄甲硝唑胶囊0.2g*10粒*3板</v>
      </c>
      <c r="X2443" s="6" t="s">
        <v>2904</v>
      </c>
    </row>
    <row r="2444" spans="1:24" x14ac:dyDescent="0.15">
      <c r="A2444" s="7" t="str">
        <f t="shared" si="80"/>
        <v>201806</v>
      </c>
      <c r="C2444" s="6">
        <f>INDEX(工厂基础数据!$A$2:$A$1024,MATCH(X2444,工厂基础数据!$D$2:$D$1024,0))</f>
        <v>0</v>
      </c>
      <c r="E2444" s="6" t="str">
        <f>INDEX(工厂基础数据!$B$2:$B$1024,MATCH(X2444,工厂基础数据!$D$2:$D$1024,0))</f>
        <v>济南广林医药有限公司</v>
      </c>
      <c r="F2444" s="6" t="e">
        <f>INDEX(商业2转码!$B$2:$B$10000,MATCH(E2444,商业2转码!$A$2:$A$10000,0))</f>
        <v>#N/A</v>
      </c>
      <c r="G2444" s="6">
        <f>INDEX(品种2编码!$A$2:$A$1048576,MATCH(W2444,品种2编码!$D$2:$D$1048576,0))</f>
        <v>0</v>
      </c>
      <c r="H2444" s="6" t="s">
        <v>586</v>
      </c>
      <c r="I2444" s="6" t="s">
        <v>3613</v>
      </c>
      <c r="L2444" s="6" t="s">
        <v>3538</v>
      </c>
      <c r="M2444" s="6" t="e">
        <f>INDEX(医院2县区2人!$B$2:$B$1048576,MATCH(L2444,医院2县区2人!$A$2:$A$1048576,0))</f>
        <v>#N/A</v>
      </c>
      <c r="N2444" s="6" t="e">
        <f>INDEX(医院2县区2人!$C$2:$C$1048576,MATCH(L2444,医院2县区2人!$A$2:$A$1048576,0))</f>
        <v>#N/A</v>
      </c>
      <c r="P2444" s="7">
        <v>43272</v>
      </c>
      <c r="Q2444" s="6">
        <v>10</v>
      </c>
      <c r="S2444" s="6">
        <v>1711004</v>
      </c>
      <c r="T2444" s="6" t="e">
        <f>INDEX(医院2县区2人!$D$2:$D$1048576,MATCH(L2444,医院2县区2人!$A$2:$A$1048576,0))</f>
        <v>#N/A</v>
      </c>
      <c r="W2444" s="6" t="str">
        <f t="shared" si="79"/>
        <v>人工牛黄甲硝唑胶囊0.2g*10粒*3板</v>
      </c>
      <c r="X2444" s="6" t="s">
        <v>2904</v>
      </c>
    </row>
    <row r="2445" spans="1:24" x14ac:dyDescent="0.15">
      <c r="A2445" s="7" t="str">
        <f t="shared" si="80"/>
        <v>201806</v>
      </c>
      <c r="C2445" s="6">
        <f>INDEX(工厂基础数据!$A$2:$A$1024,MATCH(X2445,工厂基础数据!$D$2:$D$1024,0))</f>
        <v>0</v>
      </c>
      <c r="E2445" s="6" t="str">
        <f>INDEX(工厂基础数据!$B$2:$B$1024,MATCH(X2445,工厂基础数据!$D$2:$D$1024,0))</f>
        <v>济南广林医药有限公司</v>
      </c>
      <c r="F2445" s="6" t="e">
        <f>INDEX(商业2转码!$B$2:$B$10000,MATCH(E2445,商业2转码!$A$2:$A$10000,0))</f>
        <v>#N/A</v>
      </c>
      <c r="G2445" s="6">
        <f>INDEX(品种2编码!$A$2:$A$1048576,MATCH(W2445,品种2编码!$D$2:$D$1048576,0))</f>
        <v>0</v>
      </c>
      <c r="H2445" s="6" t="s">
        <v>586</v>
      </c>
      <c r="I2445" s="6" t="s">
        <v>3613</v>
      </c>
      <c r="L2445" s="6" t="s">
        <v>3564</v>
      </c>
      <c r="M2445" s="6" t="e">
        <f>INDEX(医院2县区2人!$B$2:$B$1048576,MATCH(L2445,医院2县区2人!$A$2:$A$1048576,0))</f>
        <v>#N/A</v>
      </c>
      <c r="N2445" s="6" t="e">
        <f>INDEX(医院2县区2人!$C$2:$C$1048576,MATCH(L2445,医院2县区2人!$A$2:$A$1048576,0))</f>
        <v>#N/A</v>
      </c>
      <c r="P2445" s="7">
        <v>43276</v>
      </c>
      <c r="Q2445" s="6">
        <v>30</v>
      </c>
      <c r="S2445" s="6">
        <v>1711004</v>
      </c>
      <c r="T2445" s="6" t="e">
        <f>INDEX(医院2县区2人!$D$2:$D$1048576,MATCH(L2445,医院2县区2人!$A$2:$A$1048576,0))</f>
        <v>#N/A</v>
      </c>
      <c r="W2445" s="6" t="str">
        <f t="shared" si="79"/>
        <v>人工牛黄甲硝唑胶囊0.2g*10粒*3板</v>
      </c>
      <c r="X2445" s="6" t="s">
        <v>2904</v>
      </c>
    </row>
    <row r="2446" spans="1:24" x14ac:dyDescent="0.15">
      <c r="A2446" s="7" t="str">
        <f t="shared" si="80"/>
        <v>201806</v>
      </c>
      <c r="C2446" s="6">
        <f>INDEX(工厂基础数据!$A$2:$A$1024,MATCH(X2446,工厂基础数据!$D$2:$D$1024,0))</f>
        <v>0</v>
      </c>
      <c r="E2446" s="6" t="str">
        <f>INDEX(工厂基础数据!$B$2:$B$1024,MATCH(X2446,工厂基础数据!$D$2:$D$1024,0))</f>
        <v>济南广林医药有限公司</v>
      </c>
      <c r="F2446" s="6" t="e">
        <f>INDEX(商业2转码!$B$2:$B$10000,MATCH(E2446,商业2转码!$A$2:$A$10000,0))</f>
        <v>#N/A</v>
      </c>
      <c r="G2446" s="6">
        <f>INDEX(品种2编码!$A$2:$A$1048576,MATCH(W2446,品种2编码!$D$2:$D$1048576,0))</f>
        <v>0</v>
      </c>
      <c r="H2446" s="6" t="s">
        <v>586</v>
      </c>
      <c r="I2446" s="6" t="s">
        <v>3613</v>
      </c>
      <c r="L2446" s="6" t="s">
        <v>3601</v>
      </c>
      <c r="M2446" s="6" t="e">
        <f>INDEX(医院2县区2人!$B$2:$B$1048576,MATCH(L2446,医院2县区2人!$A$2:$A$1048576,0))</f>
        <v>#N/A</v>
      </c>
      <c r="N2446" s="6" t="e">
        <f>INDEX(医院2县区2人!$C$2:$C$1048576,MATCH(L2446,医院2县区2人!$A$2:$A$1048576,0))</f>
        <v>#N/A</v>
      </c>
      <c r="P2446" s="7">
        <v>43279</v>
      </c>
      <c r="Q2446" s="6">
        <v>20</v>
      </c>
      <c r="S2446" s="6">
        <v>1711004</v>
      </c>
      <c r="T2446" s="6" t="e">
        <f>INDEX(医院2县区2人!$D$2:$D$1048576,MATCH(L2446,医院2县区2人!$A$2:$A$1048576,0))</f>
        <v>#N/A</v>
      </c>
      <c r="W2446" s="6" t="str">
        <f t="shared" si="79"/>
        <v>人工牛黄甲硝唑胶囊0.2g*10粒*3板</v>
      </c>
      <c r="X2446" s="6" t="s">
        <v>2904</v>
      </c>
    </row>
    <row r="2447" spans="1:24" x14ac:dyDescent="0.15">
      <c r="A2447" s="7" t="str">
        <f t="shared" si="80"/>
        <v>201806</v>
      </c>
      <c r="C2447" s="6">
        <f>INDEX(工厂基础数据!$A$2:$A$1024,MATCH(X2447,工厂基础数据!$D$2:$D$1024,0))</f>
        <v>0</v>
      </c>
      <c r="E2447" s="6" t="str">
        <f>INDEX(工厂基础数据!$B$2:$B$1024,MATCH(X2447,工厂基础数据!$D$2:$D$1024,0))</f>
        <v>济南广林医药有限公司</v>
      </c>
      <c r="F2447" s="6" t="e">
        <f>INDEX(商业2转码!$B$2:$B$10000,MATCH(E2447,商业2转码!$A$2:$A$10000,0))</f>
        <v>#N/A</v>
      </c>
      <c r="G2447" s="6" t="str">
        <f>INDEX(品种2编码!$A$2:$A$1048576,MATCH(W2447,品种2编码!$D$2:$D$1048576,0))</f>
        <v>0020050090SJZY0001</v>
      </c>
      <c r="H2447" s="6" t="s">
        <v>630</v>
      </c>
      <c r="I2447" s="6" t="s">
        <v>1850</v>
      </c>
      <c r="L2447" s="6" t="s">
        <v>3558</v>
      </c>
      <c r="M2447" s="6" t="e">
        <f>INDEX(医院2县区2人!$B$2:$B$1048576,MATCH(L2447,医院2县区2人!$A$2:$A$1048576,0))</f>
        <v>#N/A</v>
      </c>
      <c r="N2447" s="6" t="e">
        <f>INDEX(医院2县区2人!$C$2:$C$1048576,MATCH(L2447,医院2县区2人!$A$2:$A$1048576,0))</f>
        <v>#N/A</v>
      </c>
      <c r="P2447" s="7">
        <v>43263</v>
      </c>
      <c r="Q2447" s="6">
        <v>4</v>
      </c>
      <c r="S2447" s="6">
        <v>18011213</v>
      </c>
      <c r="T2447" s="6" t="e">
        <f>INDEX(医院2县区2人!$D$2:$D$1048576,MATCH(L2447,医院2县区2人!$A$2:$A$1048576,0))</f>
        <v>#N/A</v>
      </c>
      <c r="W2447" s="6" t="str">
        <f t="shared" si="79"/>
        <v>双黄连口服液10ml*10支</v>
      </c>
      <c r="X2447" s="6" t="s">
        <v>2904</v>
      </c>
    </row>
    <row r="2448" spans="1:24" x14ac:dyDescent="0.15">
      <c r="A2448" s="7" t="str">
        <f t="shared" si="80"/>
        <v>201806</v>
      </c>
      <c r="C2448" s="6">
        <f>INDEX(工厂基础数据!$A$2:$A$1024,MATCH(X2448,工厂基础数据!$D$2:$D$1024,0))</f>
        <v>0</v>
      </c>
      <c r="E2448" s="6" t="str">
        <f>INDEX(工厂基础数据!$B$2:$B$1024,MATCH(X2448,工厂基础数据!$D$2:$D$1024,0))</f>
        <v>济南广林医药有限公司</v>
      </c>
      <c r="F2448" s="6" t="e">
        <f>INDEX(商业2转码!$B$2:$B$10000,MATCH(E2448,商业2转码!$A$2:$A$10000,0))</f>
        <v>#N/A</v>
      </c>
      <c r="G2448" s="6" t="str">
        <f>INDEX(品种2编码!$A$2:$A$1048576,MATCH(W2448,品种2编码!$D$2:$D$1048576,0))</f>
        <v>0020050090SJZY0001</v>
      </c>
      <c r="H2448" s="6" t="s">
        <v>630</v>
      </c>
      <c r="I2448" s="6" t="s">
        <v>1850</v>
      </c>
      <c r="L2448" s="6" t="s">
        <v>3562</v>
      </c>
      <c r="M2448" s="6" t="e">
        <f>INDEX(医院2县区2人!$B$2:$B$1048576,MATCH(L2448,医院2县区2人!$A$2:$A$1048576,0))</f>
        <v>#N/A</v>
      </c>
      <c r="N2448" s="6" t="e">
        <f>INDEX(医院2县区2人!$C$2:$C$1048576,MATCH(L2448,医院2县区2人!$A$2:$A$1048576,0))</f>
        <v>#N/A</v>
      </c>
      <c r="P2448" s="7">
        <v>43266</v>
      </c>
      <c r="Q2448" s="6">
        <v>5</v>
      </c>
      <c r="S2448" s="6">
        <v>18011213</v>
      </c>
      <c r="T2448" s="6" t="e">
        <f>INDEX(医院2县区2人!$D$2:$D$1048576,MATCH(L2448,医院2县区2人!$A$2:$A$1048576,0))</f>
        <v>#N/A</v>
      </c>
      <c r="W2448" s="6" t="str">
        <f t="shared" si="79"/>
        <v>双黄连口服液10ml*10支</v>
      </c>
      <c r="X2448" s="6" t="s">
        <v>2904</v>
      </c>
    </row>
    <row r="2449" spans="1:24" x14ac:dyDescent="0.15">
      <c r="A2449" s="7" t="str">
        <f t="shared" si="80"/>
        <v>201806</v>
      </c>
      <c r="C2449" s="6">
        <f>INDEX(工厂基础数据!$A$2:$A$1024,MATCH(X2449,工厂基础数据!$D$2:$D$1024,0))</f>
        <v>0</v>
      </c>
      <c r="E2449" s="6" t="str">
        <f>INDEX(工厂基础数据!$B$2:$B$1024,MATCH(X2449,工厂基础数据!$D$2:$D$1024,0))</f>
        <v>济南广林医药有限公司</v>
      </c>
      <c r="F2449" s="6" t="e">
        <f>INDEX(商业2转码!$B$2:$B$10000,MATCH(E2449,商业2转码!$A$2:$A$10000,0))</f>
        <v>#N/A</v>
      </c>
      <c r="G2449" s="6" t="str">
        <f>INDEX(品种2编码!$A$2:$A$1048576,MATCH(W2449,品种2编码!$D$2:$D$1048576,0))</f>
        <v>0020050090SJZY0001</v>
      </c>
      <c r="H2449" s="6" t="s">
        <v>630</v>
      </c>
      <c r="I2449" s="6" t="s">
        <v>1850</v>
      </c>
      <c r="L2449" s="6" t="s">
        <v>3097</v>
      </c>
      <c r="M2449" s="6" t="e">
        <f>INDEX(医院2县区2人!$B$2:$B$1048576,MATCH(L2449,医院2县区2人!$A$2:$A$1048576,0))</f>
        <v>#N/A</v>
      </c>
      <c r="N2449" s="6" t="e">
        <f>INDEX(医院2县区2人!$C$2:$C$1048576,MATCH(L2449,医院2县区2人!$A$2:$A$1048576,0))</f>
        <v>#N/A</v>
      </c>
      <c r="P2449" s="7">
        <v>43276</v>
      </c>
      <c r="Q2449" s="6">
        <v>30</v>
      </c>
      <c r="S2449" s="6">
        <v>18011213</v>
      </c>
      <c r="T2449" s="6" t="e">
        <f>INDEX(医院2县区2人!$D$2:$D$1048576,MATCH(L2449,医院2县区2人!$A$2:$A$1048576,0))</f>
        <v>#N/A</v>
      </c>
      <c r="W2449" s="6" t="str">
        <f t="shared" si="79"/>
        <v>双黄连口服液10ml*10支</v>
      </c>
      <c r="X2449" s="6" t="s">
        <v>2904</v>
      </c>
    </row>
    <row r="2450" spans="1:24" x14ac:dyDescent="0.15">
      <c r="A2450" s="7" t="str">
        <f t="shared" si="80"/>
        <v>201806</v>
      </c>
      <c r="C2450" s="6">
        <f>INDEX(工厂基础数据!$A$2:$A$1024,MATCH(X2450,工厂基础数据!$D$2:$D$1024,0))</f>
        <v>0</v>
      </c>
      <c r="E2450" s="6" t="str">
        <f>INDEX(工厂基础数据!$B$2:$B$1024,MATCH(X2450,工厂基础数据!$D$2:$D$1024,0))</f>
        <v>济南广林医药有限公司</v>
      </c>
      <c r="F2450" s="6" t="e">
        <f>INDEX(商业2转码!$B$2:$B$10000,MATCH(E2450,商业2转码!$A$2:$A$10000,0))</f>
        <v>#N/A</v>
      </c>
      <c r="G2450" s="6" t="str">
        <f>INDEX(品种2编码!$A$2:$A$1048576,MATCH(W2450,品种2编码!$D$2:$D$1048576,0))</f>
        <v>0020050090SJZY0001</v>
      </c>
      <c r="H2450" s="6" t="s">
        <v>630</v>
      </c>
      <c r="I2450" s="6" t="s">
        <v>1850</v>
      </c>
      <c r="L2450" s="6" t="s">
        <v>3602</v>
      </c>
      <c r="M2450" s="6" t="e">
        <f>INDEX(医院2县区2人!$B$2:$B$1048576,MATCH(L2450,医院2县区2人!$A$2:$A$1048576,0))</f>
        <v>#N/A</v>
      </c>
      <c r="N2450" s="6" t="e">
        <f>INDEX(医院2县区2人!$C$2:$C$1048576,MATCH(L2450,医院2县区2人!$A$2:$A$1048576,0))</f>
        <v>#N/A</v>
      </c>
      <c r="P2450" s="7">
        <v>43276</v>
      </c>
      <c r="Q2450" s="6">
        <v>20</v>
      </c>
      <c r="S2450" s="6">
        <v>18011213</v>
      </c>
      <c r="T2450" s="6" t="e">
        <f>INDEX(医院2县区2人!$D$2:$D$1048576,MATCH(L2450,医院2县区2人!$A$2:$A$1048576,0))</f>
        <v>#N/A</v>
      </c>
      <c r="W2450" s="6" t="str">
        <f t="shared" si="79"/>
        <v>双黄连口服液10ml*10支</v>
      </c>
      <c r="X2450" s="6" t="s">
        <v>2904</v>
      </c>
    </row>
    <row r="2451" spans="1:24" x14ac:dyDescent="0.15">
      <c r="A2451" s="7" t="str">
        <f t="shared" si="80"/>
        <v>201806</v>
      </c>
      <c r="C2451" s="6">
        <f>INDEX(工厂基础数据!$A$2:$A$1024,MATCH(X2451,工厂基础数据!$D$2:$D$1024,0))</f>
        <v>0</v>
      </c>
      <c r="E2451" s="6" t="str">
        <f>INDEX(工厂基础数据!$B$2:$B$1024,MATCH(X2451,工厂基础数据!$D$2:$D$1024,0))</f>
        <v>济南广林医药有限公司</v>
      </c>
      <c r="F2451" s="6" t="e">
        <f>INDEX(商业2转码!$B$2:$B$10000,MATCH(E2451,商业2转码!$A$2:$A$10000,0))</f>
        <v>#N/A</v>
      </c>
      <c r="G2451" s="6" t="str">
        <f>INDEX(品种2编码!$A$2:$A$1048576,MATCH(W2451,品种2编码!$D$2:$D$1048576,0))</f>
        <v>0020050090SJZY0001</v>
      </c>
      <c r="H2451" s="6" t="s">
        <v>630</v>
      </c>
      <c r="I2451" s="6" t="s">
        <v>1850</v>
      </c>
      <c r="L2451" s="6" t="s">
        <v>3535</v>
      </c>
      <c r="M2451" s="6" t="e">
        <f>INDEX(医院2县区2人!$B$2:$B$1048576,MATCH(L2451,医院2县区2人!$A$2:$A$1048576,0))</f>
        <v>#N/A</v>
      </c>
      <c r="N2451" s="6" t="e">
        <f>INDEX(医院2县区2人!$C$2:$C$1048576,MATCH(L2451,医院2县区2人!$A$2:$A$1048576,0))</f>
        <v>#N/A</v>
      </c>
      <c r="P2451" s="7">
        <v>43279</v>
      </c>
      <c r="Q2451" s="6">
        <v>10</v>
      </c>
      <c r="S2451" s="6">
        <v>18011213</v>
      </c>
      <c r="T2451" s="6" t="e">
        <f>INDEX(医院2县区2人!$D$2:$D$1048576,MATCH(L2451,医院2县区2人!$A$2:$A$1048576,0))</f>
        <v>#N/A</v>
      </c>
      <c r="W2451" s="6" t="str">
        <f t="shared" si="79"/>
        <v>双黄连口服液10ml*10支</v>
      </c>
      <c r="X2451" s="6" t="s">
        <v>2904</v>
      </c>
    </row>
    <row r="2452" spans="1:24" x14ac:dyDescent="0.15">
      <c r="A2452" s="7" t="str">
        <f t="shared" si="80"/>
        <v>201806</v>
      </c>
      <c r="C2452" s="6">
        <f>INDEX(工厂基础数据!$A$2:$A$1024,MATCH(X2452,工厂基础数据!$D$2:$D$1024,0))</f>
        <v>0</v>
      </c>
      <c r="E2452" s="6" t="str">
        <f>INDEX(工厂基础数据!$B$2:$B$1024,MATCH(X2452,工厂基础数据!$D$2:$D$1024,0))</f>
        <v>济南广林医药有限公司</v>
      </c>
      <c r="F2452" s="6" t="e">
        <f>INDEX(商业2转码!$B$2:$B$10000,MATCH(E2452,商业2转码!$A$2:$A$10000,0))</f>
        <v>#N/A</v>
      </c>
      <c r="G2452" s="6" t="str">
        <f>INDEX(品种2编码!$A$2:$A$1048576,MATCH(W2452,品种2编码!$D$2:$D$1048576,0))</f>
        <v>0020050090SJZY0001</v>
      </c>
      <c r="H2452" s="6" t="s">
        <v>630</v>
      </c>
      <c r="I2452" s="6" t="s">
        <v>1850</v>
      </c>
      <c r="L2452" s="6" t="s">
        <v>3602</v>
      </c>
      <c r="M2452" s="6" t="e">
        <f>INDEX(医院2县区2人!$B$2:$B$1048576,MATCH(L2452,医院2县区2人!$A$2:$A$1048576,0))</f>
        <v>#N/A</v>
      </c>
      <c r="N2452" s="6" t="e">
        <f>INDEX(医院2县区2人!$C$2:$C$1048576,MATCH(L2452,医院2县区2人!$A$2:$A$1048576,0))</f>
        <v>#N/A</v>
      </c>
      <c r="P2452" s="7">
        <v>43280</v>
      </c>
      <c r="Q2452" s="6">
        <v>5</v>
      </c>
      <c r="S2452" s="6">
        <v>18011213</v>
      </c>
      <c r="T2452" s="6" t="e">
        <f>INDEX(医院2县区2人!$D$2:$D$1048576,MATCH(L2452,医院2县区2人!$A$2:$A$1048576,0))</f>
        <v>#N/A</v>
      </c>
      <c r="W2452" s="6" t="str">
        <f t="shared" si="79"/>
        <v>双黄连口服液10ml*10支</v>
      </c>
      <c r="X2452" s="6" t="s">
        <v>2904</v>
      </c>
    </row>
    <row r="2453" spans="1:24" x14ac:dyDescent="0.15">
      <c r="A2453" s="7" t="str">
        <f t="shared" si="80"/>
        <v>201806</v>
      </c>
      <c r="C2453" s="6">
        <f>INDEX(工厂基础数据!$A$2:$A$1024,MATCH(X2453,工厂基础数据!$D$2:$D$1024,0))</f>
        <v>0</v>
      </c>
      <c r="E2453" s="6" t="str">
        <f>INDEX(工厂基础数据!$B$2:$B$1024,MATCH(X2453,工厂基础数据!$D$2:$D$1024,0))</f>
        <v>济南广林医药有限公司</v>
      </c>
      <c r="F2453" s="6" t="e">
        <f>INDEX(商业2转码!$B$2:$B$10000,MATCH(E2453,商业2转码!$A$2:$A$10000,0))</f>
        <v>#N/A</v>
      </c>
      <c r="G2453" s="6">
        <f>INDEX(品种2编码!$A$2:$A$1048576,MATCH(W2453,品种2编码!$D$2:$D$1048576,0))</f>
        <v>0</v>
      </c>
      <c r="H2453" s="6" t="s">
        <v>702</v>
      </c>
      <c r="I2453" s="6" t="s">
        <v>1954</v>
      </c>
      <c r="L2453" s="6" t="s">
        <v>3539</v>
      </c>
      <c r="M2453" s="6" t="e">
        <f>INDEX(医院2县区2人!$B$2:$B$1048576,MATCH(L2453,医院2县区2人!$A$2:$A$1048576,0))</f>
        <v>#N/A</v>
      </c>
      <c r="N2453" s="6" t="e">
        <f>INDEX(医院2县区2人!$C$2:$C$1048576,MATCH(L2453,医院2县区2人!$A$2:$A$1048576,0))</f>
        <v>#N/A</v>
      </c>
      <c r="P2453" s="7">
        <v>43258</v>
      </c>
      <c r="Q2453" s="6">
        <v>5</v>
      </c>
      <c r="S2453" s="6">
        <v>171117</v>
      </c>
      <c r="T2453" s="6" t="e">
        <f>INDEX(医院2县区2人!$D$2:$D$1048576,MATCH(L2453,医院2县区2人!$A$2:$A$1048576,0))</f>
        <v>#N/A</v>
      </c>
      <c r="W2453" s="6" t="str">
        <f t="shared" si="79"/>
        <v>小儿氨酚黄那敏颗粒(护彤)12袋</v>
      </c>
      <c r="X2453" s="6" t="s">
        <v>2904</v>
      </c>
    </row>
    <row r="2454" spans="1:24" x14ac:dyDescent="0.15">
      <c r="A2454" s="7" t="str">
        <f t="shared" si="80"/>
        <v>201806</v>
      </c>
      <c r="C2454" s="6">
        <f>INDEX(工厂基础数据!$A$2:$A$1024,MATCH(X2454,工厂基础数据!$D$2:$D$1024,0))</f>
        <v>0</v>
      </c>
      <c r="E2454" s="6" t="str">
        <f>INDEX(工厂基础数据!$B$2:$B$1024,MATCH(X2454,工厂基础数据!$D$2:$D$1024,0))</f>
        <v>济南广林医药有限公司</v>
      </c>
      <c r="F2454" s="6" t="e">
        <f>INDEX(商业2转码!$B$2:$B$10000,MATCH(E2454,商业2转码!$A$2:$A$10000,0))</f>
        <v>#N/A</v>
      </c>
      <c r="G2454" s="6">
        <f>INDEX(品种2编码!$A$2:$A$1048576,MATCH(W2454,品种2编码!$D$2:$D$1048576,0))</f>
        <v>0</v>
      </c>
      <c r="H2454" s="6" t="s">
        <v>702</v>
      </c>
      <c r="I2454" s="6" t="s">
        <v>1954</v>
      </c>
      <c r="L2454" s="6" t="s">
        <v>3544</v>
      </c>
      <c r="M2454" s="6" t="e">
        <f>INDEX(医院2县区2人!$B$2:$B$1048576,MATCH(L2454,医院2县区2人!$A$2:$A$1048576,0))</f>
        <v>#N/A</v>
      </c>
      <c r="N2454" s="6" t="e">
        <f>INDEX(医院2县区2人!$C$2:$C$1048576,MATCH(L2454,医院2县区2人!$A$2:$A$1048576,0))</f>
        <v>#N/A</v>
      </c>
      <c r="P2454" s="7">
        <v>43258</v>
      </c>
      <c r="Q2454" s="6">
        <v>1</v>
      </c>
      <c r="S2454" s="6">
        <v>180184</v>
      </c>
      <c r="T2454" s="6" t="e">
        <f>INDEX(医院2县区2人!$D$2:$D$1048576,MATCH(L2454,医院2县区2人!$A$2:$A$1048576,0))</f>
        <v>#N/A</v>
      </c>
      <c r="W2454" s="6" t="str">
        <f t="shared" si="79"/>
        <v>小儿氨酚黄那敏颗粒(护彤)12袋</v>
      </c>
      <c r="X2454" s="6" t="s">
        <v>2904</v>
      </c>
    </row>
    <row r="2455" spans="1:24" x14ac:dyDescent="0.15">
      <c r="A2455" s="7" t="str">
        <f t="shared" si="80"/>
        <v>201806</v>
      </c>
      <c r="C2455" s="6">
        <f>INDEX(工厂基础数据!$A$2:$A$1024,MATCH(X2455,工厂基础数据!$D$2:$D$1024,0))</f>
        <v>0</v>
      </c>
      <c r="E2455" s="6" t="str">
        <f>INDEX(工厂基础数据!$B$2:$B$1024,MATCH(X2455,工厂基础数据!$D$2:$D$1024,0))</f>
        <v>济南广林医药有限公司</v>
      </c>
      <c r="F2455" s="6" t="e">
        <f>INDEX(商业2转码!$B$2:$B$10000,MATCH(E2455,商业2转码!$A$2:$A$10000,0))</f>
        <v>#N/A</v>
      </c>
      <c r="G2455" s="6">
        <f>INDEX(品种2编码!$A$2:$A$1048576,MATCH(W2455,品种2编码!$D$2:$D$1048576,0))</f>
        <v>0</v>
      </c>
      <c r="H2455" s="6" t="s">
        <v>702</v>
      </c>
      <c r="I2455" s="6" t="s">
        <v>1954</v>
      </c>
      <c r="L2455" s="6" t="s">
        <v>3526</v>
      </c>
      <c r="M2455" s="6" t="e">
        <f>INDEX(医院2县区2人!$B$2:$B$1048576,MATCH(L2455,医院2县区2人!$A$2:$A$1048576,0))</f>
        <v>#N/A</v>
      </c>
      <c r="N2455" s="6" t="e">
        <f>INDEX(医院2县区2人!$C$2:$C$1048576,MATCH(L2455,医院2县区2人!$A$2:$A$1048576,0))</f>
        <v>#N/A</v>
      </c>
      <c r="P2455" s="7">
        <v>43260</v>
      </c>
      <c r="Q2455" s="6">
        <v>2</v>
      </c>
      <c r="S2455" s="6">
        <v>171117</v>
      </c>
      <c r="T2455" s="6" t="e">
        <f>INDEX(医院2县区2人!$D$2:$D$1048576,MATCH(L2455,医院2县区2人!$A$2:$A$1048576,0))</f>
        <v>#N/A</v>
      </c>
      <c r="W2455" s="6" t="str">
        <f t="shared" si="79"/>
        <v>小儿氨酚黄那敏颗粒(护彤)12袋</v>
      </c>
      <c r="X2455" s="6" t="s">
        <v>2904</v>
      </c>
    </row>
    <row r="2456" spans="1:24" x14ac:dyDescent="0.15">
      <c r="A2456" s="7" t="str">
        <f t="shared" si="80"/>
        <v>201806</v>
      </c>
      <c r="C2456" s="6">
        <f>INDEX(工厂基础数据!$A$2:$A$1024,MATCH(X2456,工厂基础数据!$D$2:$D$1024,0))</f>
        <v>0</v>
      </c>
      <c r="E2456" s="6" t="str">
        <f>INDEX(工厂基础数据!$B$2:$B$1024,MATCH(X2456,工厂基础数据!$D$2:$D$1024,0))</f>
        <v>济南广林医药有限公司</v>
      </c>
      <c r="F2456" s="6" t="e">
        <f>INDEX(商业2转码!$B$2:$B$10000,MATCH(E2456,商业2转码!$A$2:$A$10000,0))</f>
        <v>#N/A</v>
      </c>
      <c r="G2456" s="6">
        <f>INDEX(品种2编码!$A$2:$A$1048576,MATCH(W2456,品种2编码!$D$2:$D$1048576,0))</f>
        <v>0</v>
      </c>
      <c r="H2456" s="6" t="s">
        <v>702</v>
      </c>
      <c r="I2456" s="6" t="s">
        <v>1954</v>
      </c>
      <c r="L2456" s="6" t="s">
        <v>3563</v>
      </c>
      <c r="M2456" s="6" t="e">
        <f>INDEX(医院2县区2人!$B$2:$B$1048576,MATCH(L2456,医院2县区2人!$A$2:$A$1048576,0))</f>
        <v>#N/A</v>
      </c>
      <c r="N2456" s="6" t="e">
        <f>INDEX(医院2县区2人!$C$2:$C$1048576,MATCH(L2456,医院2县区2人!$A$2:$A$1048576,0))</f>
        <v>#N/A</v>
      </c>
      <c r="P2456" s="7">
        <v>43263</v>
      </c>
      <c r="Q2456" s="6">
        <v>5</v>
      </c>
      <c r="S2456" s="6">
        <v>180184</v>
      </c>
      <c r="T2456" s="6" t="e">
        <f>INDEX(医院2县区2人!$D$2:$D$1048576,MATCH(L2456,医院2县区2人!$A$2:$A$1048576,0))</f>
        <v>#N/A</v>
      </c>
      <c r="W2456" s="6" t="str">
        <f t="shared" si="79"/>
        <v>小儿氨酚黄那敏颗粒(护彤)12袋</v>
      </c>
      <c r="X2456" s="6" t="s">
        <v>2904</v>
      </c>
    </row>
    <row r="2457" spans="1:24" x14ac:dyDescent="0.15">
      <c r="A2457" s="7" t="str">
        <f t="shared" si="80"/>
        <v>201806</v>
      </c>
      <c r="C2457" s="6">
        <f>INDEX(工厂基础数据!$A$2:$A$1024,MATCH(X2457,工厂基础数据!$D$2:$D$1024,0))</f>
        <v>0</v>
      </c>
      <c r="E2457" s="6" t="str">
        <f>INDEX(工厂基础数据!$B$2:$B$1024,MATCH(X2457,工厂基础数据!$D$2:$D$1024,0))</f>
        <v>济南广林医药有限公司</v>
      </c>
      <c r="F2457" s="6" t="e">
        <f>INDEX(商业2转码!$B$2:$B$10000,MATCH(E2457,商业2转码!$A$2:$A$10000,0))</f>
        <v>#N/A</v>
      </c>
      <c r="G2457" s="6">
        <f>INDEX(品种2编码!$A$2:$A$1048576,MATCH(W2457,品种2编码!$D$2:$D$1048576,0))</f>
        <v>0</v>
      </c>
      <c r="H2457" s="6" t="s">
        <v>702</v>
      </c>
      <c r="I2457" s="6" t="s">
        <v>1954</v>
      </c>
      <c r="L2457" s="6" t="s">
        <v>3526</v>
      </c>
      <c r="M2457" s="6" t="e">
        <f>INDEX(医院2县区2人!$B$2:$B$1048576,MATCH(L2457,医院2县区2人!$A$2:$A$1048576,0))</f>
        <v>#N/A</v>
      </c>
      <c r="N2457" s="6" t="e">
        <f>INDEX(医院2县区2人!$C$2:$C$1048576,MATCH(L2457,医院2县区2人!$A$2:$A$1048576,0))</f>
        <v>#N/A</v>
      </c>
      <c r="P2457" s="7">
        <v>43265</v>
      </c>
      <c r="Q2457" s="6">
        <v>20</v>
      </c>
      <c r="S2457" s="6">
        <v>171117</v>
      </c>
      <c r="T2457" s="6" t="e">
        <f>INDEX(医院2县区2人!$D$2:$D$1048576,MATCH(L2457,医院2县区2人!$A$2:$A$1048576,0))</f>
        <v>#N/A</v>
      </c>
      <c r="W2457" s="6" t="str">
        <f t="shared" si="79"/>
        <v>小儿氨酚黄那敏颗粒(护彤)12袋</v>
      </c>
      <c r="X2457" s="6" t="s">
        <v>2904</v>
      </c>
    </row>
    <row r="2458" spans="1:24" x14ac:dyDescent="0.15">
      <c r="A2458" s="7" t="str">
        <f t="shared" si="80"/>
        <v>201806</v>
      </c>
      <c r="C2458" s="6">
        <f>INDEX(工厂基础数据!$A$2:$A$1024,MATCH(X2458,工厂基础数据!$D$2:$D$1024,0))</f>
        <v>0</v>
      </c>
      <c r="E2458" s="6" t="str">
        <f>INDEX(工厂基础数据!$B$2:$B$1024,MATCH(X2458,工厂基础数据!$D$2:$D$1024,0))</f>
        <v>济南广林医药有限公司</v>
      </c>
      <c r="F2458" s="6" t="e">
        <f>INDEX(商业2转码!$B$2:$B$10000,MATCH(E2458,商业2转码!$A$2:$A$10000,0))</f>
        <v>#N/A</v>
      </c>
      <c r="G2458" s="6">
        <f>INDEX(品种2编码!$A$2:$A$1048576,MATCH(W2458,品种2编码!$D$2:$D$1048576,0))</f>
        <v>0</v>
      </c>
      <c r="H2458" s="6" t="s">
        <v>702</v>
      </c>
      <c r="I2458" s="6" t="s">
        <v>1954</v>
      </c>
      <c r="L2458" s="6" t="s">
        <v>3562</v>
      </c>
      <c r="M2458" s="6" t="e">
        <f>INDEX(医院2县区2人!$B$2:$B$1048576,MATCH(L2458,医院2县区2人!$A$2:$A$1048576,0))</f>
        <v>#N/A</v>
      </c>
      <c r="N2458" s="6" t="e">
        <f>INDEX(医院2县区2人!$C$2:$C$1048576,MATCH(L2458,医院2县区2人!$A$2:$A$1048576,0))</f>
        <v>#N/A</v>
      </c>
      <c r="P2458" s="7">
        <v>43266</v>
      </c>
      <c r="Q2458" s="6">
        <v>10</v>
      </c>
      <c r="S2458" s="6">
        <v>171117</v>
      </c>
      <c r="T2458" s="6" t="e">
        <f>INDEX(医院2县区2人!$D$2:$D$1048576,MATCH(L2458,医院2县区2人!$A$2:$A$1048576,0))</f>
        <v>#N/A</v>
      </c>
      <c r="W2458" s="6" t="str">
        <f t="shared" si="79"/>
        <v>小儿氨酚黄那敏颗粒(护彤)12袋</v>
      </c>
      <c r="X2458" s="6" t="s">
        <v>2904</v>
      </c>
    </row>
    <row r="2459" spans="1:24" x14ac:dyDescent="0.15">
      <c r="A2459" s="7" t="str">
        <f t="shared" si="80"/>
        <v>201806</v>
      </c>
      <c r="C2459" s="6">
        <f>INDEX(工厂基础数据!$A$2:$A$1024,MATCH(X2459,工厂基础数据!$D$2:$D$1024,0))</f>
        <v>0</v>
      </c>
      <c r="E2459" s="6" t="str">
        <f>INDEX(工厂基础数据!$B$2:$B$1024,MATCH(X2459,工厂基础数据!$D$2:$D$1024,0))</f>
        <v>济南广林医药有限公司</v>
      </c>
      <c r="F2459" s="6" t="e">
        <f>INDEX(商业2转码!$B$2:$B$10000,MATCH(E2459,商业2转码!$A$2:$A$10000,0))</f>
        <v>#N/A</v>
      </c>
      <c r="G2459" s="6">
        <f>INDEX(品种2编码!$A$2:$A$1048576,MATCH(W2459,品种2编码!$D$2:$D$1048576,0))</f>
        <v>0</v>
      </c>
      <c r="H2459" s="6" t="s">
        <v>702</v>
      </c>
      <c r="I2459" s="6" t="s">
        <v>1954</v>
      </c>
      <c r="L2459" s="6" t="s">
        <v>3539</v>
      </c>
      <c r="M2459" s="6" t="e">
        <f>INDEX(医院2县区2人!$B$2:$B$1048576,MATCH(L2459,医院2县区2人!$A$2:$A$1048576,0))</f>
        <v>#N/A</v>
      </c>
      <c r="N2459" s="6" t="e">
        <f>INDEX(医院2县区2人!$C$2:$C$1048576,MATCH(L2459,医院2县区2人!$A$2:$A$1048576,0))</f>
        <v>#N/A</v>
      </c>
      <c r="P2459" s="7">
        <v>43269</v>
      </c>
      <c r="Q2459" s="6">
        <v>5</v>
      </c>
      <c r="S2459" s="6">
        <v>180184</v>
      </c>
      <c r="T2459" s="6" t="e">
        <f>INDEX(医院2县区2人!$D$2:$D$1048576,MATCH(L2459,医院2县区2人!$A$2:$A$1048576,0))</f>
        <v>#N/A</v>
      </c>
      <c r="W2459" s="6" t="str">
        <f t="shared" si="79"/>
        <v>小儿氨酚黄那敏颗粒(护彤)12袋</v>
      </c>
      <c r="X2459" s="6" t="s">
        <v>2904</v>
      </c>
    </row>
    <row r="2460" spans="1:24" x14ac:dyDescent="0.15">
      <c r="A2460" s="7" t="str">
        <f t="shared" si="80"/>
        <v>201806</v>
      </c>
      <c r="C2460" s="6">
        <f>INDEX(工厂基础数据!$A$2:$A$1024,MATCH(X2460,工厂基础数据!$D$2:$D$1024,0))</f>
        <v>0</v>
      </c>
      <c r="E2460" s="6" t="str">
        <f>INDEX(工厂基础数据!$B$2:$B$1024,MATCH(X2460,工厂基础数据!$D$2:$D$1024,0))</f>
        <v>济南广林医药有限公司</v>
      </c>
      <c r="F2460" s="6" t="e">
        <f>INDEX(商业2转码!$B$2:$B$10000,MATCH(E2460,商业2转码!$A$2:$A$10000,0))</f>
        <v>#N/A</v>
      </c>
      <c r="G2460" s="6">
        <f>INDEX(品种2编码!$A$2:$A$1048576,MATCH(W2460,品种2编码!$D$2:$D$1048576,0))</f>
        <v>0</v>
      </c>
      <c r="H2460" s="6" t="s">
        <v>702</v>
      </c>
      <c r="I2460" s="6" t="s">
        <v>1954</v>
      </c>
      <c r="L2460" s="6" t="s">
        <v>3528</v>
      </c>
      <c r="M2460" s="6" t="e">
        <f>INDEX(医院2县区2人!$B$2:$B$1048576,MATCH(L2460,医院2县区2人!$A$2:$A$1048576,0))</f>
        <v>#N/A</v>
      </c>
      <c r="N2460" s="6" t="e">
        <f>INDEX(医院2县区2人!$C$2:$C$1048576,MATCH(L2460,医院2县区2人!$A$2:$A$1048576,0))</f>
        <v>#N/A</v>
      </c>
      <c r="P2460" s="7">
        <v>43270</v>
      </c>
      <c r="Q2460" s="6">
        <v>5</v>
      </c>
      <c r="S2460" s="6">
        <v>180184</v>
      </c>
      <c r="T2460" s="6" t="e">
        <f>INDEX(医院2县区2人!$D$2:$D$1048576,MATCH(L2460,医院2县区2人!$A$2:$A$1048576,0))</f>
        <v>#N/A</v>
      </c>
      <c r="W2460" s="6" t="str">
        <f t="shared" si="79"/>
        <v>小儿氨酚黄那敏颗粒(护彤)12袋</v>
      </c>
      <c r="X2460" s="6" t="s">
        <v>2904</v>
      </c>
    </row>
    <row r="2461" spans="1:24" x14ac:dyDescent="0.15">
      <c r="A2461" s="7" t="str">
        <f t="shared" si="80"/>
        <v>201806</v>
      </c>
      <c r="C2461" s="6">
        <f>INDEX(工厂基础数据!$A$2:$A$1024,MATCH(X2461,工厂基础数据!$D$2:$D$1024,0))</f>
        <v>0</v>
      </c>
      <c r="E2461" s="6" t="str">
        <f>INDEX(工厂基础数据!$B$2:$B$1024,MATCH(X2461,工厂基础数据!$D$2:$D$1024,0))</f>
        <v>济南广林医药有限公司</v>
      </c>
      <c r="F2461" s="6" t="e">
        <f>INDEX(商业2转码!$B$2:$B$10000,MATCH(E2461,商业2转码!$A$2:$A$10000,0))</f>
        <v>#N/A</v>
      </c>
      <c r="G2461" s="6">
        <f>INDEX(品种2编码!$A$2:$A$1048576,MATCH(W2461,品种2编码!$D$2:$D$1048576,0))</f>
        <v>0</v>
      </c>
      <c r="H2461" s="6" t="s">
        <v>702</v>
      </c>
      <c r="I2461" s="6" t="s">
        <v>1954</v>
      </c>
      <c r="L2461" s="6" t="s">
        <v>3524</v>
      </c>
      <c r="M2461" s="6" t="e">
        <f>INDEX(医院2县区2人!$B$2:$B$1048576,MATCH(L2461,医院2县区2人!$A$2:$A$1048576,0))</f>
        <v>#N/A</v>
      </c>
      <c r="N2461" s="6" t="e">
        <f>INDEX(医院2县区2人!$C$2:$C$1048576,MATCH(L2461,医院2县区2人!$A$2:$A$1048576,0))</f>
        <v>#N/A</v>
      </c>
      <c r="P2461" s="7">
        <v>43272</v>
      </c>
      <c r="Q2461" s="6">
        <v>10</v>
      </c>
      <c r="S2461" s="6">
        <v>171117</v>
      </c>
      <c r="T2461" s="6" t="e">
        <f>INDEX(医院2县区2人!$D$2:$D$1048576,MATCH(L2461,医院2县区2人!$A$2:$A$1048576,0))</f>
        <v>#N/A</v>
      </c>
      <c r="W2461" s="6" t="str">
        <f t="shared" si="79"/>
        <v>小儿氨酚黄那敏颗粒(护彤)12袋</v>
      </c>
      <c r="X2461" s="6" t="s">
        <v>2904</v>
      </c>
    </row>
    <row r="2462" spans="1:24" x14ac:dyDescent="0.15">
      <c r="A2462" s="7" t="str">
        <f t="shared" si="80"/>
        <v>201806</v>
      </c>
      <c r="C2462" s="6">
        <f>INDEX(工厂基础数据!$A$2:$A$1024,MATCH(X2462,工厂基础数据!$D$2:$D$1024,0))</f>
        <v>0</v>
      </c>
      <c r="E2462" s="6" t="str">
        <f>INDEX(工厂基础数据!$B$2:$B$1024,MATCH(X2462,工厂基础数据!$D$2:$D$1024,0))</f>
        <v>济南广林医药有限公司</v>
      </c>
      <c r="F2462" s="6" t="e">
        <f>INDEX(商业2转码!$B$2:$B$10000,MATCH(E2462,商业2转码!$A$2:$A$10000,0))</f>
        <v>#N/A</v>
      </c>
      <c r="G2462" s="6">
        <f>INDEX(品种2编码!$A$2:$A$1048576,MATCH(W2462,品种2编码!$D$2:$D$1048576,0))</f>
        <v>0</v>
      </c>
      <c r="H2462" s="6" t="s">
        <v>702</v>
      </c>
      <c r="I2462" s="6" t="s">
        <v>1954</v>
      </c>
      <c r="L2462" s="6" t="s">
        <v>3485</v>
      </c>
      <c r="M2462" s="6" t="e">
        <f>INDEX(医院2县区2人!$B$2:$B$1048576,MATCH(L2462,医院2县区2人!$A$2:$A$1048576,0))</f>
        <v>#N/A</v>
      </c>
      <c r="N2462" s="6" t="e">
        <f>INDEX(医院2县区2人!$C$2:$C$1048576,MATCH(L2462,医院2县区2人!$A$2:$A$1048576,0))</f>
        <v>#N/A</v>
      </c>
      <c r="P2462" s="7">
        <v>43273</v>
      </c>
      <c r="Q2462" s="6">
        <v>10</v>
      </c>
      <c r="S2462" s="6">
        <v>171117</v>
      </c>
      <c r="T2462" s="6" t="e">
        <f>INDEX(医院2县区2人!$D$2:$D$1048576,MATCH(L2462,医院2县区2人!$A$2:$A$1048576,0))</f>
        <v>#N/A</v>
      </c>
      <c r="W2462" s="6" t="str">
        <f t="shared" si="79"/>
        <v>小儿氨酚黄那敏颗粒(护彤)12袋</v>
      </c>
      <c r="X2462" s="6" t="s">
        <v>2904</v>
      </c>
    </row>
    <row r="2463" spans="1:24" x14ac:dyDescent="0.15">
      <c r="A2463" s="7" t="str">
        <f t="shared" si="80"/>
        <v>201806</v>
      </c>
      <c r="C2463" s="6">
        <f>INDEX(工厂基础数据!$A$2:$A$1024,MATCH(X2463,工厂基础数据!$D$2:$D$1024,0))</f>
        <v>0</v>
      </c>
      <c r="E2463" s="6" t="str">
        <f>INDEX(工厂基础数据!$B$2:$B$1024,MATCH(X2463,工厂基础数据!$D$2:$D$1024,0))</f>
        <v>济南广林医药有限公司</v>
      </c>
      <c r="F2463" s="6" t="e">
        <f>INDEX(商业2转码!$B$2:$B$10000,MATCH(E2463,商业2转码!$A$2:$A$10000,0))</f>
        <v>#N/A</v>
      </c>
      <c r="G2463" s="6">
        <f>INDEX(品种2编码!$A$2:$A$1048576,MATCH(W2463,品种2编码!$D$2:$D$1048576,0))</f>
        <v>0</v>
      </c>
      <c r="H2463" s="6" t="s">
        <v>702</v>
      </c>
      <c r="I2463" s="6" t="s">
        <v>1954</v>
      </c>
      <c r="L2463" s="6" t="s">
        <v>3583</v>
      </c>
      <c r="M2463" s="6" t="e">
        <f>INDEX(医院2县区2人!$B$2:$B$1048576,MATCH(L2463,医院2县区2人!$A$2:$A$1048576,0))</f>
        <v>#N/A</v>
      </c>
      <c r="N2463" s="6" t="e">
        <f>INDEX(医院2县区2人!$C$2:$C$1048576,MATCH(L2463,医院2县区2人!$A$2:$A$1048576,0))</f>
        <v>#N/A</v>
      </c>
      <c r="P2463" s="7">
        <v>43277</v>
      </c>
      <c r="Q2463" s="6">
        <v>5</v>
      </c>
      <c r="S2463" s="6">
        <v>171117</v>
      </c>
      <c r="T2463" s="6" t="e">
        <f>INDEX(医院2县区2人!$D$2:$D$1048576,MATCH(L2463,医院2县区2人!$A$2:$A$1048576,0))</f>
        <v>#N/A</v>
      </c>
      <c r="W2463" s="6" t="str">
        <f t="shared" si="79"/>
        <v>小儿氨酚黄那敏颗粒(护彤)12袋</v>
      </c>
      <c r="X2463" s="6" t="s">
        <v>2904</v>
      </c>
    </row>
    <row r="2464" spans="1:24" x14ac:dyDescent="0.15">
      <c r="A2464" s="7" t="str">
        <f t="shared" si="80"/>
        <v>201806</v>
      </c>
      <c r="C2464" s="6">
        <f>INDEX(工厂基础数据!$A$2:$A$1024,MATCH(X2464,工厂基础数据!$D$2:$D$1024,0))</f>
        <v>0</v>
      </c>
      <c r="E2464" s="6" t="str">
        <f>INDEX(工厂基础数据!$B$2:$B$1024,MATCH(X2464,工厂基础数据!$D$2:$D$1024,0))</f>
        <v>济南广林医药有限公司</v>
      </c>
      <c r="F2464" s="6" t="e">
        <f>INDEX(商业2转码!$B$2:$B$10000,MATCH(E2464,商业2转码!$A$2:$A$10000,0))</f>
        <v>#N/A</v>
      </c>
      <c r="G2464" s="6">
        <f>INDEX(品种2编码!$A$2:$A$1048576,MATCH(W2464,品种2编码!$D$2:$D$1048576,0))</f>
        <v>0</v>
      </c>
      <c r="H2464" s="6" t="s">
        <v>702</v>
      </c>
      <c r="I2464" s="6" t="s">
        <v>1954</v>
      </c>
      <c r="L2464" s="6" t="s">
        <v>3584</v>
      </c>
      <c r="M2464" s="6" t="e">
        <f>INDEX(医院2县区2人!$B$2:$B$1048576,MATCH(L2464,医院2县区2人!$A$2:$A$1048576,0))</f>
        <v>#N/A</v>
      </c>
      <c r="N2464" s="6" t="e">
        <f>INDEX(医院2县区2人!$C$2:$C$1048576,MATCH(L2464,医院2县区2人!$A$2:$A$1048576,0))</f>
        <v>#N/A</v>
      </c>
      <c r="P2464" s="7">
        <v>43278</v>
      </c>
      <c r="Q2464" s="6">
        <v>10</v>
      </c>
      <c r="S2464" s="6">
        <v>180184</v>
      </c>
      <c r="T2464" s="6" t="e">
        <f>INDEX(医院2县区2人!$D$2:$D$1048576,MATCH(L2464,医院2县区2人!$A$2:$A$1048576,0))</f>
        <v>#N/A</v>
      </c>
      <c r="W2464" s="6" t="str">
        <f t="shared" si="79"/>
        <v>小儿氨酚黄那敏颗粒(护彤)12袋</v>
      </c>
      <c r="X2464" s="6" t="s">
        <v>2904</v>
      </c>
    </row>
    <row r="2465" spans="1:24" x14ac:dyDescent="0.15">
      <c r="A2465" s="7" t="str">
        <f t="shared" si="80"/>
        <v>201806</v>
      </c>
      <c r="C2465" s="6">
        <f>INDEX(工厂基础数据!$A$2:$A$1024,MATCH(X2465,工厂基础数据!$D$2:$D$1024,0))</f>
        <v>0</v>
      </c>
      <c r="E2465" s="6" t="str">
        <f>INDEX(工厂基础数据!$B$2:$B$1024,MATCH(X2465,工厂基础数据!$D$2:$D$1024,0))</f>
        <v>济南广林医药有限公司</v>
      </c>
      <c r="F2465" s="6" t="e">
        <f>INDEX(商业2转码!$B$2:$B$10000,MATCH(E2465,商业2转码!$A$2:$A$10000,0))</f>
        <v>#N/A</v>
      </c>
      <c r="G2465" s="6">
        <f>INDEX(品种2编码!$A$2:$A$1048576,MATCH(W2465,品种2编码!$D$2:$D$1048576,0))</f>
        <v>0</v>
      </c>
      <c r="H2465" s="6" t="s">
        <v>702</v>
      </c>
      <c r="I2465" s="6" t="s">
        <v>1954</v>
      </c>
      <c r="L2465" s="6" t="s">
        <v>3526</v>
      </c>
      <c r="M2465" s="6" t="e">
        <f>INDEX(医院2县区2人!$B$2:$B$1048576,MATCH(L2465,医院2县区2人!$A$2:$A$1048576,0))</f>
        <v>#N/A</v>
      </c>
      <c r="N2465" s="6" t="e">
        <f>INDEX(医院2县区2人!$C$2:$C$1048576,MATCH(L2465,医院2县区2人!$A$2:$A$1048576,0))</f>
        <v>#N/A</v>
      </c>
      <c r="P2465" s="7">
        <v>43279</v>
      </c>
      <c r="Q2465" s="6">
        <v>5</v>
      </c>
      <c r="S2465" s="6">
        <v>171117</v>
      </c>
      <c r="T2465" s="6" t="e">
        <f>INDEX(医院2县区2人!$D$2:$D$1048576,MATCH(L2465,医院2县区2人!$A$2:$A$1048576,0))</f>
        <v>#N/A</v>
      </c>
      <c r="W2465" s="6" t="str">
        <f t="shared" si="79"/>
        <v>小儿氨酚黄那敏颗粒(护彤)12袋</v>
      </c>
      <c r="X2465" s="6" t="s">
        <v>2904</v>
      </c>
    </row>
    <row r="2466" spans="1:24" x14ac:dyDescent="0.15">
      <c r="A2466" s="7" t="str">
        <f t="shared" si="80"/>
        <v>201806</v>
      </c>
      <c r="C2466" s="6">
        <f>INDEX(工厂基础数据!$A$2:$A$1024,MATCH(X2466,工厂基础数据!$D$2:$D$1024,0))</f>
        <v>0</v>
      </c>
      <c r="E2466" s="6" t="str">
        <f>INDEX(工厂基础数据!$B$2:$B$1024,MATCH(X2466,工厂基础数据!$D$2:$D$1024,0))</f>
        <v>济南广林医药有限公司</v>
      </c>
      <c r="F2466" s="6" t="e">
        <f>INDEX(商业2转码!$B$2:$B$10000,MATCH(E2466,商业2转码!$A$2:$A$10000,0))</f>
        <v>#N/A</v>
      </c>
      <c r="G2466" s="6">
        <f>INDEX(品种2编码!$A$2:$A$1048576,MATCH(W2466,品种2编码!$D$2:$D$1048576,0))</f>
        <v>0</v>
      </c>
      <c r="H2466" s="6" t="s">
        <v>702</v>
      </c>
      <c r="I2466" s="6" t="s">
        <v>1954</v>
      </c>
      <c r="L2466" s="6" t="s">
        <v>3546</v>
      </c>
      <c r="M2466" s="6" t="e">
        <f>INDEX(医院2县区2人!$B$2:$B$1048576,MATCH(L2466,医院2县区2人!$A$2:$A$1048576,0))</f>
        <v>#N/A</v>
      </c>
      <c r="N2466" s="6" t="e">
        <f>INDEX(医院2县区2人!$C$2:$C$1048576,MATCH(L2466,医院2县区2人!$A$2:$A$1048576,0))</f>
        <v>#N/A</v>
      </c>
      <c r="P2466" s="7">
        <v>43279</v>
      </c>
      <c r="Q2466" s="6">
        <v>10</v>
      </c>
      <c r="S2466" s="6">
        <v>180184</v>
      </c>
      <c r="T2466" s="6" t="e">
        <f>INDEX(医院2县区2人!$D$2:$D$1048576,MATCH(L2466,医院2县区2人!$A$2:$A$1048576,0))</f>
        <v>#N/A</v>
      </c>
      <c r="W2466" s="6" t="str">
        <f t="shared" si="79"/>
        <v>小儿氨酚黄那敏颗粒(护彤)12袋</v>
      </c>
      <c r="X2466" s="6" t="s">
        <v>2904</v>
      </c>
    </row>
    <row r="2467" spans="1:24" x14ac:dyDescent="0.15">
      <c r="A2467" s="7" t="str">
        <f t="shared" si="80"/>
        <v>201806</v>
      </c>
      <c r="C2467" s="6">
        <f>INDEX(工厂基础数据!$A$2:$A$1024,MATCH(X2467,工厂基础数据!$D$2:$D$1024,0))</f>
        <v>0</v>
      </c>
      <c r="E2467" s="6" t="str">
        <f>INDEX(工厂基础数据!$B$2:$B$1024,MATCH(X2467,工厂基础数据!$D$2:$D$1024,0))</f>
        <v>济南广林医药有限公司</v>
      </c>
      <c r="F2467" s="6" t="e">
        <f>INDEX(商业2转码!$B$2:$B$10000,MATCH(E2467,商业2转码!$A$2:$A$10000,0))</f>
        <v>#N/A</v>
      </c>
      <c r="G2467" s="6">
        <f>INDEX(品种2编码!$A$2:$A$1048576,MATCH(W2467,品种2编码!$D$2:$D$1048576,0))</f>
        <v>0</v>
      </c>
      <c r="H2467" s="6" t="s">
        <v>702</v>
      </c>
      <c r="I2467" s="6" t="s">
        <v>1954</v>
      </c>
      <c r="L2467" s="6" t="s">
        <v>3582</v>
      </c>
      <c r="M2467" s="6" t="e">
        <f>INDEX(医院2县区2人!$B$2:$B$1048576,MATCH(L2467,医院2县区2人!$A$2:$A$1048576,0))</f>
        <v>#N/A</v>
      </c>
      <c r="N2467" s="6" t="e">
        <f>INDEX(医院2县区2人!$C$2:$C$1048576,MATCH(L2467,医院2县区2人!$A$2:$A$1048576,0))</f>
        <v>#N/A</v>
      </c>
      <c r="P2467" s="7">
        <v>43279</v>
      </c>
      <c r="Q2467" s="6">
        <v>5</v>
      </c>
      <c r="S2467" s="6">
        <v>180184</v>
      </c>
      <c r="T2467" s="6" t="e">
        <f>INDEX(医院2县区2人!$D$2:$D$1048576,MATCH(L2467,医院2县区2人!$A$2:$A$1048576,0))</f>
        <v>#N/A</v>
      </c>
      <c r="W2467" s="6" t="str">
        <f t="shared" si="79"/>
        <v>小儿氨酚黄那敏颗粒(护彤)12袋</v>
      </c>
      <c r="X2467" s="6" t="s">
        <v>2904</v>
      </c>
    </row>
    <row r="2468" spans="1:24" x14ac:dyDescent="0.15">
      <c r="A2468" s="7" t="str">
        <f t="shared" si="80"/>
        <v>201806</v>
      </c>
      <c r="C2468" s="6">
        <f>INDEX(工厂基础数据!$A$2:$A$1024,MATCH(X2468,工厂基础数据!$D$2:$D$1024,0))</f>
        <v>0</v>
      </c>
      <c r="E2468" s="6" t="str">
        <f>INDEX(工厂基础数据!$B$2:$B$1024,MATCH(X2468,工厂基础数据!$D$2:$D$1024,0))</f>
        <v>济南广林医药有限公司</v>
      </c>
      <c r="F2468" s="6" t="e">
        <f>INDEX(商业2转码!$B$2:$B$10000,MATCH(E2468,商业2转码!$A$2:$A$10000,0))</f>
        <v>#N/A</v>
      </c>
      <c r="G2468" s="6">
        <f>INDEX(品种2编码!$A$2:$A$1048576,MATCH(W2468,品种2编码!$D$2:$D$1048576,0))</f>
        <v>0</v>
      </c>
      <c r="H2468" s="6" t="s">
        <v>702</v>
      </c>
      <c r="I2468" s="6" t="s">
        <v>1954</v>
      </c>
      <c r="L2468" s="6" t="s">
        <v>3524</v>
      </c>
      <c r="M2468" s="6" t="e">
        <f>INDEX(医院2县区2人!$B$2:$B$1048576,MATCH(L2468,医院2县区2人!$A$2:$A$1048576,0))</f>
        <v>#N/A</v>
      </c>
      <c r="N2468" s="6" t="e">
        <f>INDEX(医院2县区2人!$C$2:$C$1048576,MATCH(L2468,医院2县区2人!$A$2:$A$1048576,0))</f>
        <v>#N/A</v>
      </c>
      <c r="P2468" s="7">
        <v>43280</v>
      </c>
      <c r="Q2468" s="6">
        <v>10</v>
      </c>
      <c r="S2468" s="6">
        <v>171117</v>
      </c>
      <c r="T2468" s="6" t="e">
        <f>INDEX(医院2县区2人!$D$2:$D$1048576,MATCH(L2468,医院2县区2人!$A$2:$A$1048576,0))</f>
        <v>#N/A</v>
      </c>
      <c r="W2468" s="6" t="str">
        <f t="shared" si="79"/>
        <v>小儿氨酚黄那敏颗粒(护彤)12袋</v>
      </c>
      <c r="X2468" s="6" t="s">
        <v>2904</v>
      </c>
    </row>
    <row r="2469" spans="1:24" x14ac:dyDescent="0.15">
      <c r="A2469" s="7" t="str">
        <f t="shared" si="80"/>
        <v>201806</v>
      </c>
      <c r="C2469" s="6">
        <f>INDEX(工厂基础数据!$A$2:$A$1024,MATCH(X2469,工厂基础数据!$D$2:$D$1024,0))</f>
        <v>0</v>
      </c>
      <c r="E2469" s="6" t="str">
        <f>INDEX(工厂基础数据!$B$2:$B$1024,MATCH(X2469,工厂基础数据!$D$2:$D$1024,0))</f>
        <v>济南广林医药有限公司</v>
      </c>
      <c r="F2469" s="6" t="e">
        <f>INDEX(商业2转码!$B$2:$B$10000,MATCH(E2469,商业2转码!$A$2:$A$10000,0))</f>
        <v>#N/A</v>
      </c>
      <c r="G2469" s="6">
        <f>INDEX(品种2编码!$A$2:$A$1048576,MATCH(W2469,品种2编码!$D$2:$D$1048576,0))</f>
        <v>0</v>
      </c>
      <c r="H2469" s="6" t="s">
        <v>702</v>
      </c>
      <c r="I2469" s="6" t="s">
        <v>1954</v>
      </c>
      <c r="L2469" s="6" t="s">
        <v>3524</v>
      </c>
      <c r="M2469" s="6" t="e">
        <f>INDEX(医院2县区2人!$B$2:$B$1048576,MATCH(L2469,医院2县区2人!$A$2:$A$1048576,0))</f>
        <v>#N/A</v>
      </c>
      <c r="N2469" s="6" t="e">
        <f>INDEX(医院2县区2人!$C$2:$C$1048576,MATCH(L2469,医院2县区2人!$A$2:$A$1048576,0))</f>
        <v>#N/A</v>
      </c>
      <c r="P2469" s="7">
        <v>43280</v>
      </c>
      <c r="Q2469" s="6">
        <v>50</v>
      </c>
      <c r="S2469" s="6">
        <v>180184</v>
      </c>
      <c r="T2469" s="6" t="e">
        <f>INDEX(医院2县区2人!$D$2:$D$1048576,MATCH(L2469,医院2县区2人!$A$2:$A$1048576,0))</f>
        <v>#N/A</v>
      </c>
      <c r="W2469" s="6" t="str">
        <f t="shared" si="79"/>
        <v>小儿氨酚黄那敏颗粒(护彤)12袋</v>
      </c>
      <c r="X2469" s="6" t="s">
        <v>2904</v>
      </c>
    </row>
    <row r="2470" spans="1:24" x14ac:dyDescent="0.15">
      <c r="A2470" s="7" t="str">
        <f t="shared" si="80"/>
        <v>201806</v>
      </c>
      <c r="C2470" s="6">
        <f>INDEX(工厂基础数据!$A$2:$A$1024,MATCH(X2470,工厂基础数据!$D$2:$D$1024,0))</f>
        <v>0</v>
      </c>
      <c r="E2470" s="6" t="str">
        <f>INDEX(工厂基础数据!$B$2:$B$1024,MATCH(X2470,工厂基础数据!$D$2:$D$1024,0))</f>
        <v>济南广林医药有限公司</v>
      </c>
      <c r="F2470" s="6" t="e">
        <f>INDEX(商业2转码!$B$2:$B$10000,MATCH(E2470,商业2转码!$A$2:$A$10000,0))</f>
        <v>#N/A</v>
      </c>
      <c r="G2470" s="6">
        <f>INDEX(品种2编码!$A$2:$A$1048576,MATCH(W2470,品种2编码!$D$2:$D$1048576,0))</f>
        <v>0</v>
      </c>
      <c r="H2470" s="6" t="s">
        <v>702</v>
      </c>
      <c r="I2470" s="6" t="s">
        <v>1954</v>
      </c>
      <c r="L2470" s="6" t="s">
        <v>3540</v>
      </c>
      <c r="M2470" s="6" t="e">
        <f>INDEX(医院2县区2人!$B$2:$B$1048576,MATCH(L2470,医院2县区2人!$A$2:$A$1048576,0))</f>
        <v>#N/A</v>
      </c>
      <c r="N2470" s="6" t="e">
        <f>INDEX(医院2县区2人!$C$2:$C$1048576,MATCH(L2470,医院2县区2人!$A$2:$A$1048576,0))</f>
        <v>#N/A</v>
      </c>
      <c r="P2470" s="7">
        <v>43280</v>
      </c>
      <c r="Q2470" s="6">
        <v>5</v>
      </c>
      <c r="S2470" s="6">
        <v>180184</v>
      </c>
      <c r="T2470" s="6" t="e">
        <f>INDEX(医院2县区2人!$D$2:$D$1048576,MATCH(L2470,医院2县区2人!$A$2:$A$1048576,0))</f>
        <v>#N/A</v>
      </c>
      <c r="W2470" s="6" t="str">
        <f t="shared" si="79"/>
        <v>小儿氨酚黄那敏颗粒(护彤)12袋</v>
      </c>
      <c r="X2470" s="6" t="s">
        <v>2904</v>
      </c>
    </row>
    <row r="2471" spans="1:24" x14ac:dyDescent="0.15">
      <c r="A2471" s="7" t="str">
        <f t="shared" si="80"/>
        <v>201806</v>
      </c>
      <c r="C2471" s="6">
        <f>INDEX(工厂基础数据!$A$2:$A$1024,MATCH(X2471,工厂基础数据!$D$2:$D$1024,0))</f>
        <v>0</v>
      </c>
      <c r="E2471" s="6" t="str">
        <f>INDEX(工厂基础数据!$B$2:$B$1024,MATCH(X2471,工厂基础数据!$D$2:$D$1024,0))</f>
        <v>济南广林医药有限公司</v>
      </c>
      <c r="F2471" s="6" t="e">
        <f>INDEX(商业2转码!$B$2:$B$10000,MATCH(E2471,商业2转码!$A$2:$A$10000,0))</f>
        <v>#N/A</v>
      </c>
      <c r="G2471" s="6">
        <f>INDEX(品种2编码!$A$2:$A$1048576,MATCH(W2471,品种2编码!$D$2:$D$1048576,0))</f>
        <v>0</v>
      </c>
      <c r="H2471" s="6" t="s">
        <v>1885</v>
      </c>
      <c r="I2471" s="6" t="s">
        <v>2933</v>
      </c>
      <c r="L2471" s="6" t="s">
        <v>3547</v>
      </c>
      <c r="M2471" s="6" t="e">
        <f>INDEX(医院2县区2人!$B$2:$B$1048576,MATCH(L2471,医院2县区2人!$A$2:$A$1048576,0))</f>
        <v>#N/A</v>
      </c>
      <c r="N2471" s="6" t="e">
        <f>INDEX(医院2县区2人!$C$2:$C$1048576,MATCH(L2471,医院2县区2人!$A$2:$A$1048576,0))</f>
        <v>#N/A</v>
      </c>
      <c r="P2471" s="7">
        <v>43260</v>
      </c>
      <c r="Q2471" s="6">
        <v>5</v>
      </c>
      <c r="S2471" s="6">
        <v>171253</v>
      </c>
      <c r="T2471" s="6" t="e">
        <f>INDEX(医院2县区2人!$D$2:$D$1048576,MATCH(L2471,医院2县区2人!$A$2:$A$1048576,0))</f>
        <v>#N/A</v>
      </c>
      <c r="W2471" s="6" t="str">
        <f t="shared" si="79"/>
        <v>新盖中盖高钙片2.5g*36s</v>
      </c>
      <c r="X2471" s="6" t="s">
        <v>2904</v>
      </c>
    </row>
    <row r="2472" spans="1:24" x14ac:dyDescent="0.15">
      <c r="A2472" s="7" t="str">
        <f t="shared" si="80"/>
        <v>201806</v>
      </c>
      <c r="C2472" s="6">
        <f>INDEX(工厂基础数据!$A$2:$A$1024,MATCH(X2472,工厂基础数据!$D$2:$D$1024,0))</f>
        <v>0</v>
      </c>
      <c r="E2472" s="6" t="str">
        <f>INDEX(工厂基础数据!$B$2:$B$1024,MATCH(X2472,工厂基础数据!$D$2:$D$1024,0))</f>
        <v>济南广林医药有限公司</v>
      </c>
      <c r="F2472" s="6" t="e">
        <f>INDEX(商业2转码!$B$2:$B$10000,MATCH(E2472,商业2转码!$A$2:$A$10000,0))</f>
        <v>#N/A</v>
      </c>
      <c r="G2472" s="6">
        <f>INDEX(品种2编码!$A$2:$A$1048576,MATCH(W2472,品种2编码!$D$2:$D$1048576,0))</f>
        <v>0</v>
      </c>
      <c r="H2472" s="6" t="s">
        <v>1885</v>
      </c>
      <c r="I2472" s="6" t="s">
        <v>2933</v>
      </c>
      <c r="L2472" s="6" t="s">
        <v>3539</v>
      </c>
      <c r="M2472" s="6" t="e">
        <f>INDEX(医院2县区2人!$B$2:$B$1048576,MATCH(L2472,医院2县区2人!$A$2:$A$1048576,0))</f>
        <v>#N/A</v>
      </c>
      <c r="N2472" s="6" t="e">
        <f>INDEX(医院2县区2人!$C$2:$C$1048576,MATCH(L2472,医院2县区2人!$A$2:$A$1048576,0))</f>
        <v>#N/A</v>
      </c>
      <c r="P2472" s="7">
        <v>43266</v>
      </c>
      <c r="Q2472" s="6">
        <v>5</v>
      </c>
      <c r="S2472" s="6">
        <v>171253</v>
      </c>
      <c r="T2472" s="6" t="e">
        <f>INDEX(医院2县区2人!$D$2:$D$1048576,MATCH(L2472,医院2县区2人!$A$2:$A$1048576,0))</f>
        <v>#N/A</v>
      </c>
      <c r="W2472" s="6" t="str">
        <f t="shared" si="79"/>
        <v>新盖中盖高钙片2.5g*36s</v>
      </c>
      <c r="X2472" s="6" t="s">
        <v>2904</v>
      </c>
    </row>
    <row r="2473" spans="1:24" x14ac:dyDescent="0.15">
      <c r="A2473" s="7" t="str">
        <f t="shared" si="80"/>
        <v>201806</v>
      </c>
      <c r="C2473" s="6">
        <f>INDEX(工厂基础数据!$A$2:$A$1024,MATCH(X2473,工厂基础数据!$D$2:$D$1024,0))</f>
        <v>0</v>
      </c>
      <c r="E2473" s="6" t="str">
        <f>INDEX(工厂基础数据!$B$2:$B$1024,MATCH(X2473,工厂基础数据!$D$2:$D$1024,0))</f>
        <v>济南广林医药有限公司</v>
      </c>
      <c r="F2473" s="6" t="e">
        <f>INDEX(商业2转码!$B$2:$B$10000,MATCH(E2473,商业2转码!$A$2:$A$10000,0))</f>
        <v>#N/A</v>
      </c>
      <c r="G2473" s="6">
        <f>INDEX(品种2编码!$A$2:$A$1048576,MATCH(W2473,品种2编码!$D$2:$D$1048576,0))</f>
        <v>0</v>
      </c>
      <c r="H2473" s="6" t="s">
        <v>1885</v>
      </c>
      <c r="I2473" s="6" t="s">
        <v>2933</v>
      </c>
      <c r="L2473" s="6" t="s">
        <v>3528</v>
      </c>
      <c r="M2473" s="6" t="e">
        <f>INDEX(医院2县区2人!$B$2:$B$1048576,MATCH(L2473,医院2县区2人!$A$2:$A$1048576,0))</f>
        <v>#N/A</v>
      </c>
      <c r="N2473" s="6" t="e">
        <f>INDEX(医院2县区2人!$C$2:$C$1048576,MATCH(L2473,医院2县区2人!$A$2:$A$1048576,0))</f>
        <v>#N/A</v>
      </c>
      <c r="P2473" s="7">
        <v>43270</v>
      </c>
      <c r="Q2473" s="6">
        <v>10</v>
      </c>
      <c r="S2473" s="6">
        <v>171253</v>
      </c>
      <c r="T2473" s="6" t="e">
        <f>INDEX(医院2县区2人!$D$2:$D$1048576,MATCH(L2473,医院2县区2人!$A$2:$A$1048576,0))</f>
        <v>#N/A</v>
      </c>
      <c r="W2473" s="6" t="str">
        <f t="shared" si="79"/>
        <v>新盖中盖高钙片2.5g*36s</v>
      </c>
      <c r="X2473" s="6" t="s">
        <v>2904</v>
      </c>
    </row>
    <row r="2474" spans="1:24" x14ac:dyDescent="0.15">
      <c r="A2474" s="7" t="str">
        <f t="shared" si="80"/>
        <v>201806</v>
      </c>
      <c r="C2474" s="6">
        <f>INDEX(工厂基础数据!$A$2:$A$1024,MATCH(X2474,工厂基础数据!$D$2:$D$1024,0))</f>
        <v>0</v>
      </c>
      <c r="E2474" s="6" t="str">
        <f>INDEX(工厂基础数据!$B$2:$B$1024,MATCH(X2474,工厂基础数据!$D$2:$D$1024,0))</f>
        <v>济南广林医药有限公司</v>
      </c>
      <c r="F2474" s="6" t="e">
        <f>INDEX(商业2转码!$B$2:$B$10000,MATCH(E2474,商业2转码!$A$2:$A$10000,0))</f>
        <v>#N/A</v>
      </c>
      <c r="G2474" s="6">
        <f>INDEX(品种2编码!$A$2:$A$1048576,MATCH(W2474,品种2编码!$D$2:$D$1048576,0))</f>
        <v>0</v>
      </c>
      <c r="H2474" s="6" t="s">
        <v>1885</v>
      </c>
      <c r="I2474" s="6" t="s">
        <v>2933</v>
      </c>
      <c r="L2474" s="6" t="s">
        <v>3097</v>
      </c>
      <c r="M2474" s="6" t="e">
        <f>INDEX(医院2县区2人!$B$2:$B$1048576,MATCH(L2474,医院2县区2人!$A$2:$A$1048576,0))</f>
        <v>#N/A</v>
      </c>
      <c r="N2474" s="6" t="e">
        <f>INDEX(医院2县区2人!$C$2:$C$1048576,MATCH(L2474,医院2县区2人!$A$2:$A$1048576,0))</f>
        <v>#N/A</v>
      </c>
      <c r="P2474" s="7">
        <v>43276</v>
      </c>
      <c r="Q2474" s="6">
        <v>10</v>
      </c>
      <c r="S2474" s="6">
        <v>171253</v>
      </c>
      <c r="T2474" s="6" t="e">
        <f>INDEX(医院2县区2人!$D$2:$D$1048576,MATCH(L2474,医院2县区2人!$A$2:$A$1048576,0))</f>
        <v>#N/A</v>
      </c>
      <c r="W2474" s="6" t="str">
        <f t="shared" si="79"/>
        <v>新盖中盖高钙片2.5g*36s</v>
      </c>
      <c r="X2474" s="6" t="s">
        <v>2904</v>
      </c>
    </row>
    <row r="2475" spans="1:24" x14ac:dyDescent="0.15">
      <c r="A2475" s="7" t="str">
        <f t="shared" si="80"/>
        <v>201806</v>
      </c>
      <c r="C2475" s="6">
        <f>INDEX(工厂基础数据!$A$2:$A$1024,MATCH(X2475,工厂基础数据!$D$2:$D$1024,0))</f>
        <v>0</v>
      </c>
      <c r="E2475" s="6" t="str">
        <f>INDEX(工厂基础数据!$B$2:$B$1024,MATCH(X2475,工厂基础数据!$D$2:$D$1024,0))</f>
        <v>济南广林医药有限公司</v>
      </c>
      <c r="F2475" s="6" t="e">
        <f>INDEX(商业2转码!$B$2:$B$10000,MATCH(E2475,商业2转码!$A$2:$A$10000,0))</f>
        <v>#N/A</v>
      </c>
      <c r="G2475" s="6">
        <f>INDEX(品种2编码!$A$2:$A$1048576,MATCH(W2475,品种2编码!$D$2:$D$1048576,0))</f>
        <v>0</v>
      </c>
      <c r="H2475" s="6" t="s">
        <v>1885</v>
      </c>
      <c r="I2475" s="6" t="s">
        <v>2933</v>
      </c>
      <c r="L2475" s="6" t="s">
        <v>3578</v>
      </c>
      <c r="M2475" s="6" t="e">
        <f>INDEX(医院2县区2人!$B$2:$B$1048576,MATCH(L2475,医院2县区2人!$A$2:$A$1048576,0))</f>
        <v>#N/A</v>
      </c>
      <c r="N2475" s="6" t="e">
        <f>INDEX(医院2县区2人!$C$2:$C$1048576,MATCH(L2475,医院2县区2人!$A$2:$A$1048576,0))</f>
        <v>#N/A</v>
      </c>
      <c r="P2475" s="7">
        <v>43278</v>
      </c>
      <c r="Q2475" s="6">
        <v>2</v>
      </c>
      <c r="S2475" s="6">
        <v>171253</v>
      </c>
      <c r="T2475" s="6" t="e">
        <f>INDEX(医院2县区2人!$D$2:$D$1048576,MATCH(L2475,医院2县区2人!$A$2:$A$1048576,0))</f>
        <v>#N/A</v>
      </c>
      <c r="W2475" s="6" t="str">
        <f t="shared" si="79"/>
        <v>新盖中盖高钙片2.5g*36s</v>
      </c>
      <c r="X2475" s="6" t="s">
        <v>2904</v>
      </c>
    </row>
    <row r="2476" spans="1:24" x14ac:dyDescent="0.15">
      <c r="A2476" s="7" t="str">
        <f t="shared" si="80"/>
        <v>201806</v>
      </c>
      <c r="C2476" s="6">
        <f>INDEX(工厂基础数据!$A$2:$A$1024,MATCH(X2476,工厂基础数据!$D$2:$D$1024,0))</f>
        <v>0</v>
      </c>
      <c r="E2476" s="6" t="str">
        <f>INDEX(工厂基础数据!$B$2:$B$1024,MATCH(X2476,工厂基础数据!$D$2:$D$1024,0))</f>
        <v>济南广林医药有限公司</v>
      </c>
      <c r="F2476" s="6" t="e">
        <f>INDEX(商业2转码!$B$2:$B$10000,MATCH(E2476,商业2转码!$A$2:$A$10000,0))</f>
        <v>#N/A</v>
      </c>
      <c r="G2476" s="6">
        <f>INDEX(品种2编码!$A$2:$A$1048576,MATCH(W2476,品种2编码!$D$2:$D$1048576,0))</f>
        <v>0</v>
      </c>
      <c r="H2476" s="6" t="s">
        <v>1885</v>
      </c>
      <c r="I2476" s="6" t="s">
        <v>2933</v>
      </c>
      <c r="L2476" s="6" t="s">
        <v>3564</v>
      </c>
      <c r="M2476" s="6" t="e">
        <f>INDEX(医院2县区2人!$B$2:$B$1048576,MATCH(L2476,医院2县区2人!$A$2:$A$1048576,0))</f>
        <v>#N/A</v>
      </c>
      <c r="N2476" s="6" t="e">
        <f>INDEX(医院2县区2人!$C$2:$C$1048576,MATCH(L2476,医院2县区2人!$A$2:$A$1048576,0))</f>
        <v>#N/A</v>
      </c>
      <c r="P2476" s="7">
        <v>43279</v>
      </c>
      <c r="Q2476" s="6">
        <v>1</v>
      </c>
      <c r="S2476" s="6">
        <v>171253</v>
      </c>
      <c r="T2476" s="6" t="e">
        <f>INDEX(医院2县区2人!$D$2:$D$1048576,MATCH(L2476,医院2县区2人!$A$2:$A$1048576,0))</f>
        <v>#N/A</v>
      </c>
      <c r="W2476" s="6" t="str">
        <f t="shared" si="79"/>
        <v>新盖中盖高钙片2.5g*36s</v>
      </c>
      <c r="X2476" s="6" t="s">
        <v>2904</v>
      </c>
    </row>
    <row r="2477" spans="1:24" x14ac:dyDescent="0.15">
      <c r="A2477" s="7" t="str">
        <f t="shared" si="80"/>
        <v>201806</v>
      </c>
      <c r="C2477" s="6">
        <f>INDEX(工厂基础数据!$A$2:$A$1024,MATCH(X2477,工厂基础数据!$D$2:$D$1024,0))</f>
        <v>0</v>
      </c>
      <c r="E2477" s="6" t="str">
        <f>INDEX(工厂基础数据!$B$2:$B$1024,MATCH(X2477,工厂基础数据!$D$2:$D$1024,0))</f>
        <v>济南广林医药有限公司</v>
      </c>
      <c r="F2477" s="6" t="e">
        <f>INDEX(商业2转码!$B$2:$B$10000,MATCH(E2477,商业2转码!$A$2:$A$10000,0))</f>
        <v>#N/A</v>
      </c>
      <c r="G2477" s="6">
        <f>INDEX(品种2编码!$A$2:$A$1048576,MATCH(W2477,品种2编码!$D$2:$D$1048576,0))</f>
        <v>0</v>
      </c>
      <c r="H2477" s="6" t="s">
        <v>1885</v>
      </c>
      <c r="I2477" s="6" t="s">
        <v>2933</v>
      </c>
      <c r="L2477" s="6" t="s">
        <v>3097</v>
      </c>
      <c r="M2477" s="6" t="e">
        <f>INDEX(医院2县区2人!$B$2:$B$1048576,MATCH(L2477,医院2县区2人!$A$2:$A$1048576,0))</f>
        <v>#N/A</v>
      </c>
      <c r="N2477" s="6" t="e">
        <f>INDEX(医院2县区2人!$C$2:$C$1048576,MATCH(L2477,医院2县区2人!$A$2:$A$1048576,0))</f>
        <v>#N/A</v>
      </c>
      <c r="P2477" s="7">
        <v>43280</v>
      </c>
      <c r="Q2477" s="6">
        <v>5</v>
      </c>
      <c r="S2477" s="6">
        <v>171253</v>
      </c>
      <c r="T2477" s="6" t="e">
        <f>INDEX(医院2县区2人!$D$2:$D$1048576,MATCH(L2477,医院2县区2人!$A$2:$A$1048576,0))</f>
        <v>#N/A</v>
      </c>
      <c r="W2477" s="6" t="str">
        <f t="shared" si="79"/>
        <v>新盖中盖高钙片2.5g*36s</v>
      </c>
      <c r="X2477" s="6" t="s">
        <v>2904</v>
      </c>
    </row>
    <row r="2478" spans="1:24" x14ac:dyDescent="0.15">
      <c r="A2478" s="7" t="str">
        <f t="shared" si="80"/>
        <v>201806</v>
      </c>
      <c r="C2478" s="6">
        <f>INDEX(工厂基础数据!$A$2:$A$1024,MATCH(X2478,工厂基础数据!$D$2:$D$1024,0))</f>
        <v>0</v>
      </c>
      <c r="E2478" s="6" t="str">
        <f>INDEX(工厂基础数据!$B$2:$B$1024,MATCH(X2478,工厂基础数据!$D$2:$D$1024,0))</f>
        <v>济南广林医药有限公司</v>
      </c>
      <c r="F2478" s="6" t="e">
        <f>INDEX(商业2转码!$B$2:$B$10000,MATCH(E2478,商业2转码!$A$2:$A$10000,0))</f>
        <v>#N/A</v>
      </c>
      <c r="G2478" s="6">
        <f>INDEX(品种2编码!$A$2:$A$1048576,MATCH(W2478,品种2编码!$D$2:$D$1048576,0))</f>
        <v>0</v>
      </c>
      <c r="H2478" s="6" t="s">
        <v>3610</v>
      </c>
      <c r="I2478" s="6" t="s">
        <v>444</v>
      </c>
      <c r="L2478" s="6" t="s">
        <v>3545</v>
      </c>
      <c r="M2478" s="6" t="e">
        <f>INDEX(医院2县区2人!$B$2:$B$1048576,MATCH(L2478,医院2县区2人!$A$2:$A$1048576,0))</f>
        <v>#N/A</v>
      </c>
      <c r="N2478" s="6" t="e">
        <f>INDEX(医院2县区2人!$C$2:$C$1048576,MATCH(L2478,医院2县区2人!$A$2:$A$1048576,0))</f>
        <v>#N/A</v>
      </c>
      <c r="P2478" s="7">
        <v>43259</v>
      </c>
      <c r="Q2478" s="6">
        <v>30</v>
      </c>
      <c r="S2478" s="6">
        <v>1801106</v>
      </c>
      <c r="T2478" s="6" t="e">
        <f>INDEX(医院2县区2人!$D$2:$D$1048576,MATCH(L2478,医院2县区2人!$A$2:$A$1048576,0))</f>
        <v>#N/A</v>
      </c>
      <c r="W2478" s="6" t="str">
        <f t="shared" si="79"/>
        <v>血府逐瘀丸(大蜜丸)9g*10丸</v>
      </c>
      <c r="X2478" s="6" t="s">
        <v>2904</v>
      </c>
    </row>
    <row r="2479" spans="1:24" x14ac:dyDescent="0.15">
      <c r="A2479" s="7" t="str">
        <f t="shared" si="80"/>
        <v>201806</v>
      </c>
      <c r="C2479" s="6">
        <f>INDEX(工厂基础数据!$A$2:$A$1024,MATCH(X2479,工厂基础数据!$D$2:$D$1024,0))</f>
        <v>0</v>
      </c>
      <c r="E2479" s="6" t="str">
        <f>INDEX(工厂基础数据!$B$2:$B$1024,MATCH(X2479,工厂基础数据!$D$2:$D$1024,0))</f>
        <v>济南广林医药有限公司</v>
      </c>
      <c r="F2479" s="6" t="e">
        <f>INDEX(商业2转码!$B$2:$B$10000,MATCH(E2479,商业2转码!$A$2:$A$10000,0))</f>
        <v>#N/A</v>
      </c>
      <c r="G2479" s="6">
        <f>INDEX(品种2编码!$A$2:$A$1048576,MATCH(W2479,品种2编码!$D$2:$D$1048576,0))</f>
        <v>0</v>
      </c>
      <c r="H2479" s="6" t="s">
        <v>3610</v>
      </c>
      <c r="I2479" s="6" t="s">
        <v>444</v>
      </c>
      <c r="L2479" s="6" t="s">
        <v>3535</v>
      </c>
      <c r="M2479" s="6" t="e">
        <f>INDEX(医院2县区2人!$B$2:$B$1048576,MATCH(L2479,医院2县区2人!$A$2:$A$1048576,0))</f>
        <v>#N/A</v>
      </c>
      <c r="N2479" s="6" t="e">
        <f>INDEX(医院2县区2人!$C$2:$C$1048576,MATCH(L2479,医院2县区2人!$A$2:$A$1048576,0))</f>
        <v>#N/A</v>
      </c>
      <c r="P2479" s="7">
        <v>43270</v>
      </c>
      <c r="Q2479" s="6">
        <v>5</v>
      </c>
      <c r="S2479" s="6">
        <v>1801106</v>
      </c>
      <c r="T2479" s="6" t="e">
        <f>INDEX(医院2县区2人!$D$2:$D$1048576,MATCH(L2479,医院2县区2人!$A$2:$A$1048576,0))</f>
        <v>#N/A</v>
      </c>
      <c r="W2479" s="6" t="str">
        <f t="shared" si="79"/>
        <v>血府逐瘀丸(大蜜丸)9g*10丸</v>
      </c>
      <c r="X2479" s="6" t="s">
        <v>2904</v>
      </c>
    </row>
    <row r="2480" spans="1:24" x14ac:dyDescent="0.15">
      <c r="A2480" s="7" t="str">
        <f t="shared" si="80"/>
        <v>201806</v>
      </c>
      <c r="C2480" s="6">
        <f>INDEX(工厂基础数据!$A$2:$A$1024,MATCH(X2480,工厂基础数据!$D$2:$D$1024,0))</f>
        <v>0</v>
      </c>
      <c r="E2480" s="6" t="str">
        <f>INDEX(工厂基础数据!$B$2:$B$1024,MATCH(X2480,工厂基础数据!$D$2:$D$1024,0))</f>
        <v>济南广林医药有限公司</v>
      </c>
      <c r="F2480" s="6" t="e">
        <f>INDEX(商业2转码!$B$2:$B$10000,MATCH(E2480,商业2转码!$A$2:$A$10000,0))</f>
        <v>#N/A</v>
      </c>
      <c r="G2480" s="6">
        <f>INDEX(品种2编码!$A$2:$A$1048576,MATCH(W2480,品种2编码!$D$2:$D$1048576,0))</f>
        <v>0</v>
      </c>
      <c r="H2480" s="6" t="s">
        <v>3610</v>
      </c>
      <c r="I2480" s="6" t="s">
        <v>444</v>
      </c>
      <c r="L2480" s="6" t="s">
        <v>3564</v>
      </c>
      <c r="M2480" s="6" t="e">
        <f>INDEX(医院2县区2人!$B$2:$B$1048576,MATCH(L2480,医院2县区2人!$A$2:$A$1048576,0))</f>
        <v>#N/A</v>
      </c>
      <c r="N2480" s="6" t="e">
        <f>INDEX(医院2县区2人!$C$2:$C$1048576,MATCH(L2480,医院2县区2人!$A$2:$A$1048576,0))</f>
        <v>#N/A</v>
      </c>
      <c r="P2480" s="7">
        <v>43276</v>
      </c>
      <c r="Q2480" s="6">
        <v>5</v>
      </c>
      <c r="S2480" s="6">
        <v>1801106</v>
      </c>
      <c r="T2480" s="6" t="e">
        <f>INDEX(医院2县区2人!$D$2:$D$1048576,MATCH(L2480,医院2县区2人!$A$2:$A$1048576,0))</f>
        <v>#N/A</v>
      </c>
      <c r="W2480" s="6" t="str">
        <f t="shared" si="79"/>
        <v>血府逐瘀丸(大蜜丸)9g*10丸</v>
      </c>
      <c r="X2480" s="6" t="s">
        <v>2904</v>
      </c>
    </row>
    <row r="2481" spans="1:24" x14ac:dyDescent="0.15">
      <c r="A2481" s="7" t="str">
        <f t="shared" si="80"/>
        <v>201806</v>
      </c>
      <c r="C2481" s="6">
        <f>INDEX(工厂基础数据!$A$2:$A$1024,MATCH(X2481,工厂基础数据!$D$2:$D$1024,0))</f>
        <v>0</v>
      </c>
      <c r="E2481" s="6" t="str">
        <f>INDEX(工厂基础数据!$B$2:$B$1024,MATCH(X2481,工厂基础数据!$D$2:$D$1024,0))</f>
        <v>济南广林医药有限公司</v>
      </c>
      <c r="F2481" s="6" t="e">
        <f>INDEX(商业2转码!$B$2:$B$10000,MATCH(E2481,商业2转码!$A$2:$A$10000,0))</f>
        <v>#N/A</v>
      </c>
      <c r="G2481" s="6">
        <f>INDEX(品种2编码!$A$2:$A$1048576,MATCH(W2481,品种2编码!$D$2:$D$1048576,0))</f>
        <v>0</v>
      </c>
      <c r="H2481" s="6" t="s">
        <v>3610</v>
      </c>
      <c r="I2481" s="6" t="s">
        <v>444</v>
      </c>
      <c r="L2481" s="6" t="s">
        <v>3603</v>
      </c>
      <c r="M2481" s="6" t="e">
        <f>INDEX(医院2县区2人!$B$2:$B$1048576,MATCH(L2481,医院2县区2人!$A$2:$A$1048576,0))</f>
        <v>#N/A</v>
      </c>
      <c r="N2481" s="6" t="e">
        <f>INDEX(医院2县区2人!$C$2:$C$1048576,MATCH(L2481,医院2县区2人!$A$2:$A$1048576,0))</f>
        <v>#N/A</v>
      </c>
      <c r="P2481" s="7">
        <v>43277</v>
      </c>
      <c r="Q2481" s="6">
        <v>19</v>
      </c>
      <c r="S2481" s="6">
        <v>1801106</v>
      </c>
      <c r="T2481" s="6" t="e">
        <f>INDEX(医院2县区2人!$D$2:$D$1048576,MATCH(L2481,医院2县区2人!$A$2:$A$1048576,0))</f>
        <v>#N/A</v>
      </c>
      <c r="W2481" s="6" t="str">
        <f t="shared" si="79"/>
        <v>血府逐瘀丸(大蜜丸)9g*10丸</v>
      </c>
      <c r="X2481" s="6" t="s">
        <v>2904</v>
      </c>
    </row>
    <row r="2482" spans="1:24" x14ac:dyDescent="0.15">
      <c r="A2482" s="7" t="str">
        <f t="shared" si="80"/>
        <v>201806</v>
      </c>
      <c r="C2482" s="6">
        <f>INDEX(工厂基础数据!$A$2:$A$1024,MATCH(X2482,工厂基础数据!$D$2:$D$1024,0))</f>
        <v>0</v>
      </c>
      <c r="E2482" s="6" t="str">
        <f>INDEX(工厂基础数据!$B$2:$B$1024,MATCH(X2482,工厂基础数据!$D$2:$D$1024,0))</f>
        <v>济南广林医药有限公司</v>
      </c>
      <c r="F2482" s="6" t="e">
        <f>INDEX(商业2转码!$B$2:$B$10000,MATCH(E2482,商业2转码!$A$2:$A$10000,0))</f>
        <v>#N/A</v>
      </c>
      <c r="G2482" s="6">
        <f>INDEX(品种2编码!$A$2:$A$1048576,MATCH(W2482,品种2编码!$D$2:$D$1048576,0))</f>
        <v>0</v>
      </c>
      <c r="H2482" s="6" t="s">
        <v>911</v>
      </c>
      <c r="I2482" s="6" t="s">
        <v>3614</v>
      </c>
      <c r="L2482" s="6" t="s">
        <v>3583</v>
      </c>
      <c r="M2482" s="6" t="e">
        <f>INDEX(医院2县区2人!$B$2:$B$1048576,MATCH(L2482,医院2县区2人!$A$2:$A$1048576,0))</f>
        <v>#N/A</v>
      </c>
      <c r="N2482" s="6" t="e">
        <f>INDEX(医院2县区2人!$C$2:$C$1048576,MATCH(L2482,医院2县区2人!$A$2:$A$1048576,0))</f>
        <v>#N/A</v>
      </c>
      <c r="P2482" s="7">
        <v>43258</v>
      </c>
      <c r="Q2482" s="6">
        <v>3</v>
      </c>
      <c r="S2482" s="6" t="s">
        <v>3799</v>
      </c>
      <c r="T2482" s="6" t="e">
        <f>INDEX(医院2县区2人!$D$2:$D$1048576,MATCH(L2482,医院2县区2人!$A$2:$A$1048576,0))</f>
        <v>#N/A</v>
      </c>
      <c r="W2482" s="6" t="str">
        <f t="shared" si="79"/>
        <v>注射用乳糖酸阿奇霉素0.125g*10支</v>
      </c>
      <c r="X2482" s="6" t="s">
        <v>2904</v>
      </c>
    </row>
    <row r="2483" spans="1:24" x14ac:dyDescent="0.15">
      <c r="A2483" s="7" t="str">
        <f t="shared" si="80"/>
        <v>201806</v>
      </c>
      <c r="C2483" s="6">
        <f>INDEX(工厂基础数据!$A$2:$A$1024,MATCH(X2483,工厂基础数据!$D$2:$D$1024,0))</f>
        <v>0</v>
      </c>
      <c r="E2483" s="6" t="str">
        <f>INDEX(工厂基础数据!$B$2:$B$1024,MATCH(X2483,工厂基础数据!$D$2:$D$1024,0))</f>
        <v>济南广林医药有限公司</v>
      </c>
      <c r="F2483" s="6" t="e">
        <f>INDEX(商业2转码!$B$2:$B$10000,MATCH(E2483,商业2转码!$A$2:$A$10000,0))</f>
        <v>#N/A</v>
      </c>
      <c r="G2483" s="6">
        <f>INDEX(品种2编码!$A$2:$A$1048576,MATCH(W2483,品种2编码!$D$2:$D$1048576,0))</f>
        <v>0</v>
      </c>
      <c r="H2483" s="6" t="s">
        <v>911</v>
      </c>
      <c r="I2483" s="6" t="s">
        <v>3614</v>
      </c>
      <c r="L2483" s="6" t="s">
        <v>3588</v>
      </c>
      <c r="M2483" s="6" t="e">
        <f>INDEX(医院2县区2人!$B$2:$B$1048576,MATCH(L2483,医院2县区2人!$A$2:$A$1048576,0))</f>
        <v>#N/A</v>
      </c>
      <c r="N2483" s="6" t="e">
        <f>INDEX(医院2县区2人!$C$2:$C$1048576,MATCH(L2483,医院2县区2人!$A$2:$A$1048576,0))</f>
        <v>#N/A</v>
      </c>
      <c r="P2483" s="7">
        <v>43262</v>
      </c>
      <c r="Q2483" s="6">
        <v>2</v>
      </c>
      <c r="S2483" s="6" t="s">
        <v>3799</v>
      </c>
      <c r="T2483" s="6" t="e">
        <f>INDEX(医院2县区2人!$D$2:$D$1048576,MATCH(L2483,医院2县区2人!$A$2:$A$1048576,0))</f>
        <v>#N/A</v>
      </c>
      <c r="W2483" s="6" t="str">
        <f t="shared" si="79"/>
        <v>注射用乳糖酸阿奇霉素0.125g*10支</v>
      </c>
      <c r="X2483" s="6" t="s">
        <v>2904</v>
      </c>
    </row>
    <row r="2484" spans="1:24" x14ac:dyDescent="0.15">
      <c r="A2484" s="7" t="str">
        <f t="shared" si="80"/>
        <v>201806</v>
      </c>
      <c r="C2484" s="6">
        <f>INDEX(工厂基础数据!$A$2:$A$1024,MATCH(X2484,工厂基础数据!$D$2:$D$1024,0))</f>
        <v>0</v>
      </c>
      <c r="E2484" s="6" t="str">
        <f>INDEX(工厂基础数据!$B$2:$B$1024,MATCH(X2484,工厂基础数据!$D$2:$D$1024,0))</f>
        <v>济南广林医药有限公司</v>
      </c>
      <c r="F2484" s="6" t="e">
        <f>INDEX(商业2转码!$B$2:$B$10000,MATCH(E2484,商业2转码!$A$2:$A$10000,0))</f>
        <v>#N/A</v>
      </c>
      <c r="G2484" s="6">
        <f>INDEX(品种2编码!$A$2:$A$1048576,MATCH(W2484,品种2编码!$D$2:$D$1048576,0))</f>
        <v>0</v>
      </c>
      <c r="H2484" s="6" t="s">
        <v>911</v>
      </c>
      <c r="I2484" s="6" t="s">
        <v>3614</v>
      </c>
      <c r="L2484" s="6" t="s">
        <v>3604</v>
      </c>
      <c r="M2484" s="6" t="e">
        <f>INDEX(医院2县区2人!$B$2:$B$1048576,MATCH(L2484,医院2县区2人!$A$2:$A$1048576,0))</f>
        <v>#N/A</v>
      </c>
      <c r="N2484" s="6" t="e">
        <f>INDEX(医院2县区2人!$C$2:$C$1048576,MATCH(L2484,医院2县区2人!$A$2:$A$1048576,0))</f>
        <v>#N/A</v>
      </c>
      <c r="P2484" s="7">
        <v>43263</v>
      </c>
      <c r="Q2484" s="6">
        <v>2</v>
      </c>
      <c r="S2484" s="6" t="s">
        <v>3799</v>
      </c>
      <c r="T2484" s="6" t="e">
        <f>INDEX(医院2县区2人!$D$2:$D$1048576,MATCH(L2484,医院2县区2人!$A$2:$A$1048576,0))</f>
        <v>#N/A</v>
      </c>
      <c r="W2484" s="6" t="str">
        <f t="shared" si="79"/>
        <v>注射用乳糖酸阿奇霉素0.125g*10支</v>
      </c>
      <c r="X2484" s="6" t="s">
        <v>2904</v>
      </c>
    </row>
    <row r="2485" spans="1:24" x14ac:dyDescent="0.15">
      <c r="A2485" s="7" t="str">
        <f t="shared" si="80"/>
        <v>201806</v>
      </c>
      <c r="C2485" s="6">
        <f>INDEX(工厂基础数据!$A$2:$A$1024,MATCH(X2485,工厂基础数据!$D$2:$D$1024,0))</f>
        <v>0</v>
      </c>
      <c r="E2485" s="6" t="str">
        <f>INDEX(工厂基础数据!$B$2:$B$1024,MATCH(X2485,工厂基础数据!$D$2:$D$1024,0))</f>
        <v>济南广林医药有限公司</v>
      </c>
      <c r="F2485" s="6" t="e">
        <f>INDEX(商业2转码!$B$2:$B$10000,MATCH(E2485,商业2转码!$A$2:$A$10000,0))</f>
        <v>#N/A</v>
      </c>
      <c r="G2485" s="6">
        <f>INDEX(品种2编码!$A$2:$A$1048576,MATCH(W2485,品种2编码!$D$2:$D$1048576,0))</f>
        <v>0</v>
      </c>
      <c r="H2485" s="6" t="s">
        <v>911</v>
      </c>
      <c r="I2485" s="6" t="s">
        <v>3614</v>
      </c>
      <c r="L2485" s="6" t="s">
        <v>3528</v>
      </c>
      <c r="M2485" s="6" t="e">
        <f>INDEX(医院2县区2人!$B$2:$B$1048576,MATCH(L2485,医院2县区2人!$A$2:$A$1048576,0))</f>
        <v>#N/A</v>
      </c>
      <c r="N2485" s="6" t="e">
        <f>INDEX(医院2县区2人!$C$2:$C$1048576,MATCH(L2485,医院2县区2人!$A$2:$A$1048576,0))</f>
        <v>#N/A</v>
      </c>
      <c r="P2485" s="7">
        <v>43266</v>
      </c>
      <c r="Q2485" s="6">
        <v>10</v>
      </c>
      <c r="S2485" s="6" t="s">
        <v>3799</v>
      </c>
      <c r="T2485" s="6" t="e">
        <f>INDEX(医院2县区2人!$D$2:$D$1048576,MATCH(L2485,医院2县区2人!$A$2:$A$1048576,0))</f>
        <v>#N/A</v>
      </c>
      <c r="W2485" s="6" t="str">
        <f t="shared" si="79"/>
        <v>注射用乳糖酸阿奇霉素0.125g*10支</v>
      </c>
      <c r="X2485" s="6" t="s">
        <v>2904</v>
      </c>
    </row>
    <row r="2486" spans="1:24" x14ac:dyDescent="0.15">
      <c r="A2486" s="7" t="str">
        <f t="shared" si="80"/>
        <v>201806</v>
      </c>
      <c r="C2486" s="6">
        <f>INDEX(工厂基础数据!$A$2:$A$1024,MATCH(X2486,工厂基础数据!$D$2:$D$1024,0))</f>
        <v>0</v>
      </c>
      <c r="E2486" s="6" t="str">
        <f>INDEX(工厂基础数据!$B$2:$B$1024,MATCH(X2486,工厂基础数据!$D$2:$D$1024,0))</f>
        <v>济南广林医药有限公司</v>
      </c>
      <c r="F2486" s="6" t="e">
        <f>INDEX(商业2转码!$B$2:$B$10000,MATCH(E2486,商业2转码!$A$2:$A$10000,0))</f>
        <v>#N/A</v>
      </c>
      <c r="G2486" s="6">
        <f>INDEX(品种2编码!$A$2:$A$1048576,MATCH(W2486,品种2编码!$D$2:$D$1048576,0))</f>
        <v>0</v>
      </c>
      <c r="H2486" s="6" t="s">
        <v>911</v>
      </c>
      <c r="I2486" s="6" t="s">
        <v>3614</v>
      </c>
      <c r="L2486" s="6" t="s">
        <v>3605</v>
      </c>
      <c r="M2486" s="6" t="e">
        <f>INDEX(医院2县区2人!$B$2:$B$1048576,MATCH(L2486,医院2县区2人!$A$2:$A$1048576,0))</f>
        <v>#N/A</v>
      </c>
      <c r="N2486" s="6" t="e">
        <f>INDEX(医院2县区2人!$C$2:$C$1048576,MATCH(L2486,医院2县区2人!$A$2:$A$1048576,0))</f>
        <v>#N/A</v>
      </c>
      <c r="P2486" s="7">
        <v>43273</v>
      </c>
      <c r="Q2486" s="6">
        <v>5</v>
      </c>
      <c r="S2486" s="6" t="s">
        <v>3799</v>
      </c>
      <c r="T2486" s="6" t="e">
        <f>INDEX(医院2县区2人!$D$2:$D$1048576,MATCH(L2486,医院2县区2人!$A$2:$A$1048576,0))</f>
        <v>#N/A</v>
      </c>
      <c r="W2486" s="6" t="str">
        <f t="shared" si="79"/>
        <v>注射用乳糖酸阿奇霉素0.125g*10支</v>
      </c>
      <c r="X2486" s="6" t="s">
        <v>2904</v>
      </c>
    </row>
    <row r="2487" spans="1:24" x14ac:dyDescent="0.15">
      <c r="A2487" s="7" t="str">
        <f t="shared" si="80"/>
        <v>201806</v>
      </c>
      <c r="C2487" s="6">
        <f>INDEX(工厂基础数据!$A$2:$A$1024,MATCH(X2487,工厂基础数据!$D$2:$D$1024,0))</f>
        <v>0</v>
      </c>
      <c r="E2487" s="6" t="str">
        <f>INDEX(工厂基础数据!$B$2:$B$1024,MATCH(X2487,工厂基础数据!$D$2:$D$1024,0))</f>
        <v>济南广林医药有限公司</v>
      </c>
      <c r="F2487" s="6" t="e">
        <f>INDEX(商业2转码!$B$2:$B$10000,MATCH(E2487,商业2转码!$A$2:$A$10000,0))</f>
        <v>#N/A</v>
      </c>
      <c r="G2487" s="6">
        <f>INDEX(品种2编码!$A$2:$A$1048576,MATCH(W2487,品种2编码!$D$2:$D$1048576,0))</f>
        <v>0</v>
      </c>
      <c r="H2487" s="6" t="s">
        <v>911</v>
      </c>
      <c r="I2487" s="6" t="s">
        <v>3614</v>
      </c>
      <c r="L2487" s="6" t="s">
        <v>3606</v>
      </c>
      <c r="M2487" s="6" t="e">
        <f>INDEX(医院2县区2人!$B$2:$B$1048576,MATCH(L2487,医院2县区2人!$A$2:$A$1048576,0))</f>
        <v>#N/A</v>
      </c>
      <c r="N2487" s="6" t="e">
        <f>INDEX(医院2县区2人!$C$2:$C$1048576,MATCH(L2487,医院2县区2人!$A$2:$A$1048576,0))</f>
        <v>#N/A</v>
      </c>
      <c r="P2487" s="7">
        <v>43279</v>
      </c>
      <c r="Q2487" s="6">
        <v>2</v>
      </c>
      <c r="S2487" s="6" t="s">
        <v>3799</v>
      </c>
      <c r="T2487" s="6" t="e">
        <f>INDEX(医院2县区2人!$D$2:$D$1048576,MATCH(L2487,医院2县区2人!$A$2:$A$1048576,0))</f>
        <v>#N/A</v>
      </c>
      <c r="W2487" s="6" t="str">
        <f t="shared" si="79"/>
        <v>注射用乳糖酸阿奇霉素0.125g*10支</v>
      </c>
      <c r="X2487" s="6" t="s">
        <v>2904</v>
      </c>
    </row>
    <row r="2488" spans="1:24" x14ac:dyDescent="0.15">
      <c r="A2488" s="7" t="str">
        <f t="shared" si="80"/>
        <v>201806</v>
      </c>
      <c r="C2488" s="6" t="str">
        <f>INDEX(工厂基础数据!$A$2:$A$1024,MATCH(X2488,工厂基础数据!$D$2:$D$1024,0))</f>
        <v>02037769</v>
      </c>
      <c r="E2488" s="6" t="str">
        <f>INDEX(工厂基础数据!$B$2:$B$1024,MATCH(X2488,工厂基础数据!$D$2:$D$1024,0))</f>
        <v>山东海川医药有限公司</v>
      </c>
      <c r="F2488" s="6" t="e">
        <f>INDEX(商业2转码!$B$2:$B$10000,MATCH(E2488,商业2转码!$A$2:$A$10000,0))</f>
        <v>#N/A</v>
      </c>
      <c r="G2488" s="6">
        <f>INDEX(品种2编码!$A$2:$A$1048576,MATCH(W2488,品种2编码!$D$2:$D$1048576,0))</f>
        <v>0</v>
      </c>
      <c r="H2488" s="6" t="s">
        <v>3739</v>
      </c>
      <c r="I2488" s="6" t="s">
        <v>1910</v>
      </c>
      <c r="J2488" s="6" t="s">
        <v>3037</v>
      </c>
      <c r="L2488" s="6" t="s">
        <v>3615</v>
      </c>
      <c r="M2488" s="6" t="e">
        <f>INDEX(医院2县区2人!$B$2:$B$1048576,MATCH(L2488,医院2县区2人!$A$2:$A$1048576,0))</f>
        <v>#N/A</v>
      </c>
      <c r="N2488" s="6" t="e">
        <f>INDEX(医院2县区2人!$C$2:$C$1048576,MATCH(L2488,医院2县区2人!$A$2:$A$1048576,0))</f>
        <v>#N/A</v>
      </c>
      <c r="P2488" s="7">
        <v>43252</v>
      </c>
      <c r="Q2488" s="6">
        <v>10</v>
      </c>
      <c r="S2488" s="6">
        <v>1711301</v>
      </c>
      <c r="T2488" s="6" t="e">
        <f>INDEX(医院2县区2人!$D$2:$D$1048576,MATCH(L2488,医院2县区2人!$A$2:$A$1048576,0))</f>
        <v>#N/A</v>
      </c>
      <c r="W2488" s="6" t="str">
        <f t="shared" si="79"/>
        <v>牛黄消炎片 24片</v>
      </c>
      <c r="X2488" s="6" t="s">
        <v>2901</v>
      </c>
    </row>
    <row r="2489" spans="1:24" x14ac:dyDescent="0.15">
      <c r="A2489" s="7" t="str">
        <f t="shared" si="80"/>
        <v>201806</v>
      </c>
      <c r="C2489" s="6" t="str">
        <f>INDEX(工厂基础数据!$A$2:$A$1024,MATCH(X2489,工厂基础数据!$D$2:$D$1024,0))</f>
        <v>02037769</v>
      </c>
      <c r="E2489" s="6" t="str">
        <f>INDEX(工厂基础数据!$B$2:$B$1024,MATCH(X2489,工厂基础数据!$D$2:$D$1024,0))</f>
        <v>山东海川医药有限公司</v>
      </c>
      <c r="F2489" s="6" t="e">
        <f>INDEX(商业2转码!$B$2:$B$10000,MATCH(E2489,商业2转码!$A$2:$A$10000,0))</f>
        <v>#N/A</v>
      </c>
      <c r="G2489" s="6" t="str">
        <f>INDEX(品种2编码!$A$2:$A$1048576,MATCH(W2489,品种2编码!$D$2:$D$1048576,0))</f>
        <v>0020030040ZYLC0001</v>
      </c>
      <c r="H2489" s="6" t="s">
        <v>1953</v>
      </c>
      <c r="I2489" s="6" t="s">
        <v>1954</v>
      </c>
      <c r="J2489" s="6" t="s">
        <v>3036</v>
      </c>
      <c r="L2489" s="6" t="s">
        <v>3616</v>
      </c>
      <c r="M2489" s="6" t="e">
        <f>INDEX(医院2县区2人!$B$2:$B$1048576,MATCH(L2489,医院2县区2人!$A$2:$A$1048576,0))</f>
        <v>#N/A</v>
      </c>
      <c r="N2489" s="6" t="e">
        <f>INDEX(医院2县区2人!$C$2:$C$1048576,MATCH(L2489,医院2县区2人!$A$2:$A$1048576,0))</f>
        <v>#N/A</v>
      </c>
      <c r="P2489" s="7">
        <v>43252</v>
      </c>
      <c r="Q2489" s="6">
        <v>10</v>
      </c>
      <c r="S2489" s="6">
        <v>180137</v>
      </c>
      <c r="T2489" s="6" t="e">
        <f>INDEX(医院2县区2人!$D$2:$D$1048576,MATCH(L2489,医院2县区2人!$A$2:$A$1048576,0))</f>
        <v>#N/A</v>
      </c>
      <c r="W2489" s="6" t="str">
        <f t="shared" si="79"/>
        <v>小儿氨酚黄那敏颗粒12袋</v>
      </c>
      <c r="X2489" s="6" t="s">
        <v>2901</v>
      </c>
    </row>
    <row r="2490" spans="1:24" x14ac:dyDescent="0.15">
      <c r="A2490" s="7" t="str">
        <f t="shared" si="80"/>
        <v>201806</v>
      </c>
      <c r="C2490" s="6" t="str">
        <f>INDEX(工厂基础数据!$A$2:$A$1024,MATCH(X2490,工厂基础数据!$D$2:$D$1024,0))</f>
        <v>02037769</v>
      </c>
      <c r="E2490" s="6" t="str">
        <f>INDEX(工厂基础数据!$B$2:$B$1024,MATCH(X2490,工厂基础数据!$D$2:$D$1024,0))</f>
        <v>山东海川医药有限公司</v>
      </c>
      <c r="F2490" s="6" t="e">
        <f>INDEX(商业2转码!$B$2:$B$10000,MATCH(E2490,商业2转码!$A$2:$A$10000,0))</f>
        <v>#N/A</v>
      </c>
      <c r="G2490" s="6" t="str">
        <f>INDEX(品种2编码!$A$2:$A$1048576,MATCH(W2490,品种2编码!$D$2:$D$1048576,0))</f>
        <v>0020040001SHYT0026</v>
      </c>
      <c r="H2490" s="6" t="s">
        <v>715</v>
      </c>
      <c r="I2490" s="6" t="s">
        <v>1867</v>
      </c>
      <c r="J2490" s="6" t="s">
        <v>3037</v>
      </c>
      <c r="L2490" s="6" t="s">
        <v>3617</v>
      </c>
      <c r="M2490" s="6" t="e">
        <f>INDEX(医院2县区2人!$B$2:$B$1048576,MATCH(L2490,医院2县区2人!$A$2:$A$1048576,0))</f>
        <v>#N/A</v>
      </c>
      <c r="N2490" s="6" t="e">
        <f>INDEX(医院2县区2人!$C$2:$C$1048576,MATCH(L2490,医院2县区2人!$A$2:$A$1048576,0))</f>
        <v>#N/A</v>
      </c>
      <c r="P2490" s="7">
        <v>43252</v>
      </c>
      <c r="Q2490" s="6">
        <v>5</v>
      </c>
      <c r="S2490" s="6">
        <v>1801108</v>
      </c>
      <c r="T2490" s="6" t="e">
        <f>INDEX(医院2县区2人!$D$2:$D$1048576,MATCH(L2490,医院2县区2人!$A$2:$A$1048576,0))</f>
        <v>#N/A</v>
      </c>
      <c r="W2490" s="6" t="str">
        <f t="shared" si="79"/>
        <v>小活络丸3g*10丸</v>
      </c>
      <c r="X2490" s="6" t="s">
        <v>2901</v>
      </c>
    </row>
    <row r="2491" spans="1:24" x14ac:dyDescent="0.15">
      <c r="A2491" s="7" t="str">
        <f t="shared" si="80"/>
        <v>201806</v>
      </c>
      <c r="C2491" s="6" t="str">
        <f>INDEX(工厂基础数据!$A$2:$A$1024,MATCH(X2491,工厂基础数据!$D$2:$D$1024,0))</f>
        <v>02037769</v>
      </c>
      <c r="E2491" s="6" t="str">
        <f>INDEX(工厂基础数据!$B$2:$B$1024,MATCH(X2491,工厂基础数据!$D$2:$D$1024,0))</f>
        <v>山东海川医药有限公司</v>
      </c>
      <c r="F2491" s="6" t="e">
        <f>INDEX(商业2转码!$B$2:$B$10000,MATCH(E2491,商业2转码!$A$2:$A$10000,0))</f>
        <v>#N/A</v>
      </c>
      <c r="G2491" s="6" t="str">
        <f>INDEX(品种2编码!$A$2:$A$1048576,MATCH(W2491,品种2编码!$D$2:$D$1048576,0))</f>
        <v>0020030001SJZY0009</v>
      </c>
      <c r="H2491" s="6" t="s">
        <v>1949</v>
      </c>
      <c r="I2491" s="6" t="s">
        <v>411</v>
      </c>
      <c r="J2491" s="6" t="s">
        <v>3040</v>
      </c>
      <c r="L2491" s="6" t="s">
        <v>3618</v>
      </c>
      <c r="M2491" s="6" t="e">
        <f>INDEX(医院2县区2人!$B$2:$B$1048576,MATCH(L2491,医院2县区2人!$A$2:$A$1048576,0))</f>
        <v>#N/A</v>
      </c>
      <c r="N2491" s="6" t="e">
        <f>INDEX(医院2县区2人!$C$2:$C$1048576,MATCH(L2491,医院2县区2人!$A$2:$A$1048576,0))</f>
        <v>#N/A</v>
      </c>
      <c r="P2491" s="7">
        <v>43252</v>
      </c>
      <c r="Q2491" s="6">
        <v>10</v>
      </c>
      <c r="S2491" s="6">
        <v>18031227</v>
      </c>
      <c r="T2491" s="6" t="e">
        <f>INDEX(医院2县区2人!$D$2:$D$1048576,MATCH(L2491,医院2县区2人!$A$2:$A$1048576,0))</f>
        <v>#N/A</v>
      </c>
      <c r="W2491" s="6" t="str">
        <f t="shared" ref="W2491:W2554" si="81">H2491&amp;I2491</f>
        <v>葡萄糖酸锌口服溶液10ml*12支</v>
      </c>
      <c r="X2491" s="6" t="s">
        <v>2901</v>
      </c>
    </row>
    <row r="2492" spans="1:24" x14ac:dyDescent="0.15">
      <c r="A2492" s="7" t="str">
        <f t="shared" ref="A2492:A2555" si="82">IF(MONTH(P2492)&lt;10,YEAR(P2492)&amp;"0"&amp;MONTH(P2492),YEAR(P2492)&amp;MONTH(P2492))</f>
        <v>201806</v>
      </c>
      <c r="C2492" s="6" t="str">
        <f>INDEX(工厂基础数据!$A$2:$A$1024,MATCH(X2492,工厂基础数据!$D$2:$D$1024,0))</f>
        <v>02037769</v>
      </c>
      <c r="E2492" s="6" t="str">
        <f>INDEX(工厂基础数据!$B$2:$B$1024,MATCH(X2492,工厂基础数据!$D$2:$D$1024,0))</f>
        <v>山东海川医药有限公司</v>
      </c>
      <c r="F2492" s="6" t="e">
        <f>INDEX(商业2转码!$B$2:$B$10000,MATCH(E2492,商业2转码!$A$2:$A$10000,0))</f>
        <v>#N/A</v>
      </c>
      <c r="G2492" s="6" t="str">
        <f>INDEX(品种2编码!$A$2:$A$1048576,MATCH(W2492,品种2编码!$D$2:$D$1048576,0))</f>
        <v>0020030001SJZY0006</v>
      </c>
      <c r="H2492" s="6" t="s">
        <v>1833</v>
      </c>
      <c r="I2492" s="6" t="s">
        <v>411</v>
      </c>
      <c r="J2492" s="6" t="s">
        <v>3044</v>
      </c>
      <c r="L2492" s="6" t="s">
        <v>3618</v>
      </c>
      <c r="M2492" s="6" t="e">
        <f>INDEX(医院2县区2人!$B$2:$B$1048576,MATCH(L2492,医院2县区2人!$A$2:$A$1048576,0))</f>
        <v>#N/A</v>
      </c>
      <c r="N2492" s="6" t="e">
        <f>INDEX(医院2县区2人!$C$2:$C$1048576,MATCH(L2492,医院2县区2人!$A$2:$A$1048576,0))</f>
        <v>#N/A</v>
      </c>
      <c r="P2492" s="7">
        <v>43252</v>
      </c>
      <c r="Q2492" s="6">
        <v>5</v>
      </c>
      <c r="S2492" s="6">
        <v>18030532</v>
      </c>
      <c r="T2492" s="6" t="e">
        <f>INDEX(医院2县区2人!$D$2:$D$1048576,MATCH(L2492,医院2县区2人!$A$2:$A$1048576,0))</f>
        <v>#N/A</v>
      </c>
      <c r="W2492" s="6" t="str">
        <f t="shared" si="81"/>
        <v>葡萄糖酸钙口服溶液10ml*12支</v>
      </c>
      <c r="X2492" s="6" t="s">
        <v>2901</v>
      </c>
    </row>
    <row r="2493" spans="1:24" x14ac:dyDescent="0.15">
      <c r="A2493" s="7" t="str">
        <f t="shared" si="82"/>
        <v>201806</v>
      </c>
      <c r="C2493" s="6" t="str">
        <f>INDEX(工厂基础数据!$A$2:$A$1024,MATCH(X2493,工厂基础数据!$D$2:$D$1024,0))</f>
        <v>02037769</v>
      </c>
      <c r="E2493" s="6" t="str">
        <f>INDEX(工厂基础数据!$B$2:$B$1024,MATCH(X2493,工厂基础数据!$D$2:$D$1024,0))</f>
        <v>山东海川医药有限公司</v>
      </c>
      <c r="F2493" s="6" t="e">
        <f>INDEX(商业2转码!$B$2:$B$10000,MATCH(E2493,商业2转码!$A$2:$A$10000,0))</f>
        <v>#N/A</v>
      </c>
      <c r="G2493" s="6">
        <f>INDEX(品种2编码!$A$2:$A$1048576,MATCH(W2493,品种2编码!$D$2:$D$1048576,0))</f>
        <v>0</v>
      </c>
      <c r="H2493" s="6" t="s">
        <v>3740</v>
      </c>
      <c r="I2493" s="6" t="s">
        <v>3751</v>
      </c>
      <c r="J2493" s="6" t="s">
        <v>3754</v>
      </c>
      <c r="L2493" s="6" t="s">
        <v>3619</v>
      </c>
      <c r="M2493" s="6" t="e">
        <f>INDEX(医院2县区2人!$B$2:$B$1048576,MATCH(L2493,医院2县区2人!$A$2:$A$1048576,0))</f>
        <v>#N/A</v>
      </c>
      <c r="N2493" s="6" t="e">
        <f>INDEX(医院2县区2人!$C$2:$C$1048576,MATCH(L2493,医院2县区2人!$A$2:$A$1048576,0))</f>
        <v>#N/A</v>
      </c>
      <c r="P2493" s="7">
        <v>43252</v>
      </c>
      <c r="Q2493" s="6">
        <v>3</v>
      </c>
      <c r="S2493" s="6">
        <v>20170301</v>
      </c>
      <c r="T2493" s="6" t="e">
        <f>INDEX(医院2县区2人!$D$2:$D$1048576,MATCH(L2493,医院2县区2人!$A$2:$A$1048576,0))</f>
        <v>#N/A</v>
      </c>
      <c r="W2493" s="6" t="str">
        <f t="shared" si="81"/>
        <v>逐瘀通脉胶囊0.2g*18粒</v>
      </c>
      <c r="X2493" s="6" t="s">
        <v>2901</v>
      </c>
    </row>
    <row r="2494" spans="1:24" x14ac:dyDescent="0.15">
      <c r="A2494" s="7" t="str">
        <f t="shared" si="82"/>
        <v>201806</v>
      </c>
      <c r="C2494" s="6" t="str">
        <f>INDEX(工厂基础数据!$A$2:$A$1024,MATCH(X2494,工厂基础数据!$D$2:$D$1024,0))</f>
        <v>02037769</v>
      </c>
      <c r="E2494" s="6" t="str">
        <f>INDEX(工厂基础数据!$B$2:$B$1024,MATCH(X2494,工厂基础数据!$D$2:$D$1024,0))</f>
        <v>山东海川医药有限公司</v>
      </c>
      <c r="F2494" s="6" t="e">
        <f>INDEX(商业2转码!$B$2:$B$10000,MATCH(E2494,商业2转码!$A$2:$A$10000,0))</f>
        <v>#N/A</v>
      </c>
      <c r="G2494" s="6" t="str">
        <f>INDEX(品种2编码!$A$2:$A$1048576,MATCH(W2494,品种2编码!$D$2:$D$1048576,0))</f>
        <v>0020030001SJZY0006</v>
      </c>
      <c r="H2494" s="6" t="s">
        <v>1833</v>
      </c>
      <c r="I2494" s="6" t="s">
        <v>411</v>
      </c>
      <c r="J2494" s="6" t="s">
        <v>3044</v>
      </c>
      <c r="L2494" s="6" t="s">
        <v>3620</v>
      </c>
      <c r="M2494" s="6" t="e">
        <f>INDEX(医院2县区2人!$B$2:$B$1048576,MATCH(L2494,医院2县区2人!$A$2:$A$1048576,0))</f>
        <v>#N/A</v>
      </c>
      <c r="N2494" s="6" t="e">
        <f>INDEX(医院2县区2人!$C$2:$C$1048576,MATCH(L2494,医院2县区2人!$A$2:$A$1048576,0))</f>
        <v>#N/A</v>
      </c>
      <c r="P2494" s="7">
        <v>43252</v>
      </c>
      <c r="Q2494" s="6">
        <v>5</v>
      </c>
      <c r="S2494" s="6">
        <v>18030532</v>
      </c>
      <c r="T2494" s="6" t="e">
        <f>INDEX(医院2县区2人!$D$2:$D$1048576,MATCH(L2494,医院2县区2人!$A$2:$A$1048576,0))</f>
        <v>#N/A</v>
      </c>
      <c r="W2494" s="6" t="str">
        <f t="shared" si="81"/>
        <v>葡萄糖酸钙口服溶液10ml*12支</v>
      </c>
      <c r="X2494" s="6" t="s">
        <v>2901</v>
      </c>
    </row>
    <row r="2495" spans="1:24" x14ac:dyDescent="0.15">
      <c r="A2495" s="7" t="str">
        <f t="shared" si="82"/>
        <v>201806</v>
      </c>
      <c r="C2495" s="6" t="str">
        <f>INDEX(工厂基础数据!$A$2:$A$1024,MATCH(X2495,工厂基础数据!$D$2:$D$1024,0))</f>
        <v>02037769</v>
      </c>
      <c r="E2495" s="6" t="str">
        <f>INDEX(工厂基础数据!$B$2:$B$1024,MATCH(X2495,工厂基础数据!$D$2:$D$1024,0))</f>
        <v>山东海川医药有限公司</v>
      </c>
      <c r="F2495" s="6" t="e">
        <f>INDEX(商业2转码!$B$2:$B$10000,MATCH(E2495,商业2转码!$A$2:$A$10000,0))</f>
        <v>#N/A</v>
      </c>
      <c r="G2495" s="6" t="str">
        <f>INDEX(品种2编码!$A$2:$A$1048576,MATCH(W2495,品种2编码!$D$2:$D$1048576,0))</f>
        <v>0020030040ZYLC0001</v>
      </c>
      <c r="H2495" s="6" t="s">
        <v>1953</v>
      </c>
      <c r="I2495" s="6" t="s">
        <v>1954</v>
      </c>
      <c r="J2495" s="6" t="s">
        <v>3036</v>
      </c>
      <c r="L2495" s="6" t="s">
        <v>3621</v>
      </c>
      <c r="M2495" s="6" t="e">
        <f>INDEX(医院2县区2人!$B$2:$B$1048576,MATCH(L2495,医院2县区2人!$A$2:$A$1048576,0))</f>
        <v>#N/A</v>
      </c>
      <c r="N2495" s="6" t="e">
        <f>INDEX(医院2县区2人!$C$2:$C$1048576,MATCH(L2495,医院2县区2人!$A$2:$A$1048576,0))</f>
        <v>#N/A</v>
      </c>
      <c r="P2495" s="7">
        <v>43253</v>
      </c>
      <c r="Q2495" s="6">
        <v>10</v>
      </c>
      <c r="S2495" s="6">
        <v>180137</v>
      </c>
      <c r="T2495" s="6" t="e">
        <f>INDEX(医院2县区2人!$D$2:$D$1048576,MATCH(L2495,医院2县区2人!$A$2:$A$1048576,0))</f>
        <v>#N/A</v>
      </c>
      <c r="W2495" s="6" t="str">
        <f t="shared" si="81"/>
        <v>小儿氨酚黄那敏颗粒12袋</v>
      </c>
      <c r="X2495" s="6" t="s">
        <v>2901</v>
      </c>
    </row>
    <row r="2496" spans="1:24" x14ac:dyDescent="0.15">
      <c r="A2496" s="7" t="str">
        <f t="shared" si="82"/>
        <v>201806</v>
      </c>
      <c r="C2496" s="6" t="str">
        <f>INDEX(工厂基础数据!$A$2:$A$1024,MATCH(X2496,工厂基础数据!$D$2:$D$1024,0))</f>
        <v>02037769</v>
      </c>
      <c r="E2496" s="6" t="str">
        <f>INDEX(工厂基础数据!$B$2:$B$1024,MATCH(X2496,工厂基础数据!$D$2:$D$1024,0))</f>
        <v>山东海川医药有限公司</v>
      </c>
      <c r="F2496" s="6" t="e">
        <f>INDEX(商业2转码!$B$2:$B$10000,MATCH(E2496,商业2转码!$A$2:$A$10000,0))</f>
        <v>#N/A</v>
      </c>
      <c r="G2496" s="6" t="str">
        <f>INDEX(品种2编码!$A$2:$A$1048576,MATCH(W2496,品种2编码!$D$2:$D$1048576,0))</f>
        <v>0020070001ZYZC0383</v>
      </c>
      <c r="H2496" s="6" t="s">
        <v>1849</v>
      </c>
      <c r="I2496" s="6" t="s">
        <v>1850</v>
      </c>
      <c r="J2496" s="6" t="s">
        <v>3038</v>
      </c>
      <c r="L2496" s="6" t="s">
        <v>3622</v>
      </c>
      <c r="M2496" s="6" t="e">
        <f>INDEX(医院2县区2人!$B$2:$B$1048576,MATCH(L2496,医院2县区2人!$A$2:$A$1048576,0))</f>
        <v>#N/A</v>
      </c>
      <c r="N2496" s="6" t="e">
        <f>INDEX(医院2县区2人!$C$2:$C$1048576,MATCH(L2496,医院2县区2人!$A$2:$A$1048576,0))</f>
        <v>#N/A</v>
      </c>
      <c r="P2496" s="7">
        <v>43253</v>
      </c>
      <c r="Q2496" s="6">
        <v>80</v>
      </c>
      <c r="S2496" s="6">
        <v>1802005</v>
      </c>
      <c r="T2496" s="6" t="e">
        <f>INDEX(医院2县区2人!$D$2:$D$1048576,MATCH(L2496,医院2县区2人!$A$2:$A$1048576,0))</f>
        <v>#N/A</v>
      </c>
      <c r="W2496" s="6" t="str">
        <f t="shared" si="81"/>
        <v>哈药牌钙铁锌口服液10ml*10支</v>
      </c>
      <c r="X2496" s="6" t="s">
        <v>2901</v>
      </c>
    </row>
    <row r="2497" spans="1:24" x14ac:dyDescent="0.15">
      <c r="A2497" s="7" t="str">
        <f t="shared" si="82"/>
        <v>201806</v>
      </c>
      <c r="C2497" s="6" t="str">
        <f>INDEX(工厂基础数据!$A$2:$A$1024,MATCH(X2497,工厂基础数据!$D$2:$D$1024,0))</f>
        <v>02037769</v>
      </c>
      <c r="E2497" s="6" t="str">
        <f>INDEX(工厂基础数据!$B$2:$B$1024,MATCH(X2497,工厂基础数据!$D$2:$D$1024,0))</f>
        <v>山东海川医药有限公司</v>
      </c>
      <c r="F2497" s="6" t="e">
        <f>INDEX(商业2转码!$B$2:$B$10000,MATCH(E2497,商业2转码!$A$2:$A$10000,0))</f>
        <v>#N/A</v>
      </c>
      <c r="G2497" s="6">
        <f>INDEX(品种2编码!$A$2:$A$1048576,MATCH(W2497,品种2编码!$D$2:$D$1048576,0))</f>
        <v>0</v>
      </c>
      <c r="H2497" s="6" t="s">
        <v>3741</v>
      </c>
      <c r="I2497" s="6" t="s">
        <v>3752</v>
      </c>
      <c r="J2497" s="6" t="s">
        <v>3038</v>
      </c>
      <c r="L2497" s="6" t="s">
        <v>3623</v>
      </c>
      <c r="M2497" s="6" t="e">
        <f>INDEX(医院2县区2人!$B$2:$B$1048576,MATCH(L2497,医院2县区2人!$A$2:$A$1048576,0))</f>
        <v>#N/A</v>
      </c>
      <c r="N2497" s="6" t="e">
        <f>INDEX(医院2县区2人!$C$2:$C$1048576,MATCH(L2497,医院2县区2人!$A$2:$A$1048576,0))</f>
        <v>#N/A</v>
      </c>
      <c r="P2497" s="7">
        <v>43254</v>
      </c>
      <c r="Q2497" s="6">
        <v>3</v>
      </c>
      <c r="S2497" s="6">
        <v>180101</v>
      </c>
      <c r="T2497" s="6" t="e">
        <f>INDEX(医院2县区2人!$D$2:$D$1048576,MATCH(L2497,医院2县区2人!$A$2:$A$1048576,0))</f>
        <v>#N/A</v>
      </c>
      <c r="W2497" s="6" t="str">
        <f t="shared" si="81"/>
        <v>哈药痛可贴跌打损伤型4贴</v>
      </c>
      <c r="X2497" s="6" t="s">
        <v>2901</v>
      </c>
    </row>
    <row r="2498" spans="1:24" x14ac:dyDescent="0.15">
      <c r="A2498" s="7" t="str">
        <f t="shared" si="82"/>
        <v>201806</v>
      </c>
      <c r="C2498" s="6" t="str">
        <f>INDEX(工厂基础数据!$A$2:$A$1024,MATCH(X2498,工厂基础数据!$D$2:$D$1024,0))</f>
        <v>02037769</v>
      </c>
      <c r="E2498" s="6" t="str">
        <f>INDEX(工厂基础数据!$B$2:$B$1024,MATCH(X2498,工厂基础数据!$D$2:$D$1024,0))</f>
        <v>山东海川医药有限公司</v>
      </c>
      <c r="F2498" s="6" t="e">
        <f>INDEX(商业2转码!$B$2:$B$10000,MATCH(E2498,商业2转码!$A$2:$A$10000,0))</f>
        <v>#N/A</v>
      </c>
      <c r="G2498" s="6">
        <f>INDEX(品种2编码!$A$2:$A$1048576,MATCH(W2498,品种2编码!$D$2:$D$1048576,0))</f>
        <v>0</v>
      </c>
      <c r="H2498" s="6" t="s">
        <v>3742</v>
      </c>
      <c r="I2498" s="6" t="s">
        <v>3752</v>
      </c>
      <c r="J2498" s="6" t="s">
        <v>3038</v>
      </c>
      <c r="L2498" s="6" t="s">
        <v>3624</v>
      </c>
      <c r="M2498" s="6" t="e">
        <f>INDEX(医院2县区2人!$B$2:$B$1048576,MATCH(L2498,医院2县区2人!$A$2:$A$1048576,0))</f>
        <v>#N/A</v>
      </c>
      <c r="N2498" s="6" t="e">
        <f>INDEX(医院2县区2人!$C$2:$C$1048576,MATCH(L2498,医院2县区2人!$A$2:$A$1048576,0))</f>
        <v>#N/A</v>
      </c>
      <c r="P2498" s="7">
        <v>43254</v>
      </c>
      <c r="Q2498" s="6">
        <v>5</v>
      </c>
      <c r="S2498" s="6">
        <v>180101</v>
      </c>
      <c r="T2498" s="6" t="e">
        <f>INDEX(医院2县区2人!$D$2:$D$1048576,MATCH(L2498,医院2县区2人!$A$2:$A$1048576,0))</f>
        <v>#N/A</v>
      </c>
      <c r="W2498" s="6" t="str">
        <f t="shared" si="81"/>
        <v>哈药痛可贴骨质增生型4贴</v>
      </c>
      <c r="X2498" s="6" t="s">
        <v>2901</v>
      </c>
    </row>
    <row r="2499" spans="1:24" x14ac:dyDescent="0.15">
      <c r="A2499" s="7" t="str">
        <f t="shared" si="82"/>
        <v>201806</v>
      </c>
      <c r="C2499" s="6" t="str">
        <f>INDEX(工厂基础数据!$A$2:$A$1024,MATCH(X2499,工厂基础数据!$D$2:$D$1024,0))</f>
        <v>02037769</v>
      </c>
      <c r="E2499" s="6" t="str">
        <f>INDEX(工厂基础数据!$B$2:$B$1024,MATCH(X2499,工厂基础数据!$D$2:$D$1024,0))</f>
        <v>山东海川医药有限公司</v>
      </c>
      <c r="F2499" s="6" t="e">
        <f>INDEX(商业2转码!$B$2:$B$10000,MATCH(E2499,商业2转码!$A$2:$A$10000,0))</f>
        <v>#N/A</v>
      </c>
      <c r="G2499" s="6" t="str">
        <f>INDEX(品种2编码!$A$2:$A$1048576,MATCH(W2499,品种2编码!$D$2:$D$1048576,0))</f>
        <v>0020050090SJZY0001</v>
      </c>
      <c r="H2499" s="6" t="s">
        <v>630</v>
      </c>
      <c r="I2499" s="6" t="s">
        <v>1850</v>
      </c>
      <c r="J2499" s="6" t="s">
        <v>3044</v>
      </c>
      <c r="L2499" s="6" t="s">
        <v>3625</v>
      </c>
      <c r="M2499" s="6" t="e">
        <f>INDEX(医院2县区2人!$B$2:$B$1048576,MATCH(L2499,医院2县区2人!$A$2:$A$1048576,0))</f>
        <v>#N/A</v>
      </c>
      <c r="N2499" s="6" t="e">
        <f>INDEX(医院2县区2人!$C$2:$C$1048576,MATCH(L2499,医院2县区2人!$A$2:$A$1048576,0))</f>
        <v>#N/A</v>
      </c>
      <c r="P2499" s="7">
        <v>43254</v>
      </c>
      <c r="Q2499" s="6">
        <v>4</v>
      </c>
      <c r="S2499" s="6">
        <v>17062111</v>
      </c>
      <c r="T2499" s="6" t="e">
        <f>INDEX(医院2县区2人!$D$2:$D$1048576,MATCH(L2499,医院2县区2人!$A$2:$A$1048576,0))</f>
        <v>#N/A</v>
      </c>
      <c r="W2499" s="6" t="str">
        <f t="shared" si="81"/>
        <v>双黄连口服液10ml*10支</v>
      </c>
      <c r="X2499" s="6" t="s">
        <v>2901</v>
      </c>
    </row>
    <row r="2500" spans="1:24" x14ac:dyDescent="0.15">
      <c r="A2500" s="7" t="str">
        <f t="shared" si="82"/>
        <v>201806</v>
      </c>
      <c r="C2500" s="6" t="str">
        <f>INDEX(工厂基础数据!$A$2:$A$1024,MATCH(X2500,工厂基础数据!$D$2:$D$1024,0))</f>
        <v>02037769</v>
      </c>
      <c r="E2500" s="6" t="str">
        <f>INDEX(工厂基础数据!$B$2:$B$1024,MATCH(X2500,工厂基础数据!$D$2:$D$1024,0))</f>
        <v>山东海川医药有限公司</v>
      </c>
      <c r="F2500" s="6" t="e">
        <f>INDEX(商业2转码!$B$2:$B$10000,MATCH(E2500,商业2转码!$A$2:$A$10000,0))</f>
        <v>#N/A</v>
      </c>
      <c r="G2500" s="6" t="str">
        <f>INDEX(品种2编码!$A$2:$A$1048576,MATCH(W2500,品种2编码!$D$2:$D$1048576,0))</f>
        <v>0020050090SJZY0001</v>
      </c>
      <c r="H2500" s="6" t="s">
        <v>630</v>
      </c>
      <c r="I2500" s="6" t="s">
        <v>1850</v>
      </c>
      <c r="J2500" s="6" t="s">
        <v>3044</v>
      </c>
      <c r="L2500" s="6" t="s">
        <v>3625</v>
      </c>
      <c r="M2500" s="6" t="e">
        <f>INDEX(医院2县区2人!$B$2:$B$1048576,MATCH(L2500,医院2县区2人!$A$2:$A$1048576,0))</f>
        <v>#N/A</v>
      </c>
      <c r="N2500" s="6" t="e">
        <f>INDEX(医院2县区2人!$C$2:$C$1048576,MATCH(L2500,医院2县区2人!$A$2:$A$1048576,0))</f>
        <v>#N/A</v>
      </c>
      <c r="P2500" s="7">
        <v>43254</v>
      </c>
      <c r="Q2500" s="6">
        <v>1</v>
      </c>
      <c r="S2500" s="6">
        <v>18030921</v>
      </c>
      <c r="T2500" s="6" t="e">
        <f>INDEX(医院2县区2人!$D$2:$D$1048576,MATCH(L2500,医院2县区2人!$A$2:$A$1048576,0))</f>
        <v>#N/A</v>
      </c>
      <c r="W2500" s="6" t="str">
        <f t="shared" si="81"/>
        <v>双黄连口服液10ml*10支</v>
      </c>
      <c r="X2500" s="6" t="s">
        <v>2901</v>
      </c>
    </row>
    <row r="2501" spans="1:24" x14ac:dyDescent="0.15">
      <c r="A2501" s="7" t="str">
        <f t="shared" si="82"/>
        <v>201806</v>
      </c>
      <c r="C2501" s="6" t="str">
        <f>INDEX(工厂基础数据!$A$2:$A$1024,MATCH(X2501,工厂基础数据!$D$2:$D$1024,0))</f>
        <v>02037769</v>
      </c>
      <c r="E2501" s="6" t="str">
        <f>INDEX(工厂基础数据!$B$2:$B$1024,MATCH(X2501,工厂基础数据!$D$2:$D$1024,0))</f>
        <v>山东海川医药有限公司</v>
      </c>
      <c r="F2501" s="6" t="e">
        <f>INDEX(商业2转码!$B$2:$B$10000,MATCH(E2501,商业2转码!$A$2:$A$10000,0))</f>
        <v>#N/A</v>
      </c>
      <c r="G2501" s="6">
        <f>INDEX(品种2编码!$A$2:$A$1048576,MATCH(W2501,品种2编码!$D$2:$D$1048576,0))</f>
        <v>0</v>
      </c>
      <c r="H2501" s="6" t="s">
        <v>3741</v>
      </c>
      <c r="I2501" s="6" t="s">
        <v>3752</v>
      </c>
      <c r="J2501" s="6" t="s">
        <v>3038</v>
      </c>
      <c r="L2501" s="6" t="s">
        <v>3626</v>
      </c>
      <c r="M2501" s="6" t="e">
        <f>INDEX(医院2县区2人!$B$2:$B$1048576,MATCH(L2501,医院2县区2人!$A$2:$A$1048576,0))</f>
        <v>#N/A</v>
      </c>
      <c r="N2501" s="6" t="e">
        <f>INDEX(医院2县区2人!$C$2:$C$1048576,MATCH(L2501,医院2县区2人!$A$2:$A$1048576,0))</f>
        <v>#N/A</v>
      </c>
      <c r="P2501" s="7">
        <v>43254</v>
      </c>
      <c r="Q2501" s="6">
        <v>10</v>
      </c>
      <c r="S2501" s="6">
        <v>180101</v>
      </c>
      <c r="T2501" s="6" t="e">
        <f>INDEX(医院2县区2人!$D$2:$D$1048576,MATCH(L2501,医院2县区2人!$A$2:$A$1048576,0))</f>
        <v>#N/A</v>
      </c>
      <c r="W2501" s="6" t="str">
        <f t="shared" si="81"/>
        <v>哈药痛可贴跌打损伤型4贴</v>
      </c>
      <c r="X2501" s="6" t="s">
        <v>2901</v>
      </c>
    </row>
    <row r="2502" spans="1:24" x14ac:dyDescent="0.15">
      <c r="A2502" s="7" t="str">
        <f t="shared" si="82"/>
        <v>201806</v>
      </c>
      <c r="C2502" s="6" t="str">
        <f>INDEX(工厂基础数据!$A$2:$A$1024,MATCH(X2502,工厂基础数据!$D$2:$D$1024,0))</f>
        <v>02037769</v>
      </c>
      <c r="E2502" s="6" t="str">
        <f>INDEX(工厂基础数据!$B$2:$B$1024,MATCH(X2502,工厂基础数据!$D$2:$D$1024,0))</f>
        <v>山东海川医药有限公司</v>
      </c>
      <c r="F2502" s="6" t="e">
        <f>INDEX(商业2转码!$B$2:$B$10000,MATCH(E2502,商业2转码!$A$2:$A$10000,0))</f>
        <v>#N/A</v>
      </c>
      <c r="G2502" s="6" t="str">
        <f>INDEX(品种2编码!$A$2:$A$1048576,MATCH(W2502,品种2编码!$D$2:$D$1048576,0))</f>
        <v>0020030001SJZY0006</v>
      </c>
      <c r="H2502" s="6" t="s">
        <v>1833</v>
      </c>
      <c r="I2502" s="6" t="s">
        <v>411</v>
      </c>
      <c r="J2502" s="6" t="s">
        <v>3044</v>
      </c>
      <c r="L2502" s="6" t="s">
        <v>3627</v>
      </c>
      <c r="M2502" s="6" t="e">
        <f>INDEX(医院2县区2人!$B$2:$B$1048576,MATCH(L2502,医院2县区2人!$A$2:$A$1048576,0))</f>
        <v>#N/A</v>
      </c>
      <c r="N2502" s="6" t="e">
        <f>INDEX(医院2县区2人!$C$2:$C$1048576,MATCH(L2502,医院2县区2人!$A$2:$A$1048576,0))</f>
        <v>#N/A</v>
      </c>
      <c r="P2502" s="7">
        <v>43254</v>
      </c>
      <c r="Q2502" s="6">
        <v>10</v>
      </c>
      <c r="S2502" s="6">
        <v>18030532</v>
      </c>
      <c r="T2502" s="6" t="e">
        <f>INDEX(医院2县区2人!$D$2:$D$1048576,MATCH(L2502,医院2县区2人!$A$2:$A$1048576,0))</f>
        <v>#N/A</v>
      </c>
      <c r="W2502" s="6" t="str">
        <f t="shared" si="81"/>
        <v>葡萄糖酸钙口服溶液10ml*12支</v>
      </c>
      <c r="X2502" s="6" t="s">
        <v>2901</v>
      </c>
    </row>
    <row r="2503" spans="1:24" x14ac:dyDescent="0.15">
      <c r="A2503" s="7" t="str">
        <f t="shared" si="82"/>
        <v>201806</v>
      </c>
      <c r="C2503" s="6" t="str">
        <f>INDEX(工厂基础数据!$A$2:$A$1024,MATCH(X2503,工厂基础数据!$D$2:$D$1024,0))</f>
        <v>02037769</v>
      </c>
      <c r="E2503" s="6" t="str">
        <f>INDEX(工厂基础数据!$B$2:$B$1024,MATCH(X2503,工厂基础数据!$D$2:$D$1024,0))</f>
        <v>山东海川医药有限公司</v>
      </c>
      <c r="F2503" s="6" t="e">
        <f>INDEX(商业2转码!$B$2:$B$10000,MATCH(E2503,商业2转码!$A$2:$A$10000,0))</f>
        <v>#N/A</v>
      </c>
      <c r="G2503" s="6" t="str">
        <f>INDEX(品种2编码!$A$2:$A$1048576,MATCH(W2503,品种2编码!$D$2:$D$1048576,0))</f>
        <v>0020030040ZYLC0001</v>
      </c>
      <c r="H2503" s="6" t="s">
        <v>1953</v>
      </c>
      <c r="I2503" s="6" t="s">
        <v>1954</v>
      </c>
      <c r="J2503" s="6" t="s">
        <v>3036</v>
      </c>
      <c r="L2503" s="6" t="s">
        <v>3628</v>
      </c>
      <c r="M2503" s="6" t="e">
        <f>INDEX(医院2县区2人!$B$2:$B$1048576,MATCH(L2503,医院2县区2人!$A$2:$A$1048576,0))</f>
        <v>#N/A</v>
      </c>
      <c r="N2503" s="6" t="e">
        <f>INDEX(医院2县区2人!$C$2:$C$1048576,MATCH(L2503,医院2县区2人!$A$2:$A$1048576,0))</f>
        <v>#N/A</v>
      </c>
      <c r="P2503" s="7">
        <v>43254</v>
      </c>
      <c r="Q2503" s="6">
        <v>3</v>
      </c>
      <c r="S2503" s="6">
        <v>180137</v>
      </c>
      <c r="T2503" s="6" t="e">
        <f>INDEX(医院2县区2人!$D$2:$D$1048576,MATCH(L2503,医院2县区2人!$A$2:$A$1048576,0))</f>
        <v>#N/A</v>
      </c>
      <c r="W2503" s="6" t="str">
        <f t="shared" si="81"/>
        <v>小儿氨酚黄那敏颗粒12袋</v>
      </c>
      <c r="X2503" s="6" t="s">
        <v>2901</v>
      </c>
    </row>
    <row r="2504" spans="1:24" x14ac:dyDescent="0.15">
      <c r="A2504" s="7" t="str">
        <f t="shared" si="82"/>
        <v>201806</v>
      </c>
      <c r="C2504" s="6" t="str">
        <f>INDEX(工厂基础数据!$A$2:$A$1024,MATCH(X2504,工厂基础数据!$D$2:$D$1024,0))</f>
        <v>02037769</v>
      </c>
      <c r="E2504" s="6" t="str">
        <f>INDEX(工厂基础数据!$B$2:$B$1024,MATCH(X2504,工厂基础数据!$D$2:$D$1024,0))</f>
        <v>山东海川医药有限公司</v>
      </c>
      <c r="F2504" s="6" t="e">
        <f>INDEX(商业2转码!$B$2:$B$10000,MATCH(E2504,商业2转码!$A$2:$A$10000,0))</f>
        <v>#N/A</v>
      </c>
      <c r="G2504" s="6">
        <f>INDEX(品种2编码!$A$2:$A$1048576,MATCH(W2504,品种2编码!$D$2:$D$1048576,0))</f>
        <v>0</v>
      </c>
      <c r="H2504" s="6" t="s">
        <v>1885</v>
      </c>
      <c r="I2504" s="6" t="s">
        <v>1838</v>
      </c>
      <c r="J2504" s="6" t="s">
        <v>3036</v>
      </c>
      <c r="L2504" s="6" t="s">
        <v>3629</v>
      </c>
      <c r="M2504" s="6" t="e">
        <f>INDEX(医院2县区2人!$B$2:$B$1048576,MATCH(L2504,医院2县区2人!$A$2:$A$1048576,0))</f>
        <v>#N/A</v>
      </c>
      <c r="N2504" s="6" t="e">
        <f>INDEX(医院2县区2人!$C$2:$C$1048576,MATCH(L2504,医院2县区2人!$A$2:$A$1048576,0))</f>
        <v>#N/A</v>
      </c>
      <c r="P2504" s="7">
        <v>43254</v>
      </c>
      <c r="Q2504" s="6">
        <v>1</v>
      </c>
      <c r="S2504" s="6">
        <v>180106</v>
      </c>
      <c r="T2504" s="6" t="e">
        <f>INDEX(医院2县区2人!$D$2:$D$1048576,MATCH(L2504,医院2县区2人!$A$2:$A$1048576,0))</f>
        <v>#N/A</v>
      </c>
      <c r="W2504" s="6" t="str">
        <f t="shared" si="81"/>
        <v>新盖中盖高钙片2.5g*36片</v>
      </c>
      <c r="X2504" s="6" t="s">
        <v>2901</v>
      </c>
    </row>
    <row r="2505" spans="1:24" x14ac:dyDescent="0.15">
      <c r="A2505" s="7" t="str">
        <f t="shared" si="82"/>
        <v>201806</v>
      </c>
      <c r="C2505" s="6" t="str">
        <f>INDEX(工厂基础数据!$A$2:$A$1024,MATCH(X2505,工厂基础数据!$D$2:$D$1024,0))</f>
        <v>02037769</v>
      </c>
      <c r="E2505" s="6" t="str">
        <f>INDEX(工厂基础数据!$B$2:$B$1024,MATCH(X2505,工厂基础数据!$D$2:$D$1024,0))</f>
        <v>山东海川医药有限公司</v>
      </c>
      <c r="F2505" s="6" t="e">
        <f>INDEX(商业2转码!$B$2:$B$10000,MATCH(E2505,商业2转码!$A$2:$A$10000,0))</f>
        <v>#N/A</v>
      </c>
      <c r="G2505" s="6">
        <f>INDEX(品种2编码!$A$2:$A$1048576,MATCH(W2505,品种2编码!$D$2:$D$1048576,0))</f>
        <v>0</v>
      </c>
      <c r="H2505" s="6" t="s">
        <v>3741</v>
      </c>
      <c r="I2505" s="6" t="s">
        <v>3752</v>
      </c>
      <c r="J2505" s="6" t="s">
        <v>3038</v>
      </c>
      <c r="L2505" s="6" t="s">
        <v>3630</v>
      </c>
      <c r="M2505" s="6" t="e">
        <f>INDEX(医院2县区2人!$B$2:$B$1048576,MATCH(L2505,医院2县区2人!$A$2:$A$1048576,0))</f>
        <v>#N/A</v>
      </c>
      <c r="N2505" s="6" t="e">
        <f>INDEX(医院2县区2人!$C$2:$C$1048576,MATCH(L2505,医院2县区2人!$A$2:$A$1048576,0))</f>
        <v>#N/A</v>
      </c>
      <c r="P2505" s="7">
        <v>43254</v>
      </c>
      <c r="Q2505" s="6">
        <v>5</v>
      </c>
      <c r="S2505" s="6">
        <v>180101</v>
      </c>
      <c r="T2505" s="6" t="e">
        <f>INDEX(医院2县区2人!$D$2:$D$1048576,MATCH(L2505,医院2县区2人!$A$2:$A$1048576,0))</f>
        <v>#N/A</v>
      </c>
      <c r="W2505" s="6" t="str">
        <f t="shared" si="81"/>
        <v>哈药痛可贴跌打损伤型4贴</v>
      </c>
      <c r="X2505" s="6" t="s">
        <v>2901</v>
      </c>
    </row>
    <row r="2506" spans="1:24" x14ac:dyDescent="0.15">
      <c r="A2506" s="7" t="str">
        <f t="shared" si="82"/>
        <v>201806</v>
      </c>
      <c r="C2506" s="6" t="str">
        <f>INDEX(工厂基础数据!$A$2:$A$1024,MATCH(X2506,工厂基础数据!$D$2:$D$1024,0))</f>
        <v>02037769</v>
      </c>
      <c r="E2506" s="6" t="str">
        <f>INDEX(工厂基础数据!$B$2:$B$1024,MATCH(X2506,工厂基础数据!$D$2:$D$1024,0))</f>
        <v>山东海川医药有限公司</v>
      </c>
      <c r="F2506" s="6" t="e">
        <f>INDEX(商业2转码!$B$2:$B$10000,MATCH(E2506,商业2转码!$A$2:$A$10000,0))</f>
        <v>#N/A</v>
      </c>
      <c r="G2506" s="6">
        <f>INDEX(品种2编码!$A$2:$A$1048576,MATCH(W2506,品种2编码!$D$2:$D$1048576,0))</f>
        <v>0</v>
      </c>
      <c r="H2506" s="6" t="s">
        <v>3743</v>
      </c>
      <c r="I2506" s="6" t="s">
        <v>3752</v>
      </c>
      <c r="J2506" s="6" t="s">
        <v>3038</v>
      </c>
      <c r="L2506" s="6" t="s">
        <v>3630</v>
      </c>
      <c r="M2506" s="6" t="e">
        <f>INDEX(医院2县区2人!$B$2:$B$1048576,MATCH(L2506,医院2县区2人!$A$2:$A$1048576,0))</f>
        <v>#N/A</v>
      </c>
      <c r="N2506" s="6" t="e">
        <f>INDEX(医院2县区2人!$C$2:$C$1048576,MATCH(L2506,医院2县区2人!$A$2:$A$1048576,0))</f>
        <v>#N/A</v>
      </c>
      <c r="P2506" s="7">
        <v>43254</v>
      </c>
      <c r="Q2506" s="6">
        <v>5</v>
      </c>
      <c r="S2506" s="6">
        <v>180103</v>
      </c>
      <c r="T2506" s="6" t="e">
        <f>INDEX(医院2县区2人!$D$2:$D$1048576,MATCH(L2506,医院2县区2人!$A$2:$A$1048576,0))</f>
        <v>#N/A</v>
      </c>
      <c r="W2506" s="6" t="str">
        <f t="shared" si="81"/>
        <v>哈药痛可贴颈椎型4贴</v>
      </c>
      <c r="X2506" s="6" t="s">
        <v>2901</v>
      </c>
    </row>
    <row r="2507" spans="1:24" x14ac:dyDescent="0.15">
      <c r="A2507" s="7" t="str">
        <f t="shared" si="82"/>
        <v>201806</v>
      </c>
      <c r="C2507" s="6" t="str">
        <f>INDEX(工厂基础数据!$A$2:$A$1024,MATCH(X2507,工厂基础数据!$D$2:$D$1024,0))</f>
        <v>02037769</v>
      </c>
      <c r="E2507" s="6" t="str">
        <f>INDEX(工厂基础数据!$B$2:$B$1024,MATCH(X2507,工厂基础数据!$D$2:$D$1024,0))</f>
        <v>山东海川医药有限公司</v>
      </c>
      <c r="F2507" s="6" t="e">
        <f>INDEX(商业2转码!$B$2:$B$10000,MATCH(E2507,商业2转码!$A$2:$A$10000,0))</f>
        <v>#N/A</v>
      </c>
      <c r="G2507" s="6" t="str">
        <f>INDEX(品种2编码!$A$2:$A$1048576,MATCH(W2507,品种2编码!$D$2:$D$1048576,0))</f>
        <v>0020050090SJZY0001</v>
      </c>
      <c r="H2507" s="6" t="s">
        <v>630</v>
      </c>
      <c r="I2507" s="6" t="s">
        <v>1850</v>
      </c>
      <c r="J2507" s="6" t="s">
        <v>3044</v>
      </c>
      <c r="L2507" s="6" t="s">
        <v>3631</v>
      </c>
      <c r="M2507" s="6" t="e">
        <f>INDEX(医院2县区2人!$B$2:$B$1048576,MATCH(L2507,医院2县区2人!$A$2:$A$1048576,0))</f>
        <v>#N/A</v>
      </c>
      <c r="N2507" s="6" t="e">
        <f>INDEX(医院2县区2人!$C$2:$C$1048576,MATCH(L2507,医院2县区2人!$A$2:$A$1048576,0))</f>
        <v>#N/A</v>
      </c>
      <c r="P2507" s="7">
        <v>43254</v>
      </c>
      <c r="Q2507" s="6">
        <v>10</v>
      </c>
      <c r="S2507" s="6">
        <v>18030921</v>
      </c>
      <c r="T2507" s="6" t="e">
        <f>INDEX(医院2县区2人!$D$2:$D$1048576,MATCH(L2507,医院2县区2人!$A$2:$A$1048576,0))</f>
        <v>#N/A</v>
      </c>
      <c r="W2507" s="6" t="str">
        <f t="shared" si="81"/>
        <v>双黄连口服液10ml*10支</v>
      </c>
      <c r="X2507" s="6" t="s">
        <v>2901</v>
      </c>
    </row>
    <row r="2508" spans="1:24" x14ac:dyDescent="0.15">
      <c r="A2508" s="7" t="str">
        <f t="shared" si="82"/>
        <v>201806</v>
      </c>
      <c r="C2508" s="6" t="str">
        <f>INDEX(工厂基础数据!$A$2:$A$1024,MATCH(X2508,工厂基础数据!$D$2:$D$1024,0))</f>
        <v>02037769</v>
      </c>
      <c r="E2508" s="6" t="str">
        <f>INDEX(工厂基础数据!$B$2:$B$1024,MATCH(X2508,工厂基础数据!$D$2:$D$1024,0))</f>
        <v>山东海川医药有限公司</v>
      </c>
      <c r="F2508" s="6" t="e">
        <f>INDEX(商业2转码!$B$2:$B$10000,MATCH(E2508,商业2转码!$A$2:$A$10000,0))</f>
        <v>#N/A</v>
      </c>
      <c r="G2508" s="6" t="str">
        <f>INDEX(品种2编码!$A$2:$A$1048576,MATCH(W2508,品种2编码!$D$2:$D$1048576,0))</f>
        <v>0020030001SJZY0006</v>
      </c>
      <c r="H2508" s="6" t="s">
        <v>1833</v>
      </c>
      <c r="I2508" s="6" t="s">
        <v>411</v>
      </c>
      <c r="J2508" s="6" t="s">
        <v>3044</v>
      </c>
      <c r="L2508" s="6" t="s">
        <v>3632</v>
      </c>
      <c r="M2508" s="6" t="e">
        <f>INDEX(医院2县区2人!$B$2:$B$1048576,MATCH(L2508,医院2县区2人!$A$2:$A$1048576,0))</f>
        <v>#N/A</v>
      </c>
      <c r="N2508" s="6" t="e">
        <f>INDEX(医院2县区2人!$C$2:$C$1048576,MATCH(L2508,医院2县区2人!$A$2:$A$1048576,0))</f>
        <v>#N/A</v>
      </c>
      <c r="P2508" s="7">
        <v>43254</v>
      </c>
      <c r="Q2508" s="6">
        <v>10</v>
      </c>
      <c r="S2508" s="6">
        <v>18030532</v>
      </c>
      <c r="T2508" s="6" t="e">
        <f>INDEX(医院2县区2人!$D$2:$D$1048576,MATCH(L2508,医院2县区2人!$A$2:$A$1048576,0))</f>
        <v>#N/A</v>
      </c>
      <c r="W2508" s="6" t="str">
        <f t="shared" si="81"/>
        <v>葡萄糖酸钙口服溶液10ml*12支</v>
      </c>
      <c r="X2508" s="6" t="s">
        <v>2901</v>
      </c>
    </row>
    <row r="2509" spans="1:24" x14ac:dyDescent="0.15">
      <c r="A2509" s="7" t="str">
        <f t="shared" si="82"/>
        <v>201806</v>
      </c>
      <c r="C2509" s="6" t="str">
        <f>INDEX(工厂基础数据!$A$2:$A$1024,MATCH(X2509,工厂基础数据!$D$2:$D$1024,0))</f>
        <v>02037769</v>
      </c>
      <c r="E2509" s="6" t="str">
        <f>INDEX(工厂基础数据!$B$2:$B$1024,MATCH(X2509,工厂基础数据!$D$2:$D$1024,0))</f>
        <v>山东海川医药有限公司</v>
      </c>
      <c r="F2509" s="6" t="e">
        <f>INDEX(商业2转码!$B$2:$B$10000,MATCH(E2509,商业2转码!$A$2:$A$10000,0))</f>
        <v>#N/A</v>
      </c>
      <c r="G2509" s="6" t="str">
        <f>INDEX(品种2编码!$A$2:$A$1048576,MATCH(W2509,品种2编码!$D$2:$D$1048576,0))</f>
        <v>0020030001SJZY0009</v>
      </c>
      <c r="H2509" s="6" t="s">
        <v>1949</v>
      </c>
      <c r="I2509" s="6" t="s">
        <v>411</v>
      </c>
      <c r="J2509" s="6" t="s">
        <v>3040</v>
      </c>
      <c r="L2509" s="6" t="s">
        <v>3633</v>
      </c>
      <c r="M2509" s="6" t="e">
        <f>INDEX(医院2县区2人!$B$2:$B$1048576,MATCH(L2509,医院2县区2人!$A$2:$A$1048576,0))</f>
        <v>#N/A</v>
      </c>
      <c r="N2509" s="6" t="e">
        <f>INDEX(医院2县区2人!$C$2:$C$1048576,MATCH(L2509,医院2县区2人!$A$2:$A$1048576,0))</f>
        <v>#N/A</v>
      </c>
      <c r="P2509" s="7">
        <v>43254</v>
      </c>
      <c r="Q2509" s="6">
        <v>4</v>
      </c>
      <c r="S2509" s="6">
        <v>18031227</v>
      </c>
      <c r="T2509" s="6" t="e">
        <f>INDEX(医院2县区2人!$D$2:$D$1048576,MATCH(L2509,医院2县区2人!$A$2:$A$1048576,0))</f>
        <v>#N/A</v>
      </c>
      <c r="W2509" s="6" t="str">
        <f t="shared" si="81"/>
        <v>葡萄糖酸锌口服溶液10ml*12支</v>
      </c>
      <c r="X2509" s="6" t="s">
        <v>2901</v>
      </c>
    </row>
    <row r="2510" spans="1:24" x14ac:dyDescent="0.15">
      <c r="A2510" s="7" t="str">
        <f t="shared" si="82"/>
        <v>201806</v>
      </c>
      <c r="C2510" s="6" t="str">
        <f>INDEX(工厂基础数据!$A$2:$A$1024,MATCH(X2510,工厂基础数据!$D$2:$D$1024,0))</f>
        <v>02037769</v>
      </c>
      <c r="E2510" s="6" t="str">
        <f>INDEX(工厂基础数据!$B$2:$B$1024,MATCH(X2510,工厂基础数据!$D$2:$D$1024,0))</f>
        <v>山东海川医药有限公司</v>
      </c>
      <c r="F2510" s="6" t="e">
        <f>INDEX(商业2转码!$B$2:$B$10000,MATCH(E2510,商业2转码!$A$2:$A$10000,0))</f>
        <v>#N/A</v>
      </c>
      <c r="G2510" s="6">
        <f>INDEX(品种2编码!$A$2:$A$1048576,MATCH(W2510,品种2编码!$D$2:$D$1048576,0))</f>
        <v>0</v>
      </c>
      <c r="H2510" s="6" t="s">
        <v>3741</v>
      </c>
      <c r="I2510" s="6" t="s">
        <v>3752</v>
      </c>
      <c r="J2510" s="6" t="s">
        <v>3038</v>
      </c>
      <c r="L2510" s="6" t="s">
        <v>3626</v>
      </c>
      <c r="M2510" s="6" t="e">
        <f>INDEX(医院2县区2人!$B$2:$B$1048576,MATCH(L2510,医院2县区2人!$A$2:$A$1048576,0))</f>
        <v>#N/A</v>
      </c>
      <c r="N2510" s="6" t="e">
        <f>INDEX(医院2县区2人!$C$2:$C$1048576,MATCH(L2510,医院2县区2人!$A$2:$A$1048576,0))</f>
        <v>#N/A</v>
      </c>
      <c r="P2510" s="7">
        <v>43254</v>
      </c>
      <c r="Q2510" s="6">
        <v>10</v>
      </c>
      <c r="S2510" s="6">
        <v>180101</v>
      </c>
      <c r="T2510" s="6" t="e">
        <f>INDEX(医院2县区2人!$D$2:$D$1048576,MATCH(L2510,医院2县区2人!$A$2:$A$1048576,0))</f>
        <v>#N/A</v>
      </c>
      <c r="W2510" s="6" t="str">
        <f t="shared" si="81"/>
        <v>哈药痛可贴跌打损伤型4贴</v>
      </c>
      <c r="X2510" s="6" t="s">
        <v>2901</v>
      </c>
    </row>
    <row r="2511" spans="1:24" x14ac:dyDescent="0.15">
      <c r="A2511" s="7" t="str">
        <f t="shared" si="82"/>
        <v>201806</v>
      </c>
      <c r="C2511" s="6" t="str">
        <f>INDEX(工厂基础数据!$A$2:$A$1024,MATCH(X2511,工厂基础数据!$D$2:$D$1024,0))</f>
        <v>02037769</v>
      </c>
      <c r="E2511" s="6" t="str">
        <f>INDEX(工厂基础数据!$B$2:$B$1024,MATCH(X2511,工厂基础数据!$D$2:$D$1024,0))</f>
        <v>山东海川医药有限公司</v>
      </c>
      <c r="F2511" s="6" t="e">
        <f>INDEX(商业2转码!$B$2:$B$10000,MATCH(E2511,商业2转码!$A$2:$A$10000,0))</f>
        <v>#N/A</v>
      </c>
      <c r="G2511" s="6">
        <f>INDEX(品种2编码!$A$2:$A$1048576,MATCH(W2511,品种2编码!$D$2:$D$1048576,0))</f>
        <v>0</v>
      </c>
      <c r="H2511" s="6" t="s">
        <v>3744</v>
      </c>
      <c r="I2511" s="6" t="s">
        <v>3752</v>
      </c>
      <c r="J2511" s="6" t="s">
        <v>3038</v>
      </c>
      <c r="L2511" s="6" t="s">
        <v>3626</v>
      </c>
      <c r="M2511" s="6" t="e">
        <f>INDEX(医院2县区2人!$B$2:$B$1048576,MATCH(L2511,医院2县区2人!$A$2:$A$1048576,0))</f>
        <v>#N/A</v>
      </c>
      <c r="N2511" s="6" t="e">
        <f>INDEX(医院2县区2人!$C$2:$C$1048576,MATCH(L2511,医院2县区2人!$A$2:$A$1048576,0))</f>
        <v>#N/A</v>
      </c>
      <c r="P2511" s="7">
        <v>43254</v>
      </c>
      <c r="Q2511" s="6">
        <v>10</v>
      </c>
      <c r="S2511" s="6">
        <v>180103</v>
      </c>
      <c r="T2511" s="6" t="e">
        <f>INDEX(医院2县区2人!$D$2:$D$1048576,MATCH(L2511,医院2县区2人!$A$2:$A$1048576,0))</f>
        <v>#N/A</v>
      </c>
      <c r="W2511" s="6" t="str">
        <f t="shared" si="81"/>
        <v>哈药痛可贴腰椎型4贴</v>
      </c>
      <c r="X2511" s="6" t="s">
        <v>2901</v>
      </c>
    </row>
    <row r="2512" spans="1:24" x14ac:dyDescent="0.15">
      <c r="A2512" s="7" t="str">
        <f t="shared" si="82"/>
        <v>201806</v>
      </c>
      <c r="C2512" s="6" t="str">
        <f>INDEX(工厂基础数据!$A$2:$A$1024,MATCH(X2512,工厂基础数据!$D$2:$D$1024,0))</f>
        <v>02037769</v>
      </c>
      <c r="E2512" s="6" t="str">
        <f>INDEX(工厂基础数据!$B$2:$B$1024,MATCH(X2512,工厂基础数据!$D$2:$D$1024,0))</f>
        <v>山东海川医药有限公司</v>
      </c>
      <c r="F2512" s="6" t="e">
        <f>INDEX(商业2转码!$B$2:$B$10000,MATCH(E2512,商业2转码!$A$2:$A$10000,0))</f>
        <v>#N/A</v>
      </c>
      <c r="G2512" s="6" t="str">
        <f>INDEX(品种2编码!$A$2:$A$1048576,MATCH(W2512,品种2编码!$D$2:$D$1048576,0))</f>
        <v>0020070001ZYZC0377</v>
      </c>
      <c r="H2512" s="6" t="s">
        <v>1849</v>
      </c>
      <c r="I2512" s="6" t="s">
        <v>1887</v>
      </c>
      <c r="J2512" s="6" t="s">
        <v>3038</v>
      </c>
      <c r="L2512" s="6" t="s">
        <v>3634</v>
      </c>
      <c r="M2512" s="6" t="e">
        <f>INDEX(医院2县区2人!$B$2:$B$1048576,MATCH(L2512,医院2县区2人!$A$2:$A$1048576,0))</f>
        <v>#N/A</v>
      </c>
      <c r="N2512" s="6" t="e">
        <f>INDEX(医院2县区2人!$C$2:$C$1048576,MATCH(L2512,医院2县区2人!$A$2:$A$1048576,0))</f>
        <v>#N/A</v>
      </c>
      <c r="P2512" s="7">
        <v>43254</v>
      </c>
      <c r="Q2512" s="6">
        <v>4</v>
      </c>
      <c r="S2512" s="6">
        <v>1801042</v>
      </c>
      <c r="T2512" s="6" t="e">
        <f>INDEX(医院2县区2人!$D$2:$D$1048576,MATCH(L2512,医院2县区2人!$A$2:$A$1048576,0))</f>
        <v>#N/A</v>
      </c>
      <c r="W2512" s="6" t="str">
        <f t="shared" si="81"/>
        <v>哈药牌钙铁锌口服液10ml*15支</v>
      </c>
      <c r="X2512" s="6" t="s">
        <v>2901</v>
      </c>
    </row>
    <row r="2513" spans="1:24" x14ac:dyDescent="0.15">
      <c r="A2513" s="7" t="str">
        <f t="shared" si="82"/>
        <v>201806</v>
      </c>
      <c r="C2513" s="6" t="str">
        <f>INDEX(工厂基础数据!$A$2:$A$1024,MATCH(X2513,工厂基础数据!$D$2:$D$1024,0))</f>
        <v>02037769</v>
      </c>
      <c r="E2513" s="6" t="str">
        <f>INDEX(工厂基础数据!$B$2:$B$1024,MATCH(X2513,工厂基础数据!$D$2:$D$1024,0))</f>
        <v>山东海川医药有限公司</v>
      </c>
      <c r="F2513" s="6" t="e">
        <f>INDEX(商业2转码!$B$2:$B$10000,MATCH(E2513,商业2转码!$A$2:$A$10000,0))</f>
        <v>#N/A</v>
      </c>
      <c r="G2513" s="6">
        <f>INDEX(品种2编码!$A$2:$A$1048576,MATCH(W2513,品种2编码!$D$2:$D$1048576,0))</f>
        <v>0</v>
      </c>
      <c r="H2513" s="6" t="s">
        <v>1885</v>
      </c>
      <c r="I2513" s="6" t="s">
        <v>1838</v>
      </c>
      <c r="J2513" s="6" t="s">
        <v>3036</v>
      </c>
      <c r="L2513" s="6" t="s">
        <v>3616</v>
      </c>
      <c r="M2513" s="6" t="e">
        <f>INDEX(医院2县区2人!$B$2:$B$1048576,MATCH(L2513,医院2县区2人!$A$2:$A$1048576,0))</f>
        <v>#N/A</v>
      </c>
      <c r="N2513" s="6" t="e">
        <f>INDEX(医院2县区2人!$C$2:$C$1048576,MATCH(L2513,医院2县区2人!$A$2:$A$1048576,0))</f>
        <v>#N/A</v>
      </c>
      <c r="P2513" s="7">
        <v>43254</v>
      </c>
      <c r="Q2513" s="6">
        <v>2</v>
      </c>
      <c r="S2513" s="6">
        <v>180106</v>
      </c>
      <c r="T2513" s="6" t="e">
        <f>INDEX(医院2县区2人!$D$2:$D$1048576,MATCH(L2513,医院2县区2人!$A$2:$A$1048576,0))</f>
        <v>#N/A</v>
      </c>
      <c r="W2513" s="6" t="str">
        <f t="shared" si="81"/>
        <v>新盖中盖高钙片2.5g*36片</v>
      </c>
      <c r="X2513" s="6" t="s">
        <v>2901</v>
      </c>
    </row>
    <row r="2514" spans="1:24" x14ac:dyDescent="0.15">
      <c r="A2514" s="7" t="str">
        <f t="shared" si="82"/>
        <v>201806</v>
      </c>
      <c r="C2514" s="6" t="str">
        <f>INDEX(工厂基础数据!$A$2:$A$1024,MATCH(X2514,工厂基础数据!$D$2:$D$1024,0))</f>
        <v>02037769</v>
      </c>
      <c r="E2514" s="6" t="str">
        <f>INDEX(工厂基础数据!$B$2:$B$1024,MATCH(X2514,工厂基础数据!$D$2:$D$1024,0))</f>
        <v>山东海川医药有限公司</v>
      </c>
      <c r="F2514" s="6" t="e">
        <f>INDEX(商业2转码!$B$2:$B$10000,MATCH(E2514,商业2转码!$A$2:$A$10000,0))</f>
        <v>#N/A</v>
      </c>
      <c r="G2514" s="6" t="str">
        <f>INDEX(品种2编码!$A$2:$A$1048576,MATCH(W2514,品种2编码!$D$2:$D$1048576,0))</f>
        <v>0020030001SJZY0006</v>
      </c>
      <c r="H2514" s="6" t="s">
        <v>1833</v>
      </c>
      <c r="I2514" s="6" t="s">
        <v>411</v>
      </c>
      <c r="J2514" s="6" t="s">
        <v>3044</v>
      </c>
      <c r="L2514" s="6" t="s">
        <v>3635</v>
      </c>
      <c r="M2514" s="6" t="e">
        <f>INDEX(医院2县区2人!$B$2:$B$1048576,MATCH(L2514,医院2县区2人!$A$2:$A$1048576,0))</f>
        <v>#N/A</v>
      </c>
      <c r="N2514" s="6" t="e">
        <f>INDEX(医院2县区2人!$C$2:$C$1048576,MATCH(L2514,医院2县区2人!$A$2:$A$1048576,0))</f>
        <v>#N/A</v>
      </c>
      <c r="P2514" s="7">
        <v>43254</v>
      </c>
      <c r="Q2514" s="6">
        <v>5</v>
      </c>
      <c r="S2514" s="6">
        <v>18030532</v>
      </c>
      <c r="T2514" s="6" t="e">
        <f>INDEX(医院2县区2人!$D$2:$D$1048576,MATCH(L2514,医院2县区2人!$A$2:$A$1048576,0))</f>
        <v>#N/A</v>
      </c>
      <c r="W2514" s="6" t="str">
        <f t="shared" si="81"/>
        <v>葡萄糖酸钙口服溶液10ml*12支</v>
      </c>
      <c r="X2514" s="6" t="s">
        <v>2901</v>
      </c>
    </row>
    <row r="2515" spans="1:24" x14ac:dyDescent="0.15">
      <c r="A2515" s="7" t="str">
        <f t="shared" si="82"/>
        <v>201806</v>
      </c>
      <c r="C2515" s="6" t="str">
        <f>INDEX(工厂基础数据!$A$2:$A$1024,MATCH(X2515,工厂基础数据!$D$2:$D$1024,0))</f>
        <v>02037769</v>
      </c>
      <c r="E2515" s="6" t="str">
        <f>INDEX(工厂基础数据!$B$2:$B$1024,MATCH(X2515,工厂基础数据!$D$2:$D$1024,0))</f>
        <v>山东海川医药有限公司</v>
      </c>
      <c r="F2515" s="6" t="e">
        <f>INDEX(商业2转码!$B$2:$B$10000,MATCH(E2515,商业2转码!$A$2:$A$10000,0))</f>
        <v>#N/A</v>
      </c>
      <c r="G2515" s="6" t="str">
        <f>INDEX(品种2编码!$A$2:$A$1048576,MATCH(W2515,品种2编码!$D$2:$D$1048576,0))</f>
        <v>0020050090SJZY0001</v>
      </c>
      <c r="H2515" s="6" t="s">
        <v>630</v>
      </c>
      <c r="I2515" s="6" t="s">
        <v>1850</v>
      </c>
      <c r="J2515" s="6" t="s">
        <v>3044</v>
      </c>
      <c r="L2515" s="6" t="s">
        <v>3636</v>
      </c>
      <c r="M2515" s="6" t="e">
        <f>INDEX(医院2县区2人!$B$2:$B$1048576,MATCH(L2515,医院2县区2人!$A$2:$A$1048576,0))</f>
        <v>#N/A</v>
      </c>
      <c r="N2515" s="6" t="e">
        <f>INDEX(医院2县区2人!$C$2:$C$1048576,MATCH(L2515,医院2县区2人!$A$2:$A$1048576,0))</f>
        <v>#N/A</v>
      </c>
      <c r="P2515" s="7">
        <v>43255</v>
      </c>
      <c r="Q2515" s="6">
        <v>2</v>
      </c>
      <c r="S2515" s="6">
        <v>18030921</v>
      </c>
      <c r="T2515" s="6" t="e">
        <f>INDEX(医院2县区2人!$D$2:$D$1048576,MATCH(L2515,医院2县区2人!$A$2:$A$1048576,0))</f>
        <v>#N/A</v>
      </c>
      <c r="W2515" s="6" t="str">
        <f t="shared" si="81"/>
        <v>双黄连口服液10ml*10支</v>
      </c>
      <c r="X2515" s="6" t="s">
        <v>2901</v>
      </c>
    </row>
    <row r="2516" spans="1:24" x14ac:dyDescent="0.15">
      <c r="A2516" s="7" t="str">
        <f t="shared" si="82"/>
        <v>201806</v>
      </c>
      <c r="C2516" s="6" t="str">
        <f>INDEX(工厂基础数据!$A$2:$A$1024,MATCH(X2516,工厂基础数据!$D$2:$D$1024,0))</f>
        <v>02037769</v>
      </c>
      <c r="E2516" s="6" t="str">
        <f>INDEX(工厂基础数据!$B$2:$B$1024,MATCH(X2516,工厂基础数据!$D$2:$D$1024,0))</f>
        <v>山东海川医药有限公司</v>
      </c>
      <c r="F2516" s="6" t="e">
        <f>INDEX(商业2转码!$B$2:$B$10000,MATCH(E2516,商业2转码!$A$2:$A$10000,0))</f>
        <v>#N/A</v>
      </c>
      <c r="G2516" s="6">
        <f>INDEX(品种2编码!$A$2:$A$1048576,MATCH(W2516,品种2编码!$D$2:$D$1048576,0))</f>
        <v>0</v>
      </c>
      <c r="H2516" s="6" t="s">
        <v>1885</v>
      </c>
      <c r="I2516" s="6" t="s">
        <v>1838</v>
      </c>
      <c r="J2516" s="6" t="s">
        <v>3036</v>
      </c>
      <c r="L2516" s="6" t="s">
        <v>3637</v>
      </c>
      <c r="M2516" s="6" t="e">
        <f>INDEX(医院2县区2人!$B$2:$B$1048576,MATCH(L2516,医院2县区2人!$A$2:$A$1048576,0))</f>
        <v>#N/A</v>
      </c>
      <c r="N2516" s="6" t="e">
        <f>INDEX(医院2县区2人!$C$2:$C$1048576,MATCH(L2516,医院2县区2人!$A$2:$A$1048576,0))</f>
        <v>#N/A</v>
      </c>
      <c r="P2516" s="7">
        <v>43255</v>
      </c>
      <c r="Q2516" s="6">
        <v>5</v>
      </c>
      <c r="S2516" s="6">
        <v>180106</v>
      </c>
      <c r="T2516" s="6" t="e">
        <f>INDEX(医院2县区2人!$D$2:$D$1048576,MATCH(L2516,医院2县区2人!$A$2:$A$1048576,0))</f>
        <v>#N/A</v>
      </c>
      <c r="W2516" s="6" t="str">
        <f t="shared" si="81"/>
        <v>新盖中盖高钙片2.5g*36片</v>
      </c>
      <c r="X2516" s="6" t="s">
        <v>2901</v>
      </c>
    </row>
    <row r="2517" spans="1:24" x14ac:dyDescent="0.15">
      <c r="A2517" s="7" t="str">
        <f t="shared" si="82"/>
        <v>201806</v>
      </c>
      <c r="C2517" s="6" t="str">
        <f>INDEX(工厂基础数据!$A$2:$A$1024,MATCH(X2517,工厂基础数据!$D$2:$D$1024,0))</f>
        <v>02037769</v>
      </c>
      <c r="E2517" s="6" t="str">
        <f>INDEX(工厂基础数据!$B$2:$B$1024,MATCH(X2517,工厂基础数据!$D$2:$D$1024,0))</f>
        <v>山东海川医药有限公司</v>
      </c>
      <c r="F2517" s="6" t="e">
        <f>INDEX(商业2转码!$B$2:$B$10000,MATCH(E2517,商业2转码!$A$2:$A$10000,0))</f>
        <v>#N/A</v>
      </c>
      <c r="G2517" s="6" t="str">
        <f>INDEX(品种2编码!$A$2:$A$1048576,MATCH(W2517,品种2编码!$D$2:$D$1048576,0))</f>
        <v>0020030001SJZY0006</v>
      </c>
      <c r="H2517" s="6" t="s">
        <v>1833</v>
      </c>
      <c r="I2517" s="6" t="s">
        <v>411</v>
      </c>
      <c r="J2517" s="6" t="s">
        <v>3044</v>
      </c>
      <c r="L2517" s="6" t="s">
        <v>3638</v>
      </c>
      <c r="M2517" s="6" t="e">
        <f>INDEX(医院2县区2人!$B$2:$B$1048576,MATCH(L2517,医院2县区2人!$A$2:$A$1048576,0))</f>
        <v>#N/A</v>
      </c>
      <c r="N2517" s="6" t="e">
        <f>INDEX(医院2县区2人!$C$2:$C$1048576,MATCH(L2517,医院2县区2人!$A$2:$A$1048576,0))</f>
        <v>#N/A</v>
      </c>
      <c r="P2517" s="7">
        <v>43255</v>
      </c>
      <c r="Q2517" s="6">
        <v>5</v>
      </c>
      <c r="S2517" s="6">
        <v>18030532</v>
      </c>
      <c r="T2517" s="6" t="e">
        <f>INDEX(医院2县区2人!$D$2:$D$1048576,MATCH(L2517,医院2县区2人!$A$2:$A$1048576,0))</f>
        <v>#N/A</v>
      </c>
      <c r="W2517" s="6" t="str">
        <f t="shared" si="81"/>
        <v>葡萄糖酸钙口服溶液10ml*12支</v>
      </c>
      <c r="X2517" s="6" t="s">
        <v>2901</v>
      </c>
    </row>
    <row r="2518" spans="1:24" x14ac:dyDescent="0.15">
      <c r="A2518" s="7" t="str">
        <f t="shared" si="82"/>
        <v>201806</v>
      </c>
      <c r="C2518" s="6" t="str">
        <f>INDEX(工厂基础数据!$A$2:$A$1024,MATCH(X2518,工厂基础数据!$D$2:$D$1024,0))</f>
        <v>02037769</v>
      </c>
      <c r="E2518" s="6" t="str">
        <f>INDEX(工厂基础数据!$B$2:$B$1024,MATCH(X2518,工厂基础数据!$D$2:$D$1024,0))</f>
        <v>山东海川医药有限公司</v>
      </c>
      <c r="F2518" s="6" t="e">
        <f>INDEX(商业2转码!$B$2:$B$10000,MATCH(E2518,商业2转码!$A$2:$A$10000,0))</f>
        <v>#N/A</v>
      </c>
      <c r="G2518" s="6" t="str">
        <f>INDEX(品种2编码!$A$2:$A$1048576,MATCH(W2518,品种2编码!$D$2:$D$1048576,0))</f>
        <v>0020030001SJZY0009</v>
      </c>
      <c r="H2518" s="6" t="s">
        <v>1949</v>
      </c>
      <c r="I2518" s="6" t="s">
        <v>411</v>
      </c>
      <c r="J2518" s="6" t="s">
        <v>3040</v>
      </c>
      <c r="L2518" s="6" t="s">
        <v>3639</v>
      </c>
      <c r="M2518" s="6" t="e">
        <f>INDEX(医院2县区2人!$B$2:$B$1048576,MATCH(L2518,医院2县区2人!$A$2:$A$1048576,0))</f>
        <v>#N/A</v>
      </c>
      <c r="N2518" s="6" t="e">
        <f>INDEX(医院2县区2人!$C$2:$C$1048576,MATCH(L2518,医院2县区2人!$A$2:$A$1048576,0))</f>
        <v>#N/A</v>
      </c>
      <c r="P2518" s="7">
        <v>43255</v>
      </c>
      <c r="Q2518" s="6">
        <v>5</v>
      </c>
      <c r="S2518" s="6">
        <v>18031227</v>
      </c>
      <c r="T2518" s="6" t="e">
        <f>INDEX(医院2县区2人!$D$2:$D$1048576,MATCH(L2518,医院2县区2人!$A$2:$A$1048576,0))</f>
        <v>#N/A</v>
      </c>
      <c r="W2518" s="6" t="str">
        <f t="shared" si="81"/>
        <v>葡萄糖酸锌口服溶液10ml*12支</v>
      </c>
      <c r="X2518" s="6" t="s">
        <v>2901</v>
      </c>
    </row>
    <row r="2519" spans="1:24" x14ac:dyDescent="0.15">
      <c r="A2519" s="7" t="str">
        <f t="shared" si="82"/>
        <v>201806</v>
      </c>
      <c r="C2519" s="6" t="str">
        <f>INDEX(工厂基础数据!$A$2:$A$1024,MATCH(X2519,工厂基础数据!$D$2:$D$1024,0))</f>
        <v>02037769</v>
      </c>
      <c r="E2519" s="6" t="str">
        <f>INDEX(工厂基础数据!$B$2:$B$1024,MATCH(X2519,工厂基础数据!$D$2:$D$1024,0))</f>
        <v>山东海川医药有限公司</v>
      </c>
      <c r="F2519" s="6" t="e">
        <f>INDEX(商业2转码!$B$2:$B$10000,MATCH(E2519,商业2转码!$A$2:$A$10000,0))</f>
        <v>#N/A</v>
      </c>
      <c r="G2519" s="6" t="str">
        <f>INDEX(品种2编码!$A$2:$A$1048576,MATCH(W2519,品种2编码!$D$2:$D$1048576,0))</f>
        <v>0020030001SJZY0006</v>
      </c>
      <c r="H2519" s="6" t="s">
        <v>1833</v>
      </c>
      <c r="I2519" s="6" t="s">
        <v>411</v>
      </c>
      <c r="J2519" s="6" t="s">
        <v>3044</v>
      </c>
      <c r="L2519" s="6" t="s">
        <v>3640</v>
      </c>
      <c r="M2519" s="6" t="e">
        <f>INDEX(医院2县区2人!$B$2:$B$1048576,MATCH(L2519,医院2县区2人!$A$2:$A$1048576,0))</f>
        <v>#N/A</v>
      </c>
      <c r="N2519" s="6" t="e">
        <f>INDEX(医院2县区2人!$C$2:$C$1048576,MATCH(L2519,医院2县区2人!$A$2:$A$1048576,0))</f>
        <v>#N/A</v>
      </c>
      <c r="P2519" s="7">
        <v>43255</v>
      </c>
      <c r="Q2519" s="6">
        <v>5</v>
      </c>
      <c r="S2519" s="6">
        <v>18030532</v>
      </c>
      <c r="T2519" s="6" t="e">
        <f>INDEX(医院2县区2人!$D$2:$D$1048576,MATCH(L2519,医院2县区2人!$A$2:$A$1048576,0))</f>
        <v>#N/A</v>
      </c>
      <c r="W2519" s="6" t="str">
        <f t="shared" si="81"/>
        <v>葡萄糖酸钙口服溶液10ml*12支</v>
      </c>
      <c r="X2519" s="6" t="s">
        <v>2901</v>
      </c>
    </row>
    <row r="2520" spans="1:24" x14ac:dyDescent="0.15">
      <c r="A2520" s="7" t="str">
        <f t="shared" si="82"/>
        <v>201806</v>
      </c>
      <c r="C2520" s="6" t="str">
        <f>INDEX(工厂基础数据!$A$2:$A$1024,MATCH(X2520,工厂基础数据!$D$2:$D$1024,0))</f>
        <v>02037769</v>
      </c>
      <c r="E2520" s="6" t="str">
        <f>INDEX(工厂基础数据!$B$2:$B$1024,MATCH(X2520,工厂基础数据!$D$2:$D$1024,0))</f>
        <v>山东海川医药有限公司</v>
      </c>
      <c r="F2520" s="6" t="e">
        <f>INDEX(商业2转码!$B$2:$B$10000,MATCH(E2520,商业2转码!$A$2:$A$10000,0))</f>
        <v>#N/A</v>
      </c>
      <c r="G2520" s="6" t="str">
        <f>INDEX(品种2编码!$A$2:$A$1048576,MATCH(W2520,品种2编码!$D$2:$D$1048576,0))</f>
        <v>0020030040ZYLC0001</v>
      </c>
      <c r="H2520" s="6" t="s">
        <v>1953</v>
      </c>
      <c r="I2520" s="6" t="s">
        <v>1954</v>
      </c>
      <c r="J2520" s="6" t="s">
        <v>3036</v>
      </c>
      <c r="L2520" s="6" t="s">
        <v>3641</v>
      </c>
      <c r="M2520" s="6" t="e">
        <f>INDEX(医院2县区2人!$B$2:$B$1048576,MATCH(L2520,医院2县区2人!$A$2:$A$1048576,0))</f>
        <v>#N/A</v>
      </c>
      <c r="N2520" s="6" t="e">
        <f>INDEX(医院2县区2人!$C$2:$C$1048576,MATCH(L2520,医院2县区2人!$A$2:$A$1048576,0))</f>
        <v>#N/A</v>
      </c>
      <c r="P2520" s="7">
        <v>43255</v>
      </c>
      <c r="Q2520" s="6">
        <v>1</v>
      </c>
      <c r="S2520" s="6">
        <v>180137</v>
      </c>
      <c r="T2520" s="6" t="e">
        <f>INDEX(医院2县区2人!$D$2:$D$1048576,MATCH(L2520,医院2县区2人!$A$2:$A$1048576,0))</f>
        <v>#N/A</v>
      </c>
      <c r="W2520" s="6" t="str">
        <f t="shared" si="81"/>
        <v>小儿氨酚黄那敏颗粒12袋</v>
      </c>
      <c r="X2520" s="6" t="s">
        <v>2901</v>
      </c>
    </row>
    <row r="2521" spans="1:24" x14ac:dyDescent="0.15">
      <c r="A2521" s="7" t="str">
        <f t="shared" si="82"/>
        <v>201806</v>
      </c>
      <c r="C2521" s="6" t="str">
        <f>INDEX(工厂基础数据!$A$2:$A$1024,MATCH(X2521,工厂基础数据!$D$2:$D$1024,0))</f>
        <v>02037769</v>
      </c>
      <c r="E2521" s="6" t="str">
        <f>INDEX(工厂基础数据!$B$2:$B$1024,MATCH(X2521,工厂基础数据!$D$2:$D$1024,0))</f>
        <v>山东海川医药有限公司</v>
      </c>
      <c r="F2521" s="6" t="e">
        <f>INDEX(商业2转码!$B$2:$B$10000,MATCH(E2521,商业2转码!$A$2:$A$10000,0))</f>
        <v>#N/A</v>
      </c>
      <c r="G2521" s="6" t="str">
        <f>INDEX(品种2编码!$A$2:$A$1048576,MATCH(W2521,品种2编码!$D$2:$D$1048576,0))</f>
        <v>0020030001SJZY0006</v>
      </c>
      <c r="H2521" s="6" t="s">
        <v>1833</v>
      </c>
      <c r="I2521" s="6" t="s">
        <v>411</v>
      </c>
      <c r="J2521" s="6" t="s">
        <v>3044</v>
      </c>
      <c r="L2521" s="6" t="s">
        <v>3642</v>
      </c>
      <c r="M2521" s="6" t="e">
        <f>INDEX(医院2县区2人!$B$2:$B$1048576,MATCH(L2521,医院2县区2人!$A$2:$A$1048576,0))</f>
        <v>#N/A</v>
      </c>
      <c r="N2521" s="6" t="e">
        <f>INDEX(医院2县区2人!$C$2:$C$1048576,MATCH(L2521,医院2县区2人!$A$2:$A$1048576,0))</f>
        <v>#N/A</v>
      </c>
      <c r="P2521" s="7">
        <v>43255</v>
      </c>
      <c r="Q2521" s="6">
        <v>6</v>
      </c>
      <c r="S2521" s="6">
        <v>18030532</v>
      </c>
      <c r="T2521" s="6" t="e">
        <f>INDEX(医院2县区2人!$D$2:$D$1048576,MATCH(L2521,医院2县区2人!$A$2:$A$1048576,0))</f>
        <v>#N/A</v>
      </c>
      <c r="W2521" s="6" t="str">
        <f t="shared" si="81"/>
        <v>葡萄糖酸钙口服溶液10ml*12支</v>
      </c>
      <c r="X2521" s="6" t="s">
        <v>2901</v>
      </c>
    </row>
    <row r="2522" spans="1:24" x14ac:dyDescent="0.15">
      <c r="A2522" s="7" t="str">
        <f t="shared" si="82"/>
        <v>201806</v>
      </c>
      <c r="C2522" s="6" t="str">
        <f>INDEX(工厂基础数据!$A$2:$A$1024,MATCH(X2522,工厂基础数据!$D$2:$D$1024,0))</f>
        <v>02037769</v>
      </c>
      <c r="E2522" s="6" t="str">
        <f>INDEX(工厂基础数据!$B$2:$B$1024,MATCH(X2522,工厂基础数据!$D$2:$D$1024,0))</f>
        <v>山东海川医药有限公司</v>
      </c>
      <c r="F2522" s="6" t="e">
        <f>INDEX(商业2转码!$B$2:$B$10000,MATCH(E2522,商业2转码!$A$2:$A$10000,0))</f>
        <v>#N/A</v>
      </c>
      <c r="G2522" s="6">
        <f>INDEX(品种2编码!$A$2:$A$1048576,MATCH(W2522,品种2编码!$D$2:$D$1048576,0))</f>
        <v>0</v>
      </c>
      <c r="H2522" s="6" t="s">
        <v>3740</v>
      </c>
      <c r="I2522" s="6" t="s">
        <v>3751</v>
      </c>
      <c r="J2522" s="6" t="s">
        <v>3754</v>
      </c>
      <c r="L2522" s="6" t="s">
        <v>3643</v>
      </c>
      <c r="M2522" s="6" t="e">
        <f>INDEX(医院2县区2人!$B$2:$B$1048576,MATCH(L2522,医院2县区2人!$A$2:$A$1048576,0))</f>
        <v>#N/A</v>
      </c>
      <c r="N2522" s="6" t="e">
        <f>INDEX(医院2县区2人!$C$2:$C$1048576,MATCH(L2522,医院2县区2人!$A$2:$A$1048576,0))</f>
        <v>#N/A</v>
      </c>
      <c r="P2522" s="7">
        <v>43255</v>
      </c>
      <c r="Q2522" s="6">
        <v>5</v>
      </c>
      <c r="S2522" s="6">
        <v>20170301</v>
      </c>
      <c r="T2522" s="6" t="e">
        <f>INDEX(医院2县区2人!$D$2:$D$1048576,MATCH(L2522,医院2县区2人!$A$2:$A$1048576,0))</f>
        <v>#N/A</v>
      </c>
      <c r="W2522" s="6" t="str">
        <f t="shared" si="81"/>
        <v>逐瘀通脉胶囊0.2g*18粒</v>
      </c>
      <c r="X2522" s="6" t="s">
        <v>2901</v>
      </c>
    </row>
    <row r="2523" spans="1:24" x14ac:dyDescent="0.15">
      <c r="A2523" s="7" t="str">
        <f t="shared" si="82"/>
        <v>201806</v>
      </c>
      <c r="C2523" s="6" t="str">
        <f>INDEX(工厂基础数据!$A$2:$A$1024,MATCH(X2523,工厂基础数据!$D$2:$D$1024,0))</f>
        <v>02037769</v>
      </c>
      <c r="E2523" s="6" t="str">
        <f>INDEX(工厂基础数据!$B$2:$B$1024,MATCH(X2523,工厂基础数据!$D$2:$D$1024,0))</f>
        <v>山东海川医药有限公司</v>
      </c>
      <c r="F2523" s="6" t="e">
        <f>INDEX(商业2转码!$B$2:$B$10000,MATCH(E2523,商业2转码!$A$2:$A$10000,0))</f>
        <v>#N/A</v>
      </c>
      <c r="G2523" s="6" t="str">
        <f>INDEX(品种2编码!$A$2:$A$1048576,MATCH(W2523,品种2编码!$D$2:$D$1048576,0))</f>
        <v>0020030001SJZY0006</v>
      </c>
      <c r="H2523" s="6" t="s">
        <v>1833</v>
      </c>
      <c r="I2523" s="6" t="s">
        <v>411</v>
      </c>
      <c r="J2523" s="6" t="s">
        <v>3044</v>
      </c>
      <c r="L2523" s="6" t="s">
        <v>3644</v>
      </c>
      <c r="M2523" s="6" t="e">
        <f>INDEX(医院2县区2人!$B$2:$B$1048576,MATCH(L2523,医院2县区2人!$A$2:$A$1048576,0))</f>
        <v>#N/A</v>
      </c>
      <c r="N2523" s="6" t="e">
        <f>INDEX(医院2县区2人!$C$2:$C$1048576,MATCH(L2523,医院2县区2人!$A$2:$A$1048576,0))</f>
        <v>#N/A</v>
      </c>
      <c r="P2523" s="7">
        <v>43255</v>
      </c>
      <c r="Q2523" s="6">
        <v>10</v>
      </c>
      <c r="S2523" s="6">
        <v>18030532</v>
      </c>
      <c r="T2523" s="6" t="e">
        <f>INDEX(医院2县区2人!$D$2:$D$1048576,MATCH(L2523,医院2县区2人!$A$2:$A$1048576,0))</f>
        <v>#N/A</v>
      </c>
      <c r="W2523" s="6" t="str">
        <f t="shared" si="81"/>
        <v>葡萄糖酸钙口服溶液10ml*12支</v>
      </c>
      <c r="X2523" s="6" t="s">
        <v>2901</v>
      </c>
    </row>
    <row r="2524" spans="1:24" x14ac:dyDescent="0.15">
      <c r="A2524" s="7" t="str">
        <f t="shared" si="82"/>
        <v>201806</v>
      </c>
      <c r="C2524" s="6" t="str">
        <f>INDEX(工厂基础数据!$A$2:$A$1024,MATCH(X2524,工厂基础数据!$D$2:$D$1024,0))</f>
        <v>02037769</v>
      </c>
      <c r="E2524" s="6" t="str">
        <f>INDEX(工厂基础数据!$B$2:$B$1024,MATCH(X2524,工厂基础数据!$D$2:$D$1024,0))</f>
        <v>山东海川医药有限公司</v>
      </c>
      <c r="F2524" s="6" t="e">
        <f>INDEX(商业2转码!$B$2:$B$10000,MATCH(E2524,商业2转码!$A$2:$A$10000,0))</f>
        <v>#N/A</v>
      </c>
      <c r="G2524" s="6" t="str">
        <f>INDEX(品种2编码!$A$2:$A$1048576,MATCH(W2524,品种2编码!$D$2:$D$1048576,0))</f>
        <v>0020040001SHYT0028</v>
      </c>
      <c r="H2524" s="6" t="s">
        <v>427</v>
      </c>
      <c r="I2524" s="6" t="s">
        <v>2016</v>
      </c>
      <c r="J2524" s="6" t="s">
        <v>3037</v>
      </c>
      <c r="L2524" s="6" t="s">
        <v>3645</v>
      </c>
      <c r="M2524" s="6" t="e">
        <f>INDEX(医院2县区2人!$B$2:$B$1048576,MATCH(L2524,医院2县区2人!$A$2:$A$1048576,0))</f>
        <v>#N/A</v>
      </c>
      <c r="N2524" s="6" t="e">
        <f>INDEX(医院2县区2人!$C$2:$C$1048576,MATCH(L2524,医院2县区2人!$A$2:$A$1048576,0))</f>
        <v>#N/A</v>
      </c>
      <c r="P2524" s="7">
        <v>43255</v>
      </c>
      <c r="Q2524" s="6">
        <v>30</v>
      </c>
      <c r="S2524" s="6">
        <v>1706172</v>
      </c>
      <c r="T2524" s="6" t="e">
        <f>INDEX(医院2县区2人!$D$2:$D$1048576,MATCH(L2524,医院2县区2人!$A$2:$A$1048576,0))</f>
        <v>#N/A</v>
      </c>
      <c r="W2524" s="6" t="str">
        <f t="shared" si="81"/>
        <v>冠心苏合丸30丸</v>
      </c>
      <c r="X2524" s="6" t="s">
        <v>2901</v>
      </c>
    </row>
    <row r="2525" spans="1:24" x14ac:dyDescent="0.15">
      <c r="A2525" s="7" t="str">
        <f t="shared" si="82"/>
        <v>201806</v>
      </c>
      <c r="C2525" s="6" t="str">
        <f>INDEX(工厂基础数据!$A$2:$A$1024,MATCH(X2525,工厂基础数据!$D$2:$D$1024,0))</f>
        <v>02037769</v>
      </c>
      <c r="E2525" s="6" t="str">
        <f>INDEX(工厂基础数据!$B$2:$B$1024,MATCH(X2525,工厂基础数据!$D$2:$D$1024,0))</f>
        <v>山东海川医药有限公司</v>
      </c>
      <c r="F2525" s="6" t="e">
        <f>INDEX(商业2转码!$B$2:$B$10000,MATCH(E2525,商业2转码!$A$2:$A$10000,0))</f>
        <v>#N/A</v>
      </c>
      <c r="G2525" s="6" t="str">
        <f>INDEX(品种2编码!$A$2:$A$1048576,MATCH(W2525,品种2编码!$D$2:$D$1048576,0))</f>
        <v>0020020020SJMS0008</v>
      </c>
      <c r="H2525" s="6" t="s">
        <v>474</v>
      </c>
      <c r="I2525" s="6" t="s">
        <v>1873</v>
      </c>
      <c r="J2525" s="6" t="s">
        <v>3046</v>
      </c>
      <c r="L2525" s="6" t="s">
        <v>3646</v>
      </c>
      <c r="M2525" s="6" t="e">
        <f>INDEX(医院2县区2人!$B$2:$B$1048576,MATCH(L2525,医院2县区2人!$A$2:$A$1048576,0))</f>
        <v>#N/A</v>
      </c>
      <c r="N2525" s="6" t="e">
        <f>INDEX(医院2县区2人!$C$2:$C$1048576,MATCH(L2525,医院2县区2人!$A$2:$A$1048576,0))</f>
        <v>#N/A</v>
      </c>
      <c r="P2525" s="7">
        <v>43255</v>
      </c>
      <c r="Q2525" s="6">
        <v>30</v>
      </c>
      <c r="S2525" s="6">
        <v>1803012</v>
      </c>
      <c r="T2525" s="6" t="e">
        <f>INDEX(医院2县区2人!$D$2:$D$1048576,MATCH(L2525,医院2县区2人!$A$2:$A$1048576,0))</f>
        <v>#N/A</v>
      </c>
      <c r="W2525" s="6" t="str">
        <f t="shared" si="81"/>
        <v>拉西地平片4mg*15片</v>
      </c>
      <c r="X2525" s="6" t="s">
        <v>2901</v>
      </c>
    </row>
    <row r="2526" spans="1:24" x14ac:dyDescent="0.15">
      <c r="A2526" s="7" t="str">
        <f t="shared" si="82"/>
        <v>201806</v>
      </c>
      <c r="C2526" s="6" t="str">
        <f>INDEX(工厂基础数据!$A$2:$A$1024,MATCH(X2526,工厂基础数据!$D$2:$D$1024,0))</f>
        <v>02037769</v>
      </c>
      <c r="E2526" s="6" t="str">
        <f>INDEX(工厂基础数据!$B$2:$B$1024,MATCH(X2526,工厂基础数据!$D$2:$D$1024,0))</f>
        <v>山东海川医药有限公司</v>
      </c>
      <c r="F2526" s="6" t="e">
        <f>INDEX(商业2转码!$B$2:$B$10000,MATCH(E2526,商业2转码!$A$2:$A$10000,0))</f>
        <v>#N/A</v>
      </c>
      <c r="G2526" s="6" t="str">
        <f>INDEX(品种2编码!$A$2:$A$1048576,MATCH(W2526,品种2编码!$D$2:$D$1048576,0))</f>
        <v>0020040001SHYT0011</v>
      </c>
      <c r="H2526" s="6" t="s">
        <v>522</v>
      </c>
      <c r="I2526" s="6" t="s">
        <v>1867</v>
      </c>
      <c r="J2526" s="6" t="s">
        <v>3037</v>
      </c>
      <c r="L2526" s="6" t="s">
        <v>3646</v>
      </c>
      <c r="M2526" s="6" t="e">
        <f>INDEX(医院2县区2人!$B$2:$B$1048576,MATCH(L2526,医院2县区2人!$A$2:$A$1048576,0))</f>
        <v>#N/A</v>
      </c>
      <c r="N2526" s="6" t="e">
        <f>INDEX(医院2县区2人!$C$2:$C$1048576,MATCH(L2526,医院2县区2人!$A$2:$A$1048576,0))</f>
        <v>#N/A</v>
      </c>
      <c r="P2526" s="7">
        <v>43255</v>
      </c>
      <c r="Q2526" s="6">
        <v>100</v>
      </c>
      <c r="S2526" s="6">
        <v>1611141</v>
      </c>
      <c r="T2526" s="6" t="e">
        <f>INDEX(医院2县区2人!$D$2:$D$1048576,MATCH(L2526,医院2县区2人!$A$2:$A$1048576,0))</f>
        <v>#N/A</v>
      </c>
      <c r="W2526" s="6" t="str">
        <f t="shared" si="81"/>
        <v>牛黄解毒丸3g*10丸</v>
      </c>
      <c r="X2526" s="6" t="s">
        <v>2901</v>
      </c>
    </row>
    <row r="2527" spans="1:24" x14ac:dyDescent="0.15">
      <c r="A2527" s="7" t="str">
        <f t="shared" si="82"/>
        <v>201806</v>
      </c>
      <c r="C2527" s="6" t="str">
        <f>INDEX(工厂基础数据!$A$2:$A$1024,MATCH(X2527,工厂基础数据!$D$2:$D$1024,0))</f>
        <v>02037769</v>
      </c>
      <c r="E2527" s="6" t="str">
        <f>INDEX(工厂基础数据!$B$2:$B$1024,MATCH(X2527,工厂基础数据!$D$2:$D$1024,0))</f>
        <v>山东海川医药有限公司</v>
      </c>
      <c r="F2527" s="6" t="e">
        <f>INDEX(商业2转码!$B$2:$B$10000,MATCH(E2527,商业2转码!$A$2:$A$10000,0))</f>
        <v>#N/A</v>
      </c>
      <c r="G2527" s="6">
        <f>INDEX(品种2编码!$A$2:$A$1048576,MATCH(W2527,品种2编码!$D$2:$D$1048576,0))</f>
        <v>0</v>
      </c>
      <c r="H2527" s="6" t="s">
        <v>527</v>
      </c>
      <c r="I2527" s="6" t="s">
        <v>1924</v>
      </c>
      <c r="J2527" s="6" t="s">
        <v>3037</v>
      </c>
      <c r="L2527" s="6" t="s">
        <v>3646</v>
      </c>
      <c r="M2527" s="6" t="e">
        <f>INDEX(医院2县区2人!$B$2:$B$1048576,MATCH(L2527,医院2县区2人!$A$2:$A$1048576,0))</f>
        <v>#N/A</v>
      </c>
      <c r="N2527" s="6" t="e">
        <f>INDEX(医院2县区2人!$C$2:$C$1048576,MATCH(L2527,医院2县区2人!$A$2:$A$1048576,0))</f>
        <v>#N/A</v>
      </c>
      <c r="P2527" s="7">
        <v>43255</v>
      </c>
      <c r="Q2527" s="6">
        <v>100</v>
      </c>
      <c r="S2527" s="6">
        <v>1610124</v>
      </c>
      <c r="T2527" s="6" t="e">
        <f>INDEX(医院2县区2人!$D$2:$D$1048576,MATCH(L2527,医院2县区2人!$A$2:$A$1048576,0))</f>
        <v>#N/A</v>
      </c>
      <c r="W2527" s="6" t="str">
        <f t="shared" si="81"/>
        <v>牛黄清胃丸6g*10丸</v>
      </c>
      <c r="X2527" s="6" t="s">
        <v>2901</v>
      </c>
    </row>
    <row r="2528" spans="1:24" x14ac:dyDescent="0.15">
      <c r="A2528" s="7" t="str">
        <f t="shared" si="82"/>
        <v>201806</v>
      </c>
      <c r="C2528" s="6" t="str">
        <f>INDEX(工厂基础数据!$A$2:$A$1024,MATCH(X2528,工厂基础数据!$D$2:$D$1024,0))</f>
        <v>02037769</v>
      </c>
      <c r="E2528" s="6" t="str">
        <f>INDEX(工厂基础数据!$B$2:$B$1024,MATCH(X2528,工厂基础数据!$D$2:$D$1024,0))</f>
        <v>山东海川医药有限公司</v>
      </c>
      <c r="F2528" s="6" t="e">
        <f>INDEX(商业2转码!$B$2:$B$10000,MATCH(E2528,商业2转码!$A$2:$A$10000,0))</f>
        <v>#N/A</v>
      </c>
      <c r="G2528" s="6" t="str">
        <f>INDEX(品种2编码!$A$2:$A$1048576,MATCH(W2528,品种2编码!$D$2:$D$1048576,0))</f>
        <v>0020020020SJMS0008</v>
      </c>
      <c r="H2528" s="6" t="s">
        <v>474</v>
      </c>
      <c r="I2528" s="6" t="s">
        <v>1873</v>
      </c>
      <c r="J2528" s="6" t="s">
        <v>3046</v>
      </c>
      <c r="L2528" s="6" t="s">
        <v>3647</v>
      </c>
      <c r="M2528" s="6" t="e">
        <f>INDEX(医院2县区2人!$B$2:$B$1048576,MATCH(L2528,医院2县区2人!$A$2:$A$1048576,0))</f>
        <v>#N/A</v>
      </c>
      <c r="N2528" s="6" t="e">
        <f>INDEX(医院2县区2人!$C$2:$C$1048576,MATCH(L2528,医院2县区2人!$A$2:$A$1048576,0))</f>
        <v>#N/A</v>
      </c>
      <c r="P2528" s="7">
        <v>43255</v>
      </c>
      <c r="Q2528" s="6">
        <v>200</v>
      </c>
      <c r="S2528" s="6">
        <v>1803012</v>
      </c>
      <c r="T2528" s="6" t="e">
        <f>INDEX(医院2县区2人!$D$2:$D$1048576,MATCH(L2528,医院2县区2人!$A$2:$A$1048576,0))</f>
        <v>#N/A</v>
      </c>
      <c r="W2528" s="6" t="str">
        <f t="shared" si="81"/>
        <v>拉西地平片4mg*15片</v>
      </c>
      <c r="X2528" s="6" t="s">
        <v>2901</v>
      </c>
    </row>
    <row r="2529" spans="1:24" x14ac:dyDescent="0.15">
      <c r="A2529" s="7" t="str">
        <f t="shared" si="82"/>
        <v>201806</v>
      </c>
      <c r="C2529" s="6" t="str">
        <f>INDEX(工厂基础数据!$A$2:$A$1024,MATCH(X2529,工厂基础数据!$D$2:$D$1024,0))</f>
        <v>02037769</v>
      </c>
      <c r="E2529" s="6" t="str">
        <f>INDEX(工厂基础数据!$B$2:$B$1024,MATCH(X2529,工厂基础数据!$D$2:$D$1024,0))</f>
        <v>山东海川医药有限公司</v>
      </c>
      <c r="F2529" s="6" t="e">
        <f>INDEX(商业2转码!$B$2:$B$10000,MATCH(E2529,商业2转码!$A$2:$A$10000,0))</f>
        <v>#N/A</v>
      </c>
      <c r="G2529" s="6" t="str">
        <f>INDEX(品种2编码!$A$2:$A$1048576,MATCH(W2529,品种2编码!$D$2:$D$1048576,0))</f>
        <v>0020030001SJZY0009</v>
      </c>
      <c r="H2529" s="6" t="s">
        <v>555</v>
      </c>
      <c r="I2529" s="6" t="s">
        <v>411</v>
      </c>
      <c r="J2529" s="6" t="s">
        <v>3044</v>
      </c>
      <c r="L2529" s="6" t="s">
        <v>3648</v>
      </c>
      <c r="M2529" s="6" t="e">
        <f>INDEX(医院2县区2人!$B$2:$B$1048576,MATCH(L2529,医院2县区2人!$A$2:$A$1048576,0))</f>
        <v>#N/A</v>
      </c>
      <c r="N2529" s="6" t="e">
        <f>INDEX(医院2县区2人!$C$2:$C$1048576,MATCH(L2529,医院2县区2人!$A$2:$A$1048576,0))</f>
        <v>#N/A</v>
      </c>
      <c r="P2529" s="7">
        <v>43256</v>
      </c>
      <c r="Q2529" s="6">
        <v>-10</v>
      </c>
      <c r="S2529" s="6">
        <v>17070517</v>
      </c>
      <c r="T2529" s="6" t="e">
        <f>INDEX(医院2县区2人!$D$2:$D$1048576,MATCH(L2529,医院2县区2人!$A$2:$A$1048576,0))</f>
        <v>#N/A</v>
      </c>
      <c r="W2529" s="6" t="str">
        <f t="shared" si="81"/>
        <v>葡萄糖酸锌口服液10ml*12支</v>
      </c>
      <c r="X2529" s="6" t="s">
        <v>2901</v>
      </c>
    </row>
    <row r="2530" spans="1:24" x14ac:dyDescent="0.15">
      <c r="A2530" s="7" t="str">
        <f t="shared" si="82"/>
        <v>201806</v>
      </c>
      <c r="C2530" s="6" t="str">
        <f>INDEX(工厂基础数据!$A$2:$A$1024,MATCH(X2530,工厂基础数据!$D$2:$D$1024,0))</f>
        <v>02037769</v>
      </c>
      <c r="E2530" s="6" t="str">
        <f>INDEX(工厂基础数据!$B$2:$B$1024,MATCH(X2530,工厂基础数据!$D$2:$D$1024,0))</f>
        <v>山东海川医药有限公司</v>
      </c>
      <c r="F2530" s="6" t="e">
        <f>INDEX(商业2转码!$B$2:$B$10000,MATCH(E2530,商业2转码!$A$2:$A$10000,0))</f>
        <v>#N/A</v>
      </c>
      <c r="G2530" s="6" t="str">
        <f>INDEX(品种2编码!$A$2:$A$1048576,MATCH(W2530,品种2编码!$D$2:$D$1048576,0))</f>
        <v>0020030001SJZY0009</v>
      </c>
      <c r="H2530" s="6" t="s">
        <v>555</v>
      </c>
      <c r="I2530" s="6" t="s">
        <v>411</v>
      </c>
      <c r="J2530" s="6" t="s">
        <v>3044</v>
      </c>
      <c r="L2530" s="6" t="s">
        <v>3649</v>
      </c>
      <c r="M2530" s="6" t="e">
        <f>INDEX(医院2县区2人!$B$2:$B$1048576,MATCH(L2530,医院2县区2人!$A$2:$A$1048576,0))</f>
        <v>#N/A</v>
      </c>
      <c r="N2530" s="6" t="e">
        <f>INDEX(医院2县区2人!$C$2:$C$1048576,MATCH(L2530,医院2县区2人!$A$2:$A$1048576,0))</f>
        <v>#N/A</v>
      </c>
      <c r="P2530" s="7">
        <v>43256</v>
      </c>
      <c r="Q2530" s="6">
        <v>10</v>
      </c>
      <c r="S2530" s="6">
        <v>17070517</v>
      </c>
      <c r="T2530" s="6" t="e">
        <f>INDEX(医院2县区2人!$D$2:$D$1048576,MATCH(L2530,医院2县区2人!$A$2:$A$1048576,0))</f>
        <v>#N/A</v>
      </c>
      <c r="W2530" s="6" t="str">
        <f t="shared" si="81"/>
        <v>葡萄糖酸锌口服液10ml*12支</v>
      </c>
      <c r="X2530" s="6" t="s">
        <v>2901</v>
      </c>
    </row>
    <row r="2531" spans="1:24" x14ac:dyDescent="0.15">
      <c r="A2531" s="7" t="str">
        <f t="shared" si="82"/>
        <v>201806</v>
      </c>
      <c r="C2531" s="6" t="str">
        <f>INDEX(工厂基础数据!$A$2:$A$1024,MATCH(X2531,工厂基础数据!$D$2:$D$1024,0))</f>
        <v>02037769</v>
      </c>
      <c r="E2531" s="6" t="str">
        <f>INDEX(工厂基础数据!$B$2:$B$1024,MATCH(X2531,工厂基础数据!$D$2:$D$1024,0))</f>
        <v>山东海川医药有限公司</v>
      </c>
      <c r="F2531" s="6" t="e">
        <f>INDEX(商业2转码!$B$2:$B$10000,MATCH(E2531,商业2转码!$A$2:$A$10000,0))</f>
        <v>#N/A</v>
      </c>
      <c r="G2531" s="6" t="str">
        <f>INDEX(品种2编码!$A$2:$A$1048576,MATCH(W2531,品种2编码!$D$2:$D$1048576,0))</f>
        <v>0020050090SJZY0001</v>
      </c>
      <c r="H2531" s="6" t="s">
        <v>630</v>
      </c>
      <c r="I2531" s="6" t="s">
        <v>1850</v>
      </c>
      <c r="J2531" s="6" t="s">
        <v>3044</v>
      </c>
      <c r="L2531" s="6" t="s">
        <v>3650</v>
      </c>
      <c r="M2531" s="6" t="e">
        <f>INDEX(医院2县区2人!$B$2:$B$1048576,MATCH(L2531,医院2县区2人!$A$2:$A$1048576,0))</f>
        <v>#N/A</v>
      </c>
      <c r="N2531" s="6" t="e">
        <f>INDEX(医院2县区2人!$C$2:$C$1048576,MATCH(L2531,医院2县区2人!$A$2:$A$1048576,0))</f>
        <v>#N/A</v>
      </c>
      <c r="P2531" s="7">
        <v>43256</v>
      </c>
      <c r="Q2531" s="6">
        <v>3</v>
      </c>
      <c r="S2531" s="6">
        <v>18030921</v>
      </c>
      <c r="T2531" s="6" t="e">
        <f>INDEX(医院2县区2人!$D$2:$D$1048576,MATCH(L2531,医院2县区2人!$A$2:$A$1048576,0))</f>
        <v>#N/A</v>
      </c>
      <c r="W2531" s="6" t="str">
        <f t="shared" si="81"/>
        <v>双黄连口服液10ml*10支</v>
      </c>
      <c r="X2531" s="6" t="s">
        <v>2901</v>
      </c>
    </row>
    <row r="2532" spans="1:24" x14ac:dyDescent="0.15">
      <c r="A2532" s="7" t="str">
        <f t="shared" si="82"/>
        <v>201806</v>
      </c>
      <c r="C2532" s="6" t="str">
        <f>INDEX(工厂基础数据!$A$2:$A$1024,MATCH(X2532,工厂基础数据!$D$2:$D$1024,0))</f>
        <v>02037769</v>
      </c>
      <c r="E2532" s="6" t="str">
        <f>INDEX(工厂基础数据!$B$2:$B$1024,MATCH(X2532,工厂基础数据!$D$2:$D$1024,0))</f>
        <v>山东海川医药有限公司</v>
      </c>
      <c r="F2532" s="6" t="e">
        <f>INDEX(商业2转码!$B$2:$B$10000,MATCH(E2532,商业2转码!$A$2:$A$10000,0))</f>
        <v>#N/A</v>
      </c>
      <c r="G2532" s="6" t="str">
        <f>INDEX(品种2编码!$A$2:$A$1048576,MATCH(W2532,品种2编码!$D$2:$D$1048576,0))</f>
        <v>0020030001SJZY0006</v>
      </c>
      <c r="H2532" s="6" t="s">
        <v>1833</v>
      </c>
      <c r="I2532" s="6" t="s">
        <v>411</v>
      </c>
      <c r="J2532" s="6" t="s">
        <v>3044</v>
      </c>
      <c r="L2532" s="6" t="s">
        <v>3621</v>
      </c>
      <c r="M2532" s="6" t="e">
        <f>INDEX(医院2县区2人!$B$2:$B$1048576,MATCH(L2532,医院2县区2人!$A$2:$A$1048576,0))</f>
        <v>#N/A</v>
      </c>
      <c r="N2532" s="6" t="e">
        <f>INDEX(医院2县区2人!$C$2:$C$1048576,MATCH(L2532,医院2县区2人!$A$2:$A$1048576,0))</f>
        <v>#N/A</v>
      </c>
      <c r="P2532" s="7">
        <v>43256</v>
      </c>
      <c r="Q2532" s="6">
        <v>3</v>
      </c>
      <c r="S2532" s="6">
        <v>18030532</v>
      </c>
      <c r="T2532" s="6" t="e">
        <f>INDEX(医院2县区2人!$D$2:$D$1048576,MATCH(L2532,医院2县区2人!$A$2:$A$1048576,0))</f>
        <v>#N/A</v>
      </c>
      <c r="W2532" s="6" t="str">
        <f t="shared" si="81"/>
        <v>葡萄糖酸钙口服溶液10ml*12支</v>
      </c>
      <c r="X2532" s="6" t="s">
        <v>2901</v>
      </c>
    </row>
    <row r="2533" spans="1:24" x14ac:dyDescent="0.15">
      <c r="A2533" s="7" t="str">
        <f t="shared" si="82"/>
        <v>201806</v>
      </c>
      <c r="C2533" s="6" t="str">
        <f>INDEX(工厂基础数据!$A$2:$A$1024,MATCH(X2533,工厂基础数据!$D$2:$D$1024,0))</f>
        <v>02037769</v>
      </c>
      <c r="E2533" s="6" t="str">
        <f>INDEX(工厂基础数据!$B$2:$B$1024,MATCH(X2533,工厂基础数据!$D$2:$D$1024,0))</f>
        <v>山东海川医药有限公司</v>
      </c>
      <c r="F2533" s="6" t="e">
        <f>INDEX(商业2转码!$B$2:$B$10000,MATCH(E2533,商业2转码!$A$2:$A$10000,0))</f>
        <v>#N/A</v>
      </c>
      <c r="G2533" s="6" t="str">
        <f>INDEX(品种2编码!$A$2:$A$1048576,MATCH(W2533,品种2编码!$D$2:$D$1048576,0))</f>
        <v>0020030001SJZY0009</v>
      </c>
      <c r="H2533" s="6" t="s">
        <v>1949</v>
      </c>
      <c r="I2533" s="6" t="s">
        <v>411</v>
      </c>
      <c r="J2533" s="6" t="s">
        <v>3040</v>
      </c>
      <c r="L2533" s="6" t="s">
        <v>3651</v>
      </c>
      <c r="M2533" s="6" t="e">
        <f>INDEX(医院2县区2人!$B$2:$B$1048576,MATCH(L2533,医院2县区2人!$A$2:$A$1048576,0))</f>
        <v>#N/A</v>
      </c>
      <c r="N2533" s="6" t="e">
        <f>INDEX(医院2县区2人!$C$2:$C$1048576,MATCH(L2533,医院2县区2人!$A$2:$A$1048576,0))</f>
        <v>#N/A</v>
      </c>
      <c r="P2533" s="7">
        <v>43256</v>
      </c>
      <c r="Q2533" s="6">
        <v>3</v>
      </c>
      <c r="S2533" s="6">
        <v>18031227</v>
      </c>
      <c r="T2533" s="6" t="e">
        <f>INDEX(医院2县区2人!$D$2:$D$1048576,MATCH(L2533,医院2县区2人!$A$2:$A$1048576,0))</f>
        <v>#N/A</v>
      </c>
      <c r="W2533" s="6" t="str">
        <f t="shared" si="81"/>
        <v>葡萄糖酸锌口服溶液10ml*12支</v>
      </c>
      <c r="X2533" s="6" t="s">
        <v>2901</v>
      </c>
    </row>
    <row r="2534" spans="1:24" x14ac:dyDescent="0.15">
      <c r="A2534" s="7" t="str">
        <f t="shared" si="82"/>
        <v>201806</v>
      </c>
      <c r="C2534" s="6" t="str">
        <f>INDEX(工厂基础数据!$A$2:$A$1024,MATCH(X2534,工厂基础数据!$D$2:$D$1024,0))</f>
        <v>02037769</v>
      </c>
      <c r="E2534" s="6" t="str">
        <f>INDEX(工厂基础数据!$B$2:$B$1024,MATCH(X2534,工厂基础数据!$D$2:$D$1024,0))</f>
        <v>山东海川医药有限公司</v>
      </c>
      <c r="F2534" s="6" t="e">
        <f>INDEX(商业2转码!$B$2:$B$10000,MATCH(E2534,商业2转码!$A$2:$A$10000,0))</f>
        <v>#N/A</v>
      </c>
      <c r="G2534" s="6" t="str">
        <f>INDEX(品种2编码!$A$2:$A$1048576,MATCH(W2534,品种2编码!$D$2:$D$1048576,0))</f>
        <v>0020030001SJZY0006</v>
      </c>
      <c r="H2534" s="6" t="s">
        <v>1833</v>
      </c>
      <c r="I2534" s="6" t="s">
        <v>411</v>
      </c>
      <c r="J2534" s="6" t="s">
        <v>3044</v>
      </c>
      <c r="L2534" s="6" t="s">
        <v>3651</v>
      </c>
      <c r="M2534" s="6" t="e">
        <f>INDEX(医院2县区2人!$B$2:$B$1048576,MATCH(L2534,医院2县区2人!$A$2:$A$1048576,0))</f>
        <v>#N/A</v>
      </c>
      <c r="N2534" s="6" t="e">
        <f>INDEX(医院2县区2人!$C$2:$C$1048576,MATCH(L2534,医院2县区2人!$A$2:$A$1048576,0))</f>
        <v>#N/A</v>
      </c>
      <c r="P2534" s="7">
        <v>43256</v>
      </c>
      <c r="Q2534" s="6">
        <v>3</v>
      </c>
      <c r="S2534" s="6">
        <v>18030532</v>
      </c>
      <c r="T2534" s="6" t="e">
        <f>INDEX(医院2县区2人!$D$2:$D$1048576,MATCH(L2534,医院2县区2人!$A$2:$A$1048576,0))</f>
        <v>#N/A</v>
      </c>
      <c r="W2534" s="6" t="str">
        <f t="shared" si="81"/>
        <v>葡萄糖酸钙口服溶液10ml*12支</v>
      </c>
      <c r="X2534" s="6" t="s">
        <v>2901</v>
      </c>
    </row>
    <row r="2535" spans="1:24" x14ac:dyDescent="0.15">
      <c r="A2535" s="7" t="str">
        <f t="shared" si="82"/>
        <v>201806</v>
      </c>
      <c r="C2535" s="6" t="str">
        <f>INDEX(工厂基础数据!$A$2:$A$1024,MATCH(X2535,工厂基础数据!$D$2:$D$1024,0))</f>
        <v>02037769</v>
      </c>
      <c r="E2535" s="6" t="str">
        <f>INDEX(工厂基础数据!$B$2:$B$1024,MATCH(X2535,工厂基础数据!$D$2:$D$1024,0))</f>
        <v>山东海川医药有限公司</v>
      </c>
      <c r="F2535" s="6" t="e">
        <f>INDEX(商业2转码!$B$2:$B$10000,MATCH(E2535,商业2转码!$A$2:$A$10000,0))</f>
        <v>#N/A</v>
      </c>
      <c r="G2535" s="6">
        <f>INDEX(品种2编码!$A$2:$A$1048576,MATCH(W2535,品种2编码!$D$2:$D$1048576,0))</f>
        <v>0</v>
      </c>
      <c r="H2535" s="6" t="s">
        <v>3741</v>
      </c>
      <c r="I2535" s="6" t="s">
        <v>3752</v>
      </c>
      <c r="J2535" s="6" t="s">
        <v>3038</v>
      </c>
      <c r="L2535" s="6" t="s">
        <v>3652</v>
      </c>
      <c r="M2535" s="6" t="e">
        <f>INDEX(医院2县区2人!$B$2:$B$1048576,MATCH(L2535,医院2县区2人!$A$2:$A$1048576,0))</f>
        <v>#N/A</v>
      </c>
      <c r="N2535" s="6" t="e">
        <f>INDEX(医院2县区2人!$C$2:$C$1048576,MATCH(L2535,医院2县区2人!$A$2:$A$1048576,0))</f>
        <v>#N/A</v>
      </c>
      <c r="P2535" s="7">
        <v>43256</v>
      </c>
      <c r="Q2535" s="6">
        <v>5</v>
      </c>
      <c r="S2535" s="6">
        <v>180101</v>
      </c>
      <c r="T2535" s="6" t="e">
        <f>INDEX(医院2县区2人!$D$2:$D$1048576,MATCH(L2535,医院2县区2人!$A$2:$A$1048576,0))</f>
        <v>#N/A</v>
      </c>
      <c r="W2535" s="6" t="str">
        <f t="shared" si="81"/>
        <v>哈药痛可贴跌打损伤型4贴</v>
      </c>
      <c r="X2535" s="6" t="s">
        <v>2901</v>
      </c>
    </row>
    <row r="2536" spans="1:24" x14ac:dyDescent="0.15">
      <c r="A2536" s="7" t="str">
        <f t="shared" si="82"/>
        <v>201806</v>
      </c>
      <c r="C2536" s="6" t="str">
        <f>INDEX(工厂基础数据!$A$2:$A$1024,MATCH(X2536,工厂基础数据!$D$2:$D$1024,0))</f>
        <v>02037769</v>
      </c>
      <c r="E2536" s="6" t="str">
        <f>INDEX(工厂基础数据!$B$2:$B$1024,MATCH(X2536,工厂基础数据!$D$2:$D$1024,0))</f>
        <v>山东海川医药有限公司</v>
      </c>
      <c r="F2536" s="6" t="e">
        <f>INDEX(商业2转码!$B$2:$B$10000,MATCH(E2536,商业2转码!$A$2:$A$10000,0))</f>
        <v>#N/A</v>
      </c>
      <c r="G2536" s="6">
        <f>INDEX(品种2编码!$A$2:$A$1048576,MATCH(W2536,品种2编码!$D$2:$D$1048576,0))</f>
        <v>0</v>
      </c>
      <c r="H2536" s="6" t="s">
        <v>1885</v>
      </c>
      <c r="I2536" s="6" t="s">
        <v>1838</v>
      </c>
      <c r="J2536" s="6" t="s">
        <v>3036</v>
      </c>
      <c r="L2536" s="6" t="s">
        <v>3653</v>
      </c>
      <c r="M2536" s="6" t="e">
        <f>INDEX(医院2县区2人!$B$2:$B$1048576,MATCH(L2536,医院2县区2人!$A$2:$A$1048576,0))</f>
        <v>#N/A</v>
      </c>
      <c r="N2536" s="6" t="e">
        <f>INDEX(医院2县区2人!$C$2:$C$1048576,MATCH(L2536,医院2县区2人!$A$2:$A$1048576,0))</f>
        <v>#N/A</v>
      </c>
      <c r="P2536" s="7">
        <v>43256</v>
      </c>
      <c r="Q2536" s="6">
        <v>5</v>
      </c>
      <c r="S2536" s="6">
        <v>180106</v>
      </c>
      <c r="T2536" s="6" t="e">
        <f>INDEX(医院2县区2人!$D$2:$D$1048576,MATCH(L2536,医院2县区2人!$A$2:$A$1048576,0))</f>
        <v>#N/A</v>
      </c>
      <c r="W2536" s="6" t="str">
        <f t="shared" si="81"/>
        <v>新盖中盖高钙片2.5g*36片</v>
      </c>
      <c r="X2536" s="6" t="s">
        <v>2901</v>
      </c>
    </row>
    <row r="2537" spans="1:24" x14ac:dyDescent="0.15">
      <c r="A2537" s="7" t="str">
        <f t="shared" si="82"/>
        <v>201806</v>
      </c>
      <c r="C2537" s="6" t="str">
        <f>INDEX(工厂基础数据!$A$2:$A$1024,MATCH(X2537,工厂基础数据!$D$2:$D$1024,0))</f>
        <v>02037769</v>
      </c>
      <c r="E2537" s="6" t="str">
        <f>INDEX(工厂基础数据!$B$2:$B$1024,MATCH(X2537,工厂基础数据!$D$2:$D$1024,0))</f>
        <v>山东海川医药有限公司</v>
      </c>
      <c r="F2537" s="6" t="e">
        <f>INDEX(商业2转码!$B$2:$B$10000,MATCH(E2537,商业2转码!$A$2:$A$10000,0))</f>
        <v>#N/A</v>
      </c>
      <c r="G2537" s="6" t="str">
        <f>INDEX(品种2编码!$A$2:$A$1048576,MATCH(W2537,品种2编码!$D$2:$D$1048576,0))</f>
        <v>0020020020SJMS0008</v>
      </c>
      <c r="H2537" s="6" t="s">
        <v>474</v>
      </c>
      <c r="I2537" s="6" t="s">
        <v>1873</v>
      </c>
      <c r="J2537" s="6" t="s">
        <v>3046</v>
      </c>
      <c r="L2537" s="6" t="s">
        <v>3622</v>
      </c>
      <c r="M2537" s="6" t="e">
        <f>INDEX(医院2县区2人!$B$2:$B$1048576,MATCH(L2537,医院2县区2人!$A$2:$A$1048576,0))</f>
        <v>#N/A</v>
      </c>
      <c r="N2537" s="6" t="e">
        <f>INDEX(医院2县区2人!$C$2:$C$1048576,MATCH(L2537,医院2县区2人!$A$2:$A$1048576,0))</f>
        <v>#N/A</v>
      </c>
      <c r="P2537" s="7">
        <v>43256</v>
      </c>
      <c r="Q2537" s="6">
        <v>100</v>
      </c>
      <c r="S2537" s="6">
        <v>1803012</v>
      </c>
      <c r="T2537" s="6" t="e">
        <f>INDEX(医院2县区2人!$D$2:$D$1048576,MATCH(L2537,医院2县区2人!$A$2:$A$1048576,0))</f>
        <v>#N/A</v>
      </c>
      <c r="W2537" s="6" t="str">
        <f t="shared" si="81"/>
        <v>拉西地平片4mg*15片</v>
      </c>
      <c r="X2537" s="6" t="s">
        <v>2901</v>
      </c>
    </row>
    <row r="2538" spans="1:24" x14ac:dyDescent="0.15">
      <c r="A2538" s="7" t="str">
        <f t="shared" si="82"/>
        <v>201806</v>
      </c>
      <c r="C2538" s="6" t="str">
        <f>INDEX(工厂基础数据!$A$2:$A$1024,MATCH(X2538,工厂基础数据!$D$2:$D$1024,0))</f>
        <v>02037769</v>
      </c>
      <c r="E2538" s="6" t="str">
        <f>INDEX(工厂基础数据!$B$2:$B$1024,MATCH(X2538,工厂基础数据!$D$2:$D$1024,0))</f>
        <v>山东海川医药有限公司</v>
      </c>
      <c r="F2538" s="6" t="e">
        <f>INDEX(商业2转码!$B$2:$B$10000,MATCH(E2538,商业2转码!$A$2:$A$10000,0))</f>
        <v>#N/A</v>
      </c>
      <c r="G2538" s="6" t="str">
        <f>INDEX(品种2编码!$A$2:$A$1048576,MATCH(W2538,品种2编码!$D$2:$D$1048576,0))</f>
        <v>0020030001SJZY0009</v>
      </c>
      <c r="H2538" s="6" t="s">
        <v>1949</v>
      </c>
      <c r="I2538" s="6" t="s">
        <v>411</v>
      </c>
      <c r="J2538" s="6" t="s">
        <v>3040</v>
      </c>
      <c r="L2538" s="6" t="s">
        <v>3622</v>
      </c>
      <c r="M2538" s="6" t="e">
        <f>INDEX(医院2县区2人!$B$2:$B$1048576,MATCH(L2538,医院2县区2人!$A$2:$A$1048576,0))</f>
        <v>#N/A</v>
      </c>
      <c r="N2538" s="6" t="e">
        <f>INDEX(医院2县区2人!$C$2:$C$1048576,MATCH(L2538,医院2县区2人!$A$2:$A$1048576,0))</f>
        <v>#N/A</v>
      </c>
      <c r="P2538" s="7">
        <v>43256</v>
      </c>
      <c r="Q2538" s="6">
        <v>240</v>
      </c>
      <c r="S2538" s="6">
        <v>18031227</v>
      </c>
      <c r="T2538" s="6" t="e">
        <f>INDEX(医院2县区2人!$D$2:$D$1048576,MATCH(L2538,医院2县区2人!$A$2:$A$1048576,0))</f>
        <v>#N/A</v>
      </c>
      <c r="W2538" s="6" t="str">
        <f t="shared" si="81"/>
        <v>葡萄糖酸锌口服溶液10ml*12支</v>
      </c>
      <c r="X2538" s="6" t="s">
        <v>2901</v>
      </c>
    </row>
    <row r="2539" spans="1:24" x14ac:dyDescent="0.15">
      <c r="A2539" s="7" t="str">
        <f t="shared" si="82"/>
        <v>201806</v>
      </c>
      <c r="C2539" s="6" t="str">
        <f>INDEX(工厂基础数据!$A$2:$A$1024,MATCH(X2539,工厂基础数据!$D$2:$D$1024,0))</f>
        <v>02037769</v>
      </c>
      <c r="E2539" s="6" t="str">
        <f>INDEX(工厂基础数据!$B$2:$B$1024,MATCH(X2539,工厂基础数据!$D$2:$D$1024,0))</f>
        <v>山东海川医药有限公司</v>
      </c>
      <c r="F2539" s="6" t="e">
        <f>INDEX(商业2转码!$B$2:$B$10000,MATCH(E2539,商业2转码!$A$2:$A$10000,0))</f>
        <v>#N/A</v>
      </c>
      <c r="G2539" s="6" t="str">
        <f>INDEX(品种2编码!$A$2:$A$1048576,MATCH(W2539,品种2编码!$D$2:$D$1048576,0))</f>
        <v>0020030040ZYLC0001</v>
      </c>
      <c r="H2539" s="6" t="s">
        <v>1953</v>
      </c>
      <c r="I2539" s="6" t="s">
        <v>1954</v>
      </c>
      <c r="J2539" s="6" t="s">
        <v>3036</v>
      </c>
      <c r="L2539" s="6" t="s">
        <v>3622</v>
      </c>
      <c r="M2539" s="6" t="e">
        <f>INDEX(医院2县区2人!$B$2:$B$1048576,MATCH(L2539,医院2县区2人!$A$2:$A$1048576,0))</f>
        <v>#N/A</v>
      </c>
      <c r="N2539" s="6" t="e">
        <f>INDEX(医院2县区2人!$C$2:$C$1048576,MATCH(L2539,医院2县区2人!$A$2:$A$1048576,0))</f>
        <v>#N/A</v>
      </c>
      <c r="P2539" s="7">
        <v>43256</v>
      </c>
      <c r="Q2539" s="6">
        <v>30</v>
      </c>
      <c r="S2539" s="6">
        <v>180137</v>
      </c>
      <c r="T2539" s="6" t="e">
        <f>INDEX(医院2县区2人!$D$2:$D$1048576,MATCH(L2539,医院2县区2人!$A$2:$A$1048576,0))</f>
        <v>#N/A</v>
      </c>
      <c r="W2539" s="6" t="str">
        <f t="shared" si="81"/>
        <v>小儿氨酚黄那敏颗粒12袋</v>
      </c>
      <c r="X2539" s="6" t="s">
        <v>2901</v>
      </c>
    </row>
    <row r="2540" spans="1:24" x14ac:dyDescent="0.15">
      <c r="A2540" s="7" t="str">
        <f t="shared" si="82"/>
        <v>201806</v>
      </c>
      <c r="C2540" s="6" t="str">
        <f>INDEX(工厂基础数据!$A$2:$A$1024,MATCH(X2540,工厂基础数据!$D$2:$D$1024,0))</f>
        <v>02037769</v>
      </c>
      <c r="E2540" s="6" t="str">
        <f>INDEX(工厂基础数据!$B$2:$B$1024,MATCH(X2540,工厂基础数据!$D$2:$D$1024,0))</f>
        <v>山东海川医药有限公司</v>
      </c>
      <c r="F2540" s="6" t="e">
        <f>INDEX(商业2转码!$B$2:$B$10000,MATCH(E2540,商业2转码!$A$2:$A$10000,0))</f>
        <v>#N/A</v>
      </c>
      <c r="G2540" s="6" t="str">
        <f>INDEX(品种2编码!$A$2:$A$1048576,MATCH(W2540,品种2编码!$D$2:$D$1048576,0))</f>
        <v>0020030001SJZY0009</v>
      </c>
      <c r="H2540" s="6" t="s">
        <v>1949</v>
      </c>
      <c r="I2540" s="6" t="s">
        <v>411</v>
      </c>
      <c r="J2540" s="6" t="s">
        <v>3040</v>
      </c>
      <c r="L2540" s="6" t="s">
        <v>3654</v>
      </c>
      <c r="M2540" s="6" t="e">
        <f>INDEX(医院2县区2人!$B$2:$B$1048576,MATCH(L2540,医院2县区2人!$A$2:$A$1048576,0))</f>
        <v>#N/A</v>
      </c>
      <c r="N2540" s="6" t="e">
        <f>INDEX(医院2县区2人!$C$2:$C$1048576,MATCH(L2540,医院2县区2人!$A$2:$A$1048576,0))</f>
        <v>#N/A</v>
      </c>
      <c r="P2540" s="7">
        <v>43256</v>
      </c>
      <c r="Q2540" s="6">
        <v>2</v>
      </c>
      <c r="S2540" s="6">
        <v>18031227</v>
      </c>
      <c r="T2540" s="6" t="e">
        <f>INDEX(医院2县区2人!$D$2:$D$1048576,MATCH(L2540,医院2县区2人!$A$2:$A$1048576,0))</f>
        <v>#N/A</v>
      </c>
      <c r="W2540" s="6" t="str">
        <f t="shared" si="81"/>
        <v>葡萄糖酸锌口服溶液10ml*12支</v>
      </c>
      <c r="X2540" s="6" t="s">
        <v>2901</v>
      </c>
    </row>
    <row r="2541" spans="1:24" x14ac:dyDescent="0.15">
      <c r="A2541" s="7" t="str">
        <f t="shared" si="82"/>
        <v>201806</v>
      </c>
      <c r="C2541" s="6" t="str">
        <f>INDEX(工厂基础数据!$A$2:$A$1024,MATCH(X2541,工厂基础数据!$D$2:$D$1024,0))</f>
        <v>02037769</v>
      </c>
      <c r="E2541" s="6" t="str">
        <f>INDEX(工厂基础数据!$B$2:$B$1024,MATCH(X2541,工厂基础数据!$D$2:$D$1024,0))</f>
        <v>山东海川医药有限公司</v>
      </c>
      <c r="F2541" s="6" t="e">
        <f>INDEX(商业2转码!$B$2:$B$10000,MATCH(E2541,商业2转码!$A$2:$A$10000,0))</f>
        <v>#N/A</v>
      </c>
      <c r="G2541" s="6" t="str">
        <f>INDEX(品种2编码!$A$2:$A$1048576,MATCH(W2541,品种2编码!$D$2:$D$1048576,0))</f>
        <v>0020030001SJZY0006</v>
      </c>
      <c r="H2541" s="6" t="s">
        <v>1833</v>
      </c>
      <c r="I2541" s="6" t="s">
        <v>411</v>
      </c>
      <c r="J2541" s="6" t="s">
        <v>3044</v>
      </c>
      <c r="L2541" s="6" t="s">
        <v>3641</v>
      </c>
      <c r="M2541" s="6" t="e">
        <f>INDEX(医院2县区2人!$B$2:$B$1048576,MATCH(L2541,医院2县区2人!$A$2:$A$1048576,0))</f>
        <v>#N/A</v>
      </c>
      <c r="N2541" s="6" t="e">
        <f>INDEX(医院2县区2人!$C$2:$C$1048576,MATCH(L2541,医院2县区2人!$A$2:$A$1048576,0))</f>
        <v>#N/A</v>
      </c>
      <c r="P2541" s="7">
        <v>43256</v>
      </c>
      <c r="Q2541" s="6">
        <v>5</v>
      </c>
      <c r="S2541" s="6">
        <v>18030532</v>
      </c>
      <c r="T2541" s="6" t="e">
        <f>INDEX(医院2县区2人!$D$2:$D$1048576,MATCH(L2541,医院2县区2人!$A$2:$A$1048576,0))</f>
        <v>#N/A</v>
      </c>
      <c r="W2541" s="6" t="str">
        <f t="shared" si="81"/>
        <v>葡萄糖酸钙口服溶液10ml*12支</v>
      </c>
      <c r="X2541" s="6" t="s">
        <v>2901</v>
      </c>
    </row>
    <row r="2542" spans="1:24" x14ac:dyDescent="0.15">
      <c r="A2542" s="7" t="str">
        <f t="shared" si="82"/>
        <v>201806</v>
      </c>
      <c r="C2542" s="6" t="str">
        <f>INDEX(工厂基础数据!$A$2:$A$1024,MATCH(X2542,工厂基础数据!$D$2:$D$1024,0))</f>
        <v>02037769</v>
      </c>
      <c r="E2542" s="6" t="str">
        <f>INDEX(工厂基础数据!$B$2:$B$1024,MATCH(X2542,工厂基础数据!$D$2:$D$1024,0))</f>
        <v>山东海川医药有限公司</v>
      </c>
      <c r="F2542" s="6" t="e">
        <f>INDEX(商业2转码!$B$2:$B$10000,MATCH(E2542,商业2转码!$A$2:$A$10000,0))</f>
        <v>#N/A</v>
      </c>
      <c r="G2542" s="6" t="str">
        <f>INDEX(品种2编码!$A$2:$A$1048576,MATCH(W2542,品种2编码!$D$2:$D$1048576,0))</f>
        <v>0020030001SJZY0009</v>
      </c>
      <c r="H2542" s="6" t="s">
        <v>1949</v>
      </c>
      <c r="I2542" s="6" t="s">
        <v>411</v>
      </c>
      <c r="J2542" s="6" t="s">
        <v>3040</v>
      </c>
      <c r="L2542" s="6" t="s">
        <v>3655</v>
      </c>
      <c r="M2542" s="6" t="e">
        <f>INDEX(医院2县区2人!$B$2:$B$1048576,MATCH(L2542,医院2县区2人!$A$2:$A$1048576,0))</f>
        <v>#N/A</v>
      </c>
      <c r="N2542" s="6" t="e">
        <f>INDEX(医院2县区2人!$C$2:$C$1048576,MATCH(L2542,医院2县区2人!$A$2:$A$1048576,0))</f>
        <v>#N/A</v>
      </c>
      <c r="P2542" s="7">
        <v>43256</v>
      </c>
      <c r="Q2542" s="6">
        <v>2</v>
      </c>
      <c r="S2542" s="6">
        <v>18031227</v>
      </c>
      <c r="T2542" s="6" t="e">
        <f>INDEX(医院2县区2人!$D$2:$D$1048576,MATCH(L2542,医院2县区2人!$A$2:$A$1048576,0))</f>
        <v>#N/A</v>
      </c>
      <c r="W2542" s="6" t="str">
        <f t="shared" si="81"/>
        <v>葡萄糖酸锌口服溶液10ml*12支</v>
      </c>
      <c r="X2542" s="6" t="s">
        <v>2901</v>
      </c>
    </row>
    <row r="2543" spans="1:24" x14ac:dyDescent="0.15">
      <c r="A2543" s="7" t="str">
        <f t="shared" si="82"/>
        <v>201806</v>
      </c>
      <c r="C2543" s="6" t="str">
        <f>INDEX(工厂基础数据!$A$2:$A$1024,MATCH(X2543,工厂基础数据!$D$2:$D$1024,0))</f>
        <v>02037769</v>
      </c>
      <c r="E2543" s="6" t="str">
        <f>INDEX(工厂基础数据!$B$2:$B$1024,MATCH(X2543,工厂基础数据!$D$2:$D$1024,0))</f>
        <v>山东海川医药有限公司</v>
      </c>
      <c r="F2543" s="6" t="e">
        <f>INDEX(商业2转码!$B$2:$B$10000,MATCH(E2543,商业2转码!$A$2:$A$10000,0))</f>
        <v>#N/A</v>
      </c>
      <c r="G2543" s="6">
        <f>INDEX(品种2编码!$A$2:$A$1048576,MATCH(W2543,品种2编码!$D$2:$D$1048576,0))</f>
        <v>0</v>
      </c>
      <c r="H2543" s="6" t="s">
        <v>3745</v>
      </c>
      <c r="I2543" s="6" t="s">
        <v>1869</v>
      </c>
      <c r="J2543" s="6" t="s">
        <v>3036</v>
      </c>
      <c r="L2543" s="6" t="s">
        <v>3656</v>
      </c>
      <c r="M2543" s="6" t="e">
        <f>INDEX(医院2县区2人!$B$2:$B$1048576,MATCH(L2543,医院2县区2人!$A$2:$A$1048576,0))</f>
        <v>#N/A</v>
      </c>
      <c r="N2543" s="6" t="e">
        <f>INDEX(医院2县区2人!$C$2:$C$1048576,MATCH(L2543,医院2县区2人!$A$2:$A$1048576,0))</f>
        <v>#N/A</v>
      </c>
      <c r="P2543" s="7">
        <v>43256</v>
      </c>
      <c r="Q2543" s="6">
        <v>5</v>
      </c>
      <c r="S2543" s="6">
        <v>160506</v>
      </c>
      <c r="T2543" s="6" t="e">
        <f>INDEX(医院2县区2人!$D$2:$D$1048576,MATCH(L2543,医院2县区2人!$A$2:$A$1048576,0))</f>
        <v>#N/A</v>
      </c>
      <c r="W2543" s="6" t="str">
        <f t="shared" si="81"/>
        <v>罗红霉素分散片（成人）75mg*12片</v>
      </c>
      <c r="X2543" s="6" t="s">
        <v>2901</v>
      </c>
    </row>
    <row r="2544" spans="1:24" x14ac:dyDescent="0.15">
      <c r="A2544" s="7" t="str">
        <f t="shared" si="82"/>
        <v>201806</v>
      </c>
      <c r="C2544" s="6" t="str">
        <f>INDEX(工厂基础数据!$A$2:$A$1024,MATCH(X2544,工厂基础数据!$D$2:$D$1024,0))</f>
        <v>02037769</v>
      </c>
      <c r="E2544" s="6" t="str">
        <f>INDEX(工厂基础数据!$B$2:$B$1024,MATCH(X2544,工厂基础数据!$D$2:$D$1024,0))</f>
        <v>山东海川医药有限公司</v>
      </c>
      <c r="F2544" s="6" t="e">
        <f>INDEX(商业2转码!$B$2:$B$10000,MATCH(E2544,商业2转码!$A$2:$A$10000,0))</f>
        <v>#N/A</v>
      </c>
      <c r="G2544" s="6" t="str">
        <f>INDEX(品种2编码!$A$2:$A$1048576,MATCH(W2544,品种2编码!$D$2:$D$1048576,0))</f>
        <v>0020030001SJZY0006</v>
      </c>
      <c r="H2544" s="6" t="s">
        <v>1833</v>
      </c>
      <c r="I2544" s="6" t="s">
        <v>411</v>
      </c>
      <c r="J2544" s="6" t="s">
        <v>3044</v>
      </c>
      <c r="L2544" s="6" t="s">
        <v>3656</v>
      </c>
      <c r="M2544" s="6" t="e">
        <f>INDEX(医院2县区2人!$B$2:$B$1048576,MATCH(L2544,医院2县区2人!$A$2:$A$1048576,0))</f>
        <v>#N/A</v>
      </c>
      <c r="N2544" s="6" t="e">
        <f>INDEX(医院2县区2人!$C$2:$C$1048576,MATCH(L2544,医院2县区2人!$A$2:$A$1048576,0))</f>
        <v>#N/A</v>
      </c>
      <c r="P2544" s="7">
        <v>43256</v>
      </c>
      <c r="Q2544" s="6">
        <v>5</v>
      </c>
      <c r="S2544" s="6">
        <v>18030532</v>
      </c>
      <c r="T2544" s="6" t="e">
        <f>INDEX(医院2县区2人!$D$2:$D$1048576,MATCH(L2544,医院2县区2人!$A$2:$A$1048576,0))</f>
        <v>#N/A</v>
      </c>
      <c r="W2544" s="6" t="str">
        <f t="shared" si="81"/>
        <v>葡萄糖酸钙口服溶液10ml*12支</v>
      </c>
      <c r="X2544" s="6" t="s">
        <v>2901</v>
      </c>
    </row>
    <row r="2545" spans="1:24" x14ac:dyDescent="0.15">
      <c r="A2545" s="7" t="str">
        <f t="shared" si="82"/>
        <v>201806</v>
      </c>
      <c r="C2545" s="6" t="str">
        <f>INDEX(工厂基础数据!$A$2:$A$1024,MATCH(X2545,工厂基础数据!$D$2:$D$1024,0))</f>
        <v>02037769</v>
      </c>
      <c r="E2545" s="6" t="str">
        <f>INDEX(工厂基础数据!$B$2:$B$1024,MATCH(X2545,工厂基础数据!$D$2:$D$1024,0))</f>
        <v>山东海川医药有限公司</v>
      </c>
      <c r="F2545" s="6" t="e">
        <f>INDEX(商业2转码!$B$2:$B$10000,MATCH(E2545,商业2转码!$A$2:$A$10000,0))</f>
        <v>#N/A</v>
      </c>
      <c r="G2545" s="6" t="str">
        <f>INDEX(品种2编码!$A$2:$A$1048576,MATCH(W2545,品种2编码!$D$2:$D$1048576,0))</f>
        <v>0020040001SHYT0026</v>
      </c>
      <c r="H2545" s="6" t="s">
        <v>715</v>
      </c>
      <c r="I2545" s="6" t="s">
        <v>1867</v>
      </c>
      <c r="J2545" s="6" t="s">
        <v>3037</v>
      </c>
      <c r="L2545" s="6" t="s">
        <v>3657</v>
      </c>
      <c r="M2545" s="6" t="e">
        <f>INDEX(医院2县区2人!$B$2:$B$1048576,MATCH(L2545,医院2县区2人!$A$2:$A$1048576,0))</f>
        <v>#N/A</v>
      </c>
      <c r="N2545" s="6" t="e">
        <f>INDEX(医院2县区2人!$C$2:$C$1048576,MATCH(L2545,医院2县区2人!$A$2:$A$1048576,0))</f>
        <v>#N/A</v>
      </c>
      <c r="P2545" s="7">
        <v>43256</v>
      </c>
      <c r="Q2545" s="6">
        <v>6</v>
      </c>
      <c r="S2545" s="6">
        <v>1801108</v>
      </c>
      <c r="T2545" s="6" t="e">
        <f>INDEX(医院2县区2人!$D$2:$D$1048576,MATCH(L2545,医院2县区2人!$A$2:$A$1048576,0))</f>
        <v>#N/A</v>
      </c>
      <c r="W2545" s="6" t="str">
        <f t="shared" si="81"/>
        <v>小活络丸3g*10丸</v>
      </c>
      <c r="X2545" s="6" t="s">
        <v>2901</v>
      </c>
    </row>
    <row r="2546" spans="1:24" x14ac:dyDescent="0.15">
      <c r="A2546" s="7" t="str">
        <f t="shared" si="82"/>
        <v>201806</v>
      </c>
      <c r="C2546" s="6" t="str">
        <f>INDEX(工厂基础数据!$A$2:$A$1024,MATCH(X2546,工厂基础数据!$D$2:$D$1024,0))</f>
        <v>02037769</v>
      </c>
      <c r="E2546" s="6" t="str">
        <f>INDEX(工厂基础数据!$B$2:$B$1024,MATCH(X2546,工厂基础数据!$D$2:$D$1024,0))</f>
        <v>山东海川医药有限公司</v>
      </c>
      <c r="F2546" s="6" t="e">
        <f>INDEX(商业2转码!$B$2:$B$10000,MATCH(E2546,商业2转码!$A$2:$A$10000,0))</f>
        <v>#N/A</v>
      </c>
      <c r="G2546" s="6" t="str">
        <f>INDEX(品种2编码!$A$2:$A$1048576,MATCH(W2546,品种2编码!$D$2:$D$1048576,0))</f>
        <v>0020040001SHYT0026</v>
      </c>
      <c r="H2546" s="6" t="s">
        <v>715</v>
      </c>
      <c r="I2546" s="6" t="s">
        <v>1867</v>
      </c>
      <c r="J2546" s="6" t="s">
        <v>3037</v>
      </c>
      <c r="L2546" s="6" t="s">
        <v>3657</v>
      </c>
      <c r="M2546" s="6" t="e">
        <f>INDEX(医院2县区2人!$B$2:$B$1048576,MATCH(L2546,医院2县区2人!$A$2:$A$1048576,0))</f>
        <v>#N/A</v>
      </c>
      <c r="N2546" s="6" t="e">
        <f>INDEX(医院2县区2人!$C$2:$C$1048576,MATCH(L2546,医院2县区2人!$A$2:$A$1048576,0))</f>
        <v>#N/A</v>
      </c>
      <c r="P2546" s="7">
        <v>43256</v>
      </c>
      <c r="Q2546" s="6">
        <v>2</v>
      </c>
      <c r="S2546" s="6">
        <v>1801108</v>
      </c>
      <c r="T2546" s="6" t="e">
        <f>INDEX(医院2县区2人!$D$2:$D$1048576,MATCH(L2546,医院2县区2人!$A$2:$A$1048576,0))</f>
        <v>#N/A</v>
      </c>
      <c r="W2546" s="6" t="str">
        <f t="shared" si="81"/>
        <v>小活络丸3g*10丸</v>
      </c>
      <c r="X2546" s="6" t="s">
        <v>2901</v>
      </c>
    </row>
    <row r="2547" spans="1:24" x14ac:dyDescent="0.15">
      <c r="A2547" s="7" t="str">
        <f t="shared" si="82"/>
        <v>201806</v>
      </c>
      <c r="C2547" s="6" t="str">
        <f>INDEX(工厂基础数据!$A$2:$A$1024,MATCH(X2547,工厂基础数据!$D$2:$D$1024,0))</f>
        <v>02037769</v>
      </c>
      <c r="E2547" s="6" t="str">
        <f>INDEX(工厂基础数据!$B$2:$B$1024,MATCH(X2547,工厂基础数据!$D$2:$D$1024,0))</f>
        <v>山东海川医药有限公司</v>
      </c>
      <c r="F2547" s="6" t="e">
        <f>INDEX(商业2转码!$B$2:$B$10000,MATCH(E2547,商业2转码!$A$2:$A$10000,0))</f>
        <v>#N/A</v>
      </c>
      <c r="G2547" s="6" t="str">
        <f>INDEX(品种2编码!$A$2:$A$1048576,MATCH(W2547,品种2编码!$D$2:$D$1048576,0))</f>
        <v>0020030020SJSC0004</v>
      </c>
      <c r="H2547" s="6" t="s">
        <v>394</v>
      </c>
      <c r="I2547" s="6" t="s">
        <v>1871</v>
      </c>
      <c r="J2547" s="6" t="s">
        <v>3755</v>
      </c>
      <c r="L2547" s="6" t="s">
        <v>3658</v>
      </c>
      <c r="M2547" s="6" t="e">
        <f>INDEX(医院2县区2人!$B$2:$B$1048576,MATCH(L2547,医院2县区2人!$A$2:$A$1048576,0))</f>
        <v>#N/A</v>
      </c>
      <c r="N2547" s="6" t="e">
        <f>INDEX(医院2县区2人!$C$2:$C$1048576,MATCH(L2547,医院2县区2人!$A$2:$A$1048576,0))</f>
        <v>#N/A</v>
      </c>
      <c r="P2547" s="7">
        <v>43257</v>
      </c>
      <c r="Q2547" s="6">
        <v>5</v>
      </c>
      <c r="S2547" s="6">
        <v>1802021</v>
      </c>
      <c r="T2547" s="6" t="e">
        <f>INDEX(医院2县区2人!$D$2:$D$1048576,MATCH(L2547,医院2县区2人!$A$2:$A$1048576,0))</f>
        <v>#N/A</v>
      </c>
      <c r="W2547" s="6" t="str">
        <f t="shared" si="81"/>
        <v>复方铝酸铋片50片</v>
      </c>
      <c r="X2547" s="6" t="s">
        <v>2901</v>
      </c>
    </row>
    <row r="2548" spans="1:24" x14ac:dyDescent="0.15">
      <c r="A2548" s="7" t="str">
        <f t="shared" si="82"/>
        <v>201806</v>
      </c>
      <c r="C2548" s="6" t="str">
        <f>INDEX(工厂基础数据!$A$2:$A$1024,MATCH(X2548,工厂基础数据!$D$2:$D$1024,0))</f>
        <v>02037769</v>
      </c>
      <c r="E2548" s="6" t="str">
        <f>INDEX(工厂基础数据!$B$2:$B$1024,MATCH(X2548,工厂基础数据!$D$2:$D$1024,0))</f>
        <v>山东海川医药有限公司</v>
      </c>
      <c r="F2548" s="6" t="e">
        <f>INDEX(商业2转码!$B$2:$B$10000,MATCH(E2548,商业2转码!$A$2:$A$10000,0))</f>
        <v>#N/A</v>
      </c>
      <c r="G2548" s="6" t="str">
        <f>INDEX(品种2编码!$A$2:$A$1048576,MATCH(W2548,品种2编码!$D$2:$D$1048576,0))</f>
        <v>0020030001SJZY0006</v>
      </c>
      <c r="H2548" s="6" t="s">
        <v>1833</v>
      </c>
      <c r="I2548" s="6" t="s">
        <v>411</v>
      </c>
      <c r="J2548" s="6" t="s">
        <v>3044</v>
      </c>
      <c r="L2548" s="6" t="s">
        <v>3624</v>
      </c>
      <c r="M2548" s="6" t="e">
        <f>INDEX(医院2县区2人!$B$2:$B$1048576,MATCH(L2548,医院2县区2人!$A$2:$A$1048576,0))</f>
        <v>#N/A</v>
      </c>
      <c r="N2548" s="6" t="e">
        <f>INDEX(医院2县区2人!$C$2:$C$1048576,MATCH(L2548,医院2县区2人!$A$2:$A$1048576,0))</f>
        <v>#N/A</v>
      </c>
      <c r="P2548" s="7">
        <v>43257</v>
      </c>
      <c r="Q2548" s="6">
        <v>5</v>
      </c>
      <c r="S2548" s="6">
        <v>18030532</v>
      </c>
      <c r="T2548" s="6" t="e">
        <f>INDEX(医院2县区2人!$D$2:$D$1048576,MATCH(L2548,医院2县区2人!$A$2:$A$1048576,0))</f>
        <v>#N/A</v>
      </c>
      <c r="W2548" s="6" t="str">
        <f t="shared" si="81"/>
        <v>葡萄糖酸钙口服溶液10ml*12支</v>
      </c>
      <c r="X2548" s="6" t="s">
        <v>2901</v>
      </c>
    </row>
    <row r="2549" spans="1:24" x14ac:dyDescent="0.15">
      <c r="A2549" s="7" t="str">
        <f t="shared" si="82"/>
        <v>201806</v>
      </c>
      <c r="C2549" s="6" t="str">
        <f>INDEX(工厂基础数据!$A$2:$A$1024,MATCH(X2549,工厂基础数据!$D$2:$D$1024,0))</f>
        <v>02037769</v>
      </c>
      <c r="E2549" s="6" t="str">
        <f>INDEX(工厂基础数据!$B$2:$B$1024,MATCH(X2549,工厂基础数据!$D$2:$D$1024,0))</f>
        <v>山东海川医药有限公司</v>
      </c>
      <c r="F2549" s="6" t="e">
        <f>INDEX(商业2转码!$B$2:$B$10000,MATCH(E2549,商业2转码!$A$2:$A$10000,0))</f>
        <v>#N/A</v>
      </c>
      <c r="G2549" s="6">
        <f>INDEX(品种2编码!$A$2:$A$1048576,MATCH(W2549,品种2编码!$D$2:$D$1048576,0))</f>
        <v>0</v>
      </c>
      <c r="H2549" s="6" t="s">
        <v>3745</v>
      </c>
      <c r="I2549" s="6" t="s">
        <v>1869</v>
      </c>
      <c r="J2549" s="6" t="s">
        <v>3036</v>
      </c>
      <c r="L2549" s="6" t="s">
        <v>3659</v>
      </c>
      <c r="M2549" s="6" t="e">
        <f>INDEX(医院2县区2人!$B$2:$B$1048576,MATCH(L2549,医院2县区2人!$A$2:$A$1048576,0))</f>
        <v>#N/A</v>
      </c>
      <c r="N2549" s="6" t="e">
        <f>INDEX(医院2县区2人!$C$2:$C$1048576,MATCH(L2549,医院2县区2人!$A$2:$A$1048576,0))</f>
        <v>#N/A</v>
      </c>
      <c r="P2549" s="7">
        <v>43257</v>
      </c>
      <c r="Q2549" s="6">
        <v>10</v>
      </c>
      <c r="S2549" s="6">
        <v>160506</v>
      </c>
      <c r="T2549" s="6" t="e">
        <f>INDEX(医院2县区2人!$D$2:$D$1048576,MATCH(L2549,医院2县区2人!$A$2:$A$1048576,0))</f>
        <v>#N/A</v>
      </c>
      <c r="W2549" s="6" t="str">
        <f t="shared" si="81"/>
        <v>罗红霉素分散片（成人）75mg*12片</v>
      </c>
      <c r="X2549" s="6" t="s">
        <v>2901</v>
      </c>
    </row>
    <row r="2550" spans="1:24" x14ac:dyDescent="0.15">
      <c r="A2550" s="7" t="str">
        <f t="shared" si="82"/>
        <v>201806</v>
      </c>
      <c r="C2550" s="6" t="str">
        <f>INDEX(工厂基础数据!$A$2:$A$1024,MATCH(X2550,工厂基础数据!$D$2:$D$1024,0))</f>
        <v>02037769</v>
      </c>
      <c r="E2550" s="6" t="str">
        <f>INDEX(工厂基础数据!$B$2:$B$1024,MATCH(X2550,工厂基础数据!$D$2:$D$1024,0))</f>
        <v>山东海川医药有限公司</v>
      </c>
      <c r="F2550" s="6" t="e">
        <f>INDEX(商业2转码!$B$2:$B$10000,MATCH(E2550,商业2转码!$A$2:$A$10000,0))</f>
        <v>#N/A</v>
      </c>
      <c r="G2550" s="6" t="str">
        <f>INDEX(品种2编码!$A$2:$A$1048576,MATCH(W2550,品种2编码!$D$2:$D$1048576,0))</f>
        <v>0020030001SJZY0006</v>
      </c>
      <c r="H2550" s="6" t="s">
        <v>1833</v>
      </c>
      <c r="I2550" s="6" t="s">
        <v>411</v>
      </c>
      <c r="J2550" s="6" t="s">
        <v>3044</v>
      </c>
      <c r="L2550" s="6" t="s">
        <v>3660</v>
      </c>
      <c r="M2550" s="6" t="e">
        <f>INDEX(医院2县区2人!$B$2:$B$1048576,MATCH(L2550,医院2县区2人!$A$2:$A$1048576,0))</f>
        <v>#N/A</v>
      </c>
      <c r="N2550" s="6" t="e">
        <f>INDEX(医院2县区2人!$C$2:$C$1048576,MATCH(L2550,医院2县区2人!$A$2:$A$1048576,0))</f>
        <v>#N/A</v>
      </c>
      <c r="P2550" s="7">
        <v>43257</v>
      </c>
      <c r="Q2550" s="6">
        <v>5</v>
      </c>
      <c r="S2550" s="6">
        <v>18030532</v>
      </c>
      <c r="T2550" s="6" t="e">
        <f>INDEX(医院2县区2人!$D$2:$D$1048576,MATCH(L2550,医院2县区2人!$A$2:$A$1048576,0))</f>
        <v>#N/A</v>
      </c>
      <c r="W2550" s="6" t="str">
        <f t="shared" si="81"/>
        <v>葡萄糖酸钙口服溶液10ml*12支</v>
      </c>
      <c r="X2550" s="6" t="s">
        <v>2901</v>
      </c>
    </row>
    <row r="2551" spans="1:24" x14ac:dyDescent="0.15">
      <c r="A2551" s="7" t="str">
        <f t="shared" si="82"/>
        <v>201806</v>
      </c>
      <c r="C2551" s="6" t="str">
        <f>INDEX(工厂基础数据!$A$2:$A$1024,MATCH(X2551,工厂基础数据!$D$2:$D$1024,0))</f>
        <v>02037769</v>
      </c>
      <c r="E2551" s="6" t="str">
        <f>INDEX(工厂基础数据!$B$2:$B$1024,MATCH(X2551,工厂基础数据!$D$2:$D$1024,0))</f>
        <v>山东海川医药有限公司</v>
      </c>
      <c r="F2551" s="6" t="e">
        <f>INDEX(商业2转码!$B$2:$B$10000,MATCH(E2551,商业2转码!$A$2:$A$10000,0))</f>
        <v>#N/A</v>
      </c>
      <c r="G2551" s="6" t="str">
        <f>INDEX(品种2编码!$A$2:$A$1048576,MATCH(W2551,品种2编码!$D$2:$D$1048576,0))</f>
        <v>0020030001SJZY0009</v>
      </c>
      <c r="H2551" s="6" t="s">
        <v>1949</v>
      </c>
      <c r="I2551" s="6" t="s">
        <v>411</v>
      </c>
      <c r="J2551" s="6" t="s">
        <v>3040</v>
      </c>
      <c r="L2551" s="6" t="s">
        <v>3660</v>
      </c>
      <c r="M2551" s="6" t="e">
        <f>INDEX(医院2县区2人!$B$2:$B$1048576,MATCH(L2551,医院2县区2人!$A$2:$A$1048576,0))</f>
        <v>#N/A</v>
      </c>
      <c r="N2551" s="6" t="e">
        <f>INDEX(医院2县区2人!$C$2:$C$1048576,MATCH(L2551,医院2县区2人!$A$2:$A$1048576,0))</f>
        <v>#N/A</v>
      </c>
      <c r="P2551" s="7">
        <v>43257</v>
      </c>
      <c r="Q2551" s="6">
        <v>5</v>
      </c>
      <c r="S2551" s="6">
        <v>18031227</v>
      </c>
      <c r="T2551" s="6" t="e">
        <f>INDEX(医院2县区2人!$D$2:$D$1048576,MATCH(L2551,医院2县区2人!$A$2:$A$1048576,0))</f>
        <v>#N/A</v>
      </c>
      <c r="W2551" s="6" t="str">
        <f t="shared" si="81"/>
        <v>葡萄糖酸锌口服溶液10ml*12支</v>
      </c>
      <c r="X2551" s="6" t="s">
        <v>2901</v>
      </c>
    </row>
    <row r="2552" spans="1:24" x14ac:dyDescent="0.15">
      <c r="A2552" s="7" t="str">
        <f t="shared" si="82"/>
        <v>201806</v>
      </c>
      <c r="C2552" s="6" t="str">
        <f>INDEX(工厂基础数据!$A$2:$A$1024,MATCH(X2552,工厂基础数据!$D$2:$D$1024,0))</f>
        <v>02037769</v>
      </c>
      <c r="E2552" s="6" t="str">
        <f>INDEX(工厂基础数据!$B$2:$B$1024,MATCH(X2552,工厂基础数据!$D$2:$D$1024,0))</f>
        <v>山东海川医药有限公司</v>
      </c>
      <c r="F2552" s="6" t="e">
        <f>INDEX(商业2转码!$B$2:$B$10000,MATCH(E2552,商业2转码!$A$2:$A$10000,0))</f>
        <v>#N/A</v>
      </c>
      <c r="G2552" s="6" t="str">
        <f>INDEX(品种2编码!$A$2:$A$1048576,MATCH(W2552,品种2编码!$D$2:$D$1048576,0))</f>
        <v>0020030001SJZY0006</v>
      </c>
      <c r="H2552" s="6" t="s">
        <v>1833</v>
      </c>
      <c r="I2552" s="6" t="s">
        <v>411</v>
      </c>
      <c r="J2552" s="6" t="s">
        <v>3044</v>
      </c>
      <c r="L2552" s="6" t="s">
        <v>3661</v>
      </c>
      <c r="M2552" s="6" t="e">
        <f>INDEX(医院2县区2人!$B$2:$B$1048576,MATCH(L2552,医院2县区2人!$A$2:$A$1048576,0))</f>
        <v>#N/A</v>
      </c>
      <c r="N2552" s="6" t="e">
        <f>INDEX(医院2县区2人!$C$2:$C$1048576,MATCH(L2552,医院2县区2人!$A$2:$A$1048576,0))</f>
        <v>#N/A</v>
      </c>
      <c r="P2552" s="7">
        <v>43257</v>
      </c>
      <c r="Q2552" s="6">
        <v>2</v>
      </c>
      <c r="S2552" s="6">
        <v>18030532</v>
      </c>
      <c r="T2552" s="6" t="e">
        <f>INDEX(医院2县区2人!$D$2:$D$1048576,MATCH(L2552,医院2县区2人!$A$2:$A$1048576,0))</f>
        <v>#N/A</v>
      </c>
      <c r="W2552" s="6" t="str">
        <f t="shared" si="81"/>
        <v>葡萄糖酸钙口服溶液10ml*12支</v>
      </c>
      <c r="X2552" s="6" t="s">
        <v>2901</v>
      </c>
    </row>
    <row r="2553" spans="1:24" x14ac:dyDescent="0.15">
      <c r="A2553" s="7" t="str">
        <f t="shared" si="82"/>
        <v>201806</v>
      </c>
      <c r="C2553" s="6" t="str">
        <f>INDEX(工厂基础数据!$A$2:$A$1024,MATCH(X2553,工厂基础数据!$D$2:$D$1024,0))</f>
        <v>02037769</v>
      </c>
      <c r="E2553" s="6" t="str">
        <f>INDEX(工厂基础数据!$B$2:$B$1024,MATCH(X2553,工厂基础数据!$D$2:$D$1024,0))</f>
        <v>山东海川医药有限公司</v>
      </c>
      <c r="F2553" s="6" t="e">
        <f>INDEX(商业2转码!$B$2:$B$10000,MATCH(E2553,商业2转码!$A$2:$A$10000,0))</f>
        <v>#N/A</v>
      </c>
      <c r="G2553" s="6" t="str">
        <f>INDEX(品种2编码!$A$2:$A$1048576,MATCH(W2553,品种2编码!$D$2:$D$1048576,0))</f>
        <v>0020030001SJZY0009</v>
      </c>
      <c r="H2553" s="6" t="s">
        <v>1949</v>
      </c>
      <c r="I2553" s="6" t="s">
        <v>411</v>
      </c>
      <c r="J2553" s="6" t="s">
        <v>3040</v>
      </c>
      <c r="L2553" s="6" t="s">
        <v>3661</v>
      </c>
      <c r="M2553" s="6" t="e">
        <f>INDEX(医院2县区2人!$B$2:$B$1048576,MATCH(L2553,医院2县区2人!$A$2:$A$1048576,0))</f>
        <v>#N/A</v>
      </c>
      <c r="N2553" s="6" t="e">
        <f>INDEX(医院2县区2人!$C$2:$C$1048576,MATCH(L2553,医院2县区2人!$A$2:$A$1048576,0))</f>
        <v>#N/A</v>
      </c>
      <c r="P2553" s="7">
        <v>43257</v>
      </c>
      <c r="Q2553" s="6">
        <v>2</v>
      </c>
      <c r="S2553" s="6">
        <v>18031227</v>
      </c>
      <c r="T2553" s="6" t="e">
        <f>INDEX(医院2县区2人!$D$2:$D$1048576,MATCH(L2553,医院2县区2人!$A$2:$A$1048576,0))</f>
        <v>#N/A</v>
      </c>
      <c r="W2553" s="6" t="str">
        <f t="shared" si="81"/>
        <v>葡萄糖酸锌口服溶液10ml*12支</v>
      </c>
      <c r="X2553" s="6" t="s">
        <v>2901</v>
      </c>
    </row>
    <row r="2554" spans="1:24" x14ac:dyDescent="0.15">
      <c r="A2554" s="7" t="str">
        <f t="shared" si="82"/>
        <v>201806</v>
      </c>
      <c r="C2554" s="6" t="str">
        <f>INDEX(工厂基础数据!$A$2:$A$1024,MATCH(X2554,工厂基础数据!$D$2:$D$1024,0))</f>
        <v>02037769</v>
      </c>
      <c r="E2554" s="6" t="str">
        <f>INDEX(工厂基础数据!$B$2:$B$1024,MATCH(X2554,工厂基础数据!$D$2:$D$1024,0))</f>
        <v>山东海川医药有限公司</v>
      </c>
      <c r="F2554" s="6" t="e">
        <f>INDEX(商业2转码!$B$2:$B$10000,MATCH(E2554,商业2转码!$A$2:$A$10000,0))</f>
        <v>#N/A</v>
      </c>
      <c r="G2554" s="6" t="str">
        <f>INDEX(品种2编码!$A$2:$A$1048576,MATCH(W2554,品种2编码!$D$2:$D$1048576,0))</f>
        <v>0020050090SJZY0001</v>
      </c>
      <c r="H2554" s="6" t="s">
        <v>630</v>
      </c>
      <c r="I2554" s="6" t="s">
        <v>1850</v>
      </c>
      <c r="J2554" s="6" t="s">
        <v>3044</v>
      </c>
      <c r="L2554" s="6" t="s">
        <v>3641</v>
      </c>
      <c r="M2554" s="6" t="e">
        <f>INDEX(医院2县区2人!$B$2:$B$1048576,MATCH(L2554,医院2县区2人!$A$2:$A$1048576,0))</f>
        <v>#N/A</v>
      </c>
      <c r="N2554" s="6" t="e">
        <f>INDEX(医院2县区2人!$C$2:$C$1048576,MATCH(L2554,医院2县区2人!$A$2:$A$1048576,0))</f>
        <v>#N/A</v>
      </c>
      <c r="P2554" s="7">
        <v>43257</v>
      </c>
      <c r="Q2554" s="6">
        <v>1</v>
      </c>
      <c r="S2554" s="6">
        <v>18030921</v>
      </c>
      <c r="T2554" s="6" t="e">
        <f>INDEX(医院2县区2人!$D$2:$D$1048576,MATCH(L2554,医院2县区2人!$A$2:$A$1048576,0))</f>
        <v>#N/A</v>
      </c>
      <c r="W2554" s="6" t="str">
        <f t="shared" si="81"/>
        <v>双黄连口服液10ml*10支</v>
      </c>
      <c r="X2554" s="6" t="s">
        <v>2901</v>
      </c>
    </row>
    <row r="2555" spans="1:24" x14ac:dyDescent="0.15">
      <c r="A2555" s="7" t="str">
        <f t="shared" si="82"/>
        <v>201806</v>
      </c>
      <c r="C2555" s="6" t="str">
        <f>INDEX(工厂基础数据!$A$2:$A$1024,MATCH(X2555,工厂基础数据!$D$2:$D$1024,0))</f>
        <v>02037769</v>
      </c>
      <c r="E2555" s="6" t="str">
        <f>INDEX(工厂基础数据!$B$2:$B$1024,MATCH(X2555,工厂基础数据!$D$2:$D$1024,0))</f>
        <v>山东海川医药有限公司</v>
      </c>
      <c r="F2555" s="6" t="e">
        <f>INDEX(商业2转码!$B$2:$B$10000,MATCH(E2555,商业2转码!$A$2:$A$10000,0))</f>
        <v>#N/A</v>
      </c>
      <c r="G2555" s="6" t="str">
        <f>INDEX(品种2编码!$A$2:$A$1048576,MATCH(W2555,品种2编码!$D$2:$D$1048576,0))</f>
        <v>0020030001SJZY0009</v>
      </c>
      <c r="H2555" s="6" t="s">
        <v>1949</v>
      </c>
      <c r="I2555" s="6" t="s">
        <v>411</v>
      </c>
      <c r="J2555" s="6" t="s">
        <v>3040</v>
      </c>
      <c r="L2555" s="6" t="s">
        <v>3660</v>
      </c>
      <c r="M2555" s="6" t="e">
        <f>INDEX(医院2县区2人!$B$2:$B$1048576,MATCH(L2555,医院2县区2人!$A$2:$A$1048576,0))</f>
        <v>#N/A</v>
      </c>
      <c r="N2555" s="6" t="e">
        <f>INDEX(医院2县区2人!$C$2:$C$1048576,MATCH(L2555,医院2县区2人!$A$2:$A$1048576,0))</f>
        <v>#N/A</v>
      </c>
      <c r="P2555" s="7">
        <v>43257</v>
      </c>
      <c r="Q2555" s="6">
        <v>-5</v>
      </c>
      <c r="S2555" s="6">
        <v>18031227</v>
      </c>
      <c r="T2555" s="6" t="e">
        <f>INDEX(医院2县区2人!$D$2:$D$1048576,MATCH(L2555,医院2县区2人!$A$2:$A$1048576,0))</f>
        <v>#N/A</v>
      </c>
      <c r="W2555" s="6" t="str">
        <f t="shared" ref="W2555:W2618" si="83">H2555&amp;I2555</f>
        <v>葡萄糖酸锌口服溶液10ml*12支</v>
      </c>
      <c r="X2555" s="6" t="s">
        <v>2901</v>
      </c>
    </row>
    <row r="2556" spans="1:24" x14ac:dyDescent="0.15">
      <c r="A2556" s="7" t="str">
        <f t="shared" ref="A2556:A2619" si="84">IF(MONTH(P2556)&lt;10,YEAR(P2556)&amp;"0"&amp;MONTH(P2556),YEAR(P2556)&amp;MONTH(P2556))</f>
        <v>201806</v>
      </c>
      <c r="C2556" s="6" t="str">
        <f>INDEX(工厂基础数据!$A$2:$A$1024,MATCH(X2556,工厂基础数据!$D$2:$D$1024,0))</f>
        <v>02037769</v>
      </c>
      <c r="E2556" s="6" t="str">
        <f>INDEX(工厂基础数据!$B$2:$B$1024,MATCH(X2556,工厂基础数据!$D$2:$D$1024,0))</f>
        <v>山东海川医药有限公司</v>
      </c>
      <c r="F2556" s="6" t="e">
        <f>INDEX(商业2转码!$B$2:$B$10000,MATCH(E2556,商业2转码!$A$2:$A$10000,0))</f>
        <v>#N/A</v>
      </c>
      <c r="G2556" s="6" t="str">
        <f>INDEX(品种2编码!$A$2:$A$1048576,MATCH(W2556,品种2编码!$D$2:$D$1048576,0))</f>
        <v>0020030001SJZY0006</v>
      </c>
      <c r="H2556" s="6" t="s">
        <v>1833</v>
      </c>
      <c r="I2556" s="6" t="s">
        <v>411</v>
      </c>
      <c r="J2556" s="6" t="s">
        <v>3044</v>
      </c>
      <c r="L2556" s="6" t="s">
        <v>3660</v>
      </c>
      <c r="M2556" s="6" t="e">
        <f>INDEX(医院2县区2人!$B$2:$B$1048576,MATCH(L2556,医院2县区2人!$A$2:$A$1048576,0))</f>
        <v>#N/A</v>
      </c>
      <c r="N2556" s="6" t="e">
        <f>INDEX(医院2县区2人!$C$2:$C$1048576,MATCH(L2556,医院2县区2人!$A$2:$A$1048576,0))</f>
        <v>#N/A</v>
      </c>
      <c r="P2556" s="7">
        <v>43257</v>
      </c>
      <c r="Q2556" s="6">
        <v>-5</v>
      </c>
      <c r="S2556" s="6">
        <v>18030532</v>
      </c>
      <c r="T2556" s="6" t="e">
        <f>INDEX(医院2县区2人!$D$2:$D$1048576,MATCH(L2556,医院2县区2人!$A$2:$A$1048576,0))</f>
        <v>#N/A</v>
      </c>
      <c r="W2556" s="6" t="str">
        <f t="shared" si="83"/>
        <v>葡萄糖酸钙口服溶液10ml*12支</v>
      </c>
      <c r="X2556" s="6" t="s">
        <v>2901</v>
      </c>
    </row>
    <row r="2557" spans="1:24" x14ac:dyDescent="0.15">
      <c r="A2557" s="7" t="str">
        <f t="shared" si="84"/>
        <v>201806</v>
      </c>
      <c r="C2557" s="6" t="str">
        <f>INDEX(工厂基础数据!$A$2:$A$1024,MATCH(X2557,工厂基础数据!$D$2:$D$1024,0))</f>
        <v>02037769</v>
      </c>
      <c r="E2557" s="6" t="str">
        <f>INDEX(工厂基础数据!$B$2:$B$1024,MATCH(X2557,工厂基础数据!$D$2:$D$1024,0))</f>
        <v>山东海川医药有限公司</v>
      </c>
      <c r="F2557" s="6" t="e">
        <f>INDEX(商业2转码!$B$2:$B$10000,MATCH(E2557,商业2转码!$A$2:$A$10000,0))</f>
        <v>#N/A</v>
      </c>
      <c r="G2557" s="6" t="str">
        <f>INDEX(品种2编码!$A$2:$A$1048576,MATCH(W2557,品种2编码!$D$2:$D$1048576,0))</f>
        <v>0020030001SJZY0009</v>
      </c>
      <c r="H2557" s="6" t="s">
        <v>1949</v>
      </c>
      <c r="I2557" s="6" t="s">
        <v>411</v>
      </c>
      <c r="J2557" s="6" t="s">
        <v>3040</v>
      </c>
      <c r="L2557" s="6" t="s">
        <v>3662</v>
      </c>
      <c r="M2557" s="6" t="e">
        <f>INDEX(医院2县区2人!$B$2:$B$1048576,MATCH(L2557,医院2县区2人!$A$2:$A$1048576,0))</f>
        <v>#N/A</v>
      </c>
      <c r="N2557" s="6" t="e">
        <f>INDEX(医院2县区2人!$C$2:$C$1048576,MATCH(L2557,医院2县区2人!$A$2:$A$1048576,0))</f>
        <v>#N/A</v>
      </c>
      <c r="P2557" s="7">
        <v>43257</v>
      </c>
      <c r="Q2557" s="6">
        <v>5</v>
      </c>
      <c r="S2557" s="6">
        <v>18031227</v>
      </c>
      <c r="T2557" s="6" t="e">
        <f>INDEX(医院2县区2人!$D$2:$D$1048576,MATCH(L2557,医院2县区2人!$A$2:$A$1048576,0))</f>
        <v>#N/A</v>
      </c>
      <c r="W2557" s="6" t="str">
        <f t="shared" si="83"/>
        <v>葡萄糖酸锌口服溶液10ml*12支</v>
      </c>
      <c r="X2557" s="6" t="s">
        <v>2901</v>
      </c>
    </row>
    <row r="2558" spans="1:24" x14ac:dyDescent="0.15">
      <c r="A2558" s="7" t="str">
        <f t="shared" si="84"/>
        <v>201806</v>
      </c>
      <c r="C2558" s="6" t="str">
        <f>INDEX(工厂基础数据!$A$2:$A$1024,MATCH(X2558,工厂基础数据!$D$2:$D$1024,0))</f>
        <v>02037769</v>
      </c>
      <c r="E2558" s="6" t="str">
        <f>INDEX(工厂基础数据!$B$2:$B$1024,MATCH(X2558,工厂基础数据!$D$2:$D$1024,0))</f>
        <v>山东海川医药有限公司</v>
      </c>
      <c r="F2558" s="6" t="e">
        <f>INDEX(商业2转码!$B$2:$B$10000,MATCH(E2558,商业2转码!$A$2:$A$10000,0))</f>
        <v>#N/A</v>
      </c>
      <c r="G2558" s="6">
        <f>INDEX(品种2编码!$A$2:$A$1048576,MATCH(W2558,品种2编码!$D$2:$D$1048576,0))</f>
        <v>0</v>
      </c>
      <c r="H2558" s="6" t="s">
        <v>1864</v>
      </c>
      <c r="I2558" s="6" t="s">
        <v>3333</v>
      </c>
      <c r="J2558" s="6" t="s">
        <v>3037</v>
      </c>
      <c r="L2558" s="6" t="s">
        <v>3663</v>
      </c>
      <c r="M2558" s="6" t="e">
        <f>INDEX(医院2县区2人!$B$2:$B$1048576,MATCH(L2558,医院2县区2人!$A$2:$A$1048576,0))</f>
        <v>#N/A</v>
      </c>
      <c r="N2558" s="6" t="e">
        <f>INDEX(医院2县区2人!$C$2:$C$1048576,MATCH(L2558,医院2县区2人!$A$2:$A$1048576,0))</f>
        <v>#N/A</v>
      </c>
      <c r="P2558" s="7">
        <v>43257</v>
      </c>
      <c r="Q2558" s="6">
        <v>10</v>
      </c>
      <c r="S2558" s="6">
        <v>1801504</v>
      </c>
      <c r="T2558" s="6" t="e">
        <f>INDEX(医院2县区2人!$D$2:$D$1048576,MATCH(L2558,医院2县区2人!$A$2:$A$1048576,0))</f>
        <v>#N/A</v>
      </c>
      <c r="W2558" s="6" t="str">
        <f t="shared" si="83"/>
        <v>复方金银花颗粒10克*10袋</v>
      </c>
      <c r="X2558" s="6" t="s">
        <v>2901</v>
      </c>
    </row>
    <row r="2559" spans="1:24" x14ac:dyDescent="0.15">
      <c r="A2559" s="7" t="str">
        <f t="shared" si="84"/>
        <v>201806</v>
      </c>
      <c r="C2559" s="6" t="str">
        <f>INDEX(工厂基础数据!$A$2:$A$1024,MATCH(X2559,工厂基础数据!$D$2:$D$1024,0))</f>
        <v>02037769</v>
      </c>
      <c r="E2559" s="6" t="str">
        <f>INDEX(工厂基础数据!$B$2:$B$1024,MATCH(X2559,工厂基础数据!$D$2:$D$1024,0))</f>
        <v>山东海川医药有限公司</v>
      </c>
      <c r="F2559" s="6" t="e">
        <f>INDEX(商业2转码!$B$2:$B$10000,MATCH(E2559,商业2转码!$A$2:$A$10000,0))</f>
        <v>#N/A</v>
      </c>
      <c r="G2559" s="6">
        <f>INDEX(品种2编码!$A$2:$A$1048576,MATCH(W2559,品种2编码!$D$2:$D$1048576,0))</f>
        <v>0</v>
      </c>
      <c r="H2559" s="6" t="s">
        <v>3746</v>
      </c>
      <c r="I2559" s="6" t="s">
        <v>1841</v>
      </c>
      <c r="J2559" s="6" t="s">
        <v>3036</v>
      </c>
      <c r="L2559" s="6" t="s">
        <v>3663</v>
      </c>
      <c r="M2559" s="6" t="e">
        <f>INDEX(医院2县区2人!$B$2:$B$1048576,MATCH(L2559,医院2县区2人!$A$2:$A$1048576,0))</f>
        <v>#N/A</v>
      </c>
      <c r="N2559" s="6" t="e">
        <f>INDEX(医院2县区2人!$C$2:$C$1048576,MATCH(L2559,医院2县区2人!$A$2:$A$1048576,0))</f>
        <v>#N/A</v>
      </c>
      <c r="P2559" s="7">
        <v>43257</v>
      </c>
      <c r="Q2559" s="6">
        <v>10</v>
      </c>
      <c r="S2559" s="6">
        <v>180201</v>
      </c>
      <c r="T2559" s="6" t="e">
        <f>INDEX(医院2县区2人!$D$2:$D$1048576,MATCH(L2559,医院2县区2人!$A$2:$A$1048576,0))</f>
        <v>#N/A</v>
      </c>
      <c r="W2559" s="6" t="str">
        <f t="shared" si="83"/>
        <v>罗红霉素分散片（儿童）50mg*12片</v>
      </c>
      <c r="X2559" s="6" t="s">
        <v>2901</v>
      </c>
    </row>
    <row r="2560" spans="1:24" x14ac:dyDescent="0.15">
      <c r="A2560" s="7" t="str">
        <f t="shared" si="84"/>
        <v>201806</v>
      </c>
      <c r="C2560" s="6" t="str">
        <f>INDEX(工厂基础数据!$A$2:$A$1024,MATCH(X2560,工厂基础数据!$D$2:$D$1024,0))</f>
        <v>02037769</v>
      </c>
      <c r="E2560" s="6" t="str">
        <f>INDEX(工厂基础数据!$B$2:$B$1024,MATCH(X2560,工厂基础数据!$D$2:$D$1024,0))</f>
        <v>山东海川医药有限公司</v>
      </c>
      <c r="F2560" s="6" t="e">
        <f>INDEX(商业2转码!$B$2:$B$10000,MATCH(E2560,商业2转码!$A$2:$A$10000,0))</f>
        <v>#N/A</v>
      </c>
      <c r="G2560" s="6">
        <f>INDEX(品种2编码!$A$2:$A$1048576,MATCH(W2560,品种2编码!$D$2:$D$1048576,0))</f>
        <v>0</v>
      </c>
      <c r="H2560" s="6" t="s">
        <v>317</v>
      </c>
      <c r="I2560" s="6" t="s">
        <v>3291</v>
      </c>
      <c r="J2560" s="6" t="s">
        <v>3037</v>
      </c>
      <c r="L2560" s="6" t="s">
        <v>3663</v>
      </c>
      <c r="M2560" s="6" t="e">
        <f>INDEX(医院2县区2人!$B$2:$B$1048576,MATCH(L2560,医院2县区2人!$A$2:$A$1048576,0))</f>
        <v>#N/A</v>
      </c>
      <c r="N2560" s="6" t="e">
        <f>INDEX(医院2县区2人!$C$2:$C$1048576,MATCH(L2560,医院2县区2人!$A$2:$A$1048576,0))</f>
        <v>#N/A</v>
      </c>
      <c r="P2560" s="7">
        <v>43257</v>
      </c>
      <c r="Q2560" s="6">
        <v>20</v>
      </c>
      <c r="S2560" s="6">
        <v>1801608</v>
      </c>
      <c r="T2560" s="6" t="e">
        <f>INDEX(医院2县区2人!$D$2:$D$1048576,MATCH(L2560,医院2县区2人!$A$2:$A$1048576,0))</f>
        <v>#N/A</v>
      </c>
      <c r="W2560" s="6" t="str">
        <f t="shared" si="83"/>
        <v>布洛芬颗粒0.2g*12包</v>
      </c>
      <c r="X2560" s="6" t="s">
        <v>2901</v>
      </c>
    </row>
    <row r="2561" spans="1:24" x14ac:dyDescent="0.15">
      <c r="A2561" s="7" t="str">
        <f t="shared" si="84"/>
        <v>201806</v>
      </c>
      <c r="C2561" s="6" t="str">
        <f>INDEX(工厂基础数据!$A$2:$A$1024,MATCH(X2561,工厂基础数据!$D$2:$D$1024,0))</f>
        <v>02037769</v>
      </c>
      <c r="E2561" s="6" t="str">
        <f>INDEX(工厂基础数据!$B$2:$B$1024,MATCH(X2561,工厂基础数据!$D$2:$D$1024,0))</f>
        <v>山东海川医药有限公司</v>
      </c>
      <c r="F2561" s="6" t="e">
        <f>INDEX(商业2转码!$B$2:$B$10000,MATCH(E2561,商业2转码!$A$2:$A$10000,0))</f>
        <v>#N/A</v>
      </c>
      <c r="G2561" s="6" t="str">
        <f>INDEX(品种2编码!$A$2:$A$1048576,MATCH(W2561,品种2编码!$D$2:$D$1048576,0))</f>
        <v>0020040110SHYT0002</v>
      </c>
      <c r="H2561" s="6" t="s">
        <v>601</v>
      </c>
      <c r="I2561" s="6" t="s">
        <v>1997</v>
      </c>
      <c r="J2561" s="6" t="s">
        <v>3037</v>
      </c>
      <c r="L2561" s="6" t="s">
        <v>3663</v>
      </c>
      <c r="M2561" s="6" t="e">
        <f>INDEX(医院2县区2人!$B$2:$B$1048576,MATCH(L2561,医院2县区2人!$A$2:$A$1048576,0))</f>
        <v>#N/A</v>
      </c>
      <c r="N2561" s="6" t="e">
        <f>INDEX(医院2县区2人!$C$2:$C$1048576,MATCH(L2561,医院2县区2人!$A$2:$A$1048576,0))</f>
        <v>#N/A</v>
      </c>
      <c r="P2561" s="7">
        <v>43257</v>
      </c>
      <c r="Q2561" s="6">
        <v>20</v>
      </c>
      <c r="S2561" s="6">
        <v>180201</v>
      </c>
      <c r="T2561" s="6" t="e">
        <f>INDEX(医院2县区2人!$D$2:$D$1048576,MATCH(L2561,医院2县区2人!$A$2:$A$1048576,0))</f>
        <v>#N/A</v>
      </c>
      <c r="W2561" s="6" t="str">
        <f t="shared" si="83"/>
        <v>麝香接骨胶囊0.3g*40粒</v>
      </c>
      <c r="X2561" s="6" t="s">
        <v>2901</v>
      </c>
    </row>
    <row r="2562" spans="1:24" x14ac:dyDescent="0.15">
      <c r="A2562" s="7" t="str">
        <f t="shared" si="84"/>
        <v>201806</v>
      </c>
      <c r="C2562" s="6" t="str">
        <f>INDEX(工厂基础数据!$A$2:$A$1024,MATCH(X2562,工厂基础数据!$D$2:$D$1024,0))</f>
        <v>02037769</v>
      </c>
      <c r="E2562" s="6" t="str">
        <f>INDEX(工厂基础数据!$B$2:$B$1024,MATCH(X2562,工厂基础数据!$D$2:$D$1024,0))</f>
        <v>山东海川医药有限公司</v>
      </c>
      <c r="F2562" s="6" t="e">
        <f>INDEX(商业2转码!$B$2:$B$10000,MATCH(E2562,商业2转码!$A$2:$A$10000,0))</f>
        <v>#N/A</v>
      </c>
      <c r="G2562" s="6" t="str">
        <f>INDEX(品种2编码!$A$2:$A$1048576,MATCH(W2562,品种2编码!$D$2:$D$1048576,0))</f>
        <v>0020020021ZYLC0012</v>
      </c>
      <c r="H2562" s="6" t="s">
        <v>292</v>
      </c>
      <c r="I2562" s="6" t="s">
        <v>1959</v>
      </c>
      <c r="J2562" s="6" t="s">
        <v>3036</v>
      </c>
      <c r="L2562" s="6" t="s">
        <v>3663</v>
      </c>
      <c r="M2562" s="6" t="e">
        <f>INDEX(医院2县区2人!$B$2:$B$1048576,MATCH(L2562,医院2县区2人!$A$2:$A$1048576,0))</f>
        <v>#N/A</v>
      </c>
      <c r="N2562" s="6" t="e">
        <f>INDEX(医院2县区2人!$C$2:$C$1048576,MATCH(L2562,医院2县区2人!$A$2:$A$1048576,0))</f>
        <v>#N/A</v>
      </c>
      <c r="P2562" s="7">
        <v>43257</v>
      </c>
      <c r="Q2562" s="6">
        <v>30</v>
      </c>
      <c r="S2562" s="6">
        <v>180201</v>
      </c>
      <c r="T2562" s="6" t="e">
        <f>INDEX(医院2县区2人!$D$2:$D$1048576,MATCH(L2562,医院2县区2人!$A$2:$A$1048576,0))</f>
        <v>#N/A</v>
      </c>
      <c r="W2562" s="6" t="str">
        <f t="shared" si="83"/>
        <v>阿奇霉素分散片0.25g*6片</v>
      </c>
      <c r="X2562" s="6" t="s">
        <v>2901</v>
      </c>
    </row>
    <row r="2563" spans="1:24" x14ac:dyDescent="0.15">
      <c r="A2563" s="7" t="str">
        <f t="shared" si="84"/>
        <v>201806</v>
      </c>
      <c r="C2563" s="6" t="str">
        <f>INDEX(工厂基础数据!$A$2:$A$1024,MATCH(X2563,工厂基础数据!$D$2:$D$1024,0))</f>
        <v>02037769</v>
      </c>
      <c r="E2563" s="6" t="str">
        <f>INDEX(工厂基础数据!$B$2:$B$1024,MATCH(X2563,工厂基础数据!$D$2:$D$1024,0))</f>
        <v>山东海川医药有限公司</v>
      </c>
      <c r="F2563" s="6" t="e">
        <f>INDEX(商业2转码!$B$2:$B$10000,MATCH(E2563,商业2转码!$A$2:$A$10000,0))</f>
        <v>#N/A</v>
      </c>
      <c r="G2563" s="6">
        <f>INDEX(品种2编码!$A$2:$A$1048576,MATCH(W2563,品种2编码!$D$2:$D$1048576,0))</f>
        <v>0</v>
      </c>
      <c r="H2563" s="6" t="s">
        <v>3747</v>
      </c>
      <c r="I2563" s="6" t="s">
        <v>381</v>
      </c>
      <c r="J2563" s="6" t="s">
        <v>3036</v>
      </c>
      <c r="L2563" s="6" t="s">
        <v>3663</v>
      </c>
      <c r="M2563" s="6" t="e">
        <f>INDEX(医院2县区2人!$B$2:$B$1048576,MATCH(L2563,医院2县区2人!$A$2:$A$1048576,0))</f>
        <v>#N/A</v>
      </c>
      <c r="N2563" s="6" t="e">
        <f>INDEX(医院2县区2人!$C$2:$C$1048576,MATCH(L2563,医院2县区2人!$A$2:$A$1048576,0))</f>
        <v>#N/A</v>
      </c>
      <c r="P2563" s="7">
        <v>43257</v>
      </c>
      <c r="Q2563" s="6">
        <v>30</v>
      </c>
      <c r="S2563" s="6">
        <v>161103</v>
      </c>
      <c r="T2563" s="6" t="e">
        <f>INDEX(医院2县区2人!$D$2:$D$1048576,MATCH(L2563,医院2县区2人!$A$2:$A$1048576,0))</f>
        <v>#N/A</v>
      </c>
      <c r="W2563" s="6" t="str">
        <f t="shared" si="83"/>
        <v>颠茄磺苄啶片（成人）12片</v>
      </c>
      <c r="X2563" s="6" t="s">
        <v>2901</v>
      </c>
    </row>
    <row r="2564" spans="1:24" x14ac:dyDescent="0.15">
      <c r="A2564" s="7" t="str">
        <f t="shared" si="84"/>
        <v>201806</v>
      </c>
      <c r="C2564" s="6" t="str">
        <f>INDEX(工厂基础数据!$A$2:$A$1024,MATCH(X2564,工厂基础数据!$D$2:$D$1024,0))</f>
        <v>02037769</v>
      </c>
      <c r="E2564" s="6" t="str">
        <f>INDEX(工厂基础数据!$B$2:$B$1024,MATCH(X2564,工厂基础数据!$D$2:$D$1024,0))</f>
        <v>山东海川医药有限公司</v>
      </c>
      <c r="F2564" s="6" t="e">
        <f>INDEX(商业2转码!$B$2:$B$10000,MATCH(E2564,商业2转码!$A$2:$A$10000,0))</f>
        <v>#N/A</v>
      </c>
      <c r="G2564" s="6">
        <f>INDEX(品种2编码!$A$2:$A$1048576,MATCH(W2564,品种2编码!$D$2:$D$1048576,0))</f>
        <v>0</v>
      </c>
      <c r="H2564" s="6" t="s">
        <v>245</v>
      </c>
      <c r="I2564" s="6" t="s">
        <v>250</v>
      </c>
      <c r="J2564" s="6" t="s">
        <v>3038</v>
      </c>
      <c r="L2564" s="6" t="s">
        <v>3663</v>
      </c>
      <c r="M2564" s="6" t="e">
        <f>INDEX(医院2县区2人!$B$2:$B$1048576,MATCH(L2564,医院2县区2人!$A$2:$A$1048576,0))</f>
        <v>#N/A</v>
      </c>
      <c r="N2564" s="6" t="e">
        <f>INDEX(医院2县区2人!$C$2:$C$1048576,MATCH(L2564,医院2县区2人!$A$2:$A$1048576,0))</f>
        <v>#N/A</v>
      </c>
      <c r="P2564" s="7">
        <v>43257</v>
      </c>
      <c r="Q2564" s="6">
        <v>50</v>
      </c>
      <c r="S2564" s="6" t="s">
        <v>3757</v>
      </c>
      <c r="T2564" s="6" t="e">
        <f>INDEX(医院2县区2人!$D$2:$D$1048576,MATCH(L2564,医院2县区2人!$A$2:$A$1048576,0))</f>
        <v>#N/A</v>
      </c>
      <c r="W2564" s="6" t="str">
        <f t="shared" si="83"/>
        <v>阿莫西林胶囊0.25g*50粒</v>
      </c>
      <c r="X2564" s="6" t="s">
        <v>2901</v>
      </c>
    </row>
    <row r="2565" spans="1:24" x14ac:dyDescent="0.15">
      <c r="A2565" s="7" t="str">
        <f t="shared" si="84"/>
        <v>201806</v>
      </c>
      <c r="C2565" s="6" t="str">
        <f>INDEX(工厂基础数据!$A$2:$A$1024,MATCH(X2565,工厂基础数据!$D$2:$D$1024,0))</f>
        <v>02037769</v>
      </c>
      <c r="E2565" s="6" t="str">
        <f>INDEX(工厂基础数据!$B$2:$B$1024,MATCH(X2565,工厂基础数据!$D$2:$D$1024,0))</f>
        <v>山东海川医药有限公司</v>
      </c>
      <c r="F2565" s="6" t="e">
        <f>INDEX(商业2转码!$B$2:$B$10000,MATCH(E2565,商业2转码!$A$2:$A$10000,0))</f>
        <v>#N/A</v>
      </c>
      <c r="G2565" s="6" t="str">
        <f>INDEX(品种2编码!$A$2:$A$1048576,MATCH(W2565,品种2编码!$D$2:$D$1048576,0))</f>
        <v>0020030001SJZY0009</v>
      </c>
      <c r="H2565" s="6" t="s">
        <v>1949</v>
      </c>
      <c r="I2565" s="6" t="s">
        <v>411</v>
      </c>
      <c r="J2565" s="6" t="s">
        <v>3040</v>
      </c>
      <c r="L2565" s="6" t="s">
        <v>3663</v>
      </c>
      <c r="M2565" s="6" t="e">
        <f>INDEX(医院2县区2人!$B$2:$B$1048576,MATCH(L2565,医院2县区2人!$A$2:$A$1048576,0))</f>
        <v>#N/A</v>
      </c>
      <c r="N2565" s="6" t="e">
        <f>INDEX(医院2县区2人!$C$2:$C$1048576,MATCH(L2565,医院2县区2人!$A$2:$A$1048576,0))</f>
        <v>#N/A</v>
      </c>
      <c r="P2565" s="7">
        <v>43257</v>
      </c>
      <c r="Q2565" s="6">
        <v>80</v>
      </c>
      <c r="S2565" s="6">
        <v>18031227</v>
      </c>
      <c r="T2565" s="6" t="e">
        <f>INDEX(医院2县区2人!$D$2:$D$1048576,MATCH(L2565,医院2县区2人!$A$2:$A$1048576,0))</f>
        <v>#N/A</v>
      </c>
      <c r="W2565" s="6" t="str">
        <f t="shared" si="83"/>
        <v>葡萄糖酸锌口服溶液10ml*12支</v>
      </c>
      <c r="X2565" s="6" t="s">
        <v>2901</v>
      </c>
    </row>
    <row r="2566" spans="1:24" x14ac:dyDescent="0.15">
      <c r="A2566" s="7" t="str">
        <f t="shared" si="84"/>
        <v>201806</v>
      </c>
      <c r="C2566" s="6" t="str">
        <f>INDEX(工厂基础数据!$A$2:$A$1024,MATCH(X2566,工厂基础数据!$D$2:$D$1024,0))</f>
        <v>02037769</v>
      </c>
      <c r="E2566" s="6" t="str">
        <f>INDEX(工厂基础数据!$B$2:$B$1024,MATCH(X2566,工厂基础数据!$D$2:$D$1024,0))</f>
        <v>山东海川医药有限公司</v>
      </c>
      <c r="F2566" s="6" t="e">
        <f>INDEX(商业2转码!$B$2:$B$10000,MATCH(E2566,商业2转码!$A$2:$A$10000,0))</f>
        <v>#N/A</v>
      </c>
      <c r="G2566" s="6" t="str">
        <f>INDEX(品种2编码!$A$2:$A$1048576,MATCH(W2566,品种2编码!$D$2:$D$1048576,0))</f>
        <v>0020030001SJZY0006</v>
      </c>
      <c r="H2566" s="6" t="s">
        <v>1833</v>
      </c>
      <c r="I2566" s="6" t="s">
        <v>411</v>
      </c>
      <c r="J2566" s="6" t="s">
        <v>3044</v>
      </c>
      <c r="L2566" s="6" t="s">
        <v>3663</v>
      </c>
      <c r="M2566" s="6" t="e">
        <f>INDEX(医院2县区2人!$B$2:$B$1048576,MATCH(L2566,医院2县区2人!$A$2:$A$1048576,0))</f>
        <v>#N/A</v>
      </c>
      <c r="N2566" s="6" t="e">
        <f>INDEX(医院2县区2人!$C$2:$C$1048576,MATCH(L2566,医院2县区2人!$A$2:$A$1048576,0))</f>
        <v>#N/A</v>
      </c>
      <c r="P2566" s="7">
        <v>43257</v>
      </c>
      <c r="Q2566" s="6">
        <v>160</v>
      </c>
      <c r="S2566" s="6">
        <v>18030532</v>
      </c>
      <c r="T2566" s="6" t="e">
        <f>INDEX(医院2县区2人!$D$2:$D$1048576,MATCH(L2566,医院2县区2人!$A$2:$A$1048576,0))</f>
        <v>#N/A</v>
      </c>
      <c r="W2566" s="6" t="str">
        <f t="shared" si="83"/>
        <v>葡萄糖酸钙口服溶液10ml*12支</v>
      </c>
      <c r="X2566" s="6" t="s">
        <v>2901</v>
      </c>
    </row>
    <row r="2567" spans="1:24" x14ac:dyDescent="0.15">
      <c r="A2567" s="7" t="str">
        <f t="shared" si="84"/>
        <v>201806</v>
      </c>
      <c r="C2567" s="6" t="str">
        <f>INDEX(工厂基础数据!$A$2:$A$1024,MATCH(X2567,工厂基础数据!$D$2:$D$1024,0))</f>
        <v>02037769</v>
      </c>
      <c r="E2567" s="6" t="str">
        <f>INDEX(工厂基础数据!$B$2:$B$1024,MATCH(X2567,工厂基础数据!$D$2:$D$1024,0))</f>
        <v>山东海川医药有限公司</v>
      </c>
      <c r="F2567" s="6" t="e">
        <f>INDEX(商业2转码!$B$2:$B$10000,MATCH(E2567,商业2转码!$A$2:$A$10000,0))</f>
        <v>#N/A</v>
      </c>
      <c r="G2567" s="6" t="str">
        <f>INDEX(品种2编码!$A$2:$A$1048576,MATCH(W2567,品种2编码!$D$2:$D$1048576,0))</f>
        <v>0020030001SJZY0006</v>
      </c>
      <c r="H2567" s="6" t="s">
        <v>1833</v>
      </c>
      <c r="I2567" s="6" t="s">
        <v>411</v>
      </c>
      <c r="J2567" s="6" t="s">
        <v>3044</v>
      </c>
      <c r="L2567" s="6" t="s">
        <v>3623</v>
      </c>
      <c r="M2567" s="6" t="e">
        <f>INDEX(医院2县区2人!$B$2:$B$1048576,MATCH(L2567,医院2县区2人!$A$2:$A$1048576,0))</f>
        <v>#N/A</v>
      </c>
      <c r="N2567" s="6" t="e">
        <f>INDEX(医院2县区2人!$C$2:$C$1048576,MATCH(L2567,医院2县区2人!$A$2:$A$1048576,0))</f>
        <v>#N/A</v>
      </c>
      <c r="P2567" s="7">
        <v>43258</v>
      </c>
      <c r="Q2567" s="6">
        <v>5</v>
      </c>
      <c r="S2567" s="6">
        <v>18030532</v>
      </c>
      <c r="T2567" s="6" t="e">
        <f>INDEX(医院2县区2人!$D$2:$D$1048576,MATCH(L2567,医院2县区2人!$A$2:$A$1048576,0))</f>
        <v>#N/A</v>
      </c>
      <c r="W2567" s="6" t="str">
        <f t="shared" si="83"/>
        <v>葡萄糖酸钙口服溶液10ml*12支</v>
      </c>
      <c r="X2567" s="6" t="s">
        <v>2901</v>
      </c>
    </row>
    <row r="2568" spans="1:24" x14ac:dyDescent="0.15">
      <c r="A2568" s="7" t="str">
        <f t="shared" si="84"/>
        <v>201806</v>
      </c>
      <c r="C2568" s="6" t="str">
        <f>INDEX(工厂基础数据!$A$2:$A$1024,MATCH(X2568,工厂基础数据!$D$2:$D$1024,0))</f>
        <v>02037769</v>
      </c>
      <c r="E2568" s="6" t="str">
        <f>INDEX(工厂基础数据!$B$2:$B$1024,MATCH(X2568,工厂基础数据!$D$2:$D$1024,0))</f>
        <v>山东海川医药有限公司</v>
      </c>
      <c r="F2568" s="6" t="e">
        <f>INDEX(商业2转码!$B$2:$B$10000,MATCH(E2568,商业2转码!$A$2:$A$10000,0))</f>
        <v>#N/A</v>
      </c>
      <c r="G2568" s="6" t="str">
        <f>INDEX(品种2编码!$A$2:$A$1048576,MATCH(W2568,品种2编码!$D$2:$D$1048576,0))</f>
        <v>0020030040ZYLC0001</v>
      </c>
      <c r="H2568" s="6" t="s">
        <v>1953</v>
      </c>
      <c r="I2568" s="6" t="s">
        <v>1954</v>
      </c>
      <c r="J2568" s="6" t="s">
        <v>3036</v>
      </c>
      <c r="L2568" s="6" t="s">
        <v>3623</v>
      </c>
      <c r="M2568" s="6" t="e">
        <f>INDEX(医院2县区2人!$B$2:$B$1048576,MATCH(L2568,医院2县区2人!$A$2:$A$1048576,0))</f>
        <v>#N/A</v>
      </c>
      <c r="N2568" s="6" t="e">
        <f>INDEX(医院2县区2人!$C$2:$C$1048576,MATCH(L2568,医院2县区2人!$A$2:$A$1048576,0))</f>
        <v>#N/A</v>
      </c>
      <c r="P2568" s="7">
        <v>43258</v>
      </c>
      <c r="Q2568" s="6">
        <v>3</v>
      </c>
      <c r="S2568" s="6">
        <v>180137</v>
      </c>
      <c r="T2568" s="6" t="e">
        <f>INDEX(医院2县区2人!$D$2:$D$1048576,MATCH(L2568,医院2县区2人!$A$2:$A$1048576,0))</f>
        <v>#N/A</v>
      </c>
      <c r="W2568" s="6" t="str">
        <f t="shared" si="83"/>
        <v>小儿氨酚黄那敏颗粒12袋</v>
      </c>
      <c r="X2568" s="6" t="s">
        <v>2901</v>
      </c>
    </row>
    <row r="2569" spans="1:24" x14ac:dyDescent="0.15">
      <c r="A2569" s="7" t="str">
        <f t="shared" si="84"/>
        <v>201806</v>
      </c>
      <c r="C2569" s="6" t="str">
        <f>INDEX(工厂基础数据!$A$2:$A$1024,MATCH(X2569,工厂基础数据!$D$2:$D$1024,0))</f>
        <v>02037769</v>
      </c>
      <c r="E2569" s="6" t="str">
        <f>INDEX(工厂基础数据!$B$2:$B$1024,MATCH(X2569,工厂基础数据!$D$2:$D$1024,0))</f>
        <v>山东海川医药有限公司</v>
      </c>
      <c r="F2569" s="6" t="e">
        <f>INDEX(商业2转码!$B$2:$B$10000,MATCH(E2569,商业2转码!$A$2:$A$10000,0))</f>
        <v>#N/A</v>
      </c>
      <c r="G2569" s="6" t="str">
        <f>INDEX(品种2编码!$A$2:$A$1048576,MATCH(W2569,品种2编码!$D$2:$D$1048576,0))</f>
        <v>0020030001SJZY0009</v>
      </c>
      <c r="H2569" s="6" t="s">
        <v>555</v>
      </c>
      <c r="I2569" s="6" t="s">
        <v>411</v>
      </c>
      <c r="J2569" s="6" t="s">
        <v>3044</v>
      </c>
      <c r="L2569" s="6" t="s">
        <v>3623</v>
      </c>
      <c r="M2569" s="6" t="e">
        <f>INDEX(医院2县区2人!$B$2:$B$1048576,MATCH(L2569,医院2县区2人!$A$2:$A$1048576,0))</f>
        <v>#N/A</v>
      </c>
      <c r="N2569" s="6" t="e">
        <f>INDEX(医院2县区2人!$C$2:$C$1048576,MATCH(L2569,医院2县区2人!$A$2:$A$1048576,0))</f>
        <v>#N/A</v>
      </c>
      <c r="P2569" s="7">
        <v>43258</v>
      </c>
      <c r="Q2569" s="6">
        <v>3</v>
      </c>
      <c r="S2569" s="6">
        <v>17070517</v>
      </c>
      <c r="T2569" s="6" t="e">
        <f>INDEX(医院2县区2人!$D$2:$D$1048576,MATCH(L2569,医院2县区2人!$A$2:$A$1048576,0))</f>
        <v>#N/A</v>
      </c>
      <c r="W2569" s="6" t="str">
        <f t="shared" si="83"/>
        <v>葡萄糖酸锌口服液10ml*12支</v>
      </c>
      <c r="X2569" s="6" t="s">
        <v>2901</v>
      </c>
    </row>
    <row r="2570" spans="1:24" x14ac:dyDescent="0.15">
      <c r="A2570" s="7" t="str">
        <f t="shared" si="84"/>
        <v>201806</v>
      </c>
      <c r="C2570" s="6" t="str">
        <f>INDEX(工厂基础数据!$A$2:$A$1024,MATCH(X2570,工厂基础数据!$D$2:$D$1024,0))</f>
        <v>02037769</v>
      </c>
      <c r="E2570" s="6" t="str">
        <f>INDEX(工厂基础数据!$B$2:$B$1024,MATCH(X2570,工厂基础数据!$D$2:$D$1024,0))</f>
        <v>山东海川医药有限公司</v>
      </c>
      <c r="F2570" s="6" t="e">
        <f>INDEX(商业2转码!$B$2:$B$10000,MATCH(E2570,商业2转码!$A$2:$A$10000,0))</f>
        <v>#N/A</v>
      </c>
      <c r="G2570" s="6" t="str">
        <f>INDEX(品种2编码!$A$2:$A$1048576,MATCH(W2570,品种2编码!$D$2:$D$1048576,0))</f>
        <v>0020030001SJZY0006</v>
      </c>
      <c r="H2570" s="6" t="s">
        <v>1833</v>
      </c>
      <c r="I2570" s="6" t="s">
        <v>411</v>
      </c>
      <c r="J2570" s="6" t="s">
        <v>3044</v>
      </c>
      <c r="L2570" s="6" t="s">
        <v>3650</v>
      </c>
      <c r="M2570" s="6" t="e">
        <f>INDEX(医院2县区2人!$B$2:$B$1048576,MATCH(L2570,医院2县区2人!$A$2:$A$1048576,0))</f>
        <v>#N/A</v>
      </c>
      <c r="N2570" s="6" t="e">
        <f>INDEX(医院2县区2人!$C$2:$C$1048576,MATCH(L2570,医院2县区2人!$A$2:$A$1048576,0))</f>
        <v>#N/A</v>
      </c>
      <c r="P2570" s="7">
        <v>43258</v>
      </c>
      <c r="Q2570" s="6">
        <v>3</v>
      </c>
      <c r="S2570" s="6">
        <v>18030532</v>
      </c>
      <c r="T2570" s="6" t="e">
        <f>INDEX(医院2县区2人!$D$2:$D$1048576,MATCH(L2570,医院2县区2人!$A$2:$A$1048576,0))</f>
        <v>#N/A</v>
      </c>
      <c r="W2570" s="6" t="str">
        <f t="shared" si="83"/>
        <v>葡萄糖酸钙口服溶液10ml*12支</v>
      </c>
      <c r="X2570" s="6" t="s">
        <v>2901</v>
      </c>
    </row>
    <row r="2571" spans="1:24" x14ac:dyDescent="0.15">
      <c r="A2571" s="7" t="str">
        <f t="shared" si="84"/>
        <v>201806</v>
      </c>
      <c r="C2571" s="6" t="str">
        <f>INDEX(工厂基础数据!$A$2:$A$1024,MATCH(X2571,工厂基础数据!$D$2:$D$1024,0))</f>
        <v>02037769</v>
      </c>
      <c r="E2571" s="6" t="str">
        <f>INDEX(工厂基础数据!$B$2:$B$1024,MATCH(X2571,工厂基础数据!$D$2:$D$1024,0))</f>
        <v>山东海川医药有限公司</v>
      </c>
      <c r="F2571" s="6" t="e">
        <f>INDEX(商业2转码!$B$2:$B$10000,MATCH(E2571,商业2转码!$A$2:$A$10000,0))</f>
        <v>#N/A</v>
      </c>
      <c r="G2571" s="6">
        <f>INDEX(品种2编码!$A$2:$A$1048576,MATCH(W2571,品种2编码!$D$2:$D$1048576,0))</f>
        <v>0</v>
      </c>
      <c r="H2571" s="6" t="s">
        <v>3740</v>
      </c>
      <c r="I2571" s="6" t="s">
        <v>3751</v>
      </c>
      <c r="J2571" s="6" t="s">
        <v>3754</v>
      </c>
      <c r="L2571" s="6" t="s">
        <v>3664</v>
      </c>
      <c r="M2571" s="6" t="e">
        <f>INDEX(医院2县区2人!$B$2:$B$1048576,MATCH(L2571,医院2县区2人!$A$2:$A$1048576,0))</f>
        <v>#N/A</v>
      </c>
      <c r="N2571" s="6" t="e">
        <f>INDEX(医院2县区2人!$C$2:$C$1048576,MATCH(L2571,医院2县区2人!$A$2:$A$1048576,0))</f>
        <v>#N/A</v>
      </c>
      <c r="P2571" s="7">
        <v>43258</v>
      </c>
      <c r="Q2571" s="6">
        <v>5</v>
      </c>
      <c r="S2571" s="6">
        <v>20170301</v>
      </c>
      <c r="T2571" s="6" t="e">
        <f>INDEX(医院2县区2人!$D$2:$D$1048576,MATCH(L2571,医院2县区2人!$A$2:$A$1048576,0))</f>
        <v>#N/A</v>
      </c>
      <c r="W2571" s="6" t="str">
        <f t="shared" si="83"/>
        <v>逐瘀通脉胶囊0.2g*18粒</v>
      </c>
      <c r="X2571" s="6" t="s">
        <v>2901</v>
      </c>
    </row>
    <row r="2572" spans="1:24" x14ac:dyDescent="0.15">
      <c r="A2572" s="7" t="str">
        <f t="shared" si="84"/>
        <v>201806</v>
      </c>
      <c r="C2572" s="6" t="str">
        <f>INDEX(工厂基础数据!$A$2:$A$1024,MATCH(X2572,工厂基础数据!$D$2:$D$1024,0))</f>
        <v>02037769</v>
      </c>
      <c r="E2572" s="6" t="str">
        <f>INDEX(工厂基础数据!$B$2:$B$1024,MATCH(X2572,工厂基础数据!$D$2:$D$1024,0))</f>
        <v>山东海川医药有限公司</v>
      </c>
      <c r="F2572" s="6" t="e">
        <f>INDEX(商业2转码!$B$2:$B$10000,MATCH(E2572,商业2转码!$A$2:$A$10000,0))</f>
        <v>#N/A</v>
      </c>
      <c r="G2572" s="6" t="str">
        <f>INDEX(品种2编码!$A$2:$A$1048576,MATCH(W2572,品种2编码!$D$2:$D$1048576,0))</f>
        <v>0020030001SJZY0006</v>
      </c>
      <c r="H2572" s="6" t="s">
        <v>1833</v>
      </c>
      <c r="I2572" s="6" t="s">
        <v>411</v>
      </c>
      <c r="J2572" s="6" t="s">
        <v>3044</v>
      </c>
      <c r="L2572" s="6" t="s">
        <v>3665</v>
      </c>
      <c r="M2572" s="6" t="e">
        <f>INDEX(医院2县区2人!$B$2:$B$1048576,MATCH(L2572,医院2县区2人!$A$2:$A$1048576,0))</f>
        <v>#N/A</v>
      </c>
      <c r="N2572" s="6" t="e">
        <f>INDEX(医院2县区2人!$C$2:$C$1048576,MATCH(L2572,医院2县区2人!$A$2:$A$1048576,0))</f>
        <v>#N/A</v>
      </c>
      <c r="P2572" s="7">
        <v>43258</v>
      </c>
      <c r="Q2572" s="6">
        <v>20</v>
      </c>
      <c r="S2572" s="6">
        <v>18030532</v>
      </c>
      <c r="T2572" s="6" t="e">
        <f>INDEX(医院2县区2人!$D$2:$D$1048576,MATCH(L2572,医院2县区2人!$A$2:$A$1048576,0))</f>
        <v>#N/A</v>
      </c>
      <c r="W2572" s="6" t="str">
        <f t="shared" si="83"/>
        <v>葡萄糖酸钙口服溶液10ml*12支</v>
      </c>
      <c r="X2572" s="6" t="s">
        <v>2901</v>
      </c>
    </row>
    <row r="2573" spans="1:24" x14ac:dyDescent="0.15">
      <c r="A2573" s="7" t="str">
        <f t="shared" si="84"/>
        <v>201806</v>
      </c>
      <c r="C2573" s="6" t="str">
        <f>INDEX(工厂基础数据!$A$2:$A$1024,MATCH(X2573,工厂基础数据!$D$2:$D$1024,0))</f>
        <v>02037769</v>
      </c>
      <c r="E2573" s="6" t="str">
        <f>INDEX(工厂基础数据!$B$2:$B$1024,MATCH(X2573,工厂基础数据!$D$2:$D$1024,0))</f>
        <v>山东海川医药有限公司</v>
      </c>
      <c r="F2573" s="6" t="e">
        <f>INDEX(商业2转码!$B$2:$B$10000,MATCH(E2573,商业2转码!$A$2:$A$10000,0))</f>
        <v>#N/A</v>
      </c>
      <c r="G2573" s="6" t="str">
        <f>INDEX(品种2编码!$A$2:$A$1048576,MATCH(W2573,品种2编码!$D$2:$D$1048576,0))</f>
        <v>0020030001SJZY0006</v>
      </c>
      <c r="H2573" s="6" t="s">
        <v>1833</v>
      </c>
      <c r="I2573" s="6" t="s">
        <v>411</v>
      </c>
      <c r="J2573" s="6" t="s">
        <v>3044</v>
      </c>
      <c r="L2573" s="6" t="s">
        <v>3653</v>
      </c>
      <c r="M2573" s="6" t="e">
        <f>INDEX(医院2县区2人!$B$2:$B$1048576,MATCH(L2573,医院2县区2人!$A$2:$A$1048576,0))</f>
        <v>#N/A</v>
      </c>
      <c r="N2573" s="6" t="e">
        <f>INDEX(医院2县区2人!$C$2:$C$1048576,MATCH(L2573,医院2县区2人!$A$2:$A$1048576,0))</f>
        <v>#N/A</v>
      </c>
      <c r="P2573" s="7">
        <v>43258</v>
      </c>
      <c r="Q2573" s="6">
        <v>10</v>
      </c>
      <c r="S2573" s="6">
        <v>18030532</v>
      </c>
      <c r="T2573" s="6" t="e">
        <f>INDEX(医院2县区2人!$D$2:$D$1048576,MATCH(L2573,医院2县区2人!$A$2:$A$1048576,0))</f>
        <v>#N/A</v>
      </c>
      <c r="W2573" s="6" t="str">
        <f t="shared" si="83"/>
        <v>葡萄糖酸钙口服溶液10ml*12支</v>
      </c>
      <c r="X2573" s="6" t="s">
        <v>2901</v>
      </c>
    </row>
    <row r="2574" spans="1:24" x14ac:dyDescent="0.15">
      <c r="A2574" s="7" t="str">
        <f t="shared" si="84"/>
        <v>201806</v>
      </c>
      <c r="C2574" s="6" t="str">
        <f>INDEX(工厂基础数据!$A$2:$A$1024,MATCH(X2574,工厂基础数据!$D$2:$D$1024,0))</f>
        <v>02037769</v>
      </c>
      <c r="E2574" s="6" t="str">
        <f>INDEX(工厂基础数据!$B$2:$B$1024,MATCH(X2574,工厂基础数据!$D$2:$D$1024,0))</f>
        <v>山东海川医药有限公司</v>
      </c>
      <c r="F2574" s="6" t="e">
        <f>INDEX(商业2转码!$B$2:$B$10000,MATCH(E2574,商业2转码!$A$2:$A$10000,0))</f>
        <v>#N/A</v>
      </c>
      <c r="G2574" s="6">
        <f>INDEX(品种2编码!$A$2:$A$1048576,MATCH(W2574,品种2编码!$D$2:$D$1048576,0))</f>
        <v>0</v>
      </c>
      <c r="H2574" s="6" t="s">
        <v>3740</v>
      </c>
      <c r="I2574" s="6" t="s">
        <v>3751</v>
      </c>
      <c r="J2574" s="6" t="s">
        <v>3754</v>
      </c>
      <c r="L2574" s="6" t="s">
        <v>3666</v>
      </c>
      <c r="M2574" s="6" t="e">
        <f>INDEX(医院2县区2人!$B$2:$B$1048576,MATCH(L2574,医院2县区2人!$A$2:$A$1048576,0))</f>
        <v>#N/A</v>
      </c>
      <c r="N2574" s="6" t="e">
        <f>INDEX(医院2县区2人!$C$2:$C$1048576,MATCH(L2574,医院2县区2人!$A$2:$A$1048576,0))</f>
        <v>#N/A</v>
      </c>
      <c r="P2574" s="7">
        <v>43258</v>
      </c>
      <c r="Q2574" s="6">
        <v>5</v>
      </c>
      <c r="S2574" s="6">
        <v>20170301</v>
      </c>
      <c r="T2574" s="6" t="e">
        <f>INDEX(医院2县区2人!$D$2:$D$1048576,MATCH(L2574,医院2县区2人!$A$2:$A$1048576,0))</f>
        <v>#N/A</v>
      </c>
      <c r="W2574" s="6" t="str">
        <f t="shared" si="83"/>
        <v>逐瘀通脉胶囊0.2g*18粒</v>
      </c>
      <c r="X2574" s="6" t="s">
        <v>2901</v>
      </c>
    </row>
    <row r="2575" spans="1:24" x14ac:dyDescent="0.15">
      <c r="A2575" s="7" t="str">
        <f t="shared" si="84"/>
        <v>201806</v>
      </c>
      <c r="C2575" s="6" t="str">
        <f>INDEX(工厂基础数据!$A$2:$A$1024,MATCH(X2575,工厂基础数据!$D$2:$D$1024,0))</f>
        <v>02037769</v>
      </c>
      <c r="E2575" s="6" t="str">
        <f>INDEX(工厂基础数据!$B$2:$B$1024,MATCH(X2575,工厂基础数据!$D$2:$D$1024,0))</f>
        <v>山东海川医药有限公司</v>
      </c>
      <c r="F2575" s="6" t="e">
        <f>INDEX(商业2转码!$B$2:$B$10000,MATCH(E2575,商业2转码!$A$2:$A$10000,0))</f>
        <v>#N/A</v>
      </c>
      <c r="G2575" s="6">
        <f>INDEX(品种2编码!$A$2:$A$1048576,MATCH(W2575,品种2编码!$D$2:$D$1048576,0))</f>
        <v>0</v>
      </c>
      <c r="H2575" s="6" t="s">
        <v>3740</v>
      </c>
      <c r="I2575" s="6" t="s">
        <v>3751</v>
      </c>
      <c r="J2575" s="6" t="s">
        <v>3754</v>
      </c>
      <c r="L2575" s="6" t="s">
        <v>3666</v>
      </c>
      <c r="M2575" s="6" t="e">
        <f>INDEX(医院2县区2人!$B$2:$B$1048576,MATCH(L2575,医院2县区2人!$A$2:$A$1048576,0))</f>
        <v>#N/A</v>
      </c>
      <c r="N2575" s="6" t="e">
        <f>INDEX(医院2县区2人!$C$2:$C$1048576,MATCH(L2575,医院2县区2人!$A$2:$A$1048576,0))</f>
        <v>#N/A</v>
      </c>
      <c r="P2575" s="7">
        <v>43258</v>
      </c>
      <c r="Q2575" s="6">
        <v>-5</v>
      </c>
      <c r="S2575" s="6">
        <v>20170301</v>
      </c>
      <c r="T2575" s="6" t="e">
        <f>INDEX(医院2县区2人!$D$2:$D$1048576,MATCH(L2575,医院2县区2人!$A$2:$A$1048576,0))</f>
        <v>#N/A</v>
      </c>
      <c r="W2575" s="6" t="str">
        <f t="shared" si="83"/>
        <v>逐瘀通脉胶囊0.2g*18粒</v>
      </c>
      <c r="X2575" s="6" t="s">
        <v>2901</v>
      </c>
    </row>
    <row r="2576" spans="1:24" x14ac:dyDescent="0.15">
      <c r="A2576" s="7" t="str">
        <f t="shared" si="84"/>
        <v>201806</v>
      </c>
      <c r="C2576" s="6" t="str">
        <f>INDEX(工厂基础数据!$A$2:$A$1024,MATCH(X2576,工厂基础数据!$D$2:$D$1024,0))</f>
        <v>02037769</v>
      </c>
      <c r="E2576" s="6" t="str">
        <f>INDEX(工厂基础数据!$B$2:$B$1024,MATCH(X2576,工厂基础数据!$D$2:$D$1024,0))</f>
        <v>山东海川医药有限公司</v>
      </c>
      <c r="F2576" s="6" t="e">
        <f>INDEX(商业2转码!$B$2:$B$10000,MATCH(E2576,商业2转码!$A$2:$A$10000,0))</f>
        <v>#N/A</v>
      </c>
      <c r="G2576" s="6">
        <f>INDEX(品种2编码!$A$2:$A$1048576,MATCH(W2576,品种2编码!$D$2:$D$1048576,0))</f>
        <v>0</v>
      </c>
      <c r="H2576" s="6" t="s">
        <v>3740</v>
      </c>
      <c r="I2576" s="6" t="s">
        <v>3751</v>
      </c>
      <c r="J2576" s="6" t="s">
        <v>3754</v>
      </c>
      <c r="L2576" s="6" t="s">
        <v>3664</v>
      </c>
      <c r="M2576" s="6" t="e">
        <f>INDEX(医院2县区2人!$B$2:$B$1048576,MATCH(L2576,医院2县区2人!$A$2:$A$1048576,0))</f>
        <v>#N/A</v>
      </c>
      <c r="N2576" s="6" t="e">
        <f>INDEX(医院2县区2人!$C$2:$C$1048576,MATCH(L2576,医院2县区2人!$A$2:$A$1048576,0))</f>
        <v>#N/A</v>
      </c>
      <c r="P2576" s="7">
        <v>43258</v>
      </c>
      <c r="Q2576" s="6">
        <v>5</v>
      </c>
      <c r="S2576" s="6">
        <v>20170301</v>
      </c>
      <c r="T2576" s="6" t="e">
        <f>INDEX(医院2县区2人!$D$2:$D$1048576,MATCH(L2576,医院2县区2人!$A$2:$A$1048576,0))</f>
        <v>#N/A</v>
      </c>
      <c r="W2576" s="6" t="str">
        <f t="shared" si="83"/>
        <v>逐瘀通脉胶囊0.2g*18粒</v>
      </c>
      <c r="X2576" s="6" t="s">
        <v>2901</v>
      </c>
    </row>
    <row r="2577" spans="1:24" x14ac:dyDescent="0.15">
      <c r="A2577" s="7" t="str">
        <f t="shared" si="84"/>
        <v>201806</v>
      </c>
      <c r="C2577" s="6" t="str">
        <f>INDEX(工厂基础数据!$A$2:$A$1024,MATCH(X2577,工厂基础数据!$D$2:$D$1024,0))</f>
        <v>02037769</v>
      </c>
      <c r="E2577" s="6" t="str">
        <f>INDEX(工厂基础数据!$B$2:$B$1024,MATCH(X2577,工厂基础数据!$D$2:$D$1024,0))</f>
        <v>山东海川医药有限公司</v>
      </c>
      <c r="F2577" s="6" t="e">
        <f>INDEX(商业2转码!$B$2:$B$10000,MATCH(E2577,商业2转码!$A$2:$A$10000,0))</f>
        <v>#N/A</v>
      </c>
      <c r="G2577" s="6">
        <f>INDEX(品种2编码!$A$2:$A$1048576,MATCH(W2577,品种2编码!$D$2:$D$1048576,0))</f>
        <v>0</v>
      </c>
      <c r="H2577" s="6" t="s">
        <v>1885</v>
      </c>
      <c r="I2577" s="6" t="s">
        <v>1838</v>
      </c>
      <c r="J2577" s="6" t="s">
        <v>3036</v>
      </c>
      <c r="L2577" s="6" t="s">
        <v>3626</v>
      </c>
      <c r="M2577" s="6" t="e">
        <f>INDEX(医院2县区2人!$B$2:$B$1048576,MATCH(L2577,医院2县区2人!$A$2:$A$1048576,0))</f>
        <v>#N/A</v>
      </c>
      <c r="N2577" s="6" t="e">
        <f>INDEX(医院2县区2人!$C$2:$C$1048576,MATCH(L2577,医院2县区2人!$A$2:$A$1048576,0))</f>
        <v>#N/A</v>
      </c>
      <c r="P2577" s="7">
        <v>43258</v>
      </c>
      <c r="Q2577" s="6">
        <v>5</v>
      </c>
      <c r="S2577" s="6">
        <v>180106</v>
      </c>
      <c r="T2577" s="6" t="e">
        <f>INDEX(医院2县区2人!$D$2:$D$1048576,MATCH(L2577,医院2县区2人!$A$2:$A$1048576,0))</f>
        <v>#N/A</v>
      </c>
      <c r="W2577" s="6" t="str">
        <f t="shared" si="83"/>
        <v>新盖中盖高钙片2.5g*36片</v>
      </c>
      <c r="X2577" s="6" t="s">
        <v>2901</v>
      </c>
    </row>
    <row r="2578" spans="1:24" x14ac:dyDescent="0.15">
      <c r="A2578" s="7" t="str">
        <f t="shared" si="84"/>
        <v>201806</v>
      </c>
      <c r="C2578" s="6" t="str">
        <f>INDEX(工厂基础数据!$A$2:$A$1024,MATCH(X2578,工厂基础数据!$D$2:$D$1024,0))</f>
        <v>02037769</v>
      </c>
      <c r="E2578" s="6" t="str">
        <f>INDEX(工厂基础数据!$B$2:$B$1024,MATCH(X2578,工厂基础数据!$D$2:$D$1024,0))</f>
        <v>山东海川医药有限公司</v>
      </c>
      <c r="F2578" s="6" t="e">
        <f>INDEX(商业2转码!$B$2:$B$10000,MATCH(E2578,商业2转码!$A$2:$A$10000,0))</f>
        <v>#N/A</v>
      </c>
      <c r="G2578" s="6" t="str">
        <f>INDEX(品种2编码!$A$2:$A$1048576,MATCH(W2578,品种2编码!$D$2:$D$1048576,0))</f>
        <v>0020030001SJZY0009</v>
      </c>
      <c r="H2578" s="6" t="s">
        <v>1949</v>
      </c>
      <c r="I2578" s="6" t="s">
        <v>411</v>
      </c>
      <c r="J2578" s="6" t="s">
        <v>3040</v>
      </c>
      <c r="L2578" s="6" t="s">
        <v>3666</v>
      </c>
      <c r="M2578" s="6" t="e">
        <f>INDEX(医院2县区2人!$B$2:$B$1048576,MATCH(L2578,医院2县区2人!$A$2:$A$1048576,0))</f>
        <v>#N/A</v>
      </c>
      <c r="N2578" s="6" t="e">
        <f>INDEX(医院2县区2人!$C$2:$C$1048576,MATCH(L2578,医院2县区2人!$A$2:$A$1048576,0))</f>
        <v>#N/A</v>
      </c>
      <c r="P2578" s="7">
        <v>43258</v>
      </c>
      <c r="Q2578" s="6">
        <v>10</v>
      </c>
      <c r="S2578" s="6">
        <v>18031227</v>
      </c>
      <c r="T2578" s="6" t="e">
        <f>INDEX(医院2县区2人!$D$2:$D$1048576,MATCH(L2578,医院2县区2人!$A$2:$A$1048576,0))</f>
        <v>#N/A</v>
      </c>
      <c r="W2578" s="6" t="str">
        <f t="shared" si="83"/>
        <v>葡萄糖酸锌口服溶液10ml*12支</v>
      </c>
      <c r="X2578" s="6" t="s">
        <v>2901</v>
      </c>
    </row>
    <row r="2579" spans="1:24" x14ac:dyDescent="0.15">
      <c r="A2579" s="7" t="str">
        <f t="shared" si="84"/>
        <v>201806</v>
      </c>
      <c r="C2579" s="6" t="str">
        <f>INDEX(工厂基础数据!$A$2:$A$1024,MATCH(X2579,工厂基础数据!$D$2:$D$1024,0))</f>
        <v>02037769</v>
      </c>
      <c r="E2579" s="6" t="str">
        <f>INDEX(工厂基础数据!$B$2:$B$1024,MATCH(X2579,工厂基础数据!$D$2:$D$1024,0))</f>
        <v>山东海川医药有限公司</v>
      </c>
      <c r="F2579" s="6" t="e">
        <f>INDEX(商业2转码!$B$2:$B$10000,MATCH(E2579,商业2转码!$A$2:$A$10000,0))</f>
        <v>#N/A</v>
      </c>
      <c r="G2579" s="6" t="str">
        <f>INDEX(品种2编码!$A$2:$A$1048576,MATCH(W2579,品种2编码!$D$2:$D$1048576,0))</f>
        <v>0020030001SJZY0006</v>
      </c>
      <c r="H2579" s="6" t="s">
        <v>1833</v>
      </c>
      <c r="I2579" s="6" t="s">
        <v>411</v>
      </c>
      <c r="J2579" s="6" t="s">
        <v>3044</v>
      </c>
      <c r="L2579" s="6" t="s">
        <v>3666</v>
      </c>
      <c r="M2579" s="6" t="e">
        <f>INDEX(医院2县区2人!$B$2:$B$1048576,MATCH(L2579,医院2县区2人!$A$2:$A$1048576,0))</f>
        <v>#N/A</v>
      </c>
      <c r="N2579" s="6" t="e">
        <f>INDEX(医院2县区2人!$C$2:$C$1048576,MATCH(L2579,医院2县区2人!$A$2:$A$1048576,0))</f>
        <v>#N/A</v>
      </c>
      <c r="P2579" s="7">
        <v>43258</v>
      </c>
      <c r="Q2579" s="6">
        <v>10</v>
      </c>
      <c r="S2579" s="6">
        <v>18030532</v>
      </c>
      <c r="T2579" s="6" t="e">
        <f>INDEX(医院2县区2人!$D$2:$D$1048576,MATCH(L2579,医院2县区2人!$A$2:$A$1048576,0))</f>
        <v>#N/A</v>
      </c>
      <c r="W2579" s="6" t="str">
        <f t="shared" si="83"/>
        <v>葡萄糖酸钙口服溶液10ml*12支</v>
      </c>
      <c r="X2579" s="6" t="s">
        <v>2901</v>
      </c>
    </row>
    <row r="2580" spans="1:24" x14ac:dyDescent="0.15">
      <c r="A2580" s="7" t="str">
        <f t="shared" si="84"/>
        <v>201806</v>
      </c>
      <c r="C2580" s="6" t="str">
        <f>INDEX(工厂基础数据!$A$2:$A$1024,MATCH(X2580,工厂基础数据!$D$2:$D$1024,0))</f>
        <v>02037769</v>
      </c>
      <c r="E2580" s="6" t="str">
        <f>INDEX(工厂基础数据!$B$2:$B$1024,MATCH(X2580,工厂基础数据!$D$2:$D$1024,0))</f>
        <v>山东海川医药有限公司</v>
      </c>
      <c r="F2580" s="6" t="e">
        <f>INDEX(商业2转码!$B$2:$B$10000,MATCH(E2580,商业2转码!$A$2:$A$10000,0))</f>
        <v>#N/A</v>
      </c>
      <c r="G2580" s="6" t="str">
        <f>INDEX(品种2编码!$A$2:$A$1048576,MATCH(W2580,品种2编码!$D$2:$D$1048576,0))</f>
        <v>0020030040ZYLC0001</v>
      </c>
      <c r="H2580" s="6" t="s">
        <v>1953</v>
      </c>
      <c r="I2580" s="6" t="s">
        <v>1954</v>
      </c>
      <c r="J2580" s="6" t="s">
        <v>3036</v>
      </c>
      <c r="L2580" s="6" t="s">
        <v>3649</v>
      </c>
      <c r="M2580" s="6" t="e">
        <f>INDEX(医院2县区2人!$B$2:$B$1048576,MATCH(L2580,医院2县区2人!$A$2:$A$1048576,0))</f>
        <v>#N/A</v>
      </c>
      <c r="N2580" s="6" t="e">
        <f>INDEX(医院2县区2人!$C$2:$C$1048576,MATCH(L2580,医院2县区2人!$A$2:$A$1048576,0))</f>
        <v>#N/A</v>
      </c>
      <c r="P2580" s="7">
        <v>43258</v>
      </c>
      <c r="Q2580" s="6">
        <v>3</v>
      </c>
      <c r="S2580" s="6">
        <v>180137</v>
      </c>
      <c r="T2580" s="6" t="e">
        <f>INDEX(医院2县区2人!$D$2:$D$1048576,MATCH(L2580,医院2县区2人!$A$2:$A$1048576,0))</f>
        <v>#N/A</v>
      </c>
      <c r="W2580" s="6" t="str">
        <f t="shared" si="83"/>
        <v>小儿氨酚黄那敏颗粒12袋</v>
      </c>
      <c r="X2580" s="6" t="s">
        <v>2901</v>
      </c>
    </row>
    <row r="2581" spans="1:24" x14ac:dyDescent="0.15">
      <c r="A2581" s="7" t="str">
        <f t="shared" si="84"/>
        <v>201806</v>
      </c>
      <c r="C2581" s="6" t="str">
        <f>INDEX(工厂基础数据!$A$2:$A$1024,MATCH(X2581,工厂基础数据!$D$2:$D$1024,0))</f>
        <v>02037769</v>
      </c>
      <c r="E2581" s="6" t="str">
        <f>INDEX(工厂基础数据!$B$2:$B$1024,MATCH(X2581,工厂基础数据!$D$2:$D$1024,0))</f>
        <v>山东海川医药有限公司</v>
      </c>
      <c r="F2581" s="6" t="e">
        <f>INDEX(商业2转码!$B$2:$B$10000,MATCH(E2581,商业2转码!$A$2:$A$10000,0))</f>
        <v>#N/A</v>
      </c>
      <c r="G2581" s="6" t="str">
        <f>INDEX(品种2编码!$A$2:$A$1048576,MATCH(W2581,品种2编码!$D$2:$D$1048576,0))</f>
        <v>0020030001SJZY0006</v>
      </c>
      <c r="H2581" s="6" t="s">
        <v>1833</v>
      </c>
      <c r="I2581" s="6" t="s">
        <v>411</v>
      </c>
      <c r="J2581" s="6" t="s">
        <v>3044</v>
      </c>
      <c r="L2581" s="6" t="s">
        <v>3667</v>
      </c>
      <c r="M2581" s="6" t="e">
        <f>INDEX(医院2县区2人!$B$2:$B$1048576,MATCH(L2581,医院2县区2人!$A$2:$A$1048576,0))</f>
        <v>#N/A</v>
      </c>
      <c r="N2581" s="6" t="e">
        <f>INDEX(医院2县区2人!$C$2:$C$1048576,MATCH(L2581,医院2县区2人!$A$2:$A$1048576,0))</f>
        <v>#N/A</v>
      </c>
      <c r="P2581" s="7">
        <v>43258</v>
      </c>
      <c r="Q2581" s="6">
        <v>320</v>
      </c>
      <c r="S2581" s="6">
        <v>18030532</v>
      </c>
      <c r="T2581" s="6" t="e">
        <f>INDEX(医院2县区2人!$D$2:$D$1048576,MATCH(L2581,医院2县区2人!$A$2:$A$1048576,0))</f>
        <v>#N/A</v>
      </c>
      <c r="W2581" s="6" t="str">
        <f t="shared" si="83"/>
        <v>葡萄糖酸钙口服溶液10ml*12支</v>
      </c>
      <c r="X2581" s="6" t="s">
        <v>2901</v>
      </c>
    </row>
    <row r="2582" spans="1:24" x14ac:dyDescent="0.15">
      <c r="A2582" s="7" t="str">
        <f t="shared" si="84"/>
        <v>201806</v>
      </c>
      <c r="C2582" s="6" t="str">
        <f>INDEX(工厂基础数据!$A$2:$A$1024,MATCH(X2582,工厂基础数据!$D$2:$D$1024,0))</f>
        <v>02037769</v>
      </c>
      <c r="E2582" s="6" t="str">
        <f>INDEX(工厂基础数据!$B$2:$B$1024,MATCH(X2582,工厂基础数据!$D$2:$D$1024,0))</f>
        <v>山东海川医药有限公司</v>
      </c>
      <c r="F2582" s="6" t="e">
        <f>INDEX(商业2转码!$B$2:$B$10000,MATCH(E2582,商业2转码!$A$2:$A$10000,0))</f>
        <v>#N/A</v>
      </c>
      <c r="G2582" s="6" t="str">
        <f>INDEX(品种2编码!$A$2:$A$1048576,MATCH(W2582,品种2编码!$D$2:$D$1048576,0))</f>
        <v>0020030001SJZY0009</v>
      </c>
      <c r="H2582" s="6" t="s">
        <v>1949</v>
      </c>
      <c r="I2582" s="6" t="s">
        <v>411</v>
      </c>
      <c r="J2582" s="6" t="s">
        <v>3040</v>
      </c>
      <c r="L2582" s="6" t="s">
        <v>3667</v>
      </c>
      <c r="M2582" s="6" t="e">
        <f>INDEX(医院2县区2人!$B$2:$B$1048576,MATCH(L2582,医院2县区2人!$A$2:$A$1048576,0))</f>
        <v>#N/A</v>
      </c>
      <c r="N2582" s="6" t="e">
        <f>INDEX(医院2县区2人!$C$2:$C$1048576,MATCH(L2582,医院2县区2人!$A$2:$A$1048576,0))</f>
        <v>#N/A</v>
      </c>
      <c r="P2582" s="7">
        <v>43258</v>
      </c>
      <c r="Q2582" s="6">
        <v>320</v>
      </c>
      <c r="S2582" s="6">
        <v>18031227</v>
      </c>
      <c r="T2582" s="6" t="e">
        <f>INDEX(医院2县区2人!$D$2:$D$1048576,MATCH(L2582,医院2县区2人!$A$2:$A$1048576,0))</f>
        <v>#N/A</v>
      </c>
      <c r="W2582" s="6" t="str">
        <f t="shared" si="83"/>
        <v>葡萄糖酸锌口服溶液10ml*12支</v>
      </c>
      <c r="X2582" s="6" t="s">
        <v>2901</v>
      </c>
    </row>
    <row r="2583" spans="1:24" x14ac:dyDescent="0.15">
      <c r="A2583" s="7" t="str">
        <f t="shared" si="84"/>
        <v>201806</v>
      </c>
      <c r="C2583" s="6" t="str">
        <f>INDEX(工厂基础数据!$A$2:$A$1024,MATCH(X2583,工厂基础数据!$D$2:$D$1024,0))</f>
        <v>02037769</v>
      </c>
      <c r="E2583" s="6" t="str">
        <f>INDEX(工厂基础数据!$B$2:$B$1024,MATCH(X2583,工厂基础数据!$D$2:$D$1024,0))</f>
        <v>山东海川医药有限公司</v>
      </c>
      <c r="F2583" s="6" t="e">
        <f>INDEX(商业2转码!$B$2:$B$10000,MATCH(E2583,商业2转码!$A$2:$A$10000,0))</f>
        <v>#N/A</v>
      </c>
      <c r="G2583" s="6" t="str">
        <f>INDEX(品种2编码!$A$2:$A$1048576,MATCH(W2583,品种2编码!$D$2:$D$1048576,0))</f>
        <v>0020050090SJZY0001</v>
      </c>
      <c r="H2583" s="6" t="s">
        <v>630</v>
      </c>
      <c r="I2583" s="6" t="s">
        <v>1850</v>
      </c>
      <c r="J2583" s="6" t="s">
        <v>3044</v>
      </c>
      <c r="L2583" s="6" t="s">
        <v>3667</v>
      </c>
      <c r="M2583" s="6" t="e">
        <f>INDEX(医院2县区2人!$B$2:$B$1048576,MATCH(L2583,医院2县区2人!$A$2:$A$1048576,0))</f>
        <v>#N/A</v>
      </c>
      <c r="N2583" s="6" t="e">
        <f>INDEX(医院2县区2人!$C$2:$C$1048576,MATCH(L2583,医院2县区2人!$A$2:$A$1048576,0))</f>
        <v>#N/A</v>
      </c>
      <c r="P2583" s="7">
        <v>43258</v>
      </c>
      <c r="Q2583" s="6">
        <v>270</v>
      </c>
      <c r="S2583" s="6">
        <v>18030921</v>
      </c>
      <c r="T2583" s="6" t="e">
        <f>INDEX(医院2县区2人!$D$2:$D$1048576,MATCH(L2583,医院2县区2人!$A$2:$A$1048576,0))</f>
        <v>#N/A</v>
      </c>
      <c r="W2583" s="6" t="str">
        <f t="shared" si="83"/>
        <v>双黄连口服液10ml*10支</v>
      </c>
      <c r="X2583" s="6" t="s">
        <v>2901</v>
      </c>
    </row>
    <row r="2584" spans="1:24" x14ac:dyDescent="0.15">
      <c r="A2584" s="7" t="str">
        <f t="shared" si="84"/>
        <v>201806</v>
      </c>
      <c r="C2584" s="6" t="str">
        <f>INDEX(工厂基础数据!$A$2:$A$1024,MATCH(X2584,工厂基础数据!$D$2:$D$1024,0))</f>
        <v>02037769</v>
      </c>
      <c r="E2584" s="6" t="str">
        <f>INDEX(工厂基础数据!$B$2:$B$1024,MATCH(X2584,工厂基础数据!$D$2:$D$1024,0))</f>
        <v>山东海川医药有限公司</v>
      </c>
      <c r="F2584" s="6" t="e">
        <f>INDEX(商业2转码!$B$2:$B$10000,MATCH(E2584,商业2转码!$A$2:$A$10000,0))</f>
        <v>#N/A</v>
      </c>
      <c r="G2584" s="6">
        <f>INDEX(品种2编码!$A$2:$A$1048576,MATCH(W2584,品种2编码!$D$2:$D$1048576,0))</f>
        <v>0</v>
      </c>
      <c r="H2584" s="6" t="s">
        <v>1885</v>
      </c>
      <c r="I2584" s="6" t="s">
        <v>1838</v>
      </c>
      <c r="J2584" s="6" t="s">
        <v>3036</v>
      </c>
      <c r="L2584" s="6" t="s">
        <v>3667</v>
      </c>
      <c r="M2584" s="6" t="e">
        <f>INDEX(医院2县区2人!$B$2:$B$1048576,MATCH(L2584,医院2县区2人!$A$2:$A$1048576,0))</f>
        <v>#N/A</v>
      </c>
      <c r="N2584" s="6" t="e">
        <f>INDEX(医院2县区2人!$C$2:$C$1048576,MATCH(L2584,医院2县区2人!$A$2:$A$1048576,0))</f>
        <v>#N/A</v>
      </c>
      <c r="P2584" s="7">
        <v>43258</v>
      </c>
      <c r="Q2584" s="6">
        <v>120</v>
      </c>
      <c r="S2584" s="6">
        <v>180105</v>
      </c>
      <c r="T2584" s="6" t="e">
        <f>INDEX(医院2县区2人!$D$2:$D$1048576,MATCH(L2584,医院2县区2人!$A$2:$A$1048576,0))</f>
        <v>#N/A</v>
      </c>
      <c r="W2584" s="6" t="str">
        <f t="shared" si="83"/>
        <v>新盖中盖高钙片2.5g*36片</v>
      </c>
      <c r="X2584" s="6" t="s">
        <v>2901</v>
      </c>
    </row>
    <row r="2585" spans="1:24" x14ac:dyDescent="0.15">
      <c r="A2585" s="7" t="str">
        <f t="shared" si="84"/>
        <v>201806</v>
      </c>
      <c r="C2585" s="6" t="str">
        <f>INDEX(工厂基础数据!$A$2:$A$1024,MATCH(X2585,工厂基础数据!$D$2:$D$1024,0))</f>
        <v>02037769</v>
      </c>
      <c r="E2585" s="6" t="str">
        <f>INDEX(工厂基础数据!$B$2:$B$1024,MATCH(X2585,工厂基础数据!$D$2:$D$1024,0))</f>
        <v>山东海川医药有限公司</v>
      </c>
      <c r="F2585" s="6" t="e">
        <f>INDEX(商业2转码!$B$2:$B$10000,MATCH(E2585,商业2转码!$A$2:$A$10000,0))</f>
        <v>#N/A</v>
      </c>
      <c r="G2585" s="6" t="str">
        <f>INDEX(品种2编码!$A$2:$A$1048576,MATCH(W2585,品种2编码!$D$2:$D$1048576,0))</f>
        <v>0020020020SJMS0008</v>
      </c>
      <c r="H2585" s="6" t="s">
        <v>474</v>
      </c>
      <c r="I2585" s="6" t="s">
        <v>1873</v>
      </c>
      <c r="J2585" s="6" t="s">
        <v>3046</v>
      </c>
      <c r="L2585" s="6" t="s">
        <v>3667</v>
      </c>
      <c r="M2585" s="6" t="e">
        <f>INDEX(医院2县区2人!$B$2:$B$1048576,MATCH(L2585,医院2县区2人!$A$2:$A$1048576,0))</f>
        <v>#N/A</v>
      </c>
      <c r="N2585" s="6" t="e">
        <f>INDEX(医院2县区2人!$C$2:$C$1048576,MATCH(L2585,医院2县区2人!$A$2:$A$1048576,0))</f>
        <v>#N/A</v>
      </c>
      <c r="P2585" s="7">
        <v>43258</v>
      </c>
      <c r="Q2585" s="6">
        <v>160</v>
      </c>
      <c r="S2585" s="6">
        <v>1803012</v>
      </c>
      <c r="T2585" s="6" t="e">
        <f>INDEX(医院2县区2人!$D$2:$D$1048576,MATCH(L2585,医院2县区2人!$A$2:$A$1048576,0))</f>
        <v>#N/A</v>
      </c>
      <c r="W2585" s="6" t="str">
        <f t="shared" si="83"/>
        <v>拉西地平片4mg*15片</v>
      </c>
      <c r="X2585" s="6" t="s">
        <v>2901</v>
      </c>
    </row>
    <row r="2586" spans="1:24" x14ac:dyDescent="0.15">
      <c r="A2586" s="7" t="str">
        <f t="shared" si="84"/>
        <v>201806</v>
      </c>
      <c r="C2586" s="6" t="str">
        <f>INDEX(工厂基础数据!$A$2:$A$1024,MATCH(X2586,工厂基础数据!$D$2:$D$1024,0))</f>
        <v>02037769</v>
      </c>
      <c r="E2586" s="6" t="str">
        <f>INDEX(工厂基础数据!$B$2:$B$1024,MATCH(X2586,工厂基础数据!$D$2:$D$1024,0))</f>
        <v>山东海川医药有限公司</v>
      </c>
      <c r="F2586" s="6" t="e">
        <f>INDEX(商业2转码!$B$2:$B$10000,MATCH(E2586,商业2转码!$A$2:$A$10000,0))</f>
        <v>#N/A</v>
      </c>
      <c r="G2586" s="6" t="str">
        <f>INDEX(品种2编码!$A$2:$A$1048576,MATCH(W2586,品种2编码!$D$2:$D$1048576,0))</f>
        <v>0020030001SJZY0006</v>
      </c>
      <c r="H2586" s="6" t="s">
        <v>1833</v>
      </c>
      <c r="I2586" s="6" t="s">
        <v>411</v>
      </c>
      <c r="J2586" s="6" t="s">
        <v>3044</v>
      </c>
      <c r="L2586" s="6" t="s">
        <v>3668</v>
      </c>
      <c r="M2586" s="6" t="e">
        <f>INDEX(医院2县区2人!$B$2:$B$1048576,MATCH(L2586,医院2县区2人!$A$2:$A$1048576,0))</f>
        <v>#N/A</v>
      </c>
      <c r="N2586" s="6" t="e">
        <f>INDEX(医院2县区2人!$C$2:$C$1048576,MATCH(L2586,医院2县区2人!$A$2:$A$1048576,0))</f>
        <v>#N/A</v>
      </c>
      <c r="P2586" s="7">
        <v>43258</v>
      </c>
      <c r="Q2586" s="6">
        <v>800</v>
      </c>
      <c r="S2586" s="6">
        <v>18030532</v>
      </c>
      <c r="T2586" s="6" t="e">
        <f>INDEX(医院2县区2人!$D$2:$D$1048576,MATCH(L2586,医院2县区2人!$A$2:$A$1048576,0))</f>
        <v>#N/A</v>
      </c>
      <c r="W2586" s="6" t="str">
        <f t="shared" si="83"/>
        <v>葡萄糖酸钙口服溶液10ml*12支</v>
      </c>
      <c r="X2586" s="6" t="s">
        <v>2901</v>
      </c>
    </row>
    <row r="2587" spans="1:24" x14ac:dyDescent="0.15">
      <c r="A2587" s="7" t="str">
        <f t="shared" si="84"/>
        <v>201806</v>
      </c>
      <c r="C2587" s="6" t="str">
        <f>INDEX(工厂基础数据!$A$2:$A$1024,MATCH(X2587,工厂基础数据!$D$2:$D$1024,0))</f>
        <v>02037769</v>
      </c>
      <c r="E2587" s="6" t="str">
        <f>INDEX(工厂基础数据!$B$2:$B$1024,MATCH(X2587,工厂基础数据!$D$2:$D$1024,0))</f>
        <v>山东海川医药有限公司</v>
      </c>
      <c r="F2587" s="6" t="e">
        <f>INDEX(商业2转码!$B$2:$B$10000,MATCH(E2587,商业2转码!$A$2:$A$10000,0))</f>
        <v>#N/A</v>
      </c>
      <c r="G2587" s="6" t="str">
        <f>INDEX(品种2编码!$A$2:$A$1048576,MATCH(W2587,品种2编码!$D$2:$D$1048576,0))</f>
        <v>0020030040ZYLC0001</v>
      </c>
      <c r="H2587" s="6" t="s">
        <v>1953</v>
      </c>
      <c r="I2587" s="6" t="s">
        <v>1954</v>
      </c>
      <c r="J2587" s="6" t="s">
        <v>3036</v>
      </c>
      <c r="L2587" s="6" t="s">
        <v>3652</v>
      </c>
      <c r="M2587" s="6" t="e">
        <f>INDEX(医院2县区2人!$B$2:$B$1048576,MATCH(L2587,医院2县区2人!$A$2:$A$1048576,0))</f>
        <v>#N/A</v>
      </c>
      <c r="N2587" s="6" t="e">
        <f>INDEX(医院2县区2人!$C$2:$C$1048576,MATCH(L2587,医院2县区2人!$A$2:$A$1048576,0))</f>
        <v>#N/A</v>
      </c>
      <c r="P2587" s="7">
        <v>43258</v>
      </c>
      <c r="Q2587" s="6">
        <v>5</v>
      </c>
      <c r="S2587" s="6">
        <v>180137</v>
      </c>
      <c r="T2587" s="6" t="e">
        <f>INDEX(医院2县区2人!$D$2:$D$1048576,MATCH(L2587,医院2县区2人!$A$2:$A$1048576,0))</f>
        <v>#N/A</v>
      </c>
      <c r="W2587" s="6" t="str">
        <f t="shared" si="83"/>
        <v>小儿氨酚黄那敏颗粒12袋</v>
      </c>
      <c r="X2587" s="6" t="s">
        <v>2901</v>
      </c>
    </row>
    <row r="2588" spans="1:24" x14ac:dyDescent="0.15">
      <c r="A2588" s="7" t="str">
        <f t="shared" si="84"/>
        <v>201806</v>
      </c>
      <c r="C2588" s="6" t="str">
        <f>INDEX(工厂基础数据!$A$2:$A$1024,MATCH(X2588,工厂基础数据!$D$2:$D$1024,0))</f>
        <v>02037769</v>
      </c>
      <c r="E2588" s="6" t="str">
        <f>INDEX(工厂基础数据!$B$2:$B$1024,MATCH(X2588,工厂基础数据!$D$2:$D$1024,0))</f>
        <v>山东海川医药有限公司</v>
      </c>
      <c r="F2588" s="6" t="e">
        <f>INDEX(商业2转码!$B$2:$B$10000,MATCH(E2588,商业2转码!$A$2:$A$10000,0))</f>
        <v>#N/A</v>
      </c>
      <c r="G2588" s="6">
        <f>INDEX(品种2编码!$A$2:$A$1048576,MATCH(W2588,品种2编码!$D$2:$D$1048576,0))</f>
        <v>0</v>
      </c>
      <c r="H2588" s="6" t="s">
        <v>3748</v>
      </c>
      <c r="I2588" s="6" t="s">
        <v>3752</v>
      </c>
      <c r="J2588" s="6" t="s">
        <v>3038</v>
      </c>
      <c r="L2588" s="6" t="s">
        <v>3652</v>
      </c>
      <c r="M2588" s="6" t="e">
        <f>INDEX(医院2县区2人!$B$2:$B$1048576,MATCH(L2588,医院2县区2人!$A$2:$A$1048576,0))</f>
        <v>#N/A</v>
      </c>
      <c r="N2588" s="6" t="e">
        <f>INDEX(医院2县区2人!$C$2:$C$1048576,MATCH(L2588,医院2县区2人!$A$2:$A$1048576,0))</f>
        <v>#N/A</v>
      </c>
      <c r="P2588" s="7">
        <v>43258</v>
      </c>
      <c r="Q2588" s="6">
        <v>3</v>
      </c>
      <c r="S2588" s="6">
        <v>180101</v>
      </c>
      <c r="T2588" s="6" t="e">
        <f>INDEX(医院2县区2人!$D$2:$D$1048576,MATCH(L2588,医院2县区2人!$A$2:$A$1048576,0))</f>
        <v>#N/A</v>
      </c>
      <c r="W2588" s="6" t="str">
        <f t="shared" si="83"/>
        <v>哈药痛可贴关节炎型4贴</v>
      </c>
      <c r="X2588" s="6" t="s">
        <v>2901</v>
      </c>
    </row>
    <row r="2589" spans="1:24" x14ac:dyDescent="0.15">
      <c r="A2589" s="7" t="str">
        <f t="shared" si="84"/>
        <v>201806</v>
      </c>
      <c r="C2589" s="6" t="str">
        <f>INDEX(工厂基础数据!$A$2:$A$1024,MATCH(X2589,工厂基础数据!$D$2:$D$1024,0))</f>
        <v>02037769</v>
      </c>
      <c r="E2589" s="6" t="str">
        <f>INDEX(工厂基础数据!$B$2:$B$1024,MATCH(X2589,工厂基础数据!$D$2:$D$1024,0))</f>
        <v>山东海川医药有限公司</v>
      </c>
      <c r="F2589" s="6" t="e">
        <f>INDEX(商业2转码!$B$2:$B$10000,MATCH(E2589,商业2转码!$A$2:$A$10000,0))</f>
        <v>#N/A</v>
      </c>
      <c r="G2589" s="6" t="str">
        <f>INDEX(品种2编码!$A$2:$A$1048576,MATCH(W2589,品种2编码!$D$2:$D$1048576,0))</f>
        <v>0020020020SJMS0008</v>
      </c>
      <c r="H2589" s="6" t="s">
        <v>474</v>
      </c>
      <c r="I2589" s="6" t="s">
        <v>1873</v>
      </c>
      <c r="J2589" s="6" t="s">
        <v>3046</v>
      </c>
      <c r="L2589" s="6" t="s">
        <v>3646</v>
      </c>
      <c r="M2589" s="6" t="e">
        <f>INDEX(医院2县区2人!$B$2:$B$1048576,MATCH(L2589,医院2县区2人!$A$2:$A$1048576,0))</f>
        <v>#N/A</v>
      </c>
      <c r="N2589" s="6" t="e">
        <f>INDEX(医院2县区2人!$C$2:$C$1048576,MATCH(L2589,医院2县区2人!$A$2:$A$1048576,0))</f>
        <v>#N/A</v>
      </c>
      <c r="P2589" s="7">
        <v>43258</v>
      </c>
      <c r="Q2589" s="6">
        <v>-30</v>
      </c>
      <c r="S2589" s="6">
        <v>1803012</v>
      </c>
      <c r="T2589" s="6" t="e">
        <f>INDEX(医院2县区2人!$D$2:$D$1048576,MATCH(L2589,医院2县区2人!$A$2:$A$1048576,0))</f>
        <v>#N/A</v>
      </c>
      <c r="W2589" s="6" t="str">
        <f t="shared" si="83"/>
        <v>拉西地平片4mg*15片</v>
      </c>
      <c r="X2589" s="6" t="s">
        <v>2901</v>
      </c>
    </row>
    <row r="2590" spans="1:24" x14ac:dyDescent="0.15">
      <c r="A2590" s="7" t="str">
        <f t="shared" si="84"/>
        <v>201806</v>
      </c>
      <c r="C2590" s="6" t="str">
        <f>INDEX(工厂基础数据!$A$2:$A$1024,MATCH(X2590,工厂基础数据!$D$2:$D$1024,0))</f>
        <v>02037769</v>
      </c>
      <c r="E2590" s="6" t="str">
        <f>INDEX(工厂基础数据!$B$2:$B$1024,MATCH(X2590,工厂基础数据!$D$2:$D$1024,0))</f>
        <v>山东海川医药有限公司</v>
      </c>
      <c r="F2590" s="6" t="e">
        <f>INDEX(商业2转码!$B$2:$B$10000,MATCH(E2590,商业2转码!$A$2:$A$10000,0))</f>
        <v>#N/A</v>
      </c>
      <c r="G2590" s="6" t="str">
        <f>INDEX(品种2编码!$A$2:$A$1048576,MATCH(W2590,品种2编码!$D$2:$D$1048576,0))</f>
        <v>0020040001SHYT0011</v>
      </c>
      <c r="H2590" s="6" t="s">
        <v>522</v>
      </c>
      <c r="I2590" s="6" t="s">
        <v>1867</v>
      </c>
      <c r="J2590" s="6" t="s">
        <v>3037</v>
      </c>
      <c r="L2590" s="6" t="s">
        <v>3646</v>
      </c>
      <c r="M2590" s="6" t="e">
        <f>INDEX(医院2县区2人!$B$2:$B$1048576,MATCH(L2590,医院2县区2人!$A$2:$A$1048576,0))</f>
        <v>#N/A</v>
      </c>
      <c r="N2590" s="6" t="e">
        <f>INDEX(医院2县区2人!$C$2:$C$1048576,MATCH(L2590,医院2县区2人!$A$2:$A$1048576,0))</f>
        <v>#N/A</v>
      </c>
      <c r="P2590" s="7">
        <v>43258</v>
      </c>
      <c r="Q2590" s="6">
        <v>-100</v>
      </c>
      <c r="S2590" s="6">
        <v>1611141</v>
      </c>
      <c r="T2590" s="6" t="e">
        <f>INDEX(医院2县区2人!$D$2:$D$1048576,MATCH(L2590,医院2县区2人!$A$2:$A$1048576,0))</f>
        <v>#N/A</v>
      </c>
      <c r="W2590" s="6" t="str">
        <f t="shared" si="83"/>
        <v>牛黄解毒丸3g*10丸</v>
      </c>
      <c r="X2590" s="6" t="s">
        <v>2901</v>
      </c>
    </row>
    <row r="2591" spans="1:24" x14ac:dyDescent="0.15">
      <c r="A2591" s="7" t="str">
        <f t="shared" si="84"/>
        <v>201806</v>
      </c>
      <c r="C2591" s="6" t="str">
        <f>INDEX(工厂基础数据!$A$2:$A$1024,MATCH(X2591,工厂基础数据!$D$2:$D$1024,0))</f>
        <v>02037769</v>
      </c>
      <c r="E2591" s="6" t="str">
        <f>INDEX(工厂基础数据!$B$2:$B$1024,MATCH(X2591,工厂基础数据!$D$2:$D$1024,0))</f>
        <v>山东海川医药有限公司</v>
      </c>
      <c r="F2591" s="6" t="e">
        <f>INDEX(商业2转码!$B$2:$B$10000,MATCH(E2591,商业2转码!$A$2:$A$10000,0))</f>
        <v>#N/A</v>
      </c>
      <c r="G2591" s="6">
        <f>INDEX(品种2编码!$A$2:$A$1048576,MATCH(W2591,品种2编码!$D$2:$D$1048576,0))</f>
        <v>0</v>
      </c>
      <c r="H2591" s="6" t="s">
        <v>527</v>
      </c>
      <c r="I2591" s="6" t="s">
        <v>1924</v>
      </c>
      <c r="J2591" s="6" t="s">
        <v>3037</v>
      </c>
      <c r="L2591" s="6" t="s">
        <v>3646</v>
      </c>
      <c r="M2591" s="6" t="e">
        <f>INDEX(医院2县区2人!$B$2:$B$1048576,MATCH(L2591,医院2县区2人!$A$2:$A$1048576,0))</f>
        <v>#N/A</v>
      </c>
      <c r="N2591" s="6" t="e">
        <f>INDEX(医院2县区2人!$C$2:$C$1048576,MATCH(L2591,医院2县区2人!$A$2:$A$1048576,0))</f>
        <v>#N/A</v>
      </c>
      <c r="P2591" s="7">
        <v>43258</v>
      </c>
      <c r="Q2591" s="6">
        <v>-100</v>
      </c>
      <c r="S2591" s="6">
        <v>1610124</v>
      </c>
      <c r="T2591" s="6" t="e">
        <f>INDEX(医院2县区2人!$D$2:$D$1048576,MATCH(L2591,医院2县区2人!$A$2:$A$1048576,0))</f>
        <v>#N/A</v>
      </c>
      <c r="W2591" s="6" t="str">
        <f t="shared" si="83"/>
        <v>牛黄清胃丸6g*10丸</v>
      </c>
      <c r="X2591" s="6" t="s">
        <v>2901</v>
      </c>
    </row>
    <row r="2592" spans="1:24" x14ac:dyDescent="0.15">
      <c r="A2592" s="7" t="str">
        <f t="shared" si="84"/>
        <v>201806</v>
      </c>
      <c r="C2592" s="6" t="str">
        <f>INDEX(工厂基础数据!$A$2:$A$1024,MATCH(X2592,工厂基础数据!$D$2:$D$1024,0))</f>
        <v>02037769</v>
      </c>
      <c r="E2592" s="6" t="str">
        <f>INDEX(工厂基础数据!$B$2:$B$1024,MATCH(X2592,工厂基础数据!$D$2:$D$1024,0))</f>
        <v>山东海川医药有限公司</v>
      </c>
      <c r="F2592" s="6" t="e">
        <f>INDEX(商业2转码!$B$2:$B$10000,MATCH(E2592,商业2转码!$A$2:$A$10000,0))</f>
        <v>#N/A</v>
      </c>
      <c r="G2592" s="6" t="str">
        <f>INDEX(品种2编码!$A$2:$A$1048576,MATCH(W2592,品种2编码!$D$2:$D$1048576,0))</f>
        <v>0020030001SJZY0006</v>
      </c>
      <c r="H2592" s="6" t="s">
        <v>1833</v>
      </c>
      <c r="I2592" s="6" t="s">
        <v>411</v>
      </c>
      <c r="J2592" s="6" t="s">
        <v>3044</v>
      </c>
      <c r="L2592" s="6" t="s">
        <v>3669</v>
      </c>
      <c r="M2592" s="6" t="e">
        <f>INDEX(医院2县区2人!$B$2:$B$1048576,MATCH(L2592,医院2县区2人!$A$2:$A$1048576,0))</f>
        <v>#N/A</v>
      </c>
      <c r="N2592" s="6" t="e">
        <f>INDEX(医院2县区2人!$C$2:$C$1048576,MATCH(L2592,医院2县区2人!$A$2:$A$1048576,0))</f>
        <v>#N/A</v>
      </c>
      <c r="P2592" s="7">
        <v>43258</v>
      </c>
      <c r="Q2592" s="6">
        <v>1</v>
      </c>
      <c r="S2592" s="6">
        <v>18030532</v>
      </c>
      <c r="T2592" s="6" t="e">
        <f>INDEX(医院2县区2人!$D$2:$D$1048576,MATCH(L2592,医院2县区2人!$A$2:$A$1048576,0))</f>
        <v>#N/A</v>
      </c>
      <c r="W2592" s="6" t="str">
        <f t="shared" si="83"/>
        <v>葡萄糖酸钙口服溶液10ml*12支</v>
      </c>
      <c r="X2592" s="6" t="s">
        <v>2901</v>
      </c>
    </row>
    <row r="2593" spans="1:24" x14ac:dyDescent="0.15">
      <c r="A2593" s="7" t="str">
        <f t="shared" si="84"/>
        <v>201806</v>
      </c>
      <c r="C2593" s="6" t="str">
        <f>INDEX(工厂基础数据!$A$2:$A$1024,MATCH(X2593,工厂基础数据!$D$2:$D$1024,0))</f>
        <v>02037769</v>
      </c>
      <c r="E2593" s="6" t="str">
        <f>INDEX(工厂基础数据!$B$2:$B$1024,MATCH(X2593,工厂基础数据!$D$2:$D$1024,0))</f>
        <v>山东海川医药有限公司</v>
      </c>
      <c r="F2593" s="6" t="e">
        <f>INDEX(商业2转码!$B$2:$B$10000,MATCH(E2593,商业2转码!$A$2:$A$10000,0))</f>
        <v>#N/A</v>
      </c>
      <c r="G2593" s="6" t="str">
        <f>INDEX(品种2编码!$A$2:$A$1048576,MATCH(W2593,品种2编码!$D$2:$D$1048576,0))</f>
        <v>0020030040ZYLC0001</v>
      </c>
      <c r="H2593" s="6" t="s">
        <v>1953</v>
      </c>
      <c r="I2593" s="6" t="s">
        <v>1954</v>
      </c>
      <c r="J2593" s="6" t="s">
        <v>3036</v>
      </c>
      <c r="L2593" s="6" t="s">
        <v>3670</v>
      </c>
      <c r="M2593" s="6" t="e">
        <f>INDEX(医院2县区2人!$B$2:$B$1048576,MATCH(L2593,医院2县区2人!$A$2:$A$1048576,0))</f>
        <v>#N/A</v>
      </c>
      <c r="N2593" s="6" t="e">
        <f>INDEX(医院2县区2人!$C$2:$C$1048576,MATCH(L2593,医院2县区2人!$A$2:$A$1048576,0))</f>
        <v>#N/A</v>
      </c>
      <c r="P2593" s="7">
        <v>43258</v>
      </c>
      <c r="Q2593" s="6">
        <v>10</v>
      </c>
      <c r="S2593" s="6">
        <v>180137</v>
      </c>
      <c r="T2593" s="6" t="e">
        <f>INDEX(医院2县区2人!$D$2:$D$1048576,MATCH(L2593,医院2县区2人!$A$2:$A$1048576,0))</f>
        <v>#N/A</v>
      </c>
      <c r="W2593" s="6" t="str">
        <f t="shared" si="83"/>
        <v>小儿氨酚黄那敏颗粒12袋</v>
      </c>
      <c r="X2593" s="6" t="s">
        <v>2901</v>
      </c>
    </row>
    <row r="2594" spans="1:24" x14ac:dyDescent="0.15">
      <c r="A2594" s="7" t="str">
        <f t="shared" si="84"/>
        <v>201806</v>
      </c>
      <c r="C2594" s="6" t="str">
        <f>INDEX(工厂基础数据!$A$2:$A$1024,MATCH(X2594,工厂基础数据!$D$2:$D$1024,0))</f>
        <v>02037769</v>
      </c>
      <c r="E2594" s="6" t="str">
        <f>INDEX(工厂基础数据!$B$2:$B$1024,MATCH(X2594,工厂基础数据!$D$2:$D$1024,0))</f>
        <v>山东海川医药有限公司</v>
      </c>
      <c r="F2594" s="6" t="e">
        <f>INDEX(商业2转码!$B$2:$B$10000,MATCH(E2594,商业2转码!$A$2:$A$10000,0))</f>
        <v>#N/A</v>
      </c>
      <c r="G2594" s="6" t="str">
        <f>INDEX(品种2编码!$A$2:$A$1048576,MATCH(W2594,品种2编码!$D$2:$D$1048576,0))</f>
        <v>0020030001SJZY0009</v>
      </c>
      <c r="H2594" s="6" t="s">
        <v>1949</v>
      </c>
      <c r="I2594" s="6" t="s">
        <v>411</v>
      </c>
      <c r="J2594" s="6" t="s">
        <v>3040</v>
      </c>
      <c r="L2594" s="6" t="s">
        <v>3671</v>
      </c>
      <c r="M2594" s="6" t="e">
        <f>INDEX(医院2县区2人!$B$2:$B$1048576,MATCH(L2594,医院2县区2人!$A$2:$A$1048576,0))</f>
        <v>#N/A</v>
      </c>
      <c r="N2594" s="6" t="e">
        <f>INDEX(医院2县区2人!$C$2:$C$1048576,MATCH(L2594,医院2县区2人!$A$2:$A$1048576,0))</f>
        <v>#N/A</v>
      </c>
      <c r="P2594" s="7">
        <v>43258</v>
      </c>
      <c r="Q2594" s="6">
        <v>80</v>
      </c>
      <c r="S2594" s="6">
        <v>18031227</v>
      </c>
      <c r="T2594" s="6" t="e">
        <f>INDEX(医院2县区2人!$D$2:$D$1048576,MATCH(L2594,医院2县区2人!$A$2:$A$1048576,0))</f>
        <v>#N/A</v>
      </c>
      <c r="W2594" s="6" t="str">
        <f t="shared" si="83"/>
        <v>葡萄糖酸锌口服溶液10ml*12支</v>
      </c>
      <c r="X2594" s="6" t="s">
        <v>2901</v>
      </c>
    </row>
    <row r="2595" spans="1:24" x14ac:dyDescent="0.15">
      <c r="A2595" s="7" t="str">
        <f t="shared" si="84"/>
        <v>201806</v>
      </c>
      <c r="C2595" s="6" t="str">
        <f>INDEX(工厂基础数据!$A$2:$A$1024,MATCH(X2595,工厂基础数据!$D$2:$D$1024,0))</f>
        <v>02037769</v>
      </c>
      <c r="E2595" s="6" t="str">
        <f>INDEX(工厂基础数据!$B$2:$B$1024,MATCH(X2595,工厂基础数据!$D$2:$D$1024,0))</f>
        <v>山东海川医药有限公司</v>
      </c>
      <c r="F2595" s="6" t="e">
        <f>INDEX(商业2转码!$B$2:$B$10000,MATCH(E2595,商业2转码!$A$2:$A$10000,0))</f>
        <v>#N/A</v>
      </c>
      <c r="G2595" s="6" t="str">
        <f>INDEX(品种2编码!$A$2:$A$1048576,MATCH(W2595,品种2编码!$D$2:$D$1048576,0))</f>
        <v>0020050090SJZY0001</v>
      </c>
      <c r="H2595" s="6" t="s">
        <v>630</v>
      </c>
      <c r="I2595" s="6" t="s">
        <v>1850</v>
      </c>
      <c r="J2595" s="6" t="s">
        <v>3044</v>
      </c>
      <c r="L2595" s="6" t="s">
        <v>3671</v>
      </c>
      <c r="M2595" s="6" t="e">
        <f>INDEX(医院2县区2人!$B$2:$B$1048576,MATCH(L2595,医院2县区2人!$A$2:$A$1048576,0))</f>
        <v>#N/A</v>
      </c>
      <c r="N2595" s="6" t="e">
        <f>INDEX(医院2县区2人!$C$2:$C$1048576,MATCH(L2595,医院2县区2人!$A$2:$A$1048576,0))</f>
        <v>#N/A</v>
      </c>
      <c r="P2595" s="7">
        <v>43258</v>
      </c>
      <c r="Q2595" s="6">
        <v>50</v>
      </c>
      <c r="S2595" s="6">
        <v>18030921</v>
      </c>
      <c r="T2595" s="6" t="e">
        <f>INDEX(医院2县区2人!$D$2:$D$1048576,MATCH(L2595,医院2县区2人!$A$2:$A$1048576,0))</f>
        <v>#N/A</v>
      </c>
      <c r="W2595" s="6" t="str">
        <f t="shared" si="83"/>
        <v>双黄连口服液10ml*10支</v>
      </c>
      <c r="X2595" s="6" t="s">
        <v>2901</v>
      </c>
    </row>
    <row r="2596" spans="1:24" x14ac:dyDescent="0.15">
      <c r="A2596" s="7" t="str">
        <f t="shared" si="84"/>
        <v>201806</v>
      </c>
      <c r="C2596" s="6" t="str">
        <f>INDEX(工厂基础数据!$A$2:$A$1024,MATCH(X2596,工厂基础数据!$D$2:$D$1024,0))</f>
        <v>02037769</v>
      </c>
      <c r="E2596" s="6" t="str">
        <f>INDEX(工厂基础数据!$B$2:$B$1024,MATCH(X2596,工厂基础数据!$D$2:$D$1024,0))</f>
        <v>山东海川医药有限公司</v>
      </c>
      <c r="F2596" s="6" t="e">
        <f>INDEX(商业2转码!$B$2:$B$10000,MATCH(E2596,商业2转码!$A$2:$A$10000,0))</f>
        <v>#N/A</v>
      </c>
      <c r="G2596" s="6" t="str">
        <f>INDEX(品种2编码!$A$2:$A$1048576,MATCH(W2596,品种2编码!$D$2:$D$1048576,0))</f>
        <v>0020030001SJZY0006</v>
      </c>
      <c r="H2596" s="6" t="s">
        <v>1833</v>
      </c>
      <c r="I2596" s="6" t="s">
        <v>411</v>
      </c>
      <c r="J2596" s="6" t="s">
        <v>3044</v>
      </c>
      <c r="L2596" s="6" t="s">
        <v>3671</v>
      </c>
      <c r="M2596" s="6" t="e">
        <f>INDEX(医院2县区2人!$B$2:$B$1048576,MATCH(L2596,医院2县区2人!$A$2:$A$1048576,0))</f>
        <v>#N/A</v>
      </c>
      <c r="N2596" s="6" t="e">
        <f>INDEX(医院2县区2人!$C$2:$C$1048576,MATCH(L2596,医院2县区2人!$A$2:$A$1048576,0))</f>
        <v>#N/A</v>
      </c>
      <c r="P2596" s="7">
        <v>43258</v>
      </c>
      <c r="Q2596" s="6">
        <v>50</v>
      </c>
      <c r="S2596" s="6">
        <v>18030532</v>
      </c>
      <c r="T2596" s="6" t="e">
        <f>INDEX(医院2县区2人!$D$2:$D$1048576,MATCH(L2596,医院2县区2人!$A$2:$A$1048576,0))</f>
        <v>#N/A</v>
      </c>
      <c r="W2596" s="6" t="str">
        <f t="shared" si="83"/>
        <v>葡萄糖酸钙口服溶液10ml*12支</v>
      </c>
      <c r="X2596" s="6" t="s">
        <v>2901</v>
      </c>
    </row>
    <row r="2597" spans="1:24" x14ac:dyDescent="0.15">
      <c r="A2597" s="7" t="str">
        <f t="shared" si="84"/>
        <v>201806</v>
      </c>
      <c r="C2597" s="6" t="str">
        <f>INDEX(工厂基础数据!$A$2:$A$1024,MATCH(X2597,工厂基础数据!$D$2:$D$1024,0))</f>
        <v>02037769</v>
      </c>
      <c r="E2597" s="6" t="str">
        <f>INDEX(工厂基础数据!$B$2:$B$1024,MATCH(X2597,工厂基础数据!$D$2:$D$1024,0))</f>
        <v>山东海川医药有限公司</v>
      </c>
      <c r="F2597" s="6" t="e">
        <f>INDEX(商业2转码!$B$2:$B$10000,MATCH(E2597,商业2转码!$A$2:$A$10000,0))</f>
        <v>#N/A</v>
      </c>
      <c r="G2597" s="6">
        <f>INDEX(品种2编码!$A$2:$A$1048576,MATCH(W2597,品种2编码!$D$2:$D$1048576,0))</f>
        <v>0</v>
      </c>
      <c r="H2597" s="6" t="s">
        <v>3747</v>
      </c>
      <c r="I2597" s="6" t="s">
        <v>381</v>
      </c>
      <c r="J2597" s="6" t="s">
        <v>3036</v>
      </c>
      <c r="L2597" s="6" t="s">
        <v>3671</v>
      </c>
      <c r="M2597" s="6" t="e">
        <f>INDEX(医院2县区2人!$B$2:$B$1048576,MATCH(L2597,医院2县区2人!$A$2:$A$1048576,0))</f>
        <v>#N/A</v>
      </c>
      <c r="N2597" s="6" t="e">
        <f>INDEX(医院2县区2人!$C$2:$C$1048576,MATCH(L2597,医院2县区2人!$A$2:$A$1048576,0))</f>
        <v>#N/A</v>
      </c>
      <c r="P2597" s="7">
        <v>43258</v>
      </c>
      <c r="Q2597" s="6">
        <v>30</v>
      </c>
      <c r="S2597" s="6">
        <v>161103</v>
      </c>
      <c r="T2597" s="6" t="e">
        <f>INDEX(医院2县区2人!$D$2:$D$1048576,MATCH(L2597,医院2县区2人!$A$2:$A$1048576,0))</f>
        <v>#N/A</v>
      </c>
      <c r="W2597" s="6" t="str">
        <f t="shared" si="83"/>
        <v>颠茄磺苄啶片（成人）12片</v>
      </c>
      <c r="X2597" s="6" t="s">
        <v>2901</v>
      </c>
    </row>
    <row r="2598" spans="1:24" x14ac:dyDescent="0.15">
      <c r="A2598" s="7" t="str">
        <f t="shared" si="84"/>
        <v>201806</v>
      </c>
      <c r="C2598" s="6" t="str">
        <f>INDEX(工厂基础数据!$A$2:$A$1024,MATCH(X2598,工厂基础数据!$D$2:$D$1024,0))</f>
        <v>02037769</v>
      </c>
      <c r="E2598" s="6" t="str">
        <f>INDEX(工厂基础数据!$B$2:$B$1024,MATCH(X2598,工厂基础数据!$D$2:$D$1024,0))</f>
        <v>山东海川医药有限公司</v>
      </c>
      <c r="F2598" s="6" t="e">
        <f>INDEX(商业2转码!$B$2:$B$10000,MATCH(E2598,商业2转码!$A$2:$A$10000,0))</f>
        <v>#N/A</v>
      </c>
      <c r="G2598" s="6" t="str">
        <f>INDEX(品种2编码!$A$2:$A$1048576,MATCH(W2598,品种2编码!$D$2:$D$1048576,0))</f>
        <v>0020070001ZYZC0383</v>
      </c>
      <c r="H2598" s="6" t="s">
        <v>1849</v>
      </c>
      <c r="I2598" s="6" t="s">
        <v>1850</v>
      </c>
      <c r="J2598" s="6" t="s">
        <v>3038</v>
      </c>
      <c r="L2598" s="6" t="s">
        <v>3671</v>
      </c>
      <c r="M2598" s="6" t="e">
        <f>INDEX(医院2县区2人!$B$2:$B$1048576,MATCH(L2598,医院2县区2人!$A$2:$A$1048576,0))</f>
        <v>#N/A</v>
      </c>
      <c r="N2598" s="6" t="e">
        <f>INDEX(医院2县区2人!$C$2:$C$1048576,MATCH(L2598,医院2县区2人!$A$2:$A$1048576,0))</f>
        <v>#N/A</v>
      </c>
      <c r="P2598" s="7">
        <v>43258</v>
      </c>
      <c r="Q2598" s="6">
        <v>50</v>
      </c>
      <c r="S2598" s="6">
        <v>1802005</v>
      </c>
      <c r="T2598" s="6" t="e">
        <f>INDEX(医院2县区2人!$D$2:$D$1048576,MATCH(L2598,医院2县区2人!$A$2:$A$1048576,0))</f>
        <v>#N/A</v>
      </c>
      <c r="W2598" s="6" t="str">
        <f t="shared" si="83"/>
        <v>哈药牌钙铁锌口服液10ml*10支</v>
      </c>
      <c r="X2598" s="6" t="s">
        <v>2901</v>
      </c>
    </row>
    <row r="2599" spans="1:24" x14ac:dyDescent="0.15">
      <c r="A2599" s="7" t="str">
        <f t="shared" si="84"/>
        <v>201806</v>
      </c>
      <c r="C2599" s="6" t="str">
        <f>INDEX(工厂基础数据!$A$2:$A$1024,MATCH(X2599,工厂基础数据!$D$2:$D$1024,0))</f>
        <v>02037769</v>
      </c>
      <c r="E2599" s="6" t="str">
        <f>INDEX(工厂基础数据!$B$2:$B$1024,MATCH(X2599,工厂基础数据!$D$2:$D$1024,0))</f>
        <v>山东海川医药有限公司</v>
      </c>
      <c r="F2599" s="6" t="e">
        <f>INDEX(商业2转码!$B$2:$B$10000,MATCH(E2599,商业2转码!$A$2:$A$10000,0))</f>
        <v>#N/A</v>
      </c>
      <c r="G2599" s="6" t="str">
        <f>INDEX(品种2编码!$A$2:$A$1048576,MATCH(W2599,品种2编码!$D$2:$D$1048576,0))</f>
        <v>0020070001ZYLC0001</v>
      </c>
      <c r="H2599" s="6" t="s">
        <v>1905</v>
      </c>
      <c r="I2599" s="6" t="s">
        <v>411</v>
      </c>
      <c r="J2599" s="6" t="s">
        <v>3036</v>
      </c>
      <c r="L2599" s="6" t="s">
        <v>3671</v>
      </c>
      <c r="M2599" s="6" t="e">
        <f>INDEX(医院2县区2人!$B$2:$B$1048576,MATCH(L2599,医院2县区2人!$A$2:$A$1048576,0))</f>
        <v>#N/A</v>
      </c>
      <c r="N2599" s="6" t="e">
        <f>INDEX(医院2县区2人!$C$2:$C$1048576,MATCH(L2599,医院2县区2人!$A$2:$A$1048576,0))</f>
        <v>#N/A</v>
      </c>
      <c r="P2599" s="7">
        <v>43258</v>
      </c>
      <c r="Q2599" s="6">
        <v>50</v>
      </c>
      <c r="S2599" s="6">
        <v>180121</v>
      </c>
      <c r="T2599" s="6" t="e">
        <f>INDEX(医院2县区2人!$D$2:$D$1048576,MATCH(L2599,医院2县区2人!$A$2:$A$1048576,0))</f>
        <v>#N/A</v>
      </c>
      <c r="W2599" s="6" t="str">
        <f t="shared" si="83"/>
        <v>哈药六钙锌口服液10ml*12支</v>
      </c>
      <c r="X2599" s="6" t="s">
        <v>2901</v>
      </c>
    </row>
    <row r="2600" spans="1:24" x14ac:dyDescent="0.15">
      <c r="A2600" s="7" t="str">
        <f t="shared" si="84"/>
        <v>201806</v>
      </c>
      <c r="C2600" s="6" t="str">
        <f>INDEX(工厂基础数据!$A$2:$A$1024,MATCH(X2600,工厂基础数据!$D$2:$D$1024,0))</f>
        <v>02037769</v>
      </c>
      <c r="E2600" s="6" t="str">
        <f>INDEX(工厂基础数据!$B$2:$B$1024,MATCH(X2600,工厂基础数据!$D$2:$D$1024,0))</f>
        <v>山东海川医药有限公司</v>
      </c>
      <c r="F2600" s="6" t="e">
        <f>INDEX(商业2转码!$B$2:$B$10000,MATCH(E2600,商业2转码!$A$2:$A$10000,0))</f>
        <v>#N/A</v>
      </c>
      <c r="G2600" s="6" t="str">
        <f>INDEX(品种2编码!$A$2:$A$1048576,MATCH(W2600,品种2编码!$D$2:$D$1048576,0))</f>
        <v>0020030001SJZY0006</v>
      </c>
      <c r="H2600" s="6" t="s">
        <v>1833</v>
      </c>
      <c r="I2600" s="6" t="s">
        <v>411</v>
      </c>
      <c r="J2600" s="6" t="s">
        <v>3044</v>
      </c>
      <c r="L2600" s="6" t="s">
        <v>3672</v>
      </c>
      <c r="M2600" s="6" t="e">
        <f>INDEX(医院2县区2人!$B$2:$B$1048576,MATCH(L2600,医院2县区2人!$A$2:$A$1048576,0))</f>
        <v>#N/A</v>
      </c>
      <c r="N2600" s="6" t="e">
        <f>INDEX(医院2县区2人!$C$2:$C$1048576,MATCH(L2600,医院2县区2人!$A$2:$A$1048576,0))</f>
        <v>#N/A</v>
      </c>
      <c r="P2600" s="7">
        <v>43258</v>
      </c>
      <c r="Q2600" s="6">
        <v>-1</v>
      </c>
      <c r="S2600" s="6">
        <v>17063012</v>
      </c>
      <c r="T2600" s="6" t="e">
        <f>INDEX(医院2县区2人!$D$2:$D$1048576,MATCH(L2600,医院2县区2人!$A$2:$A$1048576,0))</f>
        <v>#N/A</v>
      </c>
      <c r="W2600" s="6" t="str">
        <f t="shared" si="83"/>
        <v>葡萄糖酸钙口服溶液10ml*12支</v>
      </c>
      <c r="X2600" s="6" t="s">
        <v>2901</v>
      </c>
    </row>
    <row r="2601" spans="1:24" x14ac:dyDescent="0.15">
      <c r="A2601" s="7" t="str">
        <f t="shared" si="84"/>
        <v>201806</v>
      </c>
      <c r="C2601" s="6" t="str">
        <f>INDEX(工厂基础数据!$A$2:$A$1024,MATCH(X2601,工厂基础数据!$D$2:$D$1024,0))</f>
        <v>02037769</v>
      </c>
      <c r="E2601" s="6" t="str">
        <f>INDEX(工厂基础数据!$B$2:$B$1024,MATCH(X2601,工厂基础数据!$D$2:$D$1024,0))</f>
        <v>山东海川医药有限公司</v>
      </c>
      <c r="F2601" s="6" t="e">
        <f>INDEX(商业2转码!$B$2:$B$10000,MATCH(E2601,商业2转码!$A$2:$A$10000,0))</f>
        <v>#N/A</v>
      </c>
      <c r="G2601" s="6" t="str">
        <f>INDEX(品种2编码!$A$2:$A$1048576,MATCH(W2601,品种2编码!$D$2:$D$1048576,0))</f>
        <v>0020030001SJZY0006</v>
      </c>
      <c r="H2601" s="6" t="s">
        <v>1833</v>
      </c>
      <c r="I2601" s="6" t="s">
        <v>411</v>
      </c>
      <c r="J2601" s="6" t="s">
        <v>3044</v>
      </c>
      <c r="L2601" s="6" t="s">
        <v>3624</v>
      </c>
      <c r="M2601" s="6" t="e">
        <f>INDEX(医院2县区2人!$B$2:$B$1048576,MATCH(L2601,医院2县区2人!$A$2:$A$1048576,0))</f>
        <v>#N/A</v>
      </c>
      <c r="N2601" s="6" t="e">
        <f>INDEX(医院2县区2人!$C$2:$C$1048576,MATCH(L2601,医院2县区2人!$A$2:$A$1048576,0))</f>
        <v>#N/A</v>
      </c>
      <c r="P2601" s="7">
        <v>43258</v>
      </c>
      <c r="Q2601" s="6">
        <v>1</v>
      </c>
      <c r="S2601" s="6">
        <v>17063012</v>
      </c>
      <c r="T2601" s="6" t="e">
        <f>INDEX(医院2县区2人!$D$2:$D$1048576,MATCH(L2601,医院2县区2人!$A$2:$A$1048576,0))</f>
        <v>#N/A</v>
      </c>
      <c r="W2601" s="6" t="str">
        <f t="shared" si="83"/>
        <v>葡萄糖酸钙口服溶液10ml*12支</v>
      </c>
      <c r="X2601" s="6" t="s">
        <v>2901</v>
      </c>
    </row>
    <row r="2602" spans="1:24" x14ac:dyDescent="0.15">
      <c r="A2602" s="7" t="str">
        <f t="shared" si="84"/>
        <v>201806</v>
      </c>
      <c r="C2602" s="6" t="str">
        <f>INDEX(工厂基础数据!$A$2:$A$1024,MATCH(X2602,工厂基础数据!$D$2:$D$1024,0))</f>
        <v>02037769</v>
      </c>
      <c r="E2602" s="6" t="str">
        <f>INDEX(工厂基础数据!$B$2:$B$1024,MATCH(X2602,工厂基础数据!$D$2:$D$1024,0))</f>
        <v>山东海川医药有限公司</v>
      </c>
      <c r="F2602" s="6" t="e">
        <f>INDEX(商业2转码!$B$2:$B$10000,MATCH(E2602,商业2转码!$A$2:$A$10000,0))</f>
        <v>#N/A</v>
      </c>
      <c r="G2602" s="6" t="str">
        <f>INDEX(品种2编码!$A$2:$A$1048576,MATCH(W2602,品种2编码!$D$2:$D$1048576,0))</f>
        <v>0020030001SJZY0006</v>
      </c>
      <c r="H2602" s="6" t="s">
        <v>1833</v>
      </c>
      <c r="I2602" s="6" t="s">
        <v>411</v>
      </c>
      <c r="J2602" s="6" t="s">
        <v>3044</v>
      </c>
      <c r="L2602" s="6" t="s">
        <v>3673</v>
      </c>
      <c r="M2602" s="6" t="e">
        <f>INDEX(医院2县区2人!$B$2:$B$1048576,MATCH(L2602,医院2县区2人!$A$2:$A$1048576,0))</f>
        <v>#N/A</v>
      </c>
      <c r="N2602" s="6" t="e">
        <f>INDEX(医院2县区2人!$C$2:$C$1048576,MATCH(L2602,医院2县区2人!$A$2:$A$1048576,0))</f>
        <v>#N/A</v>
      </c>
      <c r="P2602" s="7">
        <v>43259</v>
      </c>
      <c r="Q2602" s="6">
        <v>3</v>
      </c>
      <c r="S2602" s="6">
        <v>18030532</v>
      </c>
      <c r="T2602" s="6" t="e">
        <f>INDEX(医院2县区2人!$D$2:$D$1048576,MATCH(L2602,医院2县区2人!$A$2:$A$1048576,0))</f>
        <v>#N/A</v>
      </c>
      <c r="W2602" s="6" t="str">
        <f t="shared" si="83"/>
        <v>葡萄糖酸钙口服溶液10ml*12支</v>
      </c>
      <c r="X2602" s="6" t="s">
        <v>2901</v>
      </c>
    </row>
    <row r="2603" spans="1:24" x14ac:dyDescent="0.15">
      <c r="A2603" s="7" t="str">
        <f t="shared" si="84"/>
        <v>201806</v>
      </c>
      <c r="C2603" s="6" t="str">
        <f>INDEX(工厂基础数据!$A$2:$A$1024,MATCH(X2603,工厂基础数据!$D$2:$D$1024,0))</f>
        <v>02037769</v>
      </c>
      <c r="E2603" s="6" t="str">
        <f>INDEX(工厂基础数据!$B$2:$B$1024,MATCH(X2603,工厂基础数据!$D$2:$D$1024,0))</f>
        <v>山东海川医药有限公司</v>
      </c>
      <c r="F2603" s="6" t="e">
        <f>INDEX(商业2转码!$B$2:$B$10000,MATCH(E2603,商业2转码!$A$2:$A$10000,0))</f>
        <v>#N/A</v>
      </c>
      <c r="G2603" s="6" t="str">
        <f>INDEX(品种2编码!$A$2:$A$1048576,MATCH(W2603,品种2编码!$D$2:$D$1048576,0))</f>
        <v>0020030020SJSC0004</v>
      </c>
      <c r="H2603" s="6" t="s">
        <v>394</v>
      </c>
      <c r="I2603" s="6" t="s">
        <v>1871</v>
      </c>
      <c r="J2603" s="6" t="s">
        <v>3755</v>
      </c>
      <c r="L2603" s="6" t="s">
        <v>3658</v>
      </c>
      <c r="M2603" s="6" t="e">
        <f>INDEX(医院2县区2人!$B$2:$B$1048576,MATCH(L2603,医院2县区2人!$A$2:$A$1048576,0))</f>
        <v>#N/A</v>
      </c>
      <c r="N2603" s="6" t="e">
        <f>INDEX(医院2县区2人!$C$2:$C$1048576,MATCH(L2603,医院2县区2人!$A$2:$A$1048576,0))</f>
        <v>#N/A</v>
      </c>
      <c r="P2603" s="7">
        <v>43259</v>
      </c>
      <c r="Q2603" s="6">
        <v>3</v>
      </c>
      <c r="S2603" s="6">
        <v>1802021</v>
      </c>
      <c r="T2603" s="6" t="e">
        <f>INDEX(医院2县区2人!$D$2:$D$1048576,MATCH(L2603,医院2县区2人!$A$2:$A$1048576,0))</f>
        <v>#N/A</v>
      </c>
      <c r="W2603" s="6" t="str">
        <f t="shared" si="83"/>
        <v>复方铝酸铋片50片</v>
      </c>
      <c r="X2603" s="6" t="s">
        <v>2901</v>
      </c>
    </row>
    <row r="2604" spans="1:24" x14ac:dyDescent="0.15">
      <c r="A2604" s="7" t="str">
        <f t="shared" si="84"/>
        <v>201806</v>
      </c>
      <c r="C2604" s="6" t="str">
        <f>INDEX(工厂基础数据!$A$2:$A$1024,MATCH(X2604,工厂基础数据!$D$2:$D$1024,0))</f>
        <v>02037769</v>
      </c>
      <c r="E2604" s="6" t="str">
        <f>INDEX(工厂基础数据!$B$2:$B$1024,MATCH(X2604,工厂基础数据!$D$2:$D$1024,0))</f>
        <v>山东海川医药有限公司</v>
      </c>
      <c r="F2604" s="6" t="e">
        <f>INDEX(商业2转码!$B$2:$B$10000,MATCH(E2604,商业2转码!$A$2:$A$10000,0))</f>
        <v>#N/A</v>
      </c>
      <c r="G2604" s="6" t="str">
        <f>INDEX(品种2编码!$A$2:$A$1048576,MATCH(W2604,品种2编码!$D$2:$D$1048576,0))</f>
        <v>0020030001SJZY0009</v>
      </c>
      <c r="H2604" s="6" t="s">
        <v>1949</v>
      </c>
      <c r="I2604" s="6" t="s">
        <v>411</v>
      </c>
      <c r="J2604" s="6" t="s">
        <v>3040</v>
      </c>
      <c r="L2604" s="6" t="s">
        <v>3674</v>
      </c>
      <c r="M2604" s="6" t="e">
        <f>INDEX(医院2县区2人!$B$2:$B$1048576,MATCH(L2604,医院2县区2人!$A$2:$A$1048576,0))</f>
        <v>#N/A</v>
      </c>
      <c r="N2604" s="6" t="e">
        <f>INDEX(医院2县区2人!$C$2:$C$1048576,MATCH(L2604,医院2县区2人!$A$2:$A$1048576,0))</f>
        <v>#N/A</v>
      </c>
      <c r="P2604" s="7">
        <v>43259</v>
      </c>
      <c r="Q2604" s="6">
        <v>3</v>
      </c>
      <c r="S2604" s="6">
        <v>18031227</v>
      </c>
      <c r="T2604" s="6" t="e">
        <f>INDEX(医院2县区2人!$D$2:$D$1048576,MATCH(L2604,医院2县区2人!$A$2:$A$1048576,0))</f>
        <v>#N/A</v>
      </c>
      <c r="W2604" s="6" t="str">
        <f t="shared" si="83"/>
        <v>葡萄糖酸锌口服溶液10ml*12支</v>
      </c>
      <c r="X2604" s="6" t="s">
        <v>2901</v>
      </c>
    </row>
    <row r="2605" spans="1:24" x14ac:dyDescent="0.15">
      <c r="A2605" s="7" t="str">
        <f t="shared" si="84"/>
        <v>201806</v>
      </c>
      <c r="C2605" s="6" t="str">
        <f>INDEX(工厂基础数据!$A$2:$A$1024,MATCH(X2605,工厂基础数据!$D$2:$D$1024,0))</f>
        <v>02037769</v>
      </c>
      <c r="E2605" s="6" t="str">
        <f>INDEX(工厂基础数据!$B$2:$B$1024,MATCH(X2605,工厂基础数据!$D$2:$D$1024,0))</f>
        <v>山东海川医药有限公司</v>
      </c>
      <c r="F2605" s="6" t="e">
        <f>INDEX(商业2转码!$B$2:$B$10000,MATCH(E2605,商业2转码!$A$2:$A$10000,0))</f>
        <v>#N/A</v>
      </c>
      <c r="G2605" s="6" t="str">
        <f>INDEX(品种2编码!$A$2:$A$1048576,MATCH(W2605,品种2编码!$D$2:$D$1048576,0))</f>
        <v>0020030170ZYEC0003</v>
      </c>
      <c r="H2605" s="6" t="s">
        <v>1835</v>
      </c>
      <c r="I2605" s="6" t="s">
        <v>1836</v>
      </c>
      <c r="J2605" s="6" t="s">
        <v>3041</v>
      </c>
      <c r="L2605" s="6" t="s">
        <v>3674</v>
      </c>
      <c r="M2605" s="6" t="e">
        <f>INDEX(医院2县区2人!$B$2:$B$1048576,MATCH(L2605,医院2县区2人!$A$2:$A$1048576,0))</f>
        <v>#N/A</v>
      </c>
      <c r="N2605" s="6" t="e">
        <f>INDEX(医院2县区2人!$C$2:$C$1048576,MATCH(L2605,医院2县区2人!$A$2:$A$1048576,0))</f>
        <v>#N/A</v>
      </c>
      <c r="P2605" s="7">
        <v>43259</v>
      </c>
      <c r="Q2605" s="6">
        <v>6</v>
      </c>
      <c r="S2605" s="6">
        <v>171209</v>
      </c>
      <c r="T2605" s="6" t="e">
        <f>INDEX(医院2县区2人!$D$2:$D$1048576,MATCH(L2605,医院2县区2人!$A$2:$A$1048576,0))</f>
        <v>#N/A</v>
      </c>
      <c r="W2605" s="6" t="str">
        <f t="shared" si="83"/>
        <v>蒙脱石散3g*12袋</v>
      </c>
      <c r="X2605" s="6" t="s">
        <v>2901</v>
      </c>
    </row>
    <row r="2606" spans="1:24" x14ac:dyDescent="0.15">
      <c r="A2606" s="7" t="str">
        <f t="shared" si="84"/>
        <v>201806</v>
      </c>
      <c r="C2606" s="6" t="str">
        <f>INDEX(工厂基础数据!$A$2:$A$1024,MATCH(X2606,工厂基础数据!$D$2:$D$1024,0))</f>
        <v>02037769</v>
      </c>
      <c r="E2606" s="6" t="str">
        <f>INDEX(工厂基础数据!$B$2:$B$1024,MATCH(X2606,工厂基础数据!$D$2:$D$1024,0))</f>
        <v>山东海川医药有限公司</v>
      </c>
      <c r="F2606" s="6" t="e">
        <f>INDEX(商业2转码!$B$2:$B$10000,MATCH(E2606,商业2转码!$A$2:$A$10000,0))</f>
        <v>#N/A</v>
      </c>
      <c r="G2606" s="6">
        <f>INDEX(品种2编码!$A$2:$A$1048576,MATCH(W2606,品种2编码!$D$2:$D$1048576,0))</f>
        <v>0</v>
      </c>
      <c r="H2606" s="6" t="s">
        <v>317</v>
      </c>
      <c r="I2606" s="6" t="s">
        <v>3291</v>
      </c>
      <c r="J2606" s="6" t="s">
        <v>3037</v>
      </c>
      <c r="L2606" s="6" t="s">
        <v>3674</v>
      </c>
      <c r="M2606" s="6" t="e">
        <f>INDEX(医院2县区2人!$B$2:$B$1048576,MATCH(L2606,医院2县区2人!$A$2:$A$1048576,0))</f>
        <v>#N/A</v>
      </c>
      <c r="N2606" s="6" t="e">
        <f>INDEX(医院2县区2人!$C$2:$C$1048576,MATCH(L2606,医院2县区2人!$A$2:$A$1048576,0))</f>
        <v>#N/A</v>
      </c>
      <c r="P2606" s="7">
        <v>43259</v>
      </c>
      <c r="Q2606" s="6">
        <v>10</v>
      </c>
      <c r="S2606" s="6">
        <v>1801608</v>
      </c>
      <c r="T2606" s="6" t="e">
        <f>INDEX(医院2县区2人!$D$2:$D$1048576,MATCH(L2606,医院2县区2人!$A$2:$A$1048576,0))</f>
        <v>#N/A</v>
      </c>
      <c r="W2606" s="6" t="str">
        <f t="shared" si="83"/>
        <v>布洛芬颗粒0.2g*12包</v>
      </c>
      <c r="X2606" s="6" t="s">
        <v>2901</v>
      </c>
    </row>
    <row r="2607" spans="1:24" x14ac:dyDescent="0.15">
      <c r="A2607" s="7" t="str">
        <f t="shared" si="84"/>
        <v>201806</v>
      </c>
      <c r="C2607" s="6" t="str">
        <f>INDEX(工厂基础数据!$A$2:$A$1024,MATCH(X2607,工厂基础数据!$D$2:$D$1024,0))</f>
        <v>02037769</v>
      </c>
      <c r="E2607" s="6" t="str">
        <f>INDEX(工厂基础数据!$B$2:$B$1024,MATCH(X2607,工厂基础数据!$D$2:$D$1024,0))</f>
        <v>山东海川医药有限公司</v>
      </c>
      <c r="F2607" s="6" t="e">
        <f>INDEX(商业2转码!$B$2:$B$10000,MATCH(E2607,商业2转码!$A$2:$A$10000,0))</f>
        <v>#N/A</v>
      </c>
      <c r="G2607" s="6" t="str">
        <f>INDEX(品种2编码!$A$2:$A$1048576,MATCH(W2607,品种2编码!$D$2:$D$1048576,0))</f>
        <v>0020030001SJZY0006</v>
      </c>
      <c r="H2607" s="6" t="s">
        <v>1833</v>
      </c>
      <c r="I2607" s="6" t="s">
        <v>411</v>
      </c>
      <c r="J2607" s="6" t="s">
        <v>3044</v>
      </c>
      <c r="L2607" s="6" t="s">
        <v>3675</v>
      </c>
      <c r="M2607" s="6" t="e">
        <f>INDEX(医院2县区2人!$B$2:$B$1048576,MATCH(L2607,医院2县区2人!$A$2:$A$1048576,0))</f>
        <v>#N/A</v>
      </c>
      <c r="N2607" s="6" t="e">
        <f>INDEX(医院2县区2人!$C$2:$C$1048576,MATCH(L2607,医院2县区2人!$A$2:$A$1048576,0))</f>
        <v>#N/A</v>
      </c>
      <c r="P2607" s="7">
        <v>43259</v>
      </c>
      <c r="Q2607" s="6">
        <v>5</v>
      </c>
      <c r="S2607" s="6">
        <v>18030532</v>
      </c>
      <c r="T2607" s="6" t="e">
        <f>INDEX(医院2县区2人!$D$2:$D$1048576,MATCH(L2607,医院2县区2人!$A$2:$A$1048576,0))</f>
        <v>#N/A</v>
      </c>
      <c r="W2607" s="6" t="str">
        <f t="shared" si="83"/>
        <v>葡萄糖酸钙口服溶液10ml*12支</v>
      </c>
      <c r="X2607" s="6" t="s">
        <v>2901</v>
      </c>
    </row>
    <row r="2608" spans="1:24" x14ac:dyDescent="0.15">
      <c r="A2608" s="7" t="str">
        <f t="shared" si="84"/>
        <v>201806</v>
      </c>
      <c r="C2608" s="6" t="str">
        <f>INDEX(工厂基础数据!$A$2:$A$1024,MATCH(X2608,工厂基础数据!$D$2:$D$1024,0))</f>
        <v>02037769</v>
      </c>
      <c r="E2608" s="6" t="str">
        <f>INDEX(工厂基础数据!$B$2:$B$1024,MATCH(X2608,工厂基础数据!$D$2:$D$1024,0))</f>
        <v>山东海川医药有限公司</v>
      </c>
      <c r="F2608" s="6" t="e">
        <f>INDEX(商业2转码!$B$2:$B$10000,MATCH(E2608,商业2转码!$A$2:$A$10000,0))</f>
        <v>#N/A</v>
      </c>
      <c r="G2608" s="6" t="str">
        <f>INDEX(品种2编码!$A$2:$A$1048576,MATCH(W2608,品种2编码!$D$2:$D$1048576,0))</f>
        <v>0020030001SJZY0006</v>
      </c>
      <c r="H2608" s="6" t="s">
        <v>1833</v>
      </c>
      <c r="I2608" s="6" t="s">
        <v>411</v>
      </c>
      <c r="J2608" s="6" t="s">
        <v>3044</v>
      </c>
      <c r="L2608" s="6" t="s">
        <v>3676</v>
      </c>
      <c r="M2608" s="6" t="e">
        <f>INDEX(医院2县区2人!$B$2:$B$1048576,MATCH(L2608,医院2县区2人!$A$2:$A$1048576,0))</f>
        <v>#N/A</v>
      </c>
      <c r="N2608" s="6" t="e">
        <f>INDEX(医院2县区2人!$C$2:$C$1048576,MATCH(L2608,医院2县区2人!$A$2:$A$1048576,0))</f>
        <v>#N/A</v>
      </c>
      <c r="P2608" s="7">
        <v>43259</v>
      </c>
      <c r="Q2608" s="6">
        <v>-1</v>
      </c>
      <c r="S2608" s="6">
        <v>17071023</v>
      </c>
      <c r="T2608" s="6" t="e">
        <f>INDEX(医院2县区2人!$D$2:$D$1048576,MATCH(L2608,医院2县区2人!$A$2:$A$1048576,0))</f>
        <v>#N/A</v>
      </c>
      <c r="W2608" s="6" t="str">
        <f t="shared" si="83"/>
        <v>葡萄糖酸钙口服溶液10ml*12支</v>
      </c>
      <c r="X2608" s="6" t="s">
        <v>2901</v>
      </c>
    </row>
    <row r="2609" spans="1:24" x14ac:dyDescent="0.15">
      <c r="A2609" s="7" t="str">
        <f t="shared" si="84"/>
        <v>201806</v>
      </c>
      <c r="C2609" s="6" t="str">
        <f>INDEX(工厂基础数据!$A$2:$A$1024,MATCH(X2609,工厂基础数据!$D$2:$D$1024,0))</f>
        <v>02037769</v>
      </c>
      <c r="E2609" s="6" t="str">
        <f>INDEX(工厂基础数据!$B$2:$B$1024,MATCH(X2609,工厂基础数据!$D$2:$D$1024,0))</f>
        <v>山东海川医药有限公司</v>
      </c>
      <c r="F2609" s="6" t="e">
        <f>INDEX(商业2转码!$B$2:$B$10000,MATCH(E2609,商业2转码!$A$2:$A$10000,0))</f>
        <v>#N/A</v>
      </c>
      <c r="G2609" s="6" t="str">
        <f>INDEX(品种2编码!$A$2:$A$1048576,MATCH(W2609,品种2编码!$D$2:$D$1048576,0))</f>
        <v>0020030001SJZY0006</v>
      </c>
      <c r="H2609" s="6" t="s">
        <v>1833</v>
      </c>
      <c r="I2609" s="6" t="s">
        <v>411</v>
      </c>
      <c r="J2609" s="6" t="s">
        <v>3044</v>
      </c>
      <c r="L2609" s="6" t="s">
        <v>3673</v>
      </c>
      <c r="M2609" s="6" t="e">
        <f>INDEX(医院2县区2人!$B$2:$B$1048576,MATCH(L2609,医院2县区2人!$A$2:$A$1048576,0))</f>
        <v>#N/A</v>
      </c>
      <c r="N2609" s="6" t="e">
        <f>INDEX(医院2县区2人!$C$2:$C$1048576,MATCH(L2609,医院2县区2人!$A$2:$A$1048576,0))</f>
        <v>#N/A</v>
      </c>
      <c r="P2609" s="7">
        <v>43259</v>
      </c>
      <c r="Q2609" s="6">
        <v>1</v>
      </c>
      <c r="S2609" s="6">
        <v>17071023</v>
      </c>
      <c r="T2609" s="6" t="e">
        <f>INDEX(医院2县区2人!$D$2:$D$1048576,MATCH(L2609,医院2县区2人!$A$2:$A$1048576,0))</f>
        <v>#N/A</v>
      </c>
      <c r="W2609" s="6" t="str">
        <f t="shared" si="83"/>
        <v>葡萄糖酸钙口服溶液10ml*12支</v>
      </c>
      <c r="X2609" s="6" t="s">
        <v>2901</v>
      </c>
    </row>
    <row r="2610" spans="1:24" x14ac:dyDescent="0.15">
      <c r="A2610" s="7" t="str">
        <f t="shared" si="84"/>
        <v>201806</v>
      </c>
      <c r="C2610" s="6" t="str">
        <f>INDEX(工厂基础数据!$A$2:$A$1024,MATCH(X2610,工厂基础数据!$D$2:$D$1024,0))</f>
        <v>02037769</v>
      </c>
      <c r="E2610" s="6" t="str">
        <f>INDEX(工厂基础数据!$B$2:$B$1024,MATCH(X2610,工厂基础数据!$D$2:$D$1024,0))</f>
        <v>山东海川医药有限公司</v>
      </c>
      <c r="F2610" s="6" t="e">
        <f>INDEX(商业2转码!$B$2:$B$10000,MATCH(E2610,商业2转码!$A$2:$A$10000,0))</f>
        <v>#N/A</v>
      </c>
      <c r="G2610" s="6" t="str">
        <f>INDEX(品种2编码!$A$2:$A$1048576,MATCH(W2610,品种2编码!$D$2:$D$1048576,0))</f>
        <v>0020030001SJZY0006</v>
      </c>
      <c r="H2610" s="6" t="s">
        <v>1833</v>
      </c>
      <c r="I2610" s="6" t="s">
        <v>411</v>
      </c>
      <c r="J2610" s="6" t="s">
        <v>3044</v>
      </c>
      <c r="L2610" s="6" t="s">
        <v>3677</v>
      </c>
      <c r="M2610" s="6" t="e">
        <f>INDEX(医院2县区2人!$B$2:$B$1048576,MATCH(L2610,医院2县区2人!$A$2:$A$1048576,0))</f>
        <v>#N/A</v>
      </c>
      <c r="N2610" s="6" t="e">
        <f>INDEX(医院2县区2人!$C$2:$C$1048576,MATCH(L2610,医院2县区2人!$A$2:$A$1048576,0))</f>
        <v>#N/A</v>
      </c>
      <c r="P2610" s="7">
        <v>43259</v>
      </c>
      <c r="Q2610" s="6">
        <v>2</v>
      </c>
      <c r="S2610" s="6">
        <v>18030532</v>
      </c>
      <c r="T2610" s="6" t="e">
        <f>INDEX(医院2县区2人!$D$2:$D$1048576,MATCH(L2610,医院2县区2人!$A$2:$A$1048576,0))</f>
        <v>#N/A</v>
      </c>
      <c r="W2610" s="6" t="str">
        <f t="shared" si="83"/>
        <v>葡萄糖酸钙口服溶液10ml*12支</v>
      </c>
      <c r="X2610" s="6" t="s">
        <v>2901</v>
      </c>
    </row>
    <row r="2611" spans="1:24" x14ac:dyDescent="0.15">
      <c r="A2611" s="7" t="str">
        <f t="shared" si="84"/>
        <v>201806</v>
      </c>
      <c r="C2611" s="6" t="str">
        <f>INDEX(工厂基础数据!$A$2:$A$1024,MATCH(X2611,工厂基础数据!$D$2:$D$1024,0))</f>
        <v>02037769</v>
      </c>
      <c r="E2611" s="6" t="str">
        <f>INDEX(工厂基础数据!$B$2:$B$1024,MATCH(X2611,工厂基础数据!$D$2:$D$1024,0))</f>
        <v>山东海川医药有限公司</v>
      </c>
      <c r="F2611" s="6" t="e">
        <f>INDEX(商业2转码!$B$2:$B$10000,MATCH(E2611,商业2转码!$A$2:$A$10000,0))</f>
        <v>#N/A</v>
      </c>
      <c r="G2611" s="6" t="str">
        <f>INDEX(品种2编码!$A$2:$A$1048576,MATCH(W2611,品种2编码!$D$2:$D$1048576,0))</f>
        <v>0020030001SJZY0009</v>
      </c>
      <c r="H2611" s="6" t="s">
        <v>1949</v>
      </c>
      <c r="I2611" s="6" t="s">
        <v>411</v>
      </c>
      <c r="J2611" s="6" t="s">
        <v>3040</v>
      </c>
      <c r="L2611" s="6" t="s">
        <v>3677</v>
      </c>
      <c r="M2611" s="6" t="e">
        <f>INDEX(医院2县区2人!$B$2:$B$1048576,MATCH(L2611,医院2县区2人!$A$2:$A$1048576,0))</f>
        <v>#N/A</v>
      </c>
      <c r="N2611" s="6" t="e">
        <f>INDEX(医院2县区2人!$C$2:$C$1048576,MATCH(L2611,医院2县区2人!$A$2:$A$1048576,0))</f>
        <v>#N/A</v>
      </c>
      <c r="P2611" s="7">
        <v>43259</v>
      </c>
      <c r="Q2611" s="6">
        <v>2</v>
      </c>
      <c r="S2611" s="6">
        <v>18031227</v>
      </c>
      <c r="T2611" s="6" t="e">
        <f>INDEX(医院2县区2人!$D$2:$D$1048576,MATCH(L2611,医院2县区2人!$A$2:$A$1048576,0))</f>
        <v>#N/A</v>
      </c>
      <c r="W2611" s="6" t="str">
        <f t="shared" si="83"/>
        <v>葡萄糖酸锌口服溶液10ml*12支</v>
      </c>
      <c r="X2611" s="6" t="s">
        <v>2901</v>
      </c>
    </row>
    <row r="2612" spans="1:24" x14ac:dyDescent="0.15">
      <c r="A2612" s="7" t="str">
        <f t="shared" si="84"/>
        <v>201806</v>
      </c>
      <c r="C2612" s="6" t="str">
        <f>INDEX(工厂基础数据!$A$2:$A$1024,MATCH(X2612,工厂基础数据!$D$2:$D$1024,0))</f>
        <v>02037769</v>
      </c>
      <c r="E2612" s="6" t="str">
        <f>INDEX(工厂基础数据!$B$2:$B$1024,MATCH(X2612,工厂基础数据!$D$2:$D$1024,0))</f>
        <v>山东海川医药有限公司</v>
      </c>
      <c r="F2612" s="6" t="e">
        <f>INDEX(商业2转码!$B$2:$B$10000,MATCH(E2612,商业2转码!$A$2:$A$10000,0))</f>
        <v>#N/A</v>
      </c>
      <c r="G2612" s="6">
        <f>INDEX(品种2编码!$A$2:$A$1048576,MATCH(W2612,品种2编码!$D$2:$D$1048576,0))</f>
        <v>0</v>
      </c>
      <c r="H2612" s="6" t="s">
        <v>3740</v>
      </c>
      <c r="I2612" s="6" t="s">
        <v>3751</v>
      </c>
      <c r="J2612" s="6" t="s">
        <v>3754</v>
      </c>
      <c r="L2612" s="6" t="s">
        <v>3616</v>
      </c>
      <c r="M2612" s="6" t="e">
        <f>INDEX(医院2县区2人!$B$2:$B$1048576,MATCH(L2612,医院2县区2人!$A$2:$A$1048576,0))</f>
        <v>#N/A</v>
      </c>
      <c r="N2612" s="6" t="e">
        <f>INDEX(医院2县区2人!$C$2:$C$1048576,MATCH(L2612,医院2县区2人!$A$2:$A$1048576,0))</f>
        <v>#N/A</v>
      </c>
      <c r="P2612" s="7">
        <v>43259</v>
      </c>
      <c r="Q2612" s="6">
        <v>20</v>
      </c>
      <c r="S2612" s="6">
        <v>20170301</v>
      </c>
      <c r="T2612" s="6" t="e">
        <f>INDEX(医院2县区2人!$D$2:$D$1048576,MATCH(L2612,医院2县区2人!$A$2:$A$1048576,0))</f>
        <v>#N/A</v>
      </c>
      <c r="W2612" s="6" t="str">
        <f t="shared" si="83"/>
        <v>逐瘀通脉胶囊0.2g*18粒</v>
      </c>
      <c r="X2612" s="6" t="s">
        <v>2901</v>
      </c>
    </row>
    <row r="2613" spans="1:24" x14ac:dyDescent="0.15">
      <c r="A2613" s="7" t="str">
        <f t="shared" si="84"/>
        <v>201806</v>
      </c>
      <c r="C2613" s="6" t="str">
        <f>INDEX(工厂基础数据!$A$2:$A$1024,MATCH(X2613,工厂基础数据!$D$2:$D$1024,0))</f>
        <v>02037769</v>
      </c>
      <c r="E2613" s="6" t="str">
        <f>INDEX(工厂基础数据!$B$2:$B$1024,MATCH(X2613,工厂基础数据!$D$2:$D$1024,0))</f>
        <v>山东海川医药有限公司</v>
      </c>
      <c r="F2613" s="6" t="e">
        <f>INDEX(商业2转码!$B$2:$B$10000,MATCH(E2613,商业2转码!$A$2:$A$10000,0))</f>
        <v>#N/A</v>
      </c>
      <c r="G2613" s="6" t="str">
        <f>INDEX(品种2编码!$A$2:$A$1048576,MATCH(W2613,品种2编码!$D$2:$D$1048576,0))</f>
        <v>0020030001SJZY0006</v>
      </c>
      <c r="H2613" s="6" t="s">
        <v>1833</v>
      </c>
      <c r="I2613" s="6" t="s">
        <v>411</v>
      </c>
      <c r="J2613" s="6" t="s">
        <v>3044</v>
      </c>
      <c r="L2613" s="6" t="s">
        <v>3678</v>
      </c>
      <c r="M2613" s="6" t="e">
        <f>INDEX(医院2县区2人!$B$2:$B$1048576,MATCH(L2613,医院2县区2人!$A$2:$A$1048576,0))</f>
        <v>#N/A</v>
      </c>
      <c r="N2613" s="6" t="e">
        <f>INDEX(医院2县区2人!$C$2:$C$1048576,MATCH(L2613,医院2县区2人!$A$2:$A$1048576,0))</f>
        <v>#N/A</v>
      </c>
      <c r="P2613" s="7">
        <v>43259</v>
      </c>
      <c r="Q2613" s="6">
        <v>10</v>
      </c>
      <c r="S2613" s="6">
        <v>18030532</v>
      </c>
      <c r="T2613" s="6" t="e">
        <f>INDEX(医院2县区2人!$D$2:$D$1048576,MATCH(L2613,医院2县区2人!$A$2:$A$1048576,0))</f>
        <v>#N/A</v>
      </c>
      <c r="W2613" s="6" t="str">
        <f t="shared" si="83"/>
        <v>葡萄糖酸钙口服溶液10ml*12支</v>
      </c>
      <c r="X2613" s="6" t="s">
        <v>2901</v>
      </c>
    </row>
    <row r="2614" spans="1:24" x14ac:dyDescent="0.15">
      <c r="A2614" s="7" t="str">
        <f t="shared" si="84"/>
        <v>201806</v>
      </c>
      <c r="C2614" s="6" t="str">
        <f>INDEX(工厂基础数据!$A$2:$A$1024,MATCH(X2614,工厂基础数据!$D$2:$D$1024,0))</f>
        <v>02037769</v>
      </c>
      <c r="E2614" s="6" t="str">
        <f>INDEX(工厂基础数据!$B$2:$B$1024,MATCH(X2614,工厂基础数据!$D$2:$D$1024,0))</f>
        <v>山东海川医药有限公司</v>
      </c>
      <c r="F2614" s="6" t="e">
        <f>INDEX(商业2转码!$B$2:$B$10000,MATCH(E2614,商业2转码!$A$2:$A$10000,0))</f>
        <v>#N/A</v>
      </c>
      <c r="G2614" s="6" t="str">
        <f>INDEX(品种2编码!$A$2:$A$1048576,MATCH(W2614,品种2编码!$D$2:$D$1048576,0))</f>
        <v>0020030020SJSC0004</v>
      </c>
      <c r="H2614" s="6" t="s">
        <v>394</v>
      </c>
      <c r="I2614" s="6" t="s">
        <v>1871</v>
      </c>
      <c r="J2614" s="6" t="s">
        <v>3755</v>
      </c>
      <c r="L2614" s="6" t="s">
        <v>3622</v>
      </c>
      <c r="M2614" s="6" t="e">
        <f>INDEX(医院2县区2人!$B$2:$B$1048576,MATCH(L2614,医院2县区2人!$A$2:$A$1048576,0))</f>
        <v>#N/A</v>
      </c>
      <c r="N2614" s="6" t="e">
        <f>INDEX(医院2县区2人!$C$2:$C$1048576,MATCH(L2614,医院2县区2人!$A$2:$A$1048576,0))</f>
        <v>#N/A</v>
      </c>
      <c r="P2614" s="7">
        <v>43259</v>
      </c>
      <c r="Q2614" s="6">
        <v>20</v>
      </c>
      <c r="S2614" s="6">
        <v>1802021</v>
      </c>
      <c r="T2614" s="6" t="e">
        <f>INDEX(医院2县区2人!$D$2:$D$1048576,MATCH(L2614,医院2县区2人!$A$2:$A$1048576,0))</f>
        <v>#N/A</v>
      </c>
      <c r="W2614" s="6" t="str">
        <f t="shared" si="83"/>
        <v>复方铝酸铋片50片</v>
      </c>
      <c r="X2614" s="6" t="s">
        <v>2901</v>
      </c>
    </row>
    <row r="2615" spans="1:24" x14ac:dyDescent="0.15">
      <c r="A2615" s="7" t="str">
        <f t="shared" si="84"/>
        <v>201806</v>
      </c>
      <c r="C2615" s="6" t="str">
        <f>INDEX(工厂基础数据!$A$2:$A$1024,MATCH(X2615,工厂基础数据!$D$2:$D$1024,0))</f>
        <v>02037769</v>
      </c>
      <c r="E2615" s="6" t="str">
        <f>INDEX(工厂基础数据!$B$2:$B$1024,MATCH(X2615,工厂基础数据!$D$2:$D$1024,0))</f>
        <v>山东海川医药有限公司</v>
      </c>
      <c r="F2615" s="6" t="e">
        <f>INDEX(商业2转码!$B$2:$B$10000,MATCH(E2615,商业2转码!$A$2:$A$10000,0))</f>
        <v>#N/A</v>
      </c>
      <c r="G2615" s="6">
        <f>INDEX(品种2编码!$A$2:$A$1048576,MATCH(W2615,品种2编码!$D$2:$D$1048576,0))</f>
        <v>0</v>
      </c>
      <c r="H2615" s="6" t="s">
        <v>3740</v>
      </c>
      <c r="I2615" s="6" t="s">
        <v>3751</v>
      </c>
      <c r="J2615" s="6" t="s">
        <v>3754</v>
      </c>
      <c r="L2615" s="6" t="s">
        <v>3635</v>
      </c>
      <c r="M2615" s="6" t="e">
        <f>INDEX(医院2县区2人!$B$2:$B$1048576,MATCH(L2615,医院2县区2人!$A$2:$A$1048576,0))</f>
        <v>#N/A</v>
      </c>
      <c r="N2615" s="6" t="e">
        <f>INDEX(医院2县区2人!$C$2:$C$1048576,MATCH(L2615,医院2县区2人!$A$2:$A$1048576,0))</f>
        <v>#N/A</v>
      </c>
      <c r="P2615" s="7">
        <v>43259</v>
      </c>
      <c r="Q2615" s="6">
        <v>2</v>
      </c>
      <c r="S2615" s="6">
        <v>20170301</v>
      </c>
      <c r="T2615" s="6" t="e">
        <f>INDEX(医院2县区2人!$D$2:$D$1048576,MATCH(L2615,医院2县区2人!$A$2:$A$1048576,0))</f>
        <v>#N/A</v>
      </c>
      <c r="W2615" s="6" t="str">
        <f t="shared" si="83"/>
        <v>逐瘀通脉胶囊0.2g*18粒</v>
      </c>
      <c r="X2615" s="6" t="s">
        <v>2901</v>
      </c>
    </row>
    <row r="2616" spans="1:24" x14ac:dyDescent="0.15">
      <c r="A2616" s="7" t="str">
        <f t="shared" si="84"/>
        <v>201806</v>
      </c>
      <c r="C2616" s="6" t="str">
        <f>INDEX(工厂基础数据!$A$2:$A$1024,MATCH(X2616,工厂基础数据!$D$2:$D$1024,0))</f>
        <v>02037769</v>
      </c>
      <c r="E2616" s="6" t="str">
        <f>INDEX(工厂基础数据!$B$2:$B$1024,MATCH(X2616,工厂基础数据!$D$2:$D$1024,0))</f>
        <v>山东海川医药有限公司</v>
      </c>
      <c r="F2616" s="6" t="e">
        <f>INDEX(商业2转码!$B$2:$B$10000,MATCH(E2616,商业2转码!$A$2:$A$10000,0))</f>
        <v>#N/A</v>
      </c>
      <c r="G2616" s="6" t="str">
        <f>INDEX(品种2编码!$A$2:$A$1048576,MATCH(W2616,品种2编码!$D$2:$D$1048576,0))</f>
        <v>0020030001SJZY0006</v>
      </c>
      <c r="H2616" s="6" t="s">
        <v>1833</v>
      </c>
      <c r="I2616" s="6" t="s">
        <v>411</v>
      </c>
      <c r="J2616" s="6" t="s">
        <v>3044</v>
      </c>
      <c r="L2616" s="6" t="s">
        <v>3615</v>
      </c>
      <c r="M2616" s="6" t="e">
        <f>INDEX(医院2县区2人!$B$2:$B$1048576,MATCH(L2616,医院2县区2人!$A$2:$A$1048576,0))</f>
        <v>#N/A</v>
      </c>
      <c r="N2616" s="6" t="e">
        <f>INDEX(医院2县区2人!$C$2:$C$1048576,MATCH(L2616,医院2县区2人!$A$2:$A$1048576,0))</f>
        <v>#N/A</v>
      </c>
      <c r="P2616" s="7">
        <v>43259</v>
      </c>
      <c r="Q2616" s="6">
        <v>3</v>
      </c>
      <c r="S2616" s="6">
        <v>18030532</v>
      </c>
      <c r="T2616" s="6" t="e">
        <f>INDEX(医院2县区2人!$D$2:$D$1048576,MATCH(L2616,医院2县区2人!$A$2:$A$1048576,0))</f>
        <v>#N/A</v>
      </c>
      <c r="W2616" s="6" t="str">
        <f t="shared" si="83"/>
        <v>葡萄糖酸钙口服溶液10ml*12支</v>
      </c>
      <c r="X2616" s="6" t="s">
        <v>2901</v>
      </c>
    </row>
    <row r="2617" spans="1:24" x14ac:dyDescent="0.15">
      <c r="A2617" s="7" t="str">
        <f t="shared" si="84"/>
        <v>201806</v>
      </c>
      <c r="C2617" s="6" t="str">
        <f>INDEX(工厂基础数据!$A$2:$A$1024,MATCH(X2617,工厂基础数据!$D$2:$D$1024,0))</f>
        <v>02037769</v>
      </c>
      <c r="E2617" s="6" t="str">
        <f>INDEX(工厂基础数据!$B$2:$B$1024,MATCH(X2617,工厂基础数据!$D$2:$D$1024,0))</f>
        <v>山东海川医药有限公司</v>
      </c>
      <c r="F2617" s="6" t="e">
        <f>INDEX(商业2转码!$B$2:$B$10000,MATCH(E2617,商业2转码!$A$2:$A$10000,0))</f>
        <v>#N/A</v>
      </c>
      <c r="G2617" s="6" t="str">
        <f>INDEX(品种2编码!$A$2:$A$1048576,MATCH(W2617,品种2编码!$D$2:$D$1048576,0))</f>
        <v>0020030020SJSC0004</v>
      </c>
      <c r="H2617" s="6" t="s">
        <v>394</v>
      </c>
      <c r="I2617" s="6" t="s">
        <v>1871</v>
      </c>
      <c r="J2617" s="6" t="s">
        <v>3755</v>
      </c>
      <c r="L2617" s="6" t="s">
        <v>3679</v>
      </c>
      <c r="M2617" s="6" t="e">
        <f>INDEX(医院2县区2人!$B$2:$B$1048576,MATCH(L2617,医院2县区2人!$A$2:$A$1048576,0))</f>
        <v>#N/A</v>
      </c>
      <c r="N2617" s="6" t="e">
        <f>INDEX(医院2县区2人!$C$2:$C$1048576,MATCH(L2617,医院2县区2人!$A$2:$A$1048576,0))</f>
        <v>#N/A</v>
      </c>
      <c r="P2617" s="7">
        <v>43259</v>
      </c>
      <c r="Q2617" s="6">
        <v>5</v>
      </c>
      <c r="S2617" s="6">
        <v>1802021</v>
      </c>
      <c r="T2617" s="6" t="e">
        <f>INDEX(医院2县区2人!$D$2:$D$1048576,MATCH(L2617,医院2县区2人!$A$2:$A$1048576,0))</f>
        <v>#N/A</v>
      </c>
      <c r="W2617" s="6" t="str">
        <f t="shared" si="83"/>
        <v>复方铝酸铋片50片</v>
      </c>
      <c r="X2617" s="6" t="s">
        <v>2901</v>
      </c>
    </row>
    <row r="2618" spans="1:24" x14ac:dyDescent="0.15">
      <c r="A2618" s="7" t="str">
        <f t="shared" si="84"/>
        <v>201806</v>
      </c>
      <c r="C2618" s="6" t="str">
        <f>INDEX(工厂基础数据!$A$2:$A$1024,MATCH(X2618,工厂基础数据!$D$2:$D$1024,0))</f>
        <v>02037769</v>
      </c>
      <c r="E2618" s="6" t="str">
        <f>INDEX(工厂基础数据!$B$2:$B$1024,MATCH(X2618,工厂基础数据!$D$2:$D$1024,0))</f>
        <v>山东海川医药有限公司</v>
      </c>
      <c r="F2618" s="6" t="e">
        <f>INDEX(商业2转码!$B$2:$B$10000,MATCH(E2618,商业2转码!$A$2:$A$10000,0))</f>
        <v>#N/A</v>
      </c>
      <c r="G2618" s="6" t="str">
        <f>INDEX(品种2编码!$A$2:$A$1048576,MATCH(W2618,品种2编码!$D$2:$D$1048576,0))</f>
        <v>0020040001SHYT0026</v>
      </c>
      <c r="H2618" s="6" t="s">
        <v>715</v>
      </c>
      <c r="I2618" s="6" t="s">
        <v>1867</v>
      </c>
      <c r="J2618" s="6" t="s">
        <v>3037</v>
      </c>
      <c r="L2618" s="6" t="s">
        <v>3616</v>
      </c>
      <c r="M2618" s="6" t="e">
        <f>INDEX(医院2县区2人!$B$2:$B$1048576,MATCH(L2618,医院2县区2人!$A$2:$A$1048576,0))</f>
        <v>#N/A</v>
      </c>
      <c r="N2618" s="6" t="e">
        <f>INDEX(医院2县区2人!$C$2:$C$1048576,MATCH(L2618,医院2县区2人!$A$2:$A$1048576,0))</f>
        <v>#N/A</v>
      </c>
      <c r="P2618" s="7">
        <v>43259</v>
      </c>
      <c r="Q2618" s="6">
        <v>2</v>
      </c>
      <c r="S2618" s="6">
        <v>1801108</v>
      </c>
      <c r="T2618" s="6" t="e">
        <f>INDEX(医院2县区2人!$D$2:$D$1048576,MATCH(L2618,医院2县区2人!$A$2:$A$1048576,0))</f>
        <v>#N/A</v>
      </c>
      <c r="W2618" s="6" t="str">
        <f t="shared" si="83"/>
        <v>小活络丸3g*10丸</v>
      </c>
      <c r="X2618" s="6" t="s">
        <v>2901</v>
      </c>
    </row>
    <row r="2619" spans="1:24" x14ac:dyDescent="0.15">
      <c r="A2619" s="7" t="str">
        <f t="shared" si="84"/>
        <v>201806</v>
      </c>
      <c r="C2619" s="6" t="str">
        <f>INDEX(工厂基础数据!$A$2:$A$1024,MATCH(X2619,工厂基础数据!$D$2:$D$1024,0))</f>
        <v>02037769</v>
      </c>
      <c r="E2619" s="6" t="str">
        <f>INDEX(工厂基础数据!$B$2:$B$1024,MATCH(X2619,工厂基础数据!$D$2:$D$1024,0))</f>
        <v>山东海川医药有限公司</v>
      </c>
      <c r="F2619" s="6" t="e">
        <f>INDEX(商业2转码!$B$2:$B$10000,MATCH(E2619,商业2转码!$A$2:$A$10000,0))</f>
        <v>#N/A</v>
      </c>
      <c r="G2619" s="6">
        <f>INDEX(品种2编码!$A$2:$A$1048576,MATCH(W2619,品种2编码!$D$2:$D$1048576,0))</f>
        <v>0</v>
      </c>
      <c r="H2619" s="6" t="s">
        <v>3743</v>
      </c>
      <c r="I2619" s="6" t="s">
        <v>3752</v>
      </c>
      <c r="J2619" s="6" t="s">
        <v>3038</v>
      </c>
      <c r="L2619" s="6" t="s">
        <v>3650</v>
      </c>
      <c r="M2619" s="6" t="e">
        <f>INDEX(医院2县区2人!$B$2:$B$1048576,MATCH(L2619,医院2县区2人!$A$2:$A$1048576,0))</f>
        <v>#N/A</v>
      </c>
      <c r="N2619" s="6" t="e">
        <f>INDEX(医院2县区2人!$C$2:$C$1048576,MATCH(L2619,医院2县区2人!$A$2:$A$1048576,0))</f>
        <v>#N/A</v>
      </c>
      <c r="P2619" s="7">
        <v>43260</v>
      </c>
      <c r="Q2619" s="6">
        <v>3</v>
      </c>
      <c r="S2619" s="6">
        <v>180103</v>
      </c>
      <c r="T2619" s="6" t="e">
        <f>INDEX(医院2县区2人!$D$2:$D$1048576,MATCH(L2619,医院2县区2人!$A$2:$A$1048576,0))</f>
        <v>#N/A</v>
      </c>
      <c r="W2619" s="6" t="str">
        <f t="shared" ref="W2619:W2682" si="85">H2619&amp;I2619</f>
        <v>哈药痛可贴颈椎型4贴</v>
      </c>
      <c r="X2619" s="6" t="s">
        <v>2901</v>
      </c>
    </row>
    <row r="2620" spans="1:24" x14ac:dyDescent="0.15">
      <c r="A2620" s="7" t="str">
        <f t="shared" ref="A2620:A2683" si="86">IF(MONTH(P2620)&lt;10,YEAR(P2620)&amp;"0"&amp;MONTH(P2620),YEAR(P2620)&amp;MONTH(P2620))</f>
        <v>201806</v>
      </c>
      <c r="C2620" s="6" t="str">
        <f>INDEX(工厂基础数据!$A$2:$A$1024,MATCH(X2620,工厂基础数据!$D$2:$D$1024,0))</f>
        <v>02037769</v>
      </c>
      <c r="E2620" s="6" t="str">
        <f>INDEX(工厂基础数据!$B$2:$B$1024,MATCH(X2620,工厂基础数据!$D$2:$D$1024,0))</f>
        <v>山东海川医药有限公司</v>
      </c>
      <c r="F2620" s="6" t="e">
        <f>INDEX(商业2转码!$B$2:$B$10000,MATCH(E2620,商业2转码!$A$2:$A$10000,0))</f>
        <v>#N/A</v>
      </c>
      <c r="G2620" s="6">
        <f>INDEX(品种2编码!$A$2:$A$1048576,MATCH(W2620,品种2编码!$D$2:$D$1048576,0))</f>
        <v>0</v>
      </c>
      <c r="H2620" s="6" t="s">
        <v>3740</v>
      </c>
      <c r="I2620" s="6" t="s">
        <v>3751</v>
      </c>
      <c r="J2620" s="6" t="s">
        <v>3754</v>
      </c>
      <c r="L2620" s="6" t="s">
        <v>3666</v>
      </c>
      <c r="M2620" s="6" t="e">
        <f>INDEX(医院2县区2人!$B$2:$B$1048576,MATCH(L2620,医院2县区2人!$A$2:$A$1048576,0))</f>
        <v>#N/A</v>
      </c>
      <c r="N2620" s="6" t="e">
        <f>INDEX(医院2县区2人!$C$2:$C$1048576,MATCH(L2620,医院2县区2人!$A$2:$A$1048576,0))</f>
        <v>#N/A</v>
      </c>
      <c r="P2620" s="7">
        <v>43260</v>
      </c>
      <c r="Q2620" s="6">
        <v>-5</v>
      </c>
      <c r="S2620" s="6">
        <v>20170301</v>
      </c>
      <c r="T2620" s="6" t="e">
        <f>INDEX(医院2县区2人!$D$2:$D$1048576,MATCH(L2620,医院2县区2人!$A$2:$A$1048576,0))</f>
        <v>#N/A</v>
      </c>
      <c r="W2620" s="6" t="str">
        <f t="shared" si="85"/>
        <v>逐瘀通脉胶囊0.2g*18粒</v>
      </c>
      <c r="X2620" s="6" t="s">
        <v>2901</v>
      </c>
    </row>
    <row r="2621" spans="1:24" x14ac:dyDescent="0.15">
      <c r="A2621" s="7" t="str">
        <f t="shared" si="86"/>
        <v>201806</v>
      </c>
      <c r="C2621" s="6" t="str">
        <f>INDEX(工厂基础数据!$A$2:$A$1024,MATCH(X2621,工厂基础数据!$D$2:$D$1024,0))</f>
        <v>02037769</v>
      </c>
      <c r="E2621" s="6" t="str">
        <f>INDEX(工厂基础数据!$B$2:$B$1024,MATCH(X2621,工厂基础数据!$D$2:$D$1024,0))</f>
        <v>山东海川医药有限公司</v>
      </c>
      <c r="F2621" s="6" t="e">
        <f>INDEX(商业2转码!$B$2:$B$10000,MATCH(E2621,商业2转码!$A$2:$A$10000,0))</f>
        <v>#N/A</v>
      </c>
      <c r="G2621" s="6">
        <f>INDEX(品种2编码!$A$2:$A$1048576,MATCH(W2621,品种2编码!$D$2:$D$1048576,0))</f>
        <v>0</v>
      </c>
      <c r="H2621" s="6" t="s">
        <v>3740</v>
      </c>
      <c r="I2621" s="6" t="s">
        <v>3751</v>
      </c>
      <c r="J2621" s="6" t="s">
        <v>3754</v>
      </c>
      <c r="L2621" s="6" t="s">
        <v>3664</v>
      </c>
      <c r="M2621" s="6" t="e">
        <f>INDEX(医院2县区2人!$B$2:$B$1048576,MATCH(L2621,医院2县区2人!$A$2:$A$1048576,0))</f>
        <v>#N/A</v>
      </c>
      <c r="N2621" s="6" t="e">
        <f>INDEX(医院2县区2人!$C$2:$C$1048576,MATCH(L2621,医院2县区2人!$A$2:$A$1048576,0))</f>
        <v>#N/A</v>
      </c>
      <c r="P2621" s="7">
        <v>43260</v>
      </c>
      <c r="Q2621" s="6">
        <v>5</v>
      </c>
      <c r="S2621" s="6">
        <v>20170301</v>
      </c>
      <c r="T2621" s="6" t="e">
        <f>INDEX(医院2县区2人!$D$2:$D$1048576,MATCH(L2621,医院2县区2人!$A$2:$A$1048576,0))</f>
        <v>#N/A</v>
      </c>
      <c r="W2621" s="6" t="str">
        <f t="shared" si="85"/>
        <v>逐瘀通脉胶囊0.2g*18粒</v>
      </c>
      <c r="X2621" s="6" t="s">
        <v>2901</v>
      </c>
    </row>
    <row r="2622" spans="1:24" x14ac:dyDescent="0.15">
      <c r="A2622" s="7" t="str">
        <f t="shared" si="86"/>
        <v>201806</v>
      </c>
      <c r="C2622" s="6" t="str">
        <f>INDEX(工厂基础数据!$A$2:$A$1024,MATCH(X2622,工厂基础数据!$D$2:$D$1024,0))</f>
        <v>02037769</v>
      </c>
      <c r="E2622" s="6" t="str">
        <f>INDEX(工厂基础数据!$B$2:$B$1024,MATCH(X2622,工厂基础数据!$D$2:$D$1024,0))</f>
        <v>山东海川医药有限公司</v>
      </c>
      <c r="F2622" s="6" t="e">
        <f>INDEX(商业2转码!$B$2:$B$10000,MATCH(E2622,商业2转码!$A$2:$A$10000,0))</f>
        <v>#N/A</v>
      </c>
      <c r="G2622" s="6">
        <f>INDEX(品种2编码!$A$2:$A$1048576,MATCH(W2622,品种2编码!$D$2:$D$1048576,0))</f>
        <v>0</v>
      </c>
      <c r="H2622" s="6" t="s">
        <v>1885</v>
      </c>
      <c r="I2622" s="6" t="s">
        <v>1838</v>
      </c>
      <c r="J2622" s="6" t="s">
        <v>3036</v>
      </c>
      <c r="L2622" s="6" t="s">
        <v>3680</v>
      </c>
      <c r="M2622" s="6" t="e">
        <f>INDEX(医院2县区2人!$B$2:$B$1048576,MATCH(L2622,医院2县区2人!$A$2:$A$1048576,0))</f>
        <v>#N/A</v>
      </c>
      <c r="N2622" s="6" t="e">
        <f>INDEX(医院2县区2人!$C$2:$C$1048576,MATCH(L2622,医院2县区2人!$A$2:$A$1048576,0))</f>
        <v>#N/A</v>
      </c>
      <c r="P2622" s="7">
        <v>43261</v>
      </c>
      <c r="Q2622" s="6">
        <v>4</v>
      </c>
      <c r="S2622" s="6">
        <v>180106</v>
      </c>
      <c r="T2622" s="6" t="e">
        <f>INDEX(医院2县区2人!$D$2:$D$1048576,MATCH(L2622,医院2县区2人!$A$2:$A$1048576,0))</f>
        <v>#N/A</v>
      </c>
      <c r="W2622" s="6" t="str">
        <f t="shared" si="85"/>
        <v>新盖中盖高钙片2.5g*36片</v>
      </c>
      <c r="X2622" s="6" t="s">
        <v>2901</v>
      </c>
    </row>
    <row r="2623" spans="1:24" x14ac:dyDescent="0.15">
      <c r="A2623" s="7" t="str">
        <f t="shared" si="86"/>
        <v>201806</v>
      </c>
      <c r="C2623" s="6" t="str">
        <f>INDEX(工厂基础数据!$A$2:$A$1024,MATCH(X2623,工厂基础数据!$D$2:$D$1024,0))</f>
        <v>02037769</v>
      </c>
      <c r="E2623" s="6" t="str">
        <f>INDEX(工厂基础数据!$B$2:$B$1024,MATCH(X2623,工厂基础数据!$D$2:$D$1024,0))</f>
        <v>山东海川医药有限公司</v>
      </c>
      <c r="F2623" s="6" t="e">
        <f>INDEX(商业2转码!$B$2:$B$10000,MATCH(E2623,商业2转码!$A$2:$A$10000,0))</f>
        <v>#N/A</v>
      </c>
      <c r="G2623" s="6">
        <f>INDEX(品种2编码!$A$2:$A$1048576,MATCH(W2623,品种2编码!$D$2:$D$1048576,0))</f>
        <v>0</v>
      </c>
      <c r="H2623" s="6" t="s">
        <v>1885</v>
      </c>
      <c r="I2623" s="6" t="s">
        <v>1838</v>
      </c>
      <c r="J2623" s="6" t="s">
        <v>3036</v>
      </c>
      <c r="L2623" s="6" t="s">
        <v>3665</v>
      </c>
      <c r="M2623" s="6" t="e">
        <f>INDEX(医院2县区2人!$B$2:$B$1048576,MATCH(L2623,医院2县区2人!$A$2:$A$1048576,0))</f>
        <v>#N/A</v>
      </c>
      <c r="N2623" s="6" t="e">
        <f>INDEX(医院2县区2人!$C$2:$C$1048576,MATCH(L2623,医院2县区2人!$A$2:$A$1048576,0))</f>
        <v>#N/A</v>
      </c>
      <c r="P2623" s="7">
        <v>43261</v>
      </c>
      <c r="Q2623" s="6">
        <v>5</v>
      </c>
      <c r="S2623" s="6">
        <v>180106</v>
      </c>
      <c r="T2623" s="6" t="e">
        <f>INDEX(医院2县区2人!$D$2:$D$1048576,MATCH(L2623,医院2县区2人!$A$2:$A$1048576,0))</f>
        <v>#N/A</v>
      </c>
      <c r="W2623" s="6" t="str">
        <f t="shared" si="85"/>
        <v>新盖中盖高钙片2.5g*36片</v>
      </c>
      <c r="X2623" s="6" t="s">
        <v>2901</v>
      </c>
    </row>
    <row r="2624" spans="1:24" x14ac:dyDescent="0.15">
      <c r="A2624" s="7" t="str">
        <f t="shared" si="86"/>
        <v>201806</v>
      </c>
      <c r="C2624" s="6" t="str">
        <f>INDEX(工厂基础数据!$A$2:$A$1024,MATCH(X2624,工厂基础数据!$D$2:$D$1024,0))</f>
        <v>02037769</v>
      </c>
      <c r="E2624" s="6" t="str">
        <f>INDEX(工厂基础数据!$B$2:$B$1024,MATCH(X2624,工厂基础数据!$D$2:$D$1024,0))</f>
        <v>山东海川医药有限公司</v>
      </c>
      <c r="F2624" s="6" t="e">
        <f>INDEX(商业2转码!$B$2:$B$10000,MATCH(E2624,商业2转码!$A$2:$A$10000,0))</f>
        <v>#N/A</v>
      </c>
      <c r="G2624" s="6" t="str">
        <f>INDEX(品种2编码!$A$2:$A$1048576,MATCH(W2624,品种2编码!$D$2:$D$1048576,0))</f>
        <v>0020030001SJZY0006</v>
      </c>
      <c r="H2624" s="6" t="s">
        <v>1833</v>
      </c>
      <c r="I2624" s="6" t="s">
        <v>411</v>
      </c>
      <c r="J2624" s="6" t="s">
        <v>3044</v>
      </c>
      <c r="L2624" s="6" t="s">
        <v>3672</v>
      </c>
      <c r="M2624" s="6" t="e">
        <f>INDEX(医院2县区2人!$B$2:$B$1048576,MATCH(L2624,医院2县区2人!$A$2:$A$1048576,0))</f>
        <v>#N/A</v>
      </c>
      <c r="N2624" s="6" t="e">
        <f>INDEX(医院2县区2人!$C$2:$C$1048576,MATCH(L2624,医院2县区2人!$A$2:$A$1048576,0))</f>
        <v>#N/A</v>
      </c>
      <c r="P2624" s="7">
        <v>43261</v>
      </c>
      <c r="Q2624" s="6">
        <v>1</v>
      </c>
      <c r="S2624" s="6">
        <v>18030532</v>
      </c>
      <c r="T2624" s="6" t="e">
        <f>INDEX(医院2县区2人!$D$2:$D$1048576,MATCH(L2624,医院2县区2人!$A$2:$A$1048576,0))</f>
        <v>#N/A</v>
      </c>
      <c r="W2624" s="6" t="str">
        <f t="shared" si="85"/>
        <v>葡萄糖酸钙口服溶液10ml*12支</v>
      </c>
      <c r="X2624" s="6" t="s">
        <v>2901</v>
      </c>
    </row>
    <row r="2625" spans="1:24" x14ac:dyDescent="0.15">
      <c r="A2625" s="7" t="str">
        <f t="shared" si="86"/>
        <v>201806</v>
      </c>
      <c r="C2625" s="6" t="str">
        <f>INDEX(工厂基础数据!$A$2:$A$1024,MATCH(X2625,工厂基础数据!$D$2:$D$1024,0))</f>
        <v>02037769</v>
      </c>
      <c r="E2625" s="6" t="str">
        <f>INDEX(工厂基础数据!$B$2:$B$1024,MATCH(X2625,工厂基础数据!$D$2:$D$1024,0))</f>
        <v>山东海川医药有限公司</v>
      </c>
      <c r="F2625" s="6" t="e">
        <f>INDEX(商业2转码!$B$2:$B$10000,MATCH(E2625,商业2转码!$A$2:$A$10000,0))</f>
        <v>#N/A</v>
      </c>
      <c r="G2625" s="6" t="str">
        <f>INDEX(品种2编码!$A$2:$A$1048576,MATCH(W2625,品种2编码!$D$2:$D$1048576,0))</f>
        <v>0020030020ZYLC0013</v>
      </c>
      <c r="H2625" s="6" t="s">
        <v>591</v>
      </c>
      <c r="I2625" s="6" t="s">
        <v>1839</v>
      </c>
      <c r="J2625" s="6" t="s">
        <v>3036</v>
      </c>
      <c r="L2625" s="6" t="s">
        <v>3627</v>
      </c>
      <c r="M2625" s="6" t="e">
        <f>INDEX(医院2县区2人!$B$2:$B$1048576,MATCH(L2625,医院2县区2人!$A$2:$A$1048576,0))</f>
        <v>#N/A</v>
      </c>
      <c r="N2625" s="6" t="e">
        <f>INDEX(医院2县区2人!$C$2:$C$1048576,MATCH(L2625,医院2县区2人!$A$2:$A$1048576,0))</f>
        <v>#N/A</v>
      </c>
      <c r="P2625" s="7">
        <v>43261</v>
      </c>
      <c r="Q2625" s="6">
        <v>3</v>
      </c>
      <c r="S2625" s="6">
        <v>180302</v>
      </c>
      <c r="T2625" s="6" t="e">
        <f>INDEX(医院2县区2人!$D$2:$D$1048576,MATCH(L2625,医院2县区2人!$A$2:$A$1048576,0))</f>
        <v>#N/A</v>
      </c>
      <c r="W2625" s="6" t="str">
        <f t="shared" si="85"/>
        <v>乳酸菌素片0.4g*36片</v>
      </c>
      <c r="X2625" s="6" t="s">
        <v>2901</v>
      </c>
    </row>
    <row r="2626" spans="1:24" x14ac:dyDescent="0.15">
      <c r="A2626" s="7" t="str">
        <f t="shared" si="86"/>
        <v>201806</v>
      </c>
      <c r="C2626" s="6" t="str">
        <f>INDEX(工厂基础数据!$A$2:$A$1024,MATCH(X2626,工厂基础数据!$D$2:$D$1024,0))</f>
        <v>02037769</v>
      </c>
      <c r="E2626" s="6" t="str">
        <f>INDEX(工厂基础数据!$B$2:$B$1024,MATCH(X2626,工厂基础数据!$D$2:$D$1024,0))</f>
        <v>山东海川医药有限公司</v>
      </c>
      <c r="F2626" s="6" t="e">
        <f>INDEX(商业2转码!$B$2:$B$10000,MATCH(E2626,商业2转码!$A$2:$A$10000,0))</f>
        <v>#N/A</v>
      </c>
      <c r="G2626" s="6">
        <f>INDEX(品种2编码!$A$2:$A$1048576,MATCH(W2626,品种2编码!$D$2:$D$1048576,0))</f>
        <v>0</v>
      </c>
      <c r="H2626" s="6" t="s">
        <v>3748</v>
      </c>
      <c r="I2626" s="6" t="s">
        <v>3752</v>
      </c>
      <c r="J2626" s="6" t="s">
        <v>3038</v>
      </c>
      <c r="L2626" s="6" t="s">
        <v>3624</v>
      </c>
      <c r="M2626" s="6" t="e">
        <f>INDEX(医院2县区2人!$B$2:$B$1048576,MATCH(L2626,医院2县区2人!$A$2:$A$1048576,0))</f>
        <v>#N/A</v>
      </c>
      <c r="N2626" s="6" t="e">
        <f>INDEX(医院2县区2人!$C$2:$C$1048576,MATCH(L2626,医院2县区2人!$A$2:$A$1048576,0))</f>
        <v>#N/A</v>
      </c>
      <c r="P2626" s="7">
        <v>43261</v>
      </c>
      <c r="Q2626" s="6">
        <v>5</v>
      </c>
      <c r="S2626" s="6">
        <v>180101</v>
      </c>
      <c r="T2626" s="6" t="e">
        <f>INDEX(医院2县区2人!$D$2:$D$1048576,MATCH(L2626,医院2县区2人!$A$2:$A$1048576,0))</f>
        <v>#N/A</v>
      </c>
      <c r="W2626" s="6" t="str">
        <f t="shared" si="85"/>
        <v>哈药痛可贴关节炎型4贴</v>
      </c>
      <c r="X2626" s="6" t="s">
        <v>2901</v>
      </c>
    </row>
    <row r="2627" spans="1:24" x14ac:dyDescent="0.15">
      <c r="A2627" s="7" t="str">
        <f t="shared" si="86"/>
        <v>201806</v>
      </c>
      <c r="C2627" s="6" t="str">
        <f>INDEX(工厂基础数据!$A$2:$A$1024,MATCH(X2627,工厂基础数据!$D$2:$D$1024,0))</f>
        <v>02037769</v>
      </c>
      <c r="E2627" s="6" t="str">
        <f>INDEX(工厂基础数据!$B$2:$B$1024,MATCH(X2627,工厂基础数据!$D$2:$D$1024,0))</f>
        <v>山东海川医药有限公司</v>
      </c>
      <c r="F2627" s="6" t="e">
        <f>INDEX(商业2转码!$B$2:$B$10000,MATCH(E2627,商业2转码!$A$2:$A$10000,0))</f>
        <v>#N/A</v>
      </c>
      <c r="G2627" s="6">
        <f>INDEX(品种2编码!$A$2:$A$1048576,MATCH(W2627,品种2编码!$D$2:$D$1048576,0))</f>
        <v>0</v>
      </c>
      <c r="H2627" s="6" t="s">
        <v>1885</v>
      </c>
      <c r="I2627" s="6" t="s">
        <v>1838</v>
      </c>
      <c r="J2627" s="6" t="s">
        <v>3036</v>
      </c>
      <c r="L2627" s="6" t="s">
        <v>3632</v>
      </c>
      <c r="M2627" s="6" t="e">
        <f>INDEX(医院2县区2人!$B$2:$B$1048576,MATCH(L2627,医院2县区2人!$A$2:$A$1048576,0))</f>
        <v>#N/A</v>
      </c>
      <c r="N2627" s="6" t="e">
        <f>INDEX(医院2县区2人!$C$2:$C$1048576,MATCH(L2627,医院2县区2人!$A$2:$A$1048576,0))</f>
        <v>#N/A</v>
      </c>
      <c r="P2627" s="7">
        <v>43261</v>
      </c>
      <c r="Q2627" s="6">
        <v>3</v>
      </c>
      <c r="S2627" s="6">
        <v>180106</v>
      </c>
      <c r="T2627" s="6" t="e">
        <f>INDEX(医院2县区2人!$D$2:$D$1048576,MATCH(L2627,医院2县区2人!$A$2:$A$1048576,0))</f>
        <v>#N/A</v>
      </c>
      <c r="W2627" s="6" t="str">
        <f t="shared" si="85"/>
        <v>新盖中盖高钙片2.5g*36片</v>
      </c>
      <c r="X2627" s="6" t="s">
        <v>2901</v>
      </c>
    </row>
    <row r="2628" spans="1:24" x14ac:dyDescent="0.15">
      <c r="A2628" s="7" t="str">
        <f t="shared" si="86"/>
        <v>201806</v>
      </c>
      <c r="C2628" s="6" t="str">
        <f>INDEX(工厂基础数据!$A$2:$A$1024,MATCH(X2628,工厂基础数据!$D$2:$D$1024,0))</f>
        <v>02037769</v>
      </c>
      <c r="E2628" s="6" t="str">
        <f>INDEX(工厂基础数据!$B$2:$B$1024,MATCH(X2628,工厂基础数据!$D$2:$D$1024,0))</f>
        <v>山东海川医药有限公司</v>
      </c>
      <c r="F2628" s="6" t="e">
        <f>INDEX(商业2转码!$B$2:$B$10000,MATCH(E2628,商业2转码!$A$2:$A$10000,0))</f>
        <v>#N/A</v>
      </c>
      <c r="G2628" s="6" t="str">
        <f>INDEX(品种2编码!$A$2:$A$1048576,MATCH(W2628,品种2编码!$D$2:$D$1048576,0))</f>
        <v>0020030001SJZY0009</v>
      </c>
      <c r="H2628" s="6" t="s">
        <v>555</v>
      </c>
      <c r="I2628" s="6" t="s">
        <v>411</v>
      </c>
      <c r="J2628" s="6" t="s">
        <v>3044</v>
      </c>
      <c r="L2628" s="6" t="s">
        <v>3681</v>
      </c>
      <c r="M2628" s="6" t="e">
        <f>INDEX(医院2县区2人!$B$2:$B$1048576,MATCH(L2628,医院2县区2人!$A$2:$A$1048576,0))</f>
        <v>#N/A</v>
      </c>
      <c r="N2628" s="6" t="e">
        <f>INDEX(医院2县区2人!$C$2:$C$1048576,MATCH(L2628,医院2县区2人!$A$2:$A$1048576,0))</f>
        <v>#N/A</v>
      </c>
      <c r="P2628" s="7">
        <v>43261</v>
      </c>
      <c r="Q2628" s="6">
        <v>2</v>
      </c>
      <c r="S2628" s="6">
        <v>17070517</v>
      </c>
      <c r="T2628" s="6" t="e">
        <f>INDEX(医院2县区2人!$D$2:$D$1048576,MATCH(L2628,医院2县区2人!$A$2:$A$1048576,0))</f>
        <v>#N/A</v>
      </c>
      <c r="W2628" s="6" t="str">
        <f t="shared" si="85"/>
        <v>葡萄糖酸锌口服液10ml*12支</v>
      </c>
      <c r="X2628" s="6" t="s">
        <v>2901</v>
      </c>
    </row>
    <row r="2629" spans="1:24" x14ac:dyDescent="0.15">
      <c r="A2629" s="7" t="str">
        <f t="shared" si="86"/>
        <v>201806</v>
      </c>
      <c r="C2629" s="6" t="str">
        <f>INDEX(工厂基础数据!$A$2:$A$1024,MATCH(X2629,工厂基础数据!$D$2:$D$1024,0))</f>
        <v>02037769</v>
      </c>
      <c r="E2629" s="6" t="str">
        <f>INDEX(工厂基础数据!$B$2:$B$1024,MATCH(X2629,工厂基础数据!$D$2:$D$1024,0))</f>
        <v>山东海川医药有限公司</v>
      </c>
      <c r="F2629" s="6" t="e">
        <f>INDEX(商业2转码!$B$2:$B$10000,MATCH(E2629,商业2转码!$A$2:$A$10000,0))</f>
        <v>#N/A</v>
      </c>
      <c r="G2629" s="6">
        <f>INDEX(品种2编码!$A$2:$A$1048576,MATCH(W2629,品种2编码!$D$2:$D$1048576,0))</f>
        <v>0</v>
      </c>
      <c r="H2629" s="6" t="s">
        <v>3745</v>
      </c>
      <c r="I2629" s="6" t="s">
        <v>1869</v>
      </c>
      <c r="J2629" s="6" t="s">
        <v>3036</v>
      </c>
      <c r="L2629" s="6" t="s">
        <v>3682</v>
      </c>
      <c r="M2629" s="6" t="e">
        <f>INDEX(医院2县区2人!$B$2:$B$1048576,MATCH(L2629,医院2县区2人!$A$2:$A$1048576,0))</f>
        <v>#N/A</v>
      </c>
      <c r="N2629" s="6" t="e">
        <f>INDEX(医院2县区2人!$C$2:$C$1048576,MATCH(L2629,医院2县区2人!$A$2:$A$1048576,0))</f>
        <v>#N/A</v>
      </c>
      <c r="P2629" s="7">
        <v>43261</v>
      </c>
      <c r="Q2629" s="6">
        <v>5</v>
      </c>
      <c r="S2629" s="6">
        <v>160506</v>
      </c>
      <c r="T2629" s="6" t="e">
        <f>INDEX(医院2县区2人!$D$2:$D$1048576,MATCH(L2629,医院2县区2人!$A$2:$A$1048576,0))</f>
        <v>#N/A</v>
      </c>
      <c r="W2629" s="6" t="str">
        <f t="shared" si="85"/>
        <v>罗红霉素分散片（成人）75mg*12片</v>
      </c>
      <c r="X2629" s="6" t="s">
        <v>2901</v>
      </c>
    </row>
    <row r="2630" spans="1:24" x14ac:dyDescent="0.15">
      <c r="A2630" s="7" t="str">
        <f t="shared" si="86"/>
        <v>201806</v>
      </c>
      <c r="C2630" s="6" t="str">
        <f>INDEX(工厂基础数据!$A$2:$A$1024,MATCH(X2630,工厂基础数据!$D$2:$D$1024,0))</f>
        <v>02037769</v>
      </c>
      <c r="E2630" s="6" t="str">
        <f>INDEX(工厂基础数据!$B$2:$B$1024,MATCH(X2630,工厂基础数据!$D$2:$D$1024,0))</f>
        <v>山东海川医药有限公司</v>
      </c>
      <c r="F2630" s="6" t="e">
        <f>INDEX(商业2转码!$B$2:$B$10000,MATCH(E2630,商业2转码!$A$2:$A$10000,0))</f>
        <v>#N/A</v>
      </c>
      <c r="G2630" s="6" t="str">
        <f>INDEX(品种2编码!$A$2:$A$1048576,MATCH(W2630,品种2编码!$D$2:$D$1048576,0))</f>
        <v>0020040001SHYT0026</v>
      </c>
      <c r="H2630" s="6" t="s">
        <v>715</v>
      </c>
      <c r="I2630" s="6" t="s">
        <v>1867</v>
      </c>
      <c r="J2630" s="6" t="s">
        <v>3037</v>
      </c>
      <c r="L2630" s="6" t="s">
        <v>3633</v>
      </c>
      <c r="M2630" s="6" t="e">
        <f>INDEX(医院2县区2人!$B$2:$B$1048576,MATCH(L2630,医院2县区2人!$A$2:$A$1048576,0))</f>
        <v>#N/A</v>
      </c>
      <c r="N2630" s="6" t="e">
        <f>INDEX(医院2县区2人!$C$2:$C$1048576,MATCH(L2630,医院2县区2人!$A$2:$A$1048576,0))</f>
        <v>#N/A</v>
      </c>
      <c r="P2630" s="7">
        <v>43261</v>
      </c>
      <c r="Q2630" s="6">
        <v>3</v>
      </c>
      <c r="S2630" s="6">
        <v>1801108</v>
      </c>
      <c r="T2630" s="6" t="e">
        <f>INDEX(医院2县区2人!$D$2:$D$1048576,MATCH(L2630,医院2县区2人!$A$2:$A$1048576,0))</f>
        <v>#N/A</v>
      </c>
      <c r="W2630" s="6" t="str">
        <f t="shared" si="85"/>
        <v>小活络丸3g*10丸</v>
      </c>
      <c r="X2630" s="6" t="s">
        <v>2901</v>
      </c>
    </row>
    <row r="2631" spans="1:24" x14ac:dyDescent="0.15">
      <c r="A2631" s="7" t="str">
        <f t="shared" si="86"/>
        <v>201806</v>
      </c>
      <c r="C2631" s="6" t="str">
        <f>INDEX(工厂基础数据!$A$2:$A$1024,MATCH(X2631,工厂基础数据!$D$2:$D$1024,0))</f>
        <v>02037769</v>
      </c>
      <c r="E2631" s="6" t="str">
        <f>INDEX(工厂基础数据!$B$2:$B$1024,MATCH(X2631,工厂基础数据!$D$2:$D$1024,0))</f>
        <v>山东海川医药有限公司</v>
      </c>
      <c r="F2631" s="6" t="e">
        <f>INDEX(商业2转码!$B$2:$B$10000,MATCH(E2631,商业2转码!$A$2:$A$10000,0))</f>
        <v>#N/A</v>
      </c>
      <c r="G2631" s="6">
        <f>INDEX(品种2编码!$A$2:$A$1048576,MATCH(W2631,品种2编码!$D$2:$D$1048576,0))</f>
        <v>0</v>
      </c>
      <c r="H2631" s="6" t="s">
        <v>3740</v>
      </c>
      <c r="I2631" s="6" t="s">
        <v>3751</v>
      </c>
      <c r="J2631" s="6" t="s">
        <v>3754</v>
      </c>
      <c r="L2631" s="6" t="s">
        <v>3664</v>
      </c>
      <c r="M2631" s="6" t="e">
        <f>INDEX(医院2县区2人!$B$2:$B$1048576,MATCH(L2631,医院2县区2人!$A$2:$A$1048576,0))</f>
        <v>#N/A</v>
      </c>
      <c r="N2631" s="6" t="e">
        <f>INDEX(医院2县区2人!$C$2:$C$1048576,MATCH(L2631,医院2县区2人!$A$2:$A$1048576,0))</f>
        <v>#N/A</v>
      </c>
      <c r="P2631" s="7">
        <v>43261</v>
      </c>
      <c r="Q2631" s="6">
        <v>6</v>
      </c>
      <c r="S2631" s="6">
        <v>20170301</v>
      </c>
      <c r="T2631" s="6" t="e">
        <f>INDEX(医院2县区2人!$D$2:$D$1048576,MATCH(L2631,医院2县区2人!$A$2:$A$1048576,0))</f>
        <v>#N/A</v>
      </c>
      <c r="W2631" s="6" t="str">
        <f t="shared" si="85"/>
        <v>逐瘀通脉胶囊0.2g*18粒</v>
      </c>
      <c r="X2631" s="6" t="s">
        <v>2901</v>
      </c>
    </row>
    <row r="2632" spans="1:24" x14ac:dyDescent="0.15">
      <c r="A2632" s="7" t="str">
        <f t="shared" si="86"/>
        <v>201806</v>
      </c>
      <c r="C2632" s="6" t="str">
        <f>INDEX(工厂基础数据!$A$2:$A$1024,MATCH(X2632,工厂基础数据!$D$2:$D$1024,0))</f>
        <v>02037769</v>
      </c>
      <c r="E2632" s="6" t="str">
        <f>INDEX(工厂基础数据!$B$2:$B$1024,MATCH(X2632,工厂基础数据!$D$2:$D$1024,0))</f>
        <v>山东海川医药有限公司</v>
      </c>
      <c r="F2632" s="6" t="e">
        <f>INDEX(商业2转码!$B$2:$B$10000,MATCH(E2632,商业2转码!$A$2:$A$10000,0))</f>
        <v>#N/A</v>
      </c>
      <c r="G2632" s="6" t="str">
        <f>INDEX(品种2编码!$A$2:$A$1048576,MATCH(W2632,品种2编码!$D$2:$D$1048576,0))</f>
        <v>0020030001SJZY0006</v>
      </c>
      <c r="H2632" s="6" t="s">
        <v>1833</v>
      </c>
      <c r="I2632" s="6" t="s">
        <v>411</v>
      </c>
      <c r="J2632" s="6" t="s">
        <v>3044</v>
      </c>
      <c r="L2632" s="6" t="s">
        <v>3664</v>
      </c>
      <c r="M2632" s="6" t="e">
        <f>INDEX(医院2县区2人!$B$2:$B$1048576,MATCH(L2632,医院2县区2人!$A$2:$A$1048576,0))</f>
        <v>#N/A</v>
      </c>
      <c r="N2632" s="6" t="e">
        <f>INDEX(医院2县区2人!$C$2:$C$1048576,MATCH(L2632,医院2县区2人!$A$2:$A$1048576,0))</f>
        <v>#N/A</v>
      </c>
      <c r="P2632" s="7">
        <v>43261</v>
      </c>
      <c r="Q2632" s="6">
        <v>5</v>
      </c>
      <c r="S2632" s="6">
        <v>18030532</v>
      </c>
      <c r="T2632" s="6" t="e">
        <f>INDEX(医院2县区2人!$D$2:$D$1048576,MATCH(L2632,医院2县区2人!$A$2:$A$1048576,0))</f>
        <v>#N/A</v>
      </c>
      <c r="W2632" s="6" t="str">
        <f t="shared" si="85"/>
        <v>葡萄糖酸钙口服溶液10ml*12支</v>
      </c>
      <c r="X2632" s="6" t="s">
        <v>2901</v>
      </c>
    </row>
    <row r="2633" spans="1:24" x14ac:dyDescent="0.15">
      <c r="A2633" s="7" t="str">
        <f t="shared" si="86"/>
        <v>201806</v>
      </c>
      <c r="C2633" s="6" t="str">
        <f>INDEX(工厂基础数据!$A$2:$A$1024,MATCH(X2633,工厂基础数据!$D$2:$D$1024,0))</f>
        <v>02037769</v>
      </c>
      <c r="E2633" s="6" t="str">
        <f>INDEX(工厂基础数据!$B$2:$B$1024,MATCH(X2633,工厂基础数据!$D$2:$D$1024,0))</f>
        <v>山东海川医药有限公司</v>
      </c>
      <c r="F2633" s="6" t="e">
        <f>INDEX(商业2转码!$B$2:$B$10000,MATCH(E2633,商业2转码!$A$2:$A$10000,0))</f>
        <v>#N/A</v>
      </c>
      <c r="G2633" s="6">
        <f>INDEX(品种2编码!$A$2:$A$1048576,MATCH(W2633,品种2编码!$D$2:$D$1048576,0))</f>
        <v>0</v>
      </c>
      <c r="H2633" s="6" t="s">
        <v>1885</v>
      </c>
      <c r="I2633" s="6" t="s">
        <v>1838</v>
      </c>
      <c r="J2633" s="6" t="s">
        <v>3036</v>
      </c>
      <c r="L2633" s="6" t="s">
        <v>3664</v>
      </c>
      <c r="M2633" s="6" t="e">
        <f>INDEX(医院2县区2人!$B$2:$B$1048576,MATCH(L2633,医院2县区2人!$A$2:$A$1048576,0))</f>
        <v>#N/A</v>
      </c>
      <c r="N2633" s="6" t="e">
        <f>INDEX(医院2县区2人!$C$2:$C$1048576,MATCH(L2633,医院2县区2人!$A$2:$A$1048576,0))</f>
        <v>#N/A</v>
      </c>
      <c r="P2633" s="7">
        <v>43261</v>
      </c>
      <c r="Q2633" s="6">
        <v>5</v>
      </c>
      <c r="S2633" s="6">
        <v>180106</v>
      </c>
      <c r="T2633" s="6" t="e">
        <f>INDEX(医院2县区2人!$D$2:$D$1048576,MATCH(L2633,医院2县区2人!$A$2:$A$1048576,0))</f>
        <v>#N/A</v>
      </c>
      <c r="W2633" s="6" t="str">
        <f t="shared" si="85"/>
        <v>新盖中盖高钙片2.5g*36片</v>
      </c>
      <c r="X2633" s="6" t="s">
        <v>2901</v>
      </c>
    </row>
    <row r="2634" spans="1:24" x14ac:dyDescent="0.15">
      <c r="A2634" s="7" t="str">
        <f t="shared" si="86"/>
        <v>201806</v>
      </c>
      <c r="C2634" s="6" t="str">
        <f>INDEX(工厂基础数据!$A$2:$A$1024,MATCH(X2634,工厂基础数据!$D$2:$D$1024,0))</f>
        <v>02037769</v>
      </c>
      <c r="E2634" s="6" t="str">
        <f>INDEX(工厂基础数据!$B$2:$B$1024,MATCH(X2634,工厂基础数据!$D$2:$D$1024,0))</f>
        <v>山东海川医药有限公司</v>
      </c>
      <c r="F2634" s="6" t="e">
        <f>INDEX(商业2转码!$B$2:$B$10000,MATCH(E2634,商业2转码!$A$2:$A$10000,0))</f>
        <v>#N/A</v>
      </c>
      <c r="G2634" s="6" t="str">
        <f>INDEX(品种2编码!$A$2:$A$1048576,MATCH(W2634,品种2编码!$D$2:$D$1048576,0))</f>
        <v>0020030001SJZY0009</v>
      </c>
      <c r="H2634" s="6" t="s">
        <v>555</v>
      </c>
      <c r="I2634" s="6" t="s">
        <v>411</v>
      </c>
      <c r="J2634" s="6" t="s">
        <v>3044</v>
      </c>
      <c r="L2634" s="6" t="s">
        <v>3649</v>
      </c>
      <c r="M2634" s="6" t="e">
        <f>INDEX(医院2县区2人!$B$2:$B$1048576,MATCH(L2634,医院2县区2人!$A$2:$A$1048576,0))</f>
        <v>#N/A</v>
      </c>
      <c r="N2634" s="6" t="e">
        <f>INDEX(医院2县区2人!$C$2:$C$1048576,MATCH(L2634,医院2县区2人!$A$2:$A$1048576,0))</f>
        <v>#N/A</v>
      </c>
      <c r="P2634" s="7">
        <v>43261</v>
      </c>
      <c r="Q2634" s="6">
        <v>-3</v>
      </c>
      <c r="S2634" s="6">
        <v>16120946</v>
      </c>
      <c r="T2634" s="6" t="e">
        <f>INDEX(医院2县区2人!$D$2:$D$1048576,MATCH(L2634,医院2县区2人!$A$2:$A$1048576,0))</f>
        <v>#N/A</v>
      </c>
      <c r="W2634" s="6" t="str">
        <f t="shared" si="85"/>
        <v>葡萄糖酸锌口服液10ml*12支</v>
      </c>
      <c r="X2634" s="6" t="s">
        <v>2901</v>
      </c>
    </row>
    <row r="2635" spans="1:24" x14ac:dyDescent="0.15">
      <c r="A2635" s="7" t="str">
        <f t="shared" si="86"/>
        <v>201806</v>
      </c>
      <c r="C2635" s="6" t="str">
        <f>INDEX(工厂基础数据!$A$2:$A$1024,MATCH(X2635,工厂基础数据!$D$2:$D$1024,0))</f>
        <v>02037769</v>
      </c>
      <c r="E2635" s="6" t="str">
        <f>INDEX(工厂基础数据!$B$2:$B$1024,MATCH(X2635,工厂基础数据!$D$2:$D$1024,0))</f>
        <v>山东海川医药有限公司</v>
      </c>
      <c r="F2635" s="6" t="e">
        <f>INDEX(商业2转码!$B$2:$B$10000,MATCH(E2635,商业2转码!$A$2:$A$10000,0))</f>
        <v>#N/A</v>
      </c>
      <c r="G2635" s="6" t="str">
        <f>INDEX(品种2编码!$A$2:$A$1048576,MATCH(W2635,品种2编码!$D$2:$D$1048576,0))</f>
        <v>0020030001SJZY0009</v>
      </c>
      <c r="H2635" s="6" t="s">
        <v>555</v>
      </c>
      <c r="I2635" s="6" t="s">
        <v>411</v>
      </c>
      <c r="J2635" s="6" t="s">
        <v>3044</v>
      </c>
      <c r="L2635" s="6" t="s">
        <v>3650</v>
      </c>
      <c r="M2635" s="6" t="e">
        <f>INDEX(医院2县区2人!$B$2:$B$1048576,MATCH(L2635,医院2县区2人!$A$2:$A$1048576,0))</f>
        <v>#N/A</v>
      </c>
      <c r="N2635" s="6" t="e">
        <f>INDEX(医院2县区2人!$C$2:$C$1048576,MATCH(L2635,医院2县区2人!$A$2:$A$1048576,0))</f>
        <v>#N/A</v>
      </c>
      <c r="P2635" s="7">
        <v>43261</v>
      </c>
      <c r="Q2635" s="6">
        <v>3</v>
      </c>
      <c r="S2635" s="6">
        <v>16120946</v>
      </c>
      <c r="T2635" s="6" t="e">
        <f>INDEX(医院2县区2人!$D$2:$D$1048576,MATCH(L2635,医院2县区2人!$A$2:$A$1048576,0))</f>
        <v>#N/A</v>
      </c>
      <c r="W2635" s="6" t="str">
        <f t="shared" si="85"/>
        <v>葡萄糖酸锌口服液10ml*12支</v>
      </c>
      <c r="X2635" s="6" t="s">
        <v>2901</v>
      </c>
    </row>
    <row r="2636" spans="1:24" x14ac:dyDescent="0.15">
      <c r="A2636" s="7" t="str">
        <f t="shared" si="86"/>
        <v>201806</v>
      </c>
      <c r="C2636" s="6" t="str">
        <f>INDEX(工厂基础数据!$A$2:$A$1024,MATCH(X2636,工厂基础数据!$D$2:$D$1024,0))</f>
        <v>02037769</v>
      </c>
      <c r="E2636" s="6" t="str">
        <f>INDEX(工厂基础数据!$B$2:$B$1024,MATCH(X2636,工厂基础数据!$D$2:$D$1024,0))</f>
        <v>山东海川医药有限公司</v>
      </c>
      <c r="F2636" s="6" t="e">
        <f>INDEX(商业2转码!$B$2:$B$10000,MATCH(E2636,商业2转码!$A$2:$A$10000,0))</f>
        <v>#N/A</v>
      </c>
      <c r="G2636" s="6" t="str">
        <f>INDEX(品种2编码!$A$2:$A$1048576,MATCH(W2636,品种2编码!$D$2:$D$1048576,0))</f>
        <v>0020040001SHYT0026</v>
      </c>
      <c r="H2636" s="6" t="s">
        <v>715</v>
      </c>
      <c r="I2636" s="6" t="s">
        <v>1867</v>
      </c>
      <c r="J2636" s="6" t="s">
        <v>3037</v>
      </c>
      <c r="L2636" s="6" t="s">
        <v>3683</v>
      </c>
      <c r="M2636" s="6" t="e">
        <f>INDEX(医院2县区2人!$B$2:$B$1048576,MATCH(L2636,医院2县区2人!$A$2:$A$1048576,0))</f>
        <v>#N/A</v>
      </c>
      <c r="N2636" s="6" t="e">
        <f>INDEX(医院2县区2人!$C$2:$C$1048576,MATCH(L2636,医院2县区2人!$A$2:$A$1048576,0))</f>
        <v>#N/A</v>
      </c>
      <c r="P2636" s="7">
        <v>43261</v>
      </c>
      <c r="Q2636" s="6">
        <v>3</v>
      </c>
      <c r="S2636" s="6">
        <v>1801108</v>
      </c>
      <c r="T2636" s="6" t="e">
        <f>INDEX(医院2县区2人!$D$2:$D$1048576,MATCH(L2636,医院2县区2人!$A$2:$A$1048576,0))</f>
        <v>#N/A</v>
      </c>
      <c r="W2636" s="6" t="str">
        <f t="shared" si="85"/>
        <v>小活络丸3g*10丸</v>
      </c>
      <c r="X2636" s="6" t="s">
        <v>2901</v>
      </c>
    </row>
    <row r="2637" spans="1:24" x14ac:dyDescent="0.15">
      <c r="A2637" s="7" t="str">
        <f t="shared" si="86"/>
        <v>201806</v>
      </c>
      <c r="C2637" s="6" t="str">
        <f>INDEX(工厂基础数据!$A$2:$A$1024,MATCH(X2637,工厂基础数据!$D$2:$D$1024,0))</f>
        <v>02037769</v>
      </c>
      <c r="E2637" s="6" t="str">
        <f>INDEX(工厂基础数据!$B$2:$B$1024,MATCH(X2637,工厂基础数据!$D$2:$D$1024,0))</f>
        <v>山东海川医药有限公司</v>
      </c>
      <c r="F2637" s="6" t="e">
        <f>INDEX(商业2转码!$B$2:$B$10000,MATCH(E2637,商业2转码!$A$2:$A$10000,0))</f>
        <v>#N/A</v>
      </c>
      <c r="G2637" s="6" t="str">
        <f>INDEX(品种2编码!$A$2:$A$1048576,MATCH(W2637,品种2编码!$D$2:$D$1048576,0))</f>
        <v>0020030001SJZY0006</v>
      </c>
      <c r="H2637" s="6" t="s">
        <v>1833</v>
      </c>
      <c r="I2637" s="6" t="s">
        <v>411</v>
      </c>
      <c r="J2637" s="6" t="s">
        <v>3044</v>
      </c>
      <c r="L2637" s="6" t="s">
        <v>3684</v>
      </c>
      <c r="M2637" s="6" t="e">
        <f>INDEX(医院2县区2人!$B$2:$B$1048576,MATCH(L2637,医院2县区2人!$A$2:$A$1048576,0))</f>
        <v>#N/A</v>
      </c>
      <c r="N2637" s="6" t="e">
        <f>INDEX(医院2县区2人!$C$2:$C$1048576,MATCH(L2637,医院2县区2人!$A$2:$A$1048576,0))</f>
        <v>#N/A</v>
      </c>
      <c r="P2637" s="7">
        <v>43261</v>
      </c>
      <c r="Q2637" s="6">
        <v>2</v>
      </c>
      <c r="S2637" s="6">
        <v>18030532</v>
      </c>
      <c r="T2637" s="6" t="e">
        <f>INDEX(医院2县区2人!$D$2:$D$1048576,MATCH(L2637,医院2县区2人!$A$2:$A$1048576,0))</f>
        <v>#N/A</v>
      </c>
      <c r="W2637" s="6" t="str">
        <f t="shared" si="85"/>
        <v>葡萄糖酸钙口服溶液10ml*12支</v>
      </c>
      <c r="X2637" s="6" t="s">
        <v>2901</v>
      </c>
    </row>
    <row r="2638" spans="1:24" x14ac:dyDescent="0.15">
      <c r="A2638" s="7" t="str">
        <f t="shared" si="86"/>
        <v>201806</v>
      </c>
      <c r="C2638" s="6" t="str">
        <f>INDEX(工厂基础数据!$A$2:$A$1024,MATCH(X2638,工厂基础数据!$D$2:$D$1024,0))</f>
        <v>02037769</v>
      </c>
      <c r="E2638" s="6" t="str">
        <f>INDEX(工厂基础数据!$B$2:$B$1024,MATCH(X2638,工厂基础数据!$D$2:$D$1024,0))</f>
        <v>山东海川医药有限公司</v>
      </c>
      <c r="F2638" s="6" t="e">
        <f>INDEX(商业2转码!$B$2:$B$10000,MATCH(E2638,商业2转码!$A$2:$A$10000,0))</f>
        <v>#N/A</v>
      </c>
      <c r="G2638" s="6" t="str">
        <f>INDEX(品种2编码!$A$2:$A$1048576,MATCH(W2638,品种2编码!$D$2:$D$1048576,0))</f>
        <v>0020030001SJZY0006</v>
      </c>
      <c r="H2638" s="6" t="s">
        <v>1833</v>
      </c>
      <c r="I2638" s="6" t="s">
        <v>411</v>
      </c>
      <c r="J2638" s="6" t="s">
        <v>3044</v>
      </c>
      <c r="L2638" s="6" t="s">
        <v>3685</v>
      </c>
      <c r="M2638" s="6" t="e">
        <f>INDEX(医院2县区2人!$B$2:$B$1048576,MATCH(L2638,医院2县区2人!$A$2:$A$1048576,0))</f>
        <v>#N/A</v>
      </c>
      <c r="N2638" s="6" t="e">
        <f>INDEX(医院2县区2人!$C$2:$C$1048576,MATCH(L2638,医院2县区2人!$A$2:$A$1048576,0))</f>
        <v>#N/A</v>
      </c>
      <c r="P2638" s="7">
        <v>43262</v>
      </c>
      <c r="Q2638" s="6">
        <v>5</v>
      </c>
      <c r="S2638" s="6">
        <v>18030532</v>
      </c>
      <c r="T2638" s="6" t="e">
        <f>INDEX(医院2县区2人!$D$2:$D$1048576,MATCH(L2638,医院2县区2人!$A$2:$A$1048576,0))</f>
        <v>#N/A</v>
      </c>
      <c r="W2638" s="6" t="str">
        <f t="shared" si="85"/>
        <v>葡萄糖酸钙口服溶液10ml*12支</v>
      </c>
      <c r="X2638" s="6" t="s">
        <v>2901</v>
      </c>
    </row>
    <row r="2639" spans="1:24" x14ac:dyDescent="0.15">
      <c r="A2639" s="7" t="str">
        <f t="shared" si="86"/>
        <v>201806</v>
      </c>
      <c r="C2639" s="6" t="str">
        <f>INDEX(工厂基础数据!$A$2:$A$1024,MATCH(X2639,工厂基础数据!$D$2:$D$1024,0))</f>
        <v>02037769</v>
      </c>
      <c r="E2639" s="6" t="str">
        <f>INDEX(工厂基础数据!$B$2:$B$1024,MATCH(X2639,工厂基础数据!$D$2:$D$1024,0))</f>
        <v>山东海川医药有限公司</v>
      </c>
      <c r="F2639" s="6" t="e">
        <f>INDEX(商业2转码!$B$2:$B$10000,MATCH(E2639,商业2转码!$A$2:$A$10000,0))</f>
        <v>#N/A</v>
      </c>
      <c r="G2639" s="6" t="str">
        <f>INDEX(品种2编码!$A$2:$A$1048576,MATCH(W2639,品种2编码!$D$2:$D$1048576,0))</f>
        <v>0020070001ZYZC0377</v>
      </c>
      <c r="H2639" s="6" t="s">
        <v>1849</v>
      </c>
      <c r="I2639" s="6" t="s">
        <v>1887</v>
      </c>
      <c r="J2639" s="6" t="s">
        <v>3038</v>
      </c>
      <c r="L2639" s="6" t="s">
        <v>3685</v>
      </c>
      <c r="M2639" s="6" t="e">
        <f>INDEX(医院2县区2人!$B$2:$B$1048576,MATCH(L2639,医院2县区2人!$A$2:$A$1048576,0))</f>
        <v>#N/A</v>
      </c>
      <c r="N2639" s="6" t="e">
        <f>INDEX(医院2县区2人!$C$2:$C$1048576,MATCH(L2639,医院2县区2人!$A$2:$A$1048576,0))</f>
        <v>#N/A</v>
      </c>
      <c r="P2639" s="7">
        <v>43262</v>
      </c>
      <c r="Q2639" s="6">
        <v>5</v>
      </c>
      <c r="S2639" s="6">
        <v>1801042</v>
      </c>
      <c r="T2639" s="6" t="e">
        <f>INDEX(医院2县区2人!$D$2:$D$1048576,MATCH(L2639,医院2县区2人!$A$2:$A$1048576,0))</f>
        <v>#N/A</v>
      </c>
      <c r="W2639" s="6" t="str">
        <f t="shared" si="85"/>
        <v>哈药牌钙铁锌口服液10ml*15支</v>
      </c>
      <c r="X2639" s="6" t="s">
        <v>2901</v>
      </c>
    </row>
    <row r="2640" spans="1:24" x14ac:dyDescent="0.15">
      <c r="A2640" s="7" t="str">
        <f t="shared" si="86"/>
        <v>201806</v>
      </c>
      <c r="C2640" s="6" t="str">
        <f>INDEX(工厂基础数据!$A$2:$A$1024,MATCH(X2640,工厂基础数据!$D$2:$D$1024,0))</f>
        <v>02037769</v>
      </c>
      <c r="E2640" s="6" t="str">
        <f>INDEX(工厂基础数据!$B$2:$B$1024,MATCH(X2640,工厂基础数据!$D$2:$D$1024,0))</f>
        <v>山东海川医药有限公司</v>
      </c>
      <c r="F2640" s="6" t="e">
        <f>INDEX(商业2转码!$B$2:$B$10000,MATCH(E2640,商业2转码!$A$2:$A$10000,0))</f>
        <v>#N/A</v>
      </c>
      <c r="G2640" s="6" t="str">
        <f>INDEX(品种2编码!$A$2:$A$1048576,MATCH(W2640,品种2编码!$D$2:$D$1048576,0))</f>
        <v>0020030001SJZY0006</v>
      </c>
      <c r="H2640" s="6" t="s">
        <v>1833</v>
      </c>
      <c r="I2640" s="6" t="s">
        <v>411</v>
      </c>
      <c r="J2640" s="6" t="s">
        <v>3044</v>
      </c>
      <c r="L2640" s="6" t="s">
        <v>3686</v>
      </c>
      <c r="M2640" s="6" t="e">
        <f>INDEX(医院2县区2人!$B$2:$B$1048576,MATCH(L2640,医院2县区2人!$A$2:$A$1048576,0))</f>
        <v>#N/A</v>
      </c>
      <c r="N2640" s="6" t="e">
        <f>INDEX(医院2县区2人!$C$2:$C$1048576,MATCH(L2640,医院2县区2人!$A$2:$A$1048576,0))</f>
        <v>#N/A</v>
      </c>
      <c r="P2640" s="7">
        <v>43262</v>
      </c>
      <c r="Q2640" s="6">
        <v>5</v>
      </c>
      <c r="S2640" s="6">
        <v>18030532</v>
      </c>
      <c r="T2640" s="6" t="e">
        <f>INDEX(医院2县区2人!$D$2:$D$1048576,MATCH(L2640,医院2县区2人!$A$2:$A$1048576,0))</f>
        <v>#N/A</v>
      </c>
      <c r="W2640" s="6" t="str">
        <f t="shared" si="85"/>
        <v>葡萄糖酸钙口服溶液10ml*12支</v>
      </c>
      <c r="X2640" s="6" t="s">
        <v>2901</v>
      </c>
    </row>
    <row r="2641" spans="1:24" x14ac:dyDescent="0.15">
      <c r="A2641" s="7" t="str">
        <f t="shared" si="86"/>
        <v>201806</v>
      </c>
      <c r="C2641" s="6" t="str">
        <f>INDEX(工厂基础数据!$A$2:$A$1024,MATCH(X2641,工厂基础数据!$D$2:$D$1024,0))</f>
        <v>02037769</v>
      </c>
      <c r="E2641" s="6" t="str">
        <f>INDEX(工厂基础数据!$B$2:$B$1024,MATCH(X2641,工厂基础数据!$D$2:$D$1024,0))</f>
        <v>山东海川医药有限公司</v>
      </c>
      <c r="F2641" s="6" t="e">
        <f>INDEX(商业2转码!$B$2:$B$10000,MATCH(E2641,商业2转码!$A$2:$A$10000,0))</f>
        <v>#N/A</v>
      </c>
      <c r="G2641" s="6">
        <f>INDEX(品种2编码!$A$2:$A$1048576,MATCH(W2641,品种2编码!$D$2:$D$1048576,0))</f>
        <v>0</v>
      </c>
      <c r="H2641" s="6" t="s">
        <v>1885</v>
      </c>
      <c r="I2641" s="6" t="s">
        <v>1838</v>
      </c>
      <c r="J2641" s="6" t="s">
        <v>3036</v>
      </c>
      <c r="L2641" s="6" t="s">
        <v>3633</v>
      </c>
      <c r="M2641" s="6" t="e">
        <f>INDEX(医院2县区2人!$B$2:$B$1048576,MATCH(L2641,医院2县区2人!$A$2:$A$1048576,0))</f>
        <v>#N/A</v>
      </c>
      <c r="N2641" s="6" t="e">
        <f>INDEX(医院2县区2人!$C$2:$C$1048576,MATCH(L2641,医院2县区2人!$A$2:$A$1048576,0))</f>
        <v>#N/A</v>
      </c>
      <c r="P2641" s="7">
        <v>43262</v>
      </c>
      <c r="Q2641" s="6">
        <v>5</v>
      </c>
      <c r="S2641" s="6">
        <v>180106</v>
      </c>
      <c r="T2641" s="6" t="e">
        <f>INDEX(医院2县区2人!$D$2:$D$1048576,MATCH(L2641,医院2县区2人!$A$2:$A$1048576,0))</f>
        <v>#N/A</v>
      </c>
      <c r="W2641" s="6" t="str">
        <f t="shared" si="85"/>
        <v>新盖中盖高钙片2.5g*36片</v>
      </c>
      <c r="X2641" s="6" t="s">
        <v>2901</v>
      </c>
    </row>
    <row r="2642" spans="1:24" x14ac:dyDescent="0.15">
      <c r="A2642" s="7" t="str">
        <f t="shared" si="86"/>
        <v>201806</v>
      </c>
      <c r="C2642" s="6" t="str">
        <f>INDEX(工厂基础数据!$A$2:$A$1024,MATCH(X2642,工厂基础数据!$D$2:$D$1024,0))</f>
        <v>02037769</v>
      </c>
      <c r="E2642" s="6" t="str">
        <f>INDEX(工厂基础数据!$B$2:$B$1024,MATCH(X2642,工厂基础数据!$D$2:$D$1024,0))</f>
        <v>山东海川医药有限公司</v>
      </c>
      <c r="F2642" s="6" t="e">
        <f>INDEX(商业2转码!$B$2:$B$10000,MATCH(E2642,商业2转码!$A$2:$A$10000,0))</f>
        <v>#N/A</v>
      </c>
      <c r="G2642" s="6">
        <f>INDEX(品种2编码!$A$2:$A$1048576,MATCH(W2642,品种2编码!$D$2:$D$1048576,0))</f>
        <v>0</v>
      </c>
      <c r="H2642" s="6" t="s">
        <v>1885</v>
      </c>
      <c r="I2642" s="6" t="s">
        <v>1838</v>
      </c>
      <c r="J2642" s="6" t="s">
        <v>3036</v>
      </c>
      <c r="L2642" s="6" t="s">
        <v>3687</v>
      </c>
      <c r="M2642" s="6" t="e">
        <f>INDEX(医院2县区2人!$B$2:$B$1048576,MATCH(L2642,医院2县区2人!$A$2:$A$1048576,0))</f>
        <v>#N/A</v>
      </c>
      <c r="N2642" s="6" t="e">
        <f>INDEX(医院2县区2人!$C$2:$C$1048576,MATCH(L2642,医院2县区2人!$A$2:$A$1048576,0))</f>
        <v>#N/A</v>
      </c>
      <c r="P2642" s="7">
        <v>43262</v>
      </c>
      <c r="Q2642" s="6">
        <v>2</v>
      </c>
      <c r="S2642" s="6">
        <v>180106</v>
      </c>
      <c r="T2642" s="6" t="e">
        <f>INDEX(医院2县区2人!$D$2:$D$1048576,MATCH(L2642,医院2县区2人!$A$2:$A$1048576,0))</f>
        <v>#N/A</v>
      </c>
      <c r="W2642" s="6" t="str">
        <f t="shared" si="85"/>
        <v>新盖中盖高钙片2.5g*36片</v>
      </c>
      <c r="X2642" s="6" t="s">
        <v>2901</v>
      </c>
    </row>
    <row r="2643" spans="1:24" x14ac:dyDescent="0.15">
      <c r="A2643" s="7" t="str">
        <f t="shared" si="86"/>
        <v>201806</v>
      </c>
      <c r="C2643" s="6" t="str">
        <f>INDEX(工厂基础数据!$A$2:$A$1024,MATCH(X2643,工厂基础数据!$D$2:$D$1024,0))</f>
        <v>02037769</v>
      </c>
      <c r="E2643" s="6" t="str">
        <f>INDEX(工厂基础数据!$B$2:$B$1024,MATCH(X2643,工厂基础数据!$D$2:$D$1024,0))</f>
        <v>山东海川医药有限公司</v>
      </c>
      <c r="F2643" s="6" t="e">
        <f>INDEX(商业2转码!$B$2:$B$10000,MATCH(E2643,商业2转码!$A$2:$A$10000,0))</f>
        <v>#N/A</v>
      </c>
      <c r="G2643" s="6" t="str">
        <f>INDEX(品种2编码!$A$2:$A$1048576,MATCH(W2643,品种2编码!$D$2:$D$1048576,0))</f>
        <v>0020030001SJZY0006</v>
      </c>
      <c r="H2643" s="6" t="s">
        <v>1833</v>
      </c>
      <c r="I2643" s="6" t="s">
        <v>411</v>
      </c>
      <c r="J2643" s="6" t="s">
        <v>3044</v>
      </c>
      <c r="L2643" s="6" t="s">
        <v>3642</v>
      </c>
      <c r="M2643" s="6" t="e">
        <f>INDEX(医院2县区2人!$B$2:$B$1048576,MATCH(L2643,医院2县区2人!$A$2:$A$1048576,0))</f>
        <v>#N/A</v>
      </c>
      <c r="N2643" s="6" t="e">
        <f>INDEX(医院2县区2人!$C$2:$C$1048576,MATCH(L2643,医院2县区2人!$A$2:$A$1048576,0))</f>
        <v>#N/A</v>
      </c>
      <c r="P2643" s="7">
        <v>43262</v>
      </c>
      <c r="Q2643" s="6">
        <v>1</v>
      </c>
      <c r="S2643" s="6">
        <v>18030532</v>
      </c>
      <c r="T2643" s="6" t="e">
        <f>INDEX(医院2县区2人!$D$2:$D$1048576,MATCH(L2643,医院2县区2人!$A$2:$A$1048576,0))</f>
        <v>#N/A</v>
      </c>
      <c r="W2643" s="6" t="str">
        <f t="shared" si="85"/>
        <v>葡萄糖酸钙口服溶液10ml*12支</v>
      </c>
      <c r="X2643" s="6" t="s">
        <v>2901</v>
      </c>
    </row>
    <row r="2644" spans="1:24" x14ac:dyDescent="0.15">
      <c r="A2644" s="7" t="str">
        <f t="shared" si="86"/>
        <v>201806</v>
      </c>
      <c r="C2644" s="6" t="str">
        <f>INDEX(工厂基础数据!$A$2:$A$1024,MATCH(X2644,工厂基础数据!$D$2:$D$1024,0))</f>
        <v>02037769</v>
      </c>
      <c r="E2644" s="6" t="str">
        <f>INDEX(工厂基础数据!$B$2:$B$1024,MATCH(X2644,工厂基础数据!$D$2:$D$1024,0))</f>
        <v>山东海川医药有限公司</v>
      </c>
      <c r="F2644" s="6" t="e">
        <f>INDEX(商业2转码!$B$2:$B$10000,MATCH(E2644,商业2转码!$A$2:$A$10000,0))</f>
        <v>#N/A</v>
      </c>
      <c r="G2644" s="6" t="str">
        <f>INDEX(品种2编码!$A$2:$A$1048576,MATCH(W2644,品种2编码!$D$2:$D$1048576,0))</f>
        <v>0020030001SJZY0006</v>
      </c>
      <c r="H2644" s="6" t="s">
        <v>1833</v>
      </c>
      <c r="I2644" s="6" t="s">
        <v>411</v>
      </c>
      <c r="J2644" s="6" t="s">
        <v>3044</v>
      </c>
      <c r="L2644" s="6" t="s">
        <v>3638</v>
      </c>
      <c r="M2644" s="6" t="e">
        <f>INDEX(医院2县区2人!$B$2:$B$1048576,MATCH(L2644,医院2县区2人!$A$2:$A$1048576,0))</f>
        <v>#N/A</v>
      </c>
      <c r="N2644" s="6" t="e">
        <f>INDEX(医院2县区2人!$C$2:$C$1048576,MATCH(L2644,医院2县区2人!$A$2:$A$1048576,0))</f>
        <v>#N/A</v>
      </c>
      <c r="P2644" s="7">
        <v>43262</v>
      </c>
      <c r="Q2644" s="6">
        <v>5</v>
      </c>
      <c r="S2644" s="6">
        <v>18030532</v>
      </c>
      <c r="T2644" s="6" t="e">
        <f>INDEX(医院2县区2人!$D$2:$D$1048576,MATCH(L2644,医院2县区2人!$A$2:$A$1048576,0))</f>
        <v>#N/A</v>
      </c>
      <c r="W2644" s="6" t="str">
        <f t="shared" si="85"/>
        <v>葡萄糖酸钙口服溶液10ml*12支</v>
      </c>
      <c r="X2644" s="6" t="s">
        <v>2901</v>
      </c>
    </row>
    <row r="2645" spans="1:24" x14ac:dyDescent="0.15">
      <c r="A2645" s="7" t="str">
        <f t="shared" si="86"/>
        <v>201806</v>
      </c>
      <c r="C2645" s="6" t="str">
        <f>INDEX(工厂基础数据!$A$2:$A$1024,MATCH(X2645,工厂基础数据!$D$2:$D$1024,0))</f>
        <v>02037769</v>
      </c>
      <c r="E2645" s="6" t="str">
        <f>INDEX(工厂基础数据!$B$2:$B$1024,MATCH(X2645,工厂基础数据!$D$2:$D$1024,0))</f>
        <v>山东海川医药有限公司</v>
      </c>
      <c r="F2645" s="6" t="e">
        <f>INDEX(商业2转码!$B$2:$B$10000,MATCH(E2645,商业2转码!$A$2:$A$10000,0))</f>
        <v>#N/A</v>
      </c>
      <c r="G2645" s="6" t="str">
        <f>INDEX(品种2编码!$A$2:$A$1048576,MATCH(W2645,品种2编码!$D$2:$D$1048576,0))</f>
        <v>0020030001SJZY0009</v>
      </c>
      <c r="H2645" s="6" t="s">
        <v>1949</v>
      </c>
      <c r="I2645" s="6" t="s">
        <v>411</v>
      </c>
      <c r="J2645" s="6" t="s">
        <v>3040</v>
      </c>
      <c r="L2645" s="6" t="s">
        <v>3642</v>
      </c>
      <c r="M2645" s="6" t="e">
        <f>INDEX(医院2县区2人!$B$2:$B$1048576,MATCH(L2645,医院2县区2人!$A$2:$A$1048576,0))</f>
        <v>#N/A</v>
      </c>
      <c r="N2645" s="6" t="e">
        <f>INDEX(医院2县区2人!$C$2:$C$1048576,MATCH(L2645,医院2县区2人!$A$2:$A$1048576,0))</f>
        <v>#N/A</v>
      </c>
      <c r="P2645" s="7">
        <v>43262</v>
      </c>
      <c r="Q2645" s="6">
        <v>1</v>
      </c>
      <c r="S2645" s="6">
        <v>18031227</v>
      </c>
      <c r="T2645" s="6" t="e">
        <f>INDEX(医院2县区2人!$D$2:$D$1048576,MATCH(L2645,医院2县区2人!$A$2:$A$1048576,0))</f>
        <v>#N/A</v>
      </c>
      <c r="W2645" s="6" t="str">
        <f t="shared" si="85"/>
        <v>葡萄糖酸锌口服溶液10ml*12支</v>
      </c>
      <c r="X2645" s="6" t="s">
        <v>2901</v>
      </c>
    </row>
    <row r="2646" spans="1:24" x14ac:dyDescent="0.15">
      <c r="A2646" s="7" t="str">
        <f t="shared" si="86"/>
        <v>201806</v>
      </c>
      <c r="C2646" s="6" t="str">
        <f>INDEX(工厂基础数据!$A$2:$A$1024,MATCH(X2646,工厂基础数据!$D$2:$D$1024,0))</f>
        <v>02037769</v>
      </c>
      <c r="E2646" s="6" t="str">
        <f>INDEX(工厂基础数据!$B$2:$B$1024,MATCH(X2646,工厂基础数据!$D$2:$D$1024,0))</f>
        <v>山东海川医药有限公司</v>
      </c>
      <c r="F2646" s="6" t="e">
        <f>INDEX(商业2转码!$B$2:$B$10000,MATCH(E2646,商业2转码!$A$2:$A$10000,0))</f>
        <v>#N/A</v>
      </c>
      <c r="G2646" s="6">
        <f>INDEX(品种2编码!$A$2:$A$1048576,MATCH(W2646,品种2编码!$D$2:$D$1048576,0))</f>
        <v>0</v>
      </c>
      <c r="H2646" s="6" t="s">
        <v>3749</v>
      </c>
      <c r="I2646" s="6" t="s">
        <v>3752</v>
      </c>
      <c r="J2646" s="6" t="s">
        <v>3038</v>
      </c>
      <c r="L2646" s="6" t="s">
        <v>3623</v>
      </c>
      <c r="M2646" s="6" t="e">
        <f>INDEX(医院2县区2人!$B$2:$B$1048576,MATCH(L2646,医院2县区2人!$A$2:$A$1048576,0))</f>
        <v>#N/A</v>
      </c>
      <c r="N2646" s="6" t="e">
        <f>INDEX(医院2县区2人!$C$2:$C$1048576,MATCH(L2646,医院2县区2人!$A$2:$A$1048576,0))</f>
        <v>#N/A</v>
      </c>
      <c r="P2646" s="7">
        <v>43263</v>
      </c>
      <c r="Q2646" s="6">
        <v>5</v>
      </c>
      <c r="S2646" s="6">
        <v>180103</v>
      </c>
      <c r="T2646" s="6" t="e">
        <f>INDEX(医院2县区2人!$D$2:$D$1048576,MATCH(L2646,医院2县区2人!$A$2:$A$1048576,0))</f>
        <v>#N/A</v>
      </c>
      <c r="W2646" s="6" t="str">
        <f t="shared" si="85"/>
        <v>哈药痛可贴肩周型4贴</v>
      </c>
      <c r="X2646" s="6" t="s">
        <v>2901</v>
      </c>
    </row>
    <row r="2647" spans="1:24" x14ac:dyDescent="0.15">
      <c r="A2647" s="7" t="str">
        <f t="shared" si="86"/>
        <v>201806</v>
      </c>
      <c r="C2647" s="6" t="str">
        <f>INDEX(工厂基础数据!$A$2:$A$1024,MATCH(X2647,工厂基础数据!$D$2:$D$1024,0))</f>
        <v>02037769</v>
      </c>
      <c r="E2647" s="6" t="str">
        <f>INDEX(工厂基础数据!$B$2:$B$1024,MATCH(X2647,工厂基础数据!$D$2:$D$1024,0))</f>
        <v>山东海川医药有限公司</v>
      </c>
      <c r="F2647" s="6" t="e">
        <f>INDEX(商业2转码!$B$2:$B$10000,MATCH(E2647,商业2转码!$A$2:$A$10000,0))</f>
        <v>#N/A</v>
      </c>
      <c r="G2647" s="6">
        <f>INDEX(品种2编码!$A$2:$A$1048576,MATCH(W2647,品种2编码!$D$2:$D$1048576,0))</f>
        <v>0</v>
      </c>
      <c r="H2647" s="6" t="s">
        <v>3743</v>
      </c>
      <c r="I2647" s="6" t="s">
        <v>3752</v>
      </c>
      <c r="J2647" s="6" t="s">
        <v>3038</v>
      </c>
      <c r="L2647" s="6" t="s">
        <v>3623</v>
      </c>
      <c r="M2647" s="6" t="e">
        <f>INDEX(医院2县区2人!$B$2:$B$1048576,MATCH(L2647,医院2县区2人!$A$2:$A$1048576,0))</f>
        <v>#N/A</v>
      </c>
      <c r="N2647" s="6" t="e">
        <f>INDEX(医院2县区2人!$C$2:$C$1048576,MATCH(L2647,医院2县区2人!$A$2:$A$1048576,0))</f>
        <v>#N/A</v>
      </c>
      <c r="P2647" s="7">
        <v>43263</v>
      </c>
      <c r="Q2647" s="6">
        <v>5</v>
      </c>
      <c r="S2647" s="6">
        <v>180103</v>
      </c>
      <c r="T2647" s="6" t="e">
        <f>INDEX(医院2县区2人!$D$2:$D$1048576,MATCH(L2647,医院2县区2人!$A$2:$A$1048576,0))</f>
        <v>#N/A</v>
      </c>
      <c r="W2647" s="6" t="str">
        <f t="shared" si="85"/>
        <v>哈药痛可贴颈椎型4贴</v>
      </c>
      <c r="X2647" s="6" t="s">
        <v>2901</v>
      </c>
    </row>
    <row r="2648" spans="1:24" x14ac:dyDescent="0.15">
      <c r="A2648" s="7" t="str">
        <f t="shared" si="86"/>
        <v>201806</v>
      </c>
      <c r="C2648" s="6" t="str">
        <f>INDEX(工厂基础数据!$A$2:$A$1024,MATCH(X2648,工厂基础数据!$D$2:$D$1024,0))</f>
        <v>02037769</v>
      </c>
      <c r="E2648" s="6" t="str">
        <f>INDEX(工厂基础数据!$B$2:$B$1024,MATCH(X2648,工厂基础数据!$D$2:$D$1024,0))</f>
        <v>山东海川医药有限公司</v>
      </c>
      <c r="F2648" s="6" t="e">
        <f>INDEX(商业2转码!$B$2:$B$10000,MATCH(E2648,商业2转码!$A$2:$A$10000,0))</f>
        <v>#N/A</v>
      </c>
      <c r="G2648" s="6">
        <f>INDEX(品种2编码!$A$2:$A$1048576,MATCH(W2648,品种2编码!$D$2:$D$1048576,0))</f>
        <v>0</v>
      </c>
      <c r="H2648" s="6" t="s">
        <v>3744</v>
      </c>
      <c r="I2648" s="6" t="s">
        <v>3752</v>
      </c>
      <c r="J2648" s="6" t="s">
        <v>3038</v>
      </c>
      <c r="L2648" s="6" t="s">
        <v>3623</v>
      </c>
      <c r="M2648" s="6" t="e">
        <f>INDEX(医院2县区2人!$B$2:$B$1048576,MATCH(L2648,医院2县区2人!$A$2:$A$1048576,0))</f>
        <v>#N/A</v>
      </c>
      <c r="N2648" s="6" t="e">
        <f>INDEX(医院2县区2人!$C$2:$C$1048576,MATCH(L2648,医院2县区2人!$A$2:$A$1048576,0))</f>
        <v>#N/A</v>
      </c>
      <c r="P2648" s="7">
        <v>43263</v>
      </c>
      <c r="Q2648" s="6">
        <v>5</v>
      </c>
      <c r="S2648" s="6">
        <v>180103</v>
      </c>
      <c r="T2648" s="6" t="e">
        <f>INDEX(医院2县区2人!$D$2:$D$1048576,MATCH(L2648,医院2县区2人!$A$2:$A$1048576,0))</f>
        <v>#N/A</v>
      </c>
      <c r="W2648" s="6" t="str">
        <f t="shared" si="85"/>
        <v>哈药痛可贴腰椎型4贴</v>
      </c>
      <c r="X2648" s="6" t="s">
        <v>2901</v>
      </c>
    </row>
    <row r="2649" spans="1:24" x14ac:dyDescent="0.15">
      <c r="A2649" s="7" t="str">
        <f t="shared" si="86"/>
        <v>201806</v>
      </c>
      <c r="C2649" s="6" t="str">
        <f>INDEX(工厂基础数据!$A$2:$A$1024,MATCH(X2649,工厂基础数据!$D$2:$D$1024,0))</f>
        <v>02037769</v>
      </c>
      <c r="E2649" s="6" t="str">
        <f>INDEX(工厂基础数据!$B$2:$B$1024,MATCH(X2649,工厂基础数据!$D$2:$D$1024,0))</f>
        <v>山东海川医药有限公司</v>
      </c>
      <c r="F2649" s="6" t="e">
        <f>INDEX(商业2转码!$B$2:$B$10000,MATCH(E2649,商业2转码!$A$2:$A$10000,0))</f>
        <v>#N/A</v>
      </c>
      <c r="G2649" s="6" t="str">
        <f>INDEX(品种2编码!$A$2:$A$1048576,MATCH(W2649,品种2编码!$D$2:$D$1048576,0))</f>
        <v>0020070001ZYZC0377</v>
      </c>
      <c r="H2649" s="6" t="s">
        <v>1849</v>
      </c>
      <c r="I2649" s="6" t="s">
        <v>1887</v>
      </c>
      <c r="J2649" s="6" t="s">
        <v>3038</v>
      </c>
      <c r="L2649" s="6" t="s">
        <v>3634</v>
      </c>
      <c r="M2649" s="6" t="e">
        <f>INDEX(医院2县区2人!$B$2:$B$1048576,MATCH(L2649,医院2县区2人!$A$2:$A$1048576,0))</f>
        <v>#N/A</v>
      </c>
      <c r="N2649" s="6" t="e">
        <f>INDEX(医院2县区2人!$C$2:$C$1048576,MATCH(L2649,医院2县区2人!$A$2:$A$1048576,0))</f>
        <v>#N/A</v>
      </c>
      <c r="P2649" s="7">
        <v>43263</v>
      </c>
      <c r="Q2649" s="6">
        <v>6</v>
      </c>
      <c r="S2649" s="6">
        <v>1801042</v>
      </c>
      <c r="T2649" s="6" t="e">
        <f>INDEX(医院2县区2人!$D$2:$D$1048576,MATCH(L2649,医院2县区2人!$A$2:$A$1048576,0))</f>
        <v>#N/A</v>
      </c>
      <c r="W2649" s="6" t="str">
        <f t="shared" si="85"/>
        <v>哈药牌钙铁锌口服液10ml*15支</v>
      </c>
      <c r="X2649" s="6" t="s">
        <v>2901</v>
      </c>
    </row>
    <row r="2650" spans="1:24" x14ac:dyDescent="0.15">
      <c r="A2650" s="7" t="str">
        <f t="shared" si="86"/>
        <v>201806</v>
      </c>
      <c r="C2650" s="6" t="str">
        <f>INDEX(工厂基础数据!$A$2:$A$1024,MATCH(X2650,工厂基础数据!$D$2:$D$1024,0))</f>
        <v>02037769</v>
      </c>
      <c r="E2650" s="6" t="str">
        <f>INDEX(工厂基础数据!$B$2:$B$1024,MATCH(X2650,工厂基础数据!$D$2:$D$1024,0))</f>
        <v>山东海川医药有限公司</v>
      </c>
      <c r="F2650" s="6" t="e">
        <f>INDEX(商业2转码!$B$2:$B$10000,MATCH(E2650,商业2转码!$A$2:$A$10000,0))</f>
        <v>#N/A</v>
      </c>
      <c r="G2650" s="6" t="str">
        <f>INDEX(品种2编码!$A$2:$A$1048576,MATCH(W2650,品种2编码!$D$2:$D$1048576,0))</f>
        <v>0020030001SJZY0009</v>
      </c>
      <c r="H2650" s="6" t="s">
        <v>555</v>
      </c>
      <c r="I2650" s="6" t="s">
        <v>411</v>
      </c>
      <c r="J2650" s="6" t="s">
        <v>3044</v>
      </c>
      <c r="L2650" s="6" t="s">
        <v>3688</v>
      </c>
      <c r="M2650" s="6" t="e">
        <f>INDEX(医院2县区2人!$B$2:$B$1048576,MATCH(L2650,医院2县区2人!$A$2:$A$1048576,0))</f>
        <v>#N/A</v>
      </c>
      <c r="N2650" s="6" t="e">
        <f>INDEX(医院2县区2人!$C$2:$C$1048576,MATCH(L2650,医院2县区2人!$A$2:$A$1048576,0))</f>
        <v>#N/A</v>
      </c>
      <c r="P2650" s="7">
        <v>43263</v>
      </c>
      <c r="Q2650" s="6">
        <v>2</v>
      </c>
      <c r="S2650" s="6">
        <v>17070517</v>
      </c>
      <c r="T2650" s="6" t="e">
        <f>INDEX(医院2县区2人!$D$2:$D$1048576,MATCH(L2650,医院2县区2人!$A$2:$A$1048576,0))</f>
        <v>#N/A</v>
      </c>
      <c r="W2650" s="6" t="str">
        <f t="shared" si="85"/>
        <v>葡萄糖酸锌口服液10ml*12支</v>
      </c>
      <c r="X2650" s="6" t="s">
        <v>2901</v>
      </c>
    </row>
    <row r="2651" spans="1:24" x14ac:dyDescent="0.15">
      <c r="A2651" s="7" t="str">
        <f t="shared" si="86"/>
        <v>201806</v>
      </c>
      <c r="C2651" s="6" t="str">
        <f>INDEX(工厂基础数据!$A$2:$A$1024,MATCH(X2651,工厂基础数据!$D$2:$D$1024,0))</f>
        <v>02037769</v>
      </c>
      <c r="E2651" s="6" t="str">
        <f>INDEX(工厂基础数据!$B$2:$B$1024,MATCH(X2651,工厂基础数据!$D$2:$D$1024,0))</f>
        <v>山东海川医药有限公司</v>
      </c>
      <c r="F2651" s="6" t="e">
        <f>INDEX(商业2转码!$B$2:$B$10000,MATCH(E2651,商业2转码!$A$2:$A$10000,0))</f>
        <v>#N/A</v>
      </c>
      <c r="G2651" s="6">
        <f>INDEX(品种2编码!$A$2:$A$1048576,MATCH(W2651,品种2编码!$D$2:$D$1048576,0))</f>
        <v>0</v>
      </c>
      <c r="H2651" s="6" t="s">
        <v>3744</v>
      </c>
      <c r="I2651" s="6" t="s">
        <v>3752</v>
      </c>
      <c r="J2651" s="6" t="s">
        <v>3038</v>
      </c>
      <c r="L2651" s="6" t="s">
        <v>3630</v>
      </c>
      <c r="M2651" s="6" t="e">
        <f>INDEX(医院2县区2人!$B$2:$B$1048576,MATCH(L2651,医院2县区2人!$A$2:$A$1048576,0))</f>
        <v>#N/A</v>
      </c>
      <c r="N2651" s="6" t="e">
        <f>INDEX(医院2县区2人!$C$2:$C$1048576,MATCH(L2651,医院2县区2人!$A$2:$A$1048576,0))</f>
        <v>#N/A</v>
      </c>
      <c r="P2651" s="7">
        <v>43263</v>
      </c>
      <c r="Q2651" s="6">
        <v>10</v>
      </c>
      <c r="S2651" s="6">
        <v>180103</v>
      </c>
      <c r="T2651" s="6" t="e">
        <f>INDEX(医院2县区2人!$D$2:$D$1048576,MATCH(L2651,医院2县区2人!$A$2:$A$1048576,0))</f>
        <v>#N/A</v>
      </c>
      <c r="W2651" s="6" t="str">
        <f t="shared" si="85"/>
        <v>哈药痛可贴腰椎型4贴</v>
      </c>
      <c r="X2651" s="6" t="s">
        <v>2901</v>
      </c>
    </row>
    <row r="2652" spans="1:24" x14ac:dyDescent="0.15">
      <c r="A2652" s="7" t="str">
        <f t="shared" si="86"/>
        <v>201806</v>
      </c>
      <c r="C2652" s="6" t="str">
        <f>INDEX(工厂基础数据!$A$2:$A$1024,MATCH(X2652,工厂基础数据!$D$2:$D$1024,0))</f>
        <v>02037769</v>
      </c>
      <c r="E2652" s="6" t="str">
        <f>INDEX(工厂基础数据!$B$2:$B$1024,MATCH(X2652,工厂基础数据!$D$2:$D$1024,0))</f>
        <v>山东海川医药有限公司</v>
      </c>
      <c r="F2652" s="6" t="e">
        <f>INDEX(商业2转码!$B$2:$B$10000,MATCH(E2652,商业2转码!$A$2:$A$10000,0))</f>
        <v>#N/A</v>
      </c>
      <c r="G2652" s="6" t="str">
        <f>INDEX(品种2编码!$A$2:$A$1048576,MATCH(W2652,品种2编码!$D$2:$D$1048576,0))</f>
        <v>0020030001SJZY0006</v>
      </c>
      <c r="H2652" s="6" t="s">
        <v>1833</v>
      </c>
      <c r="I2652" s="6" t="s">
        <v>411</v>
      </c>
      <c r="J2652" s="6" t="s">
        <v>3044</v>
      </c>
      <c r="L2652" s="6" t="s">
        <v>3630</v>
      </c>
      <c r="M2652" s="6" t="e">
        <f>INDEX(医院2县区2人!$B$2:$B$1048576,MATCH(L2652,医院2县区2人!$A$2:$A$1048576,0))</f>
        <v>#N/A</v>
      </c>
      <c r="N2652" s="6" t="e">
        <f>INDEX(医院2县区2人!$C$2:$C$1048576,MATCH(L2652,医院2县区2人!$A$2:$A$1048576,0))</f>
        <v>#N/A</v>
      </c>
      <c r="P2652" s="7">
        <v>43263</v>
      </c>
      <c r="Q2652" s="6">
        <v>10</v>
      </c>
      <c r="S2652" s="6">
        <v>18030532</v>
      </c>
      <c r="T2652" s="6" t="e">
        <f>INDEX(医院2县区2人!$D$2:$D$1048576,MATCH(L2652,医院2县区2人!$A$2:$A$1048576,0))</f>
        <v>#N/A</v>
      </c>
      <c r="W2652" s="6" t="str">
        <f t="shared" si="85"/>
        <v>葡萄糖酸钙口服溶液10ml*12支</v>
      </c>
      <c r="X2652" s="6" t="s">
        <v>2901</v>
      </c>
    </row>
    <row r="2653" spans="1:24" x14ac:dyDescent="0.15">
      <c r="A2653" s="7" t="str">
        <f t="shared" si="86"/>
        <v>201806</v>
      </c>
      <c r="C2653" s="6" t="str">
        <f>INDEX(工厂基础数据!$A$2:$A$1024,MATCH(X2653,工厂基础数据!$D$2:$D$1024,0))</f>
        <v>02037769</v>
      </c>
      <c r="E2653" s="6" t="str">
        <f>INDEX(工厂基础数据!$B$2:$B$1024,MATCH(X2653,工厂基础数据!$D$2:$D$1024,0))</f>
        <v>山东海川医药有限公司</v>
      </c>
      <c r="F2653" s="6" t="e">
        <f>INDEX(商业2转码!$B$2:$B$10000,MATCH(E2653,商业2转码!$A$2:$A$10000,0))</f>
        <v>#N/A</v>
      </c>
      <c r="G2653" s="6" t="str">
        <f>INDEX(品种2编码!$A$2:$A$1048576,MATCH(W2653,品种2编码!$D$2:$D$1048576,0))</f>
        <v>0020030001SJZY0009</v>
      </c>
      <c r="H2653" s="6" t="s">
        <v>1949</v>
      </c>
      <c r="I2653" s="6" t="s">
        <v>411</v>
      </c>
      <c r="J2653" s="6" t="s">
        <v>3040</v>
      </c>
      <c r="L2653" s="6" t="s">
        <v>3630</v>
      </c>
      <c r="M2653" s="6" t="e">
        <f>INDEX(医院2县区2人!$B$2:$B$1048576,MATCH(L2653,医院2县区2人!$A$2:$A$1048576,0))</f>
        <v>#N/A</v>
      </c>
      <c r="N2653" s="6" t="e">
        <f>INDEX(医院2县区2人!$C$2:$C$1048576,MATCH(L2653,医院2县区2人!$A$2:$A$1048576,0))</f>
        <v>#N/A</v>
      </c>
      <c r="P2653" s="7">
        <v>43263</v>
      </c>
      <c r="Q2653" s="6">
        <v>10</v>
      </c>
      <c r="S2653" s="6">
        <v>18031227</v>
      </c>
      <c r="T2653" s="6" t="e">
        <f>INDEX(医院2县区2人!$D$2:$D$1048576,MATCH(L2653,医院2县区2人!$A$2:$A$1048576,0))</f>
        <v>#N/A</v>
      </c>
      <c r="W2653" s="6" t="str">
        <f t="shared" si="85"/>
        <v>葡萄糖酸锌口服溶液10ml*12支</v>
      </c>
      <c r="X2653" s="6" t="s">
        <v>2901</v>
      </c>
    </row>
    <row r="2654" spans="1:24" x14ac:dyDescent="0.15">
      <c r="A2654" s="7" t="str">
        <f t="shared" si="86"/>
        <v>201806</v>
      </c>
      <c r="C2654" s="6" t="str">
        <f>INDEX(工厂基础数据!$A$2:$A$1024,MATCH(X2654,工厂基础数据!$D$2:$D$1024,0))</f>
        <v>02037769</v>
      </c>
      <c r="E2654" s="6" t="str">
        <f>INDEX(工厂基础数据!$B$2:$B$1024,MATCH(X2654,工厂基础数据!$D$2:$D$1024,0))</f>
        <v>山东海川医药有限公司</v>
      </c>
      <c r="F2654" s="6" t="e">
        <f>INDEX(商业2转码!$B$2:$B$10000,MATCH(E2654,商业2转码!$A$2:$A$10000,0))</f>
        <v>#N/A</v>
      </c>
      <c r="G2654" s="6">
        <f>INDEX(品种2编码!$A$2:$A$1048576,MATCH(W2654,品种2编码!$D$2:$D$1048576,0))</f>
        <v>0</v>
      </c>
      <c r="H2654" s="6" t="s">
        <v>3748</v>
      </c>
      <c r="I2654" s="6" t="s">
        <v>3752</v>
      </c>
      <c r="J2654" s="6" t="s">
        <v>3038</v>
      </c>
      <c r="L2654" s="6" t="s">
        <v>3630</v>
      </c>
      <c r="M2654" s="6" t="e">
        <f>INDEX(医院2县区2人!$B$2:$B$1048576,MATCH(L2654,医院2县区2人!$A$2:$A$1048576,0))</f>
        <v>#N/A</v>
      </c>
      <c r="N2654" s="6" t="e">
        <f>INDEX(医院2县区2人!$C$2:$C$1048576,MATCH(L2654,医院2县区2人!$A$2:$A$1048576,0))</f>
        <v>#N/A</v>
      </c>
      <c r="P2654" s="7">
        <v>43263</v>
      </c>
      <c r="Q2654" s="6">
        <v>5</v>
      </c>
      <c r="S2654" s="6">
        <v>180101</v>
      </c>
      <c r="T2654" s="6" t="e">
        <f>INDEX(医院2县区2人!$D$2:$D$1048576,MATCH(L2654,医院2县区2人!$A$2:$A$1048576,0))</f>
        <v>#N/A</v>
      </c>
      <c r="W2654" s="6" t="str">
        <f t="shared" si="85"/>
        <v>哈药痛可贴关节炎型4贴</v>
      </c>
      <c r="X2654" s="6" t="s">
        <v>2901</v>
      </c>
    </row>
    <row r="2655" spans="1:24" x14ac:dyDescent="0.15">
      <c r="A2655" s="7" t="str">
        <f t="shared" si="86"/>
        <v>201806</v>
      </c>
      <c r="C2655" s="6" t="str">
        <f>INDEX(工厂基础数据!$A$2:$A$1024,MATCH(X2655,工厂基础数据!$D$2:$D$1024,0))</f>
        <v>02037769</v>
      </c>
      <c r="E2655" s="6" t="str">
        <f>INDEX(工厂基础数据!$B$2:$B$1024,MATCH(X2655,工厂基础数据!$D$2:$D$1024,0))</f>
        <v>山东海川医药有限公司</v>
      </c>
      <c r="F2655" s="6" t="e">
        <f>INDEX(商业2转码!$B$2:$B$10000,MATCH(E2655,商业2转码!$A$2:$A$10000,0))</f>
        <v>#N/A</v>
      </c>
      <c r="G2655" s="6">
        <f>INDEX(品种2编码!$A$2:$A$1048576,MATCH(W2655,品种2编码!$D$2:$D$1048576,0))</f>
        <v>0</v>
      </c>
      <c r="H2655" s="6" t="s">
        <v>3741</v>
      </c>
      <c r="I2655" s="6" t="s">
        <v>3752</v>
      </c>
      <c r="J2655" s="6" t="s">
        <v>3038</v>
      </c>
      <c r="L2655" s="6" t="s">
        <v>3630</v>
      </c>
      <c r="M2655" s="6" t="e">
        <f>INDEX(医院2县区2人!$B$2:$B$1048576,MATCH(L2655,医院2县区2人!$A$2:$A$1048576,0))</f>
        <v>#N/A</v>
      </c>
      <c r="N2655" s="6" t="e">
        <f>INDEX(医院2县区2人!$C$2:$C$1048576,MATCH(L2655,医院2县区2人!$A$2:$A$1048576,0))</f>
        <v>#N/A</v>
      </c>
      <c r="P2655" s="7">
        <v>43263</v>
      </c>
      <c r="Q2655" s="6">
        <v>5</v>
      </c>
      <c r="S2655" s="6">
        <v>180101</v>
      </c>
      <c r="T2655" s="6" t="e">
        <f>INDEX(医院2县区2人!$D$2:$D$1048576,MATCH(L2655,医院2县区2人!$A$2:$A$1048576,0))</f>
        <v>#N/A</v>
      </c>
      <c r="W2655" s="6" t="str">
        <f t="shared" si="85"/>
        <v>哈药痛可贴跌打损伤型4贴</v>
      </c>
      <c r="X2655" s="6" t="s">
        <v>2901</v>
      </c>
    </row>
    <row r="2656" spans="1:24" x14ac:dyDescent="0.15">
      <c r="A2656" s="7" t="str">
        <f t="shared" si="86"/>
        <v>201806</v>
      </c>
      <c r="C2656" s="6" t="str">
        <f>INDEX(工厂基础数据!$A$2:$A$1024,MATCH(X2656,工厂基础数据!$D$2:$D$1024,0))</f>
        <v>02037769</v>
      </c>
      <c r="E2656" s="6" t="str">
        <f>INDEX(工厂基础数据!$B$2:$B$1024,MATCH(X2656,工厂基础数据!$D$2:$D$1024,0))</f>
        <v>山东海川医药有限公司</v>
      </c>
      <c r="F2656" s="6" t="e">
        <f>INDEX(商业2转码!$B$2:$B$10000,MATCH(E2656,商业2转码!$A$2:$A$10000,0))</f>
        <v>#N/A</v>
      </c>
      <c r="G2656" s="6" t="str">
        <f>INDEX(品种2编码!$A$2:$A$1048576,MATCH(W2656,品种2编码!$D$2:$D$1048576,0))</f>
        <v>0020030020SJSC0004</v>
      </c>
      <c r="H2656" s="6" t="s">
        <v>394</v>
      </c>
      <c r="I2656" s="6" t="s">
        <v>1871</v>
      </c>
      <c r="J2656" s="6" t="s">
        <v>3755</v>
      </c>
      <c r="L2656" s="6" t="s">
        <v>3647</v>
      </c>
      <c r="M2656" s="6" t="e">
        <f>INDEX(医院2县区2人!$B$2:$B$1048576,MATCH(L2656,医院2县区2人!$A$2:$A$1048576,0))</f>
        <v>#N/A</v>
      </c>
      <c r="N2656" s="6" t="e">
        <f>INDEX(医院2县区2人!$C$2:$C$1048576,MATCH(L2656,医院2县区2人!$A$2:$A$1048576,0))</f>
        <v>#N/A</v>
      </c>
      <c r="P2656" s="7">
        <v>43263</v>
      </c>
      <c r="Q2656" s="6">
        <v>40</v>
      </c>
      <c r="S2656" s="6">
        <v>1802021</v>
      </c>
      <c r="T2656" s="6" t="e">
        <f>INDEX(医院2县区2人!$D$2:$D$1048576,MATCH(L2656,医院2县区2人!$A$2:$A$1048576,0))</f>
        <v>#N/A</v>
      </c>
      <c r="W2656" s="6" t="str">
        <f t="shared" si="85"/>
        <v>复方铝酸铋片50片</v>
      </c>
      <c r="X2656" s="6" t="s">
        <v>2901</v>
      </c>
    </row>
    <row r="2657" spans="1:24" x14ac:dyDescent="0.15">
      <c r="A2657" s="7" t="str">
        <f t="shared" si="86"/>
        <v>201806</v>
      </c>
      <c r="C2657" s="6" t="str">
        <f>INDEX(工厂基础数据!$A$2:$A$1024,MATCH(X2657,工厂基础数据!$D$2:$D$1024,0))</f>
        <v>02037769</v>
      </c>
      <c r="E2657" s="6" t="str">
        <f>INDEX(工厂基础数据!$B$2:$B$1024,MATCH(X2657,工厂基础数据!$D$2:$D$1024,0))</f>
        <v>山东海川医药有限公司</v>
      </c>
      <c r="F2657" s="6" t="e">
        <f>INDEX(商业2转码!$B$2:$B$10000,MATCH(E2657,商业2转码!$A$2:$A$10000,0))</f>
        <v>#N/A</v>
      </c>
      <c r="G2657" s="6">
        <f>INDEX(品种2编码!$A$2:$A$1048576,MATCH(W2657,品种2编码!$D$2:$D$1048576,0))</f>
        <v>0</v>
      </c>
      <c r="H2657" s="6" t="s">
        <v>1885</v>
      </c>
      <c r="I2657" s="6" t="s">
        <v>1838</v>
      </c>
      <c r="J2657" s="6" t="s">
        <v>3036</v>
      </c>
      <c r="L2657" s="6" t="s">
        <v>3689</v>
      </c>
      <c r="M2657" s="6" t="e">
        <f>INDEX(医院2县区2人!$B$2:$B$1048576,MATCH(L2657,医院2县区2人!$A$2:$A$1048576,0))</f>
        <v>#N/A</v>
      </c>
      <c r="N2657" s="6" t="e">
        <f>INDEX(医院2县区2人!$C$2:$C$1048576,MATCH(L2657,医院2县区2人!$A$2:$A$1048576,0))</f>
        <v>#N/A</v>
      </c>
      <c r="P2657" s="7">
        <v>43263</v>
      </c>
      <c r="Q2657" s="6">
        <v>5</v>
      </c>
      <c r="S2657" s="6">
        <v>180106</v>
      </c>
      <c r="T2657" s="6" t="e">
        <f>INDEX(医院2县区2人!$D$2:$D$1048576,MATCH(L2657,医院2县区2人!$A$2:$A$1048576,0))</f>
        <v>#N/A</v>
      </c>
      <c r="W2657" s="6" t="str">
        <f t="shared" si="85"/>
        <v>新盖中盖高钙片2.5g*36片</v>
      </c>
      <c r="X2657" s="6" t="s">
        <v>2901</v>
      </c>
    </row>
    <row r="2658" spans="1:24" x14ac:dyDescent="0.15">
      <c r="A2658" s="7" t="str">
        <f t="shared" si="86"/>
        <v>201806</v>
      </c>
      <c r="C2658" s="6" t="str">
        <f>INDEX(工厂基础数据!$A$2:$A$1024,MATCH(X2658,工厂基础数据!$D$2:$D$1024,0))</f>
        <v>02037769</v>
      </c>
      <c r="E2658" s="6" t="str">
        <f>INDEX(工厂基础数据!$B$2:$B$1024,MATCH(X2658,工厂基础数据!$D$2:$D$1024,0))</f>
        <v>山东海川医药有限公司</v>
      </c>
      <c r="F2658" s="6" t="e">
        <f>INDEX(商业2转码!$B$2:$B$10000,MATCH(E2658,商业2转码!$A$2:$A$10000,0))</f>
        <v>#N/A</v>
      </c>
      <c r="G2658" s="6" t="str">
        <f>INDEX(品种2编码!$A$2:$A$1048576,MATCH(W2658,品种2编码!$D$2:$D$1048576,0))</f>
        <v>0020030001SJZY0009</v>
      </c>
      <c r="H2658" s="6" t="s">
        <v>1949</v>
      </c>
      <c r="I2658" s="6" t="s">
        <v>411</v>
      </c>
      <c r="J2658" s="6" t="s">
        <v>3040</v>
      </c>
      <c r="L2658" s="6" t="s">
        <v>3640</v>
      </c>
      <c r="M2658" s="6" t="e">
        <f>INDEX(医院2县区2人!$B$2:$B$1048576,MATCH(L2658,医院2县区2人!$A$2:$A$1048576,0))</f>
        <v>#N/A</v>
      </c>
      <c r="N2658" s="6" t="e">
        <f>INDEX(医院2县区2人!$C$2:$C$1048576,MATCH(L2658,医院2县区2人!$A$2:$A$1048576,0))</f>
        <v>#N/A</v>
      </c>
      <c r="P2658" s="7">
        <v>43263</v>
      </c>
      <c r="Q2658" s="6">
        <v>5</v>
      </c>
      <c r="S2658" s="6">
        <v>18031227</v>
      </c>
      <c r="T2658" s="6" t="e">
        <f>INDEX(医院2县区2人!$D$2:$D$1048576,MATCH(L2658,医院2县区2人!$A$2:$A$1048576,0))</f>
        <v>#N/A</v>
      </c>
      <c r="W2658" s="6" t="str">
        <f t="shared" si="85"/>
        <v>葡萄糖酸锌口服溶液10ml*12支</v>
      </c>
      <c r="X2658" s="6" t="s">
        <v>2901</v>
      </c>
    </row>
    <row r="2659" spans="1:24" x14ac:dyDescent="0.15">
      <c r="A2659" s="7" t="str">
        <f t="shared" si="86"/>
        <v>201806</v>
      </c>
      <c r="C2659" s="6" t="str">
        <f>INDEX(工厂基础数据!$A$2:$A$1024,MATCH(X2659,工厂基础数据!$D$2:$D$1024,0))</f>
        <v>02037769</v>
      </c>
      <c r="E2659" s="6" t="str">
        <f>INDEX(工厂基础数据!$B$2:$B$1024,MATCH(X2659,工厂基础数据!$D$2:$D$1024,0))</f>
        <v>山东海川医药有限公司</v>
      </c>
      <c r="F2659" s="6" t="e">
        <f>INDEX(商业2转码!$B$2:$B$10000,MATCH(E2659,商业2转码!$A$2:$A$10000,0))</f>
        <v>#N/A</v>
      </c>
      <c r="G2659" s="6" t="str">
        <f>INDEX(品种2编码!$A$2:$A$1048576,MATCH(W2659,品种2编码!$D$2:$D$1048576,0))</f>
        <v>0020050090SJZY0001</v>
      </c>
      <c r="H2659" s="6" t="s">
        <v>630</v>
      </c>
      <c r="I2659" s="6" t="s">
        <v>1850</v>
      </c>
      <c r="J2659" s="6" t="s">
        <v>3044</v>
      </c>
      <c r="L2659" s="6" t="s">
        <v>3640</v>
      </c>
      <c r="M2659" s="6" t="e">
        <f>INDEX(医院2县区2人!$B$2:$B$1048576,MATCH(L2659,医院2县区2人!$A$2:$A$1048576,0))</f>
        <v>#N/A</v>
      </c>
      <c r="N2659" s="6" t="e">
        <f>INDEX(医院2县区2人!$C$2:$C$1048576,MATCH(L2659,医院2县区2人!$A$2:$A$1048576,0))</f>
        <v>#N/A</v>
      </c>
      <c r="P2659" s="7">
        <v>43263</v>
      </c>
      <c r="Q2659" s="6">
        <v>5</v>
      </c>
      <c r="S2659" s="6">
        <v>18030921</v>
      </c>
      <c r="T2659" s="6" t="e">
        <f>INDEX(医院2县区2人!$D$2:$D$1048576,MATCH(L2659,医院2县区2人!$A$2:$A$1048576,0))</f>
        <v>#N/A</v>
      </c>
      <c r="W2659" s="6" t="str">
        <f t="shared" si="85"/>
        <v>双黄连口服液10ml*10支</v>
      </c>
      <c r="X2659" s="6" t="s">
        <v>2901</v>
      </c>
    </row>
    <row r="2660" spans="1:24" x14ac:dyDescent="0.15">
      <c r="A2660" s="7" t="str">
        <f t="shared" si="86"/>
        <v>201806</v>
      </c>
      <c r="C2660" s="6" t="str">
        <f>INDEX(工厂基础数据!$A$2:$A$1024,MATCH(X2660,工厂基础数据!$D$2:$D$1024,0))</f>
        <v>02037769</v>
      </c>
      <c r="E2660" s="6" t="str">
        <f>INDEX(工厂基础数据!$B$2:$B$1024,MATCH(X2660,工厂基础数据!$D$2:$D$1024,0))</f>
        <v>山东海川医药有限公司</v>
      </c>
      <c r="F2660" s="6" t="e">
        <f>INDEX(商业2转码!$B$2:$B$10000,MATCH(E2660,商业2转码!$A$2:$A$10000,0))</f>
        <v>#N/A</v>
      </c>
      <c r="G2660" s="6" t="str">
        <f>INDEX(品种2编码!$A$2:$A$1048576,MATCH(W2660,品种2编码!$D$2:$D$1048576,0))</f>
        <v>0020030001SJZY0006</v>
      </c>
      <c r="H2660" s="6" t="s">
        <v>1833</v>
      </c>
      <c r="I2660" s="6" t="s">
        <v>411</v>
      </c>
      <c r="J2660" s="6" t="s">
        <v>3044</v>
      </c>
      <c r="L2660" s="6" t="s">
        <v>3690</v>
      </c>
      <c r="M2660" s="6" t="e">
        <f>INDEX(医院2县区2人!$B$2:$B$1048576,MATCH(L2660,医院2县区2人!$A$2:$A$1048576,0))</f>
        <v>#N/A</v>
      </c>
      <c r="N2660" s="6" t="e">
        <f>INDEX(医院2县区2人!$C$2:$C$1048576,MATCH(L2660,医院2县区2人!$A$2:$A$1048576,0))</f>
        <v>#N/A</v>
      </c>
      <c r="P2660" s="7">
        <v>43263</v>
      </c>
      <c r="Q2660" s="6">
        <v>5</v>
      </c>
      <c r="S2660" s="6">
        <v>18030532</v>
      </c>
      <c r="T2660" s="6" t="e">
        <f>INDEX(医院2县区2人!$D$2:$D$1048576,MATCH(L2660,医院2县区2人!$A$2:$A$1048576,0))</f>
        <v>#N/A</v>
      </c>
      <c r="W2660" s="6" t="str">
        <f t="shared" si="85"/>
        <v>葡萄糖酸钙口服溶液10ml*12支</v>
      </c>
      <c r="X2660" s="6" t="s">
        <v>2901</v>
      </c>
    </row>
    <row r="2661" spans="1:24" x14ac:dyDescent="0.15">
      <c r="A2661" s="7" t="str">
        <f t="shared" si="86"/>
        <v>201806</v>
      </c>
      <c r="C2661" s="6" t="str">
        <f>INDEX(工厂基础数据!$A$2:$A$1024,MATCH(X2661,工厂基础数据!$D$2:$D$1024,0))</f>
        <v>02037769</v>
      </c>
      <c r="E2661" s="6" t="str">
        <f>INDEX(工厂基础数据!$B$2:$B$1024,MATCH(X2661,工厂基础数据!$D$2:$D$1024,0))</f>
        <v>山东海川医药有限公司</v>
      </c>
      <c r="F2661" s="6" t="e">
        <f>INDEX(商业2转码!$B$2:$B$10000,MATCH(E2661,商业2转码!$A$2:$A$10000,0))</f>
        <v>#N/A</v>
      </c>
      <c r="G2661" s="6" t="str">
        <f>INDEX(品种2编码!$A$2:$A$1048576,MATCH(W2661,品种2编码!$D$2:$D$1048576,0))</f>
        <v>0020030001SJZY0009</v>
      </c>
      <c r="H2661" s="6" t="s">
        <v>1949</v>
      </c>
      <c r="I2661" s="6" t="s">
        <v>411</v>
      </c>
      <c r="J2661" s="6" t="s">
        <v>3040</v>
      </c>
      <c r="L2661" s="6" t="s">
        <v>3691</v>
      </c>
      <c r="M2661" s="6" t="e">
        <f>INDEX(医院2县区2人!$B$2:$B$1048576,MATCH(L2661,医院2县区2人!$A$2:$A$1048576,0))</f>
        <v>#N/A</v>
      </c>
      <c r="N2661" s="6" t="e">
        <f>INDEX(医院2县区2人!$C$2:$C$1048576,MATCH(L2661,医院2县区2人!$A$2:$A$1048576,0))</f>
        <v>#N/A</v>
      </c>
      <c r="P2661" s="7">
        <v>43263</v>
      </c>
      <c r="Q2661" s="6">
        <v>2</v>
      </c>
      <c r="S2661" s="6">
        <v>18031227</v>
      </c>
      <c r="T2661" s="6" t="e">
        <f>INDEX(医院2县区2人!$D$2:$D$1048576,MATCH(L2661,医院2县区2人!$A$2:$A$1048576,0))</f>
        <v>#N/A</v>
      </c>
      <c r="W2661" s="6" t="str">
        <f t="shared" si="85"/>
        <v>葡萄糖酸锌口服溶液10ml*12支</v>
      </c>
      <c r="X2661" s="6" t="s">
        <v>2901</v>
      </c>
    </row>
    <row r="2662" spans="1:24" x14ac:dyDescent="0.15">
      <c r="A2662" s="7" t="str">
        <f t="shared" si="86"/>
        <v>201806</v>
      </c>
      <c r="C2662" s="6" t="str">
        <f>INDEX(工厂基础数据!$A$2:$A$1024,MATCH(X2662,工厂基础数据!$D$2:$D$1024,0))</f>
        <v>02037769</v>
      </c>
      <c r="E2662" s="6" t="str">
        <f>INDEX(工厂基础数据!$B$2:$B$1024,MATCH(X2662,工厂基础数据!$D$2:$D$1024,0))</f>
        <v>山东海川医药有限公司</v>
      </c>
      <c r="F2662" s="6" t="e">
        <f>INDEX(商业2转码!$B$2:$B$10000,MATCH(E2662,商业2转码!$A$2:$A$10000,0))</f>
        <v>#N/A</v>
      </c>
      <c r="G2662" s="6">
        <f>INDEX(品种2编码!$A$2:$A$1048576,MATCH(W2662,品种2编码!$D$2:$D$1048576,0))</f>
        <v>0</v>
      </c>
      <c r="H2662" s="6" t="s">
        <v>1885</v>
      </c>
      <c r="I2662" s="6" t="s">
        <v>1838</v>
      </c>
      <c r="J2662" s="6" t="s">
        <v>3036</v>
      </c>
      <c r="L2662" s="6" t="s">
        <v>3673</v>
      </c>
      <c r="M2662" s="6" t="e">
        <f>INDEX(医院2县区2人!$B$2:$B$1048576,MATCH(L2662,医院2县区2人!$A$2:$A$1048576,0))</f>
        <v>#N/A</v>
      </c>
      <c r="N2662" s="6" t="e">
        <f>INDEX(医院2县区2人!$C$2:$C$1048576,MATCH(L2662,医院2县区2人!$A$2:$A$1048576,0))</f>
        <v>#N/A</v>
      </c>
      <c r="P2662" s="7">
        <v>43264</v>
      </c>
      <c r="Q2662" s="6">
        <v>5</v>
      </c>
      <c r="S2662" s="6">
        <v>180106</v>
      </c>
      <c r="T2662" s="6" t="e">
        <f>INDEX(医院2县区2人!$D$2:$D$1048576,MATCH(L2662,医院2县区2人!$A$2:$A$1048576,0))</f>
        <v>#N/A</v>
      </c>
      <c r="W2662" s="6" t="str">
        <f t="shared" si="85"/>
        <v>新盖中盖高钙片2.5g*36片</v>
      </c>
      <c r="X2662" s="6" t="s">
        <v>2901</v>
      </c>
    </row>
    <row r="2663" spans="1:24" x14ac:dyDescent="0.15">
      <c r="A2663" s="7" t="str">
        <f t="shared" si="86"/>
        <v>201806</v>
      </c>
      <c r="C2663" s="6" t="str">
        <f>INDEX(工厂基础数据!$A$2:$A$1024,MATCH(X2663,工厂基础数据!$D$2:$D$1024,0))</f>
        <v>02037769</v>
      </c>
      <c r="E2663" s="6" t="str">
        <f>INDEX(工厂基础数据!$B$2:$B$1024,MATCH(X2663,工厂基础数据!$D$2:$D$1024,0))</f>
        <v>山东海川医药有限公司</v>
      </c>
      <c r="F2663" s="6" t="e">
        <f>INDEX(商业2转码!$B$2:$B$10000,MATCH(E2663,商业2转码!$A$2:$A$10000,0))</f>
        <v>#N/A</v>
      </c>
      <c r="G2663" s="6" t="str">
        <f>INDEX(品种2编码!$A$2:$A$1048576,MATCH(W2663,品种2编码!$D$2:$D$1048576,0))</f>
        <v>0020030020SJSC0004</v>
      </c>
      <c r="H2663" s="6" t="s">
        <v>394</v>
      </c>
      <c r="I2663" s="6" t="s">
        <v>1871</v>
      </c>
      <c r="J2663" s="6" t="s">
        <v>3755</v>
      </c>
      <c r="L2663" s="6" t="s">
        <v>3692</v>
      </c>
      <c r="M2663" s="6" t="e">
        <f>INDEX(医院2县区2人!$B$2:$B$1048576,MATCH(L2663,医院2县区2人!$A$2:$A$1048576,0))</f>
        <v>#N/A</v>
      </c>
      <c r="N2663" s="6" t="e">
        <f>INDEX(医院2县区2人!$C$2:$C$1048576,MATCH(L2663,医院2县区2人!$A$2:$A$1048576,0))</f>
        <v>#N/A</v>
      </c>
      <c r="P2663" s="7">
        <v>43264</v>
      </c>
      <c r="Q2663" s="6">
        <v>1</v>
      </c>
      <c r="S2663" s="6">
        <v>1802021</v>
      </c>
      <c r="T2663" s="6" t="e">
        <f>INDEX(医院2县区2人!$D$2:$D$1048576,MATCH(L2663,医院2县区2人!$A$2:$A$1048576,0))</f>
        <v>#N/A</v>
      </c>
      <c r="W2663" s="6" t="str">
        <f t="shared" si="85"/>
        <v>复方铝酸铋片50片</v>
      </c>
      <c r="X2663" s="6" t="s">
        <v>2901</v>
      </c>
    </row>
    <row r="2664" spans="1:24" x14ac:dyDescent="0.15">
      <c r="A2664" s="7" t="str">
        <f t="shared" si="86"/>
        <v>201806</v>
      </c>
      <c r="C2664" s="6" t="str">
        <f>INDEX(工厂基础数据!$A$2:$A$1024,MATCH(X2664,工厂基础数据!$D$2:$D$1024,0))</f>
        <v>02037769</v>
      </c>
      <c r="E2664" s="6" t="str">
        <f>INDEX(工厂基础数据!$B$2:$B$1024,MATCH(X2664,工厂基础数据!$D$2:$D$1024,0))</f>
        <v>山东海川医药有限公司</v>
      </c>
      <c r="F2664" s="6" t="e">
        <f>INDEX(商业2转码!$B$2:$B$10000,MATCH(E2664,商业2转码!$A$2:$A$10000,0))</f>
        <v>#N/A</v>
      </c>
      <c r="G2664" s="6" t="str">
        <f>INDEX(品种2编码!$A$2:$A$1048576,MATCH(W2664,品种2编码!$D$2:$D$1048576,0))</f>
        <v>0020030001SJZY0006</v>
      </c>
      <c r="H2664" s="6" t="s">
        <v>1833</v>
      </c>
      <c r="I2664" s="6" t="s">
        <v>411</v>
      </c>
      <c r="J2664" s="6" t="s">
        <v>3044</v>
      </c>
      <c r="L2664" s="6" t="s">
        <v>3660</v>
      </c>
      <c r="M2664" s="6" t="e">
        <f>INDEX(医院2县区2人!$B$2:$B$1048576,MATCH(L2664,医院2县区2人!$A$2:$A$1048576,0))</f>
        <v>#N/A</v>
      </c>
      <c r="N2664" s="6" t="e">
        <f>INDEX(医院2县区2人!$C$2:$C$1048576,MATCH(L2664,医院2县区2人!$A$2:$A$1048576,0))</f>
        <v>#N/A</v>
      </c>
      <c r="P2664" s="7">
        <v>43264</v>
      </c>
      <c r="Q2664" s="6">
        <v>2</v>
      </c>
      <c r="S2664" s="6">
        <v>18030532</v>
      </c>
      <c r="T2664" s="6" t="e">
        <f>INDEX(医院2县区2人!$D$2:$D$1048576,MATCH(L2664,医院2县区2人!$A$2:$A$1048576,0))</f>
        <v>#N/A</v>
      </c>
      <c r="W2664" s="6" t="str">
        <f t="shared" si="85"/>
        <v>葡萄糖酸钙口服溶液10ml*12支</v>
      </c>
      <c r="X2664" s="6" t="s">
        <v>2901</v>
      </c>
    </row>
    <row r="2665" spans="1:24" x14ac:dyDescent="0.15">
      <c r="A2665" s="7" t="str">
        <f t="shared" si="86"/>
        <v>201806</v>
      </c>
      <c r="C2665" s="6" t="str">
        <f>INDEX(工厂基础数据!$A$2:$A$1024,MATCH(X2665,工厂基础数据!$D$2:$D$1024,0))</f>
        <v>02037769</v>
      </c>
      <c r="E2665" s="6" t="str">
        <f>INDEX(工厂基础数据!$B$2:$B$1024,MATCH(X2665,工厂基础数据!$D$2:$D$1024,0))</f>
        <v>山东海川医药有限公司</v>
      </c>
      <c r="F2665" s="6" t="e">
        <f>INDEX(商业2转码!$B$2:$B$10000,MATCH(E2665,商业2转码!$A$2:$A$10000,0))</f>
        <v>#N/A</v>
      </c>
      <c r="G2665" s="6" t="str">
        <f>INDEX(品种2编码!$A$2:$A$1048576,MATCH(W2665,品种2编码!$D$2:$D$1048576,0))</f>
        <v>0020030001SJZY0009</v>
      </c>
      <c r="H2665" s="6" t="s">
        <v>1949</v>
      </c>
      <c r="I2665" s="6" t="s">
        <v>411</v>
      </c>
      <c r="J2665" s="6" t="s">
        <v>3040</v>
      </c>
      <c r="L2665" s="6" t="s">
        <v>3660</v>
      </c>
      <c r="M2665" s="6" t="e">
        <f>INDEX(医院2县区2人!$B$2:$B$1048576,MATCH(L2665,医院2县区2人!$A$2:$A$1048576,0))</f>
        <v>#N/A</v>
      </c>
      <c r="N2665" s="6" t="e">
        <f>INDEX(医院2县区2人!$C$2:$C$1048576,MATCH(L2665,医院2县区2人!$A$2:$A$1048576,0))</f>
        <v>#N/A</v>
      </c>
      <c r="P2665" s="7">
        <v>43264</v>
      </c>
      <c r="Q2665" s="6">
        <v>2</v>
      </c>
      <c r="S2665" s="6">
        <v>18031227</v>
      </c>
      <c r="T2665" s="6" t="e">
        <f>INDEX(医院2县区2人!$D$2:$D$1048576,MATCH(L2665,医院2县区2人!$A$2:$A$1048576,0))</f>
        <v>#N/A</v>
      </c>
      <c r="W2665" s="6" t="str">
        <f t="shared" si="85"/>
        <v>葡萄糖酸锌口服溶液10ml*12支</v>
      </c>
      <c r="X2665" s="6" t="s">
        <v>2901</v>
      </c>
    </row>
    <row r="2666" spans="1:24" x14ac:dyDescent="0.15">
      <c r="A2666" s="7" t="str">
        <f t="shared" si="86"/>
        <v>201806</v>
      </c>
      <c r="C2666" s="6" t="str">
        <f>INDEX(工厂基础数据!$A$2:$A$1024,MATCH(X2666,工厂基础数据!$D$2:$D$1024,0))</f>
        <v>02037769</v>
      </c>
      <c r="E2666" s="6" t="str">
        <f>INDEX(工厂基础数据!$B$2:$B$1024,MATCH(X2666,工厂基础数据!$D$2:$D$1024,0))</f>
        <v>山东海川医药有限公司</v>
      </c>
      <c r="F2666" s="6" t="e">
        <f>INDEX(商业2转码!$B$2:$B$10000,MATCH(E2666,商业2转码!$A$2:$A$10000,0))</f>
        <v>#N/A</v>
      </c>
      <c r="G2666" s="6">
        <f>INDEX(品种2编码!$A$2:$A$1048576,MATCH(W2666,品种2编码!$D$2:$D$1048576,0))</f>
        <v>0</v>
      </c>
      <c r="H2666" s="6" t="s">
        <v>2926</v>
      </c>
      <c r="I2666" s="6" t="s">
        <v>1993</v>
      </c>
      <c r="J2666" s="6" t="s">
        <v>3036</v>
      </c>
      <c r="L2666" s="6" t="s">
        <v>3662</v>
      </c>
      <c r="M2666" s="6" t="e">
        <f>INDEX(医院2县区2人!$B$2:$B$1048576,MATCH(L2666,医院2县区2人!$A$2:$A$1048576,0))</f>
        <v>#N/A</v>
      </c>
      <c r="N2666" s="6" t="e">
        <f>INDEX(医院2县区2人!$C$2:$C$1048576,MATCH(L2666,医院2县区2人!$A$2:$A$1048576,0))</f>
        <v>#N/A</v>
      </c>
      <c r="P2666" s="7">
        <v>43264</v>
      </c>
      <c r="Q2666" s="6">
        <v>1</v>
      </c>
      <c r="S2666" s="6">
        <v>180107</v>
      </c>
      <c r="T2666" s="6" t="e">
        <f>INDEX(医院2县区2人!$D$2:$D$1048576,MATCH(L2666,医院2县区2人!$A$2:$A$1048576,0))</f>
        <v>#N/A</v>
      </c>
      <c r="W2666" s="6" t="str">
        <f t="shared" si="85"/>
        <v>新盖中盖儿童钙片1.75g*36片</v>
      </c>
      <c r="X2666" s="6" t="s">
        <v>2901</v>
      </c>
    </row>
    <row r="2667" spans="1:24" x14ac:dyDescent="0.15">
      <c r="A2667" s="7" t="str">
        <f t="shared" si="86"/>
        <v>201806</v>
      </c>
      <c r="C2667" s="6" t="str">
        <f>INDEX(工厂基础数据!$A$2:$A$1024,MATCH(X2667,工厂基础数据!$D$2:$D$1024,0))</f>
        <v>02037769</v>
      </c>
      <c r="E2667" s="6" t="str">
        <f>INDEX(工厂基础数据!$B$2:$B$1024,MATCH(X2667,工厂基础数据!$D$2:$D$1024,0))</f>
        <v>山东海川医药有限公司</v>
      </c>
      <c r="F2667" s="6" t="e">
        <f>INDEX(商业2转码!$B$2:$B$10000,MATCH(E2667,商业2转码!$A$2:$A$10000,0))</f>
        <v>#N/A</v>
      </c>
      <c r="G2667" s="6" t="str">
        <f>INDEX(品种2编码!$A$2:$A$1048576,MATCH(W2667,品种2编码!$D$2:$D$1048576,0))</f>
        <v>0020020021ZYLC0012</v>
      </c>
      <c r="H2667" s="6" t="s">
        <v>292</v>
      </c>
      <c r="I2667" s="6" t="s">
        <v>1959</v>
      </c>
      <c r="J2667" s="6" t="s">
        <v>3036</v>
      </c>
      <c r="L2667" s="6" t="s">
        <v>3655</v>
      </c>
      <c r="M2667" s="6" t="e">
        <f>INDEX(医院2县区2人!$B$2:$B$1048576,MATCH(L2667,医院2县区2人!$A$2:$A$1048576,0))</f>
        <v>#N/A</v>
      </c>
      <c r="N2667" s="6" t="e">
        <f>INDEX(医院2县区2人!$C$2:$C$1048576,MATCH(L2667,医院2县区2人!$A$2:$A$1048576,0))</f>
        <v>#N/A</v>
      </c>
      <c r="P2667" s="7">
        <v>43264</v>
      </c>
      <c r="Q2667" s="6">
        <v>1</v>
      </c>
      <c r="S2667" s="6">
        <v>180201</v>
      </c>
      <c r="T2667" s="6" t="e">
        <f>INDEX(医院2县区2人!$D$2:$D$1048576,MATCH(L2667,医院2县区2人!$A$2:$A$1048576,0))</f>
        <v>#N/A</v>
      </c>
      <c r="W2667" s="6" t="str">
        <f t="shared" si="85"/>
        <v>阿奇霉素分散片0.25g*6片</v>
      </c>
      <c r="X2667" s="6" t="s">
        <v>2901</v>
      </c>
    </row>
    <row r="2668" spans="1:24" x14ac:dyDescent="0.15">
      <c r="A2668" s="7" t="str">
        <f t="shared" si="86"/>
        <v>201806</v>
      </c>
      <c r="C2668" s="6" t="str">
        <f>INDEX(工厂基础数据!$A$2:$A$1024,MATCH(X2668,工厂基础数据!$D$2:$D$1024,0))</f>
        <v>02037769</v>
      </c>
      <c r="E2668" s="6" t="str">
        <f>INDEX(工厂基础数据!$B$2:$B$1024,MATCH(X2668,工厂基础数据!$D$2:$D$1024,0))</f>
        <v>山东海川医药有限公司</v>
      </c>
      <c r="F2668" s="6" t="e">
        <f>INDEX(商业2转码!$B$2:$B$10000,MATCH(E2668,商业2转码!$A$2:$A$10000,0))</f>
        <v>#N/A</v>
      </c>
      <c r="G2668" s="6" t="str">
        <f>INDEX(品种2编码!$A$2:$A$1048576,MATCH(W2668,品种2编码!$D$2:$D$1048576,0))</f>
        <v>0020030001SJZY0009</v>
      </c>
      <c r="H2668" s="6" t="s">
        <v>1949</v>
      </c>
      <c r="I2668" s="6" t="s">
        <v>411</v>
      </c>
      <c r="J2668" s="6" t="s">
        <v>3040</v>
      </c>
      <c r="L2668" s="6" t="s">
        <v>3660</v>
      </c>
      <c r="M2668" s="6" t="e">
        <f>INDEX(医院2县区2人!$B$2:$B$1048576,MATCH(L2668,医院2县区2人!$A$2:$A$1048576,0))</f>
        <v>#N/A</v>
      </c>
      <c r="N2668" s="6" t="e">
        <f>INDEX(医院2县区2人!$C$2:$C$1048576,MATCH(L2668,医院2县区2人!$A$2:$A$1048576,0))</f>
        <v>#N/A</v>
      </c>
      <c r="P2668" s="7">
        <v>43264</v>
      </c>
      <c r="Q2668" s="6">
        <v>3</v>
      </c>
      <c r="S2668" s="6">
        <v>18031227</v>
      </c>
      <c r="T2668" s="6" t="e">
        <f>INDEX(医院2县区2人!$D$2:$D$1048576,MATCH(L2668,医院2县区2人!$A$2:$A$1048576,0))</f>
        <v>#N/A</v>
      </c>
      <c r="W2668" s="6" t="str">
        <f t="shared" si="85"/>
        <v>葡萄糖酸锌口服溶液10ml*12支</v>
      </c>
      <c r="X2668" s="6" t="s">
        <v>2901</v>
      </c>
    </row>
    <row r="2669" spans="1:24" x14ac:dyDescent="0.15">
      <c r="A2669" s="7" t="str">
        <f t="shared" si="86"/>
        <v>201806</v>
      </c>
      <c r="C2669" s="6" t="str">
        <f>INDEX(工厂基础数据!$A$2:$A$1024,MATCH(X2669,工厂基础数据!$D$2:$D$1024,0))</f>
        <v>02037769</v>
      </c>
      <c r="E2669" s="6" t="str">
        <f>INDEX(工厂基础数据!$B$2:$B$1024,MATCH(X2669,工厂基础数据!$D$2:$D$1024,0))</f>
        <v>山东海川医药有限公司</v>
      </c>
      <c r="F2669" s="6" t="e">
        <f>INDEX(商业2转码!$B$2:$B$10000,MATCH(E2669,商业2转码!$A$2:$A$10000,0))</f>
        <v>#N/A</v>
      </c>
      <c r="G2669" s="6" t="str">
        <f>INDEX(品种2编码!$A$2:$A$1048576,MATCH(W2669,品种2编码!$D$2:$D$1048576,0))</f>
        <v>0020030001SJZY0006</v>
      </c>
      <c r="H2669" s="6" t="s">
        <v>1833</v>
      </c>
      <c r="I2669" s="6" t="s">
        <v>411</v>
      </c>
      <c r="J2669" s="6" t="s">
        <v>3044</v>
      </c>
      <c r="L2669" s="6" t="s">
        <v>3660</v>
      </c>
      <c r="M2669" s="6" t="e">
        <f>INDEX(医院2县区2人!$B$2:$B$1048576,MATCH(L2669,医院2县区2人!$A$2:$A$1048576,0))</f>
        <v>#N/A</v>
      </c>
      <c r="N2669" s="6" t="e">
        <f>INDEX(医院2县区2人!$C$2:$C$1048576,MATCH(L2669,医院2县区2人!$A$2:$A$1048576,0))</f>
        <v>#N/A</v>
      </c>
      <c r="P2669" s="7">
        <v>43264</v>
      </c>
      <c r="Q2669" s="6">
        <v>3</v>
      </c>
      <c r="S2669" s="6">
        <v>18030532</v>
      </c>
      <c r="T2669" s="6" t="e">
        <f>INDEX(医院2县区2人!$D$2:$D$1048576,MATCH(L2669,医院2县区2人!$A$2:$A$1048576,0))</f>
        <v>#N/A</v>
      </c>
      <c r="W2669" s="6" t="str">
        <f t="shared" si="85"/>
        <v>葡萄糖酸钙口服溶液10ml*12支</v>
      </c>
      <c r="X2669" s="6" t="s">
        <v>2901</v>
      </c>
    </row>
    <row r="2670" spans="1:24" x14ac:dyDescent="0.15">
      <c r="A2670" s="7" t="str">
        <f t="shared" si="86"/>
        <v>201806</v>
      </c>
      <c r="C2670" s="6" t="str">
        <f>INDEX(工厂基础数据!$A$2:$A$1024,MATCH(X2670,工厂基础数据!$D$2:$D$1024,0))</f>
        <v>02037769</v>
      </c>
      <c r="E2670" s="6" t="str">
        <f>INDEX(工厂基础数据!$B$2:$B$1024,MATCH(X2670,工厂基础数据!$D$2:$D$1024,0))</f>
        <v>山东海川医药有限公司</v>
      </c>
      <c r="F2670" s="6" t="e">
        <f>INDEX(商业2转码!$B$2:$B$10000,MATCH(E2670,商业2转码!$A$2:$A$10000,0))</f>
        <v>#N/A</v>
      </c>
      <c r="G2670" s="6">
        <f>INDEX(品种2编码!$A$2:$A$1048576,MATCH(W2670,品种2编码!$D$2:$D$1048576,0))</f>
        <v>0</v>
      </c>
      <c r="H2670" s="6" t="s">
        <v>3747</v>
      </c>
      <c r="I2670" s="6" t="s">
        <v>381</v>
      </c>
      <c r="J2670" s="6" t="s">
        <v>3036</v>
      </c>
      <c r="L2670" s="6" t="s">
        <v>3660</v>
      </c>
      <c r="M2670" s="6" t="e">
        <f>INDEX(医院2县区2人!$B$2:$B$1048576,MATCH(L2670,医院2县区2人!$A$2:$A$1048576,0))</f>
        <v>#N/A</v>
      </c>
      <c r="N2670" s="6" t="e">
        <f>INDEX(医院2县区2人!$C$2:$C$1048576,MATCH(L2670,医院2县区2人!$A$2:$A$1048576,0))</f>
        <v>#N/A</v>
      </c>
      <c r="P2670" s="7">
        <v>43264</v>
      </c>
      <c r="Q2670" s="6">
        <v>10</v>
      </c>
      <c r="S2670" s="6">
        <v>161103</v>
      </c>
      <c r="T2670" s="6" t="e">
        <f>INDEX(医院2县区2人!$D$2:$D$1048576,MATCH(L2670,医院2县区2人!$A$2:$A$1048576,0))</f>
        <v>#N/A</v>
      </c>
      <c r="W2670" s="6" t="str">
        <f t="shared" si="85"/>
        <v>颠茄磺苄啶片（成人）12片</v>
      </c>
      <c r="X2670" s="6" t="s">
        <v>2901</v>
      </c>
    </row>
    <row r="2671" spans="1:24" x14ac:dyDescent="0.15">
      <c r="A2671" s="7" t="str">
        <f t="shared" si="86"/>
        <v>201806</v>
      </c>
      <c r="C2671" s="6" t="str">
        <f>INDEX(工厂基础数据!$A$2:$A$1024,MATCH(X2671,工厂基础数据!$D$2:$D$1024,0))</f>
        <v>02037769</v>
      </c>
      <c r="E2671" s="6" t="str">
        <f>INDEX(工厂基础数据!$B$2:$B$1024,MATCH(X2671,工厂基础数据!$D$2:$D$1024,0))</f>
        <v>山东海川医药有限公司</v>
      </c>
      <c r="F2671" s="6" t="e">
        <f>INDEX(商业2转码!$B$2:$B$10000,MATCH(E2671,商业2转码!$A$2:$A$10000,0))</f>
        <v>#N/A</v>
      </c>
      <c r="G2671" s="6" t="str">
        <f>INDEX(品种2编码!$A$2:$A$1048576,MATCH(W2671,品种2编码!$D$2:$D$1048576,0))</f>
        <v>0020030001SJZY0006</v>
      </c>
      <c r="H2671" s="6" t="s">
        <v>1833</v>
      </c>
      <c r="I2671" s="6" t="s">
        <v>411</v>
      </c>
      <c r="J2671" s="6" t="s">
        <v>3044</v>
      </c>
      <c r="L2671" s="6" t="s">
        <v>3660</v>
      </c>
      <c r="M2671" s="6" t="e">
        <f>INDEX(医院2县区2人!$B$2:$B$1048576,MATCH(L2671,医院2县区2人!$A$2:$A$1048576,0))</f>
        <v>#N/A</v>
      </c>
      <c r="N2671" s="6" t="e">
        <f>INDEX(医院2县区2人!$C$2:$C$1048576,MATCH(L2671,医院2县区2人!$A$2:$A$1048576,0))</f>
        <v>#N/A</v>
      </c>
      <c r="P2671" s="7">
        <v>43264</v>
      </c>
      <c r="Q2671" s="6">
        <v>3</v>
      </c>
      <c r="S2671" s="6">
        <v>18030532</v>
      </c>
      <c r="T2671" s="6" t="e">
        <f>INDEX(医院2县区2人!$D$2:$D$1048576,MATCH(L2671,医院2县区2人!$A$2:$A$1048576,0))</f>
        <v>#N/A</v>
      </c>
      <c r="W2671" s="6" t="str">
        <f t="shared" si="85"/>
        <v>葡萄糖酸钙口服溶液10ml*12支</v>
      </c>
      <c r="X2671" s="6" t="s">
        <v>2901</v>
      </c>
    </row>
    <row r="2672" spans="1:24" x14ac:dyDescent="0.15">
      <c r="A2672" s="7" t="str">
        <f t="shared" si="86"/>
        <v>201806</v>
      </c>
      <c r="C2672" s="6" t="str">
        <f>INDEX(工厂基础数据!$A$2:$A$1024,MATCH(X2672,工厂基础数据!$D$2:$D$1024,0))</f>
        <v>02037769</v>
      </c>
      <c r="E2672" s="6" t="str">
        <f>INDEX(工厂基础数据!$B$2:$B$1024,MATCH(X2672,工厂基础数据!$D$2:$D$1024,0))</f>
        <v>山东海川医药有限公司</v>
      </c>
      <c r="F2672" s="6" t="e">
        <f>INDEX(商业2转码!$B$2:$B$10000,MATCH(E2672,商业2转码!$A$2:$A$10000,0))</f>
        <v>#N/A</v>
      </c>
      <c r="G2672" s="6" t="str">
        <f>INDEX(品种2编码!$A$2:$A$1048576,MATCH(W2672,品种2编码!$D$2:$D$1048576,0))</f>
        <v>0020030001SJZY0009</v>
      </c>
      <c r="H2672" s="6" t="s">
        <v>1949</v>
      </c>
      <c r="I2672" s="6" t="s">
        <v>411</v>
      </c>
      <c r="J2672" s="6" t="s">
        <v>3040</v>
      </c>
      <c r="L2672" s="6" t="s">
        <v>3660</v>
      </c>
      <c r="M2672" s="6" t="e">
        <f>INDEX(医院2县区2人!$B$2:$B$1048576,MATCH(L2672,医院2县区2人!$A$2:$A$1048576,0))</f>
        <v>#N/A</v>
      </c>
      <c r="N2672" s="6" t="e">
        <f>INDEX(医院2县区2人!$C$2:$C$1048576,MATCH(L2672,医院2县区2人!$A$2:$A$1048576,0))</f>
        <v>#N/A</v>
      </c>
      <c r="P2672" s="7">
        <v>43264</v>
      </c>
      <c r="Q2672" s="6">
        <v>3</v>
      </c>
      <c r="S2672" s="6">
        <v>18031227</v>
      </c>
      <c r="T2672" s="6" t="e">
        <f>INDEX(医院2县区2人!$D$2:$D$1048576,MATCH(L2672,医院2县区2人!$A$2:$A$1048576,0))</f>
        <v>#N/A</v>
      </c>
      <c r="W2672" s="6" t="str">
        <f t="shared" si="85"/>
        <v>葡萄糖酸锌口服溶液10ml*12支</v>
      </c>
      <c r="X2672" s="6" t="s">
        <v>2901</v>
      </c>
    </row>
    <row r="2673" spans="1:24" x14ac:dyDescent="0.15">
      <c r="A2673" s="7" t="str">
        <f t="shared" si="86"/>
        <v>201806</v>
      </c>
      <c r="C2673" s="6" t="str">
        <f>INDEX(工厂基础数据!$A$2:$A$1024,MATCH(X2673,工厂基础数据!$D$2:$D$1024,0))</f>
        <v>02037769</v>
      </c>
      <c r="E2673" s="6" t="str">
        <f>INDEX(工厂基础数据!$B$2:$B$1024,MATCH(X2673,工厂基础数据!$D$2:$D$1024,0))</f>
        <v>山东海川医药有限公司</v>
      </c>
      <c r="F2673" s="6" t="e">
        <f>INDEX(商业2转码!$B$2:$B$10000,MATCH(E2673,商业2转码!$A$2:$A$10000,0))</f>
        <v>#N/A</v>
      </c>
      <c r="G2673" s="6" t="str">
        <f>INDEX(品种2编码!$A$2:$A$1048576,MATCH(W2673,品种2编码!$D$2:$D$1048576,0))</f>
        <v>0020070001ZYZC0377</v>
      </c>
      <c r="H2673" s="6" t="s">
        <v>1849</v>
      </c>
      <c r="I2673" s="6" t="s">
        <v>1887</v>
      </c>
      <c r="J2673" s="6" t="s">
        <v>3038</v>
      </c>
      <c r="L2673" s="6" t="s">
        <v>3672</v>
      </c>
      <c r="M2673" s="6" t="e">
        <f>INDEX(医院2县区2人!$B$2:$B$1048576,MATCH(L2673,医院2县区2人!$A$2:$A$1048576,0))</f>
        <v>#N/A</v>
      </c>
      <c r="N2673" s="6" t="e">
        <f>INDEX(医院2县区2人!$C$2:$C$1048576,MATCH(L2673,医院2县区2人!$A$2:$A$1048576,0))</f>
        <v>#N/A</v>
      </c>
      <c r="P2673" s="7">
        <v>43265</v>
      </c>
      <c r="Q2673" s="6">
        <v>2</v>
      </c>
      <c r="S2673" s="6">
        <v>1801042</v>
      </c>
      <c r="T2673" s="6" t="e">
        <f>INDEX(医院2县区2人!$D$2:$D$1048576,MATCH(L2673,医院2县区2人!$A$2:$A$1048576,0))</f>
        <v>#N/A</v>
      </c>
      <c r="W2673" s="6" t="str">
        <f t="shared" si="85"/>
        <v>哈药牌钙铁锌口服液10ml*15支</v>
      </c>
      <c r="X2673" s="6" t="s">
        <v>2901</v>
      </c>
    </row>
    <row r="2674" spans="1:24" x14ac:dyDescent="0.15">
      <c r="A2674" s="7" t="str">
        <f t="shared" si="86"/>
        <v>201806</v>
      </c>
      <c r="C2674" s="6" t="str">
        <f>INDEX(工厂基础数据!$A$2:$A$1024,MATCH(X2674,工厂基础数据!$D$2:$D$1024,0))</f>
        <v>02037769</v>
      </c>
      <c r="E2674" s="6" t="str">
        <f>INDEX(工厂基础数据!$B$2:$B$1024,MATCH(X2674,工厂基础数据!$D$2:$D$1024,0))</f>
        <v>山东海川医药有限公司</v>
      </c>
      <c r="F2674" s="6" t="e">
        <f>INDEX(商业2转码!$B$2:$B$10000,MATCH(E2674,商业2转码!$A$2:$A$10000,0))</f>
        <v>#N/A</v>
      </c>
      <c r="G2674" s="6" t="str">
        <f>INDEX(品种2编码!$A$2:$A$1048576,MATCH(W2674,品种2编码!$D$2:$D$1048576,0))</f>
        <v>0020030020SJSC0004</v>
      </c>
      <c r="H2674" s="6" t="s">
        <v>394</v>
      </c>
      <c r="I2674" s="6" t="s">
        <v>1871</v>
      </c>
      <c r="J2674" s="6" t="s">
        <v>3755</v>
      </c>
      <c r="L2674" s="6" t="s">
        <v>3686</v>
      </c>
      <c r="M2674" s="6" t="e">
        <f>INDEX(医院2县区2人!$B$2:$B$1048576,MATCH(L2674,医院2县区2人!$A$2:$A$1048576,0))</f>
        <v>#N/A</v>
      </c>
      <c r="N2674" s="6" t="e">
        <f>INDEX(医院2县区2人!$C$2:$C$1048576,MATCH(L2674,医院2县区2人!$A$2:$A$1048576,0))</f>
        <v>#N/A</v>
      </c>
      <c r="P2674" s="7">
        <v>43265</v>
      </c>
      <c r="Q2674" s="6">
        <v>2</v>
      </c>
      <c r="S2674" s="6">
        <v>1802021</v>
      </c>
      <c r="T2674" s="6" t="e">
        <f>INDEX(医院2县区2人!$D$2:$D$1048576,MATCH(L2674,医院2县区2人!$A$2:$A$1048576,0))</f>
        <v>#N/A</v>
      </c>
      <c r="W2674" s="6" t="str">
        <f t="shared" si="85"/>
        <v>复方铝酸铋片50片</v>
      </c>
      <c r="X2674" s="6" t="s">
        <v>2901</v>
      </c>
    </row>
    <row r="2675" spans="1:24" x14ac:dyDescent="0.15">
      <c r="A2675" s="7" t="str">
        <f t="shared" si="86"/>
        <v>201806</v>
      </c>
      <c r="C2675" s="6" t="str">
        <f>INDEX(工厂基础数据!$A$2:$A$1024,MATCH(X2675,工厂基础数据!$D$2:$D$1024,0))</f>
        <v>02037769</v>
      </c>
      <c r="E2675" s="6" t="str">
        <f>INDEX(工厂基础数据!$B$2:$B$1024,MATCH(X2675,工厂基础数据!$D$2:$D$1024,0))</f>
        <v>山东海川医药有限公司</v>
      </c>
      <c r="F2675" s="6" t="e">
        <f>INDEX(商业2转码!$B$2:$B$10000,MATCH(E2675,商业2转码!$A$2:$A$10000,0))</f>
        <v>#N/A</v>
      </c>
      <c r="G2675" s="6" t="str">
        <f>INDEX(品种2编码!$A$2:$A$1048576,MATCH(W2675,品种2编码!$D$2:$D$1048576,0))</f>
        <v>0020030001SJZY0006</v>
      </c>
      <c r="H2675" s="6" t="s">
        <v>1833</v>
      </c>
      <c r="I2675" s="6" t="s">
        <v>411</v>
      </c>
      <c r="J2675" s="6" t="s">
        <v>3044</v>
      </c>
      <c r="L2675" s="6" t="s">
        <v>3626</v>
      </c>
      <c r="M2675" s="6" t="e">
        <f>INDEX(医院2县区2人!$B$2:$B$1048576,MATCH(L2675,医院2县区2人!$A$2:$A$1048576,0))</f>
        <v>#N/A</v>
      </c>
      <c r="N2675" s="6" t="e">
        <f>INDEX(医院2县区2人!$C$2:$C$1048576,MATCH(L2675,医院2县区2人!$A$2:$A$1048576,0))</f>
        <v>#N/A</v>
      </c>
      <c r="P2675" s="7">
        <v>43265</v>
      </c>
      <c r="Q2675" s="6">
        <v>10</v>
      </c>
      <c r="S2675" s="6">
        <v>18030532</v>
      </c>
      <c r="T2675" s="6" t="e">
        <f>INDEX(医院2县区2人!$D$2:$D$1048576,MATCH(L2675,医院2县区2人!$A$2:$A$1048576,0))</f>
        <v>#N/A</v>
      </c>
      <c r="W2675" s="6" t="str">
        <f t="shared" si="85"/>
        <v>葡萄糖酸钙口服溶液10ml*12支</v>
      </c>
      <c r="X2675" s="6" t="s">
        <v>2901</v>
      </c>
    </row>
    <row r="2676" spans="1:24" x14ac:dyDescent="0.15">
      <c r="A2676" s="7" t="str">
        <f t="shared" si="86"/>
        <v>201806</v>
      </c>
      <c r="C2676" s="6" t="str">
        <f>INDEX(工厂基础数据!$A$2:$A$1024,MATCH(X2676,工厂基础数据!$D$2:$D$1024,0))</f>
        <v>02037769</v>
      </c>
      <c r="E2676" s="6" t="str">
        <f>INDEX(工厂基础数据!$B$2:$B$1024,MATCH(X2676,工厂基础数据!$D$2:$D$1024,0))</f>
        <v>山东海川医药有限公司</v>
      </c>
      <c r="F2676" s="6" t="e">
        <f>INDEX(商业2转码!$B$2:$B$10000,MATCH(E2676,商业2转码!$A$2:$A$10000,0))</f>
        <v>#N/A</v>
      </c>
      <c r="G2676" s="6" t="str">
        <f>INDEX(品种2编码!$A$2:$A$1048576,MATCH(W2676,品种2编码!$D$2:$D$1048576,0))</f>
        <v>0020020020SJMS0008</v>
      </c>
      <c r="H2676" s="6" t="s">
        <v>474</v>
      </c>
      <c r="I2676" s="6" t="s">
        <v>1873</v>
      </c>
      <c r="J2676" s="6" t="s">
        <v>3046</v>
      </c>
      <c r="L2676" s="6" t="s">
        <v>3626</v>
      </c>
      <c r="M2676" s="6" t="e">
        <f>INDEX(医院2县区2人!$B$2:$B$1048576,MATCH(L2676,医院2县区2人!$A$2:$A$1048576,0))</f>
        <v>#N/A</v>
      </c>
      <c r="N2676" s="6" t="e">
        <f>INDEX(医院2县区2人!$C$2:$C$1048576,MATCH(L2676,医院2县区2人!$A$2:$A$1048576,0))</f>
        <v>#N/A</v>
      </c>
      <c r="P2676" s="7">
        <v>43265</v>
      </c>
      <c r="Q2676" s="6">
        <v>2</v>
      </c>
      <c r="S2676" s="6">
        <v>1803012</v>
      </c>
      <c r="T2676" s="6" t="e">
        <f>INDEX(医院2县区2人!$D$2:$D$1048576,MATCH(L2676,医院2县区2人!$A$2:$A$1048576,0))</f>
        <v>#N/A</v>
      </c>
      <c r="W2676" s="6" t="str">
        <f t="shared" si="85"/>
        <v>拉西地平片4mg*15片</v>
      </c>
      <c r="X2676" s="6" t="s">
        <v>2901</v>
      </c>
    </row>
    <row r="2677" spans="1:24" x14ac:dyDescent="0.15">
      <c r="A2677" s="7" t="str">
        <f t="shared" si="86"/>
        <v>201806</v>
      </c>
      <c r="C2677" s="6" t="str">
        <f>INDEX(工厂基础数据!$A$2:$A$1024,MATCH(X2677,工厂基础数据!$D$2:$D$1024,0))</f>
        <v>02037769</v>
      </c>
      <c r="E2677" s="6" t="str">
        <f>INDEX(工厂基础数据!$B$2:$B$1024,MATCH(X2677,工厂基础数据!$D$2:$D$1024,0))</f>
        <v>山东海川医药有限公司</v>
      </c>
      <c r="F2677" s="6" t="e">
        <f>INDEX(商业2转码!$B$2:$B$10000,MATCH(E2677,商业2转码!$A$2:$A$10000,0))</f>
        <v>#N/A</v>
      </c>
      <c r="G2677" s="6">
        <f>INDEX(品种2编码!$A$2:$A$1048576,MATCH(W2677,品种2编码!$D$2:$D$1048576,0))</f>
        <v>0</v>
      </c>
      <c r="H2677" s="6" t="s">
        <v>1885</v>
      </c>
      <c r="I2677" s="6" t="s">
        <v>1838</v>
      </c>
      <c r="J2677" s="6" t="s">
        <v>3036</v>
      </c>
      <c r="L2677" s="6" t="s">
        <v>3649</v>
      </c>
      <c r="M2677" s="6" t="e">
        <f>INDEX(医院2县区2人!$B$2:$B$1048576,MATCH(L2677,医院2县区2人!$A$2:$A$1048576,0))</f>
        <v>#N/A</v>
      </c>
      <c r="N2677" s="6" t="e">
        <f>INDEX(医院2县区2人!$C$2:$C$1048576,MATCH(L2677,医院2县区2人!$A$2:$A$1048576,0))</f>
        <v>#N/A</v>
      </c>
      <c r="P2677" s="7">
        <v>43265</v>
      </c>
      <c r="Q2677" s="6">
        <v>3</v>
      </c>
      <c r="S2677" s="6">
        <v>180106</v>
      </c>
      <c r="T2677" s="6" t="e">
        <f>INDEX(医院2县区2人!$D$2:$D$1048576,MATCH(L2677,医院2县区2人!$A$2:$A$1048576,0))</f>
        <v>#N/A</v>
      </c>
      <c r="W2677" s="6" t="str">
        <f t="shared" si="85"/>
        <v>新盖中盖高钙片2.5g*36片</v>
      </c>
      <c r="X2677" s="6" t="s">
        <v>2901</v>
      </c>
    </row>
    <row r="2678" spans="1:24" x14ac:dyDescent="0.15">
      <c r="A2678" s="7" t="str">
        <f t="shared" si="86"/>
        <v>201806</v>
      </c>
      <c r="C2678" s="6" t="str">
        <f>INDEX(工厂基础数据!$A$2:$A$1024,MATCH(X2678,工厂基础数据!$D$2:$D$1024,0))</f>
        <v>02037769</v>
      </c>
      <c r="E2678" s="6" t="str">
        <f>INDEX(工厂基础数据!$B$2:$B$1024,MATCH(X2678,工厂基础数据!$D$2:$D$1024,0))</f>
        <v>山东海川医药有限公司</v>
      </c>
      <c r="F2678" s="6" t="e">
        <f>INDEX(商业2转码!$B$2:$B$10000,MATCH(E2678,商业2转码!$A$2:$A$10000,0))</f>
        <v>#N/A</v>
      </c>
      <c r="G2678" s="6" t="str">
        <f>INDEX(品种2编码!$A$2:$A$1048576,MATCH(W2678,品种2编码!$D$2:$D$1048576,0))</f>
        <v>0020050090SJZY0001</v>
      </c>
      <c r="H2678" s="6" t="s">
        <v>630</v>
      </c>
      <c r="I2678" s="6" t="s">
        <v>1850</v>
      </c>
      <c r="J2678" s="6" t="s">
        <v>3044</v>
      </c>
      <c r="L2678" s="6" t="s">
        <v>3649</v>
      </c>
      <c r="M2678" s="6" t="e">
        <f>INDEX(医院2县区2人!$B$2:$B$1048576,MATCH(L2678,医院2县区2人!$A$2:$A$1048576,0))</f>
        <v>#N/A</v>
      </c>
      <c r="N2678" s="6" t="e">
        <f>INDEX(医院2县区2人!$C$2:$C$1048576,MATCH(L2678,医院2县区2人!$A$2:$A$1048576,0))</f>
        <v>#N/A</v>
      </c>
      <c r="P2678" s="7">
        <v>43265</v>
      </c>
      <c r="Q2678" s="6">
        <v>3</v>
      </c>
      <c r="S2678" s="6">
        <v>18030921</v>
      </c>
      <c r="T2678" s="6" t="e">
        <f>INDEX(医院2县区2人!$D$2:$D$1048576,MATCH(L2678,医院2县区2人!$A$2:$A$1048576,0))</f>
        <v>#N/A</v>
      </c>
      <c r="W2678" s="6" t="str">
        <f t="shared" si="85"/>
        <v>双黄连口服液10ml*10支</v>
      </c>
      <c r="X2678" s="6" t="s">
        <v>2901</v>
      </c>
    </row>
    <row r="2679" spans="1:24" x14ac:dyDescent="0.15">
      <c r="A2679" s="7" t="str">
        <f t="shared" si="86"/>
        <v>201806</v>
      </c>
      <c r="C2679" s="6" t="str">
        <f>INDEX(工厂基础数据!$A$2:$A$1024,MATCH(X2679,工厂基础数据!$D$2:$D$1024,0))</f>
        <v>02037769</v>
      </c>
      <c r="E2679" s="6" t="str">
        <f>INDEX(工厂基础数据!$B$2:$B$1024,MATCH(X2679,工厂基础数据!$D$2:$D$1024,0))</f>
        <v>山东海川医药有限公司</v>
      </c>
      <c r="F2679" s="6" t="e">
        <f>INDEX(商业2转码!$B$2:$B$10000,MATCH(E2679,商业2转码!$A$2:$A$10000,0))</f>
        <v>#N/A</v>
      </c>
      <c r="G2679" s="6">
        <f>INDEX(品种2编码!$A$2:$A$1048576,MATCH(W2679,品种2编码!$D$2:$D$1048576,0))</f>
        <v>0</v>
      </c>
      <c r="H2679" s="6" t="s">
        <v>3749</v>
      </c>
      <c r="I2679" s="6" t="s">
        <v>3752</v>
      </c>
      <c r="J2679" s="6" t="s">
        <v>3038</v>
      </c>
      <c r="L2679" s="6" t="s">
        <v>3634</v>
      </c>
      <c r="M2679" s="6" t="e">
        <f>INDEX(医院2县区2人!$B$2:$B$1048576,MATCH(L2679,医院2县区2人!$A$2:$A$1048576,0))</f>
        <v>#N/A</v>
      </c>
      <c r="N2679" s="6" t="e">
        <f>INDEX(医院2县区2人!$C$2:$C$1048576,MATCH(L2679,医院2县区2人!$A$2:$A$1048576,0))</f>
        <v>#N/A</v>
      </c>
      <c r="P2679" s="7">
        <v>43265</v>
      </c>
      <c r="Q2679" s="6">
        <v>6</v>
      </c>
      <c r="S2679" s="6">
        <v>180103</v>
      </c>
      <c r="T2679" s="6" t="e">
        <f>INDEX(医院2县区2人!$D$2:$D$1048576,MATCH(L2679,医院2县区2人!$A$2:$A$1048576,0))</f>
        <v>#N/A</v>
      </c>
      <c r="W2679" s="6" t="str">
        <f t="shared" si="85"/>
        <v>哈药痛可贴肩周型4贴</v>
      </c>
      <c r="X2679" s="6" t="s">
        <v>2901</v>
      </c>
    </row>
    <row r="2680" spans="1:24" x14ac:dyDescent="0.15">
      <c r="A2680" s="7" t="str">
        <f t="shared" si="86"/>
        <v>201806</v>
      </c>
      <c r="C2680" s="6" t="str">
        <f>INDEX(工厂基础数据!$A$2:$A$1024,MATCH(X2680,工厂基础数据!$D$2:$D$1024,0))</f>
        <v>02037769</v>
      </c>
      <c r="E2680" s="6" t="str">
        <f>INDEX(工厂基础数据!$B$2:$B$1024,MATCH(X2680,工厂基础数据!$D$2:$D$1024,0))</f>
        <v>山东海川医药有限公司</v>
      </c>
      <c r="F2680" s="6" t="e">
        <f>INDEX(商业2转码!$B$2:$B$10000,MATCH(E2680,商业2转码!$A$2:$A$10000,0))</f>
        <v>#N/A</v>
      </c>
      <c r="G2680" s="6">
        <f>INDEX(品种2编码!$A$2:$A$1048576,MATCH(W2680,品种2编码!$D$2:$D$1048576,0))</f>
        <v>0</v>
      </c>
      <c r="H2680" s="6" t="s">
        <v>3741</v>
      </c>
      <c r="I2680" s="6" t="s">
        <v>3752</v>
      </c>
      <c r="J2680" s="6" t="s">
        <v>3038</v>
      </c>
      <c r="L2680" s="6" t="s">
        <v>3634</v>
      </c>
      <c r="M2680" s="6" t="e">
        <f>INDEX(医院2县区2人!$B$2:$B$1048576,MATCH(L2680,医院2县区2人!$A$2:$A$1048576,0))</f>
        <v>#N/A</v>
      </c>
      <c r="N2680" s="6" t="e">
        <f>INDEX(医院2县区2人!$C$2:$C$1048576,MATCH(L2680,医院2县区2人!$A$2:$A$1048576,0))</f>
        <v>#N/A</v>
      </c>
      <c r="P2680" s="7">
        <v>43265</v>
      </c>
      <c r="Q2680" s="6">
        <v>6</v>
      </c>
      <c r="S2680" s="6">
        <v>180101</v>
      </c>
      <c r="T2680" s="6" t="e">
        <f>INDEX(医院2县区2人!$D$2:$D$1048576,MATCH(L2680,医院2县区2人!$A$2:$A$1048576,0))</f>
        <v>#N/A</v>
      </c>
      <c r="W2680" s="6" t="str">
        <f t="shared" si="85"/>
        <v>哈药痛可贴跌打损伤型4贴</v>
      </c>
      <c r="X2680" s="6" t="s">
        <v>2901</v>
      </c>
    </row>
    <row r="2681" spans="1:24" x14ac:dyDescent="0.15">
      <c r="A2681" s="7" t="str">
        <f t="shared" si="86"/>
        <v>201806</v>
      </c>
      <c r="C2681" s="6" t="str">
        <f>INDEX(工厂基础数据!$A$2:$A$1024,MATCH(X2681,工厂基础数据!$D$2:$D$1024,0))</f>
        <v>02037769</v>
      </c>
      <c r="E2681" s="6" t="str">
        <f>INDEX(工厂基础数据!$B$2:$B$1024,MATCH(X2681,工厂基础数据!$D$2:$D$1024,0))</f>
        <v>山东海川医药有限公司</v>
      </c>
      <c r="F2681" s="6" t="e">
        <f>INDEX(商业2转码!$B$2:$B$10000,MATCH(E2681,商业2转码!$A$2:$A$10000,0))</f>
        <v>#N/A</v>
      </c>
      <c r="G2681" s="6">
        <f>INDEX(品种2编码!$A$2:$A$1048576,MATCH(W2681,品种2编码!$D$2:$D$1048576,0))</f>
        <v>0</v>
      </c>
      <c r="H2681" s="6" t="s">
        <v>3743</v>
      </c>
      <c r="I2681" s="6" t="s">
        <v>3752</v>
      </c>
      <c r="J2681" s="6" t="s">
        <v>3038</v>
      </c>
      <c r="L2681" s="6" t="s">
        <v>3634</v>
      </c>
      <c r="M2681" s="6" t="e">
        <f>INDEX(医院2县区2人!$B$2:$B$1048576,MATCH(L2681,医院2县区2人!$A$2:$A$1048576,0))</f>
        <v>#N/A</v>
      </c>
      <c r="N2681" s="6" t="e">
        <f>INDEX(医院2县区2人!$C$2:$C$1048576,MATCH(L2681,医院2县区2人!$A$2:$A$1048576,0))</f>
        <v>#N/A</v>
      </c>
      <c r="P2681" s="7">
        <v>43265</v>
      </c>
      <c r="Q2681" s="6">
        <v>4</v>
      </c>
      <c r="S2681" s="6">
        <v>180103</v>
      </c>
      <c r="T2681" s="6" t="e">
        <f>INDEX(医院2县区2人!$D$2:$D$1048576,MATCH(L2681,医院2县区2人!$A$2:$A$1048576,0))</f>
        <v>#N/A</v>
      </c>
      <c r="W2681" s="6" t="str">
        <f t="shared" si="85"/>
        <v>哈药痛可贴颈椎型4贴</v>
      </c>
      <c r="X2681" s="6" t="s">
        <v>2901</v>
      </c>
    </row>
    <row r="2682" spans="1:24" x14ac:dyDescent="0.15">
      <c r="A2682" s="7" t="str">
        <f t="shared" si="86"/>
        <v>201806</v>
      </c>
      <c r="C2682" s="6" t="str">
        <f>INDEX(工厂基础数据!$A$2:$A$1024,MATCH(X2682,工厂基础数据!$D$2:$D$1024,0))</f>
        <v>02037769</v>
      </c>
      <c r="E2682" s="6" t="str">
        <f>INDEX(工厂基础数据!$B$2:$B$1024,MATCH(X2682,工厂基础数据!$D$2:$D$1024,0))</f>
        <v>山东海川医药有限公司</v>
      </c>
      <c r="F2682" s="6" t="e">
        <f>INDEX(商业2转码!$B$2:$B$10000,MATCH(E2682,商业2转码!$A$2:$A$10000,0))</f>
        <v>#N/A</v>
      </c>
      <c r="G2682" s="6">
        <f>INDEX(品种2编码!$A$2:$A$1048576,MATCH(W2682,品种2编码!$D$2:$D$1048576,0))</f>
        <v>0</v>
      </c>
      <c r="H2682" s="6" t="s">
        <v>3748</v>
      </c>
      <c r="I2682" s="6" t="s">
        <v>3752</v>
      </c>
      <c r="J2682" s="6" t="s">
        <v>3038</v>
      </c>
      <c r="L2682" s="6" t="s">
        <v>3634</v>
      </c>
      <c r="M2682" s="6" t="e">
        <f>INDEX(医院2县区2人!$B$2:$B$1048576,MATCH(L2682,医院2县区2人!$A$2:$A$1048576,0))</f>
        <v>#N/A</v>
      </c>
      <c r="N2682" s="6" t="e">
        <f>INDEX(医院2县区2人!$C$2:$C$1048576,MATCH(L2682,医院2县区2人!$A$2:$A$1048576,0))</f>
        <v>#N/A</v>
      </c>
      <c r="P2682" s="7">
        <v>43265</v>
      </c>
      <c r="Q2682" s="6">
        <v>4</v>
      </c>
      <c r="S2682" s="6">
        <v>180101</v>
      </c>
      <c r="T2682" s="6" t="e">
        <f>INDEX(医院2县区2人!$D$2:$D$1048576,MATCH(L2682,医院2县区2人!$A$2:$A$1048576,0))</f>
        <v>#N/A</v>
      </c>
      <c r="W2682" s="6" t="str">
        <f t="shared" si="85"/>
        <v>哈药痛可贴关节炎型4贴</v>
      </c>
      <c r="X2682" s="6" t="s">
        <v>2901</v>
      </c>
    </row>
    <row r="2683" spans="1:24" x14ac:dyDescent="0.15">
      <c r="A2683" s="7" t="str">
        <f t="shared" si="86"/>
        <v>201806</v>
      </c>
      <c r="C2683" s="6" t="str">
        <f>INDEX(工厂基础数据!$A$2:$A$1024,MATCH(X2683,工厂基础数据!$D$2:$D$1024,0))</f>
        <v>02037769</v>
      </c>
      <c r="E2683" s="6" t="str">
        <f>INDEX(工厂基础数据!$B$2:$B$1024,MATCH(X2683,工厂基础数据!$D$2:$D$1024,0))</f>
        <v>山东海川医药有限公司</v>
      </c>
      <c r="F2683" s="6" t="e">
        <f>INDEX(商业2转码!$B$2:$B$10000,MATCH(E2683,商业2转码!$A$2:$A$10000,0))</f>
        <v>#N/A</v>
      </c>
      <c r="G2683" s="6">
        <f>INDEX(品种2编码!$A$2:$A$1048576,MATCH(W2683,品种2编码!$D$2:$D$1048576,0))</f>
        <v>0</v>
      </c>
      <c r="H2683" s="6" t="s">
        <v>3744</v>
      </c>
      <c r="I2683" s="6" t="s">
        <v>3752</v>
      </c>
      <c r="J2683" s="6" t="s">
        <v>3038</v>
      </c>
      <c r="L2683" s="6" t="s">
        <v>3634</v>
      </c>
      <c r="M2683" s="6" t="e">
        <f>INDEX(医院2县区2人!$B$2:$B$1048576,MATCH(L2683,医院2县区2人!$A$2:$A$1048576,0))</f>
        <v>#N/A</v>
      </c>
      <c r="N2683" s="6" t="e">
        <f>INDEX(医院2县区2人!$C$2:$C$1048576,MATCH(L2683,医院2县区2人!$A$2:$A$1048576,0))</f>
        <v>#N/A</v>
      </c>
      <c r="P2683" s="7">
        <v>43265</v>
      </c>
      <c r="Q2683" s="6">
        <v>4</v>
      </c>
      <c r="S2683" s="6">
        <v>180103</v>
      </c>
      <c r="T2683" s="6" t="e">
        <f>INDEX(医院2县区2人!$D$2:$D$1048576,MATCH(L2683,医院2县区2人!$A$2:$A$1048576,0))</f>
        <v>#N/A</v>
      </c>
      <c r="W2683" s="6" t="str">
        <f t="shared" ref="W2683:W2746" si="87">H2683&amp;I2683</f>
        <v>哈药痛可贴腰椎型4贴</v>
      </c>
      <c r="X2683" s="6" t="s">
        <v>2901</v>
      </c>
    </row>
    <row r="2684" spans="1:24" x14ac:dyDescent="0.15">
      <c r="A2684" s="7" t="str">
        <f t="shared" ref="A2684:A2747" si="88">IF(MONTH(P2684)&lt;10,YEAR(P2684)&amp;"0"&amp;MONTH(P2684),YEAR(P2684)&amp;MONTH(P2684))</f>
        <v>201806</v>
      </c>
      <c r="C2684" s="6" t="str">
        <f>INDEX(工厂基础数据!$A$2:$A$1024,MATCH(X2684,工厂基础数据!$D$2:$D$1024,0))</f>
        <v>02037769</v>
      </c>
      <c r="E2684" s="6" t="str">
        <f>INDEX(工厂基础数据!$B$2:$B$1024,MATCH(X2684,工厂基础数据!$D$2:$D$1024,0))</f>
        <v>山东海川医药有限公司</v>
      </c>
      <c r="F2684" s="6" t="e">
        <f>INDEX(商业2转码!$B$2:$B$10000,MATCH(E2684,商业2转码!$A$2:$A$10000,0))</f>
        <v>#N/A</v>
      </c>
      <c r="G2684" s="6" t="str">
        <f>INDEX(品种2编码!$A$2:$A$1048576,MATCH(W2684,品种2编码!$D$2:$D$1048576,0))</f>
        <v>0020030001SJZY0009</v>
      </c>
      <c r="H2684" s="6" t="s">
        <v>1949</v>
      </c>
      <c r="I2684" s="6" t="s">
        <v>411</v>
      </c>
      <c r="J2684" s="6" t="s">
        <v>3040</v>
      </c>
      <c r="L2684" s="6" t="s">
        <v>3642</v>
      </c>
      <c r="M2684" s="6" t="e">
        <f>INDEX(医院2县区2人!$B$2:$B$1048576,MATCH(L2684,医院2县区2人!$A$2:$A$1048576,0))</f>
        <v>#N/A</v>
      </c>
      <c r="N2684" s="6" t="e">
        <f>INDEX(医院2县区2人!$C$2:$C$1048576,MATCH(L2684,医院2县区2人!$A$2:$A$1048576,0))</f>
        <v>#N/A</v>
      </c>
      <c r="P2684" s="7">
        <v>43265</v>
      </c>
      <c r="Q2684" s="6">
        <v>2</v>
      </c>
      <c r="S2684" s="6">
        <v>18031227</v>
      </c>
      <c r="T2684" s="6" t="e">
        <f>INDEX(医院2县区2人!$D$2:$D$1048576,MATCH(L2684,医院2县区2人!$A$2:$A$1048576,0))</f>
        <v>#N/A</v>
      </c>
      <c r="W2684" s="6" t="str">
        <f t="shared" si="87"/>
        <v>葡萄糖酸锌口服溶液10ml*12支</v>
      </c>
      <c r="X2684" s="6" t="s">
        <v>2901</v>
      </c>
    </row>
    <row r="2685" spans="1:24" x14ac:dyDescent="0.15">
      <c r="A2685" s="7" t="str">
        <f t="shared" si="88"/>
        <v>201806</v>
      </c>
      <c r="C2685" s="6" t="str">
        <f>INDEX(工厂基础数据!$A$2:$A$1024,MATCH(X2685,工厂基础数据!$D$2:$D$1024,0))</f>
        <v>02037769</v>
      </c>
      <c r="E2685" s="6" t="str">
        <f>INDEX(工厂基础数据!$B$2:$B$1024,MATCH(X2685,工厂基础数据!$D$2:$D$1024,0))</f>
        <v>山东海川医药有限公司</v>
      </c>
      <c r="F2685" s="6" t="e">
        <f>INDEX(商业2转码!$B$2:$B$10000,MATCH(E2685,商业2转码!$A$2:$A$10000,0))</f>
        <v>#N/A</v>
      </c>
      <c r="G2685" s="6" t="str">
        <f>INDEX(品种2编码!$A$2:$A$1048576,MATCH(W2685,品种2编码!$D$2:$D$1048576,0))</f>
        <v>0020070001ZYLC0001</v>
      </c>
      <c r="H2685" s="6" t="s">
        <v>1905</v>
      </c>
      <c r="I2685" s="6" t="s">
        <v>411</v>
      </c>
      <c r="J2685" s="6" t="s">
        <v>3036</v>
      </c>
      <c r="L2685" s="6" t="s">
        <v>3642</v>
      </c>
      <c r="M2685" s="6" t="e">
        <f>INDEX(医院2县区2人!$B$2:$B$1048576,MATCH(L2685,医院2县区2人!$A$2:$A$1048576,0))</f>
        <v>#N/A</v>
      </c>
      <c r="N2685" s="6" t="e">
        <f>INDEX(医院2县区2人!$C$2:$C$1048576,MATCH(L2685,医院2县区2人!$A$2:$A$1048576,0))</f>
        <v>#N/A</v>
      </c>
      <c r="P2685" s="7">
        <v>43265</v>
      </c>
      <c r="Q2685" s="6">
        <v>5</v>
      </c>
      <c r="S2685" s="6">
        <v>180121</v>
      </c>
      <c r="T2685" s="6" t="e">
        <f>INDEX(医院2县区2人!$D$2:$D$1048576,MATCH(L2685,医院2县区2人!$A$2:$A$1048576,0))</f>
        <v>#N/A</v>
      </c>
      <c r="W2685" s="6" t="str">
        <f t="shared" si="87"/>
        <v>哈药六钙锌口服液10ml*12支</v>
      </c>
      <c r="X2685" s="6" t="s">
        <v>2901</v>
      </c>
    </row>
    <row r="2686" spans="1:24" x14ac:dyDescent="0.15">
      <c r="A2686" s="7" t="str">
        <f t="shared" si="88"/>
        <v>201806</v>
      </c>
      <c r="C2686" s="6" t="str">
        <f>INDEX(工厂基础数据!$A$2:$A$1024,MATCH(X2686,工厂基础数据!$D$2:$D$1024,0))</f>
        <v>02037769</v>
      </c>
      <c r="E2686" s="6" t="str">
        <f>INDEX(工厂基础数据!$B$2:$B$1024,MATCH(X2686,工厂基础数据!$D$2:$D$1024,0))</f>
        <v>山东海川医药有限公司</v>
      </c>
      <c r="F2686" s="6" t="e">
        <f>INDEX(商业2转码!$B$2:$B$10000,MATCH(E2686,商业2转码!$A$2:$A$10000,0))</f>
        <v>#N/A</v>
      </c>
      <c r="G2686" s="6">
        <f>INDEX(品种2编码!$A$2:$A$1048576,MATCH(W2686,品种2编码!$D$2:$D$1048576,0))</f>
        <v>0</v>
      </c>
      <c r="H2686" s="6" t="s">
        <v>3749</v>
      </c>
      <c r="I2686" s="6" t="s">
        <v>3752</v>
      </c>
      <c r="J2686" s="6" t="s">
        <v>3038</v>
      </c>
      <c r="L2686" s="6" t="s">
        <v>3630</v>
      </c>
      <c r="M2686" s="6" t="e">
        <f>INDEX(医院2县区2人!$B$2:$B$1048576,MATCH(L2686,医院2县区2人!$A$2:$A$1048576,0))</f>
        <v>#N/A</v>
      </c>
      <c r="N2686" s="6" t="e">
        <f>INDEX(医院2县区2人!$C$2:$C$1048576,MATCH(L2686,医院2县区2人!$A$2:$A$1048576,0))</f>
        <v>#N/A</v>
      </c>
      <c r="P2686" s="7">
        <v>43265</v>
      </c>
      <c r="Q2686" s="6">
        <v>5</v>
      </c>
      <c r="S2686" s="6">
        <v>180103</v>
      </c>
      <c r="T2686" s="6" t="e">
        <f>INDEX(医院2县区2人!$D$2:$D$1048576,MATCH(L2686,医院2县区2人!$A$2:$A$1048576,0))</f>
        <v>#N/A</v>
      </c>
      <c r="W2686" s="6" t="str">
        <f t="shared" si="87"/>
        <v>哈药痛可贴肩周型4贴</v>
      </c>
      <c r="X2686" s="6" t="s">
        <v>2901</v>
      </c>
    </row>
    <row r="2687" spans="1:24" x14ac:dyDescent="0.15">
      <c r="A2687" s="7" t="str">
        <f t="shared" si="88"/>
        <v>201806</v>
      </c>
      <c r="C2687" s="6" t="str">
        <f>INDEX(工厂基础数据!$A$2:$A$1024,MATCH(X2687,工厂基础数据!$D$2:$D$1024,0))</f>
        <v>02037769</v>
      </c>
      <c r="E2687" s="6" t="str">
        <f>INDEX(工厂基础数据!$B$2:$B$1024,MATCH(X2687,工厂基础数据!$D$2:$D$1024,0))</f>
        <v>山东海川医药有限公司</v>
      </c>
      <c r="F2687" s="6" t="e">
        <f>INDEX(商业2转码!$B$2:$B$10000,MATCH(E2687,商业2转码!$A$2:$A$10000,0))</f>
        <v>#N/A</v>
      </c>
      <c r="G2687" s="6" t="str">
        <f>INDEX(品种2编码!$A$2:$A$1048576,MATCH(W2687,品种2编码!$D$2:$D$1048576,0))</f>
        <v>0020030040ZYLC0001</v>
      </c>
      <c r="H2687" s="6" t="s">
        <v>1953</v>
      </c>
      <c r="I2687" s="6" t="s">
        <v>1954</v>
      </c>
      <c r="J2687" s="6" t="s">
        <v>3036</v>
      </c>
      <c r="L2687" s="6" t="s">
        <v>3626</v>
      </c>
      <c r="M2687" s="6" t="e">
        <f>INDEX(医院2县区2人!$B$2:$B$1048576,MATCH(L2687,医院2县区2人!$A$2:$A$1048576,0))</f>
        <v>#N/A</v>
      </c>
      <c r="N2687" s="6" t="e">
        <f>INDEX(医院2县区2人!$C$2:$C$1048576,MATCH(L2687,医院2县区2人!$A$2:$A$1048576,0))</f>
        <v>#N/A</v>
      </c>
      <c r="P2687" s="7">
        <v>43265</v>
      </c>
      <c r="Q2687" s="6">
        <v>5</v>
      </c>
      <c r="S2687" s="6">
        <v>180137</v>
      </c>
      <c r="T2687" s="6" t="e">
        <f>INDEX(医院2县区2人!$D$2:$D$1048576,MATCH(L2687,医院2县区2人!$A$2:$A$1048576,0))</f>
        <v>#N/A</v>
      </c>
      <c r="W2687" s="6" t="str">
        <f t="shared" si="87"/>
        <v>小儿氨酚黄那敏颗粒12袋</v>
      </c>
      <c r="X2687" s="6" t="s">
        <v>2901</v>
      </c>
    </row>
    <row r="2688" spans="1:24" x14ac:dyDescent="0.15">
      <c r="A2688" s="7" t="str">
        <f t="shared" si="88"/>
        <v>201806</v>
      </c>
      <c r="C2688" s="6" t="str">
        <f>INDEX(工厂基础数据!$A$2:$A$1024,MATCH(X2688,工厂基础数据!$D$2:$D$1024,0))</f>
        <v>02037769</v>
      </c>
      <c r="E2688" s="6" t="str">
        <f>INDEX(工厂基础数据!$B$2:$B$1024,MATCH(X2688,工厂基础数据!$D$2:$D$1024,0))</f>
        <v>山东海川医药有限公司</v>
      </c>
      <c r="F2688" s="6" t="e">
        <f>INDEX(商业2转码!$B$2:$B$10000,MATCH(E2688,商业2转码!$A$2:$A$10000,0))</f>
        <v>#N/A</v>
      </c>
      <c r="G2688" s="6" t="str">
        <f>INDEX(品种2编码!$A$2:$A$1048576,MATCH(W2688,品种2编码!$D$2:$D$1048576,0))</f>
        <v>0020070001ZYZC0377</v>
      </c>
      <c r="H2688" s="6" t="s">
        <v>1849</v>
      </c>
      <c r="I2688" s="6" t="s">
        <v>1887</v>
      </c>
      <c r="J2688" s="6" t="s">
        <v>3038</v>
      </c>
      <c r="L2688" s="6" t="s">
        <v>3666</v>
      </c>
      <c r="M2688" s="6" t="e">
        <f>INDEX(医院2县区2人!$B$2:$B$1048576,MATCH(L2688,医院2县区2人!$A$2:$A$1048576,0))</f>
        <v>#N/A</v>
      </c>
      <c r="N2688" s="6" t="e">
        <f>INDEX(医院2县区2人!$C$2:$C$1048576,MATCH(L2688,医院2县区2人!$A$2:$A$1048576,0))</f>
        <v>#N/A</v>
      </c>
      <c r="P2688" s="7">
        <v>43265</v>
      </c>
      <c r="Q2688" s="6">
        <v>5</v>
      </c>
      <c r="S2688" s="6">
        <v>1801042</v>
      </c>
      <c r="T2688" s="6" t="e">
        <f>INDEX(医院2县区2人!$D$2:$D$1048576,MATCH(L2688,医院2县区2人!$A$2:$A$1048576,0))</f>
        <v>#N/A</v>
      </c>
      <c r="W2688" s="6" t="str">
        <f t="shared" si="87"/>
        <v>哈药牌钙铁锌口服液10ml*15支</v>
      </c>
      <c r="X2688" s="6" t="s">
        <v>2901</v>
      </c>
    </row>
    <row r="2689" spans="1:24" x14ac:dyDescent="0.15">
      <c r="A2689" s="7" t="str">
        <f t="shared" si="88"/>
        <v>201806</v>
      </c>
      <c r="C2689" s="6" t="str">
        <f>INDEX(工厂基础数据!$A$2:$A$1024,MATCH(X2689,工厂基础数据!$D$2:$D$1024,0))</f>
        <v>02037769</v>
      </c>
      <c r="E2689" s="6" t="str">
        <f>INDEX(工厂基础数据!$B$2:$B$1024,MATCH(X2689,工厂基础数据!$D$2:$D$1024,0))</f>
        <v>山东海川医药有限公司</v>
      </c>
      <c r="F2689" s="6" t="e">
        <f>INDEX(商业2转码!$B$2:$B$10000,MATCH(E2689,商业2转码!$A$2:$A$10000,0))</f>
        <v>#N/A</v>
      </c>
      <c r="G2689" s="6">
        <f>INDEX(品种2编码!$A$2:$A$1048576,MATCH(W2689,品种2编码!$D$2:$D$1048576,0))</f>
        <v>0</v>
      </c>
      <c r="H2689" s="6" t="s">
        <v>3740</v>
      </c>
      <c r="I2689" s="6" t="s">
        <v>3751</v>
      </c>
      <c r="J2689" s="6" t="s">
        <v>3754</v>
      </c>
      <c r="L2689" s="6" t="s">
        <v>3666</v>
      </c>
      <c r="M2689" s="6" t="e">
        <f>INDEX(医院2县区2人!$B$2:$B$1048576,MATCH(L2689,医院2县区2人!$A$2:$A$1048576,0))</f>
        <v>#N/A</v>
      </c>
      <c r="N2689" s="6" t="e">
        <f>INDEX(医院2县区2人!$C$2:$C$1048576,MATCH(L2689,医院2县区2人!$A$2:$A$1048576,0))</f>
        <v>#N/A</v>
      </c>
      <c r="P2689" s="7">
        <v>43265</v>
      </c>
      <c r="Q2689" s="6">
        <v>10</v>
      </c>
      <c r="S2689" s="6">
        <v>20180101</v>
      </c>
      <c r="T2689" s="6" t="e">
        <f>INDEX(医院2县区2人!$D$2:$D$1048576,MATCH(L2689,医院2县区2人!$A$2:$A$1048576,0))</f>
        <v>#N/A</v>
      </c>
      <c r="W2689" s="6" t="str">
        <f t="shared" si="87"/>
        <v>逐瘀通脉胶囊0.2g*18粒</v>
      </c>
      <c r="X2689" s="6" t="s">
        <v>2901</v>
      </c>
    </row>
    <row r="2690" spans="1:24" x14ac:dyDescent="0.15">
      <c r="A2690" s="7" t="str">
        <f t="shared" si="88"/>
        <v>201806</v>
      </c>
      <c r="C2690" s="6" t="str">
        <f>INDEX(工厂基础数据!$A$2:$A$1024,MATCH(X2690,工厂基础数据!$D$2:$D$1024,0))</f>
        <v>02037769</v>
      </c>
      <c r="E2690" s="6" t="str">
        <f>INDEX(工厂基础数据!$B$2:$B$1024,MATCH(X2690,工厂基础数据!$D$2:$D$1024,0))</f>
        <v>山东海川医药有限公司</v>
      </c>
      <c r="F2690" s="6" t="e">
        <f>INDEX(商业2转码!$B$2:$B$10000,MATCH(E2690,商业2转码!$A$2:$A$10000,0))</f>
        <v>#N/A</v>
      </c>
      <c r="G2690" s="6" t="str">
        <f>INDEX(品种2编码!$A$2:$A$1048576,MATCH(W2690,品种2编码!$D$2:$D$1048576,0))</f>
        <v>0020070001ZYZC0377</v>
      </c>
      <c r="H2690" s="6" t="s">
        <v>1849</v>
      </c>
      <c r="I2690" s="6" t="s">
        <v>1887</v>
      </c>
      <c r="J2690" s="6" t="s">
        <v>3038</v>
      </c>
      <c r="L2690" s="6" t="s">
        <v>3650</v>
      </c>
      <c r="M2690" s="6" t="e">
        <f>INDEX(医院2县区2人!$B$2:$B$1048576,MATCH(L2690,医院2县区2人!$A$2:$A$1048576,0))</f>
        <v>#N/A</v>
      </c>
      <c r="N2690" s="6" t="e">
        <f>INDEX(医院2县区2人!$C$2:$C$1048576,MATCH(L2690,医院2县区2人!$A$2:$A$1048576,0))</f>
        <v>#N/A</v>
      </c>
      <c r="P2690" s="7">
        <v>43265</v>
      </c>
      <c r="Q2690" s="6">
        <v>3</v>
      </c>
      <c r="S2690" s="6">
        <v>1801042</v>
      </c>
      <c r="T2690" s="6" t="e">
        <f>INDEX(医院2县区2人!$D$2:$D$1048576,MATCH(L2690,医院2县区2人!$A$2:$A$1048576,0))</f>
        <v>#N/A</v>
      </c>
      <c r="W2690" s="6" t="str">
        <f t="shared" si="87"/>
        <v>哈药牌钙铁锌口服液10ml*15支</v>
      </c>
      <c r="X2690" s="6" t="s">
        <v>2901</v>
      </c>
    </row>
    <row r="2691" spans="1:24" x14ac:dyDescent="0.15">
      <c r="A2691" s="7" t="str">
        <f t="shared" si="88"/>
        <v>201806</v>
      </c>
      <c r="C2691" s="6" t="str">
        <f>INDEX(工厂基础数据!$A$2:$A$1024,MATCH(X2691,工厂基础数据!$D$2:$D$1024,0))</f>
        <v>02037769</v>
      </c>
      <c r="E2691" s="6" t="str">
        <f>INDEX(工厂基础数据!$B$2:$B$1024,MATCH(X2691,工厂基础数据!$D$2:$D$1024,0))</f>
        <v>山东海川医药有限公司</v>
      </c>
      <c r="F2691" s="6" t="e">
        <f>INDEX(商业2转码!$B$2:$B$10000,MATCH(E2691,商业2转码!$A$2:$A$10000,0))</f>
        <v>#N/A</v>
      </c>
      <c r="G2691" s="6" t="str">
        <f>INDEX(品种2编码!$A$2:$A$1048576,MATCH(W2691,品种2编码!$D$2:$D$1048576,0))</f>
        <v>0020070001ZYZC0377</v>
      </c>
      <c r="H2691" s="6" t="s">
        <v>1849</v>
      </c>
      <c r="I2691" s="6" t="s">
        <v>1887</v>
      </c>
      <c r="J2691" s="6" t="s">
        <v>3038</v>
      </c>
      <c r="L2691" s="6" t="s">
        <v>3693</v>
      </c>
      <c r="M2691" s="6" t="e">
        <f>INDEX(医院2县区2人!$B$2:$B$1048576,MATCH(L2691,医院2县区2人!$A$2:$A$1048576,0))</f>
        <v>#N/A</v>
      </c>
      <c r="N2691" s="6" t="e">
        <f>INDEX(医院2县区2人!$C$2:$C$1048576,MATCH(L2691,医院2县区2人!$A$2:$A$1048576,0))</f>
        <v>#N/A</v>
      </c>
      <c r="P2691" s="7">
        <v>43265</v>
      </c>
      <c r="Q2691" s="6">
        <v>2</v>
      </c>
      <c r="S2691" s="6">
        <v>1801042</v>
      </c>
      <c r="T2691" s="6" t="e">
        <f>INDEX(医院2县区2人!$D$2:$D$1048576,MATCH(L2691,医院2县区2人!$A$2:$A$1048576,0))</f>
        <v>#N/A</v>
      </c>
      <c r="W2691" s="6" t="str">
        <f t="shared" si="87"/>
        <v>哈药牌钙铁锌口服液10ml*15支</v>
      </c>
      <c r="X2691" s="6" t="s">
        <v>2901</v>
      </c>
    </row>
    <row r="2692" spans="1:24" x14ac:dyDescent="0.15">
      <c r="A2692" s="7" t="str">
        <f t="shared" si="88"/>
        <v>201806</v>
      </c>
      <c r="C2692" s="6" t="str">
        <f>INDEX(工厂基础数据!$A$2:$A$1024,MATCH(X2692,工厂基础数据!$D$2:$D$1024,0))</f>
        <v>02037769</v>
      </c>
      <c r="E2692" s="6" t="str">
        <f>INDEX(工厂基础数据!$B$2:$B$1024,MATCH(X2692,工厂基础数据!$D$2:$D$1024,0))</f>
        <v>山东海川医药有限公司</v>
      </c>
      <c r="F2692" s="6" t="e">
        <f>INDEX(商业2转码!$B$2:$B$10000,MATCH(E2692,商业2转码!$A$2:$A$10000,0))</f>
        <v>#N/A</v>
      </c>
      <c r="G2692" s="6">
        <f>INDEX(品种2编码!$A$2:$A$1048576,MATCH(W2692,品种2编码!$D$2:$D$1048576,0))</f>
        <v>0</v>
      </c>
      <c r="H2692" s="6" t="s">
        <v>3744</v>
      </c>
      <c r="I2692" s="6" t="s">
        <v>3752</v>
      </c>
      <c r="J2692" s="6" t="s">
        <v>3038</v>
      </c>
      <c r="L2692" s="6" t="s">
        <v>3653</v>
      </c>
      <c r="M2692" s="6" t="e">
        <f>INDEX(医院2县区2人!$B$2:$B$1048576,MATCH(L2692,医院2县区2人!$A$2:$A$1048576,0))</f>
        <v>#N/A</v>
      </c>
      <c r="N2692" s="6" t="e">
        <f>INDEX(医院2县区2人!$C$2:$C$1048576,MATCH(L2692,医院2县区2人!$A$2:$A$1048576,0))</f>
        <v>#N/A</v>
      </c>
      <c r="P2692" s="7">
        <v>43265</v>
      </c>
      <c r="Q2692" s="6">
        <v>5</v>
      </c>
      <c r="S2692" s="6">
        <v>180103</v>
      </c>
      <c r="T2692" s="6" t="e">
        <f>INDEX(医院2县区2人!$D$2:$D$1048576,MATCH(L2692,医院2县区2人!$A$2:$A$1048576,0))</f>
        <v>#N/A</v>
      </c>
      <c r="W2692" s="6" t="str">
        <f t="shared" si="87"/>
        <v>哈药痛可贴腰椎型4贴</v>
      </c>
      <c r="X2692" s="6" t="s">
        <v>2901</v>
      </c>
    </row>
    <row r="2693" spans="1:24" x14ac:dyDescent="0.15">
      <c r="A2693" s="7" t="str">
        <f t="shared" si="88"/>
        <v>201806</v>
      </c>
      <c r="C2693" s="6" t="str">
        <f>INDEX(工厂基础数据!$A$2:$A$1024,MATCH(X2693,工厂基础数据!$D$2:$D$1024,0))</f>
        <v>02037769</v>
      </c>
      <c r="E2693" s="6" t="str">
        <f>INDEX(工厂基础数据!$B$2:$B$1024,MATCH(X2693,工厂基础数据!$D$2:$D$1024,0))</f>
        <v>山东海川医药有限公司</v>
      </c>
      <c r="F2693" s="6" t="e">
        <f>INDEX(商业2转码!$B$2:$B$10000,MATCH(E2693,商业2转码!$A$2:$A$10000,0))</f>
        <v>#N/A</v>
      </c>
      <c r="G2693" s="6">
        <f>INDEX(品种2编码!$A$2:$A$1048576,MATCH(W2693,品种2编码!$D$2:$D$1048576,0))</f>
        <v>0</v>
      </c>
      <c r="H2693" s="6" t="s">
        <v>3749</v>
      </c>
      <c r="I2693" s="6" t="s">
        <v>3752</v>
      </c>
      <c r="J2693" s="6" t="s">
        <v>3038</v>
      </c>
      <c r="L2693" s="6" t="s">
        <v>3653</v>
      </c>
      <c r="M2693" s="6" t="e">
        <f>INDEX(医院2县区2人!$B$2:$B$1048576,MATCH(L2693,医院2县区2人!$A$2:$A$1048576,0))</f>
        <v>#N/A</v>
      </c>
      <c r="N2693" s="6" t="e">
        <f>INDEX(医院2县区2人!$C$2:$C$1048576,MATCH(L2693,医院2县区2人!$A$2:$A$1048576,0))</f>
        <v>#N/A</v>
      </c>
      <c r="P2693" s="7">
        <v>43265</v>
      </c>
      <c r="Q2693" s="6">
        <v>5</v>
      </c>
      <c r="S2693" s="6">
        <v>180103</v>
      </c>
      <c r="T2693" s="6" t="e">
        <f>INDEX(医院2县区2人!$D$2:$D$1048576,MATCH(L2693,医院2县区2人!$A$2:$A$1048576,0))</f>
        <v>#N/A</v>
      </c>
      <c r="W2693" s="6" t="str">
        <f t="shared" si="87"/>
        <v>哈药痛可贴肩周型4贴</v>
      </c>
      <c r="X2693" s="6" t="s">
        <v>2901</v>
      </c>
    </row>
    <row r="2694" spans="1:24" x14ac:dyDescent="0.15">
      <c r="A2694" s="7" t="str">
        <f t="shared" si="88"/>
        <v>201806</v>
      </c>
      <c r="C2694" s="6" t="str">
        <f>INDEX(工厂基础数据!$A$2:$A$1024,MATCH(X2694,工厂基础数据!$D$2:$D$1024,0))</f>
        <v>02037769</v>
      </c>
      <c r="E2694" s="6" t="str">
        <f>INDEX(工厂基础数据!$B$2:$B$1024,MATCH(X2694,工厂基础数据!$D$2:$D$1024,0))</f>
        <v>山东海川医药有限公司</v>
      </c>
      <c r="F2694" s="6" t="e">
        <f>INDEX(商业2转码!$B$2:$B$10000,MATCH(E2694,商业2转码!$A$2:$A$10000,0))</f>
        <v>#N/A</v>
      </c>
      <c r="G2694" s="6">
        <f>INDEX(品种2编码!$A$2:$A$1048576,MATCH(W2694,品种2编码!$D$2:$D$1048576,0))</f>
        <v>0</v>
      </c>
      <c r="H2694" s="6" t="s">
        <v>1885</v>
      </c>
      <c r="I2694" s="6" t="s">
        <v>1838</v>
      </c>
      <c r="J2694" s="6" t="s">
        <v>3036</v>
      </c>
      <c r="L2694" s="6" t="s">
        <v>3656</v>
      </c>
      <c r="M2694" s="6" t="e">
        <f>INDEX(医院2县区2人!$B$2:$B$1048576,MATCH(L2694,医院2县区2人!$A$2:$A$1048576,0))</f>
        <v>#N/A</v>
      </c>
      <c r="N2694" s="6" t="e">
        <f>INDEX(医院2县区2人!$C$2:$C$1048576,MATCH(L2694,医院2县区2人!$A$2:$A$1048576,0))</f>
        <v>#N/A</v>
      </c>
      <c r="P2694" s="7">
        <v>43265</v>
      </c>
      <c r="Q2694" s="6">
        <v>2</v>
      </c>
      <c r="S2694" s="6">
        <v>180105</v>
      </c>
      <c r="T2694" s="6" t="e">
        <f>INDEX(医院2县区2人!$D$2:$D$1048576,MATCH(L2694,医院2县区2人!$A$2:$A$1048576,0))</f>
        <v>#N/A</v>
      </c>
      <c r="W2694" s="6" t="str">
        <f t="shared" si="87"/>
        <v>新盖中盖高钙片2.5g*36片</v>
      </c>
      <c r="X2694" s="6" t="s">
        <v>2901</v>
      </c>
    </row>
    <row r="2695" spans="1:24" x14ac:dyDescent="0.15">
      <c r="A2695" s="7" t="str">
        <f t="shared" si="88"/>
        <v>201806</v>
      </c>
      <c r="C2695" s="6" t="str">
        <f>INDEX(工厂基础数据!$A$2:$A$1024,MATCH(X2695,工厂基础数据!$D$2:$D$1024,0))</f>
        <v>02037769</v>
      </c>
      <c r="E2695" s="6" t="str">
        <f>INDEX(工厂基础数据!$B$2:$B$1024,MATCH(X2695,工厂基础数据!$D$2:$D$1024,0))</f>
        <v>山东海川医药有限公司</v>
      </c>
      <c r="F2695" s="6" t="e">
        <f>INDEX(商业2转码!$B$2:$B$10000,MATCH(E2695,商业2转码!$A$2:$A$10000,0))</f>
        <v>#N/A</v>
      </c>
      <c r="G2695" s="6">
        <f>INDEX(品种2编码!$A$2:$A$1048576,MATCH(W2695,品种2编码!$D$2:$D$1048576,0))</f>
        <v>0</v>
      </c>
      <c r="H2695" s="6" t="s">
        <v>3740</v>
      </c>
      <c r="I2695" s="6" t="s">
        <v>3751</v>
      </c>
      <c r="J2695" s="6" t="s">
        <v>3754</v>
      </c>
      <c r="L2695" s="6" t="s">
        <v>3644</v>
      </c>
      <c r="M2695" s="6" t="e">
        <f>INDEX(医院2县区2人!$B$2:$B$1048576,MATCH(L2695,医院2县区2人!$A$2:$A$1048576,0))</f>
        <v>#N/A</v>
      </c>
      <c r="N2695" s="6" t="e">
        <f>INDEX(医院2县区2人!$C$2:$C$1048576,MATCH(L2695,医院2县区2人!$A$2:$A$1048576,0))</f>
        <v>#N/A</v>
      </c>
      <c r="P2695" s="7">
        <v>43265</v>
      </c>
      <c r="Q2695" s="6">
        <v>2</v>
      </c>
      <c r="S2695" s="6">
        <v>20180101</v>
      </c>
      <c r="T2695" s="6" t="e">
        <f>INDEX(医院2县区2人!$D$2:$D$1048576,MATCH(L2695,医院2县区2人!$A$2:$A$1048576,0))</f>
        <v>#N/A</v>
      </c>
      <c r="W2695" s="6" t="str">
        <f t="shared" si="87"/>
        <v>逐瘀通脉胶囊0.2g*18粒</v>
      </c>
      <c r="X2695" s="6" t="s">
        <v>2901</v>
      </c>
    </row>
    <row r="2696" spans="1:24" x14ac:dyDescent="0.15">
      <c r="A2696" s="7" t="str">
        <f t="shared" si="88"/>
        <v>201806</v>
      </c>
      <c r="C2696" s="6" t="str">
        <f>INDEX(工厂基础数据!$A$2:$A$1024,MATCH(X2696,工厂基础数据!$D$2:$D$1024,0))</f>
        <v>02037769</v>
      </c>
      <c r="E2696" s="6" t="str">
        <f>INDEX(工厂基础数据!$B$2:$B$1024,MATCH(X2696,工厂基础数据!$D$2:$D$1024,0))</f>
        <v>山东海川医药有限公司</v>
      </c>
      <c r="F2696" s="6" t="e">
        <f>INDEX(商业2转码!$B$2:$B$10000,MATCH(E2696,商业2转码!$A$2:$A$10000,0))</f>
        <v>#N/A</v>
      </c>
      <c r="G2696" s="6" t="str">
        <f>INDEX(品种2编码!$A$2:$A$1048576,MATCH(W2696,品种2编码!$D$2:$D$1048576,0))</f>
        <v>0020030001SJZY0006</v>
      </c>
      <c r="H2696" s="6" t="s">
        <v>1833</v>
      </c>
      <c r="I2696" s="6" t="s">
        <v>411</v>
      </c>
      <c r="J2696" s="6" t="s">
        <v>3044</v>
      </c>
      <c r="L2696" s="6" t="s">
        <v>3694</v>
      </c>
      <c r="M2696" s="6" t="e">
        <f>INDEX(医院2县区2人!$B$2:$B$1048576,MATCH(L2696,医院2县区2人!$A$2:$A$1048576,0))</f>
        <v>#N/A</v>
      </c>
      <c r="N2696" s="6" t="e">
        <f>INDEX(医院2县区2人!$C$2:$C$1048576,MATCH(L2696,医院2县区2人!$A$2:$A$1048576,0))</f>
        <v>#N/A</v>
      </c>
      <c r="P2696" s="7">
        <v>43265</v>
      </c>
      <c r="Q2696" s="6">
        <v>5</v>
      </c>
      <c r="S2696" s="6">
        <v>18030532</v>
      </c>
      <c r="T2696" s="6" t="e">
        <f>INDEX(医院2县区2人!$D$2:$D$1048576,MATCH(L2696,医院2县区2人!$A$2:$A$1048576,0))</f>
        <v>#N/A</v>
      </c>
      <c r="W2696" s="6" t="str">
        <f t="shared" si="87"/>
        <v>葡萄糖酸钙口服溶液10ml*12支</v>
      </c>
      <c r="X2696" s="6" t="s">
        <v>2901</v>
      </c>
    </row>
    <row r="2697" spans="1:24" x14ac:dyDescent="0.15">
      <c r="A2697" s="7" t="str">
        <f t="shared" si="88"/>
        <v>201806</v>
      </c>
      <c r="C2697" s="6" t="str">
        <f>INDEX(工厂基础数据!$A$2:$A$1024,MATCH(X2697,工厂基础数据!$D$2:$D$1024,0))</f>
        <v>02037769</v>
      </c>
      <c r="E2697" s="6" t="str">
        <f>INDEX(工厂基础数据!$B$2:$B$1024,MATCH(X2697,工厂基础数据!$D$2:$D$1024,0))</f>
        <v>山东海川医药有限公司</v>
      </c>
      <c r="F2697" s="6" t="e">
        <f>INDEX(商业2转码!$B$2:$B$10000,MATCH(E2697,商业2转码!$A$2:$A$10000,0))</f>
        <v>#N/A</v>
      </c>
      <c r="G2697" s="6" t="str">
        <f>INDEX(品种2编码!$A$2:$A$1048576,MATCH(W2697,品种2编码!$D$2:$D$1048576,0))</f>
        <v>0020030001SJZY0009</v>
      </c>
      <c r="H2697" s="6" t="s">
        <v>1949</v>
      </c>
      <c r="I2697" s="6" t="s">
        <v>411</v>
      </c>
      <c r="J2697" s="6" t="s">
        <v>3040</v>
      </c>
      <c r="L2697" s="6" t="s">
        <v>3695</v>
      </c>
      <c r="M2697" s="6" t="e">
        <f>INDEX(医院2县区2人!$B$2:$B$1048576,MATCH(L2697,医院2县区2人!$A$2:$A$1048576,0))</f>
        <v>#N/A</v>
      </c>
      <c r="N2697" s="6" t="e">
        <f>INDEX(医院2县区2人!$C$2:$C$1048576,MATCH(L2697,医院2县区2人!$A$2:$A$1048576,0))</f>
        <v>#N/A</v>
      </c>
      <c r="P2697" s="7">
        <v>43265</v>
      </c>
      <c r="Q2697" s="6">
        <v>5</v>
      </c>
      <c r="S2697" s="6">
        <v>18031227</v>
      </c>
      <c r="T2697" s="6" t="e">
        <f>INDEX(医院2县区2人!$D$2:$D$1048576,MATCH(L2697,医院2县区2人!$A$2:$A$1048576,0))</f>
        <v>#N/A</v>
      </c>
      <c r="W2697" s="6" t="str">
        <f t="shared" si="87"/>
        <v>葡萄糖酸锌口服溶液10ml*12支</v>
      </c>
      <c r="X2697" s="6" t="s">
        <v>2901</v>
      </c>
    </row>
    <row r="2698" spans="1:24" x14ac:dyDescent="0.15">
      <c r="A2698" s="7" t="str">
        <f t="shared" si="88"/>
        <v>201806</v>
      </c>
      <c r="C2698" s="6" t="str">
        <f>INDEX(工厂基础数据!$A$2:$A$1024,MATCH(X2698,工厂基础数据!$D$2:$D$1024,0))</f>
        <v>02037769</v>
      </c>
      <c r="E2698" s="6" t="str">
        <f>INDEX(工厂基础数据!$B$2:$B$1024,MATCH(X2698,工厂基础数据!$D$2:$D$1024,0))</f>
        <v>山东海川医药有限公司</v>
      </c>
      <c r="F2698" s="6" t="e">
        <f>INDEX(商业2转码!$B$2:$B$10000,MATCH(E2698,商业2转码!$A$2:$A$10000,0))</f>
        <v>#N/A</v>
      </c>
      <c r="G2698" s="6" t="str">
        <f>INDEX(品种2编码!$A$2:$A$1048576,MATCH(W2698,品种2编码!$D$2:$D$1048576,0))</f>
        <v>0020070001ZYZC0377</v>
      </c>
      <c r="H2698" s="6" t="s">
        <v>1849</v>
      </c>
      <c r="I2698" s="6" t="s">
        <v>1887</v>
      </c>
      <c r="J2698" s="6" t="s">
        <v>3038</v>
      </c>
      <c r="L2698" s="6" t="s">
        <v>3618</v>
      </c>
      <c r="M2698" s="6" t="e">
        <f>INDEX(医院2县区2人!$B$2:$B$1048576,MATCH(L2698,医院2县区2人!$A$2:$A$1048576,0))</f>
        <v>#N/A</v>
      </c>
      <c r="N2698" s="6" t="e">
        <f>INDEX(医院2县区2人!$C$2:$C$1048576,MATCH(L2698,医院2县区2人!$A$2:$A$1048576,0))</f>
        <v>#N/A</v>
      </c>
      <c r="P2698" s="7">
        <v>43266</v>
      </c>
      <c r="Q2698" s="6">
        <v>3</v>
      </c>
      <c r="S2698" s="6">
        <v>1801042</v>
      </c>
      <c r="T2698" s="6" t="e">
        <f>INDEX(医院2县区2人!$D$2:$D$1048576,MATCH(L2698,医院2县区2人!$A$2:$A$1048576,0))</f>
        <v>#N/A</v>
      </c>
      <c r="W2698" s="6" t="str">
        <f t="shared" si="87"/>
        <v>哈药牌钙铁锌口服液10ml*15支</v>
      </c>
      <c r="X2698" s="6" t="s">
        <v>2901</v>
      </c>
    </row>
    <row r="2699" spans="1:24" x14ac:dyDescent="0.15">
      <c r="A2699" s="7" t="str">
        <f t="shared" si="88"/>
        <v>201806</v>
      </c>
      <c r="C2699" s="6" t="str">
        <f>INDEX(工厂基础数据!$A$2:$A$1024,MATCH(X2699,工厂基础数据!$D$2:$D$1024,0))</f>
        <v>02037769</v>
      </c>
      <c r="E2699" s="6" t="str">
        <f>INDEX(工厂基础数据!$B$2:$B$1024,MATCH(X2699,工厂基础数据!$D$2:$D$1024,0))</f>
        <v>山东海川医药有限公司</v>
      </c>
      <c r="F2699" s="6" t="e">
        <f>INDEX(商业2转码!$B$2:$B$10000,MATCH(E2699,商业2转码!$A$2:$A$10000,0))</f>
        <v>#N/A</v>
      </c>
      <c r="G2699" s="6">
        <f>INDEX(品种2编码!$A$2:$A$1048576,MATCH(W2699,品种2编码!$D$2:$D$1048576,0))</f>
        <v>0</v>
      </c>
      <c r="H2699" s="6" t="s">
        <v>3740</v>
      </c>
      <c r="I2699" s="6" t="s">
        <v>3751</v>
      </c>
      <c r="J2699" s="6" t="s">
        <v>3754</v>
      </c>
      <c r="L2699" s="6" t="s">
        <v>3688</v>
      </c>
      <c r="M2699" s="6" t="e">
        <f>INDEX(医院2县区2人!$B$2:$B$1048576,MATCH(L2699,医院2县区2人!$A$2:$A$1048576,0))</f>
        <v>#N/A</v>
      </c>
      <c r="N2699" s="6" t="e">
        <f>INDEX(医院2县区2人!$C$2:$C$1048576,MATCH(L2699,医院2县区2人!$A$2:$A$1048576,0))</f>
        <v>#N/A</v>
      </c>
      <c r="P2699" s="7">
        <v>43266</v>
      </c>
      <c r="Q2699" s="6">
        <v>3</v>
      </c>
      <c r="S2699" s="6">
        <v>20180101</v>
      </c>
      <c r="T2699" s="6" t="e">
        <f>INDEX(医院2县区2人!$D$2:$D$1048576,MATCH(L2699,医院2县区2人!$A$2:$A$1048576,0))</f>
        <v>#N/A</v>
      </c>
      <c r="W2699" s="6" t="str">
        <f t="shared" si="87"/>
        <v>逐瘀通脉胶囊0.2g*18粒</v>
      </c>
      <c r="X2699" s="6" t="s">
        <v>2901</v>
      </c>
    </row>
    <row r="2700" spans="1:24" x14ac:dyDescent="0.15">
      <c r="A2700" s="7" t="str">
        <f t="shared" si="88"/>
        <v>201806</v>
      </c>
      <c r="C2700" s="6" t="str">
        <f>INDEX(工厂基础数据!$A$2:$A$1024,MATCH(X2700,工厂基础数据!$D$2:$D$1024,0))</f>
        <v>02037769</v>
      </c>
      <c r="E2700" s="6" t="str">
        <f>INDEX(工厂基础数据!$B$2:$B$1024,MATCH(X2700,工厂基础数据!$D$2:$D$1024,0))</f>
        <v>山东海川医药有限公司</v>
      </c>
      <c r="F2700" s="6" t="e">
        <f>INDEX(商业2转码!$B$2:$B$10000,MATCH(E2700,商业2转码!$A$2:$A$10000,0))</f>
        <v>#N/A</v>
      </c>
      <c r="G2700" s="6" t="str">
        <f>INDEX(品种2编码!$A$2:$A$1048576,MATCH(W2700,品种2编码!$D$2:$D$1048576,0))</f>
        <v>0020030040ZYLC0001</v>
      </c>
      <c r="H2700" s="6" t="s">
        <v>1953</v>
      </c>
      <c r="I2700" s="6" t="s">
        <v>1954</v>
      </c>
      <c r="J2700" s="6" t="s">
        <v>3036</v>
      </c>
      <c r="L2700" s="6" t="s">
        <v>3696</v>
      </c>
      <c r="M2700" s="6" t="e">
        <f>INDEX(医院2县区2人!$B$2:$B$1048576,MATCH(L2700,医院2县区2人!$A$2:$A$1048576,0))</f>
        <v>#N/A</v>
      </c>
      <c r="N2700" s="6" t="e">
        <f>INDEX(医院2县区2人!$C$2:$C$1048576,MATCH(L2700,医院2县区2人!$A$2:$A$1048576,0))</f>
        <v>#N/A</v>
      </c>
      <c r="P2700" s="7">
        <v>43266</v>
      </c>
      <c r="Q2700" s="6">
        <v>5</v>
      </c>
      <c r="S2700" s="6">
        <v>180137</v>
      </c>
      <c r="T2700" s="6" t="e">
        <f>INDEX(医院2县区2人!$D$2:$D$1048576,MATCH(L2700,医院2县区2人!$A$2:$A$1048576,0))</f>
        <v>#N/A</v>
      </c>
      <c r="W2700" s="6" t="str">
        <f t="shared" si="87"/>
        <v>小儿氨酚黄那敏颗粒12袋</v>
      </c>
      <c r="X2700" s="6" t="s">
        <v>2901</v>
      </c>
    </row>
    <row r="2701" spans="1:24" x14ac:dyDescent="0.15">
      <c r="A2701" s="7" t="str">
        <f t="shared" si="88"/>
        <v>201806</v>
      </c>
      <c r="C2701" s="6" t="str">
        <f>INDEX(工厂基础数据!$A$2:$A$1024,MATCH(X2701,工厂基础数据!$D$2:$D$1024,0))</f>
        <v>02037769</v>
      </c>
      <c r="E2701" s="6" t="str">
        <f>INDEX(工厂基础数据!$B$2:$B$1024,MATCH(X2701,工厂基础数据!$D$2:$D$1024,0))</f>
        <v>山东海川医药有限公司</v>
      </c>
      <c r="F2701" s="6" t="e">
        <f>INDEX(商业2转码!$B$2:$B$10000,MATCH(E2701,商业2转码!$A$2:$A$10000,0))</f>
        <v>#N/A</v>
      </c>
      <c r="G2701" s="6">
        <f>INDEX(品种2编码!$A$2:$A$1048576,MATCH(W2701,品种2编码!$D$2:$D$1048576,0))</f>
        <v>0</v>
      </c>
      <c r="H2701" s="6" t="s">
        <v>1885</v>
      </c>
      <c r="I2701" s="6" t="s">
        <v>1838</v>
      </c>
      <c r="J2701" s="6" t="s">
        <v>3036</v>
      </c>
      <c r="L2701" s="6" t="s">
        <v>3635</v>
      </c>
      <c r="M2701" s="6" t="e">
        <f>INDEX(医院2县区2人!$B$2:$B$1048576,MATCH(L2701,医院2县区2人!$A$2:$A$1048576,0))</f>
        <v>#N/A</v>
      </c>
      <c r="N2701" s="6" t="e">
        <f>INDEX(医院2县区2人!$C$2:$C$1048576,MATCH(L2701,医院2县区2人!$A$2:$A$1048576,0))</f>
        <v>#N/A</v>
      </c>
      <c r="P2701" s="7">
        <v>43266</v>
      </c>
      <c r="Q2701" s="6">
        <v>3</v>
      </c>
      <c r="S2701" s="6">
        <v>180105</v>
      </c>
      <c r="T2701" s="6" t="e">
        <f>INDEX(医院2县区2人!$D$2:$D$1048576,MATCH(L2701,医院2县区2人!$A$2:$A$1048576,0))</f>
        <v>#N/A</v>
      </c>
      <c r="W2701" s="6" t="str">
        <f t="shared" si="87"/>
        <v>新盖中盖高钙片2.5g*36片</v>
      </c>
      <c r="X2701" s="6" t="s">
        <v>2901</v>
      </c>
    </row>
    <row r="2702" spans="1:24" x14ac:dyDescent="0.15">
      <c r="A2702" s="7" t="str">
        <f t="shared" si="88"/>
        <v>201806</v>
      </c>
      <c r="C2702" s="6" t="str">
        <f>INDEX(工厂基础数据!$A$2:$A$1024,MATCH(X2702,工厂基础数据!$D$2:$D$1024,0))</f>
        <v>02037769</v>
      </c>
      <c r="E2702" s="6" t="str">
        <f>INDEX(工厂基础数据!$B$2:$B$1024,MATCH(X2702,工厂基础数据!$D$2:$D$1024,0))</f>
        <v>山东海川医药有限公司</v>
      </c>
      <c r="F2702" s="6" t="e">
        <f>INDEX(商业2转码!$B$2:$B$10000,MATCH(E2702,商业2转码!$A$2:$A$10000,0))</f>
        <v>#N/A</v>
      </c>
      <c r="G2702" s="6">
        <f>INDEX(品种2编码!$A$2:$A$1048576,MATCH(W2702,品种2编码!$D$2:$D$1048576,0))</f>
        <v>0</v>
      </c>
      <c r="H2702" s="6" t="s">
        <v>1885</v>
      </c>
      <c r="I2702" s="6" t="s">
        <v>1838</v>
      </c>
      <c r="J2702" s="6" t="s">
        <v>3036</v>
      </c>
      <c r="L2702" s="6" t="s">
        <v>3696</v>
      </c>
      <c r="M2702" s="6" t="e">
        <f>INDEX(医院2县区2人!$B$2:$B$1048576,MATCH(L2702,医院2县区2人!$A$2:$A$1048576,0))</f>
        <v>#N/A</v>
      </c>
      <c r="N2702" s="6" t="e">
        <f>INDEX(医院2县区2人!$C$2:$C$1048576,MATCH(L2702,医院2县区2人!$A$2:$A$1048576,0))</f>
        <v>#N/A</v>
      </c>
      <c r="P2702" s="7">
        <v>43266</v>
      </c>
      <c r="Q2702" s="6">
        <v>3</v>
      </c>
      <c r="S2702" s="6">
        <v>180105</v>
      </c>
      <c r="T2702" s="6" t="e">
        <f>INDEX(医院2县区2人!$D$2:$D$1048576,MATCH(L2702,医院2县区2人!$A$2:$A$1048576,0))</f>
        <v>#N/A</v>
      </c>
      <c r="W2702" s="6" t="str">
        <f t="shared" si="87"/>
        <v>新盖中盖高钙片2.5g*36片</v>
      </c>
      <c r="X2702" s="6" t="s">
        <v>2901</v>
      </c>
    </row>
    <row r="2703" spans="1:24" x14ac:dyDescent="0.15">
      <c r="A2703" s="7" t="str">
        <f t="shared" si="88"/>
        <v>201806</v>
      </c>
      <c r="C2703" s="6" t="str">
        <f>INDEX(工厂基础数据!$A$2:$A$1024,MATCH(X2703,工厂基础数据!$D$2:$D$1024,0))</f>
        <v>02037769</v>
      </c>
      <c r="E2703" s="6" t="str">
        <f>INDEX(工厂基础数据!$B$2:$B$1024,MATCH(X2703,工厂基础数据!$D$2:$D$1024,0))</f>
        <v>山东海川医药有限公司</v>
      </c>
      <c r="F2703" s="6" t="e">
        <f>INDEX(商业2转码!$B$2:$B$10000,MATCH(E2703,商业2转码!$A$2:$A$10000,0))</f>
        <v>#N/A</v>
      </c>
      <c r="G2703" s="6" t="str">
        <f>INDEX(品种2编码!$A$2:$A$1048576,MATCH(W2703,品种2编码!$D$2:$D$1048576,0))</f>
        <v>0020030001SJZY0006</v>
      </c>
      <c r="H2703" s="6" t="s">
        <v>1833</v>
      </c>
      <c r="I2703" s="6" t="s">
        <v>411</v>
      </c>
      <c r="J2703" s="6" t="s">
        <v>3044</v>
      </c>
      <c r="L2703" s="6" t="s">
        <v>3641</v>
      </c>
      <c r="M2703" s="6" t="e">
        <f>INDEX(医院2县区2人!$B$2:$B$1048576,MATCH(L2703,医院2县区2人!$A$2:$A$1048576,0))</f>
        <v>#N/A</v>
      </c>
      <c r="N2703" s="6" t="e">
        <f>INDEX(医院2县区2人!$C$2:$C$1048576,MATCH(L2703,医院2县区2人!$A$2:$A$1048576,0))</f>
        <v>#N/A</v>
      </c>
      <c r="P2703" s="7">
        <v>43266</v>
      </c>
      <c r="Q2703" s="6">
        <v>2</v>
      </c>
      <c r="S2703" s="6">
        <v>18030532</v>
      </c>
      <c r="T2703" s="6" t="e">
        <f>INDEX(医院2县区2人!$D$2:$D$1048576,MATCH(L2703,医院2县区2人!$A$2:$A$1048576,0))</f>
        <v>#N/A</v>
      </c>
      <c r="W2703" s="6" t="str">
        <f t="shared" si="87"/>
        <v>葡萄糖酸钙口服溶液10ml*12支</v>
      </c>
      <c r="X2703" s="6" t="s">
        <v>2901</v>
      </c>
    </row>
    <row r="2704" spans="1:24" x14ac:dyDescent="0.15">
      <c r="A2704" s="7" t="str">
        <f t="shared" si="88"/>
        <v>201806</v>
      </c>
      <c r="C2704" s="6" t="str">
        <f>INDEX(工厂基础数据!$A$2:$A$1024,MATCH(X2704,工厂基础数据!$D$2:$D$1024,0))</f>
        <v>02037769</v>
      </c>
      <c r="E2704" s="6" t="str">
        <f>INDEX(工厂基础数据!$B$2:$B$1024,MATCH(X2704,工厂基础数据!$D$2:$D$1024,0))</f>
        <v>山东海川医药有限公司</v>
      </c>
      <c r="F2704" s="6" t="e">
        <f>INDEX(商业2转码!$B$2:$B$10000,MATCH(E2704,商业2转码!$A$2:$A$10000,0))</f>
        <v>#N/A</v>
      </c>
      <c r="G2704" s="6" t="str">
        <f>INDEX(品种2编码!$A$2:$A$1048576,MATCH(W2704,品种2编码!$D$2:$D$1048576,0))</f>
        <v>0020030001SJZY0009</v>
      </c>
      <c r="H2704" s="6" t="s">
        <v>1949</v>
      </c>
      <c r="I2704" s="6" t="s">
        <v>411</v>
      </c>
      <c r="J2704" s="6" t="s">
        <v>3040</v>
      </c>
      <c r="L2704" s="6" t="s">
        <v>3641</v>
      </c>
      <c r="M2704" s="6" t="e">
        <f>INDEX(医院2县区2人!$B$2:$B$1048576,MATCH(L2704,医院2县区2人!$A$2:$A$1048576,0))</f>
        <v>#N/A</v>
      </c>
      <c r="N2704" s="6" t="e">
        <f>INDEX(医院2县区2人!$C$2:$C$1048576,MATCH(L2704,医院2县区2人!$A$2:$A$1048576,0))</f>
        <v>#N/A</v>
      </c>
      <c r="P2704" s="7">
        <v>43266</v>
      </c>
      <c r="Q2704" s="6">
        <v>2</v>
      </c>
      <c r="S2704" s="6">
        <v>18031227</v>
      </c>
      <c r="T2704" s="6" t="e">
        <f>INDEX(医院2县区2人!$D$2:$D$1048576,MATCH(L2704,医院2县区2人!$A$2:$A$1048576,0))</f>
        <v>#N/A</v>
      </c>
      <c r="W2704" s="6" t="str">
        <f t="shared" si="87"/>
        <v>葡萄糖酸锌口服溶液10ml*12支</v>
      </c>
      <c r="X2704" s="6" t="s">
        <v>2901</v>
      </c>
    </row>
    <row r="2705" spans="1:24" x14ac:dyDescent="0.15">
      <c r="A2705" s="7" t="str">
        <f t="shared" si="88"/>
        <v>201806</v>
      </c>
      <c r="C2705" s="6" t="str">
        <f>INDEX(工厂基础数据!$A$2:$A$1024,MATCH(X2705,工厂基础数据!$D$2:$D$1024,0))</f>
        <v>02037769</v>
      </c>
      <c r="E2705" s="6" t="str">
        <f>INDEX(工厂基础数据!$B$2:$B$1024,MATCH(X2705,工厂基础数据!$D$2:$D$1024,0))</f>
        <v>山东海川医药有限公司</v>
      </c>
      <c r="F2705" s="6" t="e">
        <f>INDEX(商业2转码!$B$2:$B$10000,MATCH(E2705,商业2转码!$A$2:$A$10000,0))</f>
        <v>#N/A</v>
      </c>
      <c r="G2705" s="6" t="str">
        <f>INDEX(品种2编码!$A$2:$A$1048576,MATCH(W2705,品种2编码!$D$2:$D$1048576,0))</f>
        <v>0020030001SJZY0006</v>
      </c>
      <c r="H2705" s="6" t="s">
        <v>1833</v>
      </c>
      <c r="I2705" s="6" t="s">
        <v>411</v>
      </c>
      <c r="J2705" s="6" t="s">
        <v>3044</v>
      </c>
      <c r="L2705" s="6" t="s">
        <v>3673</v>
      </c>
      <c r="M2705" s="6" t="e">
        <f>INDEX(医院2县区2人!$B$2:$B$1048576,MATCH(L2705,医院2县区2人!$A$2:$A$1048576,0))</f>
        <v>#N/A</v>
      </c>
      <c r="N2705" s="6" t="e">
        <f>INDEX(医院2县区2人!$C$2:$C$1048576,MATCH(L2705,医院2县区2人!$A$2:$A$1048576,0))</f>
        <v>#N/A</v>
      </c>
      <c r="P2705" s="7">
        <v>43266</v>
      </c>
      <c r="Q2705" s="6">
        <v>5</v>
      </c>
      <c r="S2705" s="6">
        <v>18030532</v>
      </c>
      <c r="T2705" s="6" t="e">
        <f>INDEX(医院2县区2人!$D$2:$D$1048576,MATCH(L2705,医院2县区2人!$A$2:$A$1048576,0))</f>
        <v>#N/A</v>
      </c>
      <c r="W2705" s="6" t="str">
        <f t="shared" si="87"/>
        <v>葡萄糖酸钙口服溶液10ml*12支</v>
      </c>
      <c r="X2705" s="6" t="s">
        <v>2901</v>
      </c>
    </row>
    <row r="2706" spans="1:24" x14ac:dyDescent="0.15">
      <c r="A2706" s="7" t="str">
        <f t="shared" si="88"/>
        <v>201806</v>
      </c>
      <c r="C2706" s="6" t="str">
        <f>INDEX(工厂基础数据!$A$2:$A$1024,MATCH(X2706,工厂基础数据!$D$2:$D$1024,0))</f>
        <v>02037769</v>
      </c>
      <c r="E2706" s="6" t="str">
        <f>INDEX(工厂基础数据!$B$2:$B$1024,MATCH(X2706,工厂基础数据!$D$2:$D$1024,0))</f>
        <v>山东海川医药有限公司</v>
      </c>
      <c r="F2706" s="6" t="e">
        <f>INDEX(商业2转码!$B$2:$B$10000,MATCH(E2706,商业2转码!$A$2:$A$10000,0))</f>
        <v>#N/A</v>
      </c>
      <c r="G2706" s="6" t="str">
        <f>INDEX(品种2编码!$A$2:$A$1048576,MATCH(W2706,品种2编码!$D$2:$D$1048576,0))</f>
        <v>0020030001SJZY0009</v>
      </c>
      <c r="H2706" s="6" t="s">
        <v>1949</v>
      </c>
      <c r="I2706" s="6" t="s">
        <v>411</v>
      </c>
      <c r="J2706" s="6" t="s">
        <v>3040</v>
      </c>
      <c r="L2706" s="6" t="s">
        <v>3697</v>
      </c>
      <c r="M2706" s="6" t="e">
        <f>INDEX(医院2县区2人!$B$2:$B$1048576,MATCH(L2706,医院2县区2人!$A$2:$A$1048576,0))</f>
        <v>#N/A</v>
      </c>
      <c r="N2706" s="6" t="e">
        <f>INDEX(医院2县区2人!$C$2:$C$1048576,MATCH(L2706,医院2县区2人!$A$2:$A$1048576,0))</f>
        <v>#N/A</v>
      </c>
      <c r="P2706" s="7">
        <v>43267</v>
      </c>
      <c r="Q2706" s="6">
        <v>5</v>
      </c>
      <c r="S2706" s="6">
        <v>18031227</v>
      </c>
      <c r="T2706" s="6" t="e">
        <f>INDEX(医院2县区2人!$D$2:$D$1048576,MATCH(L2706,医院2县区2人!$A$2:$A$1048576,0))</f>
        <v>#N/A</v>
      </c>
      <c r="W2706" s="6" t="str">
        <f t="shared" si="87"/>
        <v>葡萄糖酸锌口服溶液10ml*12支</v>
      </c>
      <c r="X2706" s="6" t="s">
        <v>2901</v>
      </c>
    </row>
    <row r="2707" spans="1:24" x14ac:dyDescent="0.15">
      <c r="A2707" s="7" t="str">
        <f t="shared" si="88"/>
        <v>201806</v>
      </c>
      <c r="C2707" s="6" t="str">
        <f>INDEX(工厂基础数据!$A$2:$A$1024,MATCH(X2707,工厂基础数据!$D$2:$D$1024,0))</f>
        <v>02037769</v>
      </c>
      <c r="E2707" s="6" t="str">
        <f>INDEX(工厂基础数据!$B$2:$B$1024,MATCH(X2707,工厂基础数据!$D$2:$D$1024,0))</f>
        <v>山东海川医药有限公司</v>
      </c>
      <c r="F2707" s="6" t="e">
        <f>INDEX(商业2转码!$B$2:$B$10000,MATCH(E2707,商业2转码!$A$2:$A$10000,0))</f>
        <v>#N/A</v>
      </c>
      <c r="G2707" s="6">
        <f>INDEX(品种2编码!$A$2:$A$1048576,MATCH(W2707,品种2编码!$D$2:$D$1048576,0))</f>
        <v>0</v>
      </c>
      <c r="H2707" s="6" t="s">
        <v>3745</v>
      </c>
      <c r="I2707" s="6" t="s">
        <v>1869</v>
      </c>
      <c r="J2707" s="6" t="s">
        <v>3036</v>
      </c>
      <c r="L2707" s="6" t="s">
        <v>3655</v>
      </c>
      <c r="M2707" s="6" t="e">
        <f>INDEX(医院2县区2人!$B$2:$B$1048576,MATCH(L2707,医院2县区2人!$A$2:$A$1048576,0))</f>
        <v>#N/A</v>
      </c>
      <c r="N2707" s="6" t="e">
        <f>INDEX(医院2县区2人!$C$2:$C$1048576,MATCH(L2707,医院2县区2人!$A$2:$A$1048576,0))</f>
        <v>#N/A</v>
      </c>
      <c r="P2707" s="7">
        <v>43267</v>
      </c>
      <c r="Q2707" s="6">
        <v>2</v>
      </c>
      <c r="S2707" s="6">
        <v>160506</v>
      </c>
      <c r="T2707" s="6" t="e">
        <f>INDEX(医院2县区2人!$D$2:$D$1048576,MATCH(L2707,医院2县区2人!$A$2:$A$1048576,0))</f>
        <v>#N/A</v>
      </c>
      <c r="W2707" s="6" t="str">
        <f t="shared" si="87"/>
        <v>罗红霉素分散片（成人）75mg*12片</v>
      </c>
      <c r="X2707" s="6" t="s">
        <v>2901</v>
      </c>
    </row>
    <row r="2708" spans="1:24" x14ac:dyDescent="0.15">
      <c r="A2708" s="7" t="str">
        <f t="shared" si="88"/>
        <v>201806</v>
      </c>
      <c r="C2708" s="6" t="str">
        <f>INDEX(工厂基础数据!$A$2:$A$1024,MATCH(X2708,工厂基础数据!$D$2:$D$1024,0))</f>
        <v>02037769</v>
      </c>
      <c r="E2708" s="6" t="str">
        <f>INDEX(工厂基础数据!$B$2:$B$1024,MATCH(X2708,工厂基础数据!$D$2:$D$1024,0))</f>
        <v>山东海川医药有限公司</v>
      </c>
      <c r="F2708" s="6" t="e">
        <f>INDEX(商业2转码!$B$2:$B$10000,MATCH(E2708,商业2转码!$A$2:$A$10000,0))</f>
        <v>#N/A</v>
      </c>
      <c r="G2708" s="6" t="str">
        <f>INDEX(品种2编码!$A$2:$A$1048576,MATCH(W2708,品种2编码!$D$2:$D$1048576,0))</f>
        <v>0020070001ZYZC0377</v>
      </c>
      <c r="H2708" s="6" t="s">
        <v>1849</v>
      </c>
      <c r="I2708" s="6" t="s">
        <v>1887</v>
      </c>
      <c r="J2708" s="6" t="s">
        <v>3038</v>
      </c>
      <c r="L2708" s="6" t="s">
        <v>3631</v>
      </c>
      <c r="M2708" s="6" t="e">
        <f>INDEX(医院2县区2人!$B$2:$B$1048576,MATCH(L2708,医院2县区2人!$A$2:$A$1048576,0))</f>
        <v>#N/A</v>
      </c>
      <c r="N2708" s="6" t="e">
        <f>INDEX(医院2县区2人!$C$2:$C$1048576,MATCH(L2708,医院2县区2人!$A$2:$A$1048576,0))</f>
        <v>#N/A</v>
      </c>
      <c r="P2708" s="7">
        <v>43267</v>
      </c>
      <c r="Q2708" s="6">
        <v>5</v>
      </c>
      <c r="S2708" s="6">
        <v>1801042</v>
      </c>
      <c r="T2708" s="6" t="e">
        <f>INDEX(医院2县区2人!$D$2:$D$1048576,MATCH(L2708,医院2县区2人!$A$2:$A$1048576,0))</f>
        <v>#N/A</v>
      </c>
      <c r="W2708" s="6" t="str">
        <f t="shared" si="87"/>
        <v>哈药牌钙铁锌口服液10ml*15支</v>
      </c>
      <c r="X2708" s="6" t="s">
        <v>2901</v>
      </c>
    </row>
    <row r="2709" spans="1:24" x14ac:dyDescent="0.15">
      <c r="A2709" s="7" t="str">
        <f t="shared" si="88"/>
        <v>201806</v>
      </c>
      <c r="C2709" s="6" t="str">
        <f>INDEX(工厂基础数据!$A$2:$A$1024,MATCH(X2709,工厂基础数据!$D$2:$D$1024,0))</f>
        <v>02037769</v>
      </c>
      <c r="E2709" s="6" t="str">
        <f>INDEX(工厂基础数据!$B$2:$B$1024,MATCH(X2709,工厂基础数据!$D$2:$D$1024,0))</f>
        <v>山东海川医药有限公司</v>
      </c>
      <c r="F2709" s="6" t="e">
        <f>INDEX(商业2转码!$B$2:$B$10000,MATCH(E2709,商业2转码!$A$2:$A$10000,0))</f>
        <v>#N/A</v>
      </c>
      <c r="G2709" s="6">
        <f>INDEX(品种2编码!$A$2:$A$1048576,MATCH(W2709,品种2编码!$D$2:$D$1048576,0))</f>
        <v>0</v>
      </c>
      <c r="H2709" s="6" t="s">
        <v>3740</v>
      </c>
      <c r="I2709" s="6" t="s">
        <v>3751</v>
      </c>
      <c r="J2709" s="6" t="s">
        <v>3754</v>
      </c>
      <c r="L2709" s="6" t="s">
        <v>3664</v>
      </c>
      <c r="M2709" s="6" t="e">
        <f>INDEX(医院2县区2人!$B$2:$B$1048576,MATCH(L2709,医院2县区2人!$A$2:$A$1048576,0))</f>
        <v>#N/A</v>
      </c>
      <c r="N2709" s="6" t="e">
        <f>INDEX(医院2县区2人!$C$2:$C$1048576,MATCH(L2709,医院2县区2人!$A$2:$A$1048576,0))</f>
        <v>#N/A</v>
      </c>
      <c r="P2709" s="7">
        <v>43267</v>
      </c>
      <c r="Q2709" s="6">
        <v>4</v>
      </c>
      <c r="S2709" s="6">
        <v>20180101</v>
      </c>
      <c r="T2709" s="6" t="e">
        <f>INDEX(医院2县区2人!$D$2:$D$1048576,MATCH(L2709,医院2县区2人!$A$2:$A$1048576,0))</f>
        <v>#N/A</v>
      </c>
      <c r="W2709" s="6" t="str">
        <f t="shared" si="87"/>
        <v>逐瘀通脉胶囊0.2g*18粒</v>
      </c>
      <c r="X2709" s="6" t="s">
        <v>2901</v>
      </c>
    </row>
    <row r="2710" spans="1:24" x14ac:dyDescent="0.15">
      <c r="A2710" s="7" t="str">
        <f t="shared" si="88"/>
        <v>201806</v>
      </c>
      <c r="C2710" s="6" t="str">
        <f>INDEX(工厂基础数据!$A$2:$A$1024,MATCH(X2710,工厂基础数据!$D$2:$D$1024,0))</f>
        <v>02037769</v>
      </c>
      <c r="E2710" s="6" t="str">
        <f>INDEX(工厂基础数据!$B$2:$B$1024,MATCH(X2710,工厂基础数据!$D$2:$D$1024,0))</f>
        <v>山东海川医药有限公司</v>
      </c>
      <c r="F2710" s="6" t="e">
        <f>INDEX(商业2转码!$B$2:$B$10000,MATCH(E2710,商业2转码!$A$2:$A$10000,0))</f>
        <v>#N/A</v>
      </c>
      <c r="G2710" s="6">
        <f>INDEX(品种2编码!$A$2:$A$1048576,MATCH(W2710,品种2编码!$D$2:$D$1048576,0))</f>
        <v>0</v>
      </c>
      <c r="H2710" s="6" t="s">
        <v>1885</v>
      </c>
      <c r="I2710" s="6" t="s">
        <v>1838</v>
      </c>
      <c r="J2710" s="6" t="s">
        <v>3036</v>
      </c>
      <c r="L2710" s="6" t="s">
        <v>3669</v>
      </c>
      <c r="M2710" s="6" t="e">
        <f>INDEX(医院2县区2人!$B$2:$B$1048576,MATCH(L2710,医院2县区2人!$A$2:$A$1048576,0))</f>
        <v>#N/A</v>
      </c>
      <c r="N2710" s="6" t="e">
        <f>INDEX(医院2县区2人!$C$2:$C$1048576,MATCH(L2710,医院2县区2人!$A$2:$A$1048576,0))</f>
        <v>#N/A</v>
      </c>
      <c r="P2710" s="7">
        <v>43267</v>
      </c>
      <c r="Q2710" s="6">
        <v>2</v>
      </c>
      <c r="S2710" s="6">
        <v>180105</v>
      </c>
      <c r="T2710" s="6" t="e">
        <f>INDEX(医院2县区2人!$D$2:$D$1048576,MATCH(L2710,医院2县区2人!$A$2:$A$1048576,0))</f>
        <v>#N/A</v>
      </c>
      <c r="W2710" s="6" t="str">
        <f t="shared" si="87"/>
        <v>新盖中盖高钙片2.5g*36片</v>
      </c>
      <c r="X2710" s="6" t="s">
        <v>2901</v>
      </c>
    </row>
    <row r="2711" spans="1:24" x14ac:dyDescent="0.15">
      <c r="A2711" s="7" t="str">
        <f t="shared" si="88"/>
        <v>201806</v>
      </c>
      <c r="C2711" s="6" t="str">
        <f>INDEX(工厂基础数据!$A$2:$A$1024,MATCH(X2711,工厂基础数据!$D$2:$D$1024,0))</f>
        <v>02037769</v>
      </c>
      <c r="E2711" s="6" t="str">
        <f>INDEX(工厂基础数据!$B$2:$B$1024,MATCH(X2711,工厂基础数据!$D$2:$D$1024,0))</f>
        <v>山东海川医药有限公司</v>
      </c>
      <c r="F2711" s="6" t="e">
        <f>INDEX(商业2转码!$B$2:$B$10000,MATCH(E2711,商业2转码!$A$2:$A$10000,0))</f>
        <v>#N/A</v>
      </c>
      <c r="G2711" s="6">
        <f>INDEX(品种2编码!$A$2:$A$1048576,MATCH(W2711,品种2编码!$D$2:$D$1048576,0))</f>
        <v>0</v>
      </c>
      <c r="H2711" s="6" t="s">
        <v>3744</v>
      </c>
      <c r="I2711" s="6" t="s">
        <v>3752</v>
      </c>
      <c r="J2711" s="6" t="s">
        <v>3038</v>
      </c>
      <c r="L2711" s="6" t="s">
        <v>3624</v>
      </c>
      <c r="M2711" s="6" t="e">
        <f>INDEX(医院2县区2人!$B$2:$B$1048576,MATCH(L2711,医院2县区2人!$A$2:$A$1048576,0))</f>
        <v>#N/A</v>
      </c>
      <c r="N2711" s="6" t="e">
        <f>INDEX(医院2县区2人!$C$2:$C$1048576,MATCH(L2711,医院2县区2人!$A$2:$A$1048576,0))</f>
        <v>#N/A</v>
      </c>
      <c r="P2711" s="7">
        <v>43268</v>
      </c>
      <c r="Q2711" s="6">
        <v>10</v>
      </c>
      <c r="S2711" s="6">
        <v>180103</v>
      </c>
      <c r="T2711" s="6" t="e">
        <f>INDEX(医院2县区2人!$D$2:$D$1048576,MATCH(L2711,医院2县区2人!$A$2:$A$1048576,0))</f>
        <v>#N/A</v>
      </c>
      <c r="W2711" s="6" t="str">
        <f t="shared" si="87"/>
        <v>哈药痛可贴腰椎型4贴</v>
      </c>
      <c r="X2711" s="6" t="s">
        <v>2901</v>
      </c>
    </row>
    <row r="2712" spans="1:24" x14ac:dyDescent="0.15">
      <c r="A2712" s="7" t="str">
        <f t="shared" si="88"/>
        <v>201806</v>
      </c>
      <c r="C2712" s="6" t="str">
        <f>INDEX(工厂基础数据!$A$2:$A$1024,MATCH(X2712,工厂基础数据!$D$2:$D$1024,0))</f>
        <v>02037769</v>
      </c>
      <c r="E2712" s="6" t="str">
        <f>INDEX(工厂基础数据!$B$2:$B$1024,MATCH(X2712,工厂基础数据!$D$2:$D$1024,0))</f>
        <v>山东海川医药有限公司</v>
      </c>
      <c r="F2712" s="6" t="e">
        <f>INDEX(商业2转码!$B$2:$B$10000,MATCH(E2712,商业2转码!$A$2:$A$10000,0))</f>
        <v>#N/A</v>
      </c>
      <c r="G2712" s="6" t="str">
        <f>INDEX(品种2编码!$A$2:$A$1048576,MATCH(W2712,品种2编码!$D$2:$D$1048576,0))</f>
        <v>0020070001ZYZC0377</v>
      </c>
      <c r="H2712" s="6" t="s">
        <v>1849</v>
      </c>
      <c r="I2712" s="6" t="s">
        <v>1887</v>
      </c>
      <c r="J2712" s="6" t="s">
        <v>3038</v>
      </c>
      <c r="L2712" s="6" t="s">
        <v>3698</v>
      </c>
      <c r="M2712" s="6" t="e">
        <f>INDEX(医院2县区2人!$B$2:$B$1048576,MATCH(L2712,医院2县区2人!$A$2:$A$1048576,0))</f>
        <v>#N/A</v>
      </c>
      <c r="N2712" s="6" t="e">
        <f>INDEX(医院2县区2人!$C$2:$C$1048576,MATCH(L2712,医院2县区2人!$A$2:$A$1048576,0))</f>
        <v>#N/A</v>
      </c>
      <c r="P2712" s="7">
        <v>43268</v>
      </c>
      <c r="Q2712" s="6">
        <v>5</v>
      </c>
      <c r="S2712" s="6">
        <v>1801042</v>
      </c>
      <c r="T2712" s="6" t="e">
        <f>INDEX(医院2县区2人!$D$2:$D$1048576,MATCH(L2712,医院2县区2人!$A$2:$A$1048576,0))</f>
        <v>#N/A</v>
      </c>
      <c r="W2712" s="6" t="str">
        <f t="shared" si="87"/>
        <v>哈药牌钙铁锌口服液10ml*15支</v>
      </c>
      <c r="X2712" s="6" t="s">
        <v>2901</v>
      </c>
    </row>
    <row r="2713" spans="1:24" x14ac:dyDescent="0.15">
      <c r="A2713" s="7" t="str">
        <f t="shared" si="88"/>
        <v>201806</v>
      </c>
      <c r="C2713" s="6" t="str">
        <f>INDEX(工厂基础数据!$A$2:$A$1024,MATCH(X2713,工厂基础数据!$D$2:$D$1024,0))</f>
        <v>02037769</v>
      </c>
      <c r="E2713" s="6" t="str">
        <f>INDEX(工厂基础数据!$B$2:$B$1024,MATCH(X2713,工厂基础数据!$D$2:$D$1024,0))</f>
        <v>山东海川医药有限公司</v>
      </c>
      <c r="F2713" s="6" t="e">
        <f>INDEX(商业2转码!$B$2:$B$10000,MATCH(E2713,商业2转码!$A$2:$A$10000,0))</f>
        <v>#N/A</v>
      </c>
      <c r="G2713" s="6" t="str">
        <f>INDEX(品种2编码!$A$2:$A$1048576,MATCH(W2713,品种2编码!$D$2:$D$1048576,0))</f>
        <v>0020030001SJZY0006</v>
      </c>
      <c r="H2713" s="6" t="s">
        <v>1833</v>
      </c>
      <c r="I2713" s="6" t="s">
        <v>411</v>
      </c>
      <c r="J2713" s="6" t="s">
        <v>3044</v>
      </c>
      <c r="L2713" s="6" t="s">
        <v>3628</v>
      </c>
      <c r="M2713" s="6" t="e">
        <f>INDEX(医院2县区2人!$B$2:$B$1048576,MATCH(L2713,医院2县区2人!$A$2:$A$1048576,0))</f>
        <v>#N/A</v>
      </c>
      <c r="N2713" s="6" t="e">
        <f>INDEX(医院2县区2人!$C$2:$C$1048576,MATCH(L2713,医院2县区2人!$A$2:$A$1048576,0))</f>
        <v>#N/A</v>
      </c>
      <c r="P2713" s="7">
        <v>43268</v>
      </c>
      <c r="Q2713" s="6">
        <v>5</v>
      </c>
      <c r="S2713" s="6">
        <v>18030532</v>
      </c>
      <c r="T2713" s="6" t="e">
        <f>INDEX(医院2县区2人!$D$2:$D$1048576,MATCH(L2713,医院2县区2人!$A$2:$A$1048576,0))</f>
        <v>#N/A</v>
      </c>
      <c r="W2713" s="6" t="str">
        <f t="shared" si="87"/>
        <v>葡萄糖酸钙口服溶液10ml*12支</v>
      </c>
      <c r="X2713" s="6" t="s">
        <v>2901</v>
      </c>
    </row>
    <row r="2714" spans="1:24" x14ac:dyDescent="0.15">
      <c r="A2714" s="7" t="str">
        <f t="shared" si="88"/>
        <v>201806</v>
      </c>
      <c r="C2714" s="6" t="str">
        <f>INDEX(工厂基础数据!$A$2:$A$1024,MATCH(X2714,工厂基础数据!$D$2:$D$1024,0))</f>
        <v>02037769</v>
      </c>
      <c r="E2714" s="6" t="str">
        <f>INDEX(工厂基础数据!$B$2:$B$1024,MATCH(X2714,工厂基础数据!$D$2:$D$1024,0))</f>
        <v>山东海川医药有限公司</v>
      </c>
      <c r="F2714" s="6" t="e">
        <f>INDEX(商业2转码!$B$2:$B$10000,MATCH(E2714,商业2转码!$A$2:$A$10000,0))</f>
        <v>#N/A</v>
      </c>
      <c r="G2714" s="6">
        <f>INDEX(品种2编码!$A$2:$A$1048576,MATCH(W2714,品种2编码!$D$2:$D$1048576,0))</f>
        <v>0</v>
      </c>
      <c r="H2714" s="6" t="s">
        <v>3739</v>
      </c>
      <c r="I2714" s="6" t="s">
        <v>1910</v>
      </c>
      <c r="J2714" s="6" t="s">
        <v>3037</v>
      </c>
      <c r="L2714" s="6" t="s">
        <v>3629</v>
      </c>
      <c r="M2714" s="6" t="e">
        <f>INDEX(医院2县区2人!$B$2:$B$1048576,MATCH(L2714,医院2县区2人!$A$2:$A$1048576,0))</f>
        <v>#N/A</v>
      </c>
      <c r="N2714" s="6" t="e">
        <f>INDEX(医院2县区2人!$C$2:$C$1048576,MATCH(L2714,医院2县区2人!$A$2:$A$1048576,0))</f>
        <v>#N/A</v>
      </c>
      <c r="P2714" s="7">
        <v>43268</v>
      </c>
      <c r="Q2714" s="6">
        <v>5</v>
      </c>
      <c r="S2714" s="6">
        <v>1711301</v>
      </c>
      <c r="T2714" s="6" t="e">
        <f>INDEX(医院2县区2人!$D$2:$D$1048576,MATCH(L2714,医院2县区2人!$A$2:$A$1048576,0))</f>
        <v>#N/A</v>
      </c>
      <c r="W2714" s="6" t="str">
        <f t="shared" si="87"/>
        <v>牛黄消炎片 24片</v>
      </c>
      <c r="X2714" s="6" t="s">
        <v>2901</v>
      </c>
    </row>
    <row r="2715" spans="1:24" x14ac:dyDescent="0.15">
      <c r="A2715" s="7" t="str">
        <f t="shared" si="88"/>
        <v>201806</v>
      </c>
      <c r="C2715" s="6" t="str">
        <f>INDEX(工厂基础数据!$A$2:$A$1024,MATCH(X2715,工厂基础数据!$D$2:$D$1024,0))</f>
        <v>02037769</v>
      </c>
      <c r="E2715" s="6" t="str">
        <f>INDEX(工厂基础数据!$B$2:$B$1024,MATCH(X2715,工厂基础数据!$D$2:$D$1024,0))</f>
        <v>山东海川医药有限公司</v>
      </c>
      <c r="F2715" s="6" t="e">
        <f>INDEX(商业2转码!$B$2:$B$10000,MATCH(E2715,商业2转码!$A$2:$A$10000,0))</f>
        <v>#N/A</v>
      </c>
      <c r="G2715" s="6">
        <f>INDEX(品种2编码!$A$2:$A$1048576,MATCH(W2715,品种2编码!$D$2:$D$1048576,0))</f>
        <v>0</v>
      </c>
      <c r="H2715" s="6" t="s">
        <v>3744</v>
      </c>
      <c r="I2715" s="6" t="s">
        <v>3752</v>
      </c>
      <c r="J2715" s="6" t="s">
        <v>3038</v>
      </c>
      <c r="L2715" s="6" t="s">
        <v>3699</v>
      </c>
      <c r="M2715" s="6" t="e">
        <f>INDEX(医院2县区2人!$B$2:$B$1048576,MATCH(L2715,医院2县区2人!$A$2:$A$1048576,0))</f>
        <v>#N/A</v>
      </c>
      <c r="N2715" s="6" t="e">
        <f>INDEX(医院2县区2人!$C$2:$C$1048576,MATCH(L2715,医院2县区2人!$A$2:$A$1048576,0))</f>
        <v>#N/A</v>
      </c>
      <c r="P2715" s="7">
        <v>43268</v>
      </c>
      <c r="Q2715" s="6">
        <v>4</v>
      </c>
      <c r="S2715" s="6">
        <v>180103</v>
      </c>
      <c r="T2715" s="6" t="e">
        <f>INDEX(医院2县区2人!$D$2:$D$1048576,MATCH(L2715,医院2县区2人!$A$2:$A$1048576,0))</f>
        <v>#N/A</v>
      </c>
      <c r="W2715" s="6" t="str">
        <f t="shared" si="87"/>
        <v>哈药痛可贴腰椎型4贴</v>
      </c>
      <c r="X2715" s="6" t="s">
        <v>2901</v>
      </c>
    </row>
    <row r="2716" spans="1:24" x14ac:dyDescent="0.15">
      <c r="A2716" s="7" t="str">
        <f t="shared" si="88"/>
        <v>201806</v>
      </c>
      <c r="C2716" s="6" t="str">
        <f>INDEX(工厂基础数据!$A$2:$A$1024,MATCH(X2716,工厂基础数据!$D$2:$D$1024,0))</f>
        <v>02037769</v>
      </c>
      <c r="E2716" s="6" t="str">
        <f>INDEX(工厂基础数据!$B$2:$B$1024,MATCH(X2716,工厂基础数据!$D$2:$D$1024,0))</f>
        <v>山东海川医药有限公司</v>
      </c>
      <c r="F2716" s="6" t="e">
        <f>INDEX(商业2转码!$B$2:$B$10000,MATCH(E2716,商业2转码!$A$2:$A$10000,0))</f>
        <v>#N/A</v>
      </c>
      <c r="G2716" s="6">
        <f>INDEX(品种2编码!$A$2:$A$1048576,MATCH(W2716,品种2编码!$D$2:$D$1048576,0))</f>
        <v>0</v>
      </c>
      <c r="H2716" s="6" t="s">
        <v>3744</v>
      </c>
      <c r="I2716" s="6" t="s">
        <v>3752</v>
      </c>
      <c r="J2716" s="6" t="s">
        <v>3038</v>
      </c>
      <c r="L2716" s="6" t="s">
        <v>3699</v>
      </c>
      <c r="M2716" s="6" t="e">
        <f>INDEX(医院2县区2人!$B$2:$B$1048576,MATCH(L2716,医院2县区2人!$A$2:$A$1048576,0))</f>
        <v>#N/A</v>
      </c>
      <c r="N2716" s="6" t="e">
        <f>INDEX(医院2县区2人!$C$2:$C$1048576,MATCH(L2716,医院2县区2人!$A$2:$A$1048576,0))</f>
        <v>#N/A</v>
      </c>
      <c r="P2716" s="7">
        <v>43268</v>
      </c>
      <c r="Q2716" s="6">
        <v>1</v>
      </c>
      <c r="S2716" s="6">
        <v>180103</v>
      </c>
      <c r="T2716" s="6" t="e">
        <f>INDEX(医院2县区2人!$D$2:$D$1048576,MATCH(L2716,医院2县区2人!$A$2:$A$1048576,0))</f>
        <v>#N/A</v>
      </c>
      <c r="W2716" s="6" t="str">
        <f t="shared" si="87"/>
        <v>哈药痛可贴腰椎型4贴</v>
      </c>
      <c r="X2716" s="6" t="s">
        <v>2901</v>
      </c>
    </row>
    <row r="2717" spans="1:24" x14ac:dyDescent="0.15">
      <c r="A2717" s="7" t="str">
        <f t="shared" si="88"/>
        <v>201806</v>
      </c>
      <c r="C2717" s="6" t="str">
        <f>INDEX(工厂基础数据!$A$2:$A$1024,MATCH(X2717,工厂基础数据!$D$2:$D$1024,0))</f>
        <v>02037769</v>
      </c>
      <c r="E2717" s="6" t="str">
        <f>INDEX(工厂基础数据!$B$2:$B$1024,MATCH(X2717,工厂基础数据!$D$2:$D$1024,0))</f>
        <v>山东海川医药有限公司</v>
      </c>
      <c r="F2717" s="6" t="e">
        <f>INDEX(商业2转码!$B$2:$B$10000,MATCH(E2717,商业2转码!$A$2:$A$10000,0))</f>
        <v>#N/A</v>
      </c>
      <c r="G2717" s="6" t="str">
        <f>INDEX(品种2编码!$A$2:$A$1048576,MATCH(W2717,品种2编码!$D$2:$D$1048576,0))</f>
        <v>0020030001SJZY0009</v>
      </c>
      <c r="H2717" s="6" t="s">
        <v>1949</v>
      </c>
      <c r="I2717" s="6" t="s">
        <v>411</v>
      </c>
      <c r="J2717" s="6" t="s">
        <v>3040</v>
      </c>
      <c r="L2717" s="6" t="s">
        <v>3699</v>
      </c>
      <c r="M2717" s="6" t="e">
        <f>INDEX(医院2县区2人!$B$2:$B$1048576,MATCH(L2717,医院2县区2人!$A$2:$A$1048576,0))</f>
        <v>#N/A</v>
      </c>
      <c r="N2717" s="6" t="e">
        <f>INDEX(医院2县区2人!$C$2:$C$1048576,MATCH(L2717,医院2县区2人!$A$2:$A$1048576,0))</f>
        <v>#N/A</v>
      </c>
      <c r="P2717" s="7">
        <v>43268</v>
      </c>
      <c r="Q2717" s="6">
        <v>5</v>
      </c>
      <c r="S2717" s="6">
        <v>18031227</v>
      </c>
      <c r="T2717" s="6" t="e">
        <f>INDEX(医院2县区2人!$D$2:$D$1048576,MATCH(L2717,医院2县区2人!$A$2:$A$1048576,0))</f>
        <v>#N/A</v>
      </c>
      <c r="W2717" s="6" t="str">
        <f t="shared" si="87"/>
        <v>葡萄糖酸锌口服溶液10ml*12支</v>
      </c>
      <c r="X2717" s="6" t="s">
        <v>2901</v>
      </c>
    </row>
    <row r="2718" spans="1:24" x14ac:dyDescent="0.15">
      <c r="A2718" s="7" t="str">
        <f t="shared" si="88"/>
        <v>201806</v>
      </c>
      <c r="C2718" s="6" t="str">
        <f>INDEX(工厂基础数据!$A$2:$A$1024,MATCH(X2718,工厂基础数据!$D$2:$D$1024,0))</f>
        <v>02037769</v>
      </c>
      <c r="E2718" s="6" t="str">
        <f>INDEX(工厂基础数据!$B$2:$B$1024,MATCH(X2718,工厂基础数据!$D$2:$D$1024,0))</f>
        <v>山东海川医药有限公司</v>
      </c>
      <c r="F2718" s="6" t="e">
        <f>INDEX(商业2转码!$B$2:$B$10000,MATCH(E2718,商业2转码!$A$2:$A$10000,0))</f>
        <v>#N/A</v>
      </c>
      <c r="G2718" s="6">
        <f>INDEX(品种2编码!$A$2:$A$1048576,MATCH(W2718,品种2编码!$D$2:$D$1048576,0))</f>
        <v>0</v>
      </c>
      <c r="H2718" s="6" t="s">
        <v>3740</v>
      </c>
      <c r="I2718" s="6" t="s">
        <v>3751</v>
      </c>
      <c r="J2718" s="6" t="s">
        <v>3754</v>
      </c>
      <c r="L2718" s="6" t="s">
        <v>3625</v>
      </c>
      <c r="M2718" s="6" t="e">
        <f>INDEX(医院2县区2人!$B$2:$B$1048576,MATCH(L2718,医院2县区2人!$A$2:$A$1048576,0))</f>
        <v>#N/A</v>
      </c>
      <c r="N2718" s="6" t="e">
        <f>INDEX(医院2县区2人!$C$2:$C$1048576,MATCH(L2718,医院2县区2人!$A$2:$A$1048576,0))</f>
        <v>#N/A</v>
      </c>
      <c r="P2718" s="7">
        <v>43268</v>
      </c>
      <c r="Q2718" s="6">
        <v>10</v>
      </c>
      <c r="S2718" s="6">
        <v>20180101</v>
      </c>
      <c r="T2718" s="6" t="e">
        <f>INDEX(医院2县区2人!$D$2:$D$1048576,MATCH(L2718,医院2县区2人!$A$2:$A$1048576,0))</f>
        <v>#N/A</v>
      </c>
      <c r="W2718" s="6" t="str">
        <f t="shared" si="87"/>
        <v>逐瘀通脉胶囊0.2g*18粒</v>
      </c>
      <c r="X2718" s="6" t="s">
        <v>2901</v>
      </c>
    </row>
    <row r="2719" spans="1:24" x14ac:dyDescent="0.15">
      <c r="A2719" s="7" t="str">
        <f t="shared" si="88"/>
        <v>201806</v>
      </c>
      <c r="C2719" s="6" t="str">
        <f>INDEX(工厂基础数据!$A$2:$A$1024,MATCH(X2719,工厂基础数据!$D$2:$D$1024,0))</f>
        <v>02037769</v>
      </c>
      <c r="E2719" s="6" t="str">
        <f>INDEX(工厂基础数据!$B$2:$B$1024,MATCH(X2719,工厂基础数据!$D$2:$D$1024,0))</f>
        <v>山东海川医药有限公司</v>
      </c>
      <c r="F2719" s="6" t="e">
        <f>INDEX(商业2转码!$B$2:$B$10000,MATCH(E2719,商业2转码!$A$2:$A$10000,0))</f>
        <v>#N/A</v>
      </c>
      <c r="G2719" s="6" t="str">
        <f>INDEX(品种2编码!$A$2:$A$1048576,MATCH(W2719,品种2编码!$D$2:$D$1048576,0))</f>
        <v>0020030001SJZY0009</v>
      </c>
      <c r="H2719" s="6" t="s">
        <v>1949</v>
      </c>
      <c r="I2719" s="6" t="s">
        <v>411</v>
      </c>
      <c r="J2719" s="6" t="s">
        <v>3040</v>
      </c>
      <c r="L2719" s="6" t="s">
        <v>3700</v>
      </c>
      <c r="M2719" s="6" t="e">
        <f>INDEX(医院2县区2人!$B$2:$B$1048576,MATCH(L2719,医院2县区2人!$A$2:$A$1048576,0))</f>
        <v>#N/A</v>
      </c>
      <c r="N2719" s="6" t="e">
        <f>INDEX(医院2县区2人!$C$2:$C$1048576,MATCH(L2719,医院2县区2人!$A$2:$A$1048576,0))</f>
        <v>#N/A</v>
      </c>
      <c r="P2719" s="7">
        <v>43268</v>
      </c>
      <c r="Q2719" s="6">
        <v>3</v>
      </c>
      <c r="S2719" s="6">
        <v>18031227</v>
      </c>
      <c r="T2719" s="6" t="e">
        <f>INDEX(医院2县区2人!$D$2:$D$1048576,MATCH(L2719,医院2县区2人!$A$2:$A$1048576,0))</f>
        <v>#N/A</v>
      </c>
      <c r="W2719" s="6" t="str">
        <f t="shared" si="87"/>
        <v>葡萄糖酸锌口服溶液10ml*12支</v>
      </c>
      <c r="X2719" s="6" t="s">
        <v>2901</v>
      </c>
    </row>
    <row r="2720" spans="1:24" x14ac:dyDescent="0.15">
      <c r="A2720" s="7" t="str">
        <f t="shared" si="88"/>
        <v>201806</v>
      </c>
      <c r="C2720" s="6" t="str">
        <f>INDEX(工厂基础数据!$A$2:$A$1024,MATCH(X2720,工厂基础数据!$D$2:$D$1024,0))</f>
        <v>02037769</v>
      </c>
      <c r="E2720" s="6" t="str">
        <f>INDEX(工厂基础数据!$B$2:$B$1024,MATCH(X2720,工厂基础数据!$D$2:$D$1024,0))</f>
        <v>山东海川医药有限公司</v>
      </c>
      <c r="F2720" s="6" t="e">
        <f>INDEX(商业2转码!$B$2:$B$10000,MATCH(E2720,商业2转码!$A$2:$A$10000,0))</f>
        <v>#N/A</v>
      </c>
      <c r="G2720" s="6" t="str">
        <f>INDEX(品种2编码!$A$2:$A$1048576,MATCH(W2720,品种2编码!$D$2:$D$1048576,0))</f>
        <v>0020030020SJSC0004</v>
      </c>
      <c r="H2720" s="6" t="s">
        <v>394</v>
      </c>
      <c r="I2720" s="6" t="s">
        <v>1871</v>
      </c>
      <c r="J2720" s="6" t="s">
        <v>3755</v>
      </c>
      <c r="L2720" s="6" t="s">
        <v>3627</v>
      </c>
      <c r="M2720" s="6" t="e">
        <f>INDEX(医院2县区2人!$B$2:$B$1048576,MATCH(L2720,医院2县区2人!$A$2:$A$1048576,0))</f>
        <v>#N/A</v>
      </c>
      <c r="N2720" s="6" t="e">
        <f>INDEX(医院2县区2人!$C$2:$C$1048576,MATCH(L2720,医院2县区2人!$A$2:$A$1048576,0))</f>
        <v>#N/A</v>
      </c>
      <c r="P2720" s="7">
        <v>43268</v>
      </c>
      <c r="Q2720" s="6">
        <v>2</v>
      </c>
      <c r="S2720" s="6">
        <v>1802021</v>
      </c>
      <c r="T2720" s="6" t="e">
        <f>INDEX(医院2县区2人!$D$2:$D$1048576,MATCH(L2720,医院2县区2人!$A$2:$A$1048576,0))</f>
        <v>#N/A</v>
      </c>
      <c r="W2720" s="6" t="str">
        <f t="shared" si="87"/>
        <v>复方铝酸铋片50片</v>
      </c>
      <c r="X2720" s="6" t="s">
        <v>2901</v>
      </c>
    </row>
    <row r="2721" spans="1:24" x14ac:dyDescent="0.15">
      <c r="A2721" s="7" t="str">
        <f t="shared" si="88"/>
        <v>201806</v>
      </c>
      <c r="C2721" s="6" t="str">
        <f>INDEX(工厂基础数据!$A$2:$A$1024,MATCH(X2721,工厂基础数据!$D$2:$D$1024,0))</f>
        <v>02037769</v>
      </c>
      <c r="E2721" s="6" t="str">
        <f>INDEX(工厂基础数据!$B$2:$B$1024,MATCH(X2721,工厂基础数据!$D$2:$D$1024,0))</f>
        <v>山东海川医药有限公司</v>
      </c>
      <c r="F2721" s="6" t="e">
        <f>INDEX(商业2转码!$B$2:$B$10000,MATCH(E2721,商业2转码!$A$2:$A$10000,0))</f>
        <v>#N/A</v>
      </c>
      <c r="G2721" s="6" t="str">
        <f>INDEX(品种2编码!$A$2:$A$1048576,MATCH(W2721,品种2编码!$D$2:$D$1048576,0))</f>
        <v>0020070001ZYZC0377</v>
      </c>
      <c r="H2721" s="6" t="s">
        <v>1849</v>
      </c>
      <c r="I2721" s="6" t="s">
        <v>1887</v>
      </c>
      <c r="J2721" s="6" t="s">
        <v>3038</v>
      </c>
      <c r="L2721" s="6" t="s">
        <v>3623</v>
      </c>
      <c r="M2721" s="6" t="e">
        <f>INDEX(医院2县区2人!$B$2:$B$1048576,MATCH(L2721,医院2县区2人!$A$2:$A$1048576,0))</f>
        <v>#N/A</v>
      </c>
      <c r="N2721" s="6" t="e">
        <f>INDEX(医院2县区2人!$C$2:$C$1048576,MATCH(L2721,医院2县区2人!$A$2:$A$1048576,0))</f>
        <v>#N/A</v>
      </c>
      <c r="P2721" s="7">
        <v>43268</v>
      </c>
      <c r="Q2721" s="6">
        <v>3</v>
      </c>
      <c r="S2721" s="6">
        <v>1801042</v>
      </c>
      <c r="T2721" s="6" t="e">
        <f>INDEX(医院2县区2人!$D$2:$D$1048576,MATCH(L2721,医院2县区2人!$A$2:$A$1048576,0))</f>
        <v>#N/A</v>
      </c>
      <c r="W2721" s="6" t="str">
        <f t="shared" si="87"/>
        <v>哈药牌钙铁锌口服液10ml*15支</v>
      </c>
      <c r="X2721" s="6" t="s">
        <v>2901</v>
      </c>
    </row>
    <row r="2722" spans="1:24" x14ac:dyDescent="0.15">
      <c r="A2722" s="7" t="str">
        <f t="shared" si="88"/>
        <v>201806</v>
      </c>
      <c r="C2722" s="6" t="str">
        <f>INDEX(工厂基础数据!$A$2:$A$1024,MATCH(X2722,工厂基础数据!$D$2:$D$1024,0))</f>
        <v>02037769</v>
      </c>
      <c r="E2722" s="6" t="str">
        <f>INDEX(工厂基础数据!$B$2:$B$1024,MATCH(X2722,工厂基础数据!$D$2:$D$1024,0))</f>
        <v>山东海川医药有限公司</v>
      </c>
      <c r="F2722" s="6" t="e">
        <f>INDEX(商业2转码!$B$2:$B$10000,MATCH(E2722,商业2转码!$A$2:$A$10000,0))</f>
        <v>#N/A</v>
      </c>
      <c r="G2722" s="6" t="str">
        <f>INDEX(品种2编码!$A$2:$A$1048576,MATCH(W2722,品种2编码!$D$2:$D$1048576,0))</f>
        <v>0020030020SJSC0004</v>
      </c>
      <c r="H2722" s="6" t="s">
        <v>394</v>
      </c>
      <c r="I2722" s="6" t="s">
        <v>1871</v>
      </c>
      <c r="J2722" s="6" t="s">
        <v>3755</v>
      </c>
      <c r="L2722" s="6" t="s">
        <v>3620</v>
      </c>
      <c r="M2722" s="6" t="e">
        <f>INDEX(医院2县区2人!$B$2:$B$1048576,MATCH(L2722,医院2县区2人!$A$2:$A$1048576,0))</f>
        <v>#N/A</v>
      </c>
      <c r="N2722" s="6" t="e">
        <f>INDEX(医院2县区2人!$C$2:$C$1048576,MATCH(L2722,医院2县区2人!$A$2:$A$1048576,0))</f>
        <v>#N/A</v>
      </c>
      <c r="P2722" s="7">
        <v>43268</v>
      </c>
      <c r="Q2722" s="6">
        <v>2</v>
      </c>
      <c r="S2722" s="6">
        <v>1802021</v>
      </c>
      <c r="T2722" s="6" t="e">
        <f>INDEX(医院2县区2人!$D$2:$D$1048576,MATCH(L2722,医院2县区2人!$A$2:$A$1048576,0))</f>
        <v>#N/A</v>
      </c>
      <c r="W2722" s="6" t="str">
        <f t="shared" si="87"/>
        <v>复方铝酸铋片50片</v>
      </c>
      <c r="X2722" s="6" t="s">
        <v>2901</v>
      </c>
    </row>
    <row r="2723" spans="1:24" x14ac:dyDescent="0.15">
      <c r="A2723" s="7" t="str">
        <f t="shared" si="88"/>
        <v>201806</v>
      </c>
      <c r="C2723" s="6" t="str">
        <f>INDEX(工厂基础数据!$A$2:$A$1024,MATCH(X2723,工厂基础数据!$D$2:$D$1024,0))</f>
        <v>02037769</v>
      </c>
      <c r="E2723" s="6" t="str">
        <f>INDEX(工厂基础数据!$B$2:$B$1024,MATCH(X2723,工厂基础数据!$D$2:$D$1024,0))</f>
        <v>山东海川医药有限公司</v>
      </c>
      <c r="F2723" s="6" t="e">
        <f>INDEX(商业2转码!$B$2:$B$10000,MATCH(E2723,商业2转码!$A$2:$A$10000,0))</f>
        <v>#N/A</v>
      </c>
      <c r="G2723" s="6" t="str">
        <f>INDEX(品种2编码!$A$2:$A$1048576,MATCH(W2723,品种2编码!$D$2:$D$1048576,0))</f>
        <v>0020030001SJZY0006</v>
      </c>
      <c r="H2723" s="6" t="s">
        <v>1833</v>
      </c>
      <c r="I2723" s="6" t="s">
        <v>411</v>
      </c>
      <c r="J2723" s="6" t="s">
        <v>3044</v>
      </c>
      <c r="L2723" s="6" t="s">
        <v>3652</v>
      </c>
      <c r="M2723" s="6" t="e">
        <f>INDEX(医院2县区2人!$B$2:$B$1048576,MATCH(L2723,医院2县区2人!$A$2:$A$1048576,0))</f>
        <v>#N/A</v>
      </c>
      <c r="N2723" s="6" t="e">
        <f>INDEX(医院2县区2人!$C$2:$C$1048576,MATCH(L2723,医院2县区2人!$A$2:$A$1048576,0))</f>
        <v>#N/A</v>
      </c>
      <c r="P2723" s="7">
        <v>43269</v>
      </c>
      <c r="Q2723" s="6">
        <v>10</v>
      </c>
      <c r="S2723" s="6">
        <v>18030532</v>
      </c>
      <c r="T2723" s="6" t="e">
        <f>INDEX(医院2县区2人!$D$2:$D$1048576,MATCH(L2723,医院2县区2人!$A$2:$A$1048576,0))</f>
        <v>#N/A</v>
      </c>
      <c r="W2723" s="6" t="str">
        <f t="shared" si="87"/>
        <v>葡萄糖酸钙口服溶液10ml*12支</v>
      </c>
      <c r="X2723" s="6" t="s">
        <v>2901</v>
      </c>
    </row>
    <row r="2724" spans="1:24" x14ac:dyDescent="0.15">
      <c r="A2724" s="7" t="str">
        <f t="shared" si="88"/>
        <v>201806</v>
      </c>
      <c r="C2724" s="6" t="str">
        <f>INDEX(工厂基础数据!$A$2:$A$1024,MATCH(X2724,工厂基础数据!$D$2:$D$1024,0))</f>
        <v>02037769</v>
      </c>
      <c r="E2724" s="6" t="str">
        <f>INDEX(工厂基础数据!$B$2:$B$1024,MATCH(X2724,工厂基础数据!$D$2:$D$1024,0))</f>
        <v>山东海川医药有限公司</v>
      </c>
      <c r="F2724" s="6" t="e">
        <f>INDEX(商业2转码!$B$2:$B$10000,MATCH(E2724,商业2转码!$A$2:$A$10000,0))</f>
        <v>#N/A</v>
      </c>
      <c r="G2724" s="6">
        <f>INDEX(品种2编码!$A$2:$A$1048576,MATCH(W2724,品种2编码!$D$2:$D$1048576,0))</f>
        <v>0</v>
      </c>
      <c r="H2724" s="6" t="s">
        <v>3744</v>
      </c>
      <c r="I2724" s="6" t="s">
        <v>3752</v>
      </c>
      <c r="J2724" s="6" t="s">
        <v>3038</v>
      </c>
      <c r="L2724" s="6" t="s">
        <v>3652</v>
      </c>
      <c r="M2724" s="6" t="e">
        <f>INDEX(医院2县区2人!$B$2:$B$1048576,MATCH(L2724,医院2县区2人!$A$2:$A$1048576,0))</f>
        <v>#N/A</v>
      </c>
      <c r="N2724" s="6" t="e">
        <f>INDEX(医院2县区2人!$C$2:$C$1048576,MATCH(L2724,医院2县区2人!$A$2:$A$1048576,0))</f>
        <v>#N/A</v>
      </c>
      <c r="P2724" s="7">
        <v>43269</v>
      </c>
      <c r="Q2724" s="6">
        <v>2</v>
      </c>
      <c r="S2724" s="6">
        <v>180103</v>
      </c>
      <c r="T2724" s="6" t="e">
        <f>INDEX(医院2县区2人!$D$2:$D$1048576,MATCH(L2724,医院2县区2人!$A$2:$A$1048576,0))</f>
        <v>#N/A</v>
      </c>
      <c r="W2724" s="6" t="str">
        <f t="shared" si="87"/>
        <v>哈药痛可贴腰椎型4贴</v>
      </c>
      <c r="X2724" s="6" t="s">
        <v>2901</v>
      </c>
    </row>
    <row r="2725" spans="1:24" x14ac:dyDescent="0.15">
      <c r="A2725" s="7" t="str">
        <f t="shared" si="88"/>
        <v>201806</v>
      </c>
      <c r="C2725" s="6" t="str">
        <f>INDEX(工厂基础数据!$A$2:$A$1024,MATCH(X2725,工厂基础数据!$D$2:$D$1024,0))</f>
        <v>02037769</v>
      </c>
      <c r="E2725" s="6" t="str">
        <f>INDEX(工厂基础数据!$B$2:$B$1024,MATCH(X2725,工厂基础数据!$D$2:$D$1024,0))</f>
        <v>山东海川医药有限公司</v>
      </c>
      <c r="F2725" s="6" t="e">
        <f>INDEX(商业2转码!$B$2:$B$10000,MATCH(E2725,商业2转码!$A$2:$A$10000,0))</f>
        <v>#N/A</v>
      </c>
      <c r="G2725" s="6" t="str">
        <f>INDEX(品种2编码!$A$2:$A$1048576,MATCH(W2725,品种2编码!$D$2:$D$1048576,0))</f>
        <v>0020040001SHYT0026</v>
      </c>
      <c r="H2725" s="6" t="s">
        <v>715</v>
      </c>
      <c r="I2725" s="6" t="s">
        <v>1867</v>
      </c>
      <c r="J2725" s="6" t="s">
        <v>3037</v>
      </c>
      <c r="L2725" s="6" t="s">
        <v>3701</v>
      </c>
      <c r="M2725" s="6" t="e">
        <f>INDEX(医院2县区2人!$B$2:$B$1048576,MATCH(L2725,医院2县区2人!$A$2:$A$1048576,0))</f>
        <v>#N/A</v>
      </c>
      <c r="N2725" s="6" t="e">
        <f>INDEX(医院2县区2人!$C$2:$C$1048576,MATCH(L2725,医院2县区2人!$A$2:$A$1048576,0))</f>
        <v>#N/A</v>
      </c>
      <c r="P2725" s="7">
        <v>43269</v>
      </c>
      <c r="Q2725" s="6">
        <v>10</v>
      </c>
      <c r="S2725" s="6">
        <v>1801108</v>
      </c>
      <c r="T2725" s="6" t="e">
        <f>INDEX(医院2县区2人!$D$2:$D$1048576,MATCH(L2725,医院2县区2人!$A$2:$A$1048576,0))</f>
        <v>#N/A</v>
      </c>
      <c r="W2725" s="6" t="str">
        <f t="shared" si="87"/>
        <v>小活络丸3g*10丸</v>
      </c>
      <c r="X2725" s="6" t="s">
        <v>2901</v>
      </c>
    </row>
    <row r="2726" spans="1:24" x14ac:dyDescent="0.15">
      <c r="A2726" s="7" t="str">
        <f t="shared" si="88"/>
        <v>201806</v>
      </c>
      <c r="C2726" s="6" t="str">
        <f>INDEX(工厂基础数据!$A$2:$A$1024,MATCH(X2726,工厂基础数据!$D$2:$D$1024,0))</f>
        <v>02037769</v>
      </c>
      <c r="E2726" s="6" t="str">
        <f>INDEX(工厂基础数据!$B$2:$B$1024,MATCH(X2726,工厂基础数据!$D$2:$D$1024,0))</f>
        <v>山东海川医药有限公司</v>
      </c>
      <c r="F2726" s="6" t="e">
        <f>INDEX(商业2转码!$B$2:$B$10000,MATCH(E2726,商业2转码!$A$2:$A$10000,0))</f>
        <v>#N/A</v>
      </c>
      <c r="G2726" s="6">
        <f>INDEX(品种2编码!$A$2:$A$1048576,MATCH(W2726,品种2编码!$D$2:$D$1048576,0))</f>
        <v>0</v>
      </c>
      <c r="H2726" s="6" t="s">
        <v>1885</v>
      </c>
      <c r="I2726" s="6" t="s">
        <v>1838</v>
      </c>
      <c r="J2726" s="6" t="s">
        <v>3036</v>
      </c>
      <c r="L2726" s="6" t="s">
        <v>3633</v>
      </c>
      <c r="M2726" s="6" t="e">
        <f>INDEX(医院2县区2人!$B$2:$B$1048576,MATCH(L2726,医院2县区2人!$A$2:$A$1048576,0))</f>
        <v>#N/A</v>
      </c>
      <c r="N2726" s="6" t="e">
        <f>INDEX(医院2县区2人!$C$2:$C$1048576,MATCH(L2726,医院2县区2人!$A$2:$A$1048576,0))</f>
        <v>#N/A</v>
      </c>
      <c r="P2726" s="7">
        <v>43269</v>
      </c>
      <c r="Q2726" s="6">
        <v>3</v>
      </c>
      <c r="S2726" s="6">
        <v>180105</v>
      </c>
      <c r="T2726" s="6" t="e">
        <f>INDEX(医院2县区2人!$D$2:$D$1048576,MATCH(L2726,医院2县区2人!$A$2:$A$1048576,0))</f>
        <v>#N/A</v>
      </c>
      <c r="W2726" s="6" t="str">
        <f t="shared" si="87"/>
        <v>新盖中盖高钙片2.5g*36片</v>
      </c>
      <c r="X2726" s="6" t="s">
        <v>2901</v>
      </c>
    </row>
    <row r="2727" spans="1:24" x14ac:dyDescent="0.15">
      <c r="A2727" s="7" t="str">
        <f t="shared" si="88"/>
        <v>201806</v>
      </c>
      <c r="C2727" s="6" t="str">
        <f>INDEX(工厂基础数据!$A$2:$A$1024,MATCH(X2727,工厂基础数据!$D$2:$D$1024,0))</f>
        <v>02037769</v>
      </c>
      <c r="E2727" s="6" t="str">
        <f>INDEX(工厂基础数据!$B$2:$B$1024,MATCH(X2727,工厂基础数据!$D$2:$D$1024,0))</f>
        <v>山东海川医药有限公司</v>
      </c>
      <c r="F2727" s="6" t="e">
        <f>INDEX(商业2转码!$B$2:$B$10000,MATCH(E2727,商业2转码!$A$2:$A$10000,0))</f>
        <v>#N/A</v>
      </c>
      <c r="G2727" s="6" t="str">
        <f>INDEX(品种2编码!$A$2:$A$1048576,MATCH(W2727,品种2编码!$D$2:$D$1048576,0))</f>
        <v>0020070001ZYZC0383</v>
      </c>
      <c r="H2727" s="6" t="s">
        <v>1849</v>
      </c>
      <c r="I2727" s="6" t="s">
        <v>1850</v>
      </c>
      <c r="J2727" s="6" t="s">
        <v>3038</v>
      </c>
      <c r="L2727" s="6" t="s">
        <v>3642</v>
      </c>
      <c r="M2727" s="6" t="e">
        <f>INDEX(医院2县区2人!$B$2:$B$1048576,MATCH(L2727,医院2县区2人!$A$2:$A$1048576,0))</f>
        <v>#N/A</v>
      </c>
      <c r="N2727" s="6" t="e">
        <f>INDEX(医院2县区2人!$C$2:$C$1048576,MATCH(L2727,医院2县区2人!$A$2:$A$1048576,0))</f>
        <v>#N/A</v>
      </c>
      <c r="P2727" s="7">
        <v>43269</v>
      </c>
      <c r="Q2727" s="6">
        <v>5</v>
      </c>
      <c r="S2727" s="6">
        <v>1802005</v>
      </c>
      <c r="T2727" s="6" t="e">
        <f>INDEX(医院2县区2人!$D$2:$D$1048576,MATCH(L2727,医院2县区2人!$A$2:$A$1048576,0))</f>
        <v>#N/A</v>
      </c>
      <c r="W2727" s="6" t="str">
        <f t="shared" si="87"/>
        <v>哈药牌钙铁锌口服液10ml*10支</v>
      </c>
      <c r="X2727" s="6" t="s">
        <v>2901</v>
      </c>
    </row>
    <row r="2728" spans="1:24" x14ac:dyDescent="0.15">
      <c r="A2728" s="7" t="str">
        <f t="shared" si="88"/>
        <v>201806</v>
      </c>
      <c r="C2728" s="6" t="str">
        <f>INDEX(工厂基础数据!$A$2:$A$1024,MATCH(X2728,工厂基础数据!$D$2:$D$1024,0))</f>
        <v>02037769</v>
      </c>
      <c r="E2728" s="6" t="str">
        <f>INDEX(工厂基础数据!$B$2:$B$1024,MATCH(X2728,工厂基础数据!$D$2:$D$1024,0))</f>
        <v>山东海川医药有限公司</v>
      </c>
      <c r="F2728" s="6" t="e">
        <f>INDEX(商业2转码!$B$2:$B$10000,MATCH(E2728,商业2转码!$A$2:$A$10000,0))</f>
        <v>#N/A</v>
      </c>
      <c r="G2728" s="6">
        <f>INDEX(品种2编码!$A$2:$A$1048576,MATCH(W2728,品种2编码!$D$2:$D$1048576,0))</f>
        <v>0</v>
      </c>
      <c r="H2728" s="6" t="s">
        <v>1885</v>
      </c>
      <c r="I2728" s="6" t="s">
        <v>1838</v>
      </c>
      <c r="J2728" s="6" t="s">
        <v>3036</v>
      </c>
      <c r="L2728" s="6" t="s">
        <v>3687</v>
      </c>
      <c r="M2728" s="6" t="e">
        <f>INDEX(医院2县区2人!$B$2:$B$1048576,MATCH(L2728,医院2县区2人!$A$2:$A$1048576,0))</f>
        <v>#N/A</v>
      </c>
      <c r="N2728" s="6" t="e">
        <f>INDEX(医院2县区2人!$C$2:$C$1048576,MATCH(L2728,医院2县区2人!$A$2:$A$1048576,0))</f>
        <v>#N/A</v>
      </c>
      <c r="P2728" s="7">
        <v>43269</v>
      </c>
      <c r="Q2728" s="6">
        <v>2</v>
      </c>
      <c r="S2728" s="6">
        <v>180105</v>
      </c>
      <c r="T2728" s="6" t="e">
        <f>INDEX(医院2县区2人!$D$2:$D$1048576,MATCH(L2728,医院2县区2人!$A$2:$A$1048576,0))</f>
        <v>#N/A</v>
      </c>
      <c r="W2728" s="6" t="str">
        <f t="shared" si="87"/>
        <v>新盖中盖高钙片2.5g*36片</v>
      </c>
      <c r="X2728" s="6" t="s">
        <v>2901</v>
      </c>
    </row>
    <row r="2729" spans="1:24" x14ac:dyDescent="0.15">
      <c r="A2729" s="7" t="str">
        <f t="shared" si="88"/>
        <v>201806</v>
      </c>
      <c r="C2729" s="6" t="str">
        <f>INDEX(工厂基础数据!$A$2:$A$1024,MATCH(X2729,工厂基础数据!$D$2:$D$1024,0))</f>
        <v>02037769</v>
      </c>
      <c r="E2729" s="6" t="str">
        <f>INDEX(工厂基础数据!$B$2:$B$1024,MATCH(X2729,工厂基础数据!$D$2:$D$1024,0))</f>
        <v>山东海川医药有限公司</v>
      </c>
      <c r="F2729" s="6" t="e">
        <f>INDEX(商业2转码!$B$2:$B$10000,MATCH(E2729,商业2转码!$A$2:$A$10000,0))</f>
        <v>#N/A</v>
      </c>
      <c r="G2729" s="6" t="str">
        <f>INDEX(品种2编码!$A$2:$A$1048576,MATCH(W2729,品种2编码!$D$2:$D$1048576,0))</f>
        <v>0020030001SJZY0009</v>
      </c>
      <c r="H2729" s="6" t="s">
        <v>1949</v>
      </c>
      <c r="I2729" s="6" t="s">
        <v>411</v>
      </c>
      <c r="J2729" s="6" t="s">
        <v>3040</v>
      </c>
      <c r="L2729" s="6" t="s">
        <v>3626</v>
      </c>
      <c r="M2729" s="6" t="e">
        <f>INDEX(医院2县区2人!$B$2:$B$1048576,MATCH(L2729,医院2县区2人!$A$2:$A$1048576,0))</f>
        <v>#N/A</v>
      </c>
      <c r="N2729" s="6" t="e">
        <f>INDEX(医院2县区2人!$C$2:$C$1048576,MATCH(L2729,医院2县区2人!$A$2:$A$1048576,0))</f>
        <v>#N/A</v>
      </c>
      <c r="P2729" s="7">
        <v>43270</v>
      </c>
      <c r="Q2729" s="6">
        <v>10</v>
      </c>
      <c r="S2729" s="6">
        <v>18031227</v>
      </c>
      <c r="T2729" s="6" t="e">
        <f>INDEX(医院2县区2人!$D$2:$D$1048576,MATCH(L2729,医院2县区2人!$A$2:$A$1048576,0))</f>
        <v>#N/A</v>
      </c>
      <c r="W2729" s="6" t="str">
        <f t="shared" si="87"/>
        <v>葡萄糖酸锌口服溶液10ml*12支</v>
      </c>
      <c r="X2729" s="6" t="s">
        <v>2901</v>
      </c>
    </row>
    <row r="2730" spans="1:24" x14ac:dyDescent="0.15">
      <c r="A2730" s="7" t="str">
        <f t="shared" si="88"/>
        <v>201806</v>
      </c>
      <c r="C2730" s="6" t="str">
        <f>INDEX(工厂基础数据!$A$2:$A$1024,MATCH(X2730,工厂基础数据!$D$2:$D$1024,0))</f>
        <v>02037769</v>
      </c>
      <c r="E2730" s="6" t="str">
        <f>INDEX(工厂基础数据!$B$2:$B$1024,MATCH(X2730,工厂基础数据!$D$2:$D$1024,0))</f>
        <v>山东海川医药有限公司</v>
      </c>
      <c r="F2730" s="6" t="e">
        <f>INDEX(商业2转码!$B$2:$B$10000,MATCH(E2730,商业2转码!$A$2:$A$10000,0))</f>
        <v>#N/A</v>
      </c>
      <c r="G2730" s="6" t="str">
        <f>INDEX(品种2编码!$A$2:$A$1048576,MATCH(W2730,品种2编码!$D$2:$D$1048576,0))</f>
        <v>0020030001SJZY0009</v>
      </c>
      <c r="H2730" s="6" t="s">
        <v>1949</v>
      </c>
      <c r="I2730" s="6" t="s">
        <v>411</v>
      </c>
      <c r="J2730" s="6" t="s">
        <v>3040</v>
      </c>
      <c r="L2730" s="6" t="s">
        <v>3627</v>
      </c>
      <c r="M2730" s="6" t="e">
        <f>INDEX(医院2县区2人!$B$2:$B$1048576,MATCH(L2730,医院2县区2人!$A$2:$A$1048576,0))</f>
        <v>#N/A</v>
      </c>
      <c r="N2730" s="6" t="e">
        <f>INDEX(医院2县区2人!$C$2:$C$1048576,MATCH(L2730,医院2县区2人!$A$2:$A$1048576,0))</f>
        <v>#N/A</v>
      </c>
      <c r="P2730" s="7">
        <v>43270</v>
      </c>
      <c r="Q2730" s="6">
        <v>5</v>
      </c>
      <c r="S2730" s="6">
        <v>18031227</v>
      </c>
      <c r="T2730" s="6" t="e">
        <f>INDEX(医院2县区2人!$D$2:$D$1048576,MATCH(L2730,医院2县区2人!$A$2:$A$1048576,0))</f>
        <v>#N/A</v>
      </c>
      <c r="W2730" s="6" t="str">
        <f t="shared" si="87"/>
        <v>葡萄糖酸锌口服溶液10ml*12支</v>
      </c>
      <c r="X2730" s="6" t="s">
        <v>2901</v>
      </c>
    </row>
    <row r="2731" spans="1:24" x14ac:dyDescent="0.15">
      <c r="A2731" s="7" t="str">
        <f t="shared" si="88"/>
        <v>201806</v>
      </c>
      <c r="C2731" s="6" t="str">
        <f>INDEX(工厂基础数据!$A$2:$A$1024,MATCH(X2731,工厂基础数据!$D$2:$D$1024,0))</f>
        <v>02037769</v>
      </c>
      <c r="E2731" s="6" t="str">
        <f>INDEX(工厂基础数据!$B$2:$B$1024,MATCH(X2731,工厂基础数据!$D$2:$D$1024,0))</f>
        <v>山东海川医药有限公司</v>
      </c>
      <c r="F2731" s="6" t="e">
        <f>INDEX(商业2转码!$B$2:$B$10000,MATCH(E2731,商业2转码!$A$2:$A$10000,0))</f>
        <v>#N/A</v>
      </c>
      <c r="G2731" s="6" t="str">
        <f>INDEX(品种2编码!$A$2:$A$1048576,MATCH(W2731,品种2编码!$D$2:$D$1048576,0))</f>
        <v>0020070001ZYZC0377</v>
      </c>
      <c r="H2731" s="6" t="s">
        <v>1849</v>
      </c>
      <c r="I2731" s="6" t="s">
        <v>1887</v>
      </c>
      <c r="J2731" s="6" t="s">
        <v>3038</v>
      </c>
      <c r="L2731" s="6" t="s">
        <v>3702</v>
      </c>
      <c r="M2731" s="6" t="e">
        <f>INDEX(医院2县区2人!$B$2:$B$1048576,MATCH(L2731,医院2县区2人!$A$2:$A$1048576,0))</f>
        <v>#N/A</v>
      </c>
      <c r="N2731" s="6" t="e">
        <f>INDEX(医院2县区2人!$C$2:$C$1048576,MATCH(L2731,医院2县区2人!$A$2:$A$1048576,0))</f>
        <v>#N/A</v>
      </c>
      <c r="P2731" s="7">
        <v>43270</v>
      </c>
      <c r="Q2731" s="6">
        <v>2</v>
      </c>
      <c r="S2731" s="6">
        <v>1801042</v>
      </c>
      <c r="T2731" s="6" t="e">
        <f>INDEX(医院2县区2人!$D$2:$D$1048576,MATCH(L2731,医院2县区2人!$A$2:$A$1048576,0))</f>
        <v>#N/A</v>
      </c>
      <c r="W2731" s="6" t="str">
        <f t="shared" si="87"/>
        <v>哈药牌钙铁锌口服液10ml*15支</v>
      </c>
      <c r="X2731" s="6" t="s">
        <v>2901</v>
      </c>
    </row>
    <row r="2732" spans="1:24" x14ac:dyDescent="0.15">
      <c r="A2732" s="7" t="str">
        <f t="shared" si="88"/>
        <v>201806</v>
      </c>
      <c r="C2732" s="6" t="str">
        <f>INDEX(工厂基础数据!$A$2:$A$1024,MATCH(X2732,工厂基础数据!$D$2:$D$1024,0))</f>
        <v>02037769</v>
      </c>
      <c r="E2732" s="6" t="str">
        <f>INDEX(工厂基础数据!$B$2:$B$1024,MATCH(X2732,工厂基础数据!$D$2:$D$1024,0))</f>
        <v>山东海川医药有限公司</v>
      </c>
      <c r="F2732" s="6" t="e">
        <f>INDEX(商业2转码!$B$2:$B$10000,MATCH(E2732,商业2转码!$A$2:$A$10000,0))</f>
        <v>#N/A</v>
      </c>
      <c r="G2732" s="6" t="str">
        <f>INDEX(品种2编码!$A$2:$A$1048576,MATCH(W2732,品种2编码!$D$2:$D$1048576,0))</f>
        <v>0020030001SJZY0006</v>
      </c>
      <c r="H2732" s="6" t="s">
        <v>1833</v>
      </c>
      <c r="I2732" s="6" t="s">
        <v>411</v>
      </c>
      <c r="J2732" s="6" t="s">
        <v>3044</v>
      </c>
      <c r="L2732" s="6" t="s">
        <v>3634</v>
      </c>
      <c r="M2732" s="6" t="e">
        <f>INDEX(医院2县区2人!$B$2:$B$1048576,MATCH(L2732,医院2县区2人!$A$2:$A$1048576,0))</f>
        <v>#N/A</v>
      </c>
      <c r="N2732" s="6" t="e">
        <f>INDEX(医院2县区2人!$C$2:$C$1048576,MATCH(L2732,医院2县区2人!$A$2:$A$1048576,0))</f>
        <v>#N/A</v>
      </c>
      <c r="P2732" s="7">
        <v>43270</v>
      </c>
      <c r="Q2732" s="6">
        <v>5</v>
      </c>
      <c r="S2732" s="6">
        <v>18030532</v>
      </c>
      <c r="T2732" s="6" t="e">
        <f>INDEX(医院2县区2人!$D$2:$D$1048576,MATCH(L2732,医院2县区2人!$A$2:$A$1048576,0))</f>
        <v>#N/A</v>
      </c>
      <c r="W2732" s="6" t="str">
        <f t="shared" si="87"/>
        <v>葡萄糖酸钙口服溶液10ml*12支</v>
      </c>
      <c r="X2732" s="6" t="s">
        <v>2901</v>
      </c>
    </row>
    <row r="2733" spans="1:24" x14ac:dyDescent="0.15">
      <c r="A2733" s="7" t="str">
        <f t="shared" si="88"/>
        <v>201806</v>
      </c>
      <c r="C2733" s="6" t="str">
        <f>INDEX(工厂基础数据!$A$2:$A$1024,MATCH(X2733,工厂基础数据!$D$2:$D$1024,0))</f>
        <v>02037769</v>
      </c>
      <c r="E2733" s="6" t="str">
        <f>INDEX(工厂基础数据!$B$2:$B$1024,MATCH(X2733,工厂基础数据!$D$2:$D$1024,0))</f>
        <v>山东海川医药有限公司</v>
      </c>
      <c r="F2733" s="6" t="e">
        <f>INDEX(商业2转码!$B$2:$B$10000,MATCH(E2733,商业2转码!$A$2:$A$10000,0))</f>
        <v>#N/A</v>
      </c>
      <c r="G2733" s="6" t="str">
        <f>INDEX(品种2编码!$A$2:$A$1048576,MATCH(W2733,品种2编码!$D$2:$D$1048576,0))</f>
        <v>0020030001SJZY0006</v>
      </c>
      <c r="H2733" s="6" t="s">
        <v>1833</v>
      </c>
      <c r="I2733" s="6" t="s">
        <v>411</v>
      </c>
      <c r="J2733" s="6" t="s">
        <v>3044</v>
      </c>
      <c r="L2733" s="6" t="s">
        <v>3703</v>
      </c>
      <c r="M2733" s="6" t="e">
        <f>INDEX(医院2县区2人!$B$2:$B$1048576,MATCH(L2733,医院2县区2人!$A$2:$A$1048576,0))</f>
        <v>#N/A</v>
      </c>
      <c r="N2733" s="6" t="e">
        <f>INDEX(医院2县区2人!$C$2:$C$1048576,MATCH(L2733,医院2县区2人!$A$2:$A$1048576,0))</f>
        <v>#N/A</v>
      </c>
      <c r="P2733" s="7">
        <v>43270</v>
      </c>
      <c r="Q2733" s="6">
        <v>3</v>
      </c>
      <c r="S2733" s="6">
        <v>18030532</v>
      </c>
      <c r="T2733" s="6" t="e">
        <f>INDEX(医院2县区2人!$D$2:$D$1048576,MATCH(L2733,医院2县区2人!$A$2:$A$1048576,0))</f>
        <v>#N/A</v>
      </c>
      <c r="W2733" s="6" t="str">
        <f t="shared" si="87"/>
        <v>葡萄糖酸钙口服溶液10ml*12支</v>
      </c>
      <c r="X2733" s="6" t="s">
        <v>2901</v>
      </c>
    </row>
    <row r="2734" spans="1:24" x14ac:dyDescent="0.15">
      <c r="A2734" s="7" t="str">
        <f t="shared" si="88"/>
        <v>201806</v>
      </c>
      <c r="C2734" s="6" t="str">
        <f>INDEX(工厂基础数据!$A$2:$A$1024,MATCH(X2734,工厂基础数据!$D$2:$D$1024,0))</f>
        <v>02037769</v>
      </c>
      <c r="E2734" s="6" t="str">
        <f>INDEX(工厂基础数据!$B$2:$B$1024,MATCH(X2734,工厂基础数据!$D$2:$D$1024,0))</f>
        <v>山东海川医药有限公司</v>
      </c>
      <c r="F2734" s="6" t="e">
        <f>INDEX(商业2转码!$B$2:$B$10000,MATCH(E2734,商业2转码!$A$2:$A$10000,0))</f>
        <v>#N/A</v>
      </c>
      <c r="G2734" s="6" t="str">
        <f>INDEX(品种2编码!$A$2:$A$1048576,MATCH(W2734,品种2编码!$D$2:$D$1048576,0))</f>
        <v>0020030020SJSC0004</v>
      </c>
      <c r="H2734" s="6" t="s">
        <v>394</v>
      </c>
      <c r="I2734" s="6" t="s">
        <v>1871</v>
      </c>
      <c r="J2734" s="6" t="s">
        <v>3755</v>
      </c>
      <c r="L2734" s="6" t="s">
        <v>3649</v>
      </c>
      <c r="M2734" s="6" t="e">
        <f>INDEX(医院2县区2人!$B$2:$B$1048576,MATCH(L2734,医院2县区2人!$A$2:$A$1048576,0))</f>
        <v>#N/A</v>
      </c>
      <c r="N2734" s="6" t="e">
        <f>INDEX(医院2县区2人!$C$2:$C$1048576,MATCH(L2734,医院2县区2人!$A$2:$A$1048576,0))</f>
        <v>#N/A</v>
      </c>
      <c r="P2734" s="7">
        <v>43270</v>
      </c>
      <c r="Q2734" s="6">
        <v>2</v>
      </c>
      <c r="S2734" s="6">
        <v>1802021</v>
      </c>
      <c r="T2734" s="6" t="e">
        <f>INDEX(医院2县区2人!$D$2:$D$1048576,MATCH(L2734,医院2县区2人!$A$2:$A$1048576,0))</f>
        <v>#N/A</v>
      </c>
      <c r="W2734" s="6" t="str">
        <f t="shared" si="87"/>
        <v>复方铝酸铋片50片</v>
      </c>
      <c r="X2734" s="6" t="s">
        <v>2901</v>
      </c>
    </row>
    <row r="2735" spans="1:24" x14ac:dyDescent="0.15">
      <c r="A2735" s="7" t="str">
        <f t="shared" si="88"/>
        <v>201806</v>
      </c>
      <c r="C2735" s="6" t="str">
        <f>INDEX(工厂基础数据!$A$2:$A$1024,MATCH(X2735,工厂基础数据!$D$2:$D$1024,0))</f>
        <v>02037769</v>
      </c>
      <c r="E2735" s="6" t="str">
        <f>INDEX(工厂基础数据!$B$2:$B$1024,MATCH(X2735,工厂基础数据!$D$2:$D$1024,0))</f>
        <v>山东海川医药有限公司</v>
      </c>
      <c r="F2735" s="6" t="e">
        <f>INDEX(商业2转码!$B$2:$B$10000,MATCH(E2735,商业2转码!$A$2:$A$10000,0))</f>
        <v>#N/A</v>
      </c>
      <c r="G2735" s="6">
        <f>INDEX(品种2编码!$A$2:$A$1048576,MATCH(W2735,品种2编码!$D$2:$D$1048576,0))</f>
        <v>0</v>
      </c>
      <c r="H2735" s="6" t="s">
        <v>3750</v>
      </c>
      <c r="I2735" s="6" t="s">
        <v>2035</v>
      </c>
      <c r="J2735" s="6" t="s">
        <v>3036</v>
      </c>
      <c r="L2735" s="6" t="s">
        <v>3704</v>
      </c>
      <c r="M2735" s="6" t="e">
        <f>INDEX(医院2县区2人!$B$2:$B$1048576,MATCH(L2735,医院2县区2人!$A$2:$A$1048576,0))</f>
        <v>#N/A</v>
      </c>
      <c r="N2735" s="6" t="e">
        <f>INDEX(医院2县区2人!$C$2:$C$1048576,MATCH(L2735,医院2县区2人!$A$2:$A$1048576,0))</f>
        <v>#N/A</v>
      </c>
      <c r="P2735" s="7">
        <v>43270</v>
      </c>
      <c r="Q2735" s="6">
        <v>3</v>
      </c>
      <c r="S2735" s="6">
        <v>160803</v>
      </c>
      <c r="T2735" s="6" t="e">
        <f>INDEX(医院2县区2人!$D$2:$D$1048576,MATCH(L2735,医院2县区2人!$A$2:$A$1048576,0))</f>
        <v>#N/A</v>
      </c>
      <c r="W2735" s="6" t="str">
        <f t="shared" si="87"/>
        <v>颠茄磺苄啶片（儿童型）20片</v>
      </c>
      <c r="X2735" s="6" t="s">
        <v>2901</v>
      </c>
    </row>
    <row r="2736" spans="1:24" x14ac:dyDescent="0.15">
      <c r="A2736" s="7" t="str">
        <f t="shared" si="88"/>
        <v>201806</v>
      </c>
      <c r="C2736" s="6" t="str">
        <f>INDEX(工厂基础数据!$A$2:$A$1024,MATCH(X2736,工厂基础数据!$D$2:$D$1024,0))</f>
        <v>02037769</v>
      </c>
      <c r="E2736" s="6" t="str">
        <f>INDEX(工厂基础数据!$B$2:$B$1024,MATCH(X2736,工厂基础数据!$D$2:$D$1024,0))</f>
        <v>山东海川医药有限公司</v>
      </c>
      <c r="F2736" s="6" t="e">
        <f>INDEX(商业2转码!$B$2:$B$10000,MATCH(E2736,商业2转码!$A$2:$A$10000,0))</f>
        <v>#N/A</v>
      </c>
      <c r="G2736" s="6" t="str">
        <f>INDEX(品种2编码!$A$2:$A$1048576,MATCH(W2736,品种2编码!$D$2:$D$1048576,0))</f>
        <v>0020030001SJZY0009</v>
      </c>
      <c r="H2736" s="6" t="s">
        <v>1949</v>
      </c>
      <c r="I2736" s="6" t="s">
        <v>411</v>
      </c>
      <c r="J2736" s="6" t="s">
        <v>3040</v>
      </c>
      <c r="L2736" s="6" t="s">
        <v>3667</v>
      </c>
      <c r="M2736" s="6" t="e">
        <f>INDEX(医院2县区2人!$B$2:$B$1048576,MATCH(L2736,医院2县区2人!$A$2:$A$1048576,0))</f>
        <v>#N/A</v>
      </c>
      <c r="N2736" s="6" t="e">
        <f>INDEX(医院2县区2人!$C$2:$C$1048576,MATCH(L2736,医院2县区2人!$A$2:$A$1048576,0))</f>
        <v>#N/A</v>
      </c>
      <c r="P2736" s="7">
        <v>43270</v>
      </c>
      <c r="Q2736" s="6">
        <v>-3</v>
      </c>
      <c r="S2736" s="6">
        <v>18031227</v>
      </c>
      <c r="T2736" s="6" t="e">
        <f>INDEX(医院2县区2人!$D$2:$D$1048576,MATCH(L2736,医院2县区2人!$A$2:$A$1048576,0))</f>
        <v>#N/A</v>
      </c>
      <c r="W2736" s="6" t="str">
        <f t="shared" si="87"/>
        <v>葡萄糖酸锌口服溶液10ml*12支</v>
      </c>
      <c r="X2736" s="6" t="s">
        <v>2901</v>
      </c>
    </row>
    <row r="2737" spans="1:24" x14ac:dyDescent="0.15">
      <c r="A2737" s="7" t="str">
        <f t="shared" si="88"/>
        <v>201806</v>
      </c>
      <c r="C2737" s="6" t="str">
        <f>INDEX(工厂基础数据!$A$2:$A$1024,MATCH(X2737,工厂基础数据!$D$2:$D$1024,0))</f>
        <v>02037769</v>
      </c>
      <c r="E2737" s="6" t="str">
        <f>INDEX(工厂基础数据!$B$2:$B$1024,MATCH(X2737,工厂基础数据!$D$2:$D$1024,0))</f>
        <v>山东海川医药有限公司</v>
      </c>
      <c r="F2737" s="6" t="e">
        <f>INDEX(商业2转码!$B$2:$B$10000,MATCH(E2737,商业2转码!$A$2:$A$10000,0))</f>
        <v>#N/A</v>
      </c>
      <c r="G2737" s="6">
        <f>INDEX(品种2编码!$A$2:$A$1048576,MATCH(W2737,品种2编码!$D$2:$D$1048576,0))</f>
        <v>0</v>
      </c>
      <c r="H2737" s="6" t="s">
        <v>1885</v>
      </c>
      <c r="I2737" s="6" t="s">
        <v>1838</v>
      </c>
      <c r="J2737" s="6" t="s">
        <v>3036</v>
      </c>
      <c r="L2737" s="6" t="s">
        <v>3663</v>
      </c>
      <c r="M2737" s="6" t="e">
        <f>INDEX(医院2县区2人!$B$2:$B$1048576,MATCH(L2737,医院2县区2人!$A$2:$A$1048576,0))</f>
        <v>#N/A</v>
      </c>
      <c r="N2737" s="6" t="e">
        <f>INDEX(医院2县区2人!$C$2:$C$1048576,MATCH(L2737,医院2县区2人!$A$2:$A$1048576,0))</f>
        <v>#N/A</v>
      </c>
      <c r="P2737" s="7">
        <v>43270</v>
      </c>
      <c r="Q2737" s="6">
        <v>30</v>
      </c>
      <c r="S2737" s="6">
        <v>180105</v>
      </c>
      <c r="T2737" s="6" t="e">
        <f>INDEX(医院2县区2人!$D$2:$D$1048576,MATCH(L2737,医院2县区2人!$A$2:$A$1048576,0))</f>
        <v>#N/A</v>
      </c>
      <c r="W2737" s="6" t="str">
        <f t="shared" si="87"/>
        <v>新盖中盖高钙片2.5g*36片</v>
      </c>
      <c r="X2737" s="6" t="s">
        <v>2901</v>
      </c>
    </row>
    <row r="2738" spans="1:24" x14ac:dyDescent="0.15">
      <c r="A2738" s="7" t="str">
        <f t="shared" si="88"/>
        <v>201806</v>
      </c>
      <c r="C2738" s="6" t="str">
        <f>INDEX(工厂基础数据!$A$2:$A$1024,MATCH(X2738,工厂基础数据!$D$2:$D$1024,0))</f>
        <v>02037769</v>
      </c>
      <c r="E2738" s="6" t="str">
        <f>INDEX(工厂基础数据!$B$2:$B$1024,MATCH(X2738,工厂基础数据!$D$2:$D$1024,0))</f>
        <v>山东海川医药有限公司</v>
      </c>
      <c r="F2738" s="6" t="e">
        <f>INDEX(商业2转码!$B$2:$B$10000,MATCH(E2738,商业2转码!$A$2:$A$10000,0))</f>
        <v>#N/A</v>
      </c>
      <c r="G2738" s="6">
        <f>INDEX(品种2编码!$A$2:$A$1048576,MATCH(W2738,品种2编码!$D$2:$D$1048576,0))</f>
        <v>0</v>
      </c>
      <c r="H2738" s="6" t="s">
        <v>3748</v>
      </c>
      <c r="I2738" s="6" t="s">
        <v>3752</v>
      </c>
      <c r="J2738" s="6" t="s">
        <v>3038</v>
      </c>
      <c r="L2738" s="6" t="s">
        <v>3705</v>
      </c>
      <c r="M2738" s="6" t="e">
        <f>INDEX(医院2县区2人!$B$2:$B$1048576,MATCH(L2738,医院2县区2人!$A$2:$A$1048576,0))</f>
        <v>#N/A</v>
      </c>
      <c r="N2738" s="6" t="e">
        <f>INDEX(医院2县区2人!$C$2:$C$1048576,MATCH(L2738,医院2县区2人!$A$2:$A$1048576,0))</f>
        <v>#N/A</v>
      </c>
      <c r="P2738" s="7">
        <v>43270</v>
      </c>
      <c r="Q2738" s="6">
        <v>5</v>
      </c>
      <c r="S2738" s="6">
        <v>180101</v>
      </c>
      <c r="T2738" s="6" t="e">
        <f>INDEX(医院2县区2人!$D$2:$D$1048576,MATCH(L2738,医院2县区2人!$A$2:$A$1048576,0))</f>
        <v>#N/A</v>
      </c>
      <c r="W2738" s="6" t="str">
        <f t="shared" si="87"/>
        <v>哈药痛可贴关节炎型4贴</v>
      </c>
      <c r="X2738" s="6" t="s">
        <v>2901</v>
      </c>
    </row>
    <row r="2739" spans="1:24" x14ac:dyDescent="0.15">
      <c r="A2739" s="7" t="str">
        <f t="shared" si="88"/>
        <v>201806</v>
      </c>
      <c r="C2739" s="6" t="str">
        <f>INDEX(工厂基础数据!$A$2:$A$1024,MATCH(X2739,工厂基础数据!$D$2:$D$1024,0))</f>
        <v>02037769</v>
      </c>
      <c r="E2739" s="6" t="str">
        <f>INDEX(工厂基础数据!$B$2:$B$1024,MATCH(X2739,工厂基础数据!$D$2:$D$1024,0))</f>
        <v>山东海川医药有限公司</v>
      </c>
      <c r="F2739" s="6" t="e">
        <f>INDEX(商业2转码!$B$2:$B$10000,MATCH(E2739,商业2转码!$A$2:$A$10000,0))</f>
        <v>#N/A</v>
      </c>
      <c r="G2739" s="6">
        <f>INDEX(品种2编码!$A$2:$A$1048576,MATCH(W2739,品种2编码!$D$2:$D$1048576,0))</f>
        <v>0</v>
      </c>
      <c r="H2739" s="6" t="s">
        <v>3749</v>
      </c>
      <c r="I2739" s="6" t="s">
        <v>3752</v>
      </c>
      <c r="J2739" s="6" t="s">
        <v>3038</v>
      </c>
      <c r="L2739" s="6" t="s">
        <v>3705</v>
      </c>
      <c r="M2739" s="6" t="e">
        <f>INDEX(医院2县区2人!$B$2:$B$1048576,MATCH(L2739,医院2县区2人!$A$2:$A$1048576,0))</f>
        <v>#N/A</v>
      </c>
      <c r="N2739" s="6" t="e">
        <f>INDEX(医院2县区2人!$C$2:$C$1048576,MATCH(L2739,医院2县区2人!$A$2:$A$1048576,0))</f>
        <v>#N/A</v>
      </c>
      <c r="P2739" s="7">
        <v>43270</v>
      </c>
      <c r="Q2739" s="6">
        <v>3</v>
      </c>
      <c r="S2739" s="6">
        <v>180103</v>
      </c>
      <c r="T2739" s="6" t="e">
        <f>INDEX(医院2县区2人!$D$2:$D$1048576,MATCH(L2739,医院2县区2人!$A$2:$A$1048576,0))</f>
        <v>#N/A</v>
      </c>
      <c r="W2739" s="6" t="str">
        <f t="shared" si="87"/>
        <v>哈药痛可贴肩周型4贴</v>
      </c>
      <c r="X2739" s="6" t="s">
        <v>2901</v>
      </c>
    </row>
    <row r="2740" spans="1:24" x14ac:dyDescent="0.15">
      <c r="A2740" s="7" t="str">
        <f t="shared" si="88"/>
        <v>201806</v>
      </c>
      <c r="C2740" s="6" t="str">
        <f>INDEX(工厂基础数据!$A$2:$A$1024,MATCH(X2740,工厂基础数据!$D$2:$D$1024,0))</f>
        <v>02037769</v>
      </c>
      <c r="E2740" s="6" t="str">
        <f>INDEX(工厂基础数据!$B$2:$B$1024,MATCH(X2740,工厂基础数据!$D$2:$D$1024,0))</f>
        <v>山东海川医药有限公司</v>
      </c>
      <c r="F2740" s="6" t="e">
        <f>INDEX(商业2转码!$B$2:$B$10000,MATCH(E2740,商业2转码!$A$2:$A$10000,0))</f>
        <v>#N/A</v>
      </c>
      <c r="G2740" s="6">
        <f>INDEX(品种2编码!$A$2:$A$1048576,MATCH(W2740,品种2编码!$D$2:$D$1048576,0))</f>
        <v>0</v>
      </c>
      <c r="H2740" s="6" t="s">
        <v>3741</v>
      </c>
      <c r="I2740" s="6" t="s">
        <v>3752</v>
      </c>
      <c r="J2740" s="6" t="s">
        <v>3038</v>
      </c>
      <c r="L2740" s="6" t="s">
        <v>3705</v>
      </c>
      <c r="M2740" s="6" t="e">
        <f>INDEX(医院2县区2人!$B$2:$B$1048576,MATCH(L2740,医院2县区2人!$A$2:$A$1048576,0))</f>
        <v>#N/A</v>
      </c>
      <c r="N2740" s="6" t="e">
        <f>INDEX(医院2县区2人!$C$2:$C$1048576,MATCH(L2740,医院2县区2人!$A$2:$A$1048576,0))</f>
        <v>#N/A</v>
      </c>
      <c r="P2740" s="7">
        <v>43270</v>
      </c>
      <c r="Q2740" s="6">
        <v>3</v>
      </c>
      <c r="S2740" s="6">
        <v>180101</v>
      </c>
      <c r="T2740" s="6" t="e">
        <f>INDEX(医院2县区2人!$D$2:$D$1048576,MATCH(L2740,医院2县区2人!$A$2:$A$1048576,0))</f>
        <v>#N/A</v>
      </c>
      <c r="W2740" s="6" t="str">
        <f t="shared" si="87"/>
        <v>哈药痛可贴跌打损伤型4贴</v>
      </c>
      <c r="X2740" s="6" t="s">
        <v>2901</v>
      </c>
    </row>
    <row r="2741" spans="1:24" x14ac:dyDescent="0.15">
      <c r="A2741" s="7" t="str">
        <f t="shared" si="88"/>
        <v>201806</v>
      </c>
      <c r="C2741" s="6" t="str">
        <f>INDEX(工厂基础数据!$A$2:$A$1024,MATCH(X2741,工厂基础数据!$D$2:$D$1024,0))</f>
        <v>02037769</v>
      </c>
      <c r="E2741" s="6" t="str">
        <f>INDEX(工厂基础数据!$B$2:$B$1024,MATCH(X2741,工厂基础数据!$D$2:$D$1024,0))</f>
        <v>山东海川医药有限公司</v>
      </c>
      <c r="F2741" s="6" t="e">
        <f>INDEX(商业2转码!$B$2:$B$10000,MATCH(E2741,商业2转码!$A$2:$A$10000,0))</f>
        <v>#N/A</v>
      </c>
      <c r="G2741" s="6">
        <f>INDEX(品种2编码!$A$2:$A$1048576,MATCH(W2741,品种2编码!$D$2:$D$1048576,0))</f>
        <v>0</v>
      </c>
      <c r="H2741" s="6" t="s">
        <v>3744</v>
      </c>
      <c r="I2741" s="6" t="s">
        <v>3752</v>
      </c>
      <c r="J2741" s="6" t="s">
        <v>3038</v>
      </c>
      <c r="L2741" s="6" t="s">
        <v>3705</v>
      </c>
      <c r="M2741" s="6" t="e">
        <f>INDEX(医院2县区2人!$B$2:$B$1048576,MATCH(L2741,医院2县区2人!$A$2:$A$1048576,0))</f>
        <v>#N/A</v>
      </c>
      <c r="N2741" s="6" t="e">
        <f>INDEX(医院2县区2人!$C$2:$C$1048576,MATCH(L2741,医院2县区2人!$A$2:$A$1048576,0))</f>
        <v>#N/A</v>
      </c>
      <c r="P2741" s="7">
        <v>43270</v>
      </c>
      <c r="Q2741" s="6">
        <v>3</v>
      </c>
      <c r="S2741" s="6">
        <v>180103</v>
      </c>
      <c r="T2741" s="6" t="e">
        <f>INDEX(医院2县区2人!$D$2:$D$1048576,MATCH(L2741,医院2县区2人!$A$2:$A$1048576,0))</f>
        <v>#N/A</v>
      </c>
      <c r="W2741" s="6" t="str">
        <f t="shared" si="87"/>
        <v>哈药痛可贴腰椎型4贴</v>
      </c>
      <c r="X2741" s="6" t="s">
        <v>2901</v>
      </c>
    </row>
    <row r="2742" spans="1:24" x14ac:dyDescent="0.15">
      <c r="A2742" s="7" t="str">
        <f t="shared" si="88"/>
        <v>201806</v>
      </c>
      <c r="C2742" s="6" t="str">
        <f>INDEX(工厂基础数据!$A$2:$A$1024,MATCH(X2742,工厂基础数据!$D$2:$D$1024,0))</f>
        <v>02037769</v>
      </c>
      <c r="E2742" s="6" t="str">
        <f>INDEX(工厂基础数据!$B$2:$B$1024,MATCH(X2742,工厂基础数据!$D$2:$D$1024,0))</f>
        <v>山东海川医药有限公司</v>
      </c>
      <c r="F2742" s="6" t="e">
        <f>INDEX(商业2转码!$B$2:$B$10000,MATCH(E2742,商业2转码!$A$2:$A$10000,0))</f>
        <v>#N/A</v>
      </c>
      <c r="G2742" s="6" t="str">
        <f>INDEX(品种2编码!$A$2:$A$1048576,MATCH(W2742,品种2编码!$D$2:$D$1048576,0))</f>
        <v>0020040110SHYT0002</v>
      </c>
      <c r="H2742" s="6" t="s">
        <v>601</v>
      </c>
      <c r="I2742" s="6" t="s">
        <v>1997</v>
      </c>
      <c r="J2742" s="6" t="s">
        <v>3037</v>
      </c>
      <c r="L2742" s="6" t="s">
        <v>3663</v>
      </c>
      <c r="M2742" s="6" t="e">
        <f>INDEX(医院2县区2人!$B$2:$B$1048576,MATCH(L2742,医院2县区2人!$A$2:$A$1048576,0))</f>
        <v>#N/A</v>
      </c>
      <c r="N2742" s="6" t="e">
        <f>INDEX(医院2县区2人!$C$2:$C$1048576,MATCH(L2742,医院2县区2人!$A$2:$A$1048576,0))</f>
        <v>#N/A</v>
      </c>
      <c r="P2742" s="7">
        <v>43270</v>
      </c>
      <c r="Q2742" s="6">
        <v>30</v>
      </c>
      <c r="S2742" s="6">
        <v>180201</v>
      </c>
      <c r="T2742" s="6" t="e">
        <f>INDEX(医院2县区2人!$D$2:$D$1048576,MATCH(L2742,医院2县区2人!$A$2:$A$1048576,0))</f>
        <v>#N/A</v>
      </c>
      <c r="W2742" s="6" t="str">
        <f t="shared" si="87"/>
        <v>麝香接骨胶囊0.3g*40粒</v>
      </c>
      <c r="X2742" s="6" t="s">
        <v>2901</v>
      </c>
    </row>
    <row r="2743" spans="1:24" x14ac:dyDescent="0.15">
      <c r="A2743" s="7" t="str">
        <f t="shared" si="88"/>
        <v>201806</v>
      </c>
      <c r="C2743" s="6" t="str">
        <f>INDEX(工厂基础数据!$A$2:$A$1024,MATCH(X2743,工厂基础数据!$D$2:$D$1024,0))</f>
        <v>02037769</v>
      </c>
      <c r="E2743" s="6" t="str">
        <f>INDEX(工厂基础数据!$B$2:$B$1024,MATCH(X2743,工厂基础数据!$D$2:$D$1024,0))</f>
        <v>山东海川医药有限公司</v>
      </c>
      <c r="F2743" s="6" t="e">
        <f>INDEX(商业2转码!$B$2:$B$10000,MATCH(E2743,商业2转码!$A$2:$A$10000,0))</f>
        <v>#N/A</v>
      </c>
      <c r="G2743" s="6" t="str">
        <f>INDEX(品种2编码!$A$2:$A$1048576,MATCH(W2743,品种2编码!$D$2:$D$1048576,0))</f>
        <v>0020070001ZYLC0001</v>
      </c>
      <c r="H2743" s="6" t="s">
        <v>1905</v>
      </c>
      <c r="I2743" s="6" t="s">
        <v>411</v>
      </c>
      <c r="J2743" s="6" t="s">
        <v>3036</v>
      </c>
      <c r="L2743" s="6" t="s">
        <v>3615</v>
      </c>
      <c r="M2743" s="6" t="e">
        <f>INDEX(医院2县区2人!$B$2:$B$1048576,MATCH(L2743,医院2县区2人!$A$2:$A$1048576,0))</f>
        <v>#N/A</v>
      </c>
      <c r="N2743" s="6" t="e">
        <f>INDEX(医院2县区2人!$C$2:$C$1048576,MATCH(L2743,医院2县区2人!$A$2:$A$1048576,0))</f>
        <v>#N/A</v>
      </c>
      <c r="P2743" s="7">
        <v>43270</v>
      </c>
      <c r="Q2743" s="6">
        <v>5</v>
      </c>
      <c r="S2743" s="6">
        <v>180121</v>
      </c>
      <c r="T2743" s="6" t="e">
        <f>INDEX(医院2县区2人!$D$2:$D$1048576,MATCH(L2743,医院2县区2人!$A$2:$A$1048576,0))</f>
        <v>#N/A</v>
      </c>
      <c r="W2743" s="6" t="str">
        <f t="shared" si="87"/>
        <v>哈药六钙锌口服液10ml*12支</v>
      </c>
      <c r="X2743" s="6" t="s">
        <v>2901</v>
      </c>
    </row>
    <row r="2744" spans="1:24" x14ac:dyDescent="0.15">
      <c r="A2744" s="7" t="str">
        <f t="shared" si="88"/>
        <v>201806</v>
      </c>
      <c r="C2744" s="6" t="str">
        <f>INDEX(工厂基础数据!$A$2:$A$1024,MATCH(X2744,工厂基础数据!$D$2:$D$1024,0))</f>
        <v>02037769</v>
      </c>
      <c r="E2744" s="6" t="str">
        <f>INDEX(工厂基础数据!$B$2:$B$1024,MATCH(X2744,工厂基础数据!$D$2:$D$1024,0))</f>
        <v>山东海川医药有限公司</v>
      </c>
      <c r="F2744" s="6" t="e">
        <f>INDEX(商业2转码!$B$2:$B$10000,MATCH(E2744,商业2转码!$A$2:$A$10000,0))</f>
        <v>#N/A</v>
      </c>
      <c r="G2744" s="6" t="str">
        <f>INDEX(品种2编码!$A$2:$A$1048576,MATCH(W2744,品种2编码!$D$2:$D$1048576,0))</f>
        <v>0020030001SJZY0009</v>
      </c>
      <c r="H2744" s="6" t="s">
        <v>1949</v>
      </c>
      <c r="I2744" s="6" t="s">
        <v>411</v>
      </c>
      <c r="J2744" s="6" t="s">
        <v>3040</v>
      </c>
      <c r="L2744" s="6" t="s">
        <v>3706</v>
      </c>
      <c r="M2744" s="6" t="e">
        <f>INDEX(医院2县区2人!$B$2:$B$1048576,MATCH(L2744,医院2县区2人!$A$2:$A$1048576,0))</f>
        <v>#N/A</v>
      </c>
      <c r="N2744" s="6" t="e">
        <f>INDEX(医院2县区2人!$C$2:$C$1048576,MATCH(L2744,医院2县区2人!$A$2:$A$1048576,0))</f>
        <v>#N/A</v>
      </c>
      <c r="P2744" s="7">
        <v>43270</v>
      </c>
      <c r="Q2744" s="6">
        <v>5</v>
      </c>
      <c r="S2744" s="6">
        <v>18031227</v>
      </c>
      <c r="T2744" s="6" t="e">
        <f>INDEX(医院2县区2人!$D$2:$D$1048576,MATCH(L2744,医院2县区2人!$A$2:$A$1048576,0))</f>
        <v>#N/A</v>
      </c>
      <c r="W2744" s="6" t="str">
        <f t="shared" si="87"/>
        <v>葡萄糖酸锌口服溶液10ml*12支</v>
      </c>
      <c r="X2744" s="6" t="s">
        <v>2901</v>
      </c>
    </row>
    <row r="2745" spans="1:24" x14ac:dyDescent="0.15">
      <c r="A2745" s="7" t="str">
        <f t="shared" si="88"/>
        <v>201806</v>
      </c>
      <c r="C2745" s="6" t="str">
        <f>INDEX(工厂基础数据!$A$2:$A$1024,MATCH(X2745,工厂基础数据!$D$2:$D$1024,0))</f>
        <v>02037769</v>
      </c>
      <c r="E2745" s="6" t="str">
        <f>INDEX(工厂基础数据!$B$2:$B$1024,MATCH(X2745,工厂基础数据!$D$2:$D$1024,0))</f>
        <v>山东海川医药有限公司</v>
      </c>
      <c r="F2745" s="6" t="e">
        <f>INDEX(商业2转码!$B$2:$B$10000,MATCH(E2745,商业2转码!$A$2:$A$10000,0))</f>
        <v>#N/A</v>
      </c>
      <c r="G2745" s="6" t="str">
        <f>INDEX(品种2编码!$A$2:$A$1048576,MATCH(W2745,品种2编码!$D$2:$D$1048576,0))</f>
        <v>0020030001SJZY0009</v>
      </c>
      <c r="H2745" s="6" t="s">
        <v>1949</v>
      </c>
      <c r="I2745" s="6" t="s">
        <v>411</v>
      </c>
      <c r="J2745" s="6" t="s">
        <v>3040</v>
      </c>
      <c r="L2745" s="6" t="s">
        <v>3707</v>
      </c>
      <c r="M2745" s="6" t="e">
        <f>INDEX(医院2县区2人!$B$2:$B$1048576,MATCH(L2745,医院2县区2人!$A$2:$A$1048576,0))</f>
        <v>#N/A</v>
      </c>
      <c r="N2745" s="6" t="e">
        <f>INDEX(医院2县区2人!$C$2:$C$1048576,MATCH(L2745,医院2县区2人!$A$2:$A$1048576,0))</f>
        <v>#N/A</v>
      </c>
      <c r="P2745" s="7">
        <v>43270</v>
      </c>
      <c r="Q2745" s="6">
        <v>5</v>
      </c>
      <c r="S2745" s="6">
        <v>18031227</v>
      </c>
      <c r="T2745" s="6" t="e">
        <f>INDEX(医院2县区2人!$D$2:$D$1048576,MATCH(L2745,医院2县区2人!$A$2:$A$1048576,0))</f>
        <v>#N/A</v>
      </c>
      <c r="W2745" s="6" t="str">
        <f t="shared" si="87"/>
        <v>葡萄糖酸锌口服溶液10ml*12支</v>
      </c>
      <c r="X2745" s="6" t="s">
        <v>2901</v>
      </c>
    </row>
    <row r="2746" spans="1:24" x14ac:dyDescent="0.15">
      <c r="A2746" s="7" t="str">
        <f t="shared" si="88"/>
        <v>201806</v>
      </c>
      <c r="C2746" s="6" t="str">
        <f>INDEX(工厂基础数据!$A$2:$A$1024,MATCH(X2746,工厂基础数据!$D$2:$D$1024,0))</f>
        <v>02037769</v>
      </c>
      <c r="E2746" s="6" t="str">
        <f>INDEX(工厂基础数据!$B$2:$B$1024,MATCH(X2746,工厂基础数据!$D$2:$D$1024,0))</f>
        <v>山东海川医药有限公司</v>
      </c>
      <c r="F2746" s="6" t="e">
        <f>INDEX(商业2转码!$B$2:$B$10000,MATCH(E2746,商业2转码!$A$2:$A$10000,0))</f>
        <v>#N/A</v>
      </c>
      <c r="G2746" s="6" t="str">
        <f>INDEX(品种2编码!$A$2:$A$1048576,MATCH(W2746,品种2编码!$D$2:$D$1048576,0))</f>
        <v>0020030001SJZY0006</v>
      </c>
      <c r="H2746" s="6" t="s">
        <v>1833</v>
      </c>
      <c r="I2746" s="6" t="s">
        <v>411</v>
      </c>
      <c r="J2746" s="6" t="s">
        <v>3044</v>
      </c>
      <c r="L2746" s="6" t="s">
        <v>3707</v>
      </c>
      <c r="M2746" s="6" t="e">
        <f>INDEX(医院2县区2人!$B$2:$B$1048576,MATCH(L2746,医院2县区2人!$A$2:$A$1048576,0))</f>
        <v>#N/A</v>
      </c>
      <c r="N2746" s="6" t="e">
        <f>INDEX(医院2县区2人!$C$2:$C$1048576,MATCH(L2746,医院2县区2人!$A$2:$A$1048576,0))</f>
        <v>#N/A</v>
      </c>
      <c r="P2746" s="7">
        <v>43270</v>
      </c>
      <c r="Q2746" s="6">
        <v>5</v>
      </c>
      <c r="S2746" s="6">
        <v>18030532</v>
      </c>
      <c r="T2746" s="6" t="e">
        <f>INDEX(医院2县区2人!$D$2:$D$1048576,MATCH(L2746,医院2县区2人!$A$2:$A$1048576,0))</f>
        <v>#N/A</v>
      </c>
      <c r="W2746" s="6" t="str">
        <f t="shared" si="87"/>
        <v>葡萄糖酸钙口服溶液10ml*12支</v>
      </c>
      <c r="X2746" s="6" t="s">
        <v>2901</v>
      </c>
    </row>
    <row r="2747" spans="1:24" x14ac:dyDescent="0.15">
      <c r="A2747" s="7" t="str">
        <f t="shared" si="88"/>
        <v>201806</v>
      </c>
      <c r="C2747" s="6" t="str">
        <f>INDEX(工厂基础数据!$A$2:$A$1024,MATCH(X2747,工厂基础数据!$D$2:$D$1024,0))</f>
        <v>02037769</v>
      </c>
      <c r="E2747" s="6" t="str">
        <f>INDEX(工厂基础数据!$B$2:$B$1024,MATCH(X2747,工厂基础数据!$D$2:$D$1024,0))</f>
        <v>山东海川医药有限公司</v>
      </c>
      <c r="F2747" s="6" t="e">
        <f>INDEX(商业2转码!$B$2:$B$10000,MATCH(E2747,商业2转码!$A$2:$A$10000,0))</f>
        <v>#N/A</v>
      </c>
      <c r="G2747" s="6" t="str">
        <f>INDEX(品种2编码!$A$2:$A$1048576,MATCH(W2747,品种2编码!$D$2:$D$1048576,0))</f>
        <v>0020030001SJZY0009</v>
      </c>
      <c r="H2747" s="6" t="s">
        <v>1949</v>
      </c>
      <c r="I2747" s="6" t="s">
        <v>411</v>
      </c>
      <c r="J2747" s="6" t="s">
        <v>3040</v>
      </c>
      <c r="L2747" s="6" t="s">
        <v>3691</v>
      </c>
      <c r="M2747" s="6" t="e">
        <f>INDEX(医院2县区2人!$B$2:$B$1048576,MATCH(L2747,医院2县区2人!$A$2:$A$1048576,0))</f>
        <v>#N/A</v>
      </c>
      <c r="N2747" s="6" t="e">
        <f>INDEX(医院2县区2人!$C$2:$C$1048576,MATCH(L2747,医院2县区2人!$A$2:$A$1048576,0))</f>
        <v>#N/A</v>
      </c>
      <c r="P2747" s="7">
        <v>43270</v>
      </c>
      <c r="Q2747" s="6">
        <v>1</v>
      </c>
      <c r="S2747" s="6">
        <v>18031227</v>
      </c>
      <c r="T2747" s="6" t="e">
        <f>INDEX(医院2县区2人!$D$2:$D$1048576,MATCH(L2747,医院2县区2人!$A$2:$A$1048576,0))</f>
        <v>#N/A</v>
      </c>
      <c r="W2747" s="6" t="str">
        <f t="shared" ref="W2747:W2810" si="89">H2747&amp;I2747</f>
        <v>葡萄糖酸锌口服溶液10ml*12支</v>
      </c>
      <c r="X2747" s="6" t="s">
        <v>2901</v>
      </c>
    </row>
    <row r="2748" spans="1:24" x14ac:dyDescent="0.15">
      <c r="A2748" s="7" t="str">
        <f t="shared" ref="A2748:A2811" si="90">IF(MONTH(P2748)&lt;10,YEAR(P2748)&amp;"0"&amp;MONTH(P2748),YEAR(P2748)&amp;MONTH(P2748))</f>
        <v>201806</v>
      </c>
      <c r="C2748" s="6" t="str">
        <f>INDEX(工厂基础数据!$A$2:$A$1024,MATCH(X2748,工厂基础数据!$D$2:$D$1024,0))</f>
        <v>02037769</v>
      </c>
      <c r="E2748" s="6" t="str">
        <f>INDEX(工厂基础数据!$B$2:$B$1024,MATCH(X2748,工厂基础数据!$D$2:$D$1024,0))</f>
        <v>山东海川医药有限公司</v>
      </c>
      <c r="F2748" s="6" t="e">
        <f>INDEX(商业2转码!$B$2:$B$10000,MATCH(E2748,商业2转码!$A$2:$A$10000,0))</f>
        <v>#N/A</v>
      </c>
      <c r="G2748" s="6">
        <f>INDEX(品种2编码!$A$2:$A$1048576,MATCH(W2748,品种2编码!$D$2:$D$1048576,0))</f>
        <v>0</v>
      </c>
      <c r="H2748" s="6" t="s">
        <v>1885</v>
      </c>
      <c r="I2748" s="6" t="s">
        <v>1838</v>
      </c>
      <c r="J2748" s="6" t="s">
        <v>3036</v>
      </c>
      <c r="L2748" s="6" t="s">
        <v>3708</v>
      </c>
      <c r="M2748" s="6" t="e">
        <f>INDEX(医院2县区2人!$B$2:$B$1048576,MATCH(L2748,医院2县区2人!$A$2:$A$1048576,0))</f>
        <v>#N/A</v>
      </c>
      <c r="N2748" s="6" t="e">
        <f>INDEX(医院2县区2人!$C$2:$C$1048576,MATCH(L2748,医院2县区2人!$A$2:$A$1048576,0))</f>
        <v>#N/A</v>
      </c>
      <c r="P2748" s="7">
        <v>43270</v>
      </c>
      <c r="Q2748" s="6">
        <v>2</v>
      </c>
      <c r="S2748" s="6">
        <v>180105</v>
      </c>
      <c r="T2748" s="6" t="e">
        <f>INDEX(医院2县区2人!$D$2:$D$1048576,MATCH(L2748,医院2县区2人!$A$2:$A$1048576,0))</f>
        <v>#N/A</v>
      </c>
      <c r="W2748" s="6" t="str">
        <f t="shared" si="89"/>
        <v>新盖中盖高钙片2.5g*36片</v>
      </c>
      <c r="X2748" s="6" t="s">
        <v>2901</v>
      </c>
    </row>
    <row r="2749" spans="1:24" x14ac:dyDescent="0.15">
      <c r="A2749" s="7" t="str">
        <f t="shared" si="90"/>
        <v>201806</v>
      </c>
      <c r="C2749" s="6" t="str">
        <f>INDEX(工厂基础数据!$A$2:$A$1024,MATCH(X2749,工厂基础数据!$D$2:$D$1024,0))</f>
        <v>02037769</v>
      </c>
      <c r="E2749" s="6" t="str">
        <f>INDEX(工厂基础数据!$B$2:$B$1024,MATCH(X2749,工厂基础数据!$D$2:$D$1024,0))</f>
        <v>山东海川医药有限公司</v>
      </c>
      <c r="F2749" s="6" t="e">
        <f>INDEX(商业2转码!$B$2:$B$10000,MATCH(E2749,商业2转码!$A$2:$A$10000,0))</f>
        <v>#N/A</v>
      </c>
      <c r="G2749" s="6">
        <f>INDEX(品种2编码!$A$2:$A$1048576,MATCH(W2749,品种2编码!$D$2:$D$1048576,0))</f>
        <v>0</v>
      </c>
      <c r="H2749" s="6" t="s">
        <v>3747</v>
      </c>
      <c r="I2749" s="6" t="s">
        <v>381</v>
      </c>
      <c r="J2749" s="6" t="s">
        <v>3036</v>
      </c>
      <c r="L2749" s="6" t="s">
        <v>3682</v>
      </c>
      <c r="M2749" s="6" t="e">
        <f>INDEX(医院2县区2人!$B$2:$B$1048576,MATCH(L2749,医院2县区2人!$A$2:$A$1048576,0))</f>
        <v>#N/A</v>
      </c>
      <c r="N2749" s="6" t="e">
        <f>INDEX(医院2县区2人!$C$2:$C$1048576,MATCH(L2749,医院2县区2人!$A$2:$A$1048576,0))</f>
        <v>#N/A</v>
      </c>
      <c r="P2749" s="7">
        <v>43271</v>
      </c>
      <c r="Q2749" s="6">
        <v>10</v>
      </c>
      <c r="S2749" s="6">
        <v>161103</v>
      </c>
      <c r="T2749" s="6" t="e">
        <f>INDEX(医院2县区2人!$D$2:$D$1048576,MATCH(L2749,医院2县区2人!$A$2:$A$1048576,0))</f>
        <v>#N/A</v>
      </c>
      <c r="W2749" s="6" t="str">
        <f t="shared" si="89"/>
        <v>颠茄磺苄啶片（成人）12片</v>
      </c>
      <c r="X2749" s="6" t="s">
        <v>2901</v>
      </c>
    </row>
    <row r="2750" spans="1:24" x14ac:dyDescent="0.15">
      <c r="A2750" s="7" t="str">
        <f t="shared" si="90"/>
        <v>201806</v>
      </c>
      <c r="C2750" s="6" t="str">
        <f>INDEX(工厂基础数据!$A$2:$A$1024,MATCH(X2750,工厂基础数据!$D$2:$D$1024,0))</f>
        <v>02037769</v>
      </c>
      <c r="E2750" s="6" t="str">
        <f>INDEX(工厂基础数据!$B$2:$B$1024,MATCH(X2750,工厂基础数据!$D$2:$D$1024,0))</f>
        <v>山东海川医药有限公司</v>
      </c>
      <c r="F2750" s="6" t="e">
        <f>INDEX(商业2转码!$B$2:$B$10000,MATCH(E2750,商业2转码!$A$2:$A$10000,0))</f>
        <v>#N/A</v>
      </c>
      <c r="G2750" s="6">
        <f>INDEX(品种2编码!$A$2:$A$1048576,MATCH(W2750,品种2编码!$D$2:$D$1048576,0))</f>
        <v>0</v>
      </c>
      <c r="H2750" s="6" t="s">
        <v>1885</v>
      </c>
      <c r="I2750" s="6" t="s">
        <v>1838</v>
      </c>
      <c r="J2750" s="6" t="s">
        <v>3036</v>
      </c>
      <c r="L2750" s="6" t="s">
        <v>3659</v>
      </c>
      <c r="M2750" s="6" t="e">
        <f>INDEX(医院2县区2人!$B$2:$B$1048576,MATCH(L2750,医院2县区2人!$A$2:$A$1048576,0))</f>
        <v>#N/A</v>
      </c>
      <c r="N2750" s="6" t="e">
        <f>INDEX(医院2县区2人!$C$2:$C$1048576,MATCH(L2750,医院2县区2人!$A$2:$A$1048576,0))</f>
        <v>#N/A</v>
      </c>
      <c r="P2750" s="7">
        <v>43271</v>
      </c>
      <c r="Q2750" s="6">
        <v>2</v>
      </c>
      <c r="S2750" s="6">
        <v>180105</v>
      </c>
      <c r="T2750" s="6" t="e">
        <f>INDEX(医院2县区2人!$D$2:$D$1048576,MATCH(L2750,医院2县区2人!$A$2:$A$1048576,0))</f>
        <v>#N/A</v>
      </c>
      <c r="W2750" s="6" t="str">
        <f t="shared" si="89"/>
        <v>新盖中盖高钙片2.5g*36片</v>
      </c>
      <c r="X2750" s="6" t="s">
        <v>2901</v>
      </c>
    </row>
    <row r="2751" spans="1:24" x14ac:dyDescent="0.15">
      <c r="A2751" s="7" t="str">
        <f t="shared" si="90"/>
        <v>201806</v>
      </c>
      <c r="C2751" s="6" t="str">
        <f>INDEX(工厂基础数据!$A$2:$A$1024,MATCH(X2751,工厂基础数据!$D$2:$D$1024,0))</f>
        <v>02037769</v>
      </c>
      <c r="E2751" s="6" t="str">
        <f>INDEX(工厂基础数据!$B$2:$B$1024,MATCH(X2751,工厂基础数据!$D$2:$D$1024,0))</f>
        <v>山东海川医药有限公司</v>
      </c>
      <c r="F2751" s="6" t="e">
        <f>INDEX(商业2转码!$B$2:$B$10000,MATCH(E2751,商业2转码!$A$2:$A$10000,0))</f>
        <v>#N/A</v>
      </c>
      <c r="G2751" s="6">
        <f>INDEX(品种2编码!$A$2:$A$1048576,MATCH(W2751,品种2编码!$D$2:$D$1048576,0))</f>
        <v>0</v>
      </c>
      <c r="H2751" s="6" t="s">
        <v>1885</v>
      </c>
      <c r="I2751" s="6" t="s">
        <v>1838</v>
      </c>
      <c r="J2751" s="6" t="s">
        <v>3036</v>
      </c>
      <c r="L2751" s="6" t="s">
        <v>3664</v>
      </c>
      <c r="M2751" s="6" t="e">
        <f>INDEX(医院2县区2人!$B$2:$B$1048576,MATCH(L2751,医院2县区2人!$A$2:$A$1048576,0))</f>
        <v>#N/A</v>
      </c>
      <c r="N2751" s="6" t="e">
        <f>INDEX(医院2县区2人!$C$2:$C$1048576,MATCH(L2751,医院2县区2人!$A$2:$A$1048576,0))</f>
        <v>#N/A</v>
      </c>
      <c r="P2751" s="7">
        <v>43272</v>
      </c>
      <c r="Q2751" s="6">
        <v>5</v>
      </c>
      <c r="S2751" s="6">
        <v>180106</v>
      </c>
      <c r="T2751" s="6" t="e">
        <f>INDEX(医院2县区2人!$D$2:$D$1048576,MATCH(L2751,医院2县区2人!$A$2:$A$1048576,0))</f>
        <v>#N/A</v>
      </c>
      <c r="W2751" s="6" t="str">
        <f t="shared" si="89"/>
        <v>新盖中盖高钙片2.5g*36片</v>
      </c>
      <c r="X2751" s="6" t="s">
        <v>2901</v>
      </c>
    </row>
    <row r="2752" spans="1:24" x14ac:dyDescent="0.15">
      <c r="A2752" s="7" t="str">
        <f t="shared" si="90"/>
        <v>201806</v>
      </c>
      <c r="C2752" s="6" t="str">
        <f>INDEX(工厂基础数据!$A$2:$A$1024,MATCH(X2752,工厂基础数据!$D$2:$D$1024,0))</f>
        <v>02037769</v>
      </c>
      <c r="E2752" s="6" t="str">
        <f>INDEX(工厂基础数据!$B$2:$B$1024,MATCH(X2752,工厂基础数据!$D$2:$D$1024,0))</f>
        <v>山东海川医药有限公司</v>
      </c>
      <c r="F2752" s="6" t="e">
        <f>INDEX(商业2转码!$B$2:$B$10000,MATCH(E2752,商业2转码!$A$2:$A$10000,0))</f>
        <v>#N/A</v>
      </c>
      <c r="G2752" s="6" t="str">
        <f>INDEX(品种2编码!$A$2:$A$1048576,MATCH(W2752,品种2编码!$D$2:$D$1048576,0))</f>
        <v>0020030001SJZY0006</v>
      </c>
      <c r="H2752" s="6" t="s">
        <v>1833</v>
      </c>
      <c r="I2752" s="6" t="s">
        <v>411</v>
      </c>
      <c r="J2752" s="6" t="s">
        <v>3044</v>
      </c>
      <c r="L2752" s="6" t="s">
        <v>3686</v>
      </c>
      <c r="M2752" s="6" t="e">
        <f>INDEX(医院2县区2人!$B$2:$B$1048576,MATCH(L2752,医院2县区2人!$A$2:$A$1048576,0))</f>
        <v>#N/A</v>
      </c>
      <c r="N2752" s="6" t="e">
        <f>INDEX(医院2县区2人!$C$2:$C$1048576,MATCH(L2752,医院2县区2人!$A$2:$A$1048576,0))</f>
        <v>#N/A</v>
      </c>
      <c r="P2752" s="7">
        <v>43272</v>
      </c>
      <c r="Q2752" s="6">
        <v>5</v>
      </c>
      <c r="S2752" s="6">
        <v>18030532</v>
      </c>
      <c r="T2752" s="6" t="e">
        <f>INDEX(医院2县区2人!$D$2:$D$1048576,MATCH(L2752,医院2县区2人!$A$2:$A$1048576,0))</f>
        <v>#N/A</v>
      </c>
      <c r="W2752" s="6" t="str">
        <f t="shared" si="89"/>
        <v>葡萄糖酸钙口服溶液10ml*12支</v>
      </c>
      <c r="X2752" s="6" t="s">
        <v>2901</v>
      </c>
    </row>
    <row r="2753" spans="1:24" x14ac:dyDescent="0.15">
      <c r="A2753" s="7" t="str">
        <f t="shared" si="90"/>
        <v>201806</v>
      </c>
      <c r="C2753" s="6" t="str">
        <f>INDEX(工厂基础数据!$A$2:$A$1024,MATCH(X2753,工厂基础数据!$D$2:$D$1024,0))</f>
        <v>02037769</v>
      </c>
      <c r="E2753" s="6" t="str">
        <f>INDEX(工厂基础数据!$B$2:$B$1024,MATCH(X2753,工厂基础数据!$D$2:$D$1024,0))</f>
        <v>山东海川医药有限公司</v>
      </c>
      <c r="F2753" s="6" t="e">
        <f>INDEX(商业2转码!$B$2:$B$10000,MATCH(E2753,商业2转码!$A$2:$A$10000,0))</f>
        <v>#N/A</v>
      </c>
      <c r="G2753" s="6" t="str">
        <f>INDEX(品种2编码!$A$2:$A$1048576,MATCH(W2753,品种2编码!$D$2:$D$1048576,0))</f>
        <v>0020070001ZYZC0377</v>
      </c>
      <c r="H2753" s="6" t="s">
        <v>1849</v>
      </c>
      <c r="I2753" s="6" t="s">
        <v>1887</v>
      </c>
      <c r="J2753" s="6" t="s">
        <v>3038</v>
      </c>
      <c r="L2753" s="6" t="s">
        <v>3626</v>
      </c>
      <c r="M2753" s="6" t="e">
        <f>INDEX(医院2县区2人!$B$2:$B$1048576,MATCH(L2753,医院2县区2人!$A$2:$A$1048576,0))</f>
        <v>#N/A</v>
      </c>
      <c r="N2753" s="6" t="e">
        <f>INDEX(医院2县区2人!$C$2:$C$1048576,MATCH(L2753,医院2县区2人!$A$2:$A$1048576,0))</f>
        <v>#N/A</v>
      </c>
      <c r="P2753" s="7">
        <v>43272</v>
      </c>
      <c r="Q2753" s="6">
        <v>10</v>
      </c>
      <c r="S2753" s="6">
        <v>1801042</v>
      </c>
      <c r="T2753" s="6" t="e">
        <f>INDEX(医院2县区2人!$D$2:$D$1048576,MATCH(L2753,医院2县区2人!$A$2:$A$1048576,0))</f>
        <v>#N/A</v>
      </c>
      <c r="W2753" s="6" t="str">
        <f t="shared" si="89"/>
        <v>哈药牌钙铁锌口服液10ml*15支</v>
      </c>
      <c r="X2753" s="6" t="s">
        <v>2901</v>
      </c>
    </row>
    <row r="2754" spans="1:24" x14ac:dyDescent="0.15">
      <c r="A2754" s="7" t="str">
        <f t="shared" si="90"/>
        <v>201806</v>
      </c>
      <c r="C2754" s="6" t="str">
        <f>INDEX(工厂基础数据!$A$2:$A$1024,MATCH(X2754,工厂基础数据!$D$2:$D$1024,0))</f>
        <v>02037769</v>
      </c>
      <c r="E2754" s="6" t="str">
        <f>INDEX(工厂基础数据!$B$2:$B$1024,MATCH(X2754,工厂基础数据!$D$2:$D$1024,0))</f>
        <v>山东海川医药有限公司</v>
      </c>
      <c r="F2754" s="6" t="e">
        <f>INDEX(商业2转码!$B$2:$B$10000,MATCH(E2754,商业2转码!$A$2:$A$10000,0))</f>
        <v>#N/A</v>
      </c>
      <c r="G2754" s="6" t="str">
        <f>INDEX(品种2编码!$A$2:$A$1048576,MATCH(W2754,品种2编码!$D$2:$D$1048576,0))</f>
        <v>0020030001SJZY0009</v>
      </c>
      <c r="H2754" s="6" t="s">
        <v>1949</v>
      </c>
      <c r="I2754" s="6" t="s">
        <v>411</v>
      </c>
      <c r="J2754" s="6" t="s">
        <v>3040</v>
      </c>
      <c r="L2754" s="6" t="s">
        <v>3709</v>
      </c>
      <c r="M2754" s="6" t="e">
        <f>INDEX(医院2县区2人!$B$2:$B$1048576,MATCH(L2754,医院2县区2人!$A$2:$A$1048576,0))</f>
        <v>#N/A</v>
      </c>
      <c r="N2754" s="6" t="e">
        <f>INDEX(医院2县区2人!$C$2:$C$1048576,MATCH(L2754,医院2县区2人!$A$2:$A$1048576,0))</f>
        <v>#N/A</v>
      </c>
      <c r="P2754" s="7">
        <v>43272</v>
      </c>
      <c r="Q2754" s="6">
        <v>10</v>
      </c>
      <c r="S2754" s="6">
        <v>18031227</v>
      </c>
      <c r="T2754" s="6" t="e">
        <f>INDEX(医院2县区2人!$D$2:$D$1048576,MATCH(L2754,医院2县区2人!$A$2:$A$1048576,0))</f>
        <v>#N/A</v>
      </c>
      <c r="W2754" s="6" t="str">
        <f t="shared" si="89"/>
        <v>葡萄糖酸锌口服溶液10ml*12支</v>
      </c>
      <c r="X2754" s="6" t="s">
        <v>2901</v>
      </c>
    </row>
    <row r="2755" spans="1:24" x14ac:dyDescent="0.15">
      <c r="A2755" s="7" t="str">
        <f t="shared" si="90"/>
        <v>201806</v>
      </c>
      <c r="C2755" s="6" t="str">
        <f>INDEX(工厂基础数据!$A$2:$A$1024,MATCH(X2755,工厂基础数据!$D$2:$D$1024,0))</f>
        <v>02037769</v>
      </c>
      <c r="E2755" s="6" t="str">
        <f>INDEX(工厂基础数据!$B$2:$B$1024,MATCH(X2755,工厂基础数据!$D$2:$D$1024,0))</f>
        <v>山东海川医药有限公司</v>
      </c>
      <c r="F2755" s="6" t="e">
        <f>INDEX(商业2转码!$B$2:$B$10000,MATCH(E2755,商业2转码!$A$2:$A$10000,0))</f>
        <v>#N/A</v>
      </c>
      <c r="G2755" s="6" t="str">
        <f>INDEX(品种2编码!$A$2:$A$1048576,MATCH(W2755,品种2编码!$D$2:$D$1048576,0))</f>
        <v>0020030020SJSC0004</v>
      </c>
      <c r="H2755" s="6" t="s">
        <v>394</v>
      </c>
      <c r="I2755" s="6" t="s">
        <v>1871</v>
      </c>
      <c r="J2755" s="6" t="s">
        <v>3755</v>
      </c>
      <c r="L2755" s="6" t="s">
        <v>3666</v>
      </c>
      <c r="M2755" s="6" t="e">
        <f>INDEX(医院2县区2人!$B$2:$B$1048576,MATCH(L2755,医院2县区2人!$A$2:$A$1048576,0))</f>
        <v>#N/A</v>
      </c>
      <c r="N2755" s="6" t="e">
        <f>INDEX(医院2县区2人!$C$2:$C$1048576,MATCH(L2755,医院2县区2人!$A$2:$A$1048576,0))</f>
        <v>#N/A</v>
      </c>
      <c r="P2755" s="7">
        <v>43272</v>
      </c>
      <c r="Q2755" s="6">
        <v>2</v>
      </c>
      <c r="S2755" s="6">
        <v>1802021</v>
      </c>
      <c r="T2755" s="6" t="e">
        <f>INDEX(医院2县区2人!$D$2:$D$1048576,MATCH(L2755,医院2县区2人!$A$2:$A$1048576,0))</f>
        <v>#N/A</v>
      </c>
      <c r="W2755" s="6" t="str">
        <f t="shared" si="89"/>
        <v>复方铝酸铋片50片</v>
      </c>
      <c r="X2755" s="6" t="s">
        <v>2901</v>
      </c>
    </row>
    <row r="2756" spans="1:24" x14ac:dyDescent="0.15">
      <c r="A2756" s="7" t="str">
        <f t="shared" si="90"/>
        <v>201806</v>
      </c>
      <c r="C2756" s="6" t="str">
        <f>INDEX(工厂基础数据!$A$2:$A$1024,MATCH(X2756,工厂基础数据!$D$2:$D$1024,0))</f>
        <v>02037769</v>
      </c>
      <c r="E2756" s="6" t="str">
        <f>INDEX(工厂基础数据!$B$2:$B$1024,MATCH(X2756,工厂基础数据!$D$2:$D$1024,0))</f>
        <v>山东海川医药有限公司</v>
      </c>
      <c r="F2756" s="6" t="e">
        <f>INDEX(商业2转码!$B$2:$B$10000,MATCH(E2756,商业2转码!$A$2:$A$10000,0))</f>
        <v>#N/A</v>
      </c>
      <c r="G2756" s="6" t="str">
        <f>INDEX(品种2编码!$A$2:$A$1048576,MATCH(W2756,品种2编码!$D$2:$D$1048576,0))</f>
        <v>0020030001SJZY0009</v>
      </c>
      <c r="H2756" s="6" t="s">
        <v>1949</v>
      </c>
      <c r="I2756" s="6" t="s">
        <v>411</v>
      </c>
      <c r="J2756" s="6" t="s">
        <v>3040</v>
      </c>
      <c r="L2756" s="6" t="s">
        <v>3648</v>
      </c>
      <c r="M2756" s="6" t="e">
        <f>INDEX(医院2县区2人!$B$2:$B$1048576,MATCH(L2756,医院2县区2人!$A$2:$A$1048576,0))</f>
        <v>#N/A</v>
      </c>
      <c r="N2756" s="6" t="e">
        <f>INDEX(医院2县区2人!$C$2:$C$1048576,MATCH(L2756,医院2县区2人!$A$2:$A$1048576,0))</f>
        <v>#N/A</v>
      </c>
      <c r="P2756" s="7">
        <v>43272</v>
      </c>
      <c r="Q2756" s="6">
        <v>5</v>
      </c>
      <c r="S2756" s="6">
        <v>18031227</v>
      </c>
      <c r="T2756" s="6" t="e">
        <f>INDEX(医院2县区2人!$D$2:$D$1048576,MATCH(L2756,医院2县区2人!$A$2:$A$1048576,0))</f>
        <v>#N/A</v>
      </c>
      <c r="W2756" s="6" t="str">
        <f t="shared" si="89"/>
        <v>葡萄糖酸锌口服溶液10ml*12支</v>
      </c>
      <c r="X2756" s="6" t="s">
        <v>2901</v>
      </c>
    </row>
    <row r="2757" spans="1:24" x14ac:dyDescent="0.15">
      <c r="A2757" s="7" t="str">
        <f t="shared" si="90"/>
        <v>201806</v>
      </c>
      <c r="C2757" s="6" t="str">
        <f>INDEX(工厂基础数据!$A$2:$A$1024,MATCH(X2757,工厂基础数据!$D$2:$D$1024,0))</f>
        <v>02037769</v>
      </c>
      <c r="E2757" s="6" t="str">
        <f>INDEX(工厂基础数据!$B$2:$B$1024,MATCH(X2757,工厂基础数据!$D$2:$D$1024,0))</f>
        <v>山东海川医药有限公司</v>
      </c>
      <c r="F2757" s="6" t="e">
        <f>INDEX(商业2转码!$B$2:$B$10000,MATCH(E2757,商业2转码!$A$2:$A$10000,0))</f>
        <v>#N/A</v>
      </c>
      <c r="G2757" s="6" t="str">
        <f>INDEX(品种2编码!$A$2:$A$1048576,MATCH(W2757,品种2编码!$D$2:$D$1048576,0))</f>
        <v>0020030001SJZY0006</v>
      </c>
      <c r="H2757" s="6" t="s">
        <v>1833</v>
      </c>
      <c r="I2757" s="6" t="s">
        <v>411</v>
      </c>
      <c r="J2757" s="6" t="s">
        <v>3044</v>
      </c>
      <c r="L2757" s="6" t="s">
        <v>3699</v>
      </c>
      <c r="M2757" s="6" t="e">
        <f>INDEX(医院2县区2人!$B$2:$B$1048576,MATCH(L2757,医院2县区2人!$A$2:$A$1048576,0))</f>
        <v>#N/A</v>
      </c>
      <c r="N2757" s="6" t="e">
        <f>INDEX(医院2县区2人!$C$2:$C$1048576,MATCH(L2757,医院2县区2人!$A$2:$A$1048576,0))</f>
        <v>#N/A</v>
      </c>
      <c r="P2757" s="7">
        <v>43272</v>
      </c>
      <c r="Q2757" s="6">
        <v>5</v>
      </c>
      <c r="S2757" s="6">
        <v>18030532</v>
      </c>
      <c r="T2757" s="6" t="e">
        <f>INDEX(医院2县区2人!$D$2:$D$1048576,MATCH(L2757,医院2县区2人!$A$2:$A$1048576,0))</f>
        <v>#N/A</v>
      </c>
      <c r="W2757" s="6" t="str">
        <f t="shared" si="89"/>
        <v>葡萄糖酸钙口服溶液10ml*12支</v>
      </c>
      <c r="X2757" s="6" t="s">
        <v>2901</v>
      </c>
    </row>
    <row r="2758" spans="1:24" x14ac:dyDescent="0.15">
      <c r="A2758" s="7" t="str">
        <f t="shared" si="90"/>
        <v>201806</v>
      </c>
      <c r="C2758" s="6" t="str">
        <f>INDEX(工厂基础数据!$A$2:$A$1024,MATCH(X2758,工厂基础数据!$D$2:$D$1024,0))</f>
        <v>02037769</v>
      </c>
      <c r="E2758" s="6" t="str">
        <f>INDEX(工厂基础数据!$B$2:$B$1024,MATCH(X2758,工厂基础数据!$D$2:$D$1024,0))</f>
        <v>山东海川医药有限公司</v>
      </c>
      <c r="F2758" s="6" t="e">
        <f>INDEX(商业2转码!$B$2:$B$10000,MATCH(E2758,商业2转码!$A$2:$A$10000,0))</f>
        <v>#N/A</v>
      </c>
      <c r="G2758" s="6">
        <f>INDEX(品种2编码!$A$2:$A$1048576,MATCH(W2758,品种2编码!$D$2:$D$1048576,0))</f>
        <v>0</v>
      </c>
      <c r="H2758" s="6" t="s">
        <v>3747</v>
      </c>
      <c r="I2758" s="6" t="s">
        <v>381</v>
      </c>
      <c r="J2758" s="6" t="s">
        <v>3036</v>
      </c>
      <c r="L2758" s="6" t="s">
        <v>3632</v>
      </c>
      <c r="M2758" s="6" t="e">
        <f>INDEX(医院2县区2人!$B$2:$B$1048576,MATCH(L2758,医院2县区2人!$A$2:$A$1048576,0))</f>
        <v>#N/A</v>
      </c>
      <c r="N2758" s="6" t="e">
        <f>INDEX(医院2县区2人!$C$2:$C$1048576,MATCH(L2758,医院2县区2人!$A$2:$A$1048576,0))</f>
        <v>#N/A</v>
      </c>
      <c r="P2758" s="7">
        <v>43272</v>
      </c>
      <c r="Q2758" s="6">
        <v>3</v>
      </c>
      <c r="S2758" s="6">
        <v>161103</v>
      </c>
      <c r="T2758" s="6" t="e">
        <f>INDEX(医院2县区2人!$D$2:$D$1048576,MATCH(L2758,医院2县区2人!$A$2:$A$1048576,0))</f>
        <v>#N/A</v>
      </c>
      <c r="W2758" s="6" t="str">
        <f t="shared" si="89"/>
        <v>颠茄磺苄啶片（成人）12片</v>
      </c>
      <c r="X2758" s="6" t="s">
        <v>2901</v>
      </c>
    </row>
    <row r="2759" spans="1:24" x14ac:dyDescent="0.15">
      <c r="A2759" s="7" t="str">
        <f t="shared" si="90"/>
        <v>201806</v>
      </c>
      <c r="C2759" s="6" t="str">
        <f>INDEX(工厂基础数据!$A$2:$A$1024,MATCH(X2759,工厂基础数据!$D$2:$D$1024,0))</f>
        <v>02037769</v>
      </c>
      <c r="E2759" s="6" t="str">
        <f>INDEX(工厂基础数据!$B$2:$B$1024,MATCH(X2759,工厂基础数据!$D$2:$D$1024,0))</f>
        <v>山东海川医药有限公司</v>
      </c>
      <c r="F2759" s="6" t="e">
        <f>INDEX(商业2转码!$B$2:$B$10000,MATCH(E2759,商业2转码!$A$2:$A$10000,0))</f>
        <v>#N/A</v>
      </c>
      <c r="G2759" s="6" t="str">
        <f>INDEX(品种2编码!$A$2:$A$1048576,MATCH(W2759,品种2编码!$D$2:$D$1048576,0))</f>
        <v>0020070001ZYZC0377</v>
      </c>
      <c r="H2759" s="6" t="s">
        <v>1849</v>
      </c>
      <c r="I2759" s="6" t="s">
        <v>1887</v>
      </c>
      <c r="J2759" s="6" t="s">
        <v>3038</v>
      </c>
      <c r="L2759" s="6" t="s">
        <v>3630</v>
      </c>
      <c r="M2759" s="6" t="e">
        <f>INDEX(医院2县区2人!$B$2:$B$1048576,MATCH(L2759,医院2县区2人!$A$2:$A$1048576,0))</f>
        <v>#N/A</v>
      </c>
      <c r="N2759" s="6" t="e">
        <f>INDEX(医院2县区2人!$C$2:$C$1048576,MATCH(L2759,医院2县区2人!$A$2:$A$1048576,0))</f>
        <v>#N/A</v>
      </c>
      <c r="P2759" s="7">
        <v>43272</v>
      </c>
      <c r="Q2759" s="6">
        <v>10</v>
      </c>
      <c r="S2759" s="6">
        <v>1801042</v>
      </c>
      <c r="T2759" s="6" t="e">
        <f>INDEX(医院2县区2人!$D$2:$D$1048576,MATCH(L2759,医院2县区2人!$A$2:$A$1048576,0))</f>
        <v>#N/A</v>
      </c>
      <c r="W2759" s="6" t="str">
        <f t="shared" si="89"/>
        <v>哈药牌钙铁锌口服液10ml*15支</v>
      </c>
      <c r="X2759" s="6" t="s">
        <v>2901</v>
      </c>
    </row>
    <row r="2760" spans="1:24" x14ac:dyDescent="0.15">
      <c r="A2760" s="7" t="str">
        <f t="shared" si="90"/>
        <v>201806</v>
      </c>
      <c r="C2760" s="6" t="str">
        <f>INDEX(工厂基础数据!$A$2:$A$1024,MATCH(X2760,工厂基础数据!$D$2:$D$1024,0))</f>
        <v>02037769</v>
      </c>
      <c r="E2760" s="6" t="str">
        <f>INDEX(工厂基础数据!$B$2:$B$1024,MATCH(X2760,工厂基础数据!$D$2:$D$1024,0))</f>
        <v>山东海川医药有限公司</v>
      </c>
      <c r="F2760" s="6" t="e">
        <f>INDEX(商业2转码!$B$2:$B$10000,MATCH(E2760,商业2转码!$A$2:$A$10000,0))</f>
        <v>#N/A</v>
      </c>
      <c r="G2760" s="6">
        <f>INDEX(品种2编码!$A$2:$A$1048576,MATCH(W2760,品种2编码!$D$2:$D$1048576,0))</f>
        <v>0</v>
      </c>
      <c r="H2760" s="6" t="s">
        <v>3743</v>
      </c>
      <c r="I2760" s="6" t="s">
        <v>3752</v>
      </c>
      <c r="J2760" s="6" t="s">
        <v>3038</v>
      </c>
      <c r="L2760" s="6" t="s">
        <v>3672</v>
      </c>
      <c r="M2760" s="6" t="e">
        <f>INDEX(医院2县区2人!$B$2:$B$1048576,MATCH(L2760,医院2县区2人!$A$2:$A$1048576,0))</f>
        <v>#N/A</v>
      </c>
      <c r="N2760" s="6" t="e">
        <f>INDEX(医院2县区2人!$C$2:$C$1048576,MATCH(L2760,医院2县区2人!$A$2:$A$1048576,0))</f>
        <v>#N/A</v>
      </c>
      <c r="P2760" s="7">
        <v>43272</v>
      </c>
      <c r="Q2760" s="6">
        <v>3</v>
      </c>
      <c r="S2760" s="6">
        <v>180103</v>
      </c>
      <c r="T2760" s="6" t="e">
        <f>INDEX(医院2县区2人!$D$2:$D$1048576,MATCH(L2760,医院2县区2人!$A$2:$A$1048576,0))</f>
        <v>#N/A</v>
      </c>
      <c r="W2760" s="6" t="str">
        <f t="shared" si="89"/>
        <v>哈药痛可贴颈椎型4贴</v>
      </c>
      <c r="X2760" s="6" t="s">
        <v>2901</v>
      </c>
    </row>
    <row r="2761" spans="1:24" x14ac:dyDescent="0.15">
      <c r="A2761" s="7" t="str">
        <f t="shared" si="90"/>
        <v>201806</v>
      </c>
      <c r="C2761" s="6" t="str">
        <f>INDEX(工厂基础数据!$A$2:$A$1024,MATCH(X2761,工厂基础数据!$D$2:$D$1024,0))</f>
        <v>02037769</v>
      </c>
      <c r="E2761" s="6" t="str">
        <f>INDEX(工厂基础数据!$B$2:$B$1024,MATCH(X2761,工厂基础数据!$D$2:$D$1024,0))</f>
        <v>山东海川医药有限公司</v>
      </c>
      <c r="F2761" s="6" t="e">
        <f>INDEX(商业2转码!$B$2:$B$10000,MATCH(E2761,商业2转码!$A$2:$A$10000,0))</f>
        <v>#N/A</v>
      </c>
      <c r="G2761" s="6">
        <f>INDEX(品种2编码!$A$2:$A$1048576,MATCH(W2761,品种2编码!$D$2:$D$1048576,0))</f>
        <v>0</v>
      </c>
      <c r="H2761" s="6" t="s">
        <v>3744</v>
      </c>
      <c r="I2761" s="6" t="s">
        <v>3752</v>
      </c>
      <c r="J2761" s="6" t="s">
        <v>3038</v>
      </c>
      <c r="L2761" s="6" t="s">
        <v>3652</v>
      </c>
      <c r="M2761" s="6" t="e">
        <f>INDEX(医院2县区2人!$B$2:$B$1048576,MATCH(L2761,医院2县区2人!$A$2:$A$1048576,0))</f>
        <v>#N/A</v>
      </c>
      <c r="N2761" s="6" t="e">
        <f>INDEX(医院2县区2人!$C$2:$C$1048576,MATCH(L2761,医院2县区2人!$A$2:$A$1048576,0))</f>
        <v>#N/A</v>
      </c>
      <c r="P2761" s="7">
        <v>43272</v>
      </c>
      <c r="Q2761" s="6">
        <v>3</v>
      </c>
      <c r="S2761" s="6">
        <v>180103</v>
      </c>
      <c r="T2761" s="6" t="e">
        <f>INDEX(医院2县区2人!$D$2:$D$1048576,MATCH(L2761,医院2县区2人!$A$2:$A$1048576,0))</f>
        <v>#N/A</v>
      </c>
      <c r="W2761" s="6" t="str">
        <f t="shared" si="89"/>
        <v>哈药痛可贴腰椎型4贴</v>
      </c>
      <c r="X2761" s="6" t="s">
        <v>2901</v>
      </c>
    </row>
    <row r="2762" spans="1:24" x14ac:dyDescent="0.15">
      <c r="A2762" s="7" t="str">
        <f t="shared" si="90"/>
        <v>201806</v>
      </c>
      <c r="C2762" s="6" t="str">
        <f>INDEX(工厂基础数据!$A$2:$A$1024,MATCH(X2762,工厂基础数据!$D$2:$D$1024,0))</f>
        <v>02037769</v>
      </c>
      <c r="E2762" s="6" t="str">
        <f>INDEX(工厂基础数据!$B$2:$B$1024,MATCH(X2762,工厂基础数据!$D$2:$D$1024,0))</f>
        <v>山东海川医药有限公司</v>
      </c>
      <c r="F2762" s="6" t="e">
        <f>INDEX(商业2转码!$B$2:$B$10000,MATCH(E2762,商业2转码!$A$2:$A$10000,0))</f>
        <v>#N/A</v>
      </c>
      <c r="G2762" s="6" t="str">
        <f>INDEX(品种2编码!$A$2:$A$1048576,MATCH(W2762,品种2编码!$D$2:$D$1048576,0))</f>
        <v>0020030040ZYLC0001</v>
      </c>
      <c r="H2762" s="6" t="s">
        <v>1953</v>
      </c>
      <c r="I2762" s="6" t="s">
        <v>1954</v>
      </c>
      <c r="J2762" s="6" t="s">
        <v>3036</v>
      </c>
      <c r="L2762" s="6" t="s">
        <v>3710</v>
      </c>
      <c r="M2762" s="6" t="e">
        <f>INDEX(医院2县区2人!$B$2:$B$1048576,MATCH(L2762,医院2县区2人!$A$2:$A$1048576,0))</f>
        <v>#N/A</v>
      </c>
      <c r="N2762" s="6" t="e">
        <f>INDEX(医院2县区2人!$C$2:$C$1048576,MATCH(L2762,医院2县区2人!$A$2:$A$1048576,0))</f>
        <v>#N/A</v>
      </c>
      <c r="P2762" s="7">
        <v>43272</v>
      </c>
      <c r="Q2762" s="6">
        <v>10</v>
      </c>
      <c r="S2762" s="6">
        <v>180137</v>
      </c>
      <c r="T2762" s="6" t="e">
        <f>INDEX(医院2县区2人!$D$2:$D$1048576,MATCH(L2762,医院2县区2人!$A$2:$A$1048576,0))</f>
        <v>#N/A</v>
      </c>
      <c r="W2762" s="6" t="str">
        <f t="shared" si="89"/>
        <v>小儿氨酚黄那敏颗粒12袋</v>
      </c>
      <c r="X2762" s="6" t="s">
        <v>2901</v>
      </c>
    </row>
    <row r="2763" spans="1:24" x14ac:dyDescent="0.15">
      <c r="A2763" s="7" t="str">
        <f t="shared" si="90"/>
        <v>201806</v>
      </c>
      <c r="C2763" s="6" t="str">
        <f>INDEX(工厂基础数据!$A$2:$A$1024,MATCH(X2763,工厂基础数据!$D$2:$D$1024,0))</f>
        <v>02037769</v>
      </c>
      <c r="E2763" s="6" t="str">
        <f>INDEX(工厂基础数据!$B$2:$B$1024,MATCH(X2763,工厂基础数据!$D$2:$D$1024,0))</f>
        <v>山东海川医药有限公司</v>
      </c>
      <c r="F2763" s="6" t="e">
        <f>INDEX(商业2转码!$B$2:$B$10000,MATCH(E2763,商业2转码!$A$2:$A$10000,0))</f>
        <v>#N/A</v>
      </c>
      <c r="G2763" s="6" t="str">
        <f>INDEX(品种2编码!$A$2:$A$1048576,MATCH(W2763,品种2编码!$D$2:$D$1048576,0))</f>
        <v>0020030001SJZY0006</v>
      </c>
      <c r="H2763" s="6" t="s">
        <v>1833</v>
      </c>
      <c r="I2763" s="6" t="s">
        <v>411</v>
      </c>
      <c r="J2763" s="6" t="s">
        <v>3044</v>
      </c>
      <c r="L2763" s="6" t="s">
        <v>3642</v>
      </c>
      <c r="M2763" s="6" t="e">
        <f>INDEX(医院2县区2人!$B$2:$B$1048576,MATCH(L2763,医院2县区2人!$A$2:$A$1048576,0))</f>
        <v>#N/A</v>
      </c>
      <c r="N2763" s="6" t="e">
        <f>INDEX(医院2县区2人!$C$2:$C$1048576,MATCH(L2763,医院2县区2人!$A$2:$A$1048576,0))</f>
        <v>#N/A</v>
      </c>
      <c r="P2763" s="7">
        <v>43272</v>
      </c>
      <c r="Q2763" s="6">
        <v>2</v>
      </c>
      <c r="S2763" s="6">
        <v>18030532</v>
      </c>
      <c r="T2763" s="6" t="e">
        <f>INDEX(医院2县区2人!$D$2:$D$1048576,MATCH(L2763,医院2县区2人!$A$2:$A$1048576,0))</f>
        <v>#N/A</v>
      </c>
      <c r="W2763" s="6" t="str">
        <f t="shared" si="89"/>
        <v>葡萄糖酸钙口服溶液10ml*12支</v>
      </c>
      <c r="X2763" s="6" t="s">
        <v>2901</v>
      </c>
    </row>
    <row r="2764" spans="1:24" x14ac:dyDescent="0.15">
      <c r="A2764" s="7" t="str">
        <f t="shared" si="90"/>
        <v>201806</v>
      </c>
      <c r="C2764" s="6" t="str">
        <f>INDEX(工厂基础数据!$A$2:$A$1024,MATCH(X2764,工厂基础数据!$D$2:$D$1024,0))</f>
        <v>02037769</v>
      </c>
      <c r="E2764" s="6" t="str">
        <f>INDEX(工厂基础数据!$B$2:$B$1024,MATCH(X2764,工厂基础数据!$D$2:$D$1024,0))</f>
        <v>山东海川医药有限公司</v>
      </c>
      <c r="F2764" s="6" t="e">
        <f>INDEX(商业2转码!$B$2:$B$10000,MATCH(E2764,商业2转码!$A$2:$A$10000,0))</f>
        <v>#N/A</v>
      </c>
      <c r="G2764" s="6" t="str">
        <f>INDEX(品种2编码!$A$2:$A$1048576,MATCH(W2764,品种2编码!$D$2:$D$1048576,0))</f>
        <v>0020030001SJZY0006</v>
      </c>
      <c r="H2764" s="6" t="s">
        <v>1833</v>
      </c>
      <c r="I2764" s="6" t="s">
        <v>411</v>
      </c>
      <c r="J2764" s="6" t="s">
        <v>3044</v>
      </c>
      <c r="L2764" s="6" t="s">
        <v>3642</v>
      </c>
      <c r="M2764" s="6" t="e">
        <f>INDEX(医院2县区2人!$B$2:$B$1048576,MATCH(L2764,医院2县区2人!$A$2:$A$1048576,0))</f>
        <v>#N/A</v>
      </c>
      <c r="N2764" s="6" t="e">
        <f>INDEX(医院2县区2人!$C$2:$C$1048576,MATCH(L2764,医院2县区2人!$A$2:$A$1048576,0))</f>
        <v>#N/A</v>
      </c>
      <c r="P2764" s="7">
        <v>43272</v>
      </c>
      <c r="Q2764" s="6">
        <v>2</v>
      </c>
      <c r="S2764" s="6">
        <v>18030532</v>
      </c>
      <c r="T2764" s="6" t="e">
        <f>INDEX(医院2县区2人!$D$2:$D$1048576,MATCH(L2764,医院2县区2人!$A$2:$A$1048576,0))</f>
        <v>#N/A</v>
      </c>
      <c r="W2764" s="6" t="str">
        <f t="shared" si="89"/>
        <v>葡萄糖酸钙口服溶液10ml*12支</v>
      </c>
      <c r="X2764" s="6" t="s">
        <v>2901</v>
      </c>
    </row>
    <row r="2765" spans="1:24" x14ac:dyDescent="0.15">
      <c r="A2765" s="7" t="str">
        <f t="shared" si="90"/>
        <v>201806</v>
      </c>
      <c r="C2765" s="6" t="str">
        <f>INDEX(工厂基础数据!$A$2:$A$1024,MATCH(X2765,工厂基础数据!$D$2:$D$1024,0))</f>
        <v>02037769</v>
      </c>
      <c r="E2765" s="6" t="str">
        <f>INDEX(工厂基础数据!$B$2:$B$1024,MATCH(X2765,工厂基础数据!$D$2:$D$1024,0))</f>
        <v>山东海川医药有限公司</v>
      </c>
      <c r="F2765" s="6" t="e">
        <f>INDEX(商业2转码!$B$2:$B$10000,MATCH(E2765,商业2转码!$A$2:$A$10000,0))</f>
        <v>#N/A</v>
      </c>
      <c r="G2765" s="6" t="str">
        <f>INDEX(品种2编码!$A$2:$A$1048576,MATCH(W2765,品种2编码!$D$2:$D$1048576,0))</f>
        <v>0020020020SJMS0008</v>
      </c>
      <c r="H2765" s="6" t="s">
        <v>474</v>
      </c>
      <c r="I2765" s="6" t="s">
        <v>1873</v>
      </c>
      <c r="J2765" s="6" t="s">
        <v>3046</v>
      </c>
      <c r="L2765" s="6" t="s">
        <v>3711</v>
      </c>
      <c r="M2765" s="6" t="e">
        <f>INDEX(医院2县区2人!$B$2:$B$1048576,MATCH(L2765,医院2县区2人!$A$2:$A$1048576,0))</f>
        <v>#N/A</v>
      </c>
      <c r="N2765" s="6" t="e">
        <f>INDEX(医院2县区2人!$C$2:$C$1048576,MATCH(L2765,医院2县区2人!$A$2:$A$1048576,0))</f>
        <v>#N/A</v>
      </c>
      <c r="P2765" s="7">
        <v>43272</v>
      </c>
      <c r="Q2765" s="6">
        <v>20</v>
      </c>
      <c r="S2765" s="6">
        <v>1803012</v>
      </c>
      <c r="T2765" s="6" t="e">
        <f>INDEX(医院2县区2人!$D$2:$D$1048576,MATCH(L2765,医院2县区2人!$A$2:$A$1048576,0))</f>
        <v>#N/A</v>
      </c>
      <c r="W2765" s="6" t="str">
        <f t="shared" si="89"/>
        <v>拉西地平片4mg*15片</v>
      </c>
      <c r="X2765" s="6" t="s">
        <v>2901</v>
      </c>
    </row>
    <row r="2766" spans="1:24" x14ac:dyDescent="0.15">
      <c r="A2766" s="7" t="str">
        <f t="shared" si="90"/>
        <v>201806</v>
      </c>
      <c r="C2766" s="6" t="str">
        <f>INDEX(工厂基础数据!$A$2:$A$1024,MATCH(X2766,工厂基础数据!$D$2:$D$1024,0))</f>
        <v>02037769</v>
      </c>
      <c r="E2766" s="6" t="str">
        <f>INDEX(工厂基础数据!$B$2:$B$1024,MATCH(X2766,工厂基础数据!$D$2:$D$1024,0))</f>
        <v>山东海川医药有限公司</v>
      </c>
      <c r="F2766" s="6" t="e">
        <f>INDEX(商业2转码!$B$2:$B$10000,MATCH(E2766,商业2转码!$A$2:$A$10000,0))</f>
        <v>#N/A</v>
      </c>
      <c r="G2766" s="6">
        <f>INDEX(品种2编码!$A$2:$A$1048576,MATCH(W2766,品种2编码!$D$2:$D$1048576,0))</f>
        <v>0</v>
      </c>
      <c r="H2766" s="6" t="s">
        <v>1885</v>
      </c>
      <c r="I2766" s="6" t="s">
        <v>1838</v>
      </c>
      <c r="J2766" s="6" t="s">
        <v>3036</v>
      </c>
      <c r="L2766" s="6" t="s">
        <v>3615</v>
      </c>
      <c r="M2766" s="6" t="e">
        <f>INDEX(医院2县区2人!$B$2:$B$1048576,MATCH(L2766,医院2县区2人!$A$2:$A$1048576,0))</f>
        <v>#N/A</v>
      </c>
      <c r="N2766" s="6" t="e">
        <f>INDEX(医院2县区2人!$C$2:$C$1048576,MATCH(L2766,医院2县区2人!$A$2:$A$1048576,0))</f>
        <v>#N/A</v>
      </c>
      <c r="P2766" s="7">
        <v>43273</v>
      </c>
      <c r="Q2766" s="6">
        <v>2</v>
      </c>
      <c r="S2766" s="6">
        <v>180105</v>
      </c>
      <c r="T2766" s="6" t="e">
        <f>INDEX(医院2县区2人!$D$2:$D$1048576,MATCH(L2766,医院2县区2人!$A$2:$A$1048576,0))</f>
        <v>#N/A</v>
      </c>
      <c r="W2766" s="6" t="str">
        <f t="shared" si="89"/>
        <v>新盖中盖高钙片2.5g*36片</v>
      </c>
      <c r="X2766" s="6" t="s">
        <v>2901</v>
      </c>
    </row>
    <row r="2767" spans="1:24" x14ac:dyDescent="0.15">
      <c r="A2767" s="7" t="str">
        <f t="shared" si="90"/>
        <v>201806</v>
      </c>
      <c r="C2767" s="6" t="str">
        <f>INDEX(工厂基础数据!$A$2:$A$1024,MATCH(X2767,工厂基础数据!$D$2:$D$1024,0))</f>
        <v>02037769</v>
      </c>
      <c r="E2767" s="6" t="str">
        <f>INDEX(工厂基础数据!$B$2:$B$1024,MATCH(X2767,工厂基础数据!$D$2:$D$1024,0))</f>
        <v>山东海川医药有限公司</v>
      </c>
      <c r="F2767" s="6" t="e">
        <f>INDEX(商业2转码!$B$2:$B$10000,MATCH(E2767,商业2转码!$A$2:$A$10000,0))</f>
        <v>#N/A</v>
      </c>
      <c r="G2767" s="6">
        <f>INDEX(品种2编码!$A$2:$A$1048576,MATCH(W2767,品种2编码!$D$2:$D$1048576,0))</f>
        <v>0</v>
      </c>
      <c r="H2767" s="6" t="s">
        <v>3747</v>
      </c>
      <c r="I2767" s="6" t="s">
        <v>381</v>
      </c>
      <c r="J2767" s="6" t="s">
        <v>3036</v>
      </c>
      <c r="L2767" s="6" t="s">
        <v>3616</v>
      </c>
      <c r="M2767" s="6" t="e">
        <f>INDEX(医院2县区2人!$B$2:$B$1048576,MATCH(L2767,医院2县区2人!$A$2:$A$1048576,0))</f>
        <v>#N/A</v>
      </c>
      <c r="N2767" s="6" t="e">
        <f>INDEX(医院2县区2人!$C$2:$C$1048576,MATCH(L2767,医院2县区2人!$A$2:$A$1048576,0))</f>
        <v>#N/A</v>
      </c>
      <c r="P2767" s="7">
        <v>43273</v>
      </c>
      <c r="Q2767" s="6">
        <v>10</v>
      </c>
      <c r="S2767" s="6">
        <v>161103</v>
      </c>
      <c r="T2767" s="6" t="e">
        <f>INDEX(医院2县区2人!$D$2:$D$1048576,MATCH(L2767,医院2县区2人!$A$2:$A$1048576,0))</f>
        <v>#N/A</v>
      </c>
      <c r="W2767" s="6" t="str">
        <f t="shared" si="89"/>
        <v>颠茄磺苄啶片（成人）12片</v>
      </c>
      <c r="X2767" s="6" t="s">
        <v>2901</v>
      </c>
    </row>
    <row r="2768" spans="1:24" x14ac:dyDescent="0.15">
      <c r="A2768" s="7" t="str">
        <f t="shared" si="90"/>
        <v>201806</v>
      </c>
      <c r="C2768" s="6" t="str">
        <f>INDEX(工厂基础数据!$A$2:$A$1024,MATCH(X2768,工厂基础数据!$D$2:$D$1024,0))</f>
        <v>02037769</v>
      </c>
      <c r="E2768" s="6" t="str">
        <f>INDEX(工厂基础数据!$B$2:$B$1024,MATCH(X2768,工厂基础数据!$D$2:$D$1024,0))</f>
        <v>山东海川医药有限公司</v>
      </c>
      <c r="F2768" s="6" t="e">
        <f>INDEX(商业2转码!$B$2:$B$10000,MATCH(E2768,商业2转码!$A$2:$A$10000,0))</f>
        <v>#N/A</v>
      </c>
      <c r="G2768" s="6">
        <f>INDEX(品种2编码!$A$2:$A$1048576,MATCH(W2768,品种2编码!$D$2:$D$1048576,0))</f>
        <v>0</v>
      </c>
      <c r="H2768" s="6" t="s">
        <v>3744</v>
      </c>
      <c r="I2768" s="6" t="s">
        <v>3752</v>
      </c>
      <c r="J2768" s="6" t="s">
        <v>3038</v>
      </c>
      <c r="L2768" s="6" t="s">
        <v>3658</v>
      </c>
      <c r="M2768" s="6" t="e">
        <f>INDEX(医院2县区2人!$B$2:$B$1048576,MATCH(L2768,医院2县区2人!$A$2:$A$1048576,0))</f>
        <v>#N/A</v>
      </c>
      <c r="N2768" s="6" t="e">
        <f>INDEX(医院2县区2人!$C$2:$C$1048576,MATCH(L2768,医院2县区2人!$A$2:$A$1048576,0))</f>
        <v>#N/A</v>
      </c>
      <c r="P2768" s="7">
        <v>43273</v>
      </c>
      <c r="Q2768" s="6">
        <v>3</v>
      </c>
      <c r="S2768" s="6">
        <v>180103</v>
      </c>
      <c r="T2768" s="6" t="e">
        <f>INDEX(医院2县区2人!$D$2:$D$1048576,MATCH(L2768,医院2县区2人!$A$2:$A$1048576,0))</f>
        <v>#N/A</v>
      </c>
      <c r="W2768" s="6" t="str">
        <f t="shared" si="89"/>
        <v>哈药痛可贴腰椎型4贴</v>
      </c>
      <c r="X2768" s="6" t="s">
        <v>2901</v>
      </c>
    </row>
    <row r="2769" spans="1:24" x14ac:dyDescent="0.15">
      <c r="A2769" s="7" t="str">
        <f t="shared" si="90"/>
        <v>201806</v>
      </c>
      <c r="C2769" s="6" t="str">
        <f>INDEX(工厂基础数据!$A$2:$A$1024,MATCH(X2769,工厂基础数据!$D$2:$D$1024,0))</f>
        <v>02037769</v>
      </c>
      <c r="E2769" s="6" t="str">
        <f>INDEX(工厂基础数据!$B$2:$B$1024,MATCH(X2769,工厂基础数据!$D$2:$D$1024,0))</f>
        <v>山东海川医药有限公司</v>
      </c>
      <c r="F2769" s="6" t="e">
        <f>INDEX(商业2转码!$B$2:$B$10000,MATCH(E2769,商业2转码!$A$2:$A$10000,0))</f>
        <v>#N/A</v>
      </c>
      <c r="G2769" s="6" t="str">
        <f>INDEX(品种2编码!$A$2:$A$1048576,MATCH(W2769,品种2编码!$D$2:$D$1048576,0))</f>
        <v>0020070001ZYZC0377</v>
      </c>
      <c r="H2769" s="6" t="s">
        <v>1849</v>
      </c>
      <c r="I2769" s="6" t="s">
        <v>1887</v>
      </c>
      <c r="J2769" s="6" t="s">
        <v>3038</v>
      </c>
      <c r="L2769" s="6" t="s">
        <v>3618</v>
      </c>
      <c r="M2769" s="6" t="e">
        <f>INDEX(医院2县区2人!$B$2:$B$1048576,MATCH(L2769,医院2县区2人!$A$2:$A$1048576,0))</f>
        <v>#N/A</v>
      </c>
      <c r="N2769" s="6" t="e">
        <f>INDEX(医院2县区2人!$C$2:$C$1048576,MATCH(L2769,医院2县区2人!$A$2:$A$1048576,0))</f>
        <v>#N/A</v>
      </c>
      <c r="P2769" s="7">
        <v>43273</v>
      </c>
      <c r="Q2769" s="6">
        <v>5</v>
      </c>
      <c r="S2769" s="6">
        <v>1801042</v>
      </c>
      <c r="T2769" s="6" t="e">
        <f>INDEX(医院2县区2人!$D$2:$D$1048576,MATCH(L2769,医院2县区2人!$A$2:$A$1048576,0))</f>
        <v>#N/A</v>
      </c>
      <c r="W2769" s="6" t="str">
        <f t="shared" si="89"/>
        <v>哈药牌钙铁锌口服液10ml*15支</v>
      </c>
      <c r="X2769" s="6" t="s">
        <v>2901</v>
      </c>
    </row>
    <row r="2770" spans="1:24" x14ac:dyDescent="0.15">
      <c r="A2770" s="7" t="str">
        <f t="shared" si="90"/>
        <v>201806</v>
      </c>
      <c r="C2770" s="6" t="str">
        <f>INDEX(工厂基础数据!$A$2:$A$1024,MATCH(X2770,工厂基础数据!$D$2:$D$1024,0))</f>
        <v>02037769</v>
      </c>
      <c r="E2770" s="6" t="str">
        <f>INDEX(工厂基础数据!$B$2:$B$1024,MATCH(X2770,工厂基础数据!$D$2:$D$1024,0))</f>
        <v>山东海川医药有限公司</v>
      </c>
      <c r="F2770" s="6" t="e">
        <f>INDEX(商业2转码!$B$2:$B$10000,MATCH(E2770,商业2转码!$A$2:$A$10000,0))</f>
        <v>#N/A</v>
      </c>
      <c r="G2770" s="6">
        <f>INDEX(品种2编码!$A$2:$A$1048576,MATCH(W2770,品种2编码!$D$2:$D$1048576,0))</f>
        <v>0</v>
      </c>
      <c r="H2770" s="6" t="s">
        <v>1885</v>
      </c>
      <c r="I2770" s="6" t="s">
        <v>1838</v>
      </c>
      <c r="J2770" s="6" t="s">
        <v>3036</v>
      </c>
      <c r="L2770" s="6" t="s">
        <v>3629</v>
      </c>
      <c r="M2770" s="6" t="e">
        <f>INDEX(医院2县区2人!$B$2:$B$1048576,MATCH(L2770,医院2县区2人!$A$2:$A$1048576,0))</f>
        <v>#N/A</v>
      </c>
      <c r="N2770" s="6" t="e">
        <f>INDEX(医院2县区2人!$C$2:$C$1048576,MATCH(L2770,医院2县区2人!$A$2:$A$1048576,0))</f>
        <v>#N/A</v>
      </c>
      <c r="P2770" s="7">
        <v>43273</v>
      </c>
      <c r="Q2770" s="6">
        <v>1</v>
      </c>
      <c r="S2770" s="6">
        <v>180105</v>
      </c>
      <c r="T2770" s="6" t="e">
        <f>INDEX(医院2县区2人!$D$2:$D$1048576,MATCH(L2770,医院2县区2人!$A$2:$A$1048576,0))</f>
        <v>#N/A</v>
      </c>
      <c r="W2770" s="6" t="str">
        <f t="shared" si="89"/>
        <v>新盖中盖高钙片2.5g*36片</v>
      </c>
      <c r="X2770" s="6" t="s">
        <v>2901</v>
      </c>
    </row>
    <row r="2771" spans="1:24" x14ac:dyDescent="0.15">
      <c r="A2771" s="7" t="str">
        <f t="shared" si="90"/>
        <v>201806</v>
      </c>
      <c r="C2771" s="6" t="str">
        <f>INDEX(工厂基础数据!$A$2:$A$1024,MATCH(X2771,工厂基础数据!$D$2:$D$1024,0))</f>
        <v>02037769</v>
      </c>
      <c r="E2771" s="6" t="str">
        <f>INDEX(工厂基础数据!$B$2:$B$1024,MATCH(X2771,工厂基础数据!$D$2:$D$1024,0))</f>
        <v>山东海川医药有限公司</v>
      </c>
      <c r="F2771" s="6" t="e">
        <f>INDEX(商业2转码!$B$2:$B$10000,MATCH(E2771,商业2转码!$A$2:$A$10000,0))</f>
        <v>#N/A</v>
      </c>
      <c r="G2771" s="6" t="str">
        <f>INDEX(品种2编码!$A$2:$A$1048576,MATCH(W2771,品种2编码!$D$2:$D$1048576,0))</f>
        <v>0020030001SJZY0006</v>
      </c>
      <c r="H2771" s="6" t="s">
        <v>1833</v>
      </c>
      <c r="I2771" s="6" t="s">
        <v>411</v>
      </c>
      <c r="J2771" s="6" t="s">
        <v>3044</v>
      </c>
      <c r="L2771" s="6" t="s">
        <v>3641</v>
      </c>
      <c r="M2771" s="6" t="e">
        <f>INDEX(医院2县区2人!$B$2:$B$1048576,MATCH(L2771,医院2县区2人!$A$2:$A$1048576,0))</f>
        <v>#N/A</v>
      </c>
      <c r="N2771" s="6" t="e">
        <f>INDEX(医院2县区2人!$C$2:$C$1048576,MATCH(L2771,医院2县区2人!$A$2:$A$1048576,0))</f>
        <v>#N/A</v>
      </c>
      <c r="P2771" s="7">
        <v>43273</v>
      </c>
      <c r="Q2771" s="6">
        <v>2</v>
      </c>
      <c r="S2771" s="6">
        <v>18030532</v>
      </c>
      <c r="T2771" s="6" t="e">
        <f>INDEX(医院2县区2人!$D$2:$D$1048576,MATCH(L2771,医院2县区2人!$A$2:$A$1048576,0))</f>
        <v>#N/A</v>
      </c>
      <c r="W2771" s="6" t="str">
        <f t="shared" si="89"/>
        <v>葡萄糖酸钙口服溶液10ml*12支</v>
      </c>
      <c r="X2771" s="6" t="s">
        <v>2901</v>
      </c>
    </row>
    <row r="2772" spans="1:24" x14ac:dyDescent="0.15">
      <c r="A2772" s="7" t="str">
        <f t="shared" si="90"/>
        <v>201806</v>
      </c>
      <c r="C2772" s="6" t="str">
        <f>INDEX(工厂基础数据!$A$2:$A$1024,MATCH(X2772,工厂基础数据!$D$2:$D$1024,0))</f>
        <v>02037769</v>
      </c>
      <c r="E2772" s="6" t="str">
        <f>INDEX(工厂基础数据!$B$2:$B$1024,MATCH(X2772,工厂基础数据!$D$2:$D$1024,0))</f>
        <v>山东海川医药有限公司</v>
      </c>
      <c r="F2772" s="6" t="e">
        <f>INDEX(商业2转码!$B$2:$B$10000,MATCH(E2772,商业2转码!$A$2:$A$10000,0))</f>
        <v>#N/A</v>
      </c>
      <c r="G2772" s="6">
        <f>INDEX(品种2编码!$A$2:$A$1048576,MATCH(W2772,品种2编码!$D$2:$D$1048576,0))</f>
        <v>0</v>
      </c>
      <c r="H2772" s="6" t="s">
        <v>3740</v>
      </c>
      <c r="I2772" s="6" t="s">
        <v>3751</v>
      </c>
      <c r="J2772" s="6" t="s">
        <v>3754</v>
      </c>
      <c r="L2772" s="6" t="s">
        <v>3619</v>
      </c>
      <c r="M2772" s="6" t="e">
        <f>INDEX(医院2县区2人!$B$2:$B$1048576,MATCH(L2772,医院2县区2人!$A$2:$A$1048576,0))</f>
        <v>#N/A</v>
      </c>
      <c r="N2772" s="6" t="e">
        <f>INDEX(医院2县区2人!$C$2:$C$1048576,MATCH(L2772,医院2县区2人!$A$2:$A$1048576,0))</f>
        <v>#N/A</v>
      </c>
      <c r="P2772" s="7">
        <v>43273</v>
      </c>
      <c r="Q2772" s="6">
        <v>10</v>
      </c>
      <c r="S2772" s="6">
        <v>20180101</v>
      </c>
      <c r="T2772" s="6" t="e">
        <f>INDEX(医院2县区2人!$D$2:$D$1048576,MATCH(L2772,医院2县区2人!$A$2:$A$1048576,0))</f>
        <v>#N/A</v>
      </c>
      <c r="W2772" s="6" t="str">
        <f t="shared" si="89"/>
        <v>逐瘀通脉胶囊0.2g*18粒</v>
      </c>
      <c r="X2772" s="6" t="s">
        <v>2901</v>
      </c>
    </row>
    <row r="2773" spans="1:24" x14ac:dyDescent="0.15">
      <c r="A2773" s="7" t="str">
        <f t="shared" si="90"/>
        <v>201806</v>
      </c>
      <c r="C2773" s="6" t="str">
        <f>INDEX(工厂基础数据!$A$2:$A$1024,MATCH(X2773,工厂基础数据!$D$2:$D$1024,0))</f>
        <v>02037769</v>
      </c>
      <c r="E2773" s="6" t="str">
        <f>INDEX(工厂基础数据!$B$2:$B$1024,MATCH(X2773,工厂基础数据!$D$2:$D$1024,0))</f>
        <v>山东海川医药有限公司</v>
      </c>
      <c r="F2773" s="6" t="e">
        <f>INDEX(商业2转码!$B$2:$B$10000,MATCH(E2773,商业2转码!$A$2:$A$10000,0))</f>
        <v>#N/A</v>
      </c>
      <c r="G2773" s="6" t="str">
        <f>INDEX(品种2编码!$A$2:$A$1048576,MATCH(W2773,品种2编码!$D$2:$D$1048576,0))</f>
        <v>0020050090SJZY0001</v>
      </c>
      <c r="H2773" s="6" t="s">
        <v>630</v>
      </c>
      <c r="I2773" s="6" t="s">
        <v>1850</v>
      </c>
      <c r="J2773" s="6" t="s">
        <v>3044</v>
      </c>
      <c r="L2773" s="6" t="s">
        <v>3712</v>
      </c>
      <c r="M2773" s="6" t="e">
        <f>INDEX(医院2县区2人!$B$2:$B$1048576,MATCH(L2773,医院2县区2人!$A$2:$A$1048576,0))</f>
        <v>#N/A</v>
      </c>
      <c r="N2773" s="6" t="e">
        <f>INDEX(医院2县区2人!$C$2:$C$1048576,MATCH(L2773,医院2县区2人!$A$2:$A$1048576,0))</f>
        <v>#N/A</v>
      </c>
      <c r="P2773" s="7">
        <v>43273</v>
      </c>
      <c r="Q2773" s="6">
        <v>2</v>
      </c>
      <c r="S2773" s="6">
        <v>18030921</v>
      </c>
      <c r="T2773" s="6" t="e">
        <f>INDEX(医院2县区2人!$D$2:$D$1048576,MATCH(L2773,医院2县区2人!$A$2:$A$1048576,0))</f>
        <v>#N/A</v>
      </c>
      <c r="W2773" s="6" t="str">
        <f t="shared" si="89"/>
        <v>双黄连口服液10ml*10支</v>
      </c>
      <c r="X2773" s="6" t="s">
        <v>2901</v>
      </c>
    </row>
    <row r="2774" spans="1:24" x14ac:dyDescent="0.15">
      <c r="A2774" s="7" t="str">
        <f t="shared" si="90"/>
        <v>201806</v>
      </c>
      <c r="C2774" s="6" t="str">
        <f>INDEX(工厂基础数据!$A$2:$A$1024,MATCH(X2774,工厂基础数据!$D$2:$D$1024,0))</f>
        <v>02037769</v>
      </c>
      <c r="E2774" s="6" t="str">
        <f>INDEX(工厂基础数据!$B$2:$B$1024,MATCH(X2774,工厂基础数据!$D$2:$D$1024,0))</f>
        <v>山东海川医药有限公司</v>
      </c>
      <c r="F2774" s="6" t="e">
        <f>INDEX(商业2转码!$B$2:$B$10000,MATCH(E2774,商业2转码!$A$2:$A$10000,0))</f>
        <v>#N/A</v>
      </c>
      <c r="G2774" s="6" t="str">
        <f>INDEX(品种2编码!$A$2:$A$1048576,MATCH(W2774,品种2编码!$D$2:$D$1048576,0))</f>
        <v>0020030001SJZY0006</v>
      </c>
      <c r="H2774" s="6" t="s">
        <v>1833</v>
      </c>
      <c r="I2774" s="6" t="s">
        <v>411</v>
      </c>
      <c r="J2774" s="6" t="s">
        <v>3044</v>
      </c>
      <c r="L2774" s="6" t="s">
        <v>3713</v>
      </c>
      <c r="M2774" s="6" t="e">
        <f>INDEX(医院2县区2人!$B$2:$B$1048576,MATCH(L2774,医院2县区2人!$A$2:$A$1048576,0))</f>
        <v>#N/A</v>
      </c>
      <c r="N2774" s="6" t="e">
        <f>INDEX(医院2县区2人!$C$2:$C$1048576,MATCH(L2774,医院2县区2人!$A$2:$A$1048576,0))</f>
        <v>#N/A</v>
      </c>
      <c r="P2774" s="7">
        <v>43273</v>
      </c>
      <c r="Q2774" s="6">
        <v>5</v>
      </c>
      <c r="S2774" s="6">
        <v>18030532</v>
      </c>
      <c r="T2774" s="6" t="e">
        <f>INDEX(医院2县区2人!$D$2:$D$1048576,MATCH(L2774,医院2县区2人!$A$2:$A$1048576,0))</f>
        <v>#N/A</v>
      </c>
      <c r="W2774" s="6" t="str">
        <f t="shared" si="89"/>
        <v>葡萄糖酸钙口服溶液10ml*12支</v>
      </c>
      <c r="X2774" s="6" t="s">
        <v>2901</v>
      </c>
    </row>
    <row r="2775" spans="1:24" x14ac:dyDescent="0.15">
      <c r="A2775" s="7" t="str">
        <f t="shared" si="90"/>
        <v>201806</v>
      </c>
      <c r="C2775" s="6" t="str">
        <f>INDEX(工厂基础数据!$A$2:$A$1024,MATCH(X2775,工厂基础数据!$D$2:$D$1024,0))</f>
        <v>02037769</v>
      </c>
      <c r="E2775" s="6" t="str">
        <f>INDEX(工厂基础数据!$B$2:$B$1024,MATCH(X2775,工厂基础数据!$D$2:$D$1024,0))</f>
        <v>山东海川医药有限公司</v>
      </c>
      <c r="F2775" s="6" t="e">
        <f>INDEX(商业2转码!$B$2:$B$10000,MATCH(E2775,商业2转码!$A$2:$A$10000,0))</f>
        <v>#N/A</v>
      </c>
      <c r="G2775" s="6" t="str">
        <f>INDEX(品种2编码!$A$2:$A$1048576,MATCH(W2775,品种2编码!$D$2:$D$1048576,0))</f>
        <v>0020030020SJSC0004</v>
      </c>
      <c r="H2775" s="6" t="s">
        <v>394</v>
      </c>
      <c r="I2775" s="6" t="s">
        <v>1871</v>
      </c>
      <c r="J2775" s="6" t="s">
        <v>3755</v>
      </c>
      <c r="L2775" s="6" t="s">
        <v>3713</v>
      </c>
      <c r="M2775" s="6" t="e">
        <f>INDEX(医院2县区2人!$B$2:$B$1048576,MATCH(L2775,医院2县区2人!$A$2:$A$1048576,0))</f>
        <v>#N/A</v>
      </c>
      <c r="N2775" s="6" t="e">
        <f>INDEX(医院2县区2人!$C$2:$C$1048576,MATCH(L2775,医院2县区2人!$A$2:$A$1048576,0))</f>
        <v>#N/A</v>
      </c>
      <c r="P2775" s="7">
        <v>43273</v>
      </c>
      <c r="Q2775" s="6">
        <v>2</v>
      </c>
      <c r="S2775" s="6">
        <v>1802021</v>
      </c>
      <c r="T2775" s="6" t="e">
        <f>INDEX(医院2县区2人!$D$2:$D$1048576,MATCH(L2775,医院2县区2人!$A$2:$A$1048576,0))</f>
        <v>#N/A</v>
      </c>
      <c r="W2775" s="6" t="str">
        <f t="shared" si="89"/>
        <v>复方铝酸铋片50片</v>
      </c>
      <c r="X2775" s="6" t="s">
        <v>2901</v>
      </c>
    </row>
    <row r="2776" spans="1:24" x14ac:dyDescent="0.15">
      <c r="A2776" s="7" t="str">
        <f t="shared" si="90"/>
        <v>201806</v>
      </c>
      <c r="C2776" s="6" t="str">
        <f>INDEX(工厂基础数据!$A$2:$A$1024,MATCH(X2776,工厂基础数据!$D$2:$D$1024,0))</f>
        <v>02037769</v>
      </c>
      <c r="E2776" s="6" t="str">
        <f>INDEX(工厂基础数据!$B$2:$B$1024,MATCH(X2776,工厂基础数据!$D$2:$D$1024,0))</f>
        <v>山东海川医药有限公司</v>
      </c>
      <c r="F2776" s="6" t="e">
        <f>INDEX(商业2转码!$B$2:$B$10000,MATCH(E2776,商业2转码!$A$2:$A$10000,0))</f>
        <v>#N/A</v>
      </c>
      <c r="G2776" s="6" t="str">
        <f>INDEX(品种2编码!$A$2:$A$1048576,MATCH(W2776,品种2编码!$D$2:$D$1048576,0))</f>
        <v>0020040001SHYT0026</v>
      </c>
      <c r="H2776" s="6" t="s">
        <v>715</v>
      </c>
      <c r="I2776" s="6" t="s">
        <v>1867</v>
      </c>
      <c r="J2776" s="6" t="s">
        <v>3037</v>
      </c>
      <c r="L2776" s="6" t="s">
        <v>3615</v>
      </c>
      <c r="M2776" s="6" t="e">
        <f>INDEX(医院2县区2人!$B$2:$B$1048576,MATCH(L2776,医院2县区2人!$A$2:$A$1048576,0))</f>
        <v>#N/A</v>
      </c>
      <c r="N2776" s="6" t="e">
        <f>INDEX(医院2县区2人!$C$2:$C$1048576,MATCH(L2776,医院2县区2人!$A$2:$A$1048576,0))</f>
        <v>#N/A</v>
      </c>
      <c r="P2776" s="7">
        <v>43273</v>
      </c>
      <c r="Q2776" s="6">
        <v>5</v>
      </c>
      <c r="S2776" s="6">
        <v>1801108</v>
      </c>
      <c r="T2776" s="6" t="e">
        <f>INDEX(医院2县区2人!$D$2:$D$1048576,MATCH(L2776,医院2县区2人!$A$2:$A$1048576,0))</f>
        <v>#N/A</v>
      </c>
      <c r="W2776" s="6" t="str">
        <f t="shared" si="89"/>
        <v>小活络丸3g*10丸</v>
      </c>
      <c r="X2776" s="6" t="s">
        <v>2901</v>
      </c>
    </row>
    <row r="2777" spans="1:24" x14ac:dyDescent="0.15">
      <c r="A2777" s="7" t="str">
        <f t="shared" si="90"/>
        <v>201806</v>
      </c>
      <c r="C2777" s="6" t="str">
        <f>INDEX(工厂基础数据!$A$2:$A$1024,MATCH(X2777,工厂基础数据!$D$2:$D$1024,0))</f>
        <v>02037769</v>
      </c>
      <c r="E2777" s="6" t="str">
        <f>INDEX(工厂基础数据!$B$2:$B$1024,MATCH(X2777,工厂基础数据!$D$2:$D$1024,0))</f>
        <v>山东海川医药有限公司</v>
      </c>
      <c r="F2777" s="6" t="e">
        <f>INDEX(商业2转码!$B$2:$B$10000,MATCH(E2777,商业2转码!$A$2:$A$10000,0))</f>
        <v>#N/A</v>
      </c>
      <c r="G2777" s="6" t="str">
        <f>INDEX(品种2编码!$A$2:$A$1048576,MATCH(W2777,品种2编码!$D$2:$D$1048576,0))</f>
        <v>0020030001SJZY0009</v>
      </c>
      <c r="H2777" s="6" t="s">
        <v>1949</v>
      </c>
      <c r="I2777" s="6" t="s">
        <v>411</v>
      </c>
      <c r="J2777" s="6" t="s">
        <v>3040</v>
      </c>
      <c r="L2777" s="6" t="s">
        <v>3660</v>
      </c>
      <c r="M2777" s="6" t="e">
        <f>INDEX(医院2县区2人!$B$2:$B$1048576,MATCH(L2777,医院2县区2人!$A$2:$A$1048576,0))</f>
        <v>#N/A</v>
      </c>
      <c r="N2777" s="6" t="e">
        <f>INDEX(医院2县区2人!$C$2:$C$1048576,MATCH(L2777,医院2县区2人!$A$2:$A$1048576,0))</f>
        <v>#N/A</v>
      </c>
      <c r="P2777" s="7">
        <v>43273</v>
      </c>
      <c r="Q2777" s="6">
        <v>2</v>
      </c>
      <c r="S2777" s="6">
        <v>18031227</v>
      </c>
      <c r="T2777" s="6" t="e">
        <f>INDEX(医院2县区2人!$D$2:$D$1048576,MATCH(L2777,医院2县区2人!$A$2:$A$1048576,0))</f>
        <v>#N/A</v>
      </c>
      <c r="W2777" s="6" t="str">
        <f t="shared" si="89"/>
        <v>葡萄糖酸锌口服溶液10ml*12支</v>
      </c>
      <c r="X2777" s="6" t="s">
        <v>2901</v>
      </c>
    </row>
    <row r="2778" spans="1:24" x14ac:dyDescent="0.15">
      <c r="A2778" s="7" t="str">
        <f t="shared" si="90"/>
        <v>201806</v>
      </c>
      <c r="C2778" s="6" t="str">
        <f>INDEX(工厂基础数据!$A$2:$A$1024,MATCH(X2778,工厂基础数据!$D$2:$D$1024,0))</f>
        <v>02037769</v>
      </c>
      <c r="E2778" s="6" t="str">
        <f>INDEX(工厂基础数据!$B$2:$B$1024,MATCH(X2778,工厂基础数据!$D$2:$D$1024,0))</f>
        <v>山东海川医药有限公司</v>
      </c>
      <c r="F2778" s="6" t="e">
        <f>INDEX(商业2转码!$B$2:$B$10000,MATCH(E2778,商业2转码!$A$2:$A$10000,0))</f>
        <v>#N/A</v>
      </c>
      <c r="G2778" s="6" t="str">
        <f>INDEX(品种2编码!$A$2:$A$1048576,MATCH(W2778,品种2编码!$D$2:$D$1048576,0))</f>
        <v>0020030001SJZY0006</v>
      </c>
      <c r="H2778" s="6" t="s">
        <v>1833</v>
      </c>
      <c r="I2778" s="6" t="s">
        <v>411</v>
      </c>
      <c r="J2778" s="6" t="s">
        <v>3044</v>
      </c>
      <c r="L2778" s="6" t="s">
        <v>3660</v>
      </c>
      <c r="M2778" s="6" t="e">
        <f>INDEX(医院2县区2人!$B$2:$B$1048576,MATCH(L2778,医院2县区2人!$A$2:$A$1048576,0))</f>
        <v>#N/A</v>
      </c>
      <c r="N2778" s="6" t="e">
        <f>INDEX(医院2县区2人!$C$2:$C$1048576,MATCH(L2778,医院2县区2人!$A$2:$A$1048576,0))</f>
        <v>#N/A</v>
      </c>
      <c r="P2778" s="7">
        <v>43273</v>
      </c>
      <c r="Q2778" s="6">
        <v>2</v>
      </c>
      <c r="S2778" s="6">
        <v>18030532</v>
      </c>
      <c r="T2778" s="6" t="e">
        <f>INDEX(医院2县区2人!$D$2:$D$1048576,MATCH(L2778,医院2县区2人!$A$2:$A$1048576,0))</f>
        <v>#N/A</v>
      </c>
      <c r="W2778" s="6" t="str">
        <f t="shared" si="89"/>
        <v>葡萄糖酸钙口服溶液10ml*12支</v>
      </c>
      <c r="X2778" s="6" t="s">
        <v>2901</v>
      </c>
    </row>
    <row r="2779" spans="1:24" x14ac:dyDescent="0.15">
      <c r="A2779" s="7" t="str">
        <f t="shared" si="90"/>
        <v>201806</v>
      </c>
      <c r="C2779" s="6" t="str">
        <f>INDEX(工厂基础数据!$A$2:$A$1024,MATCH(X2779,工厂基础数据!$D$2:$D$1024,0))</f>
        <v>02037769</v>
      </c>
      <c r="E2779" s="6" t="str">
        <f>INDEX(工厂基础数据!$B$2:$B$1024,MATCH(X2779,工厂基础数据!$D$2:$D$1024,0))</f>
        <v>山东海川医药有限公司</v>
      </c>
      <c r="F2779" s="6" t="e">
        <f>INDEX(商业2转码!$B$2:$B$10000,MATCH(E2779,商业2转码!$A$2:$A$10000,0))</f>
        <v>#N/A</v>
      </c>
      <c r="G2779" s="6" t="str">
        <f>INDEX(品种2编码!$A$2:$A$1048576,MATCH(W2779,品种2编码!$D$2:$D$1048576,0))</f>
        <v>0020030001SJZY0006</v>
      </c>
      <c r="H2779" s="6" t="s">
        <v>1833</v>
      </c>
      <c r="I2779" s="6" t="s">
        <v>411</v>
      </c>
      <c r="J2779" s="6" t="s">
        <v>3044</v>
      </c>
      <c r="L2779" s="6" t="s">
        <v>3691</v>
      </c>
      <c r="M2779" s="6" t="e">
        <f>INDEX(医院2县区2人!$B$2:$B$1048576,MATCH(L2779,医院2县区2人!$A$2:$A$1048576,0))</f>
        <v>#N/A</v>
      </c>
      <c r="N2779" s="6" t="e">
        <f>INDEX(医院2县区2人!$C$2:$C$1048576,MATCH(L2779,医院2县区2人!$A$2:$A$1048576,0))</f>
        <v>#N/A</v>
      </c>
      <c r="P2779" s="7">
        <v>43273</v>
      </c>
      <c r="Q2779" s="6">
        <v>5</v>
      </c>
      <c r="S2779" s="6">
        <v>18030532</v>
      </c>
      <c r="T2779" s="6" t="e">
        <f>INDEX(医院2县区2人!$D$2:$D$1048576,MATCH(L2779,医院2县区2人!$A$2:$A$1048576,0))</f>
        <v>#N/A</v>
      </c>
      <c r="W2779" s="6" t="str">
        <f t="shared" si="89"/>
        <v>葡萄糖酸钙口服溶液10ml*12支</v>
      </c>
      <c r="X2779" s="6" t="s">
        <v>2901</v>
      </c>
    </row>
    <row r="2780" spans="1:24" x14ac:dyDescent="0.15">
      <c r="A2780" s="7" t="str">
        <f t="shared" si="90"/>
        <v>201806</v>
      </c>
      <c r="C2780" s="6" t="str">
        <f>INDEX(工厂基础数据!$A$2:$A$1024,MATCH(X2780,工厂基础数据!$D$2:$D$1024,0))</f>
        <v>02037769</v>
      </c>
      <c r="E2780" s="6" t="str">
        <f>INDEX(工厂基础数据!$B$2:$B$1024,MATCH(X2780,工厂基础数据!$D$2:$D$1024,0))</f>
        <v>山东海川医药有限公司</v>
      </c>
      <c r="F2780" s="6" t="e">
        <f>INDEX(商业2转码!$B$2:$B$10000,MATCH(E2780,商业2转码!$A$2:$A$10000,0))</f>
        <v>#N/A</v>
      </c>
      <c r="G2780" s="6">
        <f>INDEX(品种2编码!$A$2:$A$1048576,MATCH(W2780,品种2编码!$D$2:$D$1048576,0))</f>
        <v>0</v>
      </c>
      <c r="H2780" s="6" t="s">
        <v>1885</v>
      </c>
      <c r="I2780" s="6" t="s">
        <v>1838</v>
      </c>
      <c r="J2780" s="6" t="s">
        <v>3036</v>
      </c>
      <c r="L2780" s="6" t="s">
        <v>3616</v>
      </c>
      <c r="M2780" s="6" t="e">
        <f>INDEX(医院2县区2人!$B$2:$B$1048576,MATCH(L2780,医院2县区2人!$A$2:$A$1048576,0))</f>
        <v>#N/A</v>
      </c>
      <c r="N2780" s="6" t="e">
        <f>INDEX(医院2县区2人!$C$2:$C$1048576,MATCH(L2780,医院2县区2人!$A$2:$A$1048576,0))</f>
        <v>#N/A</v>
      </c>
      <c r="P2780" s="7">
        <v>43273</v>
      </c>
      <c r="Q2780" s="6">
        <v>5</v>
      </c>
      <c r="S2780" s="6">
        <v>180105</v>
      </c>
      <c r="T2780" s="6" t="e">
        <f>INDEX(医院2县区2人!$D$2:$D$1048576,MATCH(L2780,医院2县区2人!$A$2:$A$1048576,0))</f>
        <v>#N/A</v>
      </c>
      <c r="W2780" s="6" t="str">
        <f t="shared" si="89"/>
        <v>新盖中盖高钙片2.5g*36片</v>
      </c>
      <c r="X2780" s="6" t="s">
        <v>2901</v>
      </c>
    </row>
    <row r="2781" spans="1:24" x14ac:dyDescent="0.15">
      <c r="A2781" s="7" t="str">
        <f t="shared" si="90"/>
        <v>201806</v>
      </c>
      <c r="C2781" s="6" t="str">
        <f>INDEX(工厂基础数据!$A$2:$A$1024,MATCH(X2781,工厂基础数据!$D$2:$D$1024,0))</f>
        <v>02037769</v>
      </c>
      <c r="E2781" s="6" t="str">
        <f>INDEX(工厂基础数据!$B$2:$B$1024,MATCH(X2781,工厂基础数据!$D$2:$D$1024,0))</f>
        <v>山东海川医药有限公司</v>
      </c>
      <c r="F2781" s="6" t="e">
        <f>INDEX(商业2转码!$B$2:$B$10000,MATCH(E2781,商业2转码!$A$2:$A$10000,0))</f>
        <v>#N/A</v>
      </c>
      <c r="G2781" s="6" t="str">
        <f>INDEX(品种2编码!$A$2:$A$1048576,MATCH(W2781,品种2编码!$D$2:$D$1048576,0))</f>
        <v>0020070001ZYZC0377</v>
      </c>
      <c r="H2781" s="6" t="s">
        <v>1849</v>
      </c>
      <c r="I2781" s="6" t="s">
        <v>1887</v>
      </c>
      <c r="J2781" s="6" t="s">
        <v>3038</v>
      </c>
      <c r="L2781" s="6" t="s">
        <v>3625</v>
      </c>
      <c r="M2781" s="6" t="e">
        <f>INDEX(医院2县区2人!$B$2:$B$1048576,MATCH(L2781,医院2县区2人!$A$2:$A$1048576,0))</f>
        <v>#N/A</v>
      </c>
      <c r="N2781" s="6" t="e">
        <f>INDEX(医院2县区2人!$C$2:$C$1048576,MATCH(L2781,医院2县区2人!$A$2:$A$1048576,0))</f>
        <v>#N/A</v>
      </c>
      <c r="P2781" s="7">
        <v>43274</v>
      </c>
      <c r="Q2781" s="6">
        <v>5</v>
      </c>
      <c r="S2781" s="6">
        <v>1801042</v>
      </c>
      <c r="T2781" s="6" t="e">
        <f>INDEX(医院2县区2人!$D$2:$D$1048576,MATCH(L2781,医院2县区2人!$A$2:$A$1048576,0))</f>
        <v>#N/A</v>
      </c>
      <c r="W2781" s="6" t="str">
        <f t="shared" si="89"/>
        <v>哈药牌钙铁锌口服液10ml*15支</v>
      </c>
      <c r="X2781" s="6" t="s">
        <v>2901</v>
      </c>
    </row>
    <row r="2782" spans="1:24" x14ac:dyDescent="0.15">
      <c r="A2782" s="7" t="str">
        <f t="shared" si="90"/>
        <v>201806</v>
      </c>
      <c r="C2782" s="6" t="str">
        <f>INDEX(工厂基础数据!$A$2:$A$1024,MATCH(X2782,工厂基础数据!$D$2:$D$1024,0))</f>
        <v>02037769</v>
      </c>
      <c r="E2782" s="6" t="str">
        <f>INDEX(工厂基础数据!$B$2:$B$1024,MATCH(X2782,工厂基础数据!$D$2:$D$1024,0))</f>
        <v>山东海川医药有限公司</v>
      </c>
      <c r="F2782" s="6" t="e">
        <f>INDEX(商业2转码!$B$2:$B$10000,MATCH(E2782,商业2转码!$A$2:$A$10000,0))</f>
        <v>#N/A</v>
      </c>
      <c r="G2782" s="6">
        <f>INDEX(品种2编码!$A$2:$A$1048576,MATCH(W2782,品种2编码!$D$2:$D$1048576,0))</f>
        <v>0</v>
      </c>
      <c r="H2782" s="6" t="s">
        <v>1885</v>
      </c>
      <c r="I2782" s="6" t="s">
        <v>1838</v>
      </c>
      <c r="J2782" s="6" t="s">
        <v>3036</v>
      </c>
      <c r="L2782" s="6" t="s">
        <v>3714</v>
      </c>
      <c r="M2782" s="6" t="e">
        <f>INDEX(医院2县区2人!$B$2:$B$1048576,MATCH(L2782,医院2县区2人!$A$2:$A$1048576,0))</f>
        <v>#N/A</v>
      </c>
      <c r="N2782" s="6" t="e">
        <f>INDEX(医院2县区2人!$C$2:$C$1048576,MATCH(L2782,医院2县区2人!$A$2:$A$1048576,0))</f>
        <v>#N/A</v>
      </c>
      <c r="P2782" s="7">
        <v>43274</v>
      </c>
      <c r="Q2782" s="6">
        <v>5</v>
      </c>
      <c r="S2782" s="6">
        <v>180105</v>
      </c>
      <c r="T2782" s="6" t="e">
        <f>INDEX(医院2县区2人!$D$2:$D$1048576,MATCH(L2782,医院2县区2人!$A$2:$A$1048576,0))</f>
        <v>#N/A</v>
      </c>
      <c r="W2782" s="6" t="str">
        <f t="shared" si="89"/>
        <v>新盖中盖高钙片2.5g*36片</v>
      </c>
      <c r="X2782" s="6" t="s">
        <v>2901</v>
      </c>
    </row>
    <row r="2783" spans="1:24" x14ac:dyDescent="0.15">
      <c r="A2783" s="7" t="str">
        <f t="shared" si="90"/>
        <v>201806</v>
      </c>
      <c r="C2783" s="6" t="str">
        <f>INDEX(工厂基础数据!$A$2:$A$1024,MATCH(X2783,工厂基础数据!$D$2:$D$1024,0))</f>
        <v>02037769</v>
      </c>
      <c r="E2783" s="6" t="str">
        <f>INDEX(工厂基础数据!$B$2:$B$1024,MATCH(X2783,工厂基础数据!$D$2:$D$1024,0))</f>
        <v>山东海川医药有限公司</v>
      </c>
      <c r="F2783" s="6" t="e">
        <f>INDEX(商业2转码!$B$2:$B$10000,MATCH(E2783,商业2转码!$A$2:$A$10000,0))</f>
        <v>#N/A</v>
      </c>
      <c r="G2783" s="6" t="str">
        <f>INDEX(品种2编码!$A$2:$A$1048576,MATCH(W2783,品种2编码!$D$2:$D$1048576,0))</f>
        <v>0020030001SJZY0006</v>
      </c>
      <c r="H2783" s="6" t="s">
        <v>1833</v>
      </c>
      <c r="I2783" s="6" t="s">
        <v>411</v>
      </c>
      <c r="J2783" s="6" t="s">
        <v>3044</v>
      </c>
      <c r="L2783" s="6" t="s">
        <v>3715</v>
      </c>
      <c r="M2783" s="6" t="e">
        <f>INDEX(医院2县区2人!$B$2:$B$1048576,MATCH(L2783,医院2县区2人!$A$2:$A$1048576,0))</f>
        <v>#N/A</v>
      </c>
      <c r="N2783" s="6" t="e">
        <f>INDEX(医院2县区2人!$C$2:$C$1048576,MATCH(L2783,医院2县区2人!$A$2:$A$1048576,0))</f>
        <v>#N/A</v>
      </c>
      <c r="P2783" s="7">
        <v>43274</v>
      </c>
      <c r="Q2783" s="6">
        <v>5</v>
      </c>
      <c r="S2783" s="6">
        <v>18030532</v>
      </c>
      <c r="T2783" s="6" t="e">
        <f>INDEX(医院2县区2人!$D$2:$D$1048576,MATCH(L2783,医院2县区2人!$A$2:$A$1048576,0))</f>
        <v>#N/A</v>
      </c>
      <c r="W2783" s="6" t="str">
        <f t="shared" si="89"/>
        <v>葡萄糖酸钙口服溶液10ml*12支</v>
      </c>
      <c r="X2783" s="6" t="s">
        <v>2901</v>
      </c>
    </row>
    <row r="2784" spans="1:24" x14ac:dyDescent="0.15">
      <c r="A2784" s="7" t="str">
        <f t="shared" si="90"/>
        <v>201806</v>
      </c>
      <c r="C2784" s="6" t="str">
        <f>INDEX(工厂基础数据!$A$2:$A$1024,MATCH(X2784,工厂基础数据!$D$2:$D$1024,0))</f>
        <v>02037769</v>
      </c>
      <c r="E2784" s="6" t="str">
        <f>INDEX(工厂基础数据!$B$2:$B$1024,MATCH(X2784,工厂基础数据!$D$2:$D$1024,0))</f>
        <v>山东海川医药有限公司</v>
      </c>
      <c r="F2784" s="6" t="e">
        <f>INDEX(商业2转码!$B$2:$B$10000,MATCH(E2784,商业2转码!$A$2:$A$10000,0))</f>
        <v>#N/A</v>
      </c>
      <c r="G2784" s="6">
        <f>INDEX(品种2编码!$A$2:$A$1048576,MATCH(W2784,品种2编码!$D$2:$D$1048576,0))</f>
        <v>0</v>
      </c>
      <c r="H2784" s="6" t="s">
        <v>3741</v>
      </c>
      <c r="I2784" s="6" t="s">
        <v>3752</v>
      </c>
      <c r="J2784" s="6" t="s">
        <v>3038</v>
      </c>
      <c r="L2784" s="6" t="s">
        <v>3630</v>
      </c>
      <c r="M2784" s="6" t="e">
        <f>INDEX(医院2县区2人!$B$2:$B$1048576,MATCH(L2784,医院2县区2人!$A$2:$A$1048576,0))</f>
        <v>#N/A</v>
      </c>
      <c r="N2784" s="6" t="e">
        <f>INDEX(医院2县区2人!$C$2:$C$1048576,MATCH(L2784,医院2县区2人!$A$2:$A$1048576,0))</f>
        <v>#N/A</v>
      </c>
      <c r="P2784" s="7">
        <v>43275</v>
      </c>
      <c r="Q2784" s="6">
        <v>4</v>
      </c>
      <c r="S2784" s="6">
        <v>180101</v>
      </c>
      <c r="T2784" s="6" t="e">
        <f>INDEX(医院2县区2人!$D$2:$D$1048576,MATCH(L2784,医院2县区2人!$A$2:$A$1048576,0))</f>
        <v>#N/A</v>
      </c>
      <c r="W2784" s="6" t="str">
        <f t="shared" si="89"/>
        <v>哈药痛可贴跌打损伤型4贴</v>
      </c>
      <c r="X2784" s="6" t="s">
        <v>2901</v>
      </c>
    </row>
    <row r="2785" spans="1:24" x14ac:dyDescent="0.15">
      <c r="A2785" s="7" t="str">
        <f t="shared" si="90"/>
        <v>201806</v>
      </c>
      <c r="C2785" s="6" t="str">
        <f>INDEX(工厂基础数据!$A$2:$A$1024,MATCH(X2785,工厂基础数据!$D$2:$D$1024,0))</f>
        <v>02037769</v>
      </c>
      <c r="E2785" s="6" t="str">
        <f>INDEX(工厂基础数据!$B$2:$B$1024,MATCH(X2785,工厂基础数据!$D$2:$D$1024,0))</f>
        <v>山东海川医药有限公司</v>
      </c>
      <c r="F2785" s="6" t="e">
        <f>INDEX(商业2转码!$B$2:$B$10000,MATCH(E2785,商业2转码!$A$2:$A$10000,0))</f>
        <v>#N/A</v>
      </c>
      <c r="G2785" s="6">
        <f>INDEX(品种2编码!$A$2:$A$1048576,MATCH(W2785,品种2编码!$D$2:$D$1048576,0))</f>
        <v>0</v>
      </c>
      <c r="H2785" s="6" t="s">
        <v>3741</v>
      </c>
      <c r="I2785" s="6" t="s">
        <v>3752</v>
      </c>
      <c r="J2785" s="6" t="s">
        <v>3038</v>
      </c>
      <c r="L2785" s="6" t="s">
        <v>3630</v>
      </c>
      <c r="M2785" s="6" t="e">
        <f>INDEX(医院2县区2人!$B$2:$B$1048576,MATCH(L2785,医院2县区2人!$A$2:$A$1048576,0))</f>
        <v>#N/A</v>
      </c>
      <c r="N2785" s="6" t="e">
        <f>INDEX(医院2县区2人!$C$2:$C$1048576,MATCH(L2785,医院2县区2人!$A$2:$A$1048576,0))</f>
        <v>#N/A</v>
      </c>
      <c r="P2785" s="7">
        <v>43275</v>
      </c>
      <c r="Q2785" s="6">
        <v>1</v>
      </c>
      <c r="S2785" s="6">
        <v>180101</v>
      </c>
      <c r="T2785" s="6" t="e">
        <f>INDEX(医院2县区2人!$D$2:$D$1048576,MATCH(L2785,医院2县区2人!$A$2:$A$1048576,0))</f>
        <v>#N/A</v>
      </c>
      <c r="W2785" s="6" t="str">
        <f t="shared" si="89"/>
        <v>哈药痛可贴跌打损伤型4贴</v>
      </c>
      <c r="X2785" s="6" t="s">
        <v>2901</v>
      </c>
    </row>
    <row r="2786" spans="1:24" x14ac:dyDescent="0.15">
      <c r="A2786" s="7" t="str">
        <f t="shared" si="90"/>
        <v>201806</v>
      </c>
      <c r="C2786" s="6" t="str">
        <f>INDEX(工厂基础数据!$A$2:$A$1024,MATCH(X2786,工厂基础数据!$D$2:$D$1024,0))</f>
        <v>02037769</v>
      </c>
      <c r="E2786" s="6" t="str">
        <f>INDEX(工厂基础数据!$B$2:$B$1024,MATCH(X2786,工厂基础数据!$D$2:$D$1024,0))</f>
        <v>山东海川医药有限公司</v>
      </c>
      <c r="F2786" s="6" t="e">
        <f>INDEX(商业2转码!$B$2:$B$10000,MATCH(E2786,商业2转码!$A$2:$A$10000,0))</f>
        <v>#N/A</v>
      </c>
      <c r="G2786" s="6">
        <f>INDEX(品种2编码!$A$2:$A$1048576,MATCH(W2786,品种2编码!$D$2:$D$1048576,0))</f>
        <v>0</v>
      </c>
      <c r="H2786" s="6" t="s">
        <v>1885</v>
      </c>
      <c r="I2786" s="6" t="s">
        <v>1838</v>
      </c>
      <c r="J2786" s="6" t="s">
        <v>3036</v>
      </c>
      <c r="L2786" s="6" t="s">
        <v>3632</v>
      </c>
      <c r="M2786" s="6" t="e">
        <f>INDEX(医院2县区2人!$B$2:$B$1048576,MATCH(L2786,医院2县区2人!$A$2:$A$1048576,0))</f>
        <v>#N/A</v>
      </c>
      <c r="N2786" s="6" t="e">
        <f>INDEX(医院2县区2人!$C$2:$C$1048576,MATCH(L2786,医院2县区2人!$A$2:$A$1048576,0))</f>
        <v>#N/A</v>
      </c>
      <c r="P2786" s="7">
        <v>43275</v>
      </c>
      <c r="Q2786" s="6">
        <v>3</v>
      </c>
      <c r="S2786" s="6">
        <v>180106</v>
      </c>
      <c r="T2786" s="6" t="e">
        <f>INDEX(医院2县区2人!$D$2:$D$1048576,MATCH(L2786,医院2县区2人!$A$2:$A$1048576,0))</f>
        <v>#N/A</v>
      </c>
      <c r="W2786" s="6" t="str">
        <f t="shared" si="89"/>
        <v>新盖中盖高钙片2.5g*36片</v>
      </c>
      <c r="X2786" s="6" t="s">
        <v>2901</v>
      </c>
    </row>
    <row r="2787" spans="1:24" x14ac:dyDescent="0.15">
      <c r="A2787" s="7" t="str">
        <f t="shared" si="90"/>
        <v>201806</v>
      </c>
      <c r="C2787" s="6" t="str">
        <f>INDEX(工厂基础数据!$A$2:$A$1024,MATCH(X2787,工厂基础数据!$D$2:$D$1024,0))</f>
        <v>02037769</v>
      </c>
      <c r="E2787" s="6" t="str">
        <f>INDEX(工厂基础数据!$B$2:$B$1024,MATCH(X2787,工厂基础数据!$D$2:$D$1024,0))</f>
        <v>山东海川医药有限公司</v>
      </c>
      <c r="F2787" s="6" t="e">
        <f>INDEX(商业2转码!$B$2:$B$10000,MATCH(E2787,商业2转码!$A$2:$A$10000,0))</f>
        <v>#N/A</v>
      </c>
      <c r="G2787" s="6" t="str">
        <f>INDEX(品种2编码!$A$2:$A$1048576,MATCH(W2787,品种2编码!$D$2:$D$1048576,0))</f>
        <v>0020030001SJZY0009</v>
      </c>
      <c r="H2787" s="6" t="s">
        <v>1949</v>
      </c>
      <c r="I2787" s="6" t="s">
        <v>411</v>
      </c>
      <c r="J2787" s="6" t="s">
        <v>3040</v>
      </c>
      <c r="L2787" s="6" t="s">
        <v>3665</v>
      </c>
      <c r="M2787" s="6" t="e">
        <f>INDEX(医院2县区2人!$B$2:$B$1048576,MATCH(L2787,医院2县区2人!$A$2:$A$1048576,0))</f>
        <v>#N/A</v>
      </c>
      <c r="N2787" s="6" t="e">
        <f>INDEX(医院2县区2人!$C$2:$C$1048576,MATCH(L2787,医院2县区2人!$A$2:$A$1048576,0))</f>
        <v>#N/A</v>
      </c>
      <c r="P2787" s="7">
        <v>43275</v>
      </c>
      <c r="Q2787" s="6">
        <v>10</v>
      </c>
      <c r="S2787" s="6">
        <v>18031227</v>
      </c>
      <c r="T2787" s="6" t="e">
        <f>INDEX(医院2县区2人!$D$2:$D$1048576,MATCH(L2787,医院2县区2人!$A$2:$A$1048576,0))</f>
        <v>#N/A</v>
      </c>
      <c r="W2787" s="6" t="str">
        <f t="shared" si="89"/>
        <v>葡萄糖酸锌口服溶液10ml*12支</v>
      </c>
      <c r="X2787" s="6" t="s">
        <v>2901</v>
      </c>
    </row>
    <row r="2788" spans="1:24" x14ac:dyDescent="0.15">
      <c r="A2788" s="7" t="str">
        <f t="shared" si="90"/>
        <v>201806</v>
      </c>
      <c r="C2788" s="6" t="str">
        <f>INDEX(工厂基础数据!$A$2:$A$1024,MATCH(X2788,工厂基础数据!$D$2:$D$1024,0))</f>
        <v>02037769</v>
      </c>
      <c r="E2788" s="6" t="str">
        <f>INDEX(工厂基础数据!$B$2:$B$1024,MATCH(X2788,工厂基础数据!$D$2:$D$1024,0))</f>
        <v>山东海川医药有限公司</v>
      </c>
      <c r="F2788" s="6" t="e">
        <f>INDEX(商业2转码!$B$2:$B$10000,MATCH(E2788,商业2转码!$A$2:$A$10000,0))</f>
        <v>#N/A</v>
      </c>
      <c r="G2788" s="6" t="str">
        <f>INDEX(品种2编码!$A$2:$A$1048576,MATCH(W2788,品种2编码!$D$2:$D$1048576,0))</f>
        <v>0020050090SJZY0001</v>
      </c>
      <c r="H2788" s="6" t="s">
        <v>630</v>
      </c>
      <c r="I2788" s="6" t="s">
        <v>1850</v>
      </c>
      <c r="J2788" s="6" t="s">
        <v>3044</v>
      </c>
      <c r="L2788" s="6" t="s">
        <v>3688</v>
      </c>
      <c r="M2788" s="6" t="e">
        <f>INDEX(医院2县区2人!$B$2:$B$1048576,MATCH(L2788,医院2县区2人!$A$2:$A$1048576,0))</f>
        <v>#N/A</v>
      </c>
      <c r="N2788" s="6" t="e">
        <f>INDEX(医院2县区2人!$C$2:$C$1048576,MATCH(L2788,医院2县区2人!$A$2:$A$1048576,0))</f>
        <v>#N/A</v>
      </c>
      <c r="P2788" s="7">
        <v>43275</v>
      </c>
      <c r="Q2788" s="6">
        <v>5</v>
      </c>
      <c r="S2788" s="6">
        <v>18030921</v>
      </c>
      <c r="T2788" s="6" t="e">
        <f>INDEX(医院2县区2人!$D$2:$D$1048576,MATCH(L2788,医院2县区2人!$A$2:$A$1048576,0))</f>
        <v>#N/A</v>
      </c>
      <c r="W2788" s="6" t="str">
        <f t="shared" si="89"/>
        <v>双黄连口服液10ml*10支</v>
      </c>
      <c r="X2788" s="6" t="s">
        <v>2901</v>
      </c>
    </row>
    <row r="2789" spans="1:24" x14ac:dyDescent="0.15">
      <c r="A2789" s="7" t="str">
        <f t="shared" si="90"/>
        <v>201806</v>
      </c>
      <c r="C2789" s="6" t="str">
        <f>INDEX(工厂基础数据!$A$2:$A$1024,MATCH(X2789,工厂基础数据!$D$2:$D$1024,0))</f>
        <v>02037769</v>
      </c>
      <c r="E2789" s="6" t="str">
        <f>INDEX(工厂基础数据!$B$2:$B$1024,MATCH(X2789,工厂基础数据!$D$2:$D$1024,0))</f>
        <v>山东海川医药有限公司</v>
      </c>
      <c r="F2789" s="6" t="e">
        <f>INDEX(商业2转码!$B$2:$B$10000,MATCH(E2789,商业2转码!$A$2:$A$10000,0))</f>
        <v>#N/A</v>
      </c>
      <c r="G2789" s="6" t="str">
        <f>INDEX(品种2编码!$A$2:$A$1048576,MATCH(W2789,品种2编码!$D$2:$D$1048576,0))</f>
        <v>0020030001SJZY0009</v>
      </c>
      <c r="H2789" s="6" t="s">
        <v>1949</v>
      </c>
      <c r="I2789" s="6" t="s">
        <v>411</v>
      </c>
      <c r="J2789" s="6" t="s">
        <v>3040</v>
      </c>
      <c r="L2789" s="6" t="s">
        <v>3716</v>
      </c>
      <c r="M2789" s="6" t="e">
        <f>INDEX(医院2县区2人!$B$2:$B$1048576,MATCH(L2789,医院2县区2人!$A$2:$A$1048576,0))</f>
        <v>#N/A</v>
      </c>
      <c r="N2789" s="6" t="e">
        <f>INDEX(医院2县区2人!$C$2:$C$1048576,MATCH(L2789,医院2县区2人!$A$2:$A$1048576,0))</f>
        <v>#N/A</v>
      </c>
      <c r="P2789" s="7">
        <v>43275</v>
      </c>
      <c r="Q2789" s="6">
        <v>2</v>
      </c>
      <c r="S2789" s="6">
        <v>18031227</v>
      </c>
      <c r="T2789" s="6" t="e">
        <f>INDEX(医院2县区2人!$D$2:$D$1048576,MATCH(L2789,医院2县区2人!$A$2:$A$1048576,0))</f>
        <v>#N/A</v>
      </c>
      <c r="W2789" s="6" t="str">
        <f t="shared" si="89"/>
        <v>葡萄糖酸锌口服溶液10ml*12支</v>
      </c>
      <c r="X2789" s="6" t="s">
        <v>2901</v>
      </c>
    </row>
    <row r="2790" spans="1:24" x14ac:dyDescent="0.15">
      <c r="A2790" s="7" t="str">
        <f t="shared" si="90"/>
        <v>201806</v>
      </c>
      <c r="C2790" s="6" t="str">
        <f>INDEX(工厂基础数据!$A$2:$A$1024,MATCH(X2790,工厂基础数据!$D$2:$D$1024,0))</f>
        <v>02037769</v>
      </c>
      <c r="E2790" s="6" t="str">
        <f>INDEX(工厂基础数据!$B$2:$B$1024,MATCH(X2790,工厂基础数据!$D$2:$D$1024,0))</f>
        <v>山东海川医药有限公司</v>
      </c>
      <c r="F2790" s="6" t="e">
        <f>INDEX(商业2转码!$B$2:$B$10000,MATCH(E2790,商业2转码!$A$2:$A$10000,0))</f>
        <v>#N/A</v>
      </c>
      <c r="G2790" s="6">
        <f>INDEX(品种2编码!$A$2:$A$1048576,MATCH(W2790,品种2编码!$D$2:$D$1048576,0))</f>
        <v>0</v>
      </c>
      <c r="H2790" s="6" t="s">
        <v>1885</v>
      </c>
      <c r="I2790" s="6" t="s">
        <v>1838</v>
      </c>
      <c r="J2790" s="6" t="s">
        <v>3036</v>
      </c>
      <c r="L2790" s="6" t="s">
        <v>3616</v>
      </c>
      <c r="M2790" s="6" t="e">
        <f>INDEX(医院2县区2人!$B$2:$B$1048576,MATCH(L2790,医院2县区2人!$A$2:$A$1048576,0))</f>
        <v>#N/A</v>
      </c>
      <c r="N2790" s="6" t="e">
        <f>INDEX(医院2县区2人!$C$2:$C$1048576,MATCH(L2790,医院2县区2人!$A$2:$A$1048576,0))</f>
        <v>#N/A</v>
      </c>
      <c r="P2790" s="7">
        <v>43275</v>
      </c>
      <c r="Q2790" s="6">
        <v>2</v>
      </c>
      <c r="S2790" s="6">
        <v>180106</v>
      </c>
      <c r="T2790" s="6" t="e">
        <f>INDEX(医院2县区2人!$D$2:$D$1048576,MATCH(L2790,医院2县区2人!$A$2:$A$1048576,0))</f>
        <v>#N/A</v>
      </c>
      <c r="W2790" s="6" t="str">
        <f t="shared" si="89"/>
        <v>新盖中盖高钙片2.5g*36片</v>
      </c>
      <c r="X2790" s="6" t="s">
        <v>2901</v>
      </c>
    </row>
    <row r="2791" spans="1:24" x14ac:dyDescent="0.15">
      <c r="A2791" s="7" t="str">
        <f t="shared" si="90"/>
        <v>201806</v>
      </c>
      <c r="C2791" s="6" t="str">
        <f>INDEX(工厂基础数据!$A$2:$A$1024,MATCH(X2791,工厂基础数据!$D$2:$D$1024,0))</f>
        <v>02037769</v>
      </c>
      <c r="E2791" s="6" t="str">
        <f>INDEX(工厂基础数据!$B$2:$B$1024,MATCH(X2791,工厂基础数据!$D$2:$D$1024,0))</f>
        <v>山东海川医药有限公司</v>
      </c>
      <c r="F2791" s="6" t="e">
        <f>INDEX(商业2转码!$B$2:$B$10000,MATCH(E2791,商业2转码!$A$2:$A$10000,0))</f>
        <v>#N/A</v>
      </c>
      <c r="G2791" s="6" t="str">
        <f>INDEX(品种2编码!$A$2:$A$1048576,MATCH(W2791,品种2编码!$D$2:$D$1048576,0))</f>
        <v>0020030001SJZY0009</v>
      </c>
      <c r="H2791" s="6" t="s">
        <v>1949</v>
      </c>
      <c r="I2791" s="6" t="s">
        <v>411</v>
      </c>
      <c r="J2791" s="6" t="s">
        <v>3040</v>
      </c>
      <c r="L2791" s="6" t="s">
        <v>3717</v>
      </c>
      <c r="M2791" s="6" t="e">
        <f>INDEX(医院2县区2人!$B$2:$B$1048576,MATCH(L2791,医院2县区2人!$A$2:$A$1048576,0))</f>
        <v>#N/A</v>
      </c>
      <c r="N2791" s="6" t="e">
        <f>INDEX(医院2县区2人!$C$2:$C$1048576,MATCH(L2791,医院2县区2人!$A$2:$A$1048576,0))</f>
        <v>#N/A</v>
      </c>
      <c r="P2791" s="7">
        <v>43275</v>
      </c>
      <c r="Q2791" s="6">
        <v>2</v>
      </c>
      <c r="S2791" s="6">
        <v>18031227</v>
      </c>
      <c r="T2791" s="6" t="e">
        <f>INDEX(医院2县区2人!$D$2:$D$1048576,MATCH(L2791,医院2县区2人!$A$2:$A$1048576,0))</f>
        <v>#N/A</v>
      </c>
      <c r="W2791" s="6" t="str">
        <f t="shared" si="89"/>
        <v>葡萄糖酸锌口服溶液10ml*12支</v>
      </c>
      <c r="X2791" s="6" t="s">
        <v>2901</v>
      </c>
    </row>
    <row r="2792" spans="1:24" x14ac:dyDescent="0.15">
      <c r="A2792" s="7" t="str">
        <f t="shared" si="90"/>
        <v>201806</v>
      </c>
      <c r="C2792" s="6" t="str">
        <f>INDEX(工厂基础数据!$A$2:$A$1024,MATCH(X2792,工厂基础数据!$D$2:$D$1024,0))</f>
        <v>02037769</v>
      </c>
      <c r="E2792" s="6" t="str">
        <f>INDEX(工厂基础数据!$B$2:$B$1024,MATCH(X2792,工厂基础数据!$D$2:$D$1024,0))</f>
        <v>山东海川医药有限公司</v>
      </c>
      <c r="F2792" s="6" t="e">
        <f>INDEX(商业2转码!$B$2:$B$10000,MATCH(E2792,商业2转码!$A$2:$A$10000,0))</f>
        <v>#N/A</v>
      </c>
      <c r="G2792" s="6" t="str">
        <f>INDEX(品种2编码!$A$2:$A$1048576,MATCH(W2792,品种2编码!$D$2:$D$1048576,0))</f>
        <v>0020070001ZYZC0377</v>
      </c>
      <c r="H2792" s="6" t="s">
        <v>1849</v>
      </c>
      <c r="I2792" s="6" t="s">
        <v>1887</v>
      </c>
      <c r="J2792" s="6" t="s">
        <v>3038</v>
      </c>
      <c r="L2792" s="6" t="s">
        <v>3657</v>
      </c>
      <c r="M2792" s="6" t="e">
        <f>INDEX(医院2县区2人!$B$2:$B$1048576,MATCH(L2792,医院2县区2人!$A$2:$A$1048576,0))</f>
        <v>#N/A</v>
      </c>
      <c r="N2792" s="6" t="e">
        <f>INDEX(医院2县区2人!$C$2:$C$1048576,MATCH(L2792,医院2县区2人!$A$2:$A$1048576,0))</f>
        <v>#N/A</v>
      </c>
      <c r="P2792" s="7">
        <v>43275</v>
      </c>
      <c r="Q2792" s="6">
        <v>1</v>
      </c>
      <c r="S2792" s="6">
        <v>1801042</v>
      </c>
      <c r="T2792" s="6" t="e">
        <f>INDEX(医院2县区2人!$D$2:$D$1048576,MATCH(L2792,医院2县区2人!$A$2:$A$1048576,0))</f>
        <v>#N/A</v>
      </c>
      <c r="W2792" s="6" t="str">
        <f t="shared" si="89"/>
        <v>哈药牌钙铁锌口服液10ml*15支</v>
      </c>
      <c r="X2792" s="6" t="s">
        <v>2901</v>
      </c>
    </row>
    <row r="2793" spans="1:24" x14ac:dyDescent="0.15">
      <c r="A2793" s="7" t="str">
        <f t="shared" si="90"/>
        <v>201806</v>
      </c>
      <c r="C2793" s="6" t="str">
        <f>INDEX(工厂基础数据!$A$2:$A$1024,MATCH(X2793,工厂基础数据!$D$2:$D$1024,0))</f>
        <v>02037769</v>
      </c>
      <c r="E2793" s="6" t="str">
        <f>INDEX(工厂基础数据!$B$2:$B$1024,MATCH(X2793,工厂基础数据!$D$2:$D$1024,0))</f>
        <v>山东海川医药有限公司</v>
      </c>
      <c r="F2793" s="6" t="e">
        <f>INDEX(商业2转码!$B$2:$B$10000,MATCH(E2793,商业2转码!$A$2:$A$10000,0))</f>
        <v>#N/A</v>
      </c>
      <c r="G2793" s="6">
        <f>INDEX(品种2编码!$A$2:$A$1048576,MATCH(W2793,品种2编码!$D$2:$D$1048576,0))</f>
        <v>0</v>
      </c>
      <c r="H2793" s="6" t="s">
        <v>3740</v>
      </c>
      <c r="I2793" s="6" t="s">
        <v>3751</v>
      </c>
      <c r="J2793" s="6" t="s">
        <v>3754</v>
      </c>
      <c r="L2793" s="6" t="s">
        <v>3718</v>
      </c>
      <c r="M2793" s="6" t="e">
        <f>INDEX(医院2县区2人!$B$2:$B$1048576,MATCH(L2793,医院2县区2人!$A$2:$A$1048576,0))</f>
        <v>#N/A</v>
      </c>
      <c r="N2793" s="6" t="e">
        <f>INDEX(医院2县区2人!$C$2:$C$1048576,MATCH(L2793,医院2县区2人!$A$2:$A$1048576,0))</f>
        <v>#N/A</v>
      </c>
      <c r="P2793" s="7">
        <v>43275</v>
      </c>
      <c r="Q2793" s="6">
        <v>-2</v>
      </c>
      <c r="S2793" s="6">
        <v>20170301</v>
      </c>
      <c r="T2793" s="6" t="e">
        <f>INDEX(医院2县区2人!$D$2:$D$1048576,MATCH(L2793,医院2县区2人!$A$2:$A$1048576,0))</f>
        <v>#N/A</v>
      </c>
      <c r="W2793" s="6" t="str">
        <f t="shared" si="89"/>
        <v>逐瘀通脉胶囊0.2g*18粒</v>
      </c>
      <c r="X2793" s="6" t="s">
        <v>2901</v>
      </c>
    </row>
    <row r="2794" spans="1:24" x14ac:dyDescent="0.15">
      <c r="A2794" s="7" t="str">
        <f t="shared" si="90"/>
        <v>201806</v>
      </c>
      <c r="C2794" s="6" t="str">
        <f>INDEX(工厂基础数据!$A$2:$A$1024,MATCH(X2794,工厂基础数据!$D$2:$D$1024,0))</f>
        <v>02037769</v>
      </c>
      <c r="E2794" s="6" t="str">
        <f>INDEX(工厂基础数据!$B$2:$B$1024,MATCH(X2794,工厂基础数据!$D$2:$D$1024,0))</f>
        <v>山东海川医药有限公司</v>
      </c>
      <c r="F2794" s="6" t="e">
        <f>INDEX(商业2转码!$B$2:$B$10000,MATCH(E2794,商业2转码!$A$2:$A$10000,0))</f>
        <v>#N/A</v>
      </c>
      <c r="G2794" s="6">
        <f>INDEX(品种2编码!$A$2:$A$1048576,MATCH(W2794,品种2编码!$D$2:$D$1048576,0))</f>
        <v>0</v>
      </c>
      <c r="H2794" s="6" t="s">
        <v>3740</v>
      </c>
      <c r="I2794" s="6" t="s">
        <v>3751</v>
      </c>
      <c r="J2794" s="6" t="s">
        <v>3754</v>
      </c>
      <c r="L2794" s="6" t="s">
        <v>3673</v>
      </c>
      <c r="M2794" s="6" t="e">
        <f>INDEX(医院2县区2人!$B$2:$B$1048576,MATCH(L2794,医院2县区2人!$A$2:$A$1048576,0))</f>
        <v>#N/A</v>
      </c>
      <c r="N2794" s="6" t="e">
        <f>INDEX(医院2县区2人!$C$2:$C$1048576,MATCH(L2794,医院2县区2人!$A$2:$A$1048576,0))</f>
        <v>#N/A</v>
      </c>
      <c r="P2794" s="7">
        <v>43275</v>
      </c>
      <c r="Q2794" s="6">
        <v>2</v>
      </c>
      <c r="S2794" s="6">
        <v>20170301</v>
      </c>
      <c r="T2794" s="6" t="e">
        <f>INDEX(医院2县区2人!$D$2:$D$1048576,MATCH(L2794,医院2县区2人!$A$2:$A$1048576,0))</f>
        <v>#N/A</v>
      </c>
      <c r="W2794" s="6" t="str">
        <f t="shared" si="89"/>
        <v>逐瘀通脉胶囊0.2g*18粒</v>
      </c>
      <c r="X2794" s="6" t="s">
        <v>2901</v>
      </c>
    </row>
    <row r="2795" spans="1:24" x14ac:dyDescent="0.15">
      <c r="A2795" s="7" t="str">
        <f t="shared" si="90"/>
        <v>201806</v>
      </c>
      <c r="C2795" s="6" t="str">
        <f>INDEX(工厂基础数据!$A$2:$A$1024,MATCH(X2795,工厂基础数据!$D$2:$D$1024,0))</f>
        <v>02037769</v>
      </c>
      <c r="E2795" s="6" t="str">
        <f>INDEX(工厂基础数据!$B$2:$B$1024,MATCH(X2795,工厂基础数据!$D$2:$D$1024,0))</f>
        <v>山东海川医药有限公司</v>
      </c>
      <c r="F2795" s="6" t="e">
        <f>INDEX(商业2转码!$B$2:$B$10000,MATCH(E2795,商业2转码!$A$2:$A$10000,0))</f>
        <v>#N/A</v>
      </c>
      <c r="G2795" s="6" t="str">
        <f>INDEX(品种2编码!$A$2:$A$1048576,MATCH(W2795,品种2编码!$D$2:$D$1048576,0))</f>
        <v>0020030001SJZY0006</v>
      </c>
      <c r="H2795" s="6" t="s">
        <v>1833</v>
      </c>
      <c r="I2795" s="6" t="s">
        <v>411</v>
      </c>
      <c r="J2795" s="6" t="s">
        <v>3044</v>
      </c>
      <c r="L2795" s="6" t="s">
        <v>3682</v>
      </c>
      <c r="M2795" s="6" t="e">
        <f>INDEX(医院2县区2人!$B$2:$B$1048576,MATCH(L2795,医院2县区2人!$A$2:$A$1048576,0))</f>
        <v>#N/A</v>
      </c>
      <c r="N2795" s="6" t="e">
        <f>INDEX(医院2县区2人!$C$2:$C$1048576,MATCH(L2795,医院2县区2人!$A$2:$A$1048576,0))</f>
        <v>#N/A</v>
      </c>
      <c r="P2795" s="7">
        <v>43276</v>
      </c>
      <c r="Q2795" s="6">
        <v>10</v>
      </c>
      <c r="S2795" s="6">
        <v>18030532</v>
      </c>
      <c r="T2795" s="6" t="e">
        <f>INDEX(医院2县区2人!$D$2:$D$1048576,MATCH(L2795,医院2县区2人!$A$2:$A$1048576,0))</f>
        <v>#N/A</v>
      </c>
      <c r="W2795" s="6" t="str">
        <f t="shared" si="89"/>
        <v>葡萄糖酸钙口服溶液10ml*12支</v>
      </c>
      <c r="X2795" s="6" t="s">
        <v>2901</v>
      </c>
    </row>
    <row r="2796" spans="1:24" x14ac:dyDescent="0.15">
      <c r="A2796" s="7" t="str">
        <f t="shared" si="90"/>
        <v>201806</v>
      </c>
      <c r="C2796" s="6" t="str">
        <f>INDEX(工厂基础数据!$A$2:$A$1024,MATCH(X2796,工厂基础数据!$D$2:$D$1024,0))</f>
        <v>02037769</v>
      </c>
      <c r="E2796" s="6" t="str">
        <f>INDEX(工厂基础数据!$B$2:$B$1024,MATCH(X2796,工厂基础数据!$D$2:$D$1024,0))</f>
        <v>山东海川医药有限公司</v>
      </c>
      <c r="F2796" s="6" t="e">
        <f>INDEX(商业2转码!$B$2:$B$10000,MATCH(E2796,商业2转码!$A$2:$A$10000,0))</f>
        <v>#N/A</v>
      </c>
      <c r="G2796" s="6" t="str">
        <f>INDEX(品种2编码!$A$2:$A$1048576,MATCH(W2796,品种2编码!$D$2:$D$1048576,0))</f>
        <v>0020030001SJZY0009</v>
      </c>
      <c r="H2796" s="6" t="s">
        <v>1949</v>
      </c>
      <c r="I2796" s="6" t="s">
        <v>411</v>
      </c>
      <c r="J2796" s="6" t="s">
        <v>3040</v>
      </c>
      <c r="L2796" s="6" t="s">
        <v>3682</v>
      </c>
      <c r="M2796" s="6" t="e">
        <f>INDEX(医院2县区2人!$B$2:$B$1048576,MATCH(L2796,医院2县区2人!$A$2:$A$1048576,0))</f>
        <v>#N/A</v>
      </c>
      <c r="N2796" s="6" t="e">
        <f>INDEX(医院2县区2人!$C$2:$C$1048576,MATCH(L2796,医院2县区2人!$A$2:$A$1048576,0))</f>
        <v>#N/A</v>
      </c>
      <c r="P2796" s="7">
        <v>43276</v>
      </c>
      <c r="Q2796" s="6">
        <v>5</v>
      </c>
      <c r="S2796" s="6">
        <v>18031227</v>
      </c>
      <c r="T2796" s="6" t="e">
        <f>INDEX(医院2县区2人!$D$2:$D$1048576,MATCH(L2796,医院2县区2人!$A$2:$A$1048576,0))</f>
        <v>#N/A</v>
      </c>
      <c r="W2796" s="6" t="str">
        <f t="shared" si="89"/>
        <v>葡萄糖酸锌口服溶液10ml*12支</v>
      </c>
      <c r="X2796" s="6" t="s">
        <v>2901</v>
      </c>
    </row>
    <row r="2797" spans="1:24" x14ac:dyDescent="0.15">
      <c r="A2797" s="7" t="str">
        <f t="shared" si="90"/>
        <v>201806</v>
      </c>
      <c r="C2797" s="6" t="str">
        <f>INDEX(工厂基础数据!$A$2:$A$1024,MATCH(X2797,工厂基础数据!$D$2:$D$1024,0))</f>
        <v>02037769</v>
      </c>
      <c r="E2797" s="6" t="str">
        <f>INDEX(工厂基础数据!$B$2:$B$1024,MATCH(X2797,工厂基础数据!$D$2:$D$1024,0))</f>
        <v>山东海川医药有限公司</v>
      </c>
      <c r="F2797" s="6" t="e">
        <f>INDEX(商业2转码!$B$2:$B$10000,MATCH(E2797,商业2转码!$A$2:$A$10000,0))</f>
        <v>#N/A</v>
      </c>
      <c r="G2797" s="6">
        <f>INDEX(品种2编码!$A$2:$A$1048576,MATCH(W2797,品种2编码!$D$2:$D$1048576,0))</f>
        <v>0</v>
      </c>
      <c r="H2797" s="6" t="s">
        <v>3745</v>
      </c>
      <c r="I2797" s="6" t="s">
        <v>1869</v>
      </c>
      <c r="J2797" s="6" t="s">
        <v>3036</v>
      </c>
      <c r="L2797" s="6" t="s">
        <v>3682</v>
      </c>
      <c r="M2797" s="6" t="e">
        <f>INDEX(医院2县区2人!$B$2:$B$1048576,MATCH(L2797,医院2县区2人!$A$2:$A$1048576,0))</f>
        <v>#N/A</v>
      </c>
      <c r="N2797" s="6" t="e">
        <f>INDEX(医院2县区2人!$C$2:$C$1048576,MATCH(L2797,医院2县区2人!$A$2:$A$1048576,0))</f>
        <v>#N/A</v>
      </c>
      <c r="P2797" s="7">
        <v>43276</v>
      </c>
      <c r="Q2797" s="6">
        <v>10</v>
      </c>
      <c r="S2797" s="6">
        <v>160506</v>
      </c>
      <c r="T2797" s="6" t="e">
        <f>INDEX(医院2县区2人!$D$2:$D$1048576,MATCH(L2797,医院2县区2人!$A$2:$A$1048576,0))</f>
        <v>#N/A</v>
      </c>
      <c r="W2797" s="6" t="str">
        <f t="shared" si="89"/>
        <v>罗红霉素分散片（成人）75mg*12片</v>
      </c>
      <c r="X2797" s="6" t="s">
        <v>2901</v>
      </c>
    </row>
    <row r="2798" spans="1:24" x14ac:dyDescent="0.15">
      <c r="A2798" s="7" t="str">
        <f t="shared" si="90"/>
        <v>201806</v>
      </c>
      <c r="C2798" s="6" t="str">
        <f>INDEX(工厂基础数据!$A$2:$A$1024,MATCH(X2798,工厂基础数据!$D$2:$D$1024,0))</f>
        <v>02037769</v>
      </c>
      <c r="E2798" s="6" t="str">
        <f>INDEX(工厂基础数据!$B$2:$B$1024,MATCH(X2798,工厂基础数据!$D$2:$D$1024,0))</f>
        <v>山东海川医药有限公司</v>
      </c>
      <c r="F2798" s="6" t="e">
        <f>INDEX(商业2转码!$B$2:$B$10000,MATCH(E2798,商业2转码!$A$2:$A$10000,0))</f>
        <v>#N/A</v>
      </c>
      <c r="G2798" s="6">
        <f>INDEX(品种2编码!$A$2:$A$1048576,MATCH(W2798,品种2编码!$D$2:$D$1048576,0))</f>
        <v>0</v>
      </c>
      <c r="H2798" s="6" t="s">
        <v>3740</v>
      </c>
      <c r="I2798" s="6" t="s">
        <v>3751</v>
      </c>
      <c r="J2798" s="6" t="s">
        <v>3754</v>
      </c>
      <c r="L2798" s="6" t="s">
        <v>3673</v>
      </c>
      <c r="M2798" s="6" t="e">
        <f>INDEX(医院2县区2人!$B$2:$B$1048576,MATCH(L2798,医院2县区2人!$A$2:$A$1048576,0))</f>
        <v>#N/A</v>
      </c>
      <c r="N2798" s="6" t="e">
        <f>INDEX(医院2县区2人!$C$2:$C$1048576,MATCH(L2798,医院2县区2人!$A$2:$A$1048576,0))</f>
        <v>#N/A</v>
      </c>
      <c r="P2798" s="7">
        <v>43276</v>
      </c>
      <c r="Q2798" s="6">
        <v>3</v>
      </c>
      <c r="S2798" s="6">
        <v>20180101</v>
      </c>
      <c r="T2798" s="6" t="e">
        <f>INDEX(医院2县区2人!$D$2:$D$1048576,MATCH(L2798,医院2县区2人!$A$2:$A$1048576,0))</f>
        <v>#N/A</v>
      </c>
      <c r="W2798" s="6" t="str">
        <f t="shared" si="89"/>
        <v>逐瘀通脉胶囊0.2g*18粒</v>
      </c>
      <c r="X2798" s="6" t="s">
        <v>2901</v>
      </c>
    </row>
    <row r="2799" spans="1:24" x14ac:dyDescent="0.15">
      <c r="A2799" s="7" t="str">
        <f t="shared" si="90"/>
        <v>201806</v>
      </c>
      <c r="C2799" s="6" t="str">
        <f>INDEX(工厂基础数据!$A$2:$A$1024,MATCH(X2799,工厂基础数据!$D$2:$D$1024,0))</f>
        <v>02037769</v>
      </c>
      <c r="E2799" s="6" t="str">
        <f>INDEX(工厂基础数据!$B$2:$B$1024,MATCH(X2799,工厂基础数据!$D$2:$D$1024,0))</f>
        <v>山东海川医药有限公司</v>
      </c>
      <c r="F2799" s="6" t="e">
        <f>INDEX(商业2转码!$B$2:$B$10000,MATCH(E2799,商业2转码!$A$2:$A$10000,0))</f>
        <v>#N/A</v>
      </c>
      <c r="G2799" s="6" t="str">
        <f>INDEX(品种2编码!$A$2:$A$1048576,MATCH(W2799,品种2编码!$D$2:$D$1048576,0))</f>
        <v>0020030001SJZY0006</v>
      </c>
      <c r="H2799" s="6" t="s">
        <v>1833</v>
      </c>
      <c r="I2799" s="6" t="s">
        <v>411</v>
      </c>
      <c r="J2799" s="6" t="s">
        <v>3044</v>
      </c>
      <c r="L2799" s="6" t="s">
        <v>3719</v>
      </c>
      <c r="M2799" s="6" t="e">
        <f>INDEX(医院2县区2人!$B$2:$B$1048576,MATCH(L2799,医院2县区2人!$A$2:$A$1048576,0))</f>
        <v>#N/A</v>
      </c>
      <c r="N2799" s="6" t="e">
        <f>INDEX(医院2县区2人!$C$2:$C$1048576,MATCH(L2799,医院2县区2人!$A$2:$A$1048576,0))</f>
        <v>#N/A</v>
      </c>
      <c r="P2799" s="7">
        <v>43276</v>
      </c>
      <c r="Q2799" s="6">
        <v>5</v>
      </c>
      <c r="S2799" s="6">
        <v>18030532</v>
      </c>
      <c r="T2799" s="6" t="e">
        <f>INDEX(医院2县区2人!$D$2:$D$1048576,MATCH(L2799,医院2县区2人!$A$2:$A$1048576,0))</f>
        <v>#N/A</v>
      </c>
      <c r="W2799" s="6" t="str">
        <f t="shared" si="89"/>
        <v>葡萄糖酸钙口服溶液10ml*12支</v>
      </c>
      <c r="X2799" s="6" t="s">
        <v>2901</v>
      </c>
    </row>
    <row r="2800" spans="1:24" x14ac:dyDescent="0.15">
      <c r="A2800" s="7" t="str">
        <f t="shared" si="90"/>
        <v>201806</v>
      </c>
      <c r="C2800" s="6" t="str">
        <f>INDEX(工厂基础数据!$A$2:$A$1024,MATCH(X2800,工厂基础数据!$D$2:$D$1024,0))</f>
        <v>02037769</v>
      </c>
      <c r="E2800" s="6" t="str">
        <f>INDEX(工厂基础数据!$B$2:$B$1024,MATCH(X2800,工厂基础数据!$D$2:$D$1024,0))</f>
        <v>山东海川医药有限公司</v>
      </c>
      <c r="F2800" s="6" t="e">
        <f>INDEX(商业2转码!$B$2:$B$10000,MATCH(E2800,商业2转码!$A$2:$A$10000,0))</f>
        <v>#N/A</v>
      </c>
      <c r="G2800" s="6" t="str">
        <f>INDEX(品种2编码!$A$2:$A$1048576,MATCH(W2800,品种2编码!$D$2:$D$1048576,0))</f>
        <v>0020030001SJZY0006</v>
      </c>
      <c r="H2800" s="6" t="s">
        <v>1833</v>
      </c>
      <c r="I2800" s="6" t="s">
        <v>411</v>
      </c>
      <c r="J2800" s="6" t="s">
        <v>3044</v>
      </c>
      <c r="L2800" s="6" t="s">
        <v>3628</v>
      </c>
      <c r="M2800" s="6" t="e">
        <f>INDEX(医院2县区2人!$B$2:$B$1048576,MATCH(L2800,医院2县区2人!$A$2:$A$1048576,0))</f>
        <v>#N/A</v>
      </c>
      <c r="N2800" s="6" t="e">
        <f>INDEX(医院2县区2人!$C$2:$C$1048576,MATCH(L2800,医院2县区2人!$A$2:$A$1048576,0))</f>
        <v>#N/A</v>
      </c>
      <c r="P2800" s="7">
        <v>43276</v>
      </c>
      <c r="Q2800" s="6">
        <v>5</v>
      </c>
      <c r="S2800" s="6">
        <v>18030532</v>
      </c>
      <c r="T2800" s="6" t="e">
        <f>INDEX(医院2县区2人!$D$2:$D$1048576,MATCH(L2800,医院2县区2人!$A$2:$A$1048576,0))</f>
        <v>#N/A</v>
      </c>
      <c r="W2800" s="6" t="str">
        <f t="shared" si="89"/>
        <v>葡萄糖酸钙口服溶液10ml*12支</v>
      </c>
      <c r="X2800" s="6" t="s">
        <v>2901</v>
      </c>
    </row>
    <row r="2801" spans="1:24" x14ac:dyDescent="0.15">
      <c r="A2801" s="7" t="str">
        <f t="shared" si="90"/>
        <v>201806</v>
      </c>
      <c r="C2801" s="6" t="str">
        <f>INDEX(工厂基础数据!$A$2:$A$1024,MATCH(X2801,工厂基础数据!$D$2:$D$1024,0))</f>
        <v>02037769</v>
      </c>
      <c r="E2801" s="6" t="str">
        <f>INDEX(工厂基础数据!$B$2:$B$1024,MATCH(X2801,工厂基础数据!$D$2:$D$1024,0))</f>
        <v>山东海川医药有限公司</v>
      </c>
      <c r="F2801" s="6" t="e">
        <f>INDEX(商业2转码!$B$2:$B$10000,MATCH(E2801,商业2转码!$A$2:$A$10000,0))</f>
        <v>#N/A</v>
      </c>
      <c r="G2801" s="6" t="str">
        <f>INDEX(品种2编码!$A$2:$A$1048576,MATCH(W2801,品种2编码!$D$2:$D$1048576,0))</f>
        <v>0020030020SJSC0004</v>
      </c>
      <c r="H2801" s="6" t="s">
        <v>394</v>
      </c>
      <c r="I2801" s="6" t="s">
        <v>1871</v>
      </c>
      <c r="J2801" s="6" t="s">
        <v>3755</v>
      </c>
      <c r="L2801" s="6" t="s">
        <v>3636</v>
      </c>
      <c r="M2801" s="6" t="e">
        <f>INDEX(医院2县区2人!$B$2:$B$1048576,MATCH(L2801,医院2县区2人!$A$2:$A$1048576,0))</f>
        <v>#N/A</v>
      </c>
      <c r="N2801" s="6" t="e">
        <f>INDEX(医院2县区2人!$C$2:$C$1048576,MATCH(L2801,医院2县区2人!$A$2:$A$1048576,0))</f>
        <v>#N/A</v>
      </c>
      <c r="P2801" s="7">
        <v>43276</v>
      </c>
      <c r="Q2801" s="6">
        <v>1</v>
      </c>
      <c r="S2801" s="6">
        <v>1802021</v>
      </c>
      <c r="T2801" s="6" t="e">
        <f>INDEX(医院2县区2人!$D$2:$D$1048576,MATCH(L2801,医院2县区2人!$A$2:$A$1048576,0))</f>
        <v>#N/A</v>
      </c>
      <c r="W2801" s="6" t="str">
        <f t="shared" si="89"/>
        <v>复方铝酸铋片50片</v>
      </c>
      <c r="X2801" s="6" t="s">
        <v>2901</v>
      </c>
    </row>
    <row r="2802" spans="1:24" x14ac:dyDescent="0.15">
      <c r="A2802" s="7" t="str">
        <f t="shared" si="90"/>
        <v>201806</v>
      </c>
      <c r="C2802" s="6" t="str">
        <f>INDEX(工厂基础数据!$A$2:$A$1024,MATCH(X2802,工厂基础数据!$D$2:$D$1024,0))</f>
        <v>02037769</v>
      </c>
      <c r="E2802" s="6" t="str">
        <f>INDEX(工厂基础数据!$B$2:$B$1024,MATCH(X2802,工厂基础数据!$D$2:$D$1024,0))</f>
        <v>山东海川医药有限公司</v>
      </c>
      <c r="F2802" s="6" t="e">
        <f>INDEX(商业2转码!$B$2:$B$10000,MATCH(E2802,商业2转码!$A$2:$A$10000,0))</f>
        <v>#N/A</v>
      </c>
      <c r="G2802" s="6" t="str">
        <f>INDEX(品种2编码!$A$2:$A$1048576,MATCH(W2802,品种2编码!$D$2:$D$1048576,0))</f>
        <v>0020030020SJSC0004</v>
      </c>
      <c r="H2802" s="6" t="s">
        <v>394</v>
      </c>
      <c r="I2802" s="6" t="s">
        <v>1871</v>
      </c>
      <c r="J2802" s="6" t="s">
        <v>3755</v>
      </c>
      <c r="L2802" s="6" t="s">
        <v>3720</v>
      </c>
      <c r="M2802" s="6" t="e">
        <f>INDEX(医院2县区2人!$B$2:$B$1048576,MATCH(L2802,医院2县区2人!$A$2:$A$1048576,0))</f>
        <v>#N/A</v>
      </c>
      <c r="N2802" s="6" t="e">
        <f>INDEX(医院2县区2人!$C$2:$C$1048576,MATCH(L2802,医院2县区2人!$A$2:$A$1048576,0))</f>
        <v>#N/A</v>
      </c>
      <c r="P2802" s="7">
        <v>43276</v>
      </c>
      <c r="Q2802" s="6">
        <v>10</v>
      </c>
      <c r="S2802" s="6">
        <v>1802021</v>
      </c>
      <c r="T2802" s="6" t="e">
        <f>INDEX(医院2县区2人!$D$2:$D$1048576,MATCH(L2802,医院2县区2人!$A$2:$A$1048576,0))</f>
        <v>#N/A</v>
      </c>
      <c r="W2802" s="6" t="str">
        <f t="shared" si="89"/>
        <v>复方铝酸铋片50片</v>
      </c>
      <c r="X2802" s="6" t="s">
        <v>2901</v>
      </c>
    </row>
    <row r="2803" spans="1:24" x14ac:dyDescent="0.15">
      <c r="A2803" s="7" t="str">
        <f t="shared" si="90"/>
        <v>201806</v>
      </c>
      <c r="C2803" s="6" t="str">
        <f>INDEX(工厂基础数据!$A$2:$A$1024,MATCH(X2803,工厂基础数据!$D$2:$D$1024,0))</f>
        <v>02037769</v>
      </c>
      <c r="E2803" s="6" t="str">
        <f>INDEX(工厂基础数据!$B$2:$B$1024,MATCH(X2803,工厂基础数据!$D$2:$D$1024,0))</f>
        <v>山东海川医药有限公司</v>
      </c>
      <c r="F2803" s="6" t="e">
        <f>INDEX(商业2转码!$B$2:$B$10000,MATCH(E2803,商业2转码!$A$2:$A$10000,0))</f>
        <v>#N/A</v>
      </c>
      <c r="G2803" s="6">
        <f>INDEX(品种2编码!$A$2:$A$1048576,MATCH(W2803,品种2编码!$D$2:$D$1048576,0))</f>
        <v>0</v>
      </c>
      <c r="H2803" s="6" t="s">
        <v>3747</v>
      </c>
      <c r="I2803" s="6" t="s">
        <v>381</v>
      </c>
      <c r="J2803" s="6" t="s">
        <v>3036</v>
      </c>
      <c r="L2803" s="6" t="s">
        <v>3661</v>
      </c>
      <c r="M2803" s="6" t="e">
        <f>INDEX(医院2县区2人!$B$2:$B$1048576,MATCH(L2803,医院2县区2人!$A$2:$A$1048576,0))</f>
        <v>#N/A</v>
      </c>
      <c r="N2803" s="6" t="e">
        <f>INDEX(医院2县区2人!$C$2:$C$1048576,MATCH(L2803,医院2县区2人!$A$2:$A$1048576,0))</f>
        <v>#N/A</v>
      </c>
      <c r="P2803" s="7">
        <v>43276</v>
      </c>
      <c r="Q2803" s="6">
        <v>5</v>
      </c>
      <c r="S2803" s="6">
        <v>161103</v>
      </c>
      <c r="T2803" s="6" t="e">
        <f>INDEX(医院2县区2人!$D$2:$D$1048576,MATCH(L2803,医院2县区2人!$A$2:$A$1048576,0))</f>
        <v>#N/A</v>
      </c>
      <c r="W2803" s="6" t="str">
        <f t="shared" si="89"/>
        <v>颠茄磺苄啶片（成人）12片</v>
      </c>
      <c r="X2803" s="6" t="s">
        <v>2901</v>
      </c>
    </row>
    <row r="2804" spans="1:24" x14ac:dyDescent="0.15">
      <c r="A2804" s="7" t="str">
        <f t="shared" si="90"/>
        <v>201806</v>
      </c>
      <c r="C2804" s="6" t="str">
        <f>INDEX(工厂基础数据!$A$2:$A$1024,MATCH(X2804,工厂基础数据!$D$2:$D$1024,0))</f>
        <v>02037769</v>
      </c>
      <c r="E2804" s="6" t="str">
        <f>INDEX(工厂基础数据!$B$2:$B$1024,MATCH(X2804,工厂基础数据!$D$2:$D$1024,0))</f>
        <v>山东海川医药有限公司</v>
      </c>
      <c r="F2804" s="6" t="e">
        <f>INDEX(商业2转码!$B$2:$B$10000,MATCH(E2804,商业2转码!$A$2:$A$10000,0))</f>
        <v>#N/A</v>
      </c>
      <c r="G2804" s="6" t="str">
        <f>INDEX(品种2编码!$A$2:$A$1048576,MATCH(W2804,品种2编码!$D$2:$D$1048576,0))</f>
        <v>0020030020SJSC0004</v>
      </c>
      <c r="H2804" s="6" t="s">
        <v>394</v>
      </c>
      <c r="I2804" s="6" t="s">
        <v>1871</v>
      </c>
      <c r="J2804" s="6" t="s">
        <v>3755</v>
      </c>
      <c r="L2804" s="6" t="s">
        <v>3642</v>
      </c>
      <c r="M2804" s="6" t="e">
        <f>INDEX(医院2县区2人!$B$2:$B$1048576,MATCH(L2804,医院2县区2人!$A$2:$A$1048576,0))</f>
        <v>#N/A</v>
      </c>
      <c r="N2804" s="6" t="e">
        <f>INDEX(医院2县区2人!$C$2:$C$1048576,MATCH(L2804,医院2县区2人!$A$2:$A$1048576,0))</f>
        <v>#N/A</v>
      </c>
      <c r="P2804" s="7">
        <v>43276</v>
      </c>
      <c r="Q2804" s="6">
        <v>2</v>
      </c>
      <c r="S2804" s="6">
        <v>1802021</v>
      </c>
      <c r="T2804" s="6" t="e">
        <f>INDEX(医院2县区2人!$D$2:$D$1048576,MATCH(L2804,医院2县区2人!$A$2:$A$1048576,0))</f>
        <v>#N/A</v>
      </c>
      <c r="W2804" s="6" t="str">
        <f t="shared" si="89"/>
        <v>复方铝酸铋片50片</v>
      </c>
      <c r="X2804" s="6" t="s">
        <v>2901</v>
      </c>
    </row>
    <row r="2805" spans="1:24" x14ac:dyDescent="0.15">
      <c r="A2805" s="7" t="str">
        <f t="shared" si="90"/>
        <v>201806</v>
      </c>
      <c r="C2805" s="6" t="str">
        <f>INDEX(工厂基础数据!$A$2:$A$1024,MATCH(X2805,工厂基础数据!$D$2:$D$1024,0))</f>
        <v>02037769</v>
      </c>
      <c r="E2805" s="6" t="str">
        <f>INDEX(工厂基础数据!$B$2:$B$1024,MATCH(X2805,工厂基础数据!$D$2:$D$1024,0))</f>
        <v>山东海川医药有限公司</v>
      </c>
      <c r="F2805" s="6" t="e">
        <f>INDEX(商业2转码!$B$2:$B$10000,MATCH(E2805,商业2转码!$A$2:$A$10000,0))</f>
        <v>#N/A</v>
      </c>
      <c r="G2805" s="6" t="str">
        <f>INDEX(品种2编码!$A$2:$A$1048576,MATCH(W2805,品种2编码!$D$2:$D$1048576,0))</f>
        <v>0020030001SJZY0009</v>
      </c>
      <c r="H2805" s="6" t="s">
        <v>1949</v>
      </c>
      <c r="I2805" s="6" t="s">
        <v>411</v>
      </c>
      <c r="J2805" s="6" t="s">
        <v>3040</v>
      </c>
      <c r="L2805" s="6" t="s">
        <v>3721</v>
      </c>
      <c r="M2805" s="6" t="e">
        <f>INDEX(医院2县区2人!$B$2:$B$1048576,MATCH(L2805,医院2县区2人!$A$2:$A$1048576,0))</f>
        <v>#N/A</v>
      </c>
      <c r="N2805" s="6" t="e">
        <f>INDEX(医院2县区2人!$C$2:$C$1048576,MATCH(L2805,医院2县区2人!$A$2:$A$1048576,0))</f>
        <v>#N/A</v>
      </c>
      <c r="P2805" s="7">
        <v>43276</v>
      </c>
      <c r="Q2805" s="6">
        <v>5</v>
      </c>
      <c r="S2805" s="6">
        <v>18031227</v>
      </c>
      <c r="T2805" s="6" t="e">
        <f>INDEX(医院2县区2人!$D$2:$D$1048576,MATCH(L2805,医院2县区2人!$A$2:$A$1048576,0))</f>
        <v>#N/A</v>
      </c>
      <c r="W2805" s="6" t="str">
        <f t="shared" si="89"/>
        <v>葡萄糖酸锌口服溶液10ml*12支</v>
      </c>
      <c r="X2805" s="6" t="s">
        <v>2901</v>
      </c>
    </row>
    <row r="2806" spans="1:24" x14ac:dyDescent="0.15">
      <c r="A2806" s="7" t="str">
        <f t="shared" si="90"/>
        <v>201806</v>
      </c>
      <c r="C2806" s="6" t="str">
        <f>INDEX(工厂基础数据!$A$2:$A$1024,MATCH(X2806,工厂基础数据!$D$2:$D$1024,0))</f>
        <v>02037769</v>
      </c>
      <c r="E2806" s="6" t="str">
        <f>INDEX(工厂基础数据!$B$2:$B$1024,MATCH(X2806,工厂基础数据!$D$2:$D$1024,0))</f>
        <v>山东海川医药有限公司</v>
      </c>
      <c r="F2806" s="6" t="e">
        <f>INDEX(商业2转码!$B$2:$B$10000,MATCH(E2806,商业2转码!$A$2:$A$10000,0))</f>
        <v>#N/A</v>
      </c>
      <c r="G2806" s="6" t="str">
        <f>INDEX(品种2编码!$A$2:$A$1048576,MATCH(W2806,品种2编码!$D$2:$D$1048576,0))</f>
        <v>0020070001ZYZC0377</v>
      </c>
      <c r="H2806" s="6" t="s">
        <v>1849</v>
      </c>
      <c r="I2806" s="6" t="s">
        <v>1887</v>
      </c>
      <c r="J2806" s="6" t="s">
        <v>3038</v>
      </c>
      <c r="L2806" s="6" t="s">
        <v>3721</v>
      </c>
      <c r="M2806" s="6" t="e">
        <f>INDEX(医院2县区2人!$B$2:$B$1048576,MATCH(L2806,医院2县区2人!$A$2:$A$1048576,0))</f>
        <v>#N/A</v>
      </c>
      <c r="N2806" s="6" t="e">
        <f>INDEX(医院2县区2人!$C$2:$C$1048576,MATCH(L2806,医院2县区2人!$A$2:$A$1048576,0))</f>
        <v>#N/A</v>
      </c>
      <c r="P2806" s="7">
        <v>43276</v>
      </c>
      <c r="Q2806" s="6">
        <v>5</v>
      </c>
      <c r="S2806" s="6">
        <v>1801042</v>
      </c>
      <c r="T2806" s="6" t="e">
        <f>INDEX(医院2县区2人!$D$2:$D$1048576,MATCH(L2806,医院2县区2人!$A$2:$A$1048576,0))</f>
        <v>#N/A</v>
      </c>
      <c r="W2806" s="6" t="str">
        <f t="shared" si="89"/>
        <v>哈药牌钙铁锌口服液10ml*15支</v>
      </c>
      <c r="X2806" s="6" t="s">
        <v>2901</v>
      </c>
    </row>
    <row r="2807" spans="1:24" x14ac:dyDescent="0.15">
      <c r="A2807" s="7" t="str">
        <f t="shared" si="90"/>
        <v>201806</v>
      </c>
      <c r="C2807" s="6" t="str">
        <f>INDEX(工厂基础数据!$A$2:$A$1024,MATCH(X2807,工厂基础数据!$D$2:$D$1024,0))</f>
        <v>02037769</v>
      </c>
      <c r="E2807" s="6" t="str">
        <f>INDEX(工厂基础数据!$B$2:$B$1024,MATCH(X2807,工厂基础数据!$D$2:$D$1024,0))</f>
        <v>山东海川医药有限公司</v>
      </c>
      <c r="F2807" s="6" t="e">
        <f>INDEX(商业2转码!$B$2:$B$10000,MATCH(E2807,商业2转码!$A$2:$A$10000,0))</f>
        <v>#N/A</v>
      </c>
      <c r="G2807" s="6">
        <f>INDEX(品种2编码!$A$2:$A$1048576,MATCH(W2807,品种2编码!$D$2:$D$1048576,0))</f>
        <v>0</v>
      </c>
      <c r="H2807" s="6" t="s">
        <v>1885</v>
      </c>
      <c r="I2807" s="6" t="s">
        <v>1838</v>
      </c>
      <c r="J2807" s="6" t="s">
        <v>3036</v>
      </c>
      <c r="L2807" s="6" t="s">
        <v>3642</v>
      </c>
      <c r="M2807" s="6" t="e">
        <f>INDEX(医院2县区2人!$B$2:$B$1048576,MATCH(L2807,医院2县区2人!$A$2:$A$1048576,0))</f>
        <v>#N/A</v>
      </c>
      <c r="N2807" s="6" t="e">
        <f>INDEX(医院2县区2人!$C$2:$C$1048576,MATCH(L2807,医院2县区2人!$A$2:$A$1048576,0))</f>
        <v>#N/A</v>
      </c>
      <c r="P2807" s="7">
        <v>43276</v>
      </c>
      <c r="Q2807" s="6">
        <v>2</v>
      </c>
      <c r="S2807" s="6">
        <v>180105</v>
      </c>
      <c r="T2807" s="6" t="e">
        <f>INDEX(医院2县区2人!$D$2:$D$1048576,MATCH(L2807,医院2县区2人!$A$2:$A$1048576,0))</f>
        <v>#N/A</v>
      </c>
      <c r="W2807" s="6" t="str">
        <f t="shared" si="89"/>
        <v>新盖中盖高钙片2.5g*36片</v>
      </c>
      <c r="X2807" s="6" t="s">
        <v>2901</v>
      </c>
    </row>
    <row r="2808" spans="1:24" x14ac:dyDescent="0.15">
      <c r="A2808" s="7" t="str">
        <f t="shared" si="90"/>
        <v>201806</v>
      </c>
      <c r="C2808" s="6" t="str">
        <f>INDEX(工厂基础数据!$A$2:$A$1024,MATCH(X2808,工厂基础数据!$D$2:$D$1024,0))</f>
        <v>02037769</v>
      </c>
      <c r="E2808" s="6" t="str">
        <f>INDEX(工厂基础数据!$B$2:$B$1024,MATCH(X2808,工厂基础数据!$D$2:$D$1024,0))</f>
        <v>山东海川医药有限公司</v>
      </c>
      <c r="F2808" s="6" t="e">
        <f>INDEX(商业2转码!$B$2:$B$10000,MATCH(E2808,商业2转码!$A$2:$A$10000,0))</f>
        <v>#N/A</v>
      </c>
      <c r="G2808" s="6" t="str">
        <f>INDEX(品种2编码!$A$2:$A$1048576,MATCH(W2808,品种2编码!$D$2:$D$1048576,0))</f>
        <v>0020030001SJZY0009</v>
      </c>
      <c r="H2808" s="6" t="s">
        <v>1949</v>
      </c>
      <c r="I2808" s="6" t="s">
        <v>411</v>
      </c>
      <c r="J2808" s="6" t="s">
        <v>3040</v>
      </c>
      <c r="L2808" s="6" t="s">
        <v>3642</v>
      </c>
      <c r="M2808" s="6" t="e">
        <f>INDEX(医院2县区2人!$B$2:$B$1048576,MATCH(L2808,医院2县区2人!$A$2:$A$1048576,0))</f>
        <v>#N/A</v>
      </c>
      <c r="N2808" s="6" t="e">
        <f>INDEX(医院2县区2人!$C$2:$C$1048576,MATCH(L2808,医院2县区2人!$A$2:$A$1048576,0))</f>
        <v>#N/A</v>
      </c>
      <c r="P2808" s="7">
        <v>43276</v>
      </c>
      <c r="Q2808" s="6">
        <v>2</v>
      </c>
      <c r="S2808" s="6">
        <v>18031227</v>
      </c>
      <c r="T2808" s="6" t="e">
        <f>INDEX(医院2县区2人!$D$2:$D$1048576,MATCH(L2808,医院2县区2人!$A$2:$A$1048576,0))</f>
        <v>#N/A</v>
      </c>
      <c r="W2808" s="6" t="str">
        <f t="shared" si="89"/>
        <v>葡萄糖酸锌口服溶液10ml*12支</v>
      </c>
      <c r="X2808" s="6" t="s">
        <v>2901</v>
      </c>
    </row>
    <row r="2809" spans="1:24" x14ac:dyDescent="0.15">
      <c r="A2809" s="7" t="str">
        <f t="shared" si="90"/>
        <v>201806</v>
      </c>
      <c r="C2809" s="6" t="str">
        <f>INDEX(工厂基础数据!$A$2:$A$1024,MATCH(X2809,工厂基础数据!$D$2:$D$1024,0))</f>
        <v>02037769</v>
      </c>
      <c r="E2809" s="6" t="str">
        <f>INDEX(工厂基础数据!$B$2:$B$1024,MATCH(X2809,工厂基础数据!$D$2:$D$1024,0))</f>
        <v>山东海川医药有限公司</v>
      </c>
      <c r="F2809" s="6" t="e">
        <f>INDEX(商业2转码!$B$2:$B$10000,MATCH(E2809,商业2转码!$A$2:$A$10000,0))</f>
        <v>#N/A</v>
      </c>
      <c r="G2809" s="6" t="str">
        <f>INDEX(品种2编码!$A$2:$A$1048576,MATCH(W2809,品种2编码!$D$2:$D$1048576,0))</f>
        <v>0020030001SJZY0006</v>
      </c>
      <c r="H2809" s="6" t="s">
        <v>1833</v>
      </c>
      <c r="I2809" s="6" t="s">
        <v>411</v>
      </c>
      <c r="J2809" s="6" t="s">
        <v>3044</v>
      </c>
      <c r="L2809" s="6" t="s">
        <v>3663</v>
      </c>
      <c r="M2809" s="6" t="e">
        <f>INDEX(医院2县区2人!$B$2:$B$1048576,MATCH(L2809,医院2县区2人!$A$2:$A$1048576,0))</f>
        <v>#N/A</v>
      </c>
      <c r="N2809" s="6" t="e">
        <f>INDEX(医院2县区2人!$C$2:$C$1048576,MATCH(L2809,医院2县区2人!$A$2:$A$1048576,0))</f>
        <v>#N/A</v>
      </c>
      <c r="P2809" s="7">
        <v>43276</v>
      </c>
      <c r="Q2809" s="6">
        <v>160</v>
      </c>
      <c r="S2809" s="6">
        <v>18030532</v>
      </c>
      <c r="T2809" s="6" t="e">
        <f>INDEX(医院2县区2人!$D$2:$D$1048576,MATCH(L2809,医院2县区2人!$A$2:$A$1048576,0))</f>
        <v>#N/A</v>
      </c>
      <c r="W2809" s="6" t="str">
        <f t="shared" si="89"/>
        <v>葡萄糖酸钙口服溶液10ml*12支</v>
      </c>
      <c r="X2809" s="6" t="s">
        <v>2901</v>
      </c>
    </row>
    <row r="2810" spans="1:24" x14ac:dyDescent="0.15">
      <c r="A2810" s="7" t="str">
        <f t="shared" si="90"/>
        <v>201806</v>
      </c>
      <c r="C2810" s="6" t="str">
        <f>INDEX(工厂基础数据!$A$2:$A$1024,MATCH(X2810,工厂基础数据!$D$2:$D$1024,0))</f>
        <v>02037769</v>
      </c>
      <c r="E2810" s="6" t="str">
        <f>INDEX(工厂基础数据!$B$2:$B$1024,MATCH(X2810,工厂基础数据!$D$2:$D$1024,0))</f>
        <v>山东海川医药有限公司</v>
      </c>
      <c r="F2810" s="6" t="e">
        <f>INDEX(商业2转码!$B$2:$B$10000,MATCH(E2810,商业2转码!$A$2:$A$10000,0))</f>
        <v>#N/A</v>
      </c>
      <c r="G2810" s="6" t="str">
        <f>INDEX(品种2编码!$A$2:$A$1048576,MATCH(W2810,品种2编码!$D$2:$D$1048576,0))</f>
        <v>0020030001SJZY0009</v>
      </c>
      <c r="H2810" s="6" t="s">
        <v>1949</v>
      </c>
      <c r="I2810" s="6" t="s">
        <v>411</v>
      </c>
      <c r="J2810" s="6" t="s">
        <v>3040</v>
      </c>
      <c r="L2810" s="6" t="s">
        <v>3663</v>
      </c>
      <c r="M2810" s="6" t="e">
        <f>INDEX(医院2县区2人!$B$2:$B$1048576,MATCH(L2810,医院2县区2人!$A$2:$A$1048576,0))</f>
        <v>#N/A</v>
      </c>
      <c r="N2810" s="6" t="e">
        <f>INDEX(医院2县区2人!$C$2:$C$1048576,MATCH(L2810,医院2县区2人!$A$2:$A$1048576,0))</f>
        <v>#N/A</v>
      </c>
      <c r="P2810" s="7">
        <v>43276</v>
      </c>
      <c r="Q2810" s="6">
        <v>80</v>
      </c>
      <c r="S2810" s="6">
        <v>18031227</v>
      </c>
      <c r="T2810" s="6" t="e">
        <f>INDEX(医院2县区2人!$D$2:$D$1048576,MATCH(L2810,医院2县区2人!$A$2:$A$1048576,0))</f>
        <v>#N/A</v>
      </c>
      <c r="W2810" s="6" t="str">
        <f t="shared" si="89"/>
        <v>葡萄糖酸锌口服溶液10ml*12支</v>
      </c>
      <c r="X2810" s="6" t="s">
        <v>2901</v>
      </c>
    </row>
    <row r="2811" spans="1:24" x14ac:dyDescent="0.15">
      <c r="A2811" s="7" t="str">
        <f t="shared" si="90"/>
        <v>201806</v>
      </c>
      <c r="C2811" s="6" t="str">
        <f>INDEX(工厂基础数据!$A$2:$A$1024,MATCH(X2811,工厂基础数据!$D$2:$D$1024,0))</f>
        <v>02037769</v>
      </c>
      <c r="E2811" s="6" t="str">
        <f>INDEX(工厂基础数据!$B$2:$B$1024,MATCH(X2811,工厂基础数据!$D$2:$D$1024,0))</f>
        <v>山东海川医药有限公司</v>
      </c>
      <c r="F2811" s="6" t="e">
        <f>INDEX(商业2转码!$B$2:$B$10000,MATCH(E2811,商业2转码!$A$2:$A$10000,0))</f>
        <v>#N/A</v>
      </c>
      <c r="G2811" s="6" t="str">
        <f>INDEX(品种2编码!$A$2:$A$1048576,MATCH(W2811,品种2编码!$D$2:$D$1048576,0))</f>
        <v>0020030001SJZY0006</v>
      </c>
      <c r="H2811" s="6" t="s">
        <v>1833</v>
      </c>
      <c r="I2811" s="6" t="s">
        <v>411</v>
      </c>
      <c r="J2811" s="6" t="s">
        <v>3044</v>
      </c>
      <c r="L2811" s="6" t="s">
        <v>3721</v>
      </c>
      <c r="M2811" s="6" t="e">
        <f>INDEX(医院2县区2人!$B$2:$B$1048576,MATCH(L2811,医院2县区2人!$A$2:$A$1048576,0))</f>
        <v>#N/A</v>
      </c>
      <c r="N2811" s="6" t="e">
        <f>INDEX(医院2县区2人!$C$2:$C$1048576,MATCH(L2811,医院2县区2人!$A$2:$A$1048576,0))</f>
        <v>#N/A</v>
      </c>
      <c r="P2811" s="7">
        <v>43276</v>
      </c>
      <c r="Q2811" s="6">
        <v>3</v>
      </c>
      <c r="S2811" s="6">
        <v>18030532</v>
      </c>
      <c r="T2811" s="6" t="e">
        <f>INDEX(医院2县区2人!$D$2:$D$1048576,MATCH(L2811,医院2县区2人!$A$2:$A$1048576,0))</f>
        <v>#N/A</v>
      </c>
      <c r="W2811" s="6" t="str">
        <f t="shared" ref="W2811:W2874" si="91">H2811&amp;I2811</f>
        <v>葡萄糖酸钙口服溶液10ml*12支</v>
      </c>
      <c r="X2811" s="6" t="s">
        <v>2901</v>
      </c>
    </row>
    <row r="2812" spans="1:24" x14ac:dyDescent="0.15">
      <c r="A2812" s="7" t="str">
        <f t="shared" ref="A2812:A2875" si="92">IF(MONTH(P2812)&lt;10,YEAR(P2812)&amp;"0"&amp;MONTH(P2812),YEAR(P2812)&amp;MONTH(P2812))</f>
        <v>201806</v>
      </c>
      <c r="C2812" s="6" t="str">
        <f>INDEX(工厂基础数据!$A$2:$A$1024,MATCH(X2812,工厂基础数据!$D$2:$D$1024,0))</f>
        <v>02037769</v>
      </c>
      <c r="E2812" s="6" t="str">
        <f>INDEX(工厂基础数据!$B$2:$B$1024,MATCH(X2812,工厂基础数据!$D$2:$D$1024,0))</f>
        <v>山东海川医药有限公司</v>
      </c>
      <c r="F2812" s="6" t="e">
        <f>INDEX(商业2转码!$B$2:$B$10000,MATCH(E2812,商业2转码!$A$2:$A$10000,0))</f>
        <v>#N/A</v>
      </c>
      <c r="G2812" s="6" t="str">
        <f>INDEX(品种2编码!$A$2:$A$1048576,MATCH(W2812,品种2编码!$D$2:$D$1048576,0))</f>
        <v>0020030001SJZY0009</v>
      </c>
      <c r="H2812" s="6" t="s">
        <v>1949</v>
      </c>
      <c r="I2812" s="6" t="s">
        <v>411</v>
      </c>
      <c r="J2812" s="6" t="s">
        <v>3040</v>
      </c>
      <c r="L2812" s="6" t="s">
        <v>3721</v>
      </c>
      <c r="M2812" s="6" t="e">
        <f>INDEX(医院2县区2人!$B$2:$B$1048576,MATCH(L2812,医院2县区2人!$A$2:$A$1048576,0))</f>
        <v>#N/A</v>
      </c>
      <c r="N2812" s="6" t="e">
        <f>INDEX(医院2县区2人!$C$2:$C$1048576,MATCH(L2812,医院2县区2人!$A$2:$A$1048576,0))</f>
        <v>#N/A</v>
      </c>
      <c r="P2812" s="7">
        <v>43276</v>
      </c>
      <c r="Q2812" s="6">
        <v>3</v>
      </c>
      <c r="S2812" s="6">
        <v>18031227</v>
      </c>
      <c r="T2812" s="6" t="e">
        <f>INDEX(医院2县区2人!$D$2:$D$1048576,MATCH(L2812,医院2县区2人!$A$2:$A$1048576,0))</f>
        <v>#N/A</v>
      </c>
      <c r="W2812" s="6" t="str">
        <f t="shared" si="91"/>
        <v>葡萄糖酸锌口服溶液10ml*12支</v>
      </c>
      <c r="X2812" s="6" t="s">
        <v>2901</v>
      </c>
    </row>
    <row r="2813" spans="1:24" x14ac:dyDescent="0.15">
      <c r="A2813" s="7" t="str">
        <f t="shared" si="92"/>
        <v>201806</v>
      </c>
      <c r="C2813" s="6" t="str">
        <f>INDEX(工厂基础数据!$A$2:$A$1024,MATCH(X2813,工厂基础数据!$D$2:$D$1024,0))</f>
        <v>02037769</v>
      </c>
      <c r="E2813" s="6" t="str">
        <f>INDEX(工厂基础数据!$B$2:$B$1024,MATCH(X2813,工厂基础数据!$D$2:$D$1024,0))</f>
        <v>山东海川医药有限公司</v>
      </c>
      <c r="F2813" s="6" t="e">
        <f>INDEX(商业2转码!$B$2:$B$10000,MATCH(E2813,商业2转码!$A$2:$A$10000,0))</f>
        <v>#N/A</v>
      </c>
      <c r="G2813" s="6" t="str">
        <f>INDEX(品种2编码!$A$2:$A$1048576,MATCH(W2813,品种2编码!$D$2:$D$1048576,0))</f>
        <v>0020050090SJZY0001</v>
      </c>
      <c r="H2813" s="6" t="s">
        <v>630</v>
      </c>
      <c r="I2813" s="6" t="s">
        <v>1850</v>
      </c>
      <c r="J2813" s="6" t="s">
        <v>3044</v>
      </c>
      <c r="L2813" s="6" t="s">
        <v>3680</v>
      </c>
      <c r="M2813" s="6" t="e">
        <f>INDEX(医院2县区2人!$B$2:$B$1048576,MATCH(L2813,医院2县区2人!$A$2:$A$1048576,0))</f>
        <v>#N/A</v>
      </c>
      <c r="N2813" s="6" t="e">
        <f>INDEX(医院2县区2人!$C$2:$C$1048576,MATCH(L2813,医院2县区2人!$A$2:$A$1048576,0))</f>
        <v>#N/A</v>
      </c>
      <c r="P2813" s="7">
        <v>43277</v>
      </c>
      <c r="Q2813" s="6">
        <v>10</v>
      </c>
      <c r="S2813" s="6">
        <v>18030921</v>
      </c>
      <c r="T2813" s="6" t="e">
        <f>INDEX(医院2县区2人!$D$2:$D$1048576,MATCH(L2813,医院2县区2人!$A$2:$A$1048576,0))</f>
        <v>#N/A</v>
      </c>
      <c r="W2813" s="6" t="str">
        <f t="shared" si="91"/>
        <v>双黄连口服液10ml*10支</v>
      </c>
      <c r="X2813" s="6" t="s">
        <v>2901</v>
      </c>
    </row>
    <row r="2814" spans="1:24" x14ac:dyDescent="0.15">
      <c r="A2814" s="7" t="str">
        <f t="shared" si="92"/>
        <v>201806</v>
      </c>
      <c r="C2814" s="6" t="str">
        <f>INDEX(工厂基础数据!$A$2:$A$1024,MATCH(X2814,工厂基础数据!$D$2:$D$1024,0))</f>
        <v>02037769</v>
      </c>
      <c r="E2814" s="6" t="str">
        <f>INDEX(工厂基础数据!$B$2:$B$1024,MATCH(X2814,工厂基础数据!$D$2:$D$1024,0))</f>
        <v>山东海川医药有限公司</v>
      </c>
      <c r="F2814" s="6" t="e">
        <f>INDEX(商业2转码!$B$2:$B$10000,MATCH(E2814,商业2转码!$A$2:$A$10000,0))</f>
        <v>#N/A</v>
      </c>
      <c r="G2814" s="6">
        <f>INDEX(品种2编码!$A$2:$A$1048576,MATCH(W2814,品种2编码!$D$2:$D$1048576,0))</f>
        <v>0</v>
      </c>
      <c r="H2814" s="6" t="s">
        <v>3740</v>
      </c>
      <c r="I2814" s="6" t="s">
        <v>3751</v>
      </c>
      <c r="J2814" s="6" t="s">
        <v>3754</v>
      </c>
      <c r="L2814" s="6" t="s">
        <v>3693</v>
      </c>
      <c r="M2814" s="6" t="e">
        <f>INDEX(医院2县区2人!$B$2:$B$1048576,MATCH(L2814,医院2县区2人!$A$2:$A$1048576,0))</f>
        <v>#N/A</v>
      </c>
      <c r="N2814" s="6" t="e">
        <f>INDEX(医院2县区2人!$C$2:$C$1048576,MATCH(L2814,医院2县区2人!$A$2:$A$1048576,0))</f>
        <v>#N/A</v>
      </c>
      <c r="P2814" s="7">
        <v>43277</v>
      </c>
      <c r="Q2814" s="6">
        <v>2</v>
      </c>
      <c r="S2814" s="6">
        <v>20180101</v>
      </c>
      <c r="T2814" s="6" t="e">
        <f>INDEX(医院2县区2人!$D$2:$D$1048576,MATCH(L2814,医院2县区2人!$A$2:$A$1048576,0))</f>
        <v>#N/A</v>
      </c>
      <c r="W2814" s="6" t="str">
        <f t="shared" si="91"/>
        <v>逐瘀通脉胶囊0.2g*18粒</v>
      </c>
      <c r="X2814" s="6" t="s">
        <v>2901</v>
      </c>
    </row>
    <row r="2815" spans="1:24" x14ac:dyDescent="0.15">
      <c r="A2815" s="7" t="str">
        <f t="shared" si="92"/>
        <v>201806</v>
      </c>
      <c r="C2815" s="6" t="str">
        <f>INDEX(工厂基础数据!$A$2:$A$1024,MATCH(X2815,工厂基础数据!$D$2:$D$1024,0))</f>
        <v>02037769</v>
      </c>
      <c r="E2815" s="6" t="str">
        <f>INDEX(工厂基础数据!$B$2:$B$1024,MATCH(X2815,工厂基础数据!$D$2:$D$1024,0))</f>
        <v>山东海川医药有限公司</v>
      </c>
      <c r="F2815" s="6" t="e">
        <f>INDEX(商业2转码!$B$2:$B$10000,MATCH(E2815,商业2转码!$A$2:$A$10000,0))</f>
        <v>#N/A</v>
      </c>
      <c r="G2815" s="6" t="str">
        <f>INDEX(品种2编码!$A$2:$A$1048576,MATCH(W2815,品种2编码!$D$2:$D$1048576,0))</f>
        <v>0020070001ZYZC0377</v>
      </c>
      <c r="H2815" s="6" t="s">
        <v>1849</v>
      </c>
      <c r="I2815" s="6" t="s">
        <v>1887</v>
      </c>
      <c r="J2815" s="6" t="s">
        <v>3038</v>
      </c>
      <c r="L2815" s="6" t="s">
        <v>3673</v>
      </c>
      <c r="M2815" s="6" t="e">
        <f>INDEX(医院2县区2人!$B$2:$B$1048576,MATCH(L2815,医院2县区2人!$A$2:$A$1048576,0))</f>
        <v>#N/A</v>
      </c>
      <c r="N2815" s="6" t="e">
        <f>INDEX(医院2县区2人!$C$2:$C$1048576,MATCH(L2815,医院2县区2人!$A$2:$A$1048576,0))</f>
        <v>#N/A</v>
      </c>
      <c r="P2815" s="7">
        <v>43277</v>
      </c>
      <c r="Q2815" s="6">
        <v>10</v>
      </c>
      <c r="S2815" s="6">
        <v>1801042</v>
      </c>
      <c r="T2815" s="6" t="e">
        <f>INDEX(医院2县区2人!$D$2:$D$1048576,MATCH(L2815,医院2县区2人!$A$2:$A$1048576,0))</f>
        <v>#N/A</v>
      </c>
      <c r="W2815" s="6" t="str">
        <f t="shared" si="91"/>
        <v>哈药牌钙铁锌口服液10ml*15支</v>
      </c>
      <c r="X2815" s="6" t="s">
        <v>2901</v>
      </c>
    </row>
    <row r="2816" spans="1:24" x14ac:dyDescent="0.15">
      <c r="A2816" s="7" t="str">
        <f t="shared" si="92"/>
        <v>201806</v>
      </c>
      <c r="C2816" s="6" t="str">
        <f>INDEX(工厂基础数据!$A$2:$A$1024,MATCH(X2816,工厂基础数据!$D$2:$D$1024,0))</f>
        <v>02037769</v>
      </c>
      <c r="E2816" s="6" t="str">
        <f>INDEX(工厂基础数据!$B$2:$B$1024,MATCH(X2816,工厂基础数据!$D$2:$D$1024,0))</f>
        <v>山东海川医药有限公司</v>
      </c>
      <c r="F2816" s="6" t="e">
        <f>INDEX(商业2转码!$B$2:$B$10000,MATCH(E2816,商业2转码!$A$2:$A$10000,0))</f>
        <v>#N/A</v>
      </c>
      <c r="G2816" s="6" t="str">
        <f>INDEX(品种2编码!$A$2:$A$1048576,MATCH(W2816,品种2编码!$D$2:$D$1048576,0))</f>
        <v>0020050090SJZY0001</v>
      </c>
      <c r="H2816" s="6" t="s">
        <v>630</v>
      </c>
      <c r="I2816" s="6" t="s">
        <v>1850</v>
      </c>
      <c r="J2816" s="6" t="s">
        <v>3044</v>
      </c>
      <c r="L2816" s="6" t="s">
        <v>3626</v>
      </c>
      <c r="M2816" s="6" t="e">
        <f>INDEX(医院2县区2人!$B$2:$B$1048576,MATCH(L2816,医院2县区2人!$A$2:$A$1048576,0))</f>
        <v>#N/A</v>
      </c>
      <c r="N2816" s="6" t="e">
        <f>INDEX(医院2县区2人!$C$2:$C$1048576,MATCH(L2816,医院2县区2人!$A$2:$A$1048576,0))</f>
        <v>#N/A</v>
      </c>
      <c r="P2816" s="7">
        <v>43277</v>
      </c>
      <c r="Q2816" s="6">
        <v>10</v>
      </c>
      <c r="S2816" s="6">
        <v>18030921</v>
      </c>
      <c r="T2816" s="6" t="e">
        <f>INDEX(医院2县区2人!$D$2:$D$1048576,MATCH(L2816,医院2县区2人!$A$2:$A$1048576,0))</f>
        <v>#N/A</v>
      </c>
      <c r="W2816" s="6" t="str">
        <f t="shared" si="91"/>
        <v>双黄连口服液10ml*10支</v>
      </c>
      <c r="X2816" s="6" t="s">
        <v>2901</v>
      </c>
    </row>
    <row r="2817" spans="1:24" x14ac:dyDescent="0.15">
      <c r="A2817" s="7" t="str">
        <f t="shared" si="92"/>
        <v>201806</v>
      </c>
      <c r="C2817" s="6" t="str">
        <f>INDEX(工厂基础数据!$A$2:$A$1024,MATCH(X2817,工厂基础数据!$D$2:$D$1024,0))</f>
        <v>02037769</v>
      </c>
      <c r="E2817" s="6" t="str">
        <f>INDEX(工厂基础数据!$B$2:$B$1024,MATCH(X2817,工厂基础数据!$D$2:$D$1024,0))</f>
        <v>山东海川医药有限公司</v>
      </c>
      <c r="F2817" s="6" t="e">
        <f>INDEX(商业2转码!$B$2:$B$10000,MATCH(E2817,商业2转码!$A$2:$A$10000,0))</f>
        <v>#N/A</v>
      </c>
      <c r="G2817" s="6">
        <f>INDEX(品种2编码!$A$2:$A$1048576,MATCH(W2817,品种2编码!$D$2:$D$1048576,0))</f>
        <v>0</v>
      </c>
      <c r="H2817" s="6" t="s">
        <v>3745</v>
      </c>
      <c r="I2817" s="6" t="s">
        <v>1869</v>
      </c>
      <c r="J2817" s="6" t="s">
        <v>3036</v>
      </c>
      <c r="L2817" s="6" t="s">
        <v>3625</v>
      </c>
      <c r="M2817" s="6" t="e">
        <f>INDEX(医院2县区2人!$B$2:$B$1048576,MATCH(L2817,医院2县区2人!$A$2:$A$1048576,0))</f>
        <v>#N/A</v>
      </c>
      <c r="N2817" s="6" t="e">
        <f>INDEX(医院2县区2人!$C$2:$C$1048576,MATCH(L2817,医院2县区2人!$A$2:$A$1048576,0))</f>
        <v>#N/A</v>
      </c>
      <c r="P2817" s="7">
        <v>43277</v>
      </c>
      <c r="Q2817" s="6">
        <v>5</v>
      </c>
      <c r="S2817" s="6">
        <v>160506</v>
      </c>
      <c r="T2817" s="6" t="e">
        <f>INDEX(医院2县区2人!$D$2:$D$1048576,MATCH(L2817,医院2县区2人!$A$2:$A$1048576,0))</f>
        <v>#N/A</v>
      </c>
      <c r="W2817" s="6" t="str">
        <f t="shared" si="91"/>
        <v>罗红霉素分散片（成人）75mg*12片</v>
      </c>
      <c r="X2817" s="6" t="s">
        <v>2901</v>
      </c>
    </row>
    <row r="2818" spans="1:24" x14ac:dyDescent="0.15">
      <c r="A2818" s="7" t="str">
        <f t="shared" si="92"/>
        <v>201806</v>
      </c>
      <c r="C2818" s="6" t="str">
        <f>INDEX(工厂基础数据!$A$2:$A$1024,MATCH(X2818,工厂基础数据!$D$2:$D$1024,0))</f>
        <v>02037769</v>
      </c>
      <c r="E2818" s="6" t="str">
        <f>INDEX(工厂基础数据!$B$2:$B$1024,MATCH(X2818,工厂基础数据!$D$2:$D$1024,0))</f>
        <v>山东海川医药有限公司</v>
      </c>
      <c r="F2818" s="6" t="e">
        <f>INDEX(商业2转码!$B$2:$B$10000,MATCH(E2818,商业2转码!$A$2:$A$10000,0))</f>
        <v>#N/A</v>
      </c>
      <c r="G2818" s="6">
        <f>INDEX(品种2编码!$A$2:$A$1048576,MATCH(W2818,品种2编码!$D$2:$D$1048576,0))</f>
        <v>0</v>
      </c>
      <c r="H2818" s="6" t="s">
        <v>3745</v>
      </c>
      <c r="I2818" s="6" t="s">
        <v>1869</v>
      </c>
      <c r="J2818" s="6" t="s">
        <v>3036</v>
      </c>
      <c r="L2818" s="6" t="s">
        <v>3665</v>
      </c>
      <c r="M2818" s="6" t="e">
        <f>INDEX(医院2县区2人!$B$2:$B$1048576,MATCH(L2818,医院2县区2人!$A$2:$A$1048576,0))</f>
        <v>#N/A</v>
      </c>
      <c r="N2818" s="6" t="e">
        <f>INDEX(医院2县区2人!$C$2:$C$1048576,MATCH(L2818,医院2县区2人!$A$2:$A$1048576,0))</f>
        <v>#N/A</v>
      </c>
      <c r="P2818" s="7">
        <v>43277</v>
      </c>
      <c r="Q2818" s="6">
        <v>5</v>
      </c>
      <c r="S2818" s="6">
        <v>160506</v>
      </c>
      <c r="T2818" s="6" t="e">
        <f>INDEX(医院2县区2人!$D$2:$D$1048576,MATCH(L2818,医院2县区2人!$A$2:$A$1048576,0))</f>
        <v>#N/A</v>
      </c>
      <c r="W2818" s="6" t="str">
        <f t="shared" si="91"/>
        <v>罗红霉素分散片（成人）75mg*12片</v>
      </c>
      <c r="X2818" s="6" t="s">
        <v>2901</v>
      </c>
    </row>
    <row r="2819" spans="1:24" x14ac:dyDescent="0.15">
      <c r="A2819" s="7" t="str">
        <f t="shared" si="92"/>
        <v>201806</v>
      </c>
      <c r="C2819" s="6" t="str">
        <f>INDEX(工厂基础数据!$A$2:$A$1024,MATCH(X2819,工厂基础数据!$D$2:$D$1024,0))</f>
        <v>02037769</v>
      </c>
      <c r="E2819" s="6" t="str">
        <f>INDEX(工厂基础数据!$B$2:$B$1024,MATCH(X2819,工厂基础数据!$D$2:$D$1024,0))</f>
        <v>山东海川医药有限公司</v>
      </c>
      <c r="F2819" s="6" t="e">
        <f>INDEX(商业2转码!$B$2:$B$10000,MATCH(E2819,商业2转码!$A$2:$A$10000,0))</f>
        <v>#N/A</v>
      </c>
      <c r="G2819" s="6">
        <f>INDEX(品种2编码!$A$2:$A$1048576,MATCH(W2819,品种2编码!$D$2:$D$1048576,0))</f>
        <v>0</v>
      </c>
      <c r="H2819" s="6" t="s">
        <v>3745</v>
      </c>
      <c r="I2819" s="6" t="s">
        <v>1869</v>
      </c>
      <c r="J2819" s="6" t="s">
        <v>3036</v>
      </c>
      <c r="L2819" s="6" t="s">
        <v>3664</v>
      </c>
      <c r="M2819" s="6" t="e">
        <f>INDEX(医院2县区2人!$B$2:$B$1048576,MATCH(L2819,医院2县区2人!$A$2:$A$1048576,0))</f>
        <v>#N/A</v>
      </c>
      <c r="N2819" s="6" t="e">
        <f>INDEX(医院2县区2人!$C$2:$C$1048576,MATCH(L2819,医院2县区2人!$A$2:$A$1048576,0))</f>
        <v>#N/A</v>
      </c>
      <c r="P2819" s="7">
        <v>43277</v>
      </c>
      <c r="Q2819" s="6">
        <v>8</v>
      </c>
      <c r="S2819" s="6">
        <v>160506</v>
      </c>
      <c r="T2819" s="6" t="e">
        <f>INDEX(医院2县区2人!$D$2:$D$1048576,MATCH(L2819,医院2县区2人!$A$2:$A$1048576,0))</f>
        <v>#N/A</v>
      </c>
      <c r="W2819" s="6" t="str">
        <f t="shared" si="91"/>
        <v>罗红霉素分散片（成人）75mg*12片</v>
      </c>
      <c r="X2819" s="6" t="s">
        <v>2901</v>
      </c>
    </row>
    <row r="2820" spans="1:24" x14ac:dyDescent="0.15">
      <c r="A2820" s="7" t="str">
        <f t="shared" si="92"/>
        <v>201806</v>
      </c>
      <c r="C2820" s="6" t="str">
        <f>INDEX(工厂基础数据!$A$2:$A$1024,MATCH(X2820,工厂基础数据!$D$2:$D$1024,0))</f>
        <v>02037769</v>
      </c>
      <c r="E2820" s="6" t="str">
        <f>INDEX(工厂基础数据!$B$2:$B$1024,MATCH(X2820,工厂基础数据!$D$2:$D$1024,0))</f>
        <v>山东海川医药有限公司</v>
      </c>
      <c r="F2820" s="6" t="e">
        <f>INDEX(商业2转码!$B$2:$B$10000,MATCH(E2820,商业2转码!$A$2:$A$10000,0))</f>
        <v>#N/A</v>
      </c>
      <c r="G2820" s="6">
        <f>INDEX(品种2编码!$A$2:$A$1048576,MATCH(W2820,品种2编码!$D$2:$D$1048576,0))</f>
        <v>0</v>
      </c>
      <c r="H2820" s="6" t="s">
        <v>3745</v>
      </c>
      <c r="I2820" s="6" t="s">
        <v>1869</v>
      </c>
      <c r="J2820" s="6" t="s">
        <v>3036</v>
      </c>
      <c r="L2820" s="6" t="s">
        <v>3626</v>
      </c>
      <c r="M2820" s="6" t="e">
        <f>INDEX(医院2县区2人!$B$2:$B$1048576,MATCH(L2820,医院2县区2人!$A$2:$A$1048576,0))</f>
        <v>#N/A</v>
      </c>
      <c r="N2820" s="6" t="e">
        <f>INDEX(医院2县区2人!$C$2:$C$1048576,MATCH(L2820,医院2县区2人!$A$2:$A$1048576,0))</f>
        <v>#N/A</v>
      </c>
      <c r="P2820" s="7">
        <v>43277</v>
      </c>
      <c r="Q2820" s="6">
        <v>8</v>
      </c>
      <c r="S2820" s="6">
        <v>160506</v>
      </c>
      <c r="T2820" s="6" t="e">
        <f>INDEX(医院2县区2人!$D$2:$D$1048576,MATCH(L2820,医院2县区2人!$A$2:$A$1048576,0))</f>
        <v>#N/A</v>
      </c>
      <c r="W2820" s="6" t="str">
        <f t="shared" si="91"/>
        <v>罗红霉素分散片（成人）75mg*12片</v>
      </c>
      <c r="X2820" s="6" t="s">
        <v>2901</v>
      </c>
    </row>
    <row r="2821" spans="1:24" x14ac:dyDescent="0.15">
      <c r="A2821" s="7" t="str">
        <f t="shared" si="92"/>
        <v>201806</v>
      </c>
      <c r="C2821" s="6" t="str">
        <f>INDEX(工厂基础数据!$A$2:$A$1024,MATCH(X2821,工厂基础数据!$D$2:$D$1024,0))</f>
        <v>02037769</v>
      </c>
      <c r="E2821" s="6" t="str">
        <f>INDEX(工厂基础数据!$B$2:$B$1024,MATCH(X2821,工厂基础数据!$D$2:$D$1024,0))</f>
        <v>山东海川医药有限公司</v>
      </c>
      <c r="F2821" s="6" t="e">
        <f>INDEX(商业2转码!$B$2:$B$10000,MATCH(E2821,商业2转码!$A$2:$A$10000,0))</f>
        <v>#N/A</v>
      </c>
      <c r="G2821" s="6">
        <f>INDEX(品种2编码!$A$2:$A$1048576,MATCH(W2821,品种2编码!$D$2:$D$1048576,0))</f>
        <v>0</v>
      </c>
      <c r="H2821" s="6" t="s">
        <v>3745</v>
      </c>
      <c r="I2821" s="6" t="s">
        <v>1869</v>
      </c>
      <c r="J2821" s="6" t="s">
        <v>3036</v>
      </c>
      <c r="L2821" s="6" t="s">
        <v>3666</v>
      </c>
      <c r="M2821" s="6" t="e">
        <f>INDEX(医院2县区2人!$B$2:$B$1048576,MATCH(L2821,医院2县区2人!$A$2:$A$1048576,0))</f>
        <v>#N/A</v>
      </c>
      <c r="N2821" s="6" t="e">
        <f>INDEX(医院2县区2人!$C$2:$C$1048576,MATCH(L2821,医院2县区2人!$A$2:$A$1048576,0))</f>
        <v>#N/A</v>
      </c>
      <c r="P2821" s="7">
        <v>43277</v>
      </c>
      <c r="Q2821" s="6">
        <v>8</v>
      </c>
      <c r="S2821" s="6">
        <v>160506</v>
      </c>
      <c r="T2821" s="6" t="e">
        <f>INDEX(医院2县区2人!$D$2:$D$1048576,MATCH(L2821,医院2县区2人!$A$2:$A$1048576,0))</f>
        <v>#N/A</v>
      </c>
      <c r="W2821" s="6" t="str">
        <f t="shared" si="91"/>
        <v>罗红霉素分散片（成人）75mg*12片</v>
      </c>
      <c r="X2821" s="6" t="s">
        <v>2901</v>
      </c>
    </row>
    <row r="2822" spans="1:24" x14ac:dyDescent="0.15">
      <c r="A2822" s="7" t="str">
        <f t="shared" si="92"/>
        <v>201806</v>
      </c>
      <c r="C2822" s="6" t="str">
        <f>INDEX(工厂基础数据!$A$2:$A$1024,MATCH(X2822,工厂基础数据!$D$2:$D$1024,0))</f>
        <v>02037769</v>
      </c>
      <c r="E2822" s="6" t="str">
        <f>INDEX(工厂基础数据!$B$2:$B$1024,MATCH(X2822,工厂基础数据!$D$2:$D$1024,0))</f>
        <v>山东海川医药有限公司</v>
      </c>
      <c r="F2822" s="6" t="e">
        <f>INDEX(商业2转码!$B$2:$B$10000,MATCH(E2822,商业2转码!$A$2:$A$10000,0))</f>
        <v>#N/A</v>
      </c>
      <c r="G2822" s="6">
        <f>INDEX(品种2编码!$A$2:$A$1048576,MATCH(W2822,品种2编码!$D$2:$D$1048576,0))</f>
        <v>0</v>
      </c>
      <c r="H2822" s="6" t="s">
        <v>3745</v>
      </c>
      <c r="I2822" s="6" t="s">
        <v>1869</v>
      </c>
      <c r="J2822" s="6" t="s">
        <v>3036</v>
      </c>
      <c r="L2822" s="6" t="s">
        <v>3630</v>
      </c>
      <c r="M2822" s="6" t="e">
        <f>INDEX(医院2县区2人!$B$2:$B$1048576,MATCH(L2822,医院2县区2人!$A$2:$A$1048576,0))</f>
        <v>#N/A</v>
      </c>
      <c r="N2822" s="6" t="e">
        <f>INDEX(医院2县区2人!$C$2:$C$1048576,MATCH(L2822,医院2县区2人!$A$2:$A$1048576,0))</f>
        <v>#N/A</v>
      </c>
      <c r="P2822" s="7">
        <v>43277</v>
      </c>
      <c r="Q2822" s="6">
        <v>6</v>
      </c>
      <c r="S2822" s="6">
        <v>160506</v>
      </c>
      <c r="T2822" s="6" t="e">
        <f>INDEX(医院2县区2人!$D$2:$D$1048576,MATCH(L2822,医院2县区2人!$A$2:$A$1048576,0))</f>
        <v>#N/A</v>
      </c>
      <c r="W2822" s="6" t="str">
        <f t="shared" si="91"/>
        <v>罗红霉素分散片（成人）75mg*12片</v>
      </c>
      <c r="X2822" s="6" t="s">
        <v>2901</v>
      </c>
    </row>
    <row r="2823" spans="1:24" x14ac:dyDescent="0.15">
      <c r="A2823" s="7" t="str">
        <f t="shared" si="92"/>
        <v>201806</v>
      </c>
      <c r="C2823" s="6" t="str">
        <f>INDEX(工厂基础数据!$A$2:$A$1024,MATCH(X2823,工厂基础数据!$D$2:$D$1024,0))</f>
        <v>02037769</v>
      </c>
      <c r="E2823" s="6" t="str">
        <f>INDEX(工厂基础数据!$B$2:$B$1024,MATCH(X2823,工厂基础数据!$D$2:$D$1024,0))</f>
        <v>山东海川医药有限公司</v>
      </c>
      <c r="F2823" s="6" t="e">
        <f>INDEX(商业2转码!$B$2:$B$10000,MATCH(E2823,商业2转码!$A$2:$A$10000,0))</f>
        <v>#N/A</v>
      </c>
      <c r="G2823" s="6">
        <f>INDEX(品种2编码!$A$2:$A$1048576,MATCH(W2823,品种2编码!$D$2:$D$1048576,0))</f>
        <v>0</v>
      </c>
      <c r="H2823" s="6" t="s">
        <v>1885</v>
      </c>
      <c r="I2823" s="6" t="s">
        <v>1838</v>
      </c>
      <c r="J2823" s="6" t="s">
        <v>3036</v>
      </c>
      <c r="L2823" s="6" t="s">
        <v>3722</v>
      </c>
      <c r="M2823" s="6" t="e">
        <f>INDEX(医院2县区2人!$B$2:$B$1048576,MATCH(L2823,医院2县区2人!$A$2:$A$1048576,0))</f>
        <v>#N/A</v>
      </c>
      <c r="N2823" s="6" t="e">
        <f>INDEX(医院2县区2人!$C$2:$C$1048576,MATCH(L2823,医院2县区2人!$A$2:$A$1048576,0))</f>
        <v>#N/A</v>
      </c>
      <c r="P2823" s="7">
        <v>43277</v>
      </c>
      <c r="Q2823" s="6">
        <v>5</v>
      </c>
      <c r="S2823" s="6">
        <v>180106</v>
      </c>
      <c r="T2823" s="6" t="e">
        <f>INDEX(医院2县区2人!$D$2:$D$1048576,MATCH(L2823,医院2县区2人!$A$2:$A$1048576,0))</f>
        <v>#N/A</v>
      </c>
      <c r="W2823" s="6" t="str">
        <f t="shared" si="91"/>
        <v>新盖中盖高钙片2.5g*36片</v>
      </c>
      <c r="X2823" s="6" t="s">
        <v>2901</v>
      </c>
    </row>
    <row r="2824" spans="1:24" x14ac:dyDescent="0.15">
      <c r="A2824" s="7" t="str">
        <f t="shared" si="92"/>
        <v>201806</v>
      </c>
      <c r="C2824" s="6" t="str">
        <f>INDEX(工厂基础数据!$A$2:$A$1024,MATCH(X2824,工厂基础数据!$D$2:$D$1024,0))</f>
        <v>02037769</v>
      </c>
      <c r="E2824" s="6" t="str">
        <f>INDEX(工厂基础数据!$B$2:$B$1024,MATCH(X2824,工厂基础数据!$D$2:$D$1024,0))</f>
        <v>山东海川医药有限公司</v>
      </c>
      <c r="F2824" s="6" t="e">
        <f>INDEX(商业2转码!$B$2:$B$10000,MATCH(E2824,商业2转码!$A$2:$A$10000,0))</f>
        <v>#N/A</v>
      </c>
      <c r="G2824" s="6" t="str">
        <f>INDEX(品种2编码!$A$2:$A$1048576,MATCH(W2824,品种2编码!$D$2:$D$1048576,0))</f>
        <v>0020070001ZYZC0377</v>
      </c>
      <c r="H2824" s="6" t="s">
        <v>1849</v>
      </c>
      <c r="I2824" s="6" t="s">
        <v>1887</v>
      </c>
      <c r="J2824" s="6" t="s">
        <v>3038</v>
      </c>
      <c r="L2824" s="6" t="s">
        <v>3699</v>
      </c>
      <c r="M2824" s="6" t="e">
        <f>INDEX(医院2县区2人!$B$2:$B$1048576,MATCH(L2824,医院2县区2人!$A$2:$A$1048576,0))</f>
        <v>#N/A</v>
      </c>
      <c r="N2824" s="6" t="e">
        <f>INDEX(医院2县区2人!$C$2:$C$1048576,MATCH(L2824,医院2县区2人!$A$2:$A$1048576,0))</f>
        <v>#N/A</v>
      </c>
      <c r="P2824" s="7">
        <v>43277</v>
      </c>
      <c r="Q2824" s="6">
        <v>8</v>
      </c>
      <c r="S2824" s="6">
        <v>1801042</v>
      </c>
      <c r="T2824" s="6" t="e">
        <f>INDEX(医院2县区2人!$D$2:$D$1048576,MATCH(L2824,医院2县区2人!$A$2:$A$1048576,0))</f>
        <v>#N/A</v>
      </c>
      <c r="W2824" s="6" t="str">
        <f t="shared" si="91"/>
        <v>哈药牌钙铁锌口服液10ml*15支</v>
      </c>
      <c r="X2824" s="6" t="s">
        <v>2901</v>
      </c>
    </row>
    <row r="2825" spans="1:24" x14ac:dyDescent="0.15">
      <c r="A2825" s="7" t="str">
        <f t="shared" si="92"/>
        <v>201806</v>
      </c>
      <c r="C2825" s="6" t="str">
        <f>INDEX(工厂基础数据!$A$2:$A$1024,MATCH(X2825,工厂基础数据!$D$2:$D$1024,0))</f>
        <v>02037769</v>
      </c>
      <c r="E2825" s="6" t="str">
        <f>INDEX(工厂基础数据!$B$2:$B$1024,MATCH(X2825,工厂基础数据!$D$2:$D$1024,0))</f>
        <v>山东海川医药有限公司</v>
      </c>
      <c r="F2825" s="6" t="e">
        <f>INDEX(商业2转码!$B$2:$B$10000,MATCH(E2825,商业2转码!$A$2:$A$10000,0))</f>
        <v>#N/A</v>
      </c>
      <c r="G2825" s="6" t="str">
        <f>INDEX(品种2编码!$A$2:$A$1048576,MATCH(W2825,品种2编码!$D$2:$D$1048576,0))</f>
        <v>0020030001SJZY0009</v>
      </c>
      <c r="H2825" s="6" t="s">
        <v>1949</v>
      </c>
      <c r="I2825" s="6" t="s">
        <v>411</v>
      </c>
      <c r="J2825" s="6" t="s">
        <v>3040</v>
      </c>
      <c r="L2825" s="6" t="s">
        <v>3616</v>
      </c>
      <c r="M2825" s="6" t="e">
        <f>INDEX(医院2县区2人!$B$2:$B$1048576,MATCH(L2825,医院2县区2人!$A$2:$A$1048576,0))</f>
        <v>#N/A</v>
      </c>
      <c r="N2825" s="6" t="e">
        <f>INDEX(医院2县区2人!$C$2:$C$1048576,MATCH(L2825,医院2县区2人!$A$2:$A$1048576,0))</f>
        <v>#N/A</v>
      </c>
      <c r="P2825" s="7">
        <v>43277</v>
      </c>
      <c r="Q2825" s="6">
        <v>2</v>
      </c>
      <c r="S2825" s="6">
        <v>18031227</v>
      </c>
      <c r="T2825" s="6" t="e">
        <f>INDEX(医院2县区2人!$D$2:$D$1048576,MATCH(L2825,医院2县区2人!$A$2:$A$1048576,0))</f>
        <v>#N/A</v>
      </c>
      <c r="W2825" s="6" t="str">
        <f t="shared" si="91"/>
        <v>葡萄糖酸锌口服溶液10ml*12支</v>
      </c>
      <c r="X2825" s="6" t="s">
        <v>2901</v>
      </c>
    </row>
    <row r="2826" spans="1:24" x14ac:dyDescent="0.15">
      <c r="A2826" s="7" t="str">
        <f t="shared" si="92"/>
        <v>201806</v>
      </c>
      <c r="C2826" s="6" t="str">
        <f>INDEX(工厂基础数据!$A$2:$A$1024,MATCH(X2826,工厂基础数据!$D$2:$D$1024,0))</f>
        <v>02037769</v>
      </c>
      <c r="E2826" s="6" t="str">
        <f>INDEX(工厂基础数据!$B$2:$B$1024,MATCH(X2826,工厂基础数据!$D$2:$D$1024,0))</f>
        <v>山东海川医药有限公司</v>
      </c>
      <c r="F2826" s="6" t="e">
        <f>INDEX(商业2转码!$B$2:$B$10000,MATCH(E2826,商业2转码!$A$2:$A$10000,0))</f>
        <v>#N/A</v>
      </c>
      <c r="G2826" s="6">
        <f>INDEX(品种2编码!$A$2:$A$1048576,MATCH(W2826,品种2编码!$D$2:$D$1048576,0))</f>
        <v>0</v>
      </c>
      <c r="H2826" s="6" t="s">
        <v>3747</v>
      </c>
      <c r="I2826" s="6" t="s">
        <v>381</v>
      </c>
      <c r="J2826" s="6" t="s">
        <v>3036</v>
      </c>
      <c r="L2826" s="6" t="s">
        <v>3656</v>
      </c>
      <c r="M2826" s="6" t="e">
        <f>INDEX(医院2县区2人!$B$2:$B$1048576,MATCH(L2826,医院2县区2人!$A$2:$A$1048576,0))</f>
        <v>#N/A</v>
      </c>
      <c r="N2826" s="6" t="e">
        <f>INDEX(医院2县区2人!$C$2:$C$1048576,MATCH(L2826,医院2县区2人!$A$2:$A$1048576,0))</f>
        <v>#N/A</v>
      </c>
      <c r="P2826" s="7">
        <v>43277</v>
      </c>
      <c r="Q2826" s="6">
        <v>5</v>
      </c>
      <c r="S2826" s="6">
        <v>161103</v>
      </c>
      <c r="T2826" s="6" t="e">
        <f>INDEX(医院2县区2人!$D$2:$D$1048576,MATCH(L2826,医院2县区2人!$A$2:$A$1048576,0))</f>
        <v>#N/A</v>
      </c>
      <c r="W2826" s="6" t="str">
        <f t="shared" si="91"/>
        <v>颠茄磺苄啶片（成人）12片</v>
      </c>
      <c r="X2826" s="6" t="s">
        <v>2901</v>
      </c>
    </row>
    <row r="2827" spans="1:24" x14ac:dyDescent="0.15">
      <c r="A2827" s="7" t="str">
        <f t="shared" si="92"/>
        <v>201806</v>
      </c>
      <c r="C2827" s="6" t="str">
        <f>INDEX(工厂基础数据!$A$2:$A$1024,MATCH(X2827,工厂基础数据!$D$2:$D$1024,0))</f>
        <v>02037769</v>
      </c>
      <c r="E2827" s="6" t="str">
        <f>INDEX(工厂基础数据!$B$2:$B$1024,MATCH(X2827,工厂基础数据!$D$2:$D$1024,0))</f>
        <v>山东海川医药有限公司</v>
      </c>
      <c r="F2827" s="6" t="e">
        <f>INDEX(商业2转码!$B$2:$B$10000,MATCH(E2827,商业2转码!$A$2:$A$10000,0))</f>
        <v>#N/A</v>
      </c>
      <c r="G2827" s="6" t="str">
        <f>INDEX(品种2编码!$A$2:$A$1048576,MATCH(W2827,品种2编码!$D$2:$D$1048576,0))</f>
        <v>0020030040ZYLC0001</v>
      </c>
      <c r="H2827" s="6" t="s">
        <v>1953</v>
      </c>
      <c r="I2827" s="6" t="s">
        <v>1954</v>
      </c>
      <c r="J2827" s="6" t="s">
        <v>3036</v>
      </c>
      <c r="L2827" s="6" t="s">
        <v>3681</v>
      </c>
      <c r="M2827" s="6" t="e">
        <f>INDEX(医院2县区2人!$B$2:$B$1048576,MATCH(L2827,医院2县区2人!$A$2:$A$1048576,0))</f>
        <v>#N/A</v>
      </c>
      <c r="N2827" s="6" t="e">
        <f>INDEX(医院2县区2人!$C$2:$C$1048576,MATCH(L2827,医院2县区2人!$A$2:$A$1048576,0))</f>
        <v>#N/A</v>
      </c>
      <c r="P2827" s="7">
        <v>43278</v>
      </c>
      <c r="Q2827" s="6">
        <v>5</v>
      </c>
      <c r="S2827" s="6">
        <v>180137</v>
      </c>
      <c r="T2827" s="6" t="e">
        <f>INDEX(医院2县区2人!$D$2:$D$1048576,MATCH(L2827,医院2县区2人!$A$2:$A$1048576,0))</f>
        <v>#N/A</v>
      </c>
      <c r="W2827" s="6" t="str">
        <f t="shared" si="91"/>
        <v>小儿氨酚黄那敏颗粒12袋</v>
      </c>
      <c r="X2827" s="6" t="s">
        <v>2901</v>
      </c>
    </row>
    <row r="2828" spans="1:24" x14ac:dyDescent="0.15">
      <c r="A2828" s="7" t="str">
        <f t="shared" si="92"/>
        <v>201806</v>
      </c>
      <c r="C2828" s="6" t="str">
        <f>INDEX(工厂基础数据!$A$2:$A$1024,MATCH(X2828,工厂基础数据!$D$2:$D$1024,0))</f>
        <v>02037769</v>
      </c>
      <c r="E2828" s="6" t="str">
        <f>INDEX(工厂基础数据!$B$2:$B$1024,MATCH(X2828,工厂基础数据!$D$2:$D$1024,0))</f>
        <v>山东海川医药有限公司</v>
      </c>
      <c r="F2828" s="6" t="e">
        <f>INDEX(商业2转码!$B$2:$B$10000,MATCH(E2828,商业2转码!$A$2:$A$10000,0))</f>
        <v>#N/A</v>
      </c>
      <c r="G2828" s="6">
        <f>INDEX(品种2编码!$A$2:$A$1048576,MATCH(W2828,品种2编码!$D$2:$D$1048576,0))</f>
        <v>0</v>
      </c>
      <c r="H2828" s="6" t="s">
        <v>1885</v>
      </c>
      <c r="I2828" s="6" t="s">
        <v>1838</v>
      </c>
      <c r="J2828" s="6" t="s">
        <v>3036</v>
      </c>
      <c r="L2828" s="6" t="s">
        <v>3723</v>
      </c>
      <c r="M2828" s="6" t="e">
        <f>INDEX(医院2县区2人!$B$2:$B$1048576,MATCH(L2828,医院2县区2人!$A$2:$A$1048576,0))</f>
        <v>#N/A</v>
      </c>
      <c r="N2828" s="6" t="e">
        <f>INDEX(医院2县区2人!$C$2:$C$1048576,MATCH(L2828,医院2县区2人!$A$2:$A$1048576,0))</f>
        <v>#N/A</v>
      </c>
      <c r="P2828" s="7">
        <v>43278</v>
      </c>
      <c r="Q2828" s="6">
        <v>5</v>
      </c>
      <c r="S2828" s="6">
        <v>180105</v>
      </c>
      <c r="T2828" s="6" t="e">
        <f>INDEX(医院2县区2人!$D$2:$D$1048576,MATCH(L2828,医院2县区2人!$A$2:$A$1048576,0))</f>
        <v>#N/A</v>
      </c>
      <c r="W2828" s="6" t="str">
        <f t="shared" si="91"/>
        <v>新盖中盖高钙片2.5g*36片</v>
      </c>
      <c r="X2828" s="6" t="s">
        <v>2901</v>
      </c>
    </row>
    <row r="2829" spans="1:24" x14ac:dyDescent="0.15">
      <c r="A2829" s="7" t="str">
        <f t="shared" si="92"/>
        <v>201806</v>
      </c>
      <c r="C2829" s="6" t="str">
        <f>INDEX(工厂基础数据!$A$2:$A$1024,MATCH(X2829,工厂基础数据!$D$2:$D$1024,0))</f>
        <v>02037769</v>
      </c>
      <c r="E2829" s="6" t="str">
        <f>INDEX(工厂基础数据!$B$2:$B$1024,MATCH(X2829,工厂基础数据!$D$2:$D$1024,0))</f>
        <v>山东海川医药有限公司</v>
      </c>
      <c r="F2829" s="6" t="e">
        <f>INDEX(商业2转码!$B$2:$B$10000,MATCH(E2829,商业2转码!$A$2:$A$10000,0))</f>
        <v>#N/A</v>
      </c>
      <c r="G2829" s="6" t="str">
        <f>INDEX(品种2编码!$A$2:$A$1048576,MATCH(W2829,品种2编码!$D$2:$D$1048576,0))</f>
        <v>0020050090SJZY0001</v>
      </c>
      <c r="H2829" s="6" t="s">
        <v>630</v>
      </c>
      <c r="I2829" s="6" t="s">
        <v>1850</v>
      </c>
      <c r="J2829" s="6" t="s">
        <v>3044</v>
      </c>
      <c r="L2829" s="6" t="s">
        <v>3723</v>
      </c>
      <c r="M2829" s="6" t="e">
        <f>INDEX(医院2县区2人!$B$2:$B$1048576,MATCH(L2829,医院2县区2人!$A$2:$A$1048576,0))</f>
        <v>#N/A</v>
      </c>
      <c r="N2829" s="6" t="e">
        <f>INDEX(医院2县区2人!$C$2:$C$1048576,MATCH(L2829,医院2县区2人!$A$2:$A$1048576,0))</f>
        <v>#N/A</v>
      </c>
      <c r="P2829" s="7">
        <v>43278</v>
      </c>
      <c r="Q2829" s="6">
        <v>5</v>
      </c>
      <c r="S2829" s="6">
        <v>18030921</v>
      </c>
      <c r="T2829" s="6" t="e">
        <f>INDEX(医院2县区2人!$D$2:$D$1048576,MATCH(L2829,医院2县区2人!$A$2:$A$1048576,0))</f>
        <v>#N/A</v>
      </c>
      <c r="W2829" s="6" t="str">
        <f t="shared" si="91"/>
        <v>双黄连口服液10ml*10支</v>
      </c>
      <c r="X2829" s="6" t="s">
        <v>2901</v>
      </c>
    </row>
    <row r="2830" spans="1:24" x14ac:dyDescent="0.15">
      <c r="A2830" s="7" t="str">
        <f t="shared" si="92"/>
        <v>201806</v>
      </c>
      <c r="C2830" s="6" t="str">
        <f>INDEX(工厂基础数据!$A$2:$A$1024,MATCH(X2830,工厂基础数据!$D$2:$D$1024,0))</f>
        <v>02037769</v>
      </c>
      <c r="E2830" s="6" t="str">
        <f>INDEX(工厂基础数据!$B$2:$B$1024,MATCH(X2830,工厂基础数据!$D$2:$D$1024,0))</f>
        <v>山东海川医药有限公司</v>
      </c>
      <c r="F2830" s="6" t="e">
        <f>INDEX(商业2转码!$B$2:$B$10000,MATCH(E2830,商业2转码!$A$2:$A$10000,0))</f>
        <v>#N/A</v>
      </c>
      <c r="G2830" s="6">
        <f>INDEX(品种2编码!$A$2:$A$1048576,MATCH(W2830,品种2编码!$D$2:$D$1048576,0))</f>
        <v>0</v>
      </c>
      <c r="H2830" s="6" t="s">
        <v>1885</v>
      </c>
      <c r="I2830" s="6" t="s">
        <v>1838</v>
      </c>
      <c r="J2830" s="6" t="s">
        <v>3036</v>
      </c>
      <c r="L2830" s="6" t="s">
        <v>3724</v>
      </c>
      <c r="M2830" s="6" t="e">
        <f>INDEX(医院2县区2人!$B$2:$B$1048576,MATCH(L2830,医院2县区2人!$A$2:$A$1048576,0))</f>
        <v>#N/A</v>
      </c>
      <c r="N2830" s="6" t="e">
        <f>INDEX(医院2县区2人!$C$2:$C$1048576,MATCH(L2830,医院2县区2人!$A$2:$A$1048576,0))</f>
        <v>#N/A</v>
      </c>
      <c r="P2830" s="7">
        <v>43278</v>
      </c>
      <c r="Q2830" s="6">
        <v>5</v>
      </c>
      <c r="S2830" s="6">
        <v>180105</v>
      </c>
      <c r="T2830" s="6" t="e">
        <f>INDEX(医院2县区2人!$D$2:$D$1048576,MATCH(L2830,医院2县区2人!$A$2:$A$1048576,0))</f>
        <v>#N/A</v>
      </c>
      <c r="W2830" s="6" t="str">
        <f t="shared" si="91"/>
        <v>新盖中盖高钙片2.5g*36片</v>
      </c>
      <c r="X2830" s="6" t="s">
        <v>2901</v>
      </c>
    </row>
    <row r="2831" spans="1:24" x14ac:dyDescent="0.15">
      <c r="A2831" s="7" t="str">
        <f t="shared" si="92"/>
        <v>201806</v>
      </c>
      <c r="C2831" s="6" t="str">
        <f>INDEX(工厂基础数据!$A$2:$A$1024,MATCH(X2831,工厂基础数据!$D$2:$D$1024,0))</f>
        <v>02037769</v>
      </c>
      <c r="E2831" s="6" t="str">
        <f>INDEX(工厂基础数据!$B$2:$B$1024,MATCH(X2831,工厂基础数据!$D$2:$D$1024,0))</f>
        <v>山东海川医药有限公司</v>
      </c>
      <c r="F2831" s="6" t="e">
        <f>INDEX(商业2转码!$B$2:$B$10000,MATCH(E2831,商业2转码!$A$2:$A$10000,0))</f>
        <v>#N/A</v>
      </c>
      <c r="G2831" s="6" t="str">
        <f>INDEX(品种2编码!$A$2:$A$1048576,MATCH(W2831,品种2编码!$D$2:$D$1048576,0))</f>
        <v>0020050090SJZY0001</v>
      </c>
      <c r="H2831" s="6" t="s">
        <v>630</v>
      </c>
      <c r="I2831" s="6" t="s">
        <v>1850</v>
      </c>
      <c r="J2831" s="6" t="s">
        <v>3044</v>
      </c>
      <c r="L2831" s="6" t="s">
        <v>3639</v>
      </c>
      <c r="M2831" s="6" t="e">
        <f>INDEX(医院2县区2人!$B$2:$B$1048576,MATCH(L2831,医院2县区2人!$A$2:$A$1048576,0))</f>
        <v>#N/A</v>
      </c>
      <c r="N2831" s="6" t="e">
        <f>INDEX(医院2县区2人!$C$2:$C$1048576,MATCH(L2831,医院2县区2人!$A$2:$A$1048576,0))</f>
        <v>#N/A</v>
      </c>
      <c r="P2831" s="7">
        <v>43278</v>
      </c>
      <c r="Q2831" s="6">
        <v>10</v>
      </c>
      <c r="S2831" s="6">
        <v>18030921</v>
      </c>
      <c r="T2831" s="6" t="e">
        <f>INDEX(医院2县区2人!$D$2:$D$1048576,MATCH(L2831,医院2县区2人!$A$2:$A$1048576,0))</f>
        <v>#N/A</v>
      </c>
      <c r="W2831" s="6" t="str">
        <f t="shared" si="91"/>
        <v>双黄连口服液10ml*10支</v>
      </c>
      <c r="X2831" s="6" t="s">
        <v>2901</v>
      </c>
    </row>
    <row r="2832" spans="1:24" x14ac:dyDescent="0.15">
      <c r="A2832" s="7" t="str">
        <f t="shared" si="92"/>
        <v>201806</v>
      </c>
      <c r="C2832" s="6" t="str">
        <f>INDEX(工厂基础数据!$A$2:$A$1024,MATCH(X2832,工厂基础数据!$D$2:$D$1024,0))</f>
        <v>02037769</v>
      </c>
      <c r="E2832" s="6" t="str">
        <f>INDEX(工厂基础数据!$B$2:$B$1024,MATCH(X2832,工厂基础数据!$D$2:$D$1024,0))</f>
        <v>山东海川医药有限公司</v>
      </c>
      <c r="F2832" s="6" t="e">
        <f>INDEX(商业2转码!$B$2:$B$10000,MATCH(E2832,商业2转码!$A$2:$A$10000,0))</f>
        <v>#N/A</v>
      </c>
      <c r="G2832" s="6" t="str">
        <f>INDEX(品种2编码!$A$2:$A$1048576,MATCH(W2832,品种2编码!$D$2:$D$1048576,0))</f>
        <v>0020030001SJZY0009</v>
      </c>
      <c r="H2832" s="6" t="s">
        <v>1949</v>
      </c>
      <c r="I2832" s="6" t="s">
        <v>411</v>
      </c>
      <c r="J2832" s="6" t="s">
        <v>3040</v>
      </c>
      <c r="L2832" s="6" t="s">
        <v>3725</v>
      </c>
      <c r="M2832" s="6" t="e">
        <f>INDEX(医院2县区2人!$B$2:$B$1048576,MATCH(L2832,医院2县区2人!$A$2:$A$1048576,0))</f>
        <v>#N/A</v>
      </c>
      <c r="N2832" s="6" t="e">
        <f>INDEX(医院2县区2人!$C$2:$C$1048576,MATCH(L2832,医院2县区2人!$A$2:$A$1048576,0))</f>
        <v>#N/A</v>
      </c>
      <c r="P2832" s="7">
        <v>43278</v>
      </c>
      <c r="Q2832" s="6">
        <v>1</v>
      </c>
      <c r="S2832" s="6">
        <v>18031227</v>
      </c>
      <c r="T2832" s="6" t="e">
        <f>INDEX(医院2县区2人!$D$2:$D$1048576,MATCH(L2832,医院2县区2人!$A$2:$A$1048576,0))</f>
        <v>#N/A</v>
      </c>
      <c r="W2832" s="6" t="str">
        <f t="shared" si="91"/>
        <v>葡萄糖酸锌口服溶液10ml*12支</v>
      </c>
      <c r="X2832" s="6" t="s">
        <v>2901</v>
      </c>
    </row>
    <row r="2833" spans="1:24" x14ac:dyDescent="0.15">
      <c r="A2833" s="7" t="str">
        <f t="shared" si="92"/>
        <v>201806</v>
      </c>
      <c r="C2833" s="6" t="str">
        <f>INDEX(工厂基础数据!$A$2:$A$1024,MATCH(X2833,工厂基础数据!$D$2:$D$1024,0))</f>
        <v>02037769</v>
      </c>
      <c r="E2833" s="6" t="str">
        <f>INDEX(工厂基础数据!$B$2:$B$1024,MATCH(X2833,工厂基础数据!$D$2:$D$1024,0))</f>
        <v>山东海川医药有限公司</v>
      </c>
      <c r="F2833" s="6" t="e">
        <f>INDEX(商业2转码!$B$2:$B$10000,MATCH(E2833,商业2转码!$A$2:$A$10000,0))</f>
        <v>#N/A</v>
      </c>
      <c r="G2833" s="6" t="str">
        <f>INDEX(品种2编码!$A$2:$A$1048576,MATCH(W2833,品种2编码!$D$2:$D$1048576,0))</f>
        <v>0020030001SJZY0009</v>
      </c>
      <c r="H2833" s="6" t="s">
        <v>1949</v>
      </c>
      <c r="I2833" s="6" t="s">
        <v>411</v>
      </c>
      <c r="J2833" s="6" t="s">
        <v>3040</v>
      </c>
      <c r="L2833" s="6" t="s">
        <v>3677</v>
      </c>
      <c r="M2833" s="6" t="e">
        <f>INDEX(医院2县区2人!$B$2:$B$1048576,MATCH(L2833,医院2县区2人!$A$2:$A$1048576,0))</f>
        <v>#N/A</v>
      </c>
      <c r="N2833" s="6" t="e">
        <f>INDEX(医院2县区2人!$C$2:$C$1048576,MATCH(L2833,医院2县区2人!$A$2:$A$1048576,0))</f>
        <v>#N/A</v>
      </c>
      <c r="P2833" s="7">
        <v>43278</v>
      </c>
      <c r="Q2833" s="6">
        <v>2</v>
      </c>
      <c r="S2833" s="6">
        <v>18031227</v>
      </c>
      <c r="T2833" s="6" t="e">
        <f>INDEX(医院2县区2人!$D$2:$D$1048576,MATCH(L2833,医院2县区2人!$A$2:$A$1048576,0))</f>
        <v>#N/A</v>
      </c>
      <c r="W2833" s="6" t="str">
        <f t="shared" si="91"/>
        <v>葡萄糖酸锌口服溶液10ml*12支</v>
      </c>
      <c r="X2833" s="6" t="s">
        <v>2901</v>
      </c>
    </row>
    <row r="2834" spans="1:24" x14ac:dyDescent="0.15">
      <c r="A2834" s="7" t="str">
        <f t="shared" si="92"/>
        <v>201806</v>
      </c>
      <c r="C2834" s="6" t="str">
        <f>INDEX(工厂基础数据!$A$2:$A$1024,MATCH(X2834,工厂基础数据!$D$2:$D$1024,0))</f>
        <v>02037769</v>
      </c>
      <c r="E2834" s="6" t="str">
        <f>INDEX(工厂基础数据!$B$2:$B$1024,MATCH(X2834,工厂基础数据!$D$2:$D$1024,0))</f>
        <v>山东海川医药有限公司</v>
      </c>
      <c r="F2834" s="6" t="e">
        <f>INDEX(商业2转码!$B$2:$B$10000,MATCH(E2834,商业2转码!$A$2:$A$10000,0))</f>
        <v>#N/A</v>
      </c>
      <c r="G2834" s="6">
        <f>INDEX(品种2编码!$A$2:$A$1048576,MATCH(W2834,品种2编码!$D$2:$D$1048576,0))</f>
        <v>0</v>
      </c>
      <c r="H2834" s="6" t="s">
        <v>3740</v>
      </c>
      <c r="I2834" s="6" t="s">
        <v>3751</v>
      </c>
      <c r="J2834" s="6" t="s">
        <v>3754</v>
      </c>
      <c r="L2834" s="6" t="s">
        <v>3722</v>
      </c>
      <c r="M2834" s="6" t="e">
        <f>INDEX(医院2县区2人!$B$2:$B$1048576,MATCH(L2834,医院2县区2人!$A$2:$A$1048576,0))</f>
        <v>#N/A</v>
      </c>
      <c r="N2834" s="6" t="e">
        <f>INDEX(医院2县区2人!$C$2:$C$1048576,MATCH(L2834,医院2县区2人!$A$2:$A$1048576,0))</f>
        <v>#N/A</v>
      </c>
      <c r="P2834" s="7">
        <v>43279</v>
      </c>
      <c r="Q2834" s="6">
        <v>2</v>
      </c>
      <c r="S2834" s="6">
        <v>20180101</v>
      </c>
      <c r="T2834" s="6" t="e">
        <f>INDEX(医院2县区2人!$D$2:$D$1048576,MATCH(L2834,医院2县区2人!$A$2:$A$1048576,0))</f>
        <v>#N/A</v>
      </c>
      <c r="W2834" s="6" t="str">
        <f t="shared" si="91"/>
        <v>逐瘀通脉胶囊0.2g*18粒</v>
      </c>
      <c r="X2834" s="6" t="s">
        <v>2901</v>
      </c>
    </row>
    <row r="2835" spans="1:24" x14ac:dyDescent="0.15">
      <c r="A2835" s="7" t="str">
        <f t="shared" si="92"/>
        <v>201806</v>
      </c>
      <c r="C2835" s="6" t="str">
        <f>INDEX(工厂基础数据!$A$2:$A$1024,MATCH(X2835,工厂基础数据!$D$2:$D$1024,0))</f>
        <v>02037769</v>
      </c>
      <c r="E2835" s="6" t="str">
        <f>INDEX(工厂基础数据!$B$2:$B$1024,MATCH(X2835,工厂基础数据!$D$2:$D$1024,0))</f>
        <v>山东海川医药有限公司</v>
      </c>
      <c r="F2835" s="6" t="e">
        <f>INDEX(商业2转码!$B$2:$B$10000,MATCH(E2835,商业2转码!$A$2:$A$10000,0))</f>
        <v>#N/A</v>
      </c>
      <c r="G2835" s="6">
        <f>INDEX(品种2编码!$A$2:$A$1048576,MATCH(W2835,品种2编码!$D$2:$D$1048576,0))</f>
        <v>0</v>
      </c>
      <c r="H2835" s="6" t="s">
        <v>3748</v>
      </c>
      <c r="I2835" s="6" t="s">
        <v>3752</v>
      </c>
      <c r="J2835" s="6" t="s">
        <v>3038</v>
      </c>
      <c r="L2835" s="6" t="s">
        <v>3672</v>
      </c>
      <c r="M2835" s="6" t="e">
        <f>INDEX(医院2县区2人!$B$2:$B$1048576,MATCH(L2835,医院2县区2人!$A$2:$A$1048576,0))</f>
        <v>#N/A</v>
      </c>
      <c r="N2835" s="6" t="e">
        <f>INDEX(医院2县区2人!$C$2:$C$1048576,MATCH(L2835,医院2县区2人!$A$2:$A$1048576,0))</f>
        <v>#N/A</v>
      </c>
      <c r="P2835" s="7">
        <v>43279</v>
      </c>
      <c r="Q2835" s="6">
        <v>2</v>
      </c>
      <c r="S2835" s="6">
        <v>180101</v>
      </c>
      <c r="T2835" s="6" t="e">
        <f>INDEX(医院2县区2人!$D$2:$D$1048576,MATCH(L2835,医院2县区2人!$A$2:$A$1048576,0))</f>
        <v>#N/A</v>
      </c>
      <c r="W2835" s="6" t="str">
        <f t="shared" si="91"/>
        <v>哈药痛可贴关节炎型4贴</v>
      </c>
      <c r="X2835" s="6" t="s">
        <v>2901</v>
      </c>
    </row>
    <row r="2836" spans="1:24" x14ac:dyDescent="0.15">
      <c r="A2836" s="7" t="str">
        <f t="shared" si="92"/>
        <v>201806</v>
      </c>
      <c r="C2836" s="6" t="str">
        <f>INDEX(工厂基础数据!$A$2:$A$1024,MATCH(X2836,工厂基础数据!$D$2:$D$1024,0))</f>
        <v>02037769</v>
      </c>
      <c r="E2836" s="6" t="str">
        <f>INDEX(工厂基础数据!$B$2:$B$1024,MATCH(X2836,工厂基础数据!$D$2:$D$1024,0))</f>
        <v>山东海川医药有限公司</v>
      </c>
      <c r="F2836" s="6" t="e">
        <f>INDEX(商业2转码!$B$2:$B$10000,MATCH(E2836,商业2转码!$A$2:$A$10000,0))</f>
        <v>#N/A</v>
      </c>
      <c r="G2836" s="6" t="str">
        <f>INDEX(品种2编码!$A$2:$A$1048576,MATCH(W2836,品种2编码!$D$2:$D$1048576,0))</f>
        <v>0020070001ZYZC0377</v>
      </c>
      <c r="H2836" s="6" t="s">
        <v>1849</v>
      </c>
      <c r="I2836" s="6" t="s">
        <v>1887</v>
      </c>
      <c r="J2836" s="6" t="s">
        <v>3038</v>
      </c>
      <c r="L2836" s="6" t="s">
        <v>3624</v>
      </c>
      <c r="M2836" s="6" t="e">
        <f>INDEX(医院2县区2人!$B$2:$B$1048576,MATCH(L2836,医院2县区2人!$A$2:$A$1048576,0))</f>
        <v>#N/A</v>
      </c>
      <c r="N2836" s="6" t="e">
        <f>INDEX(医院2县区2人!$C$2:$C$1048576,MATCH(L2836,医院2县区2人!$A$2:$A$1048576,0))</f>
        <v>#N/A</v>
      </c>
      <c r="P2836" s="7">
        <v>43279</v>
      </c>
      <c r="Q2836" s="6">
        <v>5</v>
      </c>
      <c r="S2836" s="6">
        <v>1801042</v>
      </c>
      <c r="T2836" s="6" t="e">
        <f>INDEX(医院2县区2人!$D$2:$D$1048576,MATCH(L2836,医院2县区2人!$A$2:$A$1048576,0))</f>
        <v>#N/A</v>
      </c>
      <c r="W2836" s="6" t="str">
        <f t="shared" si="91"/>
        <v>哈药牌钙铁锌口服液10ml*15支</v>
      </c>
      <c r="X2836" s="6" t="s">
        <v>2901</v>
      </c>
    </row>
    <row r="2837" spans="1:24" x14ac:dyDescent="0.15">
      <c r="A2837" s="7" t="str">
        <f t="shared" si="92"/>
        <v>201806</v>
      </c>
      <c r="C2837" s="6" t="str">
        <f>INDEX(工厂基础数据!$A$2:$A$1024,MATCH(X2837,工厂基础数据!$D$2:$D$1024,0))</f>
        <v>02037769</v>
      </c>
      <c r="E2837" s="6" t="str">
        <f>INDEX(工厂基础数据!$B$2:$B$1024,MATCH(X2837,工厂基础数据!$D$2:$D$1024,0))</f>
        <v>山东海川医药有限公司</v>
      </c>
      <c r="F2837" s="6" t="e">
        <f>INDEX(商业2转码!$B$2:$B$10000,MATCH(E2837,商业2转码!$A$2:$A$10000,0))</f>
        <v>#N/A</v>
      </c>
      <c r="G2837" s="6" t="str">
        <f>INDEX(品种2编码!$A$2:$A$1048576,MATCH(W2837,品种2编码!$D$2:$D$1048576,0))</f>
        <v>0020070001ZYZC0377</v>
      </c>
      <c r="H2837" s="6" t="s">
        <v>1849</v>
      </c>
      <c r="I2837" s="6" t="s">
        <v>1887</v>
      </c>
      <c r="J2837" s="6" t="s">
        <v>3038</v>
      </c>
      <c r="L2837" s="6" t="s">
        <v>3626</v>
      </c>
      <c r="M2837" s="6" t="e">
        <f>INDEX(医院2县区2人!$B$2:$B$1048576,MATCH(L2837,医院2县区2人!$A$2:$A$1048576,0))</f>
        <v>#N/A</v>
      </c>
      <c r="N2837" s="6" t="e">
        <f>INDEX(医院2县区2人!$C$2:$C$1048576,MATCH(L2837,医院2县区2人!$A$2:$A$1048576,0))</f>
        <v>#N/A</v>
      </c>
      <c r="P2837" s="7">
        <v>43279</v>
      </c>
      <c r="Q2837" s="6">
        <v>20</v>
      </c>
      <c r="S2837" s="6">
        <v>1801042</v>
      </c>
      <c r="T2837" s="6" t="e">
        <f>INDEX(医院2县区2人!$D$2:$D$1048576,MATCH(L2837,医院2县区2人!$A$2:$A$1048576,0))</f>
        <v>#N/A</v>
      </c>
      <c r="W2837" s="6" t="str">
        <f t="shared" si="91"/>
        <v>哈药牌钙铁锌口服液10ml*15支</v>
      </c>
      <c r="X2837" s="6" t="s">
        <v>2901</v>
      </c>
    </row>
    <row r="2838" spans="1:24" x14ac:dyDescent="0.15">
      <c r="A2838" s="7" t="str">
        <f t="shared" si="92"/>
        <v>201806</v>
      </c>
      <c r="C2838" s="6" t="str">
        <f>INDEX(工厂基础数据!$A$2:$A$1024,MATCH(X2838,工厂基础数据!$D$2:$D$1024,0))</f>
        <v>02037769</v>
      </c>
      <c r="E2838" s="6" t="str">
        <f>INDEX(工厂基础数据!$B$2:$B$1024,MATCH(X2838,工厂基础数据!$D$2:$D$1024,0))</f>
        <v>山东海川医药有限公司</v>
      </c>
      <c r="F2838" s="6" t="e">
        <f>INDEX(商业2转码!$B$2:$B$10000,MATCH(E2838,商业2转码!$A$2:$A$10000,0))</f>
        <v>#N/A</v>
      </c>
      <c r="G2838" s="6" t="str">
        <f>INDEX(品种2编码!$A$2:$A$1048576,MATCH(W2838,品种2编码!$D$2:$D$1048576,0))</f>
        <v>0020030001SJZY0009</v>
      </c>
      <c r="H2838" s="6" t="s">
        <v>1949</v>
      </c>
      <c r="I2838" s="6" t="s">
        <v>411</v>
      </c>
      <c r="J2838" s="6" t="s">
        <v>3040</v>
      </c>
      <c r="L2838" s="6" t="s">
        <v>3630</v>
      </c>
      <c r="M2838" s="6" t="e">
        <f>INDEX(医院2县区2人!$B$2:$B$1048576,MATCH(L2838,医院2县区2人!$A$2:$A$1048576,0))</f>
        <v>#N/A</v>
      </c>
      <c r="N2838" s="6" t="e">
        <f>INDEX(医院2县区2人!$C$2:$C$1048576,MATCH(L2838,医院2县区2人!$A$2:$A$1048576,0))</f>
        <v>#N/A</v>
      </c>
      <c r="P2838" s="7">
        <v>43279</v>
      </c>
      <c r="Q2838" s="6">
        <v>10</v>
      </c>
      <c r="S2838" s="6">
        <v>18031227</v>
      </c>
      <c r="T2838" s="6" t="e">
        <f>INDEX(医院2县区2人!$D$2:$D$1048576,MATCH(L2838,医院2县区2人!$A$2:$A$1048576,0))</f>
        <v>#N/A</v>
      </c>
      <c r="W2838" s="6" t="str">
        <f t="shared" si="91"/>
        <v>葡萄糖酸锌口服溶液10ml*12支</v>
      </c>
      <c r="X2838" s="6" t="s">
        <v>2901</v>
      </c>
    </row>
    <row r="2839" spans="1:24" x14ac:dyDescent="0.15">
      <c r="A2839" s="7" t="str">
        <f t="shared" si="92"/>
        <v>201806</v>
      </c>
      <c r="C2839" s="6" t="str">
        <f>INDEX(工厂基础数据!$A$2:$A$1024,MATCH(X2839,工厂基础数据!$D$2:$D$1024,0))</f>
        <v>02037769</v>
      </c>
      <c r="E2839" s="6" t="str">
        <f>INDEX(工厂基础数据!$B$2:$B$1024,MATCH(X2839,工厂基础数据!$D$2:$D$1024,0))</f>
        <v>山东海川医药有限公司</v>
      </c>
      <c r="F2839" s="6" t="e">
        <f>INDEX(商业2转码!$B$2:$B$10000,MATCH(E2839,商业2转码!$A$2:$A$10000,0))</f>
        <v>#N/A</v>
      </c>
      <c r="G2839" s="6" t="str">
        <f>INDEX(品种2编码!$A$2:$A$1048576,MATCH(W2839,品种2编码!$D$2:$D$1048576,0))</f>
        <v>0020030001SJZY0006</v>
      </c>
      <c r="H2839" s="6" t="s">
        <v>1833</v>
      </c>
      <c r="I2839" s="6" t="s">
        <v>411</v>
      </c>
      <c r="J2839" s="6" t="s">
        <v>3044</v>
      </c>
      <c r="L2839" s="6" t="s">
        <v>3630</v>
      </c>
      <c r="M2839" s="6" t="e">
        <f>INDEX(医院2县区2人!$B$2:$B$1048576,MATCH(L2839,医院2县区2人!$A$2:$A$1048576,0))</f>
        <v>#N/A</v>
      </c>
      <c r="N2839" s="6" t="e">
        <f>INDEX(医院2县区2人!$C$2:$C$1048576,MATCH(L2839,医院2县区2人!$A$2:$A$1048576,0))</f>
        <v>#N/A</v>
      </c>
      <c r="P2839" s="7">
        <v>43279</v>
      </c>
      <c r="Q2839" s="6">
        <v>5</v>
      </c>
      <c r="S2839" s="6">
        <v>18030532</v>
      </c>
      <c r="T2839" s="6" t="e">
        <f>INDEX(医院2县区2人!$D$2:$D$1048576,MATCH(L2839,医院2县区2人!$A$2:$A$1048576,0))</f>
        <v>#N/A</v>
      </c>
      <c r="W2839" s="6" t="str">
        <f t="shared" si="91"/>
        <v>葡萄糖酸钙口服溶液10ml*12支</v>
      </c>
      <c r="X2839" s="6" t="s">
        <v>2901</v>
      </c>
    </row>
    <row r="2840" spans="1:24" x14ac:dyDescent="0.15">
      <c r="A2840" s="7" t="str">
        <f t="shared" si="92"/>
        <v>201806</v>
      </c>
      <c r="C2840" s="6" t="str">
        <f>INDEX(工厂基础数据!$A$2:$A$1024,MATCH(X2840,工厂基础数据!$D$2:$D$1024,0))</f>
        <v>02037769</v>
      </c>
      <c r="E2840" s="6" t="str">
        <f>INDEX(工厂基础数据!$B$2:$B$1024,MATCH(X2840,工厂基础数据!$D$2:$D$1024,0))</f>
        <v>山东海川医药有限公司</v>
      </c>
      <c r="F2840" s="6" t="e">
        <f>INDEX(商业2转码!$B$2:$B$10000,MATCH(E2840,商业2转码!$A$2:$A$10000,0))</f>
        <v>#N/A</v>
      </c>
      <c r="G2840" s="6">
        <f>INDEX(品种2编码!$A$2:$A$1048576,MATCH(W2840,品种2编码!$D$2:$D$1048576,0))</f>
        <v>0</v>
      </c>
      <c r="H2840" s="6" t="s">
        <v>3748</v>
      </c>
      <c r="I2840" s="6" t="s">
        <v>3752</v>
      </c>
      <c r="J2840" s="6" t="s">
        <v>3038</v>
      </c>
      <c r="L2840" s="6" t="s">
        <v>3630</v>
      </c>
      <c r="M2840" s="6" t="e">
        <f>INDEX(医院2县区2人!$B$2:$B$1048576,MATCH(L2840,医院2县区2人!$A$2:$A$1048576,0))</f>
        <v>#N/A</v>
      </c>
      <c r="N2840" s="6" t="e">
        <f>INDEX(医院2县区2人!$C$2:$C$1048576,MATCH(L2840,医院2县区2人!$A$2:$A$1048576,0))</f>
        <v>#N/A</v>
      </c>
      <c r="P2840" s="7">
        <v>43279</v>
      </c>
      <c r="Q2840" s="6">
        <v>5</v>
      </c>
      <c r="S2840" s="6">
        <v>180101</v>
      </c>
      <c r="T2840" s="6" t="e">
        <f>INDEX(医院2县区2人!$D$2:$D$1048576,MATCH(L2840,医院2县区2人!$A$2:$A$1048576,0))</f>
        <v>#N/A</v>
      </c>
      <c r="W2840" s="6" t="str">
        <f t="shared" si="91"/>
        <v>哈药痛可贴关节炎型4贴</v>
      </c>
      <c r="X2840" s="6" t="s">
        <v>2901</v>
      </c>
    </row>
    <row r="2841" spans="1:24" x14ac:dyDescent="0.15">
      <c r="A2841" s="7" t="str">
        <f t="shared" si="92"/>
        <v>201806</v>
      </c>
      <c r="C2841" s="6" t="str">
        <f>INDEX(工厂基础数据!$A$2:$A$1024,MATCH(X2841,工厂基础数据!$D$2:$D$1024,0))</f>
        <v>02037769</v>
      </c>
      <c r="E2841" s="6" t="str">
        <f>INDEX(工厂基础数据!$B$2:$B$1024,MATCH(X2841,工厂基础数据!$D$2:$D$1024,0))</f>
        <v>山东海川医药有限公司</v>
      </c>
      <c r="F2841" s="6" t="e">
        <f>INDEX(商业2转码!$B$2:$B$10000,MATCH(E2841,商业2转码!$A$2:$A$10000,0))</f>
        <v>#N/A</v>
      </c>
      <c r="G2841" s="6">
        <f>INDEX(品种2编码!$A$2:$A$1048576,MATCH(W2841,品种2编码!$D$2:$D$1048576,0))</f>
        <v>0</v>
      </c>
      <c r="H2841" s="6" t="s">
        <v>1885</v>
      </c>
      <c r="I2841" s="6" t="s">
        <v>1838</v>
      </c>
      <c r="J2841" s="6" t="s">
        <v>3036</v>
      </c>
      <c r="L2841" s="6" t="s">
        <v>3625</v>
      </c>
      <c r="M2841" s="6" t="e">
        <f>INDEX(医院2县区2人!$B$2:$B$1048576,MATCH(L2841,医院2县区2人!$A$2:$A$1048576,0))</f>
        <v>#N/A</v>
      </c>
      <c r="N2841" s="6" t="e">
        <f>INDEX(医院2县区2人!$C$2:$C$1048576,MATCH(L2841,医院2县区2人!$A$2:$A$1048576,0))</f>
        <v>#N/A</v>
      </c>
      <c r="P2841" s="7">
        <v>43279</v>
      </c>
      <c r="Q2841" s="6">
        <v>2</v>
      </c>
      <c r="S2841" s="6">
        <v>180106</v>
      </c>
      <c r="T2841" s="6" t="e">
        <f>INDEX(医院2县区2人!$D$2:$D$1048576,MATCH(L2841,医院2县区2人!$A$2:$A$1048576,0))</f>
        <v>#N/A</v>
      </c>
      <c r="W2841" s="6" t="str">
        <f t="shared" si="91"/>
        <v>新盖中盖高钙片2.5g*36片</v>
      </c>
      <c r="X2841" s="6" t="s">
        <v>2901</v>
      </c>
    </row>
    <row r="2842" spans="1:24" x14ac:dyDescent="0.15">
      <c r="A2842" s="7" t="str">
        <f t="shared" si="92"/>
        <v>201806</v>
      </c>
      <c r="C2842" s="6" t="str">
        <f>INDEX(工厂基础数据!$A$2:$A$1024,MATCH(X2842,工厂基础数据!$D$2:$D$1024,0))</f>
        <v>02037769</v>
      </c>
      <c r="E2842" s="6" t="str">
        <f>INDEX(工厂基础数据!$B$2:$B$1024,MATCH(X2842,工厂基础数据!$D$2:$D$1024,0))</f>
        <v>山东海川医药有限公司</v>
      </c>
      <c r="F2842" s="6" t="e">
        <f>INDEX(商业2转码!$B$2:$B$10000,MATCH(E2842,商业2转码!$A$2:$A$10000,0))</f>
        <v>#N/A</v>
      </c>
      <c r="G2842" s="6">
        <f>INDEX(品种2编码!$A$2:$A$1048576,MATCH(W2842,品种2编码!$D$2:$D$1048576,0))</f>
        <v>0</v>
      </c>
      <c r="H2842" s="6" t="s">
        <v>1885</v>
      </c>
      <c r="I2842" s="6" t="s">
        <v>1838</v>
      </c>
      <c r="J2842" s="6" t="s">
        <v>3036</v>
      </c>
      <c r="L2842" s="6" t="s">
        <v>3685</v>
      </c>
      <c r="M2842" s="6" t="e">
        <f>INDEX(医院2县区2人!$B$2:$B$1048576,MATCH(L2842,医院2县区2人!$A$2:$A$1048576,0))</f>
        <v>#N/A</v>
      </c>
      <c r="N2842" s="6" t="e">
        <f>INDEX(医院2县区2人!$C$2:$C$1048576,MATCH(L2842,医院2县区2人!$A$2:$A$1048576,0))</f>
        <v>#N/A</v>
      </c>
      <c r="P2842" s="7">
        <v>43279</v>
      </c>
      <c r="Q2842" s="6">
        <v>5</v>
      </c>
      <c r="S2842" s="6">
        <v>180105</v>
      </c>
      <c r="T2842" s="6" t="e">
        <f>INDEX(医院2县区2人!$D$2:$D$1048576,MATCH(L2842,医院2县区2人!$A$2:$A$1048576,0))</f>
        <v>#N/A</v>
      </c>
      <c r="W2842" s="6" t="str">
        <f t="shared" si="91"/>
        <v>新盖中盖高钙片2.5g*36片</v>
      </c>
      <c r="X2842" s="6" t="s">
        <v>2901</v>
      </c>
    </row>
    <row r="2843" spans="1:24" x14ac:dyDescent="0.15">
      <c r="A2843" s="7" t="str">
        <f t="shared" si="92"/>
        <v>201806</v>
      </c>
      <c r="C2843" s="6" t="str">
        <f>INDEX(工厂基础数据!$A$2:$A$1024,MATCH(X2843,工厂基础数据!$D$2:$D$1024,0))</f>
        <v>02037769</v>
      </c>
      <c r="E2843" s="6" t="str">
        <f>INDEX(工厂基础数据!$B$2:$B$1024,MATCH(X2843,工厂基础数据!$D$2:$D$1024,0))</f>
        <v>山东海川医药有限公司</v>
      </c>
      <c r="F2843" s="6" t="e">
        <f>INDEX(商业2转码!$B$2:$B$10000,MATCH(E2843,商业2转码!$A$2:$A$10000,0))</f>
        <v>#N/A</v>
      </c>
      <c r="G2843" s="6" t="str">
        <f>INDEX(品种2编码!$A$2:$A$1048576,MATCH(W2843,品种2编码!$D$2:$D$1048576,0))</f>
        <v>0020030001SJZY0006</v>
      </c>
      <c r="H2843" s="6" t="s">
        <v>1833</v>
      </c>
      <c r="I2843" s="6" t="s">
        <v>411</v>
      </c>
      <c r="J2843" s="6" t="s">
        <v>3044</v>
      </c>
      <c r="L2843" s="6" t="s">
        <v>3703</v>
      </c>
      <c r="M2843" s="6" t="e">
        <f>INDEX(医院2县区2人!$B$2:$B$1048576,MATCH(L2843,医院2县区2人!$A$2:$A$1048576,0))</f>
        <v>#N/A</v>
      </c>
      <c r="N2843" s="6" t="e">
        <f>INDEX(医院2县区2人!$C$2:$C$1048576,MATCH(L2843,医院2县区2人!$A$2:$A$1048576,0))</f>
        <v>#N/A</v>
      </c>
      <c r="P2843" s="7">
        <v>43279</v>
      </c>
      <c r="Q2843" s="6">
        <v>5</v>
      </c>
      <c r="S2843" s="6">
        <v>18030532</v>
      </c>
      <c r="T2843" s="6" t="e">
        <f>INDEX(医院2县区2人!$D$2:$D$1048576,MATCH(L2843,医院2县区2人!$A$2:$A$1048576,0))</f>
        <v>#N/A</v>
      </c>
      <c r="W2843" s="6" t="str">
        <f t="shared" si="91"/>
        <v>葡萄糖酸钙口服溶液10ml*12支</v>
      </c>
      <c r="X2843" s="6" t="s">
        <v>2901</v>
      </c>
    </row>
    <row r="2844" spans="1:24" x14ac:dyDescent="0.15">
      <c r="A2844" s="7" t="str">
        <f t="shared" si="92"/>
        <v>201806</v>
      </c>
      <c r="C2844" s="6" t="str">
        <f>INDEX(工厂基础数据!$A$2:$A$1024,MATCH(X2844,工厂基础数据!$D$2:$D$1024,0))</f>
        <v>02037769</v>
      </c>
      <c r="E2844" s="6" t="str">
        <f>INDEX(工厂基础数据!$B$2:$B$1024,MATCH(X2844,工厂基础数据!$D$2:$D$1024,0))</f>
        <v>山东海川医药有限公司</v>
      </c>
      <c r="F2844" s="6" t="e">
        <f>INDEX(商业2转码!$B$2:$B$10000,MATCH(E2844,商业2转码!$A$2:$A$10000,0))</f>
        <v>#N/A</v>
      </c>
      <c r="G2844" s="6" t="str">
        <f>INDEX(品种2编码!$A$2:$A$1048576,MATCH(W2844,品种2编码!$D$2:$D$1048576,0))</f>
        <v>0020020020SJMS0008</v>
      </c>
      <c r="H2844" s="6" t="s">
        <v>474</v>
      </c>
      <c r="I2844" s="6" t="s">
        <v>1873</v>
      </c>
      <c r="J2844" s="6" t="s">
        <v>3046</v>
      </c>
      <c r="L2844" s="6" t="s">
        <v>3666</v>
      </c>
      <c r="M2844" s="6" t="e">
        <f>INDEX(医院2县区2人!$B$2:$B$1048576,MATCH(L2844,医院2县区2人!$A$2:$A$1048576,0))</f>
        <v>#N/A</v>
      </c>
      <c r="N2844" s="6" t="e">
        <f>INDEX(医院2县区2人!$C$2:$C$1048576,MATCH(L2844,医院2县区2人!$A$2:$A$1048576,0))</f>
        <v>#N/A</v>
      </c>
      <c r="P2844" s="7">
        <v>43279</v>
      </c>
      <c r="Q2844" s="6">
        <v>6</v>
      </c>
      <c r="S2844" s="6">
        <v>1803012</v>
      </c>
      <c r="T2844" s="6" t="e">
        <f>INDEX(医院2县区2人!$D$2:$D$1048576,MATCH(L2844,医院2县区2人!$A$2:$A$1048576,0))</f>
        <v>#N/A</v>
      </c>
      <c r="W2844" s="6" t="str">
        <f t="shared" si="91"/>
        <v>拉西地平片4mg*15片</v>
      </c>
      <c r="X2844" s="6" t="s">
        <v>2901</v>
      </c>
    </row>
    <row r="2845" spans="1:24" x14ac:dyDescent="0.15">
      <c r="A2845" s="7" t="str">
        <f t="shared" si="92"/>
        <v>201806</v>
      </c>
      <c r="C2845" s="6" t="str">
        <f>INDEX(工厂基础数据!$A$2:$A$1024,MATCH(X2845,工厂基础数据!$D$2:$D$1024,0))</f>
        <v>02037769</v>
      </c>
      <c r="E2845" s="6" t="str">
        <f>INDEX(工厂基础数据!$B$2:$B$1024,MATCH(X2845,工厂基础数据!$D$2:$D$1024,0))</f>
        <v>山东海川医药有限公司</v>
      </c>
      <c r="F2845" s="6" t="e">
        <f>INDEX(商业2转码!$B$2:$B$10000,MATCH(E2845,商业2转码!$A$2:$A$10000,0))</f>
        <v>#N/A</v>
      </c>
      <c r="G2845" s="6" t="str">
        <f>INDEX(品种2编码!$A$2:$A$1048576,MATCH(W2845,品种2编码!$D$2:$D$1048576,0))</f>
        <v>0020050090SJZY0001</v>
      </c>
      <c r="H2845" s="6" t="s">
        <v>630</v>
      </c>
      <c r="I2845" s="6" t="s">
        <v>1850</v>
      </c>
      <c r="J2845" s="6" t="s">
        <v>3044</v>
      </c>
      <c r="L2845" s="6" t="s">
        <v>3648</v>
      </c>
      <c r="M2845" s="6" t="e">
        <f>INDEX(医院2县区2人!$B$2:$B$1048576,MATCH(L2845,医院2县区2人!$A$2:$A$1048576,0))</f>
        <v>#N/A</v>
      </c>
      <c r="N2845" s="6" t="e">
        <f>INDEX(医院2县区2人!$C$2:$C$1048576,MATCH(L2845,医院2县区2人!$A$2:$A$1048576,0))</f>
        <v>#N/A</v>
      </c>
      <c r="P2845" s="7">
        <v>43279</v>
      </c>
      <c r="Q2845" s="6">
        <v>3</v>
      </c>
      <c r="S2845" s="6">
        <v>18030921</v>
      </c>
      <c r="T2845" s="6" t="e">
        <f>INDEX(医院2县区2人!$D$2:$D$1048576,MATCH(L2845,医院2县区2人!$A$2:$A$1048576,0))</f>
        <v>#N/A</v>
      </c>
      <c r="W2845" s="6" t="str">
        <f t="shared" si="91"/>
        <v>双黄连口服液10ml*10支</v>
      </c>
      <c r="X2845" s="6" t="s">
        <v>2901</v>
      </c>
    </row>
    <row r="2846" spans="1:24" x14ac:dyDescent="0.15">
      <c r="A2846" s="7" t="str">
        <f t="shared" si="92"/>
        <v>201806</v>
      </c>
      <c r="C2846" s="6" t="str">
        <f>INDEX(工厂基础数据!$A$2:$A$1024,MATCH(X2846,工厂基础数据!$D$2:$D$1024,0))</f>
        <v>02037769</v>
      </c>
      <c r="E2846" s="6" t="str">
        <f>INDEX(工厂基础数据!$B$2:$B$1024,MATCH(X2846,工厂基础数据!$D$2:$D$1024,0))</f>
        <v>山东海川医药有限公司</v>
      </c>
      <c r="F2846" s="6" t="e">
        <f>INDEX(商业2转码!$B$2:$B$10000,MATCH(E2846,商业2转码!$A$2:$A$10000,0))</f>
        <v>#N/A</v>
      </c>
      <c r="G2846" s="6" t="str">
        <f>INDEX(品种2编码!$A$2:$A$1048576,MATCH(W2846,品种2编码!$D$2:$D$1048576,0))</f>
        <v>0020030001SJZY0009</v>
      </c>
      <c r="H2846" s="6" t="s">
        <v>1949</v>
      </c>
      <c r="I2846" s="6" t="s">
        <v>411</v>
      </c>
      <c r="J2846" s="6" t="s">
        <v>3040</v>
      </c>
      <c r="L2846" s="6" t="s">
        <v>3726</v>
      </c>
      <c r="M2846" s="6" t="e">
        <f>INDEX(医院2县区2人!$B$2:$B$1048576,MATCH(L2846,医院2县区2人!$A$2:$A$1048576,0))</f>
        <v>#N/A</v>
      </c>
      <c r="N2846" s="6" t="e">
        <f>INDEX(医院2县区2人!$C$2:$C$1048576,MATCH(L2846,医院2县区2人!$A$2:$A$1048576,0))</f>
        <v>#N/A</v>
      </c>
      <c r="P2846" s="7">
        <v>43279</v>
      </c>
      <c r="Q2846" s="6">
        <v>5</v>
      </c>
      <c r="S2846" s="6">
        <v>18031227</v>
      </c>
      <c r="T2846" s="6" t="e">
        <f>INDEX(医院2县区2人!$D$2:$D$1048576,MATCH(L2846,医院2县区2人!$A$2:$A$1048576,0))</f>
        <v>#N/A</v>
      </c>
      <c r="W2846" s="6" t="str">
        <f t="shared" si="91"/>
        <v>葡萄糖酸锌口服溶液10ml*12支</v>
      </c>
      <c r="X2846" s="6" t="s">
        <v>2901</v>
      </c>
    </row>
    <row r="2847" spans="1:24" x14ac:dyDescent="0.15">
      <c r="A2847" s="7" t="str">
        <f t="shared" si="92"/>
        <v>201806</v>
      </c>
      <c r="C2847" s="6" t="str">
        <f>INDEX(工厂基础数据!$A$2:$A$1024,MATCH(X2847,工厂基础数据!$D$2:$D$1024,0))</f>
        <v>02037769</v>
      </c>
      <c r="E2847" s="6" t="str">
        <f>INDEX(工厂基础数据!$B$2:$B$1024,MATCH(X2847,工厂基础数据!$D$2:$D$1024,0))</f>
        <v>山东海川医药有限公司</v>
      </c>
      <c r="F2847" s="6" t="e">
        <f>INDEX(商业2转码!$B$2:$B$10000,MATCH(E2847,商业2转码!$A$2:$A$10000,0))</f>
        <v>#N/A</v>
      </c>
      <c r="G2847" s="6" t="str">
        <f>INDEX(品种2编码!$A$2:$A$1048576,MATCH(W2847,品种2编码!$D$2:$D$1048576,0))</f>
        <v>0020070001ZYZC0377</v>
      </c>
      <c r="H2847" s="6" t="s">
        <v>1849</v>
      </c>
      <c r="I2847" s="6" t="s">
        <v>1887</v>
      </c>
      <c r="J2847" s="6" t="s">
        <v>3038</v>
      </c>
      <c r="L2847" s="6" t="s">
        <v>3634</v>
      </c>
      <c r="M2847" s="6" t="e">
        <f>INDEX(医院2县区2人!$B$2:$B$1048576,MATCH(L2847,医院2县区2人!$A$2:$A$1048576,0))</f>
        <v>#N/A</v>
      </c>
      <c r="N2847" s="6" t="e">
        <f>INDEX(医院2县区2人!$C$2:$C$1048576,MATCH(L2847,医院2县区2人!$A$2:$A$1048576,0))</f>
        <v>#N/A</v>
      </c>
      <c r="P2847" s="7">
        <v>43279</v>
      </c>
      <c r="Q2847" s="6">
        <v>-2</v>
      </c>
      <c r="S2847" s="6">
        <v>1801042</v>
      </c>
      <c r="T2847" s="6" t="e">
        <f>INDEX(医院2县区2人!$D$2:$D$1048576,MATCH(L2847,医院2县区2人!$A$2:$A$1048576,0))</f>
        <v>#N/A</v>
      </c>
      <c r="W2847" s="6" t="str">
        <f t="shared" si="91"/>
        <v>哈药牌钙铁锌口服液10ml*15支</v>
      </c>
      <c r="X2847" s="6" t="s">
        <v>2901</v>
      </c>
    </row>
    <row r="2848" spans="1:24" x14ac:dyDescent="0.15">
      <c r="A2848" s="7" t="str">
        <f t="shared" si="92"/>
        <v>201806</v>
      </c>
      <c r="C2848" s="6" t="str">
        <f>INDEX(工厂基础数据!$A$2:$A$1024,MATCH(X2848,工厂基础数据!$D$2:$D$1024,0))</f>
        <v>02037769</v>
      </c>
      <c r="E2848" s="6" t="str">
        <f>INDEX(工厂基础数据!$B$2:$B$1024,MATCH(X2848,工厂基础数据!$D$2:$D$1024,0))</f>
        <v>山东海川医药有限公司</v>
      </c>
      <c r="F2848" s="6" t="e">
        <f>INDEX(商业2转码!$B$2:$B$10000,MATCH(E2848,商业2转码!$A$2:$A$10000,0))</f>
        <v>#N/A</v>
      </c>
      <c r="G2848" s="6" t="str">
        <f>INDEX(品种2编码!$A$2:$A$1048576,MATCH(W2848,品种2编码!$D$2:$D$1048576,0))</f>
        <v>0020070001ZYZC0377</v>
      </c>
      <c r="H2848" s="6" t="s">
        <v>1849</v>
      </c>
      <c r="I2848" s="6" t="s">
        <v>1887</v>
      </c>
      <c r="J2848" s="6" t="s">
        <v>3038</v>
      </c>
      <c r="L2848" s="6" t="s">
        <v>3665</v>
      </c>
      <c r="M2848" s="6" t="e">
        <f>INDEX(医院2县区2人!$B$2:$B$1048576,MATCH(L2848,医院2县区2人!$A$2:$A$1048576,0))</f>
        <v>#N/A</v>
      </c>
      <c r="N2848" s="6" t="e">
        <f>INDEX(医院2县区2人!$C$2:$C$1048576,MATCH(L2848,医院2县区2人!$A$2:$A$1048576,0))</f>
        <v>#N/A</v>
      </c>
      <c r="P2848" s="7">
        <v>43279</v>
      </c>
      <c r="Q2848" s="6">
        <v>2</v>
      </c>
      <c r="S2848" s="6">
        <v>1801042</v>
      </c>
      <c r="T2848" s="6" t="e">
        <f>INDEX(医院2县区2人!$D$2:$D$1048576,MATCH(L2848,医院2县区2人!$A$2:$A$1048576,0))</f>
        <v>#N/A</v>
      </c>
      <c r="W2848" s="6" t="str">
        <f t="shared" si="91"/>
        <v>哈药牌钙铁锌口服液10ml*15支</v>
      </c>
      <c r="X2848" s="6" t="s">
        <v>2901</v>
      </c>
    </row>
    <row r="2849" spans="1:24" x14ac:dyDescent="0.15">
      <c r="A2849" s="7" t="str">
        <f t="shared" si="92"/>
        <v>201806</v>
      </c>
      <c r="C2849" s="6" t="str">
        <f>INDEX(工厂基础数据!$A$2:$A$1024,MATCH(X2849,工厂基础数据!$D$2:$D$1024,0))</f>
        <v>02037769</v>
      </c>
      <c r="E2849" s="6" t="str">
        <f>INDEX(工厂基础数据!$B$2:$B$1024,MATCH(X2849,工厂基础数据!$D$2:$D$1024,0))</f>
        <v>山东海川医药有限公司</v>
      </c>
      <c r="F2849" s="6" t="e">
        <f>INDEX(商业2转码!$B$2:$B$10000,MATCH(E2849,商业2转码!$A$2:$A$10000,0))</f>
        <v>#N/A</v>
      </c>
      <c r="G2849" s="6" t="str">
        <f>INDEX(品种2编码!$A$2:$A$1048576,MATCH(W2849,品种2编码!$D$2:$D$1048576,0))</f>
        <v>0020030001SJZY0006</v>
      </c>
      <c r="H2849" s="6" t="s">
        <v>1833</v>
      </c>
      <c r="I2849" s="6" t="s">
        <v>411</v>
      </c>
      <c r="J2849" s="6" t="s">
        <v>3044</v>
      </c>
      <c r="L2849" s="6" t="s">
        <v>3695</v>
      </c>
      <c r="M2849" s="6" t="e">
        <f>INDEX(医院2县区2人!$B$2:$B$1048576,MATCH(L2849,医院2县区2人!$A$2:$A$1048576,0))</f>
        <v>#N/A</v>
      </c>
      <c r="N2849" s="6" t="e">
        <f>INDEX(医院2县区2人!$C$2:$C$1048576,MATCH(L2849,医院2县区2人!$A$2:$A$1048576,0))</f>
        <v>#N/A</v>
      </c>
      <c r="P2849" s="7">
        <v>43279</v>
      </c>
      <c r="Q2849" s="6">
        <v>5</v>
      </c>
      <c r="S2849" s="6">
        <v>18030532</v>
      </c>
      <c r="T2849" s="6" t="e">
        <f>INDEX(医院2县区2人!$D$2:$D$1048576,MATCH(L2849,医院2县区2人!$A$2:$A$1048576,0))</f>
        <v>#N/A</v>
      </c>
      <c r="W2849" s="6" t="str">
        <f t="shared" si="91"/>
        <v>葡萄糖酸钙口服溶液10ml*12支</v>
      </c>
      <c r="X2849" s="6" t="s">
        <v>2901</v>
      </c>
    </row>
    <row r="2850" spans="1:24" x14ac:dyDescent="0.15">
      <c r="A2850" s="7" t="str">
        <f t="shared" si="92"/>
        <v>201806</v>
      </c>
      <c r="C2850" s="6" t="str">
        <f>INDEX(工厂基础数据!$A$2:$A$1024,MATCH(X2850,工厂基础数据!$D$2:$D$1024,0))</f>
        <v>02037769</v>
      </c>
      <c r="E2850" s="6" t="str">
        <f>INDEX(工厂基础数据!$B$2:$B$1024,MATCH(X2850,工厂基础数据!$D$2:$D$1024,0))</f>
        <v>山东海川医药有限公司</v>
      </c>
      <c r="F2850" s="6" t="e">
        <f>INDEX(商业2转码!$B$2:$B$10000,MATCH(E2850,商业2转码!$A$2:$A$10000,0))</f>
        <v>#N/A</v>
      </c>
      <c r="G2850" s="6" t="str">
        <f>INDEX(品种2编码!$A$2:$A$1048576,MATCH(W2850,品种2编码!$D$2:$D$1048576,0))</f>
        <v>0020030001SJZY0009</v>
      </c>
      <c r="H2850" s="6" t="s">
        <v>1949</v>
      </c>
      <c r="I2850" s="6" t="s">
        <v>411</v>
      </c>
      <c r="J2850" s="6" t="s">
        <v>3040</v>
      </c>
      <c r="L2850" s="6" t="s">
        <v>3695</v>
      </c>
      <c r="M2850" s="6" t="e">
        <f>INDEX(医院2县区2人!$B$2:$B$1048576,MATCH(L2850,医院2县区2人!$A$2:$A$1048576,0))</f>
        <v>#N/A</v>
      </c>
      <c r="N2850" s="6" t="e">
        <f>INDEX(医院2县区2人!$C$2:$C$1048576,MATCH(L2850,医院2县区2人!$A$2:$A$1048576,0))</f>
        <v>#N/A</v>
      </c>
      <c r="P2850" s="7">
        <v>43279</v>
      </c>
      <c r="Q2850" s="6">
        <v>5</v>
      </c>
      <c r="S2850" s="6">
        <v>18031227</v>
      </c>
      <c r="T2850" s="6" t="e">
        <f>INDEX(医院2县区2人!$D$2:$D$1048576,MATCH(L2850,医院2县区2人!$A$2:$A$1048576,0))</f>
        <v>#N/A</v>
      </c>
      <c r="W2850" s="6" t="str">
        <f t="shared" si="91"/>
        <v>葡萄糖酸锌口服溶液10ml*12支</v>
      </c>
      <c r="X2850" s="6" t="s">
        <v>2901</v>
      </c>
    </row>
    <row r="2851" spans="1:24" x14ac:dyDescent="0.15">
      <c r="A2851" s="7" t="str">
        <f t="shared" si="92"/>
        <v>201806</v>
      </c>
      <c r="C2851" s="6" t="str">
        <f>INDEX(工厂基础数据!$A$2:$A$1024,MATCH(X2851,工厂基础数据!$D$2:$D$1024,0))</f>
        <v>02037769</v>
      </c>
      <c r="E2851" s="6" t="str">
        <f>INDEX(工厂基础数据!$B$2:$B$1024,MATCH(X2851,工厂基础数据!$D$2:$D$1024,0))</f>
        <v>山东海川医药有限公司</v>
      </c>
      <c r="F2851" s="6" t="e">
        <f>INDEX(商业2转码!$B$2:$B$10000,MATCH(E2851,商业2转码!$A$2:$A$10000,0))</f>
        <v>#N/A</v>
      </c>
      <c r="G2851" s="6" t="str">
        <f>INDEX(品种2编码!$A$2:$A$1048576,MATCH(W2851,品种2编码!$D$2:$D$1048576,0))</f>
        <v>0020030001SJZY0006</v>
      </c>
      <c r="H2851" s="6" t="s">
        <v>1833</v>
      </c>
      <c r="I2851" s="6" t="s">
        <v>411</v>
      </c>
      <c r="J2851" s="6" t="s">
        <v>3044</v>
      </c>
      <c r="L2851" s="6" t="s">
        <v>3727</v>
      </c>
      <c r="M2851" s="6" t="e">
        <f>INDEX(医院2县区2人!$B$2:$B$1048576,MATCH(L2851,医院2县区2人!$A$2:$A$1048576,0))</f>
        <v>#N/A</v>
      </c>
      <c r="N2851" s="6" t="e">
        <f>INDEX(医院2县区2人!$C$2:$C$1048576,MATCH(L2851,医院2县区2人!$A$2:$A$1048576,0))</f>
        <v>#N/A</v>
      </c>
      <c r="P2851" s="7">
        <v>43279</v>
      </c>
      <c r="Q2851" s="6">
        <v>20</v>
      </c>
      <c r="S2851" s="6">
        <v>18030532</v>
      </c>
      <c r="T2851" s="6" t="e">
        <f>INDEX(医院2县区2人!$D$2:$D$1048576,MATCH(L2851,医院2县区2人!$A$2:$A$1048576,0))</f>
        <v>#N/A</v>
      </c>
      <c r="W2851" s="6" t="str">
        <f t="shared" si="91"/>
        <v>葡萄糖酸钙口服溶液10ml*12支</v>
      </c>
      <c r="X2851" s="6" t="s">
        <v>2901</v>
      </c>
    </row>
    <row r="2852" spans="1:24" x14ac:dyDescent="0.15">
      <c r="A2852" s="7" t="str">
        <f t="shared" si="92"/>
        <v>201806</v>
      </c>
      <c r="C2852" s="6" t="str">
        <f>INDEX(工厂基础数据!$A$2:$A$1024,MATCH(X2852,工厂基础数据!$D$2:$D$1024,0))</f>
        <v>02037769</v>
      </c>
      <c r="E2852" s="6" t="str">
        <f>INDEX(工厂基础数据!$B$2:$B$1024,MATCH(X2852,工厂基础数据!$D$2:$D$1024,0))</f>
        <v>山东海川医药有限公司</v>
      </c>
      <c r="F2852" s="6" t="e">
        <f>INDEX(商业2转码!$B$2:$B$10000,MATCH(E2852,商业2转码!$A$2:$A$10000,0))</f>
        <v>#N/A</v>
      </c>
      <c r="G2852" s="6">
        <f>INDEX(品种2编码!$A$2:$A$1048576,MATCH(W2852,品种2编码!$D$2:$D$1048576,0))</f>
        <v>0</v>
      </c>
      <c r="H2852" s="6" t="s">
        <v>1864</v>
      </c>
      <c r="I2852" s="6" t="s">
        <v>3333</v>
      </c>
      <c r="J2852" s="6" t="s">
        <v>3037</v>
      </c>
      <c r="L2852" s="6" t="s">
        <v>3642</v>
      </c>
      <c r="M2852" s="6" t="e">
        <f>INDEX(医院2县区2人!$B$2:$B$1048576,MATCH(L2852,医院2县区2人!$A$2:$A$1048576,0))</f>
        <v>#N/A</v>
      </c>
      <c r="N2852" s="6" t="e">
        <f>INDEX(医院2县区2人!$C$2:$C$1048576,MATCH(L2852,医院2县区2人!$A$2:$A$1048576,0))</f>
        <v>#N/A</v>
      </c>
      <c r="P2852" s="7">
        <v>43279</v>
      </c>
      <c r="Q2852" s="6">
        <v>2</v>
      </c>
      <c r="S2852" s="6">
        <v>1801504</v>
      </c>
      <c r="T2852" s="6" t="e">
        <f>INDEX(医院2县区2人!$D$2:$D$1048576,MATCH(L2852,医院2县区2人!$A$2:$A$1048576,0))</f>
        <v>#N/A</v>
      </c>
      <c r="W2852" s="6" t="str">
        <f t="shared" si="91"/>
        <v>复方金银花颗粒10克*10袋</v>
      </c>
      <c r="X2852" s="6" t="s">
        <v>2901</v>
      </c>
    </row>
    <row r="2853" spans="1:24" x14ac:dyDescent="0.15">
      <c r="A2853" s="7" t="str">
        <f t="shared" si="92"/>
        <v>201806</v>
      </c>
      <c r="C2853" s="6" t="str">
        <f>INDEX(工厂基础数据!$A$2:$A$1024,MATCH(X2853,工厂基础数据!$D$2:$D$1024,0))</f>
        <v>02037769</v>
      </c>
      <c r="E2853" s="6" t="str">
        <f>INDEX(工厂基础数据!$B$2:$B$1024,MATCH(X2853,工厂基础数据!$D$2:$D$1024,0))</f>
        <v>山东海川医药有限公司</v>
      </c>
      <c r="F2853" s="6" t="e">
        <f>INDEX(商业2转码!$B$2:$B$10000,MATCH(E2853,商业2转码!$A$2:$A$10000,0))</f>
        <v>#N/A</v>
      </c>
      <c r="G2853" s="6" t="str">
        <f>INDEX(品种2编码!$A$2:$A$1048576,MATCH(W2853,品种2编码!$D$2:$D$1048576,0))</f>
        <v>0020050090SJZY0001</v>
      </c>
      <c r="H2853" s="6" t="s">
        <v>630</v>
      </c>
      <c r="I2853" s="6" t="s">
        <v>1850</v>
      </c>
      <c r="J2853" s="6" t="s">
        <v>3044</v>
      </c>
      <c r="L2853" s="6" t="s">
        <v>3656</v>
      </c>
      <c r="M2853" s="6" t="e">
        <f>INDEX(医院2县区2人!$B$2:$B$1048576,MATCH(L2853,医院2县区2人!$A$2:$A$1048576,0))</f>
        <v>#N/A</v>
      </c>
      <c r="N2853" s="6" t="e">
        <f>INDEX(医院2县区2人!$C$2:$C$1048576,MATCH(L2853,医院2县区2人!$A$2:$A$1048576,0))</f>
        <v>#N/A</v>
      </c>
      <c r="P2853" s="7">
        <v>43279</v>
      </c>
      <c r="Q2853" s="6">
        <v>2</v>
      </c>
      <c r="S2853" s="6">
        <v>18030921</v>
      </c>
      <c r="T2853" s="6" t="e">
        <f>INDEX(医院2县区2人!$D$2:$D$1048576,MATCH(L2853,医院2县区2人!$A$2:$A$1048576,0))</f>
        <v>#N/A</v>
      </c>
      <c r="W2853" s="6" t="str">
        <f t="shared" si="91"/>
        <v>双黄连口服液10ml*10支</v>
      </c>
      <c r="X2853" s="6" t="s">
        <v>2901</v>
      </c>
    </row>
    <row r="2854" spans="1:24" x14ac:dyDescent="0.15">
      <c r="A2854" s="7" t="str">
        <f t="shared" si="92"/>
        <v>201806</v>
      </c>
      <c r="C2854" s="6" t="str">
        <f>INDEX(工厂基础数据!$A$2:$A$1024,MATCH(X2854,工厂基础数据!$D$2:$D$1024,0))</f>
        <v>02037769</v>
      </c>
      <c r="E2854" s="6" t="str">
        <f>INDEX(工厂基础数据!$B$2:$B$1024,MATCH(X2854,工厂基础数据!$D$2:$D$1024,0))</f>
        <v>山东海川医药有限公司</v>
      </c>
      <c r="F2854" s="6" t="e">
        <f>INDEX(商业2转码!$B$2:$B$10000,MATCH(E2854,商业2转码!$A$2:$A$10000,0))</f>
        <v>#N/A</v>
      </c>
      <c r="G2854" s="6" t="str">
        <f>INDEX(品种2编码!$A$2:$A$1048576,MATCH(W2854,品种2编码!$D$2:$D$1048576,0))</f>
        <v>0020030020SJSC0004</v>
      </c>
      <c r="H2854" s="6" t="s">
        <v>394</v>
      </c>
      <c r="I2854" s="6" t="s">
        <v>1871</v>
      </c>
      <c r="J2854" s="6" t="s">
        <v>3755</v>
      </c>
      <c r="L2854" s="6" t="s">
        <v>3690</v>
      </c>
      <c r="M2854" s="6" t="e">
        <f>INDEX(医院2县区2人!$B$2:$B$1048576,MATCH(L2854,医院2县区2人!$A$2:$A$1048576,0))</f>
        <v>#N/A</v>
      </c>
      <c r="N2854" s="6" t="e">
        <f>INDEX(医院2县区2人!$C$2:$C$1048576,MATCH(L2854,医院2县区2人!$A$2:$A$1048576,0))</f>
        <v>#N/A</v>
      </c>
      <c r="P2854" s="7">
        <v>43279</v>
      </c>
      <c r="Q2854" s="6">
        <v>2</v>
      </c>
      <c r="S2854" s="6">
        <v>1802021</v>
      </c>
      <c r="T2854" s="6" t="e">
        <f>INDEX(医院2县区2人!$D$2:$D$1048576,MATCH(L2854,医院2县区2人!$A$2:$A$1048576,0))</f>
        <v>#N/A</v>
      </c>
      <c r="W2854" s="6" t="str">
        <f t="shared" si="91"/>
        <v>复方铝酸铋片50片</v>
      </c>
      <c r="X2854" s="6" t="s">
        <v>2901</v>
      </c>
    </row>
    <row r="2855" spans="1:24" x14ac:dyDescent="0.15">
      <c r="A2855" s="7" t="str">
        <f t="shared" si="92"/>
        <v>201806</v>
      </c>
      <c r="C2855" s="6" t="str">
        <f>INDEX(工厂基础数据!$A$2:$A$1024,MATCH(X2855,工厂基础数据!$D$2:$D$1024,0))</f>
        <v>02037769</v>
      </c>
      <c r="E2855" s="6" t="str">
        <f>INDEX(工厂基础数据!$B$2:$B$1024,MATCH(X2855,工厂基础数据!$D$2:$D$1024,0))</f>
        <v>山东海川医药有限公司</v>
      </c>
      <c r="F2855" s="6" t="e">
        <f>INDEX(商业2转码!$B$2:$B$10000,MATCH(E2855,商业2转码!$A$2:$A$10000,0))</f>
        <v>#N/A</v>
      </c>
      <c r="G2855" s="6" t="str">
        <f>INDEX(品种2编码!$A$2:$A$1048576,MATCH(W2855,品种2编码!$D$2:$D$1048576,0))</f>
        <v>0020050090SJZY0001</v>
      </c>
      <c r="H2855" s="6" t="s">
        <v>630</v>
      </c>
      <c r="I2855" s="6" t="s">
        <v>1850</v>
      </c>
      <c r="J2855" s="6" t="s">
        <v>3044</v>
      </c>
      <c r="L2855" s="6" t="s">
        <v>3690</v>
      </c>
      <c r="M2855" s="6" t="e">
        <f>INDEX(医院2县区2人!$B$2:$B$1048576,MATCH(L2855,医院2县区2人!$A$2:$A$1048576,0))</f>
        <v>#N/A</v>
      </c>
      <c r="N2855" s="6" t="e">
        <f>INDEX(医院2县区2人!$C$2:$C$1048576,MATCH(L2855,医院2县区2人!$A$2:$A$1048576,0))</f>
        <v>#N/A</v>
      </c>
      <c r="P2855" s="7">
        <v>43279</v>
      </c>
      <c r="Q2855" s="6">
        <v>3</v>
      </c>
      <c r="S2855" s="6">
        <v>18030921</v>
      </c>
      <c r="T2855" s="6" t="e">
        <f>INDEX(医院2县区2人!$D$2:$D$1048576,MATCH(L2855,医院2县区2人!$A$2:$A$1048576,0))</f>
        <v>#N/A</v>
      </c>
      <c r="W2855" s="6" t="str">
        <f t="shared" si="91"/>
        <v>双黄连口服液10ml*10支</v>
      </c>
      <c r="X2855" s="6" t="s">
        <v>2901</v>
      </c>
    </row>
    <row r="2856" spans="1:24" x14ac:dyDescent="0.15">
      <c r="A2856" s="7" t="str">
        <f t="shared" si="92"/>
        <v>201806</v>
      </c>
      <c r="C2856" s="6" t="str">
        <f>INDEX(工厂基础数据!$A$2:$A$1024,MATCH(X2856,工厂基础数据!$D$2:$D$1024,0))</f>
        <v>02037769</v>
      </c>
      <c r="E2856" s="6" t="str">
        <f>INDEX(工厂基础数据!$B$2:$B$1024,MATCH(X2856,工厂基础数据!$D$2:$D$1024,0))</f>
        <v>山东海川医药有限公司</v>
      </c>
      <c r="F2856" s="6" t="e">
        <f>INDEX(商业2转码!$B$2:$B$10000,MATCH(E2856,商业2转码!$A$2:$A$10000,0))</f>
        <v>#N/A</v>
      </c>
      <c r="G2856" s="6">
        <f>INDEX(品种2编码!$A$2:$A$1048576,MATCH(W2856,品种2编码!$D$2:$D$1048576,0))</f>
        <v>0</v>
      </c>
      <c r="H2856" s="6" t="s">
        <v>1885</v>
      </c>
      <c r="I2856" s="6" t="s">
        <v>1838</v>
      </c>
      <c r="J2856" s="6" t="s">
        <v>3036</v>
      </c>
      <c r="L2856" s="6" t="s">
        <v>3706</v>
      </c>
      <c r="M2856" s="6" t="e">
        <f>INDEX(医院2县区2人!$B$2:$B$1048576,MATCH(L2856,医院2县区2人!$A$2:$A$1048576,0))</f>
        <v>#N/A</v>
      </c>
      <c r="N2856" s="6" t="e">
        <f>INDEX(医院2县区2人!$C$2:$C$1048576,MATCH(L2856,医院2县区2人!$A$2:$A$1048576,0))</f>
        <v>#N/A</v>
      </c>
      <c r="P2856" s="7">
        <v>43279</v>
      </c>
      <c r="Q2856" s="6">
        <v>1</v>
      </c>
      <c r="S2856" s="6">
        <v>180105</v>
      </c>
      <c r="T2856" s="6" t="e">
        <f>INDEX(医院2县区2人!$D$2:$D$1048576,MATCH(L2856,医院2县区2人!$A$2:$A$1048576,0))</f>
        <v>#N/A</v>
      </c>
      <c r="W2856" s="6" t="str">
        <f t="shared" si="91"/>
        <v>新盖中盖高钙片2.5g*36片</v>
      </c>
      <c r="X2856" s="6" t="s">
        <v>2901</v>
      </c>
    </row>
    <row r="2857" spans="1:24" x14ac:dyDescent="0.15">
      <c r="A2857" s="7" t="str">
        <f t="shared" si="92"/>
        <v>201806</v>
      </c>
      <c r="C2857" s="6" t="str">
        <f>INDEX(工厂基础数据!$A$2:$A$1024,MATCH(X2857,工厂基础数据!$D$2:$D$1024,0))</f>
        <v>02037769</v>
      </c>
      <c r="E2857" s="6" t="str">
        <f>INDEX(工厂基础数据!$B$2:$B$1024,MATCH(X2857,工厂基础数据!$D$2:$D$1024,0))</f>
        <v>山东海川医药有限公司</v>
      </c>
      <c r="F2857" s="6" t="e">
        <f>INDEX(商业2转码!$B$2:$B$10000,MATCH(E2857,商业2转码!$A$2:$A$10000,0))</f>
        <v>#N/A</v>
      </c>
      <c r="G2857" s="6" t="str">
        <f>INDEX(品种2编码!$A$2:$A$1048576,MATCH(W2857,品种2编码!$D$2:$D$1048576,0))</f>
        <v>0020030020SJSC0004</v>
      </c>
      <c r="H2857" s="6" t="s">
        <v>394</v>
      </c>
      <c r="I2857" s="6" t="s">
        <v>1871</v>
      </c>
      <c r="J2857" s="6" t="s">
        <v>3755</v>
      </c>
      <c r="L2857" s="6" t="s">
        <v>3728</v>
      </c>
      <c r="M2857" s="6" t="e">
        <f>INDEX(医院2县区2人!$B$2:$B$1048576,MATCH(L2857,医院2县区2人!$A$2:$A$1048576,0))</f>
        <v>#N/A</v>
      </c>
      <c r="N2857" s="6" t="e">
        <f>INDEX(医院2县区2人!$C$2:$C$1048576,MATCH(L2857,医院2县区2人!$A$2:$A$1048576,0))</f>
        <v>#N/A</v>
      </c>
      <c r="P2857" s="7">
        <v>43279</v>
      </c>
      <c r="Q2857" s="6">
        <v>5</v>
      </c>
      <c r="S2857" s="6">
        <v>1802021</v>
      </c>
      <c r="T2857" s="6" t="e">
        <f>INDEX(医院2县区2人!$D$2:$D$1048576,MATCH(L2857,医院2县区2人!$A$2:$A$1048576,0))</f>
        <v>#N/A</v>
      </c>
      <c r="W2857" s="6" t="str">
        <f t="shared" si="91"/>
        <v>复方铝酸铋片50片</v>
      </c>
      <c r="X2857" s="6" t="s">
        <v>2901</v>
      </c>
    </row>
    <row r="2858" spans="1:24" x14ac:dyDescent="0.15">
      <c r="A2858" s="7" t="str">
        <f t="shared" si="92"/>
        <v>201806</v>
      </c>
      <c r="C2858" s="6" t="str">
        <f>INDEX(工厂基础数据!$A$2:$A$1024,MATCH(X2858,工厂基础数据!$D$2:$D$1024,0))</f>
        <v>02037769</v>
      </c>
      <c r="E2858" s="6" t="str">
        <f>INDEX(工厂基础数据!$B$2:$B$1024,MATCH(X2858,工厂基础数据!$D$2:$D$1024,0))</f>
        <v>山东海川医药有限公司</v>
      </c>
      <c r="F2858" s="6" t="e">
        <f>INDEX(商业2转码!$B$2:$B$10000,MATCH(E2858,商业2转码!$A$2:$A$10000,0))</f>
        <v>#N/A</v>
      </c>
      <c r="G2858" s="6">
        <f>INDEX(品种2编码!$A$2:$A$1048576,MATCH(W2858,品种2编码!$D$2:$D$1048576,0))</f>
        <v>0</v>
      </c>
      <c r="H2858" s="6" t="s">
        <v>3741</v>
      </c>
      <c r="I2858" s="6" t="s">
        <v>3752</v>
      </c>
      <c r="J2858" s="6" t="s">
        <v>3038</v>
      </c>
      <c r="L2858" s="6" t="s">
        <v>3664</v>
      </c>
      <c r="M2858" s="6" t="e">
        <f>INDEX(医院2县区2人!$B$2:$B$1048576,MATCH(L2858,医院2县区2人!$A$2:$A$1048576,0))</f>
        <v>#N/A</v>
      </c>
      <c r="N2858" s="6" t="e">
        <f>INDEX(医院2县区2人!$C$2:$C$1048576,MATCH(L2858,医院2县区2人!$A$2:$A$1048576,0))</f>
        <v>#N/A</v>
      </c>
      <c r="P2858" s="7">
        <v>43280</v>
      </c>
      <c r="Q2858" s="6">
        <v>5</v>
      </c>
      <c r="S2858" s="6">
        <v>180101</v>
      </c>
      <c r="T2858" s="6" t="e">
        <f>INDEX(医院2县区2人!$D$2:$D$1048576,MATCH(L2858,医院2县区2人!$A$2:$A$1048576,0))</f>
        <v>#N/A</v>
      </c>
      <c r="W2858" s="6" t="str">
        <f t="shared" si="91"/>
        <v>哈药痛可贴跌打损伤型4贴</v>
      </c>
      <c r="X2858" s="6" t="s">
        <v>2901</v>
      </c>
    </row>
    <row r="2859" spans="1:24" x14ac:dyDescent="0.15">
      <c r="A2859" s="7" t="str">
        <f t="shared" si="92"/>
        <v>201806</v>
      </c>
      <c r="C2859" s="6" t="str">
        <f>INDEX(工厂基础数据!$A$2:$A$1024,MATCH(X2859,工厂基础数据!$D$2:$D$1024,0))</f>
        <v>02037769</v>
      </c>
      <c r="E2859" s="6" t="str">
        <f>INDEX(工厂基础数据!$B$2:$B$1024,MATCH(X2859,工厂基础数据!$D$2:$D$1024,0))</f>
        <v>山东海川医药有限公司</v>
      </c>
      <c r="F2859" s="6" t="e">
        <f>INDEX(商业2转码!$B$2:$B$10000,MATCH(E2859,商业2转码!$A$2:$A$10000,0))</f>
        <v>#N/A</v>
      </c>
      <c r="G2859" s="6">
        <f>INDEX(品种2编码!$A$2:$A$1048576,MATCH(W2859,品种2编码!$D$2:$D$1048576,0))</f>
        <v>0</v>
      </c>
      <c r="H2859" s="6" t="s">
        <v>3744</v>
      </c>
      <c r="I2859" s="6" t="s">
        <v>3752</v>
      </c>
      <c r="J2859" s="6" t="s">
        <v>3038</v>
      </c>
      <c r="L2859" s="6" t="s">
        <v>3664</v>
      </c>
      <c r="M2859" s="6" t="e">
        <f>INDEX(医院2县区2人!$B$2:$B$1048576,MATCH(L2859,医院2县区2人!$A$2:$A$1048576,0))</f>
        <v>#N/A</v>
      </c>
      <c r="N2859" s="6" t="e">
        <f>INDEX(医院2县区2人!$C$2:$C$1048576,MATCH(L2859,医院2县区2人!$A$2:$A$1048576,0))</f>
        <v>#N/A</v>
      </c>
      <c r="P2859" s="7">
        <v>43280</v>
      </c>
      <c r="Q2859" s="6">
        <v>5</v>
      </c>
      <c r="S2859" s="6">
        <v>180103</v>
      </c>
      <c r="T2859" s="6" t="e">
        <f>INDEX(医院2县区2人!$D$2:$D$1048576,MATCH(L2859,医院2县区2人!$A$2:$A$1048576,0))</f>
        <v>#N/A</v>
      </c>
      <c r="W2859" s="6" t="str">
        <f t="shared" si="91"/>
        <v>哈药痛可贴腰椎型4贴</v>
      </c>
      <c r="X2859" s="6" t="s">
        <v>2901</v>
      </c>
    </row>
    <row r="2860" spans="1:24" x14ac:dyDescent="0.15">
      <c r="A2860" s="7" t="str">
        <f t="shared" si="92"/>
        <v>201806</v>
      </c>
      <c r="C2860" s="6" t="str">
        <f>INDEX(工厂基础数据!$A$2:$A$1024,MATCH(X2860,工厂基础数据!$D$2:$D$1024,0))</f>
        <v>02037769</v>
      </c>
      <c r="E2860" s="6" t="str">
        <f>INDEX(工厂基础数据!$B$2:$B$1024,MATCH(X2860,工厂基础数据!$D$2:$D$1024,0))</f>
        <v>山东海川医药有限公司</v>
      </c>
      <c r="F2860" s="6" t="e">
        <f>INDEX(商业2转码!$B$2:$B$10000,MATCH(E2860,商业2转码!$A$2:$A$10000,0))</f>
        <v>#N/A</v>
      </c>
      <c r="G2860" s="6">
        <f>INDEX(品种2编码!$A$2:$A$1048576,MATCH(W2860,品种2编码!$D$2:$D$1048576,0))</f>
        <v>0</v>
      </c>
      <c r="H2860" s="6" t="s">
        <v>3743</v>
      </c>
      <c r="I2860" s="6" t="s">
        <v>3752</v>
      </c>
      <c r="J2860" s="6" t="s">
        <v>3038</v>
      </c>
      <c r="L2860" s="6" t="s">
        <v>3664</v>
      </c>
      <c r="M2860" s="6" t="e">
        <f>INDEX(医院2县区2人!$B$2:$B$1048576,MATCH(L2860,医院2县区2人!$A$2:$A$1048576,0))</f>
        <v>#N/A</v>
      </c>
      <c r="N2860" s="6" t="e">
        <f>INDEX(医院2县区2人!$C$2:$C$1048576,MATCH(L2860,医院2县区2人!$A$2:$A$1048576,0))</f>
        <v>#N/A</v>
      </c>
      <c r="P2860" s="7">
        <v>43280</v>
      </c>
      <c r="Q2860" s="6">
        <v>5</v>
      </c>
      <c r="S2860" s="6">
        <v>180103</v>
      </c>
      <c r="T2860" s="6" t="e">
        <f>INDEX(医院2县区2人!$D$2:$D$1048576,MATCH(L2860,医院2县区2人!$A$2:$A$1048576,0))</f>
        <v>#N/A</v>
      </c>
      <c r="W2860" s="6" t="str">
        <f t="shared" si="91"/>
        <v>哈药痛可贴颈椎型4贴</v>
      </c>
      <c r="X2860" s="6" t="s">
        <v>2901</v>
      </c>
    </row>
    <row r="2861" spans="1:24" x14ac:dyDescent="0.15">
      <c r="A2861" s="7" t="str">
        <f t="shared" si="92"/>
        <v>201806</v>
      </c>
      <c r="C2861" s="6" t="str">
        <f>INDEX(工厂基础数据!$A$2:$A$1024,MATCH(X2861,工厂基础数据!$D$2:$D$1024,0))</f>
        <v>02037769</v>
      </c>
      <c r="E2861" s="6" t="str">
        <f>INDEX(工厂基础数据!$B$2:$B$1024,MATCH(X2861,工厂基础数据!$D$2:$D$1024,0))</f>
        <v>山东海川医药有限公司</v>
      </c>
      <c r="F2861" s="6" t="e">
        <f>INDEX(商业2转码!$B$2:$B$10000,MATCH(E2861,商业2转码!$A$2:$A$10000,0))</f>
        <v>#N/A</v>
      </c>
      <c r="G2861" s="6">
        <f>INDEX(品种2编码!$A$2:$A$1048576,MATCH(W2861,品种2编码!$D$2:$D$1048576,0))</f>
        <v>0</v>
      </c>
      <c r="H2861" s="6" t="s">
        <v>3740</v>
      </c>
      <c r="I2861" s="6" t="s">
        <v>3751</v>
      </c>
      <c r="J2861" s="6" t="s">
        <v>3754</v>
      </c>
      <c r="L2861" s="6" t="s">
        <v>3718</v>
      </c>
      <c r="M2861" s="6" t="e">
        <f>INDEX(医院2县区2人!$B$2:$B$1048576,MATCH(L2861,医院2县区2人!$A$2:$A$1048576,0))</f>
        <v>#N/A</v>
      </c>
      <c r="N2861" s="6" t="e">
        <f>INDEX(医院2县区2人!$C$2:$C$1048576,MATCH(L2861,医院2县区2人!$A$2:$A$1048576,0))</f>
        <v>#N/A</v>
      </c>
      <c r="P2861" s="7">
        <v>43280</v>
      </c>
      <c r="Q2861" s="6">
        <v>2</v>
      </c>
      <c r="S2861" s="6">
        <v>20180101</v>
      </c>
      <c r="T2861" s="6" t="e">
        <f>INDEX(医院2县区2人!$D$2:$D$1048576,MATCH(L2861,医院2县区2人!$A$2:$A$1048576,0))</f>
        <v>#N/A</v>
      </c>
      <c r="W2861" s="6" t="str">
        <f t="shared" si="91"/>
        <v>逐瘀通脉胶囊0.2g*18粒</v>
      </c>
      <c r="X2861" s="6" t="s">
        <v>2901</v>
      </c>
    </row>
    <row r="2862" spans="1:24" x14ac:dyDescent="0.15">
      <c r="A2862" s="7" t="str">
        <f t="shared" si="92"/>
        <v>201806</v>
      </c>
      <c r="C2862" s="6" t="str">
        <f>INDEX(工厂基础数据!$A$2:$A$1024,MATCH(X2862,工厂基础数据!$D$2:$D$1024,0))</f>
        <v>02037769</v>
      </c>
      <c r="E2862" s="6" t="str">
        <f>INDEX(工厂基础数据!$B$2:$B$1024,MATCH(X2862,工厂基础数据!$D$2:$D$1024,0))</f>
        <v>山东海川医药有限公司</v>
      </c>
      <c r="F2862" s="6" t="e">
        <f>INDEX(商业2转码!$B$2:$B$10000,MATCH(E2862,商业2转码!$A$2:$A$10000,0))</f>
        <v>#N/A</v>
      </c>
      <c r="G2862" s="6">
        <f>INDEX(品种2编码!$A$2:$A$1048576,MATCH(W2862,品种2编码!$D$2:$D$1048576,0))</f>
        <v>0</v>
      </c>
      <c r="H2862" s="6" t="s">
        <v>3744</v>
      </c>
      <c r="I2862" s="6" t="s">
        <v>3752</v>
      </c>
      <c r="J2862" s="6" t="s">
        <v>3038</v>
      </c>
      <c r="L2862" s="6" t="s">
        <v>3676</v>
      </c>
      <c r="M2862" s="6" t="e">
        <f>INDEX(医院2县区2人!$B$2:$B$1048576,MATCH(L2862,医院2县区2人!$A$2:$A$1048576,0))</f>
        <v>#N/A</v>
      </c>
      <c r="N2862" s="6" t="e">
        <f>INDEX(医院2县区2人!$C$2:$C$1048576,MATCH(L2862,医院2县区2人!$A$2:$A$1048576,0))</f>
        <v>#N/A</v>
      </c>
      <c r="P2862" s="7">
        <v>43280</v>
      </c>
      <c r="Q2862" s="6">
        <v>3</v>
      </c>
      <c r="S2862" s="6">
        <v>180103</v>
      </c>
      <c r="T2862" s="6" t="e">
        <f>INDEX(医院2县区2人!$D$2:$D$1048576,MATCH(L2862,医院2县区2人!$A$2:$A$1048576,0))</f>
        <v>#N/A</v>
      </c>
      <c r="W2862" s="6" t="str">
        <f t="shared" si="91"/>
        <v>哈药痛可贴腰椎型4贴</v>
      </c>
      <c r="X2862" s="6" t="s">
        <v>2901</v>
      </c>
    </row>
    <row r="2863" spans="1:24" x14ac:dyDescent="0.15">
      <c r="A2863" s="7" t="str">
        <f t="shared" si="92"/>
        <v>201806</v>
      </c>
      <c r="C2863" s="6" t="str">
        <f>INDEX(工厂基础数据!$A$2:$A$1024,MATCH(X2863,工厂基础数据!$D$2:$D$1024,0))</f>
        <v>02037769</v>
      </c>
      <c r="E2863" s="6" t="str">
        <f>INDEX(工厂基础数据!$B$2:$B$1024,MATCH(X2863,工厂基础数据!$D$2:$D$1024,0))</f>
        <v>山东海川医药有限公司</v>
      </c>
      <c r="F2863" s="6" t="e">
        <f>INDEX(商业2转码!$B$2:$B$10000,MATCH(E2863,商业2转码!$A$2:$A$10000,0))</f>
        <v>#N/A</v>
      </c>
      <c r="G2863" s="6" t="str">
        <f>INDEX(品种2编码!$A$2:$A$1048576,MATCH(W2863,品种2编码!$D$2:$D$1048576,0))</f>
        <v>0020030020SJSC0004</v>
      </c>
      <c r="H2863" s="6" t="s">
        <v>394</v>
      </c>
      <c r="I2863" s="6" t="s">
        <v>1871</v>
      </c>
      <c r="J2863" s="6" t="s">
        <v>3755</v>
      </c>
      <c r="L2863" s="6" t="s">
        <v>3729</v>
      </c>
      <c r="M2863" s="6" t="e">
        <f>INDEX(医院2县区2人!$B$2:$B$1048576,MATCH(L2863,医院2县区2人!$A$2:$A$1048576,0))</f>
        <v>#N/A</v>
      </c>
      <c r="N2863" s="6" t="e">
        <f>INDEX(医院2县区2人!$C$2:$C$1048576,MATCH(L2863,医院2县区2人!$A$2:$A$1048576,0))</f>
        <v>#N/A</v>
      </c>
      <c r="P2863" s="7">
        <v>43280</v>
      </c>
      <c r="Q2863" s="6">
        <v>7</v>
      </c>
      <c r="S2863" s="6">
        <v>1802021</v>
      </c>
      <c r="T2863" s="6" t="e">
        <f>INDEX(医院2县区2人!$D$2:$D$1048576,MATCH(L2863,医院2县区2人!$A$2:$A$1048576,0))</f>
        <v>#N/A</v>
      </c>
      <c r="W2863" s="6" t="str">
        <f t="shared" si="91"/>
        <v>复方铝酸铋片50片</v>
      </c>
      <c r="X2863" s="6" t="s">
        <v>2901</v>
      </c>
    </row>
    <row r="2864" spans="1:24" x14ac:dyDescent="0.15">
      <c r="A2864" s="7" t="str">
        <f t="shared" si="92"/>
        <v>201806</v>
      </c>
      <c r="C2864" s="6" t="str">
        <f>INDEX(工厂基础数据!$A$2:$A$1024,MATCH(X2864,工厂基础数据!$D$2:$D$1024,0))</f>
        <v>02037769</v>
      </c>
      <c r="E2864" s="6" t="str">
        <f>INDEX(工厂基础数据!$B$2:$B$1024,MATCH(X2864,工厂基础数据!$D$2:$D$1024,0))</f>
        <v>山东海川医药有限公司</v>
      </c>
      <c r="F2864" s="6" t="e">
        <f>INDEX(商业2转码!$B$2:$B$10000,MATCH(E2864,商业2转码!$A$2:$A$10000,0))</f>
        <v>#N/A</v>
      </c>
      <c r="G2864" s="6">
        <f>INDEX(品种2编码!$A$2:$A$1048576,MATCH(W2864,品种2编码!$D$2:$D$1048576,0))</f>
        <v>0</v>
      </c>
      <c r="H2864" s="6" t="s">
        <v>2017</v>
      </c>
      <c r="I2864" s="6" t="s">
        <v>444</v>
      </c>
      <c r="J2864" s="6" t="s">
        <v>3037</v>
      </c>
      <c r="L2864" s="6" t="s">
        <v>3730</v>
      </c>
      <c r="M2864" s="6" t="e">
        <f>INDEX(医院2县区2人!$B$2:$B$1048576,MATCH(L2864,医院2县区2人!$A$2:$A$1048576,0))</f>
        <v>#N/A</v>
      </c>
      <c r="N2864" s="6" t="e">
        <f>INDEX(医院2县区2人!$C$2:$C$1048576,MATCH(L2864,医院2县区2人!$A$2:$A$1048576,0))</f>
        <v>#N/A</v>
      </c>
      <c r="P2864" s="7">
        <v>43280</v>
      </c>
      <c r="Q2864" s="6">
        <v>20</v>
      </c>
      <c r="S2864" s="6">
        <v>1603120</v>
      </c>
      <c r="T2864" s="6" t="e">
        <f>INDEX(医院2县区2人!$D$2:$D$1048576,MATCH(L2864,医院2县区2人!$A$2:$A$1048576,0))</f>
        <v>#N/A</v>
      </c>
      <c r="W2864" s="6" t="str">
        <f t="shared" si="91"/>
        <v>杞菊地黄丸9g*10丸</v>
      </c>
      <c r="X2864" s="6" t="s">
        <v>2901</v>
      </c>
    </row>
    <row r="2865" spans="1:24" x14ac:dyDescent="0.15">
      <c r="A2865" s="7" t="str">
        <f t="shared" si="92"/>
        <v>201806</v>
      </c>
      <c r="C2865" s="6" t="str">
        <f>INDEX(工厂基础数据!$A$2:$A$1024,MATCH(X2865,工厂基础数据!$D$2:$D$1024,0))</f>
        <v>02037769</v>
      </c>
      <c r="E2865" s="6" t="str">
        <f>INDEX(工厂基础数据!$B$2:$B$1024,MATCH(X2865,工厂基础数据!$D$2:$D$1024,0))</f>
        <v>山东海川医药有限公司</v>
      </c>
      <c r="F2865" s="6" t="e">
        <f>INDEX(商业2转码!$B$2:$B$10000,MATCH(E2865,商业2转码!$A$2:$A$10000,0))</f>
        <v>#N/A</v>
      </c>
      <c r="G2865" s="6" t="str">
        <f>INDEX(品种2编码!$A$2:$A$1048576,MATCH(W2865,品种2编码!$D$2:$D$1048576,0))</f>
        <v>0020050001SHYT0027</v>
      </c>
      <c r="H2865" s="6" t="s">
        <v>443</v>
      </c>
      <c r="I2865" s="6" t="s">
        <v>444</v>
      </c>
      <c r="J2865" s="6" t="s">
        <v>3037</v>
      </c>
      <c r="L2865" s="6" t="s">
        <v>3730</v>
      </c>
      <c r="M2865" s="6" t="e">
        <f>INDEX(医院2县区2人!$B$2:$B$1048576,MATCH(L2865,医院2县区2人!$A$2:$A$1048576,0))</f>
        <v>#N/A</v>
      </c>
      <c r="N2865" s="6" t="e">
        <f>INDEX(医院2县区2人!$C$2:$C$1048576,MATCH(L2865,医院2县区2人!$A$2:$A$1048576,0))</f>
        <v>#N/A</v>
      </c>
      <c r="P2865" s="7">
        <v>43280</v>
      </c>
      <c r="Q2865" s="6">
        <v>20</v>
      </c>
      <c r="S2865" s="6">
        <v>1604132</v>
      </c>
      <c r="T2865" s="6" t="e">
        <f>INDEX(医院2县区2人!$D$2:$D$1048576,MATCH(L2865,医院2县区2人!$A$2:$A$1048576,0))</f>
        <v>#N/A</v>
      </c>
      <c r="W2865" s="6" t="str">
        <f t="shared" si="91"/>
        <v>健脾丸9g*10丸</v>
      </c>
      <c r="X2865" s="6" t="s">
        <v>2901</v>
      </c>
    </row>
    <row r="2866" spans="1:24" x14ac:dyDescent="0.15">
      <c r="A2866" s="7" t="str">
        <f t="shared" si="92"/>
        <v>201806</v>
      </c>
      <c r="C2866" s="6" t="str">
        <f>INDEX(工厂基础数据!$A$2:$A$1024,MATCH(X2866,工厂基础数据!$D$2:$D$1024,0))</f>
        <v>02037769</v>
      </c>
      <c r="E2866" s="6" t="str">
        <f>INDEX(工厂基础数据!$B$2:$B$1024,MATCH(X2866,工厂基础数据!$D$2:$D$1024,0))</f>
        <v>山东海川医药有限公司</v>
      </c>
      <c r="F2866" s="6" t="e">
        <f>INDEX(商业2转码!$B$2:$B$10000,MATCH(E2866,商业2转码!$A$2:$A$10000,0))</f>
        <v>#N/A</v>
      </c>
      <c r="G2866" s="6">
        <f>INDEX(品种2编码!$A$2:$A$1048576,MATCH(W2866,品种2编码!$D$2:$D$1048576,0))</f>
        <v>0</v>
      </c>
      <c r="H2866" s="6" t="s">
        <v>2009</v>
      </c>
      <c r="I2866" s="6" t="s">
        <v>1867</v>
      </c>
      <c r="J2866" s="6" t="s">
        <v>3037</v>
      </c>
      <c r="L2866" s="6" t="s">
        <v>3730</v>
      </c>
      <c r="M2866" s="6" t="e">
        <f>INDEX(医院2县区2人!$B$2:$B$1048576,MATCH(L2866,医院2县区2人!$A$2:$A$1048576,0))</f>
        <v>#N/A</v>
      </c>
      <c r="N2866" s="6" t="e">
        <f>INDEX(医院2县区2人!$C$2:$C$1048576,MATCH(L2866,医院2县区2人!$A$2:$A$1048576,0))</f>
        <v>#N/A</v>
      </c>
      <c r="P2866" s="7">
        <v>43280</v>
      </c>
      <c r="Q2866" s="6">
        <v>20</v>
      </c>
      <c r="S2866" s="6">
        <v>1605114</v>
      </c>
      <c r="T2866" s="6" t="e">
        <f>INDEX(医院2县区2人!$D$2:$D$1048576,MATCH(L2866,医院2县区2人!$A$2:$A$1048576,0))</f>
        <v>#N/A</v>
      </c>
      <c r="W2866" s="6" t="str">
        <f t="shared" si="91"/>
        <v>启脾丸3g*10丸</v>
      </c>
      <c r="X2866" s="6" t="s">
        <v>2901</v>
      </c>
    </row>
    <row r="2867" spans="1:24" x14ac:dyDescent="0.15">
      <c r="A2867" s="7" t="str">
        <f t="shared" si="92"/>
        <v>201806</v>
      </c>
      <c r="C2867" s="6" t="str">
        <f>INDEX(工厂基础数据!$A$2:$A$1024,MATCH(X2867,工厂基础数据!$D$2:$D$1024,0))</f>
        <v>02037769</v>
      </c>
      <c r="E2867" s="6" t="str">
        <f>INDEX(工厂基础数据!$B$2:$B$1024,MATCH(X2867,工厂基础数据!$D$2:$D$1024,0))</f>
        <v>山东海川医药有限公司</v>
      </c>
      <c r="F2867" s="6" t="e">
        <f>INDEX(商业2转码!$B$2:$B$10000,MATCH(E2867,商业2转码!$A$2:$A$10000,0))</f>
        <v>#N/A</v>
      </c>
      <c r="G2867" s="6" t="str">
        <f>INDEX(品种2编码!$A$2:$A$1048576,MATCH(W2867,品种2编码!$D$2:$D$1048576,0))</f>
        <v>0020040001SHYT0018</v>
      </c>
      <c r="H2867" s="6" t="s">
        <v>732</v>
      </c>
      <c r="I2867" s="6" t="s">
        <v>444</v>
      </c>
      <c r="J2867" s="6" t="s">
        <v>3037</v>
      </c>
      <c r="L2867" s="6" t="s">
        <v>3730</v>
      </c>
      <c r="M2867" s="6" t="e">
        <f>INDEX(医院2县区2人!$B$2:$B$1048576,MATCH(L2867,医院2县区2人!$A$2:$A$1048576,0))</f>
        <v>#N/A</v>
      </c>
      <c r="N2867" s="6" t="e">
        <f>INDEX(医院2县区2人!$C$2:$C$1048576,MATCH(L2867,医院2县区2人!$A$2:$A$1048576,0))</f>
        <v>#N/A</v>
      </c>
      <c r="P2867" s="7">
        <v>43280</v>
      </c>
      <c r="Q2867" s="6">
        <v>20</v>
      </c>
      <c r="S2867" s="6">
        <v>1612106</v>
      </c>
      <c r="T2867" s="6" t="e">
        <f>INDEX(医院2县区2人!$D$2:$D$1048576,MATCH(L2867,医院2县区2人!$A$2:$A$1048576,0))</f>
        <v>#N/A</v>
      </c>
      <c r="W2867" s="6" t="str">
        <f t="shared" si="91"/>
        <v>血府逐瘀丸9g*10丸</v>
      </c>
      <c r="X2867" s="6" t="s">
        <v>2901</v>
      </c>
    </row>
    <row r="2868" spans="1:24" x14ac:dyDescent="0.15">
      <c r="A2868" s="7" t="str">
        <f t="shared" si="92"/>
        <v>201806</v>
      </c>
      <c r="C2868" s="6" t="str">
        <f>INDEX(工厂基础数据!$A$2:$A$1024,MATCH(X2868,工厂基础数据!$D$2:$D$1024,0))</f>
        <v>02037769</v>
      </c>
      <c r="E2868" s="6" t="str">
        <f>INDEX(工厂基础数据!$B$2:$B$1024,MATCH(X2868,工厂基础数据!$D$2:$D$1024,0))</f>
        <v>山东海川医药有限公司</v>
      </c>
      <c r="F2868" s="6" t="e">
        <f>INDEX(商业2转码!$B$2:$B$10000,MATCH(E2868,商业2转码!$A$2:$A$10000,0))</f>
        <v>#N/A</v>
      </c>
      <c r="G2868" s="6" t="str">
        <f>INDEX(品种2编码!$A$2:$A$1048576,MATCH(W2868,品种2编码!$D$2:$D$1048576,0))</f>
        <v>0020050002SHYT0013</v>
      </c>
      <c r="H2868" s="6" t="s">
        <v>692</v>
      </c>
      <c r="I2868" s="6" t="s">
        <v>1874</v>
      </c>
      <c r="J2868" s="6" t="s">
        <v>3037</v>
      </c>
      <c r="L2868" s="6" t="s">
        <v>3730</v>
      </c>
      <c r="M2868" s="6" t="e">
        <f>INDEX(医院2县区2人!$B$2:$B$1048576,MATCH(L2868,医院2县区2人!$A$2:$A$1048576,0))</f>
        <v>#N/A</v>
      </c>
      <c r="N2868" s="6" t="e">
        <f>INDEX(医院2县区2人!$C$2:$C$1048576,MATCH(L2868,医院2县区2人!$A$2:$A$1048576,0))</f>
        <v>#N/A</v>
      </c>
      <c r="P2868" s="7">
        <v>43280</v>
      </c>
      <c r="Q2868" s="6">
        <v>20</v>
      </c>
      <c r="S2868" s="6">
        <v>1606707</v>
      </c>
      <c r="T2868" s="6" t="e">
        <f>INDEX(医院2县区2人!$D$2:$D$1048576,MATCH(L2868,医院2县区2人!$A$2:$A$1048576,0))</f>
        <v>#N/A</v>
      </c>
      <c r="W2868" s="6" t="str">
        <f t="shared" si="91"/>
        <v>逍遥丸6g*10袋</v>
      </c>
      <c r="X2868" s="6" t="s">
        <v>2901</v>
      </c>
    </row>
    <row r="2869" spans="1:24" x14ac:dyDescent="0.15">
      <c r="A2869" s="7" t="str">
        <f t="shared" si="92"/>
        <v>201806</v>
      </c>
      <c r="C2869" s="6" t="str">
        <f>INDEX(工厂基础数据!$A$2:$A$1024,MATCH(X2869,工厂基础数据!$D$2:$D$1024,0))</f>
        <v>02037769</v>
      </c>
      <c r="E2869" s="6" t="str">
        <f>INDEX(工厂基础数据!$B$2:$B$1024,MATCH(X2869,工厂基础数据!$D$2:$D$1024,0))</f>
        <v>山东海川医药有限公司</v>
      </c>
      <c r="F2869" s="6" t="e">
        <f>INDEX(商业2转码!$B$2:$B$10000,MATCH(E2869,商业2转码!$A$2:$A$10000,0))</f>
        <v>#N/A</v>
      </c>
      <c r="G2869" s="6">
        <f>INDEX(品种2编码!$A$2:$A$1048576,MATCH(W2869,品种2编码!$D$2:$D$1048576,0))</f>
        <v>0</v>
      </c>
      <c r="H2869" s="6" t="s">
        <v>2005</v>
      </c>
      <c r="I2869" s="6" t="s">
        <v>1945</v>
      </c>
      <c r="J2869" s="6" t="s">
        <v>3037</v>
      </c>
      <c r="L2869" s="6" t="s">
        <v>3730</v>
      </c>
      <c r="M2869" s="6" t="e">
        <f>INDEX(医院2县区2人!$B$2:$B$1048576,MATCH(L2869,医院2县区2人!$A$2:$A$1048576,0))</f>
        <v>#N/A</v>
      </c>
      <c r="N2869" s="6" t="e">
        <f>INDEX(医院2县区2人!$C$2:$C$1048576,MATCH(L2869,医院2县区2人!$A$2:$A$1048576,0))</f>
        <v>#N/A</v>
      </c>
      <c r="P2869" s="7">
        <v>43280</v>
      </c>
      <c r="Q2869" s="6">
        <v>30</v>
      </c>
      <c r="S2869" s="6">
        <v>1606708</v>
      </c>
      <c r="T2869" s="6" t="e">
        <f>INDEX(医院2县区2人!$D$2:$D$1048576,MATCH(L2869,医院2县区2人!$A$2:$A$1048576,0))</f>
        <v>#N/A</v>
      </c>
      <c r="W2869" s="6" t="str">
        <f t="shared" si="91"/>
        <v>六味地黄丸72g</v>
      </c>
      <c r="X2869" s="6" t="s">
        <v>2901</v>
      </c>
    </row>
    <row r="2870" spans="1:24" x14ac:dyDescent="0.15">
      <c r="A2870" s="7" t="str">
        <f t="shared" si="92"/>
        <v>201806</v>
      </c>
      <c r="C2870" s="6" t="str">
        <f>INDEX(工厂基础数据!$A$2:$A$1024,MATCH(X2870,工厂基础数据!$D$2:$D$1024,0))</f>
        <v>02037769</v>
      </c>
      <c r="E2870" s="6" t="str">
        <f>INDEX(工厂基础数据!$B$2:$B$1024,MATCH(X2870,工厂基础数据!$D$2:$D$1024,0))</f>
        <v>山东海川医药有限公司</v>
      </c>
      <c r="F2870" s="6" t="e">
        <f>INDEX(商业2转码!$B$2:$B$10000,MATCH(E2870,商业2转码!$A$2:$A$10000,0))</f>
        <v>#N/A</v>
      </c>
      <c r="G2870" s="6" t="str">
        <f>INDEX(品种2编码!$A$2:$A$1048576,MATCH(W2870,品种2编码!$D$2:$D$1048576,0))</f>
        <v>0020040001SHYT0003</v>
      </c>
      <c r="H2870" s="6" t="s">
        <v>452</v>
      </c>
      <c r="I2870" s="6" t="s">
        <v>1924</v>
      </c>
      <c r="J2870" s="6" t="s">
        <v>3037</v>
      </c>
      <c r="L2870" s="6" t="s">
        <v>3730</v>
      </c>
      <c r="M2870" s="6" t="e">
        <f>INDEX(医院2县区2人!$B$2:$B$1048576,MATCH(L2870,医院2县区2人!$A$2:$A$1048576,0))</f>
        <v>#N/A</v>
      </c>
      <c r="N2870" s="6" t="e">
        <f>INDEX(医院2县区2人!$C$2:$C$1048576,MATCH(L2870,医院2县区2人!$A$2:$A$1048576,0))</f>
        <v>#N/A</v>
      </c>
      <c r="P2870" s="7">
        <v>43280</v>
      </c>
      <c r="Q2870" s="6">
        <v>30</v>
      </c>
      <c r="S2870" s="6">
        <v>1606126</v>
      </c>
      <c r="T2870" s="6" t="e">
        <f>INDEX(医院2县区2人!$D$2:$D$1048576,MATCH(L2870,医院2县区2人!$A$2:$A$1048576,0))</f>
        <v>#N/A</v>
      </c>
      <c r="W2870" s="6" t="str">
        <f t="shared" si="91"/>
        <v>金匮肾气丸6g*10丸</v>
      </c>
      <c r="X2870" s="6" t="s">
        <v>2901</v>
      </c>
    </row>
    <row r="2871" spans="1:24" x14ac:dyDescent="0.15">
      <c r="A2871" s="7" t="str">
        <f t="shared" si="92"/>
        <v>201806</v>
      </c>
      <c r="C2871" s="6" t="str">
        <f>INDEX(工厂基础数据!$A$2:$A$1024,MATCH(X2871,工厂基础数据!$D$2:$D$1024,0))</f>
        <v>02037769</v>
      </c>
      <c r="E2871" s="6" t="str">
        <f>INDEX(工厂基础数据!$B$2:$B$1024,MATCH(X2871,工厂基础数据!$D$2:$D$1024,0))</f>
        <v>山东海川医药有限公司</v>
      </c>
      <c r="F2871" s="6" t="e">
        <f>INDEX(商业2转码!$B$2:$B$10000,MATCH(E2871,商业2转码!$A$2:$A$10000,0))</f>
        <v>#N/A</v>
      </c>
      <c r="G2871" s="6" t="str">
        <f>INDEX(品种2编码!$A$2:$A$1048576,MATCH(W2871,品种2编码!$D$2:$D$1048576,0))</f>
        <v>0020040003SHYT0002</v>
      </c>
      <c r="H2871" s="6" t="s">
        <v>452</v>
      </c>
      <c r="I2871" s="6" t="s">
        <v>1945</v>
      </c>
      <c r="J2871" s="6" t="s">
        <v>3037</v>
      </c>
      <c r="L2871" s="6" t="s">
        <v>3730</v>
      </c>
      <c r="M2871" s="6" t="e">
        <f>INDEX(医院2县区2人!$B$2:$B$1048576,MATCH(L2871,医院2县区2人!$A$2:$A$1048576,0))</f>
        <v>#N/A</v>
      </c>
      <c r="N2871" s="6" t="e">
        <f>INDEX(医院2县区2人!$C$2:$C$1048576,MATCH(L2871,医院2县区2人!$A$2:$A$1048576,0))</f>
        <v>#N/A</v>
      </c>
      <c r="P2871" s="7">
        <v>43280</v>
      </c>
      <c r="Q2871" s="6">
        <v>30</v>
      </c>
      <c r="S2871" s="6">
        <v>1604714</v>
      </c>
      <c r="T2871" s="6" t="e">
        <f>INDEX(医院2县区2人!$D$2:$D$1048576,MATCH(L2871,医院2县区2人!$A$2:$A$1048576,0))</f>
        <v>#N/A</v>
      </c>
      <c r="W2871" s="6" t="str">
        <f t="shared" si="91"/>
        <v>金匮肾气丸72g</v>
      </c>
      <c r="X2871" s="6" t="s">
        <v>2901</v>
      </c>
    </row>
    <row r="2872" spans="1:24" x14ac:dyDescent="0.15">
      <c r="A2872" s="7" t="str">
        <f t="shared" si="92"/>
        <v>201806</v>
      </c>
      <c r="C2872" s="6" t="str">
        <f>INDEX(工厂基础数据!$A$2:$A$1024,MATCH(X2872,工厂基础数据!$D$2:$D$1024,0))</f>
        <v>02037769</v>
      </c>
      <c r="E2872" s="6" t="str">
        <f>INDEX(工厂基础数据!$B$2:$B$1024,MATCH(X2872,工厂基础数据!$D$2:$D$1024,0))</f>
        <v>山东海川医药有限公司</v>
      </c>
      <c r="F2872" s="6" t="e">
        <f>INDEX(商业2转码!$B$2:$B$10000,MATCH(E2872,商业2转码!$A$2:$A$10000,0))</f>
        <v>#N/A</v>
      </c>
      <c r="G2872" s="6" t="str">
        <f>INDEX(品种2编码!$A$2:$A$1048576,MATCH(W2872,品种2编码!$D$2:$D$1048576,0))</f>
        <v>0020030001SJZY0009</v>
      </c>
      <c r="H2872" s="6" t="s">
        <v>1949</v>
      </c>
      <c r="I2872" s="6" t="s">
        <v>411</v>
      </c>
      <c r="J2872" s="6" t="s">
        <v>3040</v>
      </c>
      <c r="L2872" s="6" t="s">
        <v>3731</v>
      </c>
      <c r="M2872" s="6" t="e">
        <f>INDEX(医院2县区2人!$B$2:$B$1048576,MATCH(L2872,医院2县区2人!$A$2:$A$1048576,0))</f>
        <v>#N/A</v>
      </c>
      <c r="N2872" s="6" t="e">
        <f>INDEX(医院2县区2人!$C$2:$C$1048576,MATCH(L2872,医院2县区2人!$A$2:$A$1048576,0))</f>
        <v>#N/A</v>
      </c>
      <c r="P2872" s="7">
        <v>43280</v>
      </c>
      <c r="Q2872" s="6">
        <v>5</v>
      </c>
      <c r="S2872" s="6">
        <v>18031227</v>
      </c>
      <c r="T2872" s="6" t="e">
        <f>INDEX(医院2县区2人!$D$2:$D$1048576,MATCH(L2872,医院2县区2人!$A$2:$A$1048576,0))</f>
        <v>#N/A</v>
      </c>
      <c r="W2872" s="6" t="str">
        <f t="shared" si="91"/>
        <v>葡萄糖酸锌口服溶液10ml*12支</v>
      </c>
      <c r="X2872" s="6" t="s">
        <v>2901</v>
      </c>
    </row>
    <row r="2873" spans="1:24" x14ac:dyDescent="0.15">
      <c r="A2873" s="7" t="str">
        <f t="shared" si="92"/>
        <v>201806</v>
      </c>
      <c r="C2873" s="6" t="str">
        <f>INDEX(工厂基础数据!$A$2:$A$1024,MATCH(X2873,工厂基础数据!$D$2:$D$1024,0))</f>
        <v>02037769</v>
      </c>
      <c r="E2873" s="6" t="str">
        <f>INDEX(工厂基础数据!$B$2:$B$1024,MATCH(X2873,工厂基础数据!$D$2:$D$1024,0))</f>
        <v>山东海川医药有限公司</v>
      </c>
      <c r="F2873" s="6" t="e">
        <f>INDEX(商业2转码!$B$2:$B$10000,MATCH(E2873,商业2转码!$A$2:$A$10000,0))</f>
        <v>#N/A</v>
      </c>
      <c r="G2873" s="6" t="str">
        <f>INDEX(品种2编码!$A$2:$A$1048576,MATCH(W2873,品种2编码!$D$2:$D$1048576,0))</f>
        <v>0020030001SJZY0006</v>
      </c>
      <c r="H2873" s="6" t="s">
        <v>1833</v>
      </c>
      <c r="I2873" s="6" t="s">
        <v>411</v>
      </c>
      <c r="J2873" s="6" t="s">
        <v>3044</v>
      </c>
      <c r="L2873" s="6" t="s">
        <v>3731</v>
      </c>
      <c r="M2873" s="6" t="e">
        <f>INDEX(医院2县区2人!$B$2:$B$1048576,MATCH(L2873,医院2县区2人!$A$2:$A$1048576,0))</f>
        <v>#N/A</v>
      </c>
      <c r="N2873" s="6" t="e">
        <f>INDEX(医院2县区2人!$C$2:$C$1048576,MATCH(L2873,医院2县区2人!$A$2:$A$1048576,0))</f>
        <v>#N/A</v>
      </c>
      <c r="P2873" s="7">
        <v>43280</v>
      </c>
      <c r="Q2873" s="6">
        <v>5</v>
      </c>
      <c r="S2873" s="6">
        <v>18030532</v>
      </c>
      <c r="T2873" s="6" t="e">
        <f>INDEX(医院2县区2人!$D$2:$D$1048576,MATCH(L2873,医院2县区2人!$A$2:$A$1048576,0))</f>
        <v>#N/A</v>
      </c>
      <c r="W2873" s="6" t="str">
        <f t="shared" si="91"/>
        <v>葡萄糖酸钙口服溶液10ml*12支</v>
      </c>
      <c r="X2873" s="6" t="s">
        <v>2901</v>
      </c>
    </row>
    <row r="2874" spans="1:24" x14ac:dyDescent="0.15">
      <c r="A2874" s="7" t="str">
        <f t="shared" si="92"/>
        <v>201806</v>
      </c>
      <c r="C2874" s="6" t="str">
        <f>INDEX(工厂基础数据!$A$2:$A$1024,MATCH(X2874,工厂基础数据!$D$2:$D$1024,0))</f>
        <v>02037769</v>
      </c>
      <c r="E2874" s="6" t="str">
        <f>INDEX(工厂基础数据!$B$2:$B$1024,MATCH(X2874,工厂基础数据!$D$2:$D$1024,0))</f>
        <v>山东海川医药有限公司</v>
      </c>
      <c r="F2874" s="6" t="e">
        <f>INDEX(商业2转码!$B$2:$B$10000,MATCH(E2874,商业2转码!$A$2:$A$10000,0))</f>
        <v>#N/A</v>
      </c>
      <c r="G2874" s="6" t="str">
        <f>INDEX(品种2编码!$A$2:$A$1048576,MATCH(W2874,品种2编码!$D$2:$D$1048576,0))</f>
        <v>0020040001SHYT0028</v>
      </c>
      <c r="H2874" s="6" t="s">
        <v>427</v>
      </c>
      <c r="I2874" s="6" t="s">
        <v>2016</v>
      </c>
      <c r="J2874" s="6" t="s">
        <v>3037</v>
      </c>
      <c r="L2874" s="6" t="s">
        <v>3730</v>
      </c>
      <c r="M2874" s="6" t="e">
        <f>INDEX(医院2县区2人!$B$2:$B$1048576,MATCH(L2874,医院2县区2人!$A$2:$A$1048576,0))</f>
        <v>#N/A</v>
      </c>
      <c r="N2874" s="6" t="e">
        <f>INDEX(医院2县区2人!$C$2:$C$1048576,MATCH(L2874,医院2县区2人!$A$2:$A$1048576,0))</f>
        <v>#N/A</v>
      </c>
      <c r="P2874" s="7">
        <v>43280</v>
      </c>
      <c r="Q2874" s="6">
        <v>150</v>
      </c>
      <c r="S2874" s="6">
        <v>1706172</v>
      </c>
      <c r="T2874" s="6" t="e">
        <f>INDEX(医院2县区2人!$D$2:$D$1048576,MATCH(L2874,医院2县区2人!$A$2:$A$1048576,0))</f>
        <v>#N/A</v>
      </c>
      <c r="W2874" s="6" t="str">
        <f t="shared" si="91"/>
        <v>冠心苏合丸30丸</v>
      </c>
      <c r="X2874" s="6" t="s">
        <v>2901</v>
      </c>
    </row>
    <row r="2875" spans="1:24" x14ac:dyDescent="0.15">
      <c r="A2875" s="7" t="str">
        <f t="shared" si="92"/>
        <v>201806</v>
      </c>
      <c r="C2875" s="6" t="str">
        <f>INDEX(工厂基础数据!$A$2:$A$1024,MATCH(X2875,工厂基础数据!$D$2:$D$1024,0))</f>
        <v>02037769</v>
      </c>
      <c r="E2875" s="6" t="str">
        <f>INDEX(工厂基础数据!$B$2:$B$1024,MATCH(X2875,工厂基础数据!$D$2:$D$1024,0))</f>
        <v>山东海川医药有限公司</v>
      </c>
      <c r="F2875" s="6" t="e">
        <f>INDEX(商业2转码!$B$2:$B$10000,MATCH(E2875,商业2转码!$A$2:$A$10000,0))</f>
        <v>#N/A</v>
      </c>
      <c r="G2875" s="6" t="str">
        <f>INDEX(品种2编码!$A$2:$A$1048576,MATCH(W2875,品种2编码!$D$2:$D$1048576,0))</f>
        <v>0020070001ZYZC0383</v>
      </c>
      <c r="H2875" s="6" t="s">
        <v>1849</v>
      </c>
      <c r="I2875" s="6" t="s">
        <v>1850</v>
      </c>
      <c r="J2875" s="6" t="s">
        <v>3038</v>
      </c>
      <c r="L2875" s="6" t="s">
        <v>3730</v>
      </c>
      <c r="M2875" s="6" t="e">
        <f>INDEX(医院2县区2人!$B$2:$B$1048576,MATCH(L2875,医院2县区2人!$A$2:$A$1048576,0))</f>
        <v>#N/A</v>
      </c>
      <c r="N2875" s="6" t="e">
        <f>INDEX(医院2县区2人!$C$2:$C$1048576,MATCH(L2875,医院2县区2人!$A$2:$A$1048576,0))</f>
        <v>#N/A</v>
      </c>
      <c r="P2875" s="7">
        <v>43280</v>
      </c>
      <c r="Q2875" s="6">
        <v>20</v>
      </c>
      <c r="S2875" s="6">
        <v>1802005</v>
      </c>
      <c r="T2875" s="6" t="e">
        <f>INDEX(医院2县区2人!$D$2:$D$1048576,MATCH(L2875,医院2县区2人!$A$2:$A$1048576,0))</f>
        <v>#N/A</v>
      </c>
      <c r="W2875" s="6" t="str">
        <f t="shared" ref="W2875:W2936" si="93">H2875&amp;I2875</f>
        <v>哈药牌钙铁锌口服液10ml*10支</v>
      </c>
      <c r="X2875" s="6" t="s">
        <v>2901</v>
      </c>
    </row>
    <row r="2876" spans="1:24" x14ac:dyDescent="0.15">
      <c r="A2876" s="7" t="str">
        <f t="shared" ref="A2876:A2937" si="94">IF(MONTH(P2876)&lt;10,YEAR(P2876)&amp;"0"&amp;MONTH(P2876),YEAR(P2876)&amp;MONTH(P2876))</f>
        <v>201806</v>
      </c>
      <c r="C2876" s="6" t="str">
        <f>INDEX(工厂基础数据!$A$2:$A$1024,MATCH(X2876,工厂基础数据!$D$2:$D$1024,0))</f>
        <v>02037769</v>
      </c>
      <c r="E2876" s="6" t="str">
        <f>INDEX(工厂基础数据!$B$2:$B$1024,MATCH(X2876,工厂基础数据!$D$2:$D$1024,0))</f>
        <v>山东海川医药有限公司</v>
      </c>
      <c r="F2876" s="6" t="e">
        <f>INDEX(商业2转码!$B$2:$B$10000,MATCH(E2876,商业2转码!$A$2:$A$10000,0))</f>
        <v>#N/A</v>
      </c>
      <c r="G2876" s="6">
        <f>INDEX(品种2编码!$A$2:$A$1048576,MATCH(W2876,品种2编码!$D$2:$D$1048576,0))</f>
        <v>0</v>
      </c>
      <c r="H2876" s="6" t="s">
        <v>1885</v>
      </c>
      <c r="I2876" s="6" t="s">
        <v>1838</v>
      </c>
      <c r="J2876" s="6" t="s">
        <v>3036</v>
      </c>
      <c r="L2876" s="6" t="s">
        <v>3732</v>
      </c>
      <c r="M2876" s="6" t="e">
        <f>INDEX(医院2县区2人!$B$2:$B$1048576,MATCH(L2876,医院2县区2人!$A$2:$A$1048576,0))</f>
        <v>#N/A</v>
      </c>
      <c r="N2876" s="6" t="e">
        <f>INDEX(医院2县区2人!$C$2:$C$1048576,MATCH(L2876,医院2县区2人!$A$2:$A$1048576,0))</f>
        <v>#N/A</v>
      </c>
      <c r="P2876" s="7">
        <v>43280</v>
      </c>
      <c r="Q2876" s="6">
        <v>5</v>
      </c>
      <c r="S2876" s="6">
        <v>180105</v>
      </c>
      <c r="T2876" s="6" t="e">
        <f>INDEX(医院2县区2人!$D$2:$D$1048576,MATCH(L2876,医院2县区2人!$A$2:$A$1048576,0))</f>
        <v>#N/A</v>
      </c>
      <c r="W2876" s="6" t="str">
        <f t="shared" si="93"/>
        <v>新盖中盖高钙片2.5g*36片</v>
      </c>
      <c r="X2876" s="6" t="s">
        <v>2901</v>
      </c>
    </row>
    <row r="2877" spans="1:24" x14ac:dyDescent="0.15">
      <c r="A2877" s="7" t="str">
        <f t="shared" si="94"/>
        <v>201806</v>
      </c>
      <c r="C2877" s="6" t="str">
        <f>INDEX(工厂基础数据!$A$2:$A$1024,MATCH(X2877,工厂基础数据!$D$2:$D$1024,0))</f>
        <v>02037769</v>
      </c>
      <c r="E2877" s="6" t="str">
        <f>INDEX(工厂基础数据!$B$2:$B$1024,MATCH(X2877,工厂基础数据!$D$2:$D$1024,0))</f>
        <v>山东海川医药有限公司</v>
      </c>
      <c r="F2877" s="6" t="e">
        <f>INDEX(商业2转码!$B$2:$B$10000,MATCH(E2877,商业2转码!$A$2:$A$10000,0))</f>
        <v>#N/A</v>
      </c>
      <c r="G2877" s="6">
        <f>INDEX(品种2编码!$A$2:$A$1048576,MATCH(W2877,品种2编码!$D$2:$D$1048576,0))</f>
        <v>0</v>
      </c>
      <c r="H2877" s="6" t="s">
        <v>1885</v>
      </c>
      <c r="I2877" s="6" t="s">
        <v>1838</v>
      </c>
      <c r="J2877" s="6" t="s">
        <v>3036</v>
      </c>
      <c r="L2877" s="6" t="s">
        <v>3730</v>
      </c>
      <c r="M2877" s="6" t="e">
        <f>INDEX(医院2县区2人!$B$2:$B$1048576,MATCH(L2877,医院2县区2人!$A$2:$A$1048576,0))</f>
        <v>#N/A</v>
      </c>
      <c r="N2877" s="6" t="e">
        <f>INDEX(医院2县区2人!$C$2:$C$1048576,MATCH(L2877,医院2县区2人!$A$2:$A$1048576,0))</f>
        <v>#N/A</v>
      </c>
      <c r="P2877" s="7">
        <v>43280</v>
      </c>
      <c r="Q2877" s="6">
        <v>2</v>
      </c>
      <c r="S2877" s="6">
        <v>180105</v>
      </c>
      <c r="T2877" s="6" t="e">
        <f>INDEX(医院2县区2人!$D$2:$D$1048576,MATCH(L2877,医院2县区2人!$A$2:$A$1048576,0))</f>
        <v>#N/A</v>
      </c>
      <c r="W2877" s="6" t="str">
        <f t="shared" si="93"/>
        <v>新盖中盖高钙片2.5g*36片</v>
      </c>
      <c r="X2877" s="6" t="s">
        <v>2901</v>
      </c>
    </row>
    <row r="2878" spans="1:24" x14ac:dyDescent="0.15">
      <c r="A2878" s="7" t="str">
        <f t="shared" si="94"/>
        <v>201806</v>
      </c>
      <c r="C2878" s="6" t="str">
        <f>INDEX(工厂基础数据!$A$2:$A$1024,MATCH(X2878,工厂基础数据!$D$2:$D$1024,0))</f>
        <v>02037769</v>
      </c>
      <c r="E2878" s="6" t="str">
        <f>INDEX(工厂基础数据!$B$2:$B$1024,MATCH(X2878,工厂基础数据!$D$2:$D$1024,0))</f>
        <v>山东海川医药有限公司</v>
      </c>
      <c r="F2878" s="6" t="e">
        <f>INDEX(商业2转码!$B$2:$B$10000,MATCH(E2878,商业2转码!$A$2:$A$10000,0))</f>
        <v>#N/A</v>
      </c>
      <c r="G2878" s="6">
        <f>INDEX(品种2编码!$A$2:$A$1048576,MATCH(W2878,品种2编码!$D$2:$D$1048576,0))</f>
        <v>0</v>
      </c>
      <c r="H2878" s="6" t="s">
        <v>3739</v>
      </c>
      <c r="I2878" s="6" t="s">
        <v>1910</v>
      </c>
      <c r="J2878" s="6" t="s">
        <v>3037</v>
      </c>
      <c r="L2878" s="6" t="s">
        <v>3730</v>
      </c>
      <c r="M2878" s="6" t="e">
        <f>INDEX(医院2县区2人!$B$2:$B$1048576,MATCH(L2878,医院2县区2人!$A$2:$A$1048576,0))</f>
        <v>#N/A</v>
      </c>
      <c r="N2878" s="6" t="e">
        <f>INDEX(医院2县区2人!$C$2:$C$1048576,MATCH(L2878,医院2县区2人!$A$2:$A$1048576,0))</f>
        <v>#N/A</v>
      </c>
      <c r="P2878" s="7">
        <v>43280</v>
      </c>
      <c r="Q2878" s="6">
        <v>2</v>
      </c>
      <c r="S2878" s="6">
        <v>1711301</v>
      </c>
      <c r="T2878" s="6" t="e">
        <f>INDEX(医院2县区2人!$D$2:$D$1048576,MATCH(L2878,医院2县区2人!$A$2:$A$1048576,0))</f>
        <v>#N/A</v>
      </c>
      <c r="W2878" s="6" t="str">
        <f t="shared" si="93"/>
        <v>牛黄消炎片 24片</v>
      </c>
      <c r="X2878" s="6" t="s">
        <v>2901</v>
      </c>
    </row>
    <row r="2879" spans="1:24" x14ac:dyDescent="0.15">
      <c r="A2879" s="7" t="str">
        <f t="shared" si="94"/>
        <v>201806</v>
      </c>
      <c r="C2879" s="6" t="str">
        <f>INDEX(工厂基础数据!$A$2:$A$1024,MATCH(X2879,工厂基础数据!$D$2:$D$1024,0))</f>
        <v>02037769</v>
      </c>
      <c r="E2879" s="6" t="str">
        <f>INDEX(工厂基础数据!$B$2:$B$1024,MATCH(X2879,工厂基础数据!$D$2:$D$1024,0))</f>
        <v>山东海川医药有限公司</v>
      </c>
      <c r="F2879" s="6" t="e">
        <f>INDEX(商业2转码!$B$2:$B$10000,MATCH(E2879,商业2转码!$A$2:$A$10000,0))</f>
        <v>#N/A</v>
      </c>
      <c r="G2879" s="6" t="str">
        <f>INDEX(品种2编码!$A$2:$A$1048576,MATCH(W2879,品种2编码!$D$2:$D$1048576,0))</f>
        <v>0020030001SJZY0006</v>
      </c>
      <c r="H2879" s="6" t="s">
        <v>1833</v>
      </c>
      <c r="I2879" s="6" t="s">
        <v>411</v>
      </c>
      <c r="J2879" s="6" t="s">
        <v>3044</v>
      </c>
      <c r="L2879" s="6" t="s">
        <v>3677</v>
      </c>
      <c r="M2879" s="6" t="e">
        <f>INDEX(医院2县区2人!$B$2:$B$1048576,MATCH(L2879,医院2县区2人!$A$2:$A$1048576,0))</f>
        <v>#N/A</v>
      </c>
      <c r="N2879" s="6" t="e">
        <f>INDEX(医院2县区2人!$C$2:$C$1048576,MATCH(L2879,医院2县区2人!$A$2:$A$1048576,0))</f>
        <v>#N/A</v>
      </c>
      <c r="P2879" s="7">
        <v>43280</v>
      </c>
      <c r="Q2879" s="6">
        <v>2</v>
      </c>
      <c r="S2879" s="6">
        <v>18030532</v>
      </c>
      <c r="T2879" s="6" t="e">
        <f>INDEX(医院2县区2人!$D$2:$D$1048576,MATCH(L2879,医院2县区2人!$A$2:$A$1048576,0))</f>
        <v>#N/A</v>
      </c>
      <c r="W2879" s="6" t="str">
        <f t="shared" si="93"/>
        <v>葡萄糖酸钙口服溶液10ml*12支</v>
      </c>
      <c r="X2879" s="6" t="s">
        <v>2901</v>
      </c>
    </row>
    <row r="2880" spans="1:24" x14ac:dyDescent="0.15">
      <c r="A2880" s="7" t="str">
        <f t="shared" si="94"/>
        <v>201806</v>
      </c>
      <c r="C2880" s="6" t="str">
        <f>INDEX(工厂基础数据!$A$2:$A$1024,MATCH(X2880,工厂基础数据!$D$2:$D$1024,0))</f>
        <v>02037769</v>
      </c>
      <c r="E2880" s="6" t="str">
        <f>INDEX(工厂基础数据!$B$2:$B$1024,MATCH(X2880,工厂基础数据!$D$2:$D$1024,0))</f>
        <v>山东海川医药有限公司</v>
      </c>
      <c r="F2880" s="6" t="e">
        <f>INDEX(商业2转码!$B$2:$B$10000,MATCH(E2880,商业2转码!$A$2:$A$10000,0))</f>
        <v>#N/A</v>
      </c>
      <c r="G2880" s="6" t="str">
        <f>INDEX(品种2编码!$A$2:$A$1048576,MATCH(W2880,品种2编码!$D$2:$D$1048576,0))</f>
        <v>0020030001SJZY0009</v>
      </c>
      <c r="H2880" s="6" t="s">
        <v>1949</v>
      </c>
      <c r="I2880" s="6" t="s">
        <v>411</v>
      </c>
      <c r="J2880" s="6" t="s">
        <v>3040</v>
      </c>
      <c r="L2880" s="6" t="s">
        <v>3677</v>
      </c>
      <c r="M2880" s="6" t="e">
        <f>INDEX(医院2县区2人!$B$2:$B$1048576,MATCH(L2880,医院2县区2人!$A$2:$A$1048576,0))</f>
        <v>#N/A</v>
      </c>
      <c r="N2880" s="6" t="e">
        <f>INDEX(医院2县区2人!$C$2:$C$1048576,MATCH(L2880,医院2县区2人!$A$2:$A$1048576,0))</f>
        <v>#N/A</v>
      </c>
      <c r="P2880" s="7">
        <v>43280</v>
      </c>
      <c r="Q2880" s="6">
        <v>2</v>
      </c>
      <c r="S2880" s="6">
        <v>18031227</v>
      </c>
      <c r="T2880" s="6" t="e">
        <f>INDEX(医院2县区2人!$D$2:$D$1048576,MATCH(L2880,医院2县区2人!$A$2:$A$1048576,0))</f>
        <v>#N/A</v>
      </c>
      <c r="W2880" s="6" t="str">
        <f t="shared" si="93"/>
        <v>葡萄糖酸锌口服溶液10ml*12支</v>
      </c>
      <c r="X2880" s="6" t="s">
        <v>2901</v>
      </c>
    </row>
    <row r="2881" spans="1:24" x14ac:dyDescent="0.15">
      <c r="A2881" s="7" t="str">
        <f t="shared" si="94"/>
        <v>201806</v>
      </c>
      <c r="C2881" s="6" t="str">
        <f>INDEX(工厂基础数据!$A$2:$A$1024,MATCH(X2881,工厂基础数据!$D$2:$D$1024,0))</f>
        <v>02037769</v>
      </c>
      <c r="E2881" s="6" t="str">
        <f>INDEX(工厂基础数据!$B$2:$B$1024,MATCH(X2881,工厂基础数据!$D$2:$D$1024,0))</f>
        <v>山东海川医药有限公司</v>
      </c>
      <c r="F2881" s="6" t="e">
        <f>INDEX(商业2转码!$B$2:$B$10000,MATCH(E2881,商业2转码!$A$2:$A$10000,0))</f>
        <v>#N/A</v>
      </c>
      <c r="G2881" s="6" t="str">
        <f>INDEX(品种2编码!$A$2:$A$1048576,MATCH(W2881,品种2编码!$D$2:$D$1048576,0))</f>
        <v>0020030020ZYLC0013</v>
      </c>
      <c r="H2881" s="6" t="s">
        <v>591</v>
      </c>
      <c r="I2881" s="6" t="s">
        <v>1839</v>
      </c>
      <c r="J2881" s="6" t="s">
        <v>3036</v>
      </c>
      <c r="L2881" s="6" t="s">
        <v>3730</v>
      </c>
      <c r="M2881" s="6" t="e">
        <f>INDEX(医院2县区2人!$B$2:$B$1048576,MATCH(L2881,医院2县区2人!$A$2:$A$1048576,0))</f>
        <v>#N/A</v>
      </c>
      <c r="N2881" s="6" t="e">
        <f>INDEX(医院2县区2人!$C$2:$C$1048576,MATCH(L2881,医院2县区2人!$A$2:$A$1048576,0))</f>
        <v>#N/A</v>
      </c>
      <c r="P2881" s="7">
        <v>43280</v>
      </c>
      <c r="Q2881" s="6">
        <v>10</v>
      </c>
      <c r="S2881" s="6">
        <v>180302</v>
      </c>
      <c r="T2881" s="6" t="e">
        <f>INDEX(医院2县区2人!$D$2:$D$1048576,MATCH(L2881,医院2县区2人!$A$2:$A$1048576,0))</f>
        <v>#N/A</v>
      </c>
      <c r="W2881" s="6" t="str">
        <f t="shared" si="93"/>
        <v>乳酸菌素片0.4g*36片</v>
      </c>
      <c r="X2881" s="6" t="s">
        <v>2901</v>
      </c>
    </row>
    <row r="2882" spans="1:24" x14ac:dyDescent="0.15">
      <c r="A2882" s="7" t="str">
        <f t="shared" si="94"/>
        <v>201806</v>
      </c>
      <c r="C2882" s="6" t="str">
        <f>INDEX(工厂基础数据!$A$2:$A$1024,MATCH(X2882,工厂基础数据!$D$2:$D$1024,0))</f>
        <v>02037769</v>
      </c>
      <c r="E2882" s="6" t="str">
        <f>INDEX(工厂基础数据!$B$2:$B$1024,MATCH(X2882,工厂基础数据!$D$2:$D$1024,0))</f>
        <v>山东海川医药有限公司</v>
      </c>
      <c r="F2882" s="6" t="e">
        <f>INDEX(商业2转码!$B$2:$B$10000,MATCH(E2882,商业2转码!$A$2:$A$10000,0))</f>
        <v>#N/A</v>
      </c>
      <c r="G2882" s="6" t="str">
        <f>INDEX(品种2编码!$A$2:$A$1048576,MATCH(W2882,品种2编码!$D$2:$D$1048576,0))</f>
        <v>0020030040ZYLC0001</v>
      </c>
      <c r="H2882" s="6" t="s">
        <v>1953</v>
      </c>
      <c r="I2882" s="6" t="s">
        <v>1954</v>
      </c>
      <c r="J2882" s="6" t="s">
        <v>3036</v>
      </c>
      <c r="L2882" s="6" t="s">
        <v>3730</v>
      </c>
      <c r="M2882" s="6" t="e">
        <f>INDEX(医院2县区2人!$B$2:$B$1048576,MATCH(L2882,医院2县区2人!$A$2:$A$1048576,0))</f>
        <v>#N/A</v>
      </c>
      <c r="N2882" s="6" t="e">
        <f>INDEX(医院2县区2人!$C$2:$C$1048576,MATCH(L2882,医院2县区2人!$A$2:$A$1048576,0))</f>
        <v>#N/A</v>
      </c>
      <c r="P2882" s="7">
        <v>43280</v>
      </c>
      <c r="Q2882" s="6">
        <v>30</v>
      </c>
      <c r="S2882" s="6">
        <v>180137</v>
      </c>
      <c r="T2882" s="6" t="e">
        <f>INDEX(医院2县区2人!$D$2:$D$1048576,MATCH(L2882,医院2县区2人!$A$2:$A$1048576,0))</f>
        <v>#N/A</v>
      </c>
      <c r="W2882" s="6" t="str">
        <f t="shared" si="93"/>
        <v>小儿氨酚黄那敏颗粒12袋</v>
      </c>
      <c r="X2882" s="6" t="s">
        <v>2901</v>
      </c>
    </row>
    <row r="2883" spans="1:24" x14ac:dyDescent="0.15">
      <c r="A2883" s="7" t="str">
        <f t="shared" si="94"/>
        <v>201806</v>
      </c>
      <c r="C2883" s="6" t="str">
        <f>INDEX(工厂基础数据!$A$2:$A$1024,MATCH(X2883,工厂基础数据!$D$2:$D$1024,0))</f>
        <v>02037769</v>
      </c>
      <c r="E2883" s="6" t="str">
        <f>INDEX(工厂基础数据!$B$2:$B$1024,MATCH(X2883,工厂基础数据!$D$2:$D$1024,0))</f>
        <v>山东海川医药有限公司</v>
      </c>
      <c r="F2883" s="6" t="e">
        <f>INDEX(商业2转码!$B$2:$B$10000,MATCH(E2883,商业2转码!$A$2:$A$10000,0))</f>
        <v>#N/A</v>
      </c>
      <c r="G2883" s="6" t="str">
        <f>INDEX(品种2编码!$A$2:$A$1048576,MATCH(W2883,品种2编码!$D$2:$D$1048576,0))</f>
        <v>0020030001SJZY0006</v>
      </c>
      <c r="H2883" s="6" t="s">
        <v>1833</v>
      </c>
      <c r="I2883" s="6" t="s">
        <v>411</v>
      </c>
      <c r="J2883" s="6" t="s">
        <v>3044</v>
      </c>
      <c r="L2883" s="6" t="s">
        <v>3733</v>
      </c>
      <c r="M2883" s="6" t="e">
        <f>INDEX(医院2县区2人!$B$2:$B$1048576,MATCH(L2883,医院2县区2人!$A$2:$A$1048576,0))</f>
        <v>#N/A</v>
      </c>
      <c r="N2883" s="6" t="e">
        <f>INDEX(医院2县区2人!$C$2:$C$1048576,MATCH(L2883,医院2县区2人!$A$2:$A$1048576,0))</f>
        <v>#N/A</v>
      </c>
      <c r="P2883" s="7">
        <v>43280</v>
      </c>
      <c r="Q2883" s="6">
        <v>20</v>
      </c>
      <c r="S2883" s="6">
        <v>18030532</v>
      </c>
      <c r="T2883" s="6" t="e">
        <f>INDEX(医院2县区2人!$D$2:$D$1048576,MATCH(L2883,医院2县区2人!$A$2:$A$1048576,0))</f>
        <v>#N/A</v>
      </c>
      <c r="W2883" s="6" t="str">
        <f t="shared" si="93"/>
        <v>葡萄糖酸钙口服溶液10ml*12支</v>
      </c>
      <c r="X2883" s="6" t="s">
        <v>2901</v>
      </c>
    </row>
    <row r="2884" spans="1:24" x14ac:dyDescent="0.15">
      <c r="A2884" s="7" t="str">
        <f t="shared" si="94"/>
        <v>201806</v>
      </c>
      <c r="C2884" s="6" t="str">
        <f>INDEX(工厂基础数据!$A$2:$A$1024,MATCH(X2884,工厂基础数据!$D$2:$D$1024,0))</f>
        <v>02037769</v>
      </c>
      <c r="E2884" s="6" t="str">
        <f>INDEX(工厂基础数据!$B$2:$B$1024,MATCH(X2884,工厂基础数据!$D$2:$D$1024,0))</f>
        <v>山东海川医药有限公司</v>
      </c>
      <c r="F2884" s="6" t="e">
        <f>INDEX(商业2转码!$B$2:$B$10000,MATCH(E2884,商业2转码!$A$2:$A$10000,0))</f>
        <v>#N/A</v>
      </c>
      <c r="G2884" s="6" t="str">
        <f>INDEX(品种2编码!$A$2:$A$1048576,MATCH(W2884,品种2编码!$D$2:$D$1048576,0))</f>
        <v>0020030001SJZY0009</v>
      </c>
      <c r="H2884" s="6" t="s">
        <v>1949</v>
      </c>
      <c r="I2884" s="6" t="s">
        <v>411</v>
      </c>
      <c r="J2884" s="6" t="s">
        <v>3040</v>
      </c>
      <c r="L2884" s="6" t="s">
        <v>3733</v>
      </c>
      <c r="M2884" s="6" t="e">
        <f>INDEX(医院2县区2人!$B$2:$B$1048576,MATCH(L2884,医院2县区2人!$A$2:$A$1048576,0))</f>
        <v>#N/A</v>
      </c>
      <c r="N2884" s="6" t="e">
        <f>INDEX(医院2县区2人!$C$2:$C$1048576,MATCH(L2884,医院2县区2人!$A$2:$A$1048576,0))</f>
        <v>#N/A</v>
      </c>
      <c r="P2884" s="7">
        <v>43280</v>
      </c>
      <c r="Q2884" s="6">
        <v>20</v>
      </c>
      <c r="S2884" s="6">
        <v>18031227</v>
      </c>
      <c r="T2884" s="6" t="e">
        <f>INDEX(医院2县区2人!$D$2:$D$1048576,MATCH(L2884,医院2县区2人!$A$2:$A$1048576,0))</f>
        <v>#N/A</v>
      </c>
      <c r="W2884" s="6" t="str">
        <f t="shared" si="93"/>
        <v>葡萄糖酸锌口服溶液10ml*12支</v>
      </c>
      <c r="X2884" s="6" t="s">
        <v>2901</v>
      </c>
    </row>
    <row r="2885" spans="1:24" x14ac:dyDescent="0.15">
      <c r="A2885" s="7" t="str">
        <f t="shared" si="94"/>
        <v>201806</v>
      </c>
      <c r="C2885" s="6" t="str">
        <f>INDEX(工厂基础数据!$A$2:$A$1024,MATCH(X2885,工厂基础数据!$D$2:$D$1024,0))</f>
        <v>02037769</v>
      </c>
      <c r="E2885" s="6" t="str">
        <f>INDEX(工厂基础数据!$B$2:$B$1024,MATCH(X2885,工厂基础数据!$D$2:$D$1024,0))</f>
        <v>山东海川医药有限公司</v>
      </c>
      <c r="F2885" s="6" t="e">
        <f>INDEX(商业2转码!$B$2:$B$10000,MATCH(E2885,商业2转码!$A$2:$A$10000,0))</f>
        <v>#N/A</v>
      </c>
      <c r="G2885" s="6" t="str">
        <f>INDEX(品种2编码!$A$2:$A$1048576,MATCH(W2885,品种2编码!$D$2:$D$1048576,0))</f>
        <v>0020070001ZYZC0383</v>
      </c>
      <c r="H2885" s="6" t="s">
        <v>1849</v>
      </c>
      <c r="I2885" s="6" t="s">
        <v>1850</v>
      </c>
      <c r="J2885" s="6" t="s">
        <v>3038</v>
      </c>
      <c r="L2885" s="6" t="s">
        <v>3733</v>
      </c>
      <c r="M2885" s="6" t="e">
        <f>INDEX(医院2县区2人!$B$2:$B$1048576,MATCH(L2885,医院2县区2人!$A$2:$A$1048576,0))</f>
        <v>#N/A</v>
      </c>
      <c r="N2885" s="6" t="e">
        <f>INDEX(医院2县区2人!$C$2:$C$1048576,MATCH(L2885,医院2县区2人!$A$2:$A$1048576,0))</f>
        <v>#N/A</v>
      </c>
      <c r="P2885" s="7">
        <v>43280</v>
      </c>
      <c r="Q2885" s="6">
        <v>20</v>
      </c>
      <c r="S2885" s="6">
        <v>1802005</v>
      </c>
      <c r="T2885" s="6" t="e">
        <f>INDEX(医院2县区2人!$D$2:$D$1048576,MATCH(L2885,医院2县区2人!$A$2:$A$1048576,0))</f>
        <v>#N/A</v>
      </c>
      <c r="W2885" s="6" t="str">
        <f t="shared" si="93"/>
        <v>哈药牌钙铁锌口服液10ml*10支</v>
      </c>
      <c r="X2885" s="6" t="s">
        <v>2901</v>
      </c>
    </row>
    <row r="2886" spans="1:24" x14ac:dyDescent="0.15">
      <c r="A2886" s="7" t="str">
        <f t="shared" si="94"/>
        <v>201806</v>
      </c>
      <c r="C2886" s="6" t="str">
        <f>INDEX(工厂基础数据!$A$2:$A$1024,MATCH(X2886,工厂基础数据!$D$2:$D$1024,0))</f>
        <v>02037769</v>
      </c>
      <c r="E2886" s="6" t="str">
        <f>INDEX(工厂基础数据!$B$2:$B$1024,MATCH(X2886,工厂基础数据!$D$2:$D$1024,0))</f>
        <v>山东海川医药有限公司</v>
      </c>
      <c r="F2886" s="6" t="e">
        <f>INDEX(商业2转码!$B$2:$B$10000,MATCH(E2886,商业2转码!$A$2:$A$10000,0))</f>
        <v>#N/A</v>
      </c>
      <c r="G2886" s="6" t="str">
        <f>INDEX(品种2编码!$A$2:$A$1048576,MATCH(W2886,品种2编码!$D$2:$D$1048576,0))</f>
        <v>0020030170ZYEC0003</v>
      </c>
      <c r="H2886" s="6" t="s">
        <v>1835</v>
      </c>
      <c r="I2886" s="6" t="s">
        <v>1836</v>
      </c>
      <c r="J2886" s="6" t="s">
        <v>3041</v>
      </c>
      <c r="L2886" s="6" t="s">
        <v>3733</v>
      </c>
      <c r="M2886" s="6" t="e">
        <f>INDEX(医院2县区2人!$B$2:$B$1048576,MATCH(L2886,医院2县区2人!$A$2:$A$1048576,0))</f>
        <v>#N/A</v>
      </c>
      <c r="N2886" s="6" t="e">
        <f>INDEX(医院2县区2人!$C$2:$C$1048576,MATCH(L2886,医院2县区2人!$A$2:$A$1048576,0))</f>
        <v>#N/A</v>
      </c>
      <c r="P2886" s="7">
        <v>43280</v>
      </c>
      <c r="Q2886" s="6">
        <v>15</v>
      </c>
      <c r="S2886" s="6">
        <v>171209</v>
      </c>
      <c r="T2886" s="6" t="e">
        <f>INDEX(医院2县区2人!$D$2:$D$1048576,MATCH(L2886,医院2县区2人!$A$2:$A$1048576,0))</f>
        <v>#N/A</v>
      </c>
      <c r="W2886" s="6" t="str">
        <f t="shared" si="93"/>
        <v>蒙脱石散3g*12袋</v>
      </c>
      <c r="X2886" s="6" t="s">
        <v>2901</v>
      </c>
    </row>
    <row r="2887" spans="1:24" x14ac:dyDescent="0.15">
      <c r="A2887" s="7" t="str">
        <f t="shared" si="94"/>
        <v>201806</v>
      </c>
      <c r="C2887" s="6" t="str">
        <f>INDEX(工厂基础数据!$A$2:$A$1024,MATCH(X2887,工厂基础数据!$D$2:$D$1024,0))</f>
        <v>02037769</v>
      </c>
      <c r="E2887" s="6" t="str">
        <f>INDEX(工厂基础数据!$B$2:$B$1024,MATCH(X2887,工厂基础数据!$D$2:$D$1024,0))</f>
        <v>山东海川医药有限公司</v>
      </c>
      <c r="F2887" s="6" t="e">
        <f>INDEX(商业2转码!$B$2:$B$10000,MATCH(E2887,商业2转码!$A$2:$A$10000,0))</f>
        <v>#N/A</v>
      </c>
      <c r="G2887" s="6" t="str">
        <f>INDEX(品种2编码!$A$2:$A$1048576,MATCH(W2887,品种2编码!$D$2:$D$1048576,0))</f>
        <v>0020070001ZYZC0377</v>
      </c>
      <c r="H2887" s="6" t="s">
        <v>1849</v>
      </c>
      <c r="I2887" s="6" t="s">
        <v>1887</v>
      </c>
      <c r="J2887" s="6" t="s">
        <v>3038</v>
      </c>
      <c r="L2887" s="6" t="s">
        <v>3734</v>
      </c>
      <c r="M2887" s="6" t="e">
        <f>INDEX(医院2县区2人!$B$2:$B$1048576,MATCH(L2887,医院2县区2人!$A$2:$A$1048576,0))</f>
        <v>#N/A</v>
      </c>
      <c r="N2887" s="6" t="e">
        <f>INDEX(医院2县区2人!$C$2:$C$1048576,MATCH(L2887,医院2县区2人!$A$2:$A$1048576,0))</f>
        <v>#N/A</v>
      </c>
      <c r="P2887" s="7">
        <v>43280</v>
      </c>
      <c r="Q2887" s="6">
        <v>10</v>
      </c>
      <c r="S2887" s="6">
        <v>1801042</v>
      </c>
      <c r="T2887" s="6" t="e">
        <f>INDEX(医院2县区2人!$D$2:$D$1048576,MATCH(L2887,医院2县区2人!$A$2:$A$1048576,0))</f>
        <v>#N/A</v>
      </c>
      <c r="W2887" s="6" t="str">
        <f t="shared" si="93"/>
        <v>哈药牌钙铁锌口服液10ml*15支</v>
      </c>
      <c r="X2887" s="6" t="s">
        <v>2901</v>
      </c>
    </row>
    <row r="2888" spans="1:24" x14ac:dyDescent="0.15">
      <c r="A2888" s="7" t="str">
        <f t="shared" si="94"/>
        <v>201806</v>
      </c>
      <c r="C2888" s="6" t="str">
        <f>INDEX(工厂基础数据!$A$2:$A$1024,MATCH(X2888,工厂基础数据!$D$2:$D$1024,0))</f>
        <v>02037769</v>
      </c>
      <c r="E2888" s="6" t="str">
        <f>INDEX(工厂基础数据!$B$2:$B$1024,MATCH(X2888,工厂基础数据!$D$2:$D$1024,0))</f>
        <v>山东海川医药有限公司</v>
      </c>
      <c r="F2888" s="6" t="e">
        <f>INDEX(商业2转码!$B$2:$B$10000,MATCH(E2888,商业2转码!$A$2:$A$10000,0))</f>
        <v>#N/A</v>
      </c>
      <c r="G2888" s="6" t="str">
        <f>INDEX(品种2编码!$A$2:$A$1048576,MATCH(W2888,品种2编码!$D$2:$D$1048576,0))</f>
        <v>0020040220SHYT0004</v>
      </c>
      <c r="H2888" s="6" t="s">
        <v>1857</v>
      </c>
      <c r="I2888" s="6" t="s">
        <v>1956</v>
      </c>
      <c r="J2888" s="6" t="s">
        <v>3037</v>
      </c>
      <c r="L2888" s="6" t="s">
        <v>3734</v>
      </c>
      <c r="M2888" s="6" t="e">
        <f>INDEX(医院2县区2人!$B$2:$B$1048576,MATCH(L2888,医院2县区2人!$A$2:$A$1048576,0))</f>
        <v>#N/A</v>
      </c>
      <c r="N2888" s="6" t="e">
        <f>INDEX(医院2县区2人!$C$2:$C$1048576,MATCH(L2888,医院2县区2人!$A$2:$A$1048576,0))</f>
        <v>#N/A</v>
      </c>
      <c r="P2888" s="7">
        <v>43280</v>
      </c>
      <c r="Q2888" s="6">
        <v>5</v>
      </c>
      <c r="S2888" s="6">
        <v>1705420</v>
      </c>
      <c r="T2888" s="6" t="e">
        <f>INDEX(医院2县区2人!$D$2:$D$1048576,MATCH(L2888,医院2县区2人!$A$2:$A$1048576,0))</f>
        <v>#N/A</v>
      </c>
      <c r="W2888" s="6" t="str">
        <f t="shared" si="93"/>
        <v>妇宁栓1.6g*8粒</v>
      </c>
      <c r="X2888" s="6" t="s">
        <v>2901</v>
      </c>
    </row>
    <row r="2889" spans="1:24" x14ac:dyDescent="0.15">
      <c r="A2889" s="7" t="str">
        <f t="shared" si="94"/>
        <v>201806</v>
      </c>
      <c r="C2889" s="6" t="str">
        <f>INDEX(工厂基础数据!$A$2:$A$1024,MATCH(X2889,工厂基础数据!$D$2:$D$1024,0))</f>
        <v>02037769</v>
      </c>
      <c r="E2889" s="6" t="str">
        <f>INDEX(工厂基础数据!$B$2:$B$1024,MATCH(X2889,工厂基础数据!$D$2:$D$1024,0))</f>
        <v>山东海川医药有限公司</v>
      </c>
      <c r="F2889" s="6" t="e">
        <f>INDEX(商业2转码!$B$2:$B$10000,MATCH(E2889,商业2转码!$A$2:$A$10000,0))</f>
        <v>#N/A</v>
      </c>
      <c r="G2889" s="6" t="str">
        <f>INDEX(品种2编码!$A$2:$A$1048576,MATCH(W2889,品种2编码!$D$2:$D$1048576,0))</f>
        <v>0020030001SJZY0006</v>
      </c>
      <c r="H2889" s="6" t="s">
        <v>1833</v>
      </c>
      <c r="I2889" s="6" t="s">
        <v>411</v>
      </c>
      <c r="J2889" s="6" t="s">
        <v>3044</v>
      </c>
      <c r="L2889" s="6" t="s">
        <v>3734</v>
      </c>
      <c r="M2889" s="6" t="e">
        <f>INDEX(医院2县区2人!$B$2:$B$1048576,MATCH(L2889,医院2县区2人!$A$2:$A$1048576,0))</f>
        <v>#N/A</v>
      </c>
      <c r="N2889" s="6" t="e">
        <f>INDEX(医院2县区2人!$C$2:$C$1048576,MATCH(L2889,医院2县区2人!$A$2:$A$1048576,0))</f>
        <v>#N/A</v>
      </c>
      <c r="P2889" s="7">
        <v>43280</v>
      </c>
      <c r="Q2889" s="6">
        <v>10</v>
      </c>
      <c r="S2889" s="6">
        <v>18030532</v>
      </c>
      <c r="T2889" s="6" t="e">
        <f>INDEX(医院2县区2人!$D$2:$D$1048576,MATCH(L2889,医院2县区2人!$A$2:$A$1048576,0))</f>
        <v>#N/A</v>
      </c>
      <c r="W2889" s="6" t="str">
        <f t="shared" si="93"/>
        <v>葡萄糖酸钙口服溶液10ml*12支</v>
      </c>
      <c r="X2889" s="6" t="s">
        <v>2901</v>
      </c>
    </row>
    <row r="2890" spans="1:24" x14ac:dyDescent="0.15">
      <c r="A2890" s="7" t="str">
        <f t="shared" si="94"/>
        <v>201806</v>
      </c>
      <c r="C2890" s="6" t="str">
        <f>INDEX(工厂基础数据!$A$2:$A$1024,MATCH(X2890,工厂基础数据!$D$2:$D$1024,0))</f>
        <v>02037769</v>
      </c>
      <c r="E2890" s="6" t="str">
        <f>INDEX(工厂基础数据!$B$2:$B$1024,MATCH(X2890,工厂基础数据!$D$2:$D$1024,0))</f>
        <v>山东海川医药有限公司</v>
      </c>
      <c r="F2890" s="6" t="e">
        <f>INDEX(商业2转码!$B$2:$B$10000,MATCH(E2890,商业2转码!$A$2:$A$10000,0))</f>
        <v>#N/A</v>
      </c>
      <c r="G2890" s="6">
        <f>INDEX(品种2编码!$A$2:$A$1048576,MATCH(W2890,品种2编码!$D$2:$D$1048576,0))</f>
        <v>0</v>
      </c>
      <c r="H2890" s="6" t="s">
        <v>461</v>
      </c>
      <c r="I2890" s="6" t="s">
        <v>3753</v>
      </c>
      <c r="J2890" s="6" t="s">
        <v>3756</v>
      </c>
      <c r="L2890" s="6" t="s">
        <v>3735</v>
      </c>
      <c r="M2890" s="6" t="e">
        <f>INDEX(医院2县区2人!$B$2:$B$1048576,MATCH(L2890,医院2县区2人!$A$2:$A$1048576,0))</f>
        <v>#N/A</v>
      </c>
      <c r="N2890" s="6" t="e">
        <f>INDEX(医院2县区2人!$C$2:$C$1048576,MATCH(L2890,医院2县区2人!$A$2:$A$1048576,0))</f>
        <v>#N/A</v>
      </c>
      <c r="P2890" s="7">
        <v>43280</v>
      </c>
      <c r="Q2890" s="6">
        <v>50</v>
      </c>
      <c r="S2890" s="6">
        <v>1803003</v>
      </c>
      <c r="T2890" s="6" t="e">
        <f>INDEX(医院2县区2人!$D$2:$D$1048576,MATCH(L2890,医院2县区2人!$A$2:$A$1048576,0))</f>
        <v>#N/A</v>
      </c>
      <c r="W2890" s="6" t="str">
        <f t="shared" si="93"/>
        <v xml:space="preserve">菊梅利咽含片1.2g*18片 </v>
      </c>
      <c r="X2890" s="6" t="s">
        <v>2901</v>
      </c>
    </row>
    <row r="2891" spans="1:24" x14ac:dyDescent="0.15">
      <c r="A2891" s="7" t="str">
        <f t="shared" si="94"/>
        <v>201806</v>
      </c>
      <c r="C2891" s="6" t="str">
        <f>INDEX(工厂基础数据!$A$2:$A$1024,MATCH(X2891,工厂基础数据!$D$2:$D$1024,0))</f>
        <v>02037769</v>
      </c>
      <c r="E2891" s="6" t="str">
        <f>INDEX(工厂基础数据!$B$2:$B$1024,MATCH(X2891,工厂基础数据!$D$2:$D$1024,0))</f>
        <v>山东海川医药有限公司</v>
      </c>
      <c r="F2891" s="6" t="e">
        <f>INDEX(商业2转码!$B$2:$B$10000,MATCH(E2891,商业2转码!$A$2:$A$10000,0))</f>
        <v>#N/A</v>
      </c>
      <c r="G2891" s="6">
        <f>INDEX(品种2编码!$A$2:$A$1048576,MATCH(W2891,品种2编码!$D$2:$D$1048576,0))</f>
        <v>0</v>
      </c>
      <c r="H2891" s="6" t="s">
        <v>3746</v>
      </c>
      <c r="I2891" s="6" t="s">
        <v>1841</v>
      </c>
      <c r="J2891" s="6" t="s">
        <v>3036</v>
      </c>
      <c r="L2891" s="6" t="s">
        <v>3735</v>
      </c>
      <c r="M2891" s="6" t="e">
        <f>INDEX(医院2县区2人!$B$2:$B$1048576,MATCH(L2891,医院2县区2人!$A$2:$A$1048576,0))</f>
        <v>#N/A</v>
      </c>
      <c r="N2891" s="6" t="e">
        <f>INDEX(医院2县区2人!$C$2:$C$1048576,MATCH(L2891,医院2县区2人!$A$2:$A$1048576,0))</f>
        <v>#N/A</v>
      </c>
      <c r="P2891" s="7">
        <v>43280</v>
      </c>
      <c r="Q2891" s="6">
        <v>10</v>
      </c>
      <c r="S2891" s="6">
        <v>180201</v>
      </c>
      <c r="T2891" s="6" t="e">
        <f>INDEX(医院2县区2人!$D$2:$D$1048576,MATCH(L2891,医院2县区2人!$A$2:$A$1048576,0))</f>
        <v>#N/A</v>
      </c>
      <c r="W2891" s="6" t="str">
        <f t="shared" si="93"/>
        <v>罗红霉素分散片（儿童）50mg*12片</v>
      </c>
      <c r="X2891" s="6" t="s">
        <v>2901</v>
      </c>
    </row>
    <row r="2892" spans="1:24" x14ac:dyDescent="0.15">
      <c r="A2892" s="7" t="str">
        <f t="shared" si="94"/>
        <v>201806</v>
      </c>
      <c r="C2892" s="6" t="str">
        <f>INDEX(工厂基础数据!$A$2:$A$1024,MATCH(X2892,工厂基础数据!$D$2:$D$1024,0))</f>
        <v>02037769</v>
      </c>
      <c r="E2892" s="6" t="str">
        <f>INDEX(工厂基础数据!$B$2:$B$1024,MATCH(X2892,工厂基础数据!$D$2:$D$1024,0))</f>
        <v>山东海川医药有限公司</v>
      </c>
      <c r="F2892" s="6" t="e">
        <f>INDEX(商业2转码!$B$2:$B$10000,MATCH(E2892,商业2转码!$A$2:$A$10000,0))</f>
        <v>#N/A</v>
      </c>
      <c r="G2892" s="6">
        <f>INDEX(品种2编码!$A$2:$A$1048576,MATCH(W2892,品种2编码!$D$2:$D$1048576,0))</f>
        <v>0</v>
      </c>
      <c r="H2892" s="6" t="s">
        <v>1864</v>
      </c>
      <c r="I2892" s="6" t="s">
        <v>3333</v>
      </c>
      <c r="J2892" s="6" t="s">
        <v>3037</v>
      </c>
      <c r="L2892" s="6" t="s">
        <v>3735</v>
      </c>
      <c r="M2892" s="6" t="e">
        <f>INDEX(医院2县区2人!$B$2:$B$1048576,MATCH(L2892,医院2县区2人!$A$2:$A$1048576,0))</f>
        <v>#N/A</v>
      </c>
      <c r="N2892" s="6" t="e">
        <f>INDEX(医院2县区2人!$C$2:$C$1048576,MATCH(L2892,医院2县区2人!$A$2:$A$1048576,0))</f>
        <v>#N/A</v>
      </c>
      <c r="P2892" s="7">
        <v>43280</v>
      </c>
      <c r="Q2892" s="6">
        <v>30</v>
      </c>
      <c r="S2892" s="6">
        <v>1801504</v>
      </c>
      <c r="T2892" s="6" t="e">
        <f>INDEX(医院2县区2人!$D$2:$D$1048576,MATCH(L2892,医院2县区2人!$A$2:$A$1048576,0))</f>
        <v>#N/A</v>
      </c>
      <c r="W2892" s="6" t="str">
        <f t="shared" si="93"/>
        <v>复方金银花颗粒10克*10袋</v>
      </c>
      <c r="X2892" s="6" t="s">
        <v>2901</v>
      </c>
    </row>
    <row r="2893" spans="1:24" x14ac:dyDescent="0.15">
      <c r="A2893" s="7" t="str">
        <f t="shared" si="94"/>
        <v>201806</v>
      </c>
      <c r="C2893" s="6" t="str">
        <f>INDEX(工厂基础数据!$A$2:$A$1024,MATCH(X2893,工厂基础数据!$D$2:$D$1024,0))</f>
        <v>02037769</v>
      </c>
      <c r="E2893" s="6" t="str">
        <f>INDEX(工厂基础数据!$B$2:$B$1024,MATCH(X2893,工厂基础数据!$D$2:$D$1024,0))</f>
        <v>山东海川医药有限公司</v>
      </c>
      <c r="F2893" s="6" t="e">
        <f>INDEX(商业2转码!$B$2:$B$10000,MATCH(E2893,商业2转码!$A$2:$A$10000,0))</f>
        <v>#N/A</v>
      </c>
      <c r="G2893" s="6" t="str">
        <f>INDEX(品种2编码!$A$2:$A$1048576,MATCH(W2893,品种2编码!$D$2:$D$1048576,0))</f>
        <v>0020040220SHYT0004</v>
      </c>
      <c r="H2893" s="6" t="s">
        <v>1857</v>
      </c>
      <c r="I2893" s="6" t="s">
        <v>1956</v>
      </c>
      <c r="J2893" s="6" t="s">
        <v>3037</v>
      </c>
      <c r="L2893" s="6" t="s">
        <v>3735</v>
      </c>
      <c r="M2893" s="6" t="e">
        <f>INDEX(医院2县区2人!$B$2:$B$1048576,MATCH(L2893,医院2县区2人!$A$2:$A$1048576,0))</f>
        <v>#N/A</v>
      </c>
      <c r="N2893" s="6" t="e">
        <f>INDEX(医院2县区2人!$C$2:$C$1048576,MATCH(L2893,医院2县区2人!$A$2:$A$1048576,0))</f>
        <v>#N/A</v>
      </c>
      <c r="P2893" s="7">
        <v>43280</v>
      </c>
      <c r="Q2893" s="6">
        <v>30</v>
      </c>
      <c r="S2893" s="6">
        <v>1705420</v>
      </c>
      <c r="T2893" s="6" t="e">
        <f>INDEX(医院2县区2人!$D$2:$D$1048576,MATCH(L2893,医院2县区2人!$A$2:$A$1048576,0))</f>
        <v>#N/A</v>
      </c>
      <c r="W2893" s="6" t="str">
        <f t="shared" si="93"/>
        <v>妇宁栓1.6g*8粒</v>
      </c>
      <c r="X2893" s="6" t="s">
        <v>2901</v>
      </c>
    </row>
    <row r="2894" spans="1:24" x14ac:dyDescent="0.15">
      <c r="A2894" s="7" t="str">
        <f t="shared" si="94"/>
        <v>201806</v>
      </c>
      <c r="C2894" s="6" t="str">
        <f>INDEX(工厂基础数据!$A$2:$A$1024,MATCH(X2894,工厂基础数据!$D$2:$D$1024,0))</f>
        <v>02037769</v>
      </c>
      <c r="E2894" s="6" t="str">
        <f>INDEX(工厂基础数据!$B$2:$B$1024,MATCH(X2894,工厂基础数据!$D$2:$D$1024,0))</f>
        <v>山东海川医药有限公司</v>
      </c>
      <c r="F2894" s="6" t="e">
        <f>INDEX(商业2转码!$B$2:$B$10000,MATCH(E2894,商业2转码!$A$2:$A$10000,0))</f>
        <v>#N/A</v>
      </c>
      <c r="G2894" s="6" t="str">
        <f>INDEX(品种2编码!$A$2:$A$1048576,MATCH(W2894,品种2编码!$D$2:$D$1048576,0))</f>
        <v>0020030001SJZY0006</v>
      </c>
      <c r="H2894" s="6" t="s">
        <v>1833</v>
      </c>
      <c r="I2894" s="6" t="s">
        <v>411</v>
      </c>
      <c r="J2894" s="6" t="s">
        <v>3044</v>
      </c>
      <c r="L2894" s="6" t="s">
        <v>3735</v>
      </c>
      <c r="M2894" s="6" t="e">
        <f>INDEX(医院2县区2人!$B$2:$B$1048576,MATCH(L2894,医院2县区2人!$A$2:$A$1048576,0))</f>
        <v>#N/A</v>
      </c>
      <c r="N2894" s="6" t="e">
        <f>INDEX(医院2县区2人!$C$2:$C$1048576,MATCH(L2894,医院2县区2人!$A$2:$A$1048576,0))</f>
        <v>#N/A</v>
      </c>
      <c r="P2894" s="7">
        <v>43280</v>
      </c>
      <c r="Q2894" s="6">
        <v>160</v>
      </c>
      <c r="S2894" s="6">
        <v>18030532</v>
      </c>
      <c r="T2894" s="6" t="e">
        <f>INDEX(医院2县区2人!$D$2:$D$1048576,MATCH(L2894,医院2县区2人!$A$2:$A$1048576,0))</f>
        <v>#N/A</v>
      </c>
      <c r="W2894" s="6" t="str">
        <f t="shared" si="93"/>
        <v>葡萄糖酸钙口服溶液10ml*12支</v>
      </c>
      <c r="X2894" s="6" t="s">
        <v>2901</v>
      </c>
    </row>
    <row r="2895" spans="1:24" x14ac:dyDescent="0.15">
      <c r="A2895" s="7" t="str">
        <f t="shared" si="94"/>
        <v>201806</v>
      </c>
      <c r="C2895" s="6" t="str">
        <f>INDEX(工厂基础数据!$A$2:$A$1024,MATCH(X2895,工厂基础数据!$D$2:$D$1024,0))</f>
        <v>02037769</v>
      </c>
      <c r="E2895" s="6" t="str">
        <f>INDEX(工厂基础数据!$B$2:$B$1024,MATCH(X2895,工厂基础数据!$D$2:$D$1024,0))</f>
        <v>山东海川医药有限公司</v>
      </c>
      <c r="F2895" s="6" t="e">
        <f>INDEX(商业2转码!$B$2:$B$10000,MATCH(E2895,商业2转码!$A$2:$A$10000,0))</f>
        <v>#N/A</v>
      </c>
      <c r="G2895" s="6" t="str">
        <f>INDEX(品种2编码!$A$2:$A$1048576,MATCH(W2895,品种2编码!$D$2:$D$1048576,0))</f>
        <v>0020030001SJZY0009</v>
      </c>
      <c r="H2895" s="6" t="s">
        <v>1949</v>
      </c>
      <c r="I2895" s="6" t="s">
        <v>411</v>
      </c>
      <c r="J2895" s="6" t="s">
        <v>3040</v>
      </c>
      <c r="L2895" s="6" t="s">
        <v>3735</v>
      </c>
      <c r="M2895" s="6" t="e">
        <f>INDEX(医院2县区2人!$B$2:$B$1048576,MATCH(L2895,医院2县区2人!$A$2:$A$1048576,0))</f>
        <v>#N/A</v>
      </c>
      <c r="N2895" s="6" t="e">
        <f>INDEX(医院2县区2人!$C$2:$C$1048576,MATCH(L2895,医院2县区2人!$A$2:$A$1048576,0))</f>
        <v>#N/A</v>
      </c>
      <c r="P2895" s="7">
        <v>43280</v>
      </c>
      <c r="Q2895" s="6">
        <v>160</v>
      </c>
      <c r="S2895" s="6">
        <v>18031227</v>
      </c>
      <c r="T2895" s="6" t="e">
        <f>INDEX(医院2县区2人!$D$2:$D$1048576,MATCH(L2895,医院2县区2人!$A$2:$A$1048576,0))</f>
        <v>#N/A</v>
      </c>
      <c r="W2895" s="6" t="str">
        <f t="shared" si="93"/>
        <v>葡萄糖酸锌口服溶液10ml*12支</v>
      </c>
      <c r="X2895" s="6" t="s">
        <v>2901</v>
      </c>
    </row>
    <row r="2896" spans="1:24" x14ac:dyDescent="0.15">
      <c r="A2896" s="7" t="str">
        <f t="shared" si="94"/>
        <v>201806</v>
      </c>
      <c r="C2896" s="6" t="str">
        <f>INDEX(工厂基础数据!$A$2:$A$1024,MATCH(X2896,工厂基础数据!$D$2:$D$1024,0))</f>
        <v>02037769</v>
      </c>
      <c r="E2896" s="6" t="str">
        <f>INDEX(工厂基础数据!$B$2:$B$1024,MATCH(X2896,工厂基础数据!$D$2:$D$1024,0))</f>
        <v>山东海川医药有限公司</v>
      </c>
      <c r="F2896" s="6" t="e">
        <f>INDEX(商业2转码!$B$2:$B$10000,MATCH(E2896,商业2转码!$A$2:$A$10000,0))</f>
        <v>#N/A</v>
      </c>
      <c r="G2896" s="6">
        <f>INDEX(品种2编码!$A$2:$A$1048576,MATCH(W2896,品种2编码!$D$2:$D$1048576,0))</f>
        <v>0</v>
      </c>
      <c r="H2896" s="6" t="s">
        <v>1885</v>
      </c>
      <c r="I2896" s="6" t="s">
        <v>1838</v>
      </c>
      <c r="J2896" s="6" t="s">
        <v>3036</v>
      </c>
      <c r="L2896" s="6" t="s">
        <v>3735</v>
      </c>
      <c r="M2896" s="6" t="e">
        <f>INDEX(医院2县区2人!$B$2:$B$1048576,MATCH(L2896,医院2县区2人!$A$2:$A$1048576,0))</f>
        <v>#N/A</v>
      </c>
      <c r="N2896" s="6" t="e">
        <f>INDEX(医院2县区2人!$C$2:$C$1048576,MATCH(L2896,医院2县区2人!$A$2:$A$1048576,0))</f>
        <v>#N/A</v>
      </c>
      <c r="P2896" s="7">
        <v>43280</v>
      </c>
      <c r="Q2896" s="6">
        <v>30</v>
      </c>
      <c r="S2896" s="6">
        <v>180105</v>
      </c>
      <c r="T2896" s="6" t="e">
        <f>INDEX(医院2县区2人!$D$2:$D$1048576,MATCH(L2896,医院2县区2人!$A$2:$A$1048576,0))</f>
        <v>#N/A</v>
      </c>
      <c r="W2896" s="6" t="str">
        <f t="shared" si="93"/>
        <v>新盖中盖高钙片2.5g*36片</v>
      </c>
      <c r="X2896" s="6" t="s">
        <v>2901</v>
      </c>
    </row>
    <row r="2897" spans="1:24" x14ac:dyDescent="0.15">
      <c r="A2897" s="7" t="str">
        <f t="shared" si="94"/>
        <v>201806</v>
      </c>
      <c r="C2897" s="6" t="str">
        <f>INDEX(工厂基础数据!$A$2:$A$1024,MATCH(X2897,工厂基础数据!$D$2:$D$1024,0))</f>
        <v>02037769</v>
      </c>
      <c r="E2897" s="6" t="str">
        <f>INDEX(工厂基础数据!$B$2:$B$1024,MATCH(X2897,工厂基础数据!$D$2:$D$1024,0))</f>
        <v>山东海川医药有限公司</v>
      </c>
      <c r="F2897" s="6" t="e">
        <f>INDEX(商业2转码!$B$2:$B$10000,MATCH(E2897,商业2转码!$A$2:$A$10000,0))</f>
        <v>#N/A</v>
      </c>
      <c r="G2897" s="6" t="str">
        <f>INDEX(品种2编码!$A$2:$A$1048576,MATCH(W2897,品种2编码!$D$2:$D$1048576,0))</f>
        <v>0020030170ZYEC0003</v>
      </c>
      <c r="H2897" s="6" t="s">
        <v>1835</v>
      </c>
      <c r="I2897" s="6" t="s">
        <v>1836</v>
      </c>
      <c r="J2897" s="6" t="s">
        <v>3041</v>
      </c>
      <c r="L2897" s="6" t="s">
        <v>3735</v>
      </c>
      <c r="M2897" s="6" t="e">
        <f>INDEX(医院2县区2人!$B$2:$B$1048576,MATCH(L2897,医院2县区2人!$A$2:$A$1048576,0))</f>
        <v>#N/A</v>
      </c>
      <c r="N2897" s="6" t="e">
        <f>INDEX(医院2县区2人!$C$2:$C$1048576,MATCH(L2897,医院2县区2人!$A$2:$A$1048576,0))</f>
        <v>#N/A</v>
      </c>
      <c r="P2897" s="7">
        <v>43280</v>
      </c>
      <c r="Q2897" s="6">
        <v>20</v>
      </c>
      <c r="S2897" s="6">
        <v>171209</v>
      </c>
      <c r="T2897" s="6" t="e">
        <f>INDEX(医院2县区2人!$D$2:$D$1048576,MATCH(L2897,医院2县区2人!$A$2:$A$1048576,0))</f>
        <v>#N/A</v>
      </c>
      <c r="W2897" s="6" t="str">
        <f t="shared" si="93"/>
        <v>蒙脱石散3g*12袋</v>
      </c>
      <c r="X2897" s="6" t="s">
        <v>2901</v>
      </c>
    </row>
    <row r="2898" spans="1:24" x14ac:dyDescent="0.15">
      <c r="A2898" s="7" t="str">
        <f t="shared" si="94"/>
        <v>201806</v>
      </c>
      <c r="C2898" s="6" t="str">
        <f>INDEX(工厂基础数据!$A$2:$A$1024,MATCH(X2898,工厂基础数据!$D$2:$D$1024,0))</f>
        <v>02037769</v>
      </c>
      <c r="E2898" s="6" t="str">
        <f>INDEX(工厂基础数据!$B$2:$B$1024,MATCH(X2898,工厂基础数据!$D$2:$D$1024,0))</f>
        <v>山东海川医药有限公司</v>
      </c>
      <c r="F2898" s="6" t="e">
        <f>INDEX(商业2转码!$B$2:$B$10000,MATCH(E2898,商业2转码!$A$2:$A$10000,0))</f>
        <v>#N/A</v>
      </c>
      <c r="G2898" s="6" t="str">
        <f>INDEX(品种2编码!$A$2:$A$1048576,MATCH(W2898,品种2编码!$D$2:$D$1048576,0))</f>
        <v>0020020020SJMS0008</v>
      </c>
      <c r="H2898" s="6" t="s">
        <v>474</v>
      </c>
      <c r="I2898" s="6" t="s">
        <v>1873</v>
      </c>
      <c r="J2898" s="6" t="s">
        <v>3046</v>
      </c>
      <c r="L2898" s="6" t="s">
        <v>3735</v>
      </c>
      <c r="M2898" s="6" t="e">
        <f>INDEX(医院2县区2人!$B$2:$B$1048576,MATCH(L2898,医院2县区2人!$A$2:$A$1048576,0))</f>
        <v>#N/A</v>
      </c>
      <c r="N2898" s="6" t="e">
        <f>INDEX(医院2县区2人!$C$2:$C$1048576,MATCH(L2898,医院2县区2人!$A$2:$A$1048576,0))</f>
        <v>#N/A</v>
      </c>
      <c r="P2898" s="7">
        <v>43280</v>
      </c>
      <c r="Q2898" s="6">
        <v>50</v>
      </c>
      <c r="S2898" s="6">
        <v>1803012</v>
      </c>
      <c r="T2898" s="6" t="e">
        <f>INDEX(医院2县区2人!$D$2:$D$1048576,MATCH(L2898,医院2县区2人!$A$2:$A$1048576,0))</f>
        <v>#N/A</v>
      </c>
      <c r="W2898" s="6" t="str">
        <f t="shared" si="93"/>
        <v>拉西地平片4mg*15片</v>
      </c>
      <c r="X2898" s="6" t="s">
        <v>2901</v>
      </c>
    </row>
    <row r="2899" spans="1:24" x14ac:dyDescent="0.15">
      <c r="A2899" s="7" t="str">
        <f t="shared" si="94"/>
        <v>201806</v>
      </c>
      <c r="C2899" s="6" t="str">
        <f>INDEX(工厂基础数据!$A$2:$A$1024,MATCH(X2899,工厂基础数据!$D$2:$D$1024,0))</f>
        <v>02037769</v>
      </c>
      <c r="E2899" s="6" t="str">
        <f>INDEX(工厂基础数据!$B$2:$B$1024,MATCH(X2899,工厂基础数据!$D$2:$D$1024,0))</f>
        <v>山东海川医药有限公司</v>
      </c>
      <c r="F2899" s="6" t="e">
        <f>INDEX(商业2转码!$B$2:$B$10000,MATCH(E2899,商业2转码!$A$2:$A$10000,0))</f>
        <v>#N/A</v>
      </c>
      <c r="G2899" s="6">
        <f>INDEX(品种2编码!$A$2:$A$1048576,MATCH(W2899,品种2编码!$D$2:$D$1048576,0))</f>
        <v>0</v>
      </c>
      <c r="H2899" s="6" t="s">
        <v>3745</v>
      </c>
      <c r="I2899" s="6" t="s">
        <v>1869</v>
      </c>
      <c r="J2899" s="6" t="s">
        <v>3036</v>
      </c>
      <c r="L2899" s="6" t="s">
        <v>3619</v>
      </c>
      <c r="M2899" s="6" t="e">
        <f>INDEX(医院2县区2人!$B$2:$B$1048576,MATCH(L2899,医院2县区2人!$A$2:$A$1048576,0))</f>
        <v>#N/A</v>
      </c>
      <c r="N2899" s="6" t="e">
        <f>INDEX(医院2县区2人!$C$2:$C$1048576,MATCH(L2899,医院2县区2人!$A$2:$A$1048576,0))</f>
        <v>#N/A</v>
      </c>
      <c r="P2899" s="7">
        <v>43280</v>
      </c>
      <c r="Q2899" s="6">
        <v>5</v>
      </c>
      <c r="S2899" s="6">
        <v>180104</v>
      </c>
      <c r="T2899" s="6" t="e">
        <f>INDEX(医院2县区2人!$D$2:$D$1048576,MATCH(L2899,医院2县区2人!$A$2:$A$1048576,0))</f>
        <v>#N/A</v>
      </c>
      <c r="W2899" s="6" t="str">
        <f t="shared" si="93"/>
        <v>罗红霉素分散片（成人）75mg*12片</v>
      </c>
      <c r="X2899" s="6" t="s">
        <v>2901</v>
      </c>
    </row>
    <row r="2900" spans="1:24" x14ac:dyDescent="0.15">
      <c r="A2900" s="7" t="str">
        <f t="shared" si="94"/>
        <v>201806</v>
      </c>
      <c r="C2900" s="6" t="str">
        <f>INDEX(工厂基础数据!$A$2:$A$1024,MATCH(X2900,工厂基础数据!$D$2:$D$1024,0))</f>
        <v>02037769</v>
      </c>
      <c r="E2900" s="6" t="str">
        <f>INDEX(工厂基础数据!$B$2:$B$1024,MATCH(X2900,工厂基础数据!$D$2:$D$1024,0))</f>
        <v>山东海川医药有限公司</v>
      </c>
      <c r="F2900" s="6" t="e">
        <f>INDEX(商业2转码!$B$2:$B$10000,MATCH(E2900,商业2转码!$A$2:$A$10000,0))</f>
        <v>#N/A</v>
      </c>
      <c r="G2900" s="6" t="str">
        <f>INDEX(品种2编码!$A$2:$A$1048576,MATCH(W2900,品种2编码!$D$2:$D$1048576,0))</f>
        <v>0020020020SJMS0008</v>
      </c>
      <c r="H2900" s="6" t="s">
        <v>474</v>
      </c>
      <c r="I2900" s="6" t="s">
        <v>1873</v>
      </c>
      <c r="J2900" s="6" t="s">
        <v>3046</v>
      </c>
      <c r="L2900" s="6" t="s">
        <v>3666</v>
      </c>
      <c r="M2900" s="6" t="e">
        <f>INDEX(医院2县区2人!$B$2:$B$1048576,MATCH(L2900,医院2县区2人!$A$2:$A$1048576,0))</f>
        <v>#N/A</v>
      </c>
      <c r="N2900" s="6" t="e">
        <f>INDEX(医院2县区2人!$C$2:$C$1048576,MATCH(L2900,医院2县区2人!$A$2:$A$1048576,0))</f>
        <v>#N/A</v>
      </c>
      <c r="P2900" s="7">
        <v>43280</v>
      </c>
      <c r="Q2900" s="6">
        <v>5</v>
      </c>
      <c r="S2900" s="6">
        <v>1803012</v>
      </c>
      <c r="T2900" s="6" t="e">
        <f>INDEX(医院2县区2人!$D$2:$D$1048576,MATCH(L2900,医院2县区2人!$A$2:$A$1048576,0))</f>
        <v>#N/A</v>
      </c>
      <c r="W2900" s="6" t="str">
        <f t="shared" si="93"/>
        <v>拉西地平片4mg*15片</v>
      </c>
      <c r="X2900" s="6" t="s">
        <v>2901</v>
      </c>
    </row>
    <row r="2901" spans="1:24" x14ac:dyDescent="0.15">
      <c r="A2901" s="7" t="str">
        <f t="shared" si="94"/>
        <v>201806</v>
      </c>
      <c r="C2901" s="6" t="str">
        <f>INDEX(工厂基础数据!$A$2:$A$1024,MATCH(X2901,工厂基础数据!$D$2:$D$1024,0))</f>
        <v>02037769</v>
      </c>
      <c r="E2901" s="6" t="str">
        <f>INDEX(工厂基础数据!$B$2:$B$1024,MATCH(X2901,工厂基础数据!$D$2:$D$1024,0))</f>
        <v>山东海川医药有限公司</v>
      </c>
      <c r="F2901" s="6" t="e">
        <f>INDEX(商业2转码!$B$2:$B$10000,MATCH(E2901,商业2转码!$A$2:$A$10000,0))</f>
        <v>#N/A</v>
      </c>
      <c r="G2901" s="6" t="str">
        <f>INDEX(品种2编码!$A$2:$A$1048576,MATCH(W2901,品种2编码!$D$2:$D$1048576,0))</f>
        <v>0020020020SJMS0008</v>
      </c>
      <c r="H2901" s="6" t="s">
        <v>474</v>
      </c>
      <c r="I2901" s="6" t="s">
        <v>1873</v>
      </c>
      <c r="J2901" s="6" t="s">
        <v>3046</v>
      </c>
      <c r="L2901" s="6" t="s">
        <v>3627</v>
      </c>
      <c r="M2901" s="6" t="e">
        <f>INDEX(医院2县区2人!$B$2:$B$1048576,MATCH(L2901,医院2县区2人!$A$2:$A$1048576,0))</f>
        <v>#N/A</v>
      </c>
      <c r="N2901" s="6" t="e">
        <f>INDEX(医院2县区2人!$C$2:$C$1048576,MATCH(L2901,医院2县区2人!$A$2:$A$1048576,0))</f>
        <v>#N/A</v>
      </c>
      <c r="P2901" s="7">
        <v>43281</v>
      </c>
      <c r="Q2901" s="6">
        <v>5</v>
      </c>
      <c r="S2901" s="6">
        <v>1803012</v>
      </c>
      <c r="T2901" s="6" t="e">
        <f>INDEX(医院2县区2人!$D$2:$D$1048576,MATCH(L2901,医院2县区2人!$A$2:$A$1048576,0))</f>
        <v>#N/A</v>
      </c>
      <c r="W2901" s="6" t="str">
        <f t="shared" si="93"/>
        <v>拉西地平片4mg*15片</v>
      </c>
      <c r="X2901" s="6" t="s">
        <v>2901</v>
      </c>
    </row>
    <row r="2902" spans="1:24" x14ac:dyDescent="0.15">
      <c r="A2902" s="7" t="str">
        <f t="shared" si="94"/>
        <v>201806</v>
      </c>
      <c r="C2902" s="6" t="str">
        <f>INDEX(工厂基础数据!$A$2:$A$1024,MATCH(X2902,工厂基础数据!$D$2:$D$1024,0))</f>
        <v>02037769</v>
      </c>
      <c r="E2902" s="6" t="str">
        <f>INDEX(工厂基础数据!$B$2:$B$1024,MATCH(X2902,工厂基础数据!$D$2:$D$1024,0))</f>
        <v>山东海川医药有限公司</v>
      </c>
      <c r="F2902" s="6" t="e">
        <f>INDEX(商业2转码!$B$2:$B$10000,MATCH(E2902,商业2转码!$A$2:$A$10000,0))</f>
        <v>#N/A</v>
      </c>
      <c r="G2902" s="6" t="str">
        <f>INDEX(品种2编码!$A$2:$A$1048576,MATCH(W2902,品种2编码!$D$2:$D$1048576,0))</f>
        <v>0020030040ZYLC0001</v>
      </c>
      <c r="H2902" s="6" t="s">
        <v>1953</v>
      </c>
      <c r="I2902" s="6" t="s">
        <v>1954</v>
      </c>
      <c r="J2902" s="6" t="s">
        <v>3036</v>
      </c>
      <c r="L2902" s="6" t="s">
        <v>3704</v>
      </c>
      <c r="M2902" s="6" t="e">
        <f>INDEX(医院2县区2人!$B$2:$B$1048576,MATCH(L2902,医院2县区2人!$A$2:$A$1048576,0))</f>
        <v>#N/A</v>
      </c>
      <c r="N2902" s="6" t="e">
        <f>INDEX(医院2县区2人!$C$2:$C$1048576,MATCH(L2902,医院2县区2人!$A$2:$A$1048576,0))</f>
        <v>#N/A</v>
      </c>
      <c r="P2902" s="7">
        <v>43281</v>
      </c>
      <c r="Q2902" s="6">
        <v>5</v>
      </c>
      <c r="S2902" s="6">
        <v>180137</v>
      </c>
      <c r="T2902" s="6" t="e">
        <f>INDEX(医院2县区2人!$D$2:$D$1048576,MATCH(L2902,医院2县区2人!$A$2:$A$1048576,0))</f>
        <v>#N/A</v>
      </c>
      <c r="W2902" s="6" t="str">
        <f t="shared" si="93"/>
        <v>小儿氨酚黄那敏颗粒12袋</v>
      </c>
      <c r="X2902" s="6" t="s">
        <v>2901</v>
      </c>
    </row>
    <row r="2903" spans="1:24" x14ac:dyDescent="0.15">
      <c r="A2903" s="7" t="str">
        <f t="shared" si="94"/>
        <v>201806</v>
      </c>
      <c r="C2903" s="6" t="str">
        <f>INDEX(工厂基础数据!$A$2:$A$1024,MATCH(X2903,工厂基础数据!$D$2:$D$1024,0))</f>
        <v>02037769</v>
      </c>
      <c r="E2903" s="6" t="str">
        <f>INDEX(工厂基础数据!$B$2:$B$1024,MATCH(X2903,工厂基础数据!$D$2:$D$1024,0))</f>
        <v>山东海川医药有限公司</v>
      </c>
      <c r="F2903" s="6" t="e">
        <f>INDEX(商业2转码!$B$2:$B$10000,MATCH(E2903,商业2转码!$A$2:$A$10000,0))</f>
        <v>#N/A</v>
      </c>
      <c r="G2903" s="6" t="str">
        <f>INDEX(品种2编码!$A$2:$A$1048576,MATCH(W2903,品种2编码!$D$2:$D$1048576,0))</f>
        <v>0020070001ZYZC0377</v>
      </c>
      <c r="H2903" s="6" t="s">
        <v>1849</v>
      </c>
      <c r="I2903" s="6" t="s">
        <v>1887</v>
      </c>
      <c r="J2903" s="6" t="s">
        <v>3038</v>
      </c>
      <c r="L2903" s="6" t="s">
        <v>3665</v>
      </c>
      <c r="M2903" s="6" t="e">
        <f>INDEX(医院2县区2人!$B$2:$B$1048576,MATCH(L2903,医院2县区2人!$A$2:$A$1048576,0))</f>
        <v>#N/A</v>
      </c>
      <c r="N2903" s="6" t="e">
        <f>INDEX(医院2县区2人!$C$2:$C$1048576,MATCH(L2903,医院2县区2人!$A$2:$A$1048576,0))</f>
        <v>#N/A</v>
      </c>
      <c r="P2903" s="7">
        <v>43281</v>
      </c>
      <c r="Q2903" s="6">
        <v>3</v>
      </c>
      <c r="S2903" s="6">
        <v>1801042</v>
      </c>
      <c r="T2903" s="6" t="e">
        <f>INDEX(医院2县区2人!$D$2:$D$1048576,MATCH(L2903,医院2县区2人!$A$2:$A$1048576,0))</f>
        <v>#N/A</v>
      </c>
      <c r="W2903" s="6" t="str">
        <f t="shared" si="93"/>
        <v>哈药牌钙铁锌口服液10ml*15支</v>
      </c>
      <c r="X2903" s="6" t="s">
        <v>2901</v>
      </c>
    </row>
    <row r="2904" spans="1:24" x14ac:dyDescent="0.15">
      <c r="A2904" s="7" t="str">
        <f t="shared" si="94"/>
        <v>201806</v>
      </c>
      <c r="C2904" s="6" t="str">
        <f>INDEX(工厂基础数据!$A$2:$A$1024,MATCH(X2904,工厂基础数据!$D$2:$D$1024,0))</f>
        <v>02037769</v>
      </c>
      <c r="E2904" s="6" t="str">
        <f>INDEX(工厂基础数据!$B$2:$B$1024,MATCH(X2904,工厂基础数据!$D$2:$D$1024,0))</f>
        <v>山东海川医药有限公司</v>
      </c>
      <c r="F2904" s="6" t="e">
        <f>INDEX(商业2转码!$B$2:$B$10000,MATCH(E2904,商业2转码!$A$2:$A$10000,0))</f>
        <v>#N/A</v>
      </c>
      <c r="G2904" s="6" t="str">
        <f>INDEX(品种2编码!$A$2:$A$1048576,MATCH(W2904,品种2编码!$D$2:$D$1048576,0))</f>
        <v>0020020020SJMS0008</v>
      </c>
      <c r="H2904" s="6" t="s">
        <v>474</v>
      </c>
      <c r="I2904" s="6" t="s">
        <v>1873</v>
      </c>
      <c r="J2904" s="6" t="s">
        <v>3046</v>
      </c>
      <c r="L2904" s="6" t="s">
        <v>3736</v>
      </c>
      <c r="M2904" s="6" t="e">
        <f>INDEX(医院2县区2人!$B$2:$B$1048576,MATCH(L2904,医院2县区2人!$A$2:$A$1048576,0))</f>
        <v>#N/A</v>
      </c>
      <c r="N2904" s="6" t="e">
        <f>INDEX(医院2县区2人!$C$2:$C$1048576,MATCH(L2904,医院2县区2人!$A$2:$A$1048576,0))</f>
        <v>#N/A</v>
      </c>
      <c r="P2904" s="7">
        <v>43281</v>
      </c>
      <c r="Q2904" s="6">
        <v>10</v>
      </c>
      <c r="S2904" s="6">
        <v>1803012</v>
      </c>
      <c r="T2904" s="6" t="e">
        <f>INDEX(医院2县区2人!$D$2:$D$1048576,MATCH(L2904,医院2县区2人!$A$2:$A$1048576,0))</f>
        <v>#N/A</v>
      </c>
      <c r="W2904" s="6" t="str">
        <f t="shared" si="93"/>
        <v>拉西地平片4mg*15片</v>
      </c>
      <c r="X2904" s="6" t="s">
        <v>2901</v>
      </c>
    </row>
    <row r="2905" spans="1:24" x14ac:dyDescent="0.15">
      <c r="A2905" s="7" t="str">
        <f t="shared" si="94"/>
        <v>201806</v>
      </c>
      <c r="C2905" s="6" t="str">
        <f>INDEX(工厂基础数据!$A$2:$A$1024,MATCH(X2905,工厂基础数据!$D$2:$D$1024,0))</f>
        <v>02037769</v>
      </c>
      <c r="E2905" s="6" t="str">
        <f>INDEX(工厂基础数据!$B$2:$B$1024,MATCH(X2905,工厂基础数据!$D$2:$D$1024,0))</f>
        <v>山东海川医药有限公司</v>
      </c>
      <c r="F2905" s="6" t="e">
        <f>INDEX(商业2转码!$B$2:$B$10000,MATCH(E2905,商业2转码!$A$2:$A$10000,0))</f>
        <v>#N/A</v>
      </c>
      <c r="G2905" s="6">
        <f>INDEX(品种2编码!$A$2:$A$1048576,MATCH(W2905,品种2编码!$D$2:$D$1048576,0))</f>
        <v>0</v>
      </c>
      <c r="H2905" s="6" t="s">
        <v>3745</v>
      </c>
      <c r="I2905" s="6" t="s">
        <v>1869</v>
      </c>
      <c r="J2905" s="6" t="s">
        <v>3036</v>
      </c>
      <c r="L2905" s="6" t="s">
        <v>3736</v>
      </c>
      <c r="M2905" s="6" t="e">
        <f>INDEX(医院2县区2人!$B$2:$B$1048576,MATCH(L2905,医院2县区2人!$A$2:$A$1048576,0))</f>
        <v>#N/A</v>
      </c>
      <c r="N2905" s="6" t="e">
        <f>INDEX(医院2县区2人!$C$2:$C$1048576,MATCH(L2905,医院2县区2人!$A$2:$A$1048576,0))</f>
        <v>#N/A</v>
      </c>
      <c r="P2905" s="7">
        <v>43281</v>
      </c>
      <c r="Q2905" s="6">
        <v>10</v>
      </c>
      <c r="S2905" s="6">
        <v>180104</v>
      </c>
      <c r="T2905" s="6" t="e">
        <f>INDEX(医院2县区2人!$D$2:$D$1048576,MATCH(L2905,医院2县区2人!$A$2:$A$1048576,0))</f>
        <v>#N/A</v>
      </c>
      <c r="W2905" s="6" t="str">
        <f t="shared" si="93"/>
        <v>罗红霉素分散片（成人）75mg*12片</v>
      </c>
      <c r="X2905" s="6" t="s">
        <v>2901</v>
      </c>
    </row>
    <row r="2906" spans="1:24" x14ac:dyDescent="0.15">
      <c r="A2906" s="7" t="str">
        <f t="shared" si="94"/>
        <v>201806</v>
      </c>
      <c r="C2906" s="6" t="str">
        <f>INDEX(工厂基础数据!$A$2:$A$1024,MATCH(X2906,工厂基础数据!$D$2:$D$1024,0))</f>
        <v>02037769</v>
      </c>
      <c r="E2906" s="6" t="str">
        <f>INDEX(工厂基础数据!$B$2:$B$1024,MATCH(X2906,工厂基础数据!$D$2:$D$1024,0))</f>
        <v>山东海川医药有限公司</v>
      </c>
      <c r="F2906" s="6" t="e">
        <f>INDEX(商业2转码!$B$2:$B$10000,MATCH(E2906,商业2转码!$A$2:$A$10000,0))</f>
        <v>#N/A</v>
      </c>
      <c r="G2906" s="6">
        <f>INDEX(品种2编码!$A$2:$A$1048576,MATCH(W2906,品种2编码!$D$2:$D$1048576,0))</f>
        <v>0</v>
      </c>
      <c r="H2906" s="6" t="s">
        <v>461</v>
      </c>
      <c r="I2906" s="6" t="s">
        <v>3753</v>
      </c>
      <c r="J2906" s="6" t="s">
        <v>3756</v>
      </c>
      <c r="L2906" s="6" t="s">
        <v>3736</v>
      </c>
      <c r="M2906" s="6" t="e">
        <f>INDEX(医院2县区2人!$B$2:$B$1048576,MATCH(L2906,医院2县区2人!$A$2:$A$1048576,0))</f>
        <v>#N/A</v>
      </c>
      <c r="N2906" s="6" t="e">
        <f>INDEX(医院2县区2人!$C$2:$C$1048576,MATCH(L2906,医院2县区2人!$A$2:$A$1048576,0))</f>
        <v>#N/A</v>
      </c>
      <c r="P2906" s="7">
        <v>43281</v>
      </c>
      <c r="Q2906" s="6">
        <v>20</v>
      </c>
      <c r="S2906" s="6">
        <v>1803003</v>
      </c>
      <c r="T2906" s="6" t="e">
        <f>INDEX(医院2县区2人!$D$2:$D$1048576,MATCH(L2906,医院2县区2人!$A$2:$A$1048576,0))</f>
        <v>#N/A</v>
      </c>
      <c r="W2906" s="6" t="str">
        <f t="shared" si="93"/>
        <v xml:space="preserve">菊梅利咽含片1.2g*18片 </v>
      </c>
      <c r="X2906" s="6" t="s">
        <v>2901</v>
      </c>
    </row>
    <row r="2907" spans="1:24" x14ac:dyDescent="0.15">
      <c r="A2907" s="7" t="str">
        <f t="shared" si="94"/>
        <v>201806</v>
      </c>
      <c r="C2907" s="6" t="str">
        <f>INDEX(工厂基础数据!$A$2:$A$1024,MATCH(X2907,工厂基础数据!$D$2:$D$1024,0))</f>
        <v>02037769</v>
      </c>
      <c r="E2907" s="6" t="str">
        <f>INDEX(工厂基础数据!$B$2:$B$1024,MATCH(X2907,工厂基础数据!$D$2:$D$1024,0))</f>
        <v>山东海川医药有限公司</v>
      </c>
      <c r="F2907" s="6" t="e">
        <f>INDEX(商业2转码!$B$2:$B$10000,MATCH(E2907,商业2转码!$A$2:$A$10000,0))</f>
        <v>#N/A</v>
      </c>
      <c r="G2907" s="6">
        <f>INDEX(品种2编码!$A$2:$A$1048576,MATCH(W2907,品种2编码!$D$2:$D$1048576,0))</f>
        <v>0</v>
      </c>
      <c r="H2907" s="6" t="s">
        <v>3745</v>
      </c>
      <c r="I2907" s="6" t="s">
        <v>1869</v>
      </c>
      <c r="J2907" s="6" t="s">
        <v>3036</v>
      </c>
      <c r="L2907" s="6" t="s">
        <v>3737</v>
      </c>
      <c r="M2907" s="6" t="e">
        <f>INDEX(医院2县区2人!$B$2:$B$1048576,MATCH(L2907,医院2县区2人!$A$2:$A$1048576,0))</f>
        <v>#N/A</v>
      </c>
      <c r="N2907" s="6" t="e">
        <f>INDEX(医院2县区2人!$C$2:$C$1048576,MATCH(L2907,医院2县区2人!$A$2:$A$1048576,0))</f>
        <v>#N/A</v>
      </c>
      <c r="P2907" s="7">
        <v>43281</v>
      </c>
      <c r="Q2907" s="6">
        <v>10</v>
      </c>
      <c r="S2907" s="6">
        <v>180104</v>
      </c>
      <c r="T2907" s="6" t="e">
        <f>INDEX(医院2县区2人!$D$2:$D$1048576,MATCH(L2907,医院2县区2人!$A$2:$A$1048576,0))</f>
        <v>#N/A</v>
      </c>
      <c r="W2907" s="6" t="str">
        <f t="shared" si="93"/>
        <v>罗红霉素分散片（成人）75mg*12片</v>
      </c>
      <c r="X2907" s="6" t="s">
        <v>2901</v>
      </c>
    </row>
    <row r="2908" spans="1:24" x14ac:dyDescent="0.15">
      <c r="A2908" s="7" t="str">
        <f t="shared" si="94"/>
        <v>201806</v>
      </c>
      <c r="C2908" s="6" t="str">
        <f>INDEX(工厂基础数据!$A$2:$A$1024,MATCH(X2908,工厂基础数据!$D$2:$D$1024,0))</f>
        <v>02037769</v>
      </c>
      <c r="E2908" s="6" t="str">
        <f>INDEX(工厂基础数据!$B$2:$B$1024,MATCH(X2908,工厂基础数据!$D$2:$D$1024,0))</f>
        <v>山东海川医药有限公司</v>
      </c>
      <c r="F2908" s="6" t="e">
        <f>INDEX(商业2转码!$B$2:$B$10000,MATCH(E2908,商业2转码!$A$2:$A$10000,0))</f>
        <v>#N/A</v>
      </c>
      <c r="G2908" s="6" t="str">
        <f>INDEX(品种2编码!$A$2:$A$1048576,MATCH(W2908,品种2编码!$D$2:$D$1048576,0))</f>
        <v>0020020020SJMS0008</v>
      </c>
      <c r="H2908" s="6" t="s">
        <v>474</v>
      </c>
      <c r="I2908" s="6" t="s">
        <v>1873</v>
      </c>
      <c r="J2908" s="6" t="s">
        <v>3046</v>
      </c>
      <c r="L2908" s="6" t="s">
        <v>3737</v>
      </c>
      <c r="M2908" s="6" t="e">
        <f>INDEX(医院2县区2人!$B$2:$B$1048576,MATCH(L2908,医院2县区2人!$A$2:$A$1048576,0))</f>
        <v>#N/A</v>
      </c>
      <c r="N2908" s="6" t="e">
        <f>INDEX(医院2县区2人!$C$2:$C$1048576,MATCH(L2908,医院2县区2人!$A$2:$A$1048576,0))</f>
        <v>#N/A</v>
      </c>
      <c r="P2908" s="7">
        <v>43281</v>
      </c>
      <c r="Q2908" s="6">
        <v>10</v>
      </c>
      <c r="S2908" s="6">
        <v>1803012</v>
      </c>
      <c r="T2908" s="6" t="e">
        <f>INDEX(医院2县区2人!$D$2:$D$1048576,MATCH(L2908,医院2县区2人!$A$2:$A$1048576,0))</f>
        <v>#N/A</v>
      </c>
      <c r="W2908" s="6" t="str">
        <f t="shared" si="93"/>
        <v>拉西地平片4mg*15片</v>
      </c>
      <c r="X2908" s="6" t="s">
        <v>2901</v>
      </c>
    </row>
    <row r="2909" spans="1:24" x14ac:dyDescent="0.15">
      <c r="A2909" s="7" t="str">
        <f t="shared" si="94"/>
        <v>201806</v>
      </c>
      <c r="C2909" s="6" t="str">
        <f>INDEX(工厂基础数据!$A$2:$A$1024,MATCH(X2909,工厂基础数据!$D$2:$D$1024,0))</f>
        <v>02037769</v>
      </c>
      <c r="E2909" s="6" t="str">
        <f>INDEX(工厂基础数据!$B$2:$B$1024,MATCH(X2909,工厂基础数据!$D$2:$D$1024,0))</f>
        <v>山东海川医药有限公司</v>
      </c>
      <c r="F2909" s="6" t="e">
        <f>INDEX(商业2转码!$B$2:$B$10000,MATCH(E2909,商业2转码!$A$2:$A$10000,0))</f>
        <v>#N/A</v>
      </c>
      <c r="G2909" s="6">
        <f>INDEX(品种2编码!$A$2:$A$1048576,MATCH(W2909,品种2编码!$D$2:$D$1048576,0))</f>
        <v>0</v>
      </c>
      <c r="H2909" s="6" t="s">
        <v>461</v>
      </c>
      <c r="I2909" s="6" t="s">
        <v>3753</v>
      </c>
      <c r="J2909" s="6" t="s">
        <v>3756</v>
      </c>
      <c r="L2909" s="6" t="s">
        <v>3737</v>
      </c>
      <c r="M2909" s="6" t="e">
        <f>INDEX(医院2县区2人!$B$2:$B$1048576,MATCH(L2909,医院2县区2人!$A$2:$A$1048576,0))</f>
        <v>#N/A</v>
      </c>
      <c r="N2909" s="6" t="e">
        <f>INDEX(医院2县区2人!$C$2:$C$1048576,MATCH(L2909,医院2县区2人!$A$2:$A$1048576,0))</f>
        <v>#N/A</v>
      </c>
      <c r="P2909" s="7">
        <v>43281</v>
      </c>
      <c r="Q2909" s="6">
        <v>20</v>
      </c>
      <c r="S2909" s="6">
        <v>1803003</v>
      </c>
      <c r="T2909" s="6" t="e">
        <f>INDEX(医院2县区2人!$D$2:$D$1048576,MATCH(L2909,医院2县区2人!$A$2:$A$1048576,0))</f>
        <v>#N/A</v>
      </c>
      <c r="W2909" s="6" t="str">
        <f t="shared" si="93"/>
        <v xml:space="preserve">菊梅利咽含片1.2g*18片 </v>
      </c>
      <c r="X2909" s="6" t="s">
        <v>2901</v>
      </c>
    </row>
    <row r="2910" spans="1:24" x14ac:dyDescent="0.15">
      <c r="A2910" s="7" t="str">
        <f t="shared" si="94"/>
        <v>201806</v>
      </c>
      <c r="C2910" s="6" t="str">
        <f>INDEX(工厂基础数据!$A$2:$A$1024,MATCH(X2910,工厂基础数据!$D$2:$D$1024,0))</f>
        <v>02037769</v>
      </c>
      <c r="E2910" s="6" t="str">
        <f>INDEX(工厂基础数据!$B$2:$B$1024,MATCH(X2910,工厂基础数据!$D$2:$D$1024,0))</f>
        <v>山东海川医药有限公司</v>
      </c>
      <c r="F2910" s="6" t="e">
        <f>INDEX(商业2转码!$B$2:$B$10000,MATCH(E2910,商业2转码!$A$2:$A$10000,0))</f>
        <v>#N/A</v>
      </c>
      <c r="G2910" s="6" t="str">
        <f>INDEX(品种2编码!$A$2:$A$1048576,MATCH(W2910,品种2编码!$D$2:$D$1048576,0))</f>
        <v>0020030001SJZY0006</v>
      </c>
      <c r="H2910" s="6" t="s">
        <v>1833</v>
      </c>
      <c r="I2910" s="6" t="s">
        <v>411</v>
      </c>
      <c r="J2910" s="6" t="s">
        <v>3044</v>
      </c>
      <c r="L2910" s="6" t="s">
        <v>3738</v>
      </c>
      <c r="M2910" s="6" t="e">
        <f>INDEX(医院2县区2人!$B$2:$B$1048576,MATCH(L2910,医院2县区2人!$A$2:$A$1048576,0))</f>
        <v>#N/A</v>
      </c>
      <c r="N2910" s="6" t="e">
        <f>INDEX(医院2县区2人!$C$2:$C$1048576,MATCH(L2910,医院2县区2人!$A$2:$A$1048576,0))</f>
        <v>#N/A</v>
      </c>
      <c r="P2910" s="7">
        <v>43281</v>
      </c>
      <c r="Q2910" s="6">
        <v>1</v>
      </c>
      <c r="S2910" s="6">
        <v>18030532</v>
      </c>
      <c r="T2910" s="6" t="e">
        <f>INDEX(医院2县区2人!$D$2:$D$1048576,MATCH(L2910,医院2县区2人!$A$2:$A$1048576,0))</f>
        <v>#N/A</v>
      </c>
      <c r="W2910" s="6" t="str">
        <f t="shared" si="93"/>
        <v>葡萄糖酸钙口服溶液10ml*12支</v>
      </c>
      <c r="X2910" s="6" t="s">
        <v>2901</v>
      </c>
    </row>
    <row r="2911" spans="1:24" x14ac:dyDescent="0.15">
      <c r="A2911" s="7" t="str">
        <f t="shared" si="94"/>
        <v>201806</v>
      </c>
      <c r="C2911" s="6" t="str">
        <f>INDEX(工厂基础数据!$A$2:$A$1024,MATCH(X2911,工厂基础数据!$D$2:$D$1024,0))</f>
        <v>02037769</v>
      </c>
      <c r="E2911" s="6" t="str">
        <f>INDEX(工厂基础数据!$B$2:$B$1024,MATCH(X2911,工厂基础数据!$D$2:$D$1024,0))</f>
        <v>山东海川医药有限公司</v>
      </c>
      <c r="F2911" s="6" t="e">
        <f>INDEX(商业2转码!$B$2:$B$10000,MATCH(E2911,商业2转码!$A$2:$A$10000,0))</f>
        <v>#N/A</v>
      </c>
      <c r="G2911" s="6" t="str">
        <f>INDEX(品种2编码!$A$2:$A$1048576,MATCH(W2911,品种2编码!$D$2:$D$1048576,0))</f>
        <v>0020030001SJZY0009</v>
      </c>
      <c r="H2911" s="6" t="s">
        <v>1949</v>
      </c>
      <c r="I2911" s="6" t="s">
        <v>411</v>
      </c>
      <c r="J2911" s="6" t="s">
        <v>3040</v>
      </c>
      <c r="L2911" s="6" t="s">
        <v>3738</v>
      </c>
      <c r="M2911" s="6" t="e">
        <f>INDEX(医院2县区2人!$B$2:$B$1048576,MATCH(L2911,医院2县区2人!$A$2:$A$1048576,0))</f>
        <v>#N/A</v>
      </c>
      <c r="N2911" s="6" t="e">
        <f>INDEX(医院2县区2人!$C$2:$C$1048576,MATCH(L2911,医院2县区2人!$A$2:$A$1048576,0))</f>
        <v>#N/A</v>
      </c>
      <c r="P2911" s="7">
        <v>43281</v>
      </c>
      <c r="Q2911" s="6">
        <v>1</v>
      </c>
      <c r="S2911" s="6">
        <v>18031227</v>
      </c>
      <c r="T2911" s="6" t="e">
        <f>INDEX(医院2县区2人!$D$2:$D$1048576,MATCH(L2911,医院2县区2人!$A$2:$A$1048576,0))</f>
        <v>#N/A</v>
      </c>
      <c r="W2911" s="6" t="str">
        <f t="shared" si="93"/>
        <v>葡萄糖酸锌口服溶液10ml*12支</v>
      </c>
      <c r="X2911" s="6" t="s">
        <v>2901</v>
      </c>
    </row>
    <row r="2912" spans="1:24" x14ac:dyDescent="0.15">
      <c r="A2912" s="7" t="str">
        <f t="shared" si="94"/>
        <v>201806</v>
      </c>
      <c r="C2912" s="6" t="str">
        <f>INDEX(工厂基础数据!$A$2:$A$1024,MATCH(X2912,工厂基础数据!$D$2:$D$1024,0))</f>
        <v>02031317</v>
      </c>
      <c r="E2912" s="6" t="str">
        <f>INDEX(工厂基础数据!$B$2:$B$1024,MATCH(X2912,工厂基础数据!$D$2:$D$1024,0))</f>
        <v>瑞康医药（山东）有限公司</v>
      </c>
      <c r="F2912" s="6" t="e">
        <f>INDEX(商业2转码!$B$2:$B$10000,MATCH(E2912,商业2转码!$A$2:$A$10000,0))</f>
        <v>#N/A</v>
      </c>
      <c r="G2912" s="6">
        <f>INDEX(品种2编码!$A$2:$A$1048576,MATCH(W2912,品种2编码!$D$2:$D$1048576,0))</f>
        <v>0</v>
      </c>
      <c r="H2912" s="6" t="s">
        <v>3758</v>
      </c>
      <c r="L2912" s="6" t="s">
        <v>3762</v>
      </c>
      <c r="M2912" s="6" t="e">
        <f>INDEX(医院2县区2人!$B$2:$B$1048576,MATCH(L2912,医院2县区2人!$A$2:$A$1048576,0))</f>
        <v>#N/A</v>
      </c>
      <c r="N2912" s="6" t="e">
        <f>INDEX(医院2县区2人!$C$2:$C$1048576,MATCH(L2912,医院2县区2人!$A$2:$A$1048576,0))</f>
        <v>#N/A</v>
      </c>
      <c r="P2912" s="7">
        <v>43256</v>
      </c>
      <c r="Q2912" s="6">
        <v>1200</v>
      </c>
      <c r="R2912" s="6">
        <v>20.64</v>
      </c>
      <c r="S2912" s="6">
        <v>1706730</v>
      </c>
      <c r="T2912" s="6" t="e">
        <f>INDEX(医院2县区2人!$D$2:$D$1048576,MATCH(L2912,医院2县区2人!$A$2:$A$1048576,0))</f>
        <v>#N/A</v>
      </c>
      <c r="W2912" s="6" t="str">
        <f t="shared" si="93"/>
        <v>注射用丹参（冻干）400mg哈药集团中药二厂</v>
      </c>
      <c r="X2912" s="6" t="s">
        <v>2912</v>
      </c>
    </row>
    <row r="2913" spans="1:24" x14ac:dyDescent="0.15">
      <c r="A2913" s="7" t="str">
        <f t="shared" si="94"/>
        <v>201806</v>
      </c>
      <c r="C2913" s="6" t="str">
        <f>INDEX(工厂基础数据!$A$2:$A$1024,MATCH(X2913,工厂基础数据!$D$2:$D$1024,0))</f>
        <v>02031317</v>
      </c>
      <c r="E2913" s="6" t="str">
        <f>INDEX(工厂基础数据!$B$2:$B$1024,MATCH(X2913,工厂基础数据!$D$2:$D$1024,0))</f>
        <v>瑞康医药（山东）有限公司</v>
      </c>
      <c r="F2913" s="6" t="e">
        <f>INDEX(商业2转码!$B$2:$B$10000,MATCH(E2913,商业2转码!$A$2:$A$10000,0))</f>
        <v>#N/A</v>
      </c>
      <c r="G2913" s="6">
        <f>INDEX(品种2编码!$A$2:$A$1048576,MATCH(W2913,品种2编码!$D$2:$D$1048576,0))</f>
        <v>0</v>
      </c>
      <c r="H2913" s="6" t="s">
        <v>3759</v>
      </c>
      <c r="L2913" s="6" t="s">
        <v>3763</v>
      </c>
      <c r="M2913" s="6" t="e">
        <f>INDEX(医院2县区2人!$B$2:$B$1048576,MATCH(L2913,医院2县区2人!$A$2:$A$1048576,0))</f>
        <v>#N/A</v>
      </c>
      <c r="N2913" s="6" t="e">
        <f>INDEX(医院2县区2人!$C$2:$C$1048576,MATCH(L2913,医院2县区2人!$A$2:$A$1048576,0))</f>
        <v>#N/A</v>
      </c>
      <c r="P2913" s="7">
        <v>43258</v>
      </c>
      <c r="Q2913" s="6">
        <v>600</v>
      </c>
      <c r="R2913" s="6">
        <v>20.64</v>
      </c>
      <c r="S2913" s="6">
        <v>1801706</v>
      </c>
      <c r="T2913" s="6" t="e">
        <f>INDEX(医院2县区2人!$D$2:$D$1048576,MATCH(L2913,医院2县区2人!$A$2:$A$1048576,0))</f>
        <v>#N/A</v>
      </c>
      <c r="W2913" s="6" t="str">
        <f t="shared" si="93"/>
        <v>注射用丹参400mg哈药集团中药二厂</v>
      </c>
      <c r="X2913" s="6" t="s">
        <v>2912</v>
      </c>
    </row>
    <row r="2914" spans="1:24" x14ac:dyDescent="0.15">
      <c r="A2914" s="7" t="str">
        <f t="shared" si="94"/>
        <v>201806</v>
      </c>
      <c r="C2914" s="6" t="str">
        <f>INDEX(工厂基础数据!$A$2:$A$1024,MATCH(X2914,工厂基础数据!$D$2:$D$1024,0))</f>
        <v>02031317</v>
      </c>
      <c r="E2914" s="6" t="str">
        <f>INDEX(工厂基础数据!$B$2:$B$1024,MATCH(X2914,工厂基础数据!$D$2:$D$1024,0))</f>
        <v>瑞康医药（山东）有限公司</v>
      </c>
      <c r="F2914" s="6" t="e">
        <f>INDEX(商业2转码!$B$2:$B$10000,MATCH(E2914,商业2转码!$A$2:$A$10000,0))</f>
        <v>#N/A</v>
      </c>
      <c r="G2914" s="6">
        <f>INDEX(品种2编码!$A$2:$A$1048576,MATCH(W2914,品种2编码!$D$2:$D$1048576,0))</f>
        <v>0</v>
      </c>
      <c r="H2914" s="6" t="s">
        <v>3758</v>
      </c>
      <c r="L2914" s="6" t="s">
        <v>3764</v>
      </c>
      <c r="M2914" s="6" t="e">
        <f>INDEX(医院2县区2人!$B$2:$B$1048576,MATCH(L2914,医院2县区2人!$A$2:$A$1048576,0))</f>
        <v>#N/A</v>
      </c>
      <c r="N2914" s="6" t="e">
        <f>INDEX(医院2县区2人!$C$2:$C$1048576,MATCH(L2914,医院2县区2人!$A$2:$A$1048576,0))</f>
        <v>#N/A</v>
      </c>
      <c r="P2914" s="7">
        <v>43263</v>
      </c>
      <c r="Q2914" s="6">
        <v>600</v>
      </c>
      <c r="R2914" s="6">
        <v>20.64</v>
      </c>
      <c r="S2914" s="6">
        <v>1801706</v>
      </c>
      <c r="T2914" s="6" t="e">
        <f>INDEX(医院2县区2人!$D$2:$D$1048576,MATCH(L2914,医院2县区2人!$A$2:$A$1048576,0))</f>
        <v>#N/A</v>
      </c>
      <c r="W2914" s="6" t="str">
        <f t="shared" si="93"/>
        <v>注射用丹参（冻干）400mg哈药集团中药二厂</v>
      </c>
      <c r="X2914" s="6" t="s">
        <v>2912</v>
      </c>
    </row>
    <row r="2915" spans="1:24" x14ac:dyDescent="0.15">
      <c r="A2915" s="7" t="str">
        <f t="shared" si="94"/>
        <v>201806</v>
      </c>
      <c r="C2915" s="6" t="str">
        <f>INDEX(工厂基础数据!$A$2:$A$1024,MATCH(X2915,工厂基础数据!$D$2:$D$1024,0))</f>
        <v>02031317</v>
      </c>
      <c r="E2915" s="6" t="str">
        <f>INDEX(工厂基础数据!$B$2:$B$1024,MATCH(X2915,工厂基础数据!$D$2:$D$1024,0))</f>
        <v>瑞康医药（山东）有限公司</v>
      </c>
      <c r="F2915" s="6" t="e">
        <f>INDEX(商业2转码!$B$2:$B$10000,MATCH(E2915,商业2转码!$A$2:$A$10000,0))</f>
        <v>#N/A</v>
      </c>
      <c r="G2915" s="6">
        <f>INDEX(品种2编码!$A$2:$A$1048576,MATCH(W2915,品种2编码!$D$2:$D$1048576,0))</f>
        <v>0</v>
      </c>
      <c r="H2915" s="6" t="s">
        <v>3758</v>
      </c>
      <c r="L2915" s="6" t="s">
        <v>3765</v>
      </c>
      <c r="M2915" s="6" t="e">
        <f>INDEX(医院2县区2人!$B$2:$B$1048576,MATCH(L2915,医院2县区2人!$A$2:$A$1048576,0))</f>
        <v>#N/A</v>
      </c>
      <c r="N2915" s="6" t="e">
        <f>INDEX(医院2县区2人!$C$2:$C$1048576,MATCH(L2915,医院2县区2人!$A$2:$A$1048576,0))</f>
        <v>#N/A</v>
      </c>
      <c r="P2915" s="7">
        <v>43271</v>
      </c>
      <c r="Q2915" s="6">
        <v>100</v>
      </c>
      <c r="R2915" s="6">
        <v>20.64</v>
      </c>
      <c r="S2915" s="6">
        <v>1801724</v>
      </c>
      <c r="T2915" s="6" t="e">
        <f>INDEX(医院2县区2人!$D$2:$D$1048576,MATCH(L2915,医院2县区2人!$A$2:$A$1048576,0))</f>
        <v>#N/A</v>
      </c>
      <c r="W2915" s="6" t="str">
        <f t="shared" si="93"/>
        <v>注射用丹参（冻干）400mg哈药集团中药二厂</v>
      </c>
      <c r="X2915" s="6" t="s">
        <v>2912</v>
      </c>
    </row>
    <row r="2916" spans="1:24" x14ac:dyDescent="0.15">
      <c r="A2916" s="7" t="str">
        <f t="shared" si="94"/>
        <v>201806</v>
      </c>
      <c r="C2916" s="6" t="str">
        <f>INDEX(工厂基础数据!$A$2:$A$1024,MATCH(X2916,工厂基础数据!$D$2:$D$1024,0))</f>
        <v>02031317</v>
      </c>
      <c r="E2916" s="6" t="str">
        <f>INDEX(工厂基础数据!$B$2:$B$1024,MATCH(X2916,工厂基础数据!$D$2:$D$1024,0))</f>
        <v>瑞康医药（山东）有限公司</v>
      </c>
      <c r="F2916" s="6" t="e">
        <f>INDEX(商业2转码!$B$2:$B$10000,MATCH(E2916,商业2转码!$A$2:$A$10000,0))</f>
        <v>#N/A</v>
      </c>
      <c r="G2916" s="6">
        <f>INDEX(品种2编码!$A$2:$A$1048576,MATCH(W2916,品种2编码!$D$2:$D$1048576,0))</f>
        <v>0</v>
      </c>
      <c r="H2916" s="6" t="s">
        <v>3758</v>
      </c>
      <c r="L2916" s="6" t="s">
        <v>3763</v>
      </c>
      <c r="M2916" s="6" t="e">
        <f>INDEX(医院2县区2人!$B$2:$B$1048576,MATCH(L2916,医院2县区2人!$A$2:$A$1048576,0))</f>
        <v>#N/A</v>
      </c>
      <c r="N2916" s="6" t="e">
        <f>INDEX(医院2县区2人!$C$2:$C$1048576,MATCH(L2916,医院2县区2人!$A$2:$A$1048576,0))</f>
        <v>#N/A</v>
      </c>
      <c r="P2916" s="7">
        <v>43280</v>
      </c>
      <c r="Q2916" s="6">
        <v>600</v>
      </c>
      <c r="R2916" s="6">
        <v>20.64</v>
      </c>
      <c r="S2916" s="6">
        <v>1801724</v>
      </c>
      <c r="T2916" s="6" t="e">
        <f>INDEX(医院2县区2人!$D$2:$D$1048576,MATCH(L2916,医院2县区2人!$A$2:$A$1048576,0))</f>
        <v>#N/A</v>
      </c>
      <c r="W2916" s="6" t="str">
        <f t="shared" si="93"/>
        <v>注射用丹参（冻干）400mg哈药集团中药二厂</v>
      </c>
      <c r="X2916" s="6" t="s">
        <v>2912</v>
      </c>
    </row>
    <row r="2917" spans="1:24" x14ac:dyDescent="0.15">
      <c r="A2917" s="7" t="str">
        <f t="shared" si="94"/>
        <v>201806</v>
      </c>
      <c r="C2917" s="6" t="str">
        <f>INDEX(工厂基础数据!$A$2:$A$1024,MATCH(X2917,工厂基础数据!$D$2:$D$1024,0))</f>
        <v>02031317</v>
      </c>
      <c r="E2917" s="6" t="str">
        <f>INDEX(工厂基础数据!$B$2:$B$1024,MATCH(X2917,工厂基础数据!$D$2:$D$1024,0))</f>
        <v>瑞康医药（山东）有限公司</v>
      </c>
      <c r="F2917" s="6" t="e">
        <f>INDEX(商业2转码!$B$2:$B$10000,MATCH(E2917,商业2转码!$A$2:$A$10000,0))</f>
        <v>#N/A</v>
      </c>
      <c r="G2917" s="6">
        <f>INDEX(品种2编码!$A$2:$A$1048576,MATCH(W2917,品种2编码!$D$2:$D$1048576,0))</f>
        <v>0</v>
      </c>
      <c r="H2917" s="6" t="s">
        <v>3760</v>
      </c>
      <c r="L2917" s="6" t="s">
        <v>3766</v>
      </c>
      <c r="M2917" s="6" t="e">
        <f>INDEX(医院2县区2人!$B$2:$B$1048576,MATCH(L2917,医院2县区2人!$A$2:$A$1048576,0))</f>
        <v>#N/A</v>
      </c>
      <c r="N2917" s="6" t="e">
        <f>INDEX(医院2县区2人!$C$2:$C$1048576,MATCH(L2917,医院2县区2人!$A$2:$A$1048576,0))</f>
        <v>#N/A</v>
      </c>
      <c r="P2917" s="7">
        <v>43277</v>
      </c>
      <c r="Q2917" s="6">
        <v>240</v>
      </c>
      <c r="R2917" s="6">
        <v>10</v>
      </c>
      <c r="S2917" s="6">
        <v>1805010</v>
      </c>
      <c r="T2917" s="6" t="e">
        <f>INDEX(医院2县区2人!$D$2:$D$1048576,MATCH(L2917,医院2县区2人!$A$2:$A$1048576,0))</f>
        <v>#N/A</v>
      </c>
      <c r="W2917" s="6" t="str">
        <f t="shared" si="93"/>
        <v>注射用双黄连(冻干)600mg哈药集团中药二厂</v>
      </c>
      <c r="X2917" s="6" t="s">
        <v>2912</v>
      </c>
    </row>
    <row r="2918" spans="1:24" x14ac:dyDescent="0.15">
      <c r="A2918" s="7" t="str">
        <f t="shared" si="94"/>
        <v>201806</v>
      </c>
      <c r="C2918" s="6" t="str">
        <f>INDEX(工厂基础数据!$A$2:$A$1024,MATCH(X2918,工厂基础数据!$D$2:$D$1024,0))</f>
        <v>02031317</v>
      </c>
      <c r="E2918" s="6" t="str">
        <f>INDEX(工厂基础数据!$B$2:$B$1024,MATCH(X2918,工厂基础数据!$D$2:$D$1024,0))</f>
        <v>瑞康医药（山东）有限公司</v>
      </c>
      <c r="F2918" s="6" t="e">
        <f>INDEX(商业2转码!$B$2:$B$10000,MATCH(E2918,商业2转码!$A$2:$A$10000,0))</f>
        <v>#N/A</v>
      </c>
      <c r="G2918" s="6">
        <f>INDEX(品种2编码!$A$2:$A$1048576,MATCH(W2918,品种2编码!$D$2:$D$1048576,0))</f>
        <v>0</v>
      </c>
      <c r="H2918" s="6" t="s">
        <v>3761</v>
      </c>
      <c r="L2918" s="6" t="s">
        <v>3767</v>
      </c>
      <c r="M2918" s="6" t="e">
        <f>INDEX(医院2县区2人!$B$2:$B$1048576,MATCH(L2918,医院2县区2人!$A$2:$A$1048576,0))</f>
        <v>#N/A</v>
      </c>
      <c r="N2918" s="6" t="e">
        <f>INDEX(医院2县区2人!$C$2:$C$1048576,MATCH(L2918,医院2县区2人!$A$2:$A$1048576,0))</f>
        <v>#N/A</v>
      </c>
      <c r="P2918" s="7">
        <v>43255</v>
      </c>
      <c r="Q2918" s="6">
        <v>500</v>
      </c>
      <c r="R2918" s="6">
        <v>2.8</v>
      </c>
      <c r="S2918" s="6">
        <v>201712021</v>
      </c>
      <c r="T2918" s="6" t="e">
        <f>INDEX(医院2县区2人!$D$2:$D$1048576,MATCH(L2918,医院2县区2人!$A$2:$A$1048576,0))</f>
        <v>#N/A</v>
      </c>
      <c r="W2918" s="6" t="str">
        <f t="shared" si="93"/>
        <v>注射用奥美拉唑钠40mg哈药集团生物工程</v>
      </c>
      <c r="X2918" s="6" t="s">
        <v>2912</v>
      </c>
    </row>
    <row r="2919" spans="1:24" x14ac:dyDescent="0.15">
      <c r="A2919" s="7" t="str">
        <f t="shared" si="94"/>
        <v>201806</v>
      </c>
      <c r="C2919" s="6" t="str">
        <f>INDEX(工厂基础数据!$A$2:$A$1024,MATCH(X2919,工厂基础数据!$D$2:$D$1024,0))</f>
        <v>02031317</v>
      </c>
      <c r="E2919" s="6" t="str">
        <f>INDEX(工厂基础数据!$B$2:$B$1024,MATCH(X2919,工厂基础数据!$D$2:$D$1024,0))</f>
        <v>瑞康医药（山东）有限公司</v>
      </c>
      <c r="F2919" s="6" t="e">
        <f>INDEX(商业2转码!$B$2:$B$10000,MATCH(E2919,商业2转码!$A$2:$A$10000,0))</f>
        <v>#N/A</v>
      </c>
      <c r="G2919" s="6">
        <f>INDEX(品种2编码!$A$2:$A$1048576,MATCH(W2919,品种2编码!$D$2:$D$1048576,0))</f>
        <v>0</v>
      </c>
      <c r="H2919" s="6" t="s">
        <v>3761</v>
      </c>
      <c r="L2919" s="6" t="s">
        <v>2797</v>
      </c>
      <c r="M2919" s="6">
        <f>INDEX(医院2县区2人!$B$2:$B$1048576,MATCH(L2919,医院2县区2人!$A$2:$A$1048576,0))</f>
        <v>2</v>
      </c>
      <c r="N2919" s="6" t="str">
        <f>INDEX(医院2县区2人!$C$2:$C$1048576,MATCH(L2919,医院2县区2人!$A$2:$A$1048576,0))</f>
        <v>1835</v>
      </c>
      <c r="P2919" s="7">
        <v>43256</v>
      </c>
      <c r="Q2919" s="6">
        <v>30</v>
      </c>
      <c r="R2919" s="6">
        <v>2.8</v>
      </c>
      <c r="S2919" s="6">
        <v>201712021</v>
      </c>
      <c r="T2919" s="6">
        <f>INDEX(医院2县区2人!$D$2:$D$1048576,MATCH(L2919,医院2县区2人!$A$2:$A$1048576,0))</f>
        <v>0</v>
      </c>
      <c r="W2919" s="6" t="str">
        <f t="shared" si="93"/>
        <v>注射用奥美拉唑钠40mg哈药集团生物工程</v>
      </c>
      <c r="X2919" s="6" t="s">
        <v>2912</v>
      </c>
    </row>
    <row r="2920" spans="1:24" x14ac:dyDescent="0.15">
      <c r="A2920" s="7" t="str">
        <f t="shared" si="94"/>
        <v>201806</v>
      </c>
      <c r="C2920" s="6" t="str">
        <f>INDEX(工厂基础数据!$A$2:$A$1024,MATCH(X2920,工厂基础数据!$D$2:$D$1024,0))</f>
        <v>02031317</v>
      </c>
      <c r="E2920" s="6" t="str">
        <f>INDEX(工厂基础数据!$B$2:$B$1024,MATCH(X2920,工厂基础数据!$D$2:$D$1024,0))</f>
        <v>瑞康医药（山东）有限公司</v>
      </c>
      <c r="F2920" s="6" t="e">
        <f>INDEX(商业2转码!$B$2:$B$10000,MATCH(E2920,商业2转码!$A$2:$A$10000,0))</f>
        <v>#N/A</v>
      </c>
      <c r="G2920" s="6">
        <f>INDEX(品种2编码!$A$2:$A$1048576,MATCH(W2920,品种2编码!$D$2:$D$1048576,0))</f>
        <v>0</v>
      </c>
      <c r="H2920" s="6" t="s">
        <v>3761</v>
      </c>
      <c r="L2920" s="6" t="s">
        <v>3768</v>
      </c>
      <c r="M2920" s="6" t="e">
        <f>INDEX(医院2县区2人!$B$2:$B$1048576,MATCH(L2920,医院2县区2人!$A$2:$A$1048576,0))</f>
        <v>#N/A</v>
      </c>
      <c r="N2920" s="6" t="e">
        <f>INDEX(医院2县区2人!$C$2:$C$1048576,MATCH(L2920,医院2县区2人!$A$2:$A$1048576,0))</f>
        <v>#N/A</v>
      </c>
      <c r="P2920" s="7">
        <v>43256</v>
      </c>
      <c r="Q2920" s="6">
        <v>200</v>
      </c>
      <c r="R2920" s="6">
        <v>2.8</v>
      </c>
      <c r="S2920" s="6">
        <v>201712021</v>
      </c>
      <c r="T2920" s="6" t="e">
        <f>INDEX(医院2县区2人!$D$2:$D$1048576,MATCH(L2920,医院2县区2人!$A$2:$A$1048576,0))</f>
        <v>#N/A</v>
      </c>
      <c r="W2920" s="6" t="str">
        <f t="shared" si="93"/>
        <v>注射用奥美拉唑钠40mg哈药集团生物工程</v>
      </c>
      <c r="X2920" s="6" t="s">
        <v>2912</v>
      </c>
    </row>
    <row r="2921" spans="1:24" x14ac:dyDescent="0.15">
      <c r="A2921" s="7" t="str">
        <f t="shared" si="94"/>
        <v>201806</v>
      </c>
      <c r="C2921" s="6" t="str">
        <f>INDEX(工厂基础数据!$A$2:$A$1024,MATCH(X2921,工厂基础数据!$D$2:$D$1024,0))</f>
        <v>02031317</v>
      </c>
      <c r="E2921" s="6" t="str">
        <f>INDEX(工厂基础数据!$B$2:$B$1024,MATCH(X2921,工厂基础数据!$D$2:$D$1024,0))</f>
        <v>瑞康医药（山东）有限公司</v>
      </c>
      <c r="F2921" s="6" t="e">
        <f>INDEX(商业2转码!$B$2:$B$10000,MATCH(E2921,商业2转码!$A$2:$A$10000,0))</f>
        <v>#N/A</v>
      </c>
      <c r="G2921" s="6">
        <f>INDEX(品种2编码!$A$2:$A$1048576,MATCH(W2921,品种2编码!$D$2:$D$1048576,0))</f>
        <v>0</v>
      </c>
      <c r="H2921" s="6" t="s">
        <v>3761</v>
      </c>
      <c r="L2921" s="6" t="s">
        <v>3769</v>
      </c>
      <c r="M2921" s="6" t="e">
        <f>INDEX(医院2县区2人!$B$2:$B$1048576,MATCH(L2921,医院2县区2人!$A$2:$A$1048576,0))</f>
        <v>#N/A</v>
      </c>
      <c r="N2921" s="6" t="e">
        <f>INDEX(医院2县区2人!$C$2:$C$1048576,MATCH(L2921,医院2县区2人!$A$2:$A$1048576,0))</f>
        <v>#N/A</v>
      </c>
      <c r="P2921" s="7">
        <v>43257</v>
      </c>
      <c r="Q2921" s="6">
        <v>600</v>
      </c>
      <c r="R2921" s="6">
        <v>2.8</v>
      </c>
      <c r="S2921" s="6">
        <v>201712021</v>
      </c>
      <c r="T2921" s="6" t="e">
        <f>INDEX(医院2县区2人!$D$2:$D$1048576,MATCH(L2921,医院2县区2人!$A$2:$A$1048576,0))</f>
        <v>#N/A</v>
      </c>
      <c r="W2921" s="6" t="str">
        <f t="shared" si="93"/>
        <v>注射用奥美拉唑钠40mg哈药集团生物工程</v>
      </c>
      <c r="X2921" s="6" t="s">
        <v>2912</v>
      </c>
    </row>
    <row r="2922" spans="1:24" x14ac:dyDescent="0.15">
      <c r="A2922" s="7" t="str">
        <f t="shared" si="94"/>
        <v>201806</v>
      </c>
      <c r="C2922" s="6" t="str">
        <f>INDEX(工厂基础数据!$A$2:$A$1024,MATCH(X2922,工厂基础数据!$D$2:$D$1024,0))</f>
        <v>02031317</v>
      </c>
      <c r="E2922" s="6" t="str">
        <f>INDEX(工厂基础数据!$B$2:$B$1024,MATCH(X2922,工厂基础数据!$D$2:$D$1024,0))</f>
        <v>瑞康医药（山东）有限公司</v>
      </c>
      <c r="F2922" s="6" t="e">
        <f>INDEX(商业2转码!$B$2:$B$10000,MATCH(E2922,商业2转码!$A$2:$A$10000,0))</f>
        <v>#N/A</v>
      </c>
      <c r="G2922" s="6">
        <f>INDEX(品种2编码!$A$2:$A$1048576,MATCH(W2922,品种2编码!$D$2:$D$1048576,0))</f>
        <v>0</v>
      </c>
      <c r="H2922" s="6" t="s">
        <v>3761</v>
      </c>
      <c r="L2922" s="6" t="s">
        <v>3770</v>
      </c>
      <c r="M2922" s="6" t="e">
        <f>INDEX(医院2县区2人!$B$2:$B$1048576,MATCH(L2922,医院2县区2人!$A$2:$A$1048576,0))</f>
        <v>#N/A</v>
      </c>
      <c r="N2922" s="6" t="e">
        <f>INDEX(医院2县区2人!$C$2:$C$1048576,MATCH(L2922,医院2县区2人!$A$2:$A$1048576,0))</f>
        <v>#N/A</v>
      </c>
      <c r="P2922" s="7">
        <v>43257</v>
      </c>
      <c r="Q2922" s="6">
        <v>200</v>
      </c>
      <c r="R2922" s="6">
        <v>2.8</v>
      </c>
      <c r="S2922" s="6">
        <v>201712021</v>
      </c>
      <c r="T2922" s="6" t="e">
        <f>INDEX(医院2县区2人!$D$2:$D$1048576,MATCH(L2922,医院2县区2人!$A$2:$A$1048576,0))</f>
        <v>#N/A</v>
      </c>
      <c r="W2922" s="6" t="str">
        <f t="shared" si="93"/>
        <v>注射用奥美拉唑钠40mg哈药集团生物工程</v>
      </c>
      <c r="X2922" s="6" t="s">
        <v>2912</v>
      </c>
    </row>
    <row r="2923" spans="1:24" x14ac:dyDescent="0.15">
      <c r="A2923" s="7" t="str">
        <f t="shared" si="94"/>
        <v>201806</v>
      </c>
      <c r="C2923" s="6" t="str">
        <f>INDEX(工厂基础数据!$A$2:$A$1024,MATCH(X2923,工厂基础数据!$D$2:$D$1024,0))</f>
        <v>02031317</v>
      </c>
      <c r="E2923" s="6" t="str">
        <f>INDEX(工厂基础数据!$B$2:$B$1024,MATCH(X2923,工厂基础数据!$D$2:$D$1024,0))</f>
        <v>瑞康医药（山东）有限公司</v>
      </c>
      <c r="F2923" s="6" t="e">
        <f>INDEX(商业2转码!$B$2:$B$10000,MATCH(E2923,商业2转码!$A$2:$A$10000,0))</f>
        <v>#N/A</v>
      </c>
      <c r="G2923" s="6">
        <f>INDEX(品种2编码!$A$2:$A$1048576,MATCH(W2923,品种2编码!$D$2:$D$1048576,0))</f>
        <v>0</v>
      </c>
      <c r="H2923" s="6" t="s">
        <v>3761</v>
      </c>
      <c r="L2923" s="6" t="s">
        <v>3771</v>
      </c>
      <c r="M2923" s="6" t="e">
        <f>INDEX(医院2县区2人!$B$2:$B$1048576,MATCH(L2923,医院2县区2人!$A$2:$A$1048576,0))</f>
        <v>#N/A</v>
      </c>
      <c r="N2923" s="6" t="e">
        <f>INDEX(医院2县区2人!$C$2:$C$1048576,MATCH(L2923,医院2县区2人!$A$2:$A$1048576,0))</f>
        <v>#N/A</v>
      </c>
      <c r="P2923" s="7">
        <v>43257</v>
      </c>
      <c r="Q2923" s="6">
        <v>500</v>
      </c>
      <c r="R2923" s="6">
        <v>2.8</v>
      </c>
      <c r="S2923" s="6">
        <v>201712021</v>
      </c>
      <c r="T2923" s="6" t="e">
        <f>INDEX(医院2县区2人!$D$2:$D$1048576,MATCH(L2923,医院2县区2人!$A$2:$A$1048576,0))</f>
        <v>#N/A</v>
      </c>
      <c r="W2923" s="6" t="str">
        <f t="shared" si="93"/>
        <v>注射用奥美拉唑钠40mg哈药集团生物工程</v>
      </c>
      <c r="X2923" s="6" t="s">
        <v>2912</v>
      </c>
    </row>
    <row r="2924" spans="1:24" x14ac:dyDescent="0.15">
      <c r="A2924" s="7" t="str">
        <f t="shared" si="94"/>
        <v>201806</v>
      </c>
      <c r="C2924" s="6" t="str">
        <f>INDEX(工厂基础数据!$A$2:$A$1024,MATCH(X2924,工厂基础数据!$D$2:$D$1024,0))</f>
        <v>02031317</v>
      </c>
      <c r="E2924" s="6" t="str">
        <f>INDEX(工厂基础数据!$B$2:$B$1024,MATCH(X2924,工厂基础数据!$D$2:$D$1024,0))</f>
        <v>瑞康医药（山东）有限公司</v>
      </c>
      <c r="F2924" s="6" t="e">
        <f>INDEX(商业2转码!$B$2:$B$10000,MATCH(E2924,商业2转码!$A$2:$A$10000,0))</f>
        <v>#N/A</v>
      </c>
      <c r="G2924" s="6">
        <f>INDEX(品种2编码!$A$2:$A$1048576,MATCH(W2924,品种2编码!$D$2:$D$1048576,0))</f>
        <v>0</v>
      </c>
      <c r="H2924" s="6" t="s">
        <v>3761</v>
      </c>
      <c r="L2924" s="6" t="s">
        <v>3767</v>
      </c>
      <c r="M2924" s="6" t="e">
        <f>INDEX(医院2县区2人!$B$2:$B$1048576,MATCH(L2924,医院2县区2人!$A$2:$A$1048576,0))</f>
        <v>#N/A</v>
      </c>
      <c r="N2924" s="6" t="e">
        <f>INDEX(医院2县区2人!$C$2:$C$1048576,MATCH(L2924,医院2县区2人!$A$2:$A$1048576,0))</f>
        <v>#N/A</v>
      </c>
      <c r="P2924" s="7">
        <v>43266</v>
      </c>
      <c r="Q2924" s="6">
        <v>140</v>
      </c>
      <c r="R2924" s="6">
        <v>2.8</v>
      </c>
      <c r="S2924" s="6">
        <v>201712021</v>
      </c>
      <c r="T2924" s="6" t="e">
        <f>INDEX(医院2县区2人!$D$2:$D$1048576,MATCH(L2924,医院2县区2人!$A$2:$A$1048576,0))</f>
        <v>#N/A</v>
      </c>
      <c r="W2924" s="6" t="str">
        <f t="shared" si="93"/>
        <v>注射用奥美拉唑钠40mg哈药集团生物工程</v>
      </c>
      <c r="X2924" s="6" t="s">
        <v>2912</v>
      </c>
    </row>
    <row r="2925" spans="1:24" x14ac:dyDescent="0.15">
      <c r="A2925" s="7" t="str">
        <f t="shared" si="94"/>
        <v>201806</v>
      </c>
      <c r="C2925" s="6" t="str">
        <f>INDEX(工厂基础数据!$A$2:$A$1024,MATCH(X2925,工厂基础数据!$D$2:$D$1024,0))</f>
        <v>02031317</v>
      </c>
      <c r="E2925" s="6" t="str">
        <f>INDEX(工厂基础数据!$B$2:$B$1024,MATCH(X2925,工厂基础数据!$D$2:$D$1024,0))</f>
        <v>瑞康医药（山东）有限公司</v>
      </c>
      <c r="F2925" s="6" t="e">
        <f>INDEX(商业2转码!$B$2:$B$10000,MATCH(E2925,商业2转码!$A$2:$A$10000,0))</f>
        <v>#N/A</v>
      </c>
      <c r="G2925" s="6">
        <f>INDEX(品种2编码!$A$2:$A$1048576,MATCH(W2925,品种2编码!$D$2:$D$1048576,0))</f>
        <v>0</v>
      </c>
      <c r="H2925" s="6" t="s">
        <v>3761</v>
      </c>
      <c r="L2925" s="6" t="s">
        <v>3772</v>
      </c>
      <c r="M2925" s="6" t="e">
        <f>INDEX(医院2县区2人!$B$2:$B$1048576,MATCH(L2925,医院2县区2人!$A$2:$A$1048576,0))</f>
        <v>#N/A</v>
      </c>
      <c r="N2925" s="6" t="e">
        <f>INDEX(医院2县区2人!$C$2:$C$1048576,MATCH(L2925,医院2县区2人!$A$2:$A$1048576,0))</f>
        <v>#N/A</v>
      </c>
      <c r="P2925" s="7">
        <v>43265</v>
      </c>
      <c r="Q2925" s="6">
        <v>100</v>
      </c>
      <c r="R2925" s="6">
        <v>2.8</v>
      </c>
      <c r="S2925" s="6">
        <v>201712021</v>
      </c>
      <c r="T2925" s="6" t="e">
        <f>INDEX(医院2县区2人!$D$2:$D$1048576,MATCH(L2925,医院2县区2人!$A$2:$A$1048576,0))</f>
        <v>#N/A</v>
      </c>
      <c r="W2925" s="6" t="str">
        <f t="shared" si="93"/>
        <v>注射用奥美拉唑钠40mg哈药集团生物工程</v>
      </c>
      <c r="X2925" s="6" t="s">
        <v>2912</v>
      </c>
    </row>
    <row r="2926" spans="1:24" x14ac:dyDescent="0.15">
      <c r="A2926" s="7" t="str">
        <f t="shared" si="94"/>
        <v>201806</v>
      </c>
      <c r="C2926" s="6" t="str">
        <f>INDEX(工厂基础数据!$A$2:$A$1024,MATCH(X2926,工厂基础数据!$D$2:$D$1024,0))</f>
        <v>02031317</v>
      </c>
      <c r="E2926" s="6" t="str">
        <f>INDEX(工厂基础数据!$B$2:$B$1024,MATCH(X2926,工厂基础数据!$D$2:$D$1024,0))</f>
        <v>瑞康医药（山东）有限公司</v>
      </c>
      <c r="F2926" s="6" t="e">
        <f>INDEX(商业2转码!$B$2:$B$10000,MATCH(E2926,商业2转码!$A$2:$A$10000,0))</f>
        <v>#N/A</v>
      </c>
      <c r="G2926" s="6">
        <f>INDEX(品种2编码!$A$2:$A$1048576,MATCH(W2926,品种2编码!$D$2:$D$1048576,0))</f>
        <v>0</v>
      </c>
      <c r="H2926" s="6" t="s">
        <v>3761</v>
      </c>
      <c r="L2926" s="6" t="s">
        <v>3773</v>
      </c>
      <c r="M2926" s="6" t="e">
        <f>INDEX(医院2县区2人!$B$2:$B$1048576,MATCH(L2926,医院2县区2人!$A$2:$A$1048576,0))</f>
        <v>#N/A</v>
      </c>
      <c r="N2926" s="6" t="e">
        <f>INDEX(医院2县区2人!$C$2:$C$1048576,MATCH(L2926,医院2县区2人!$A$2:$A$1048576,0))</f>
        <v>#N/A</v>
      </c>
      <c r="P2926" s="7">
        <v>43277</v>
      </c>
      <c r="Q2926" s="6">
        <v>40</v>
      </c>
      <c r="R2926" s="6">
        <v>2.8</v>
      </c>
      <c r="S2926" s="6">
        <v>201712021</v>
      </c>
      <c r="T2926" s="6" t="e">
        <f>INDEX(医院2县区2人!$D$2:$D$1048576,MATCH(L2926,医院2县区2人!$A$2:$A$1048576,0))</f>
        <v>#N/A</v>
      </c>
      <c r="W2926" s="6" t="str">
        <f t="shared" si="93"/>
        <v>注射用奥美拉唑钠40mg哈药集团生物工程</v>
      </c>
      <c r="X2926" s="6" t="s">
        <v>2912</v>
      </c>
    </row>
    <row r="2927" spans="1:24" x14ac:dyDescent="0.15">
      <c r="A2927" s="7" t="str">
        <f t="shared" si="94"/>
        <v>201806</v>
      </c>
      <c r="C2927" s="6" t="str">
        <f>INDEX(工厂基础数据!$A$2:$A$1024,MATCH(X2927,工厂基础数据!$D$2:$D$1024,0))</f>
        <v>02010326</v>
      </c>
      <c r="E2927" s="6" t="str">
        <f>INDEX(工厂基础数据!$B$2:$B$1024,MATCH(X2927,工厂基础数据!$D$2:$D$1024,0))</f>
        <v>山东福华医药有限公司</v>
      </c>
      <c r="F2927" s="6">
        <f>INDEX(商业2转码!$B$2:$B$10000,MATCH(E2927,商业2转码!$A$2:$A$10000,0))</f>
        <v>0</v>
      </c>
      <c r="G2927" s="6" t="str">
        <f>INDEX(品种2编码!$A$2:$A$1048576,MATCH(W2927,品种2编码!$D$2:$D$1048576,0))</f>
        <v>0020030001SJZY0009</v>
      </c>
      <c r="H2927" s="6" t="s">
        <v>555</v>
      </c>
      <c r="I2927" s="6" t="s">
        <v>411</v>
      </c>
      <c r="J2927" s="6" t="s">
        <v>3785</v>
      </c>
      <c r="L2927" s="6" t="s">
        <v>2085</v>
      </c>
      <c r="M2927" s="6">
        <f>INDEX(医院2县区2人!$B$2:$B$1048576,MATCH(L2927,医院2县区2人!$A$2:$A$1048576,0))</f>
        <v>1</v>
      </c>
      <c r="N2927" s="6" t="str">
        <f>INDEX(医院2县区2人!$C$2:$C$1048576,MATCH(L2927,医院2县区2人!$A$2:$A$1048576,0))</f>
        <v>1859</v>
      </c>
      <c r="P2927" s="7">
        <v>43281</v>
      </c>
      <c r="Q2927" s="6">
        <v>6</v>
      </c>
      <c r="R2927" s="6">
        <v>17.3</v>
      </c>
      <c r="S2927" s="6">
        <v>17070527</v>
      </c>
      <c r="T2927" s="6" t="str">
        <f>INDEX(医院2县区2人!$D$2:$D$1048576,MATCH(L2927,医院2县区2人!$A$2:$A$1048576,0))</f>
        <v>201602151421097</v>
      </c>
      <c r="W2927" s="6" t="str">
        <f t="shared" si="93"/>
        <v>葡萄糖酸锌口服液10ml*12支</v>
      </c>
      <c r="X2927" s="6" t="s">
        <v>2879</v>
      </c>
    </row>
    <row r="2928" spans="1:24" x14ac:dyDescent="0.15">
      <c r="A2928" s="7" t="str">
        <f t="shared" si="94"/>
        <v>201806</v>
      </c>
      <c r="C2928" s="6" t="str">
        <f>INDEX(工厂基础数据!$A$2:$A$1024,MATCH(X2928,工厂基础数据!$D$2:$D$1024,0))</f>
        <v>02010326</v>
      </c>
      <c r="E2928" s="6" t="str">
        <f>INDEX(工厂基础数据!$B$2:$B$1024,MATCH(X2928,工厂基础数据!$D$2:$D$1024,0))</f>
        <v>山东福华医药有限公司</v>
      </c>
      <c r="F2928" s="6">
        <f>INDEX(商业2转码!$B$2:$B$10000,MATCH(E2928,商业2转码!$A$2:$A$10000,0))</f>
        <v>0</v>
      </c>
      <c r="G2928" s="6" t="str">
        <f>INDEX(品种2编码!$A$2:$A$1048576,MATCH(W2928,品种2编码!$D$2:$D$1048576,0))</f>
        <v>0020070000ZYLC0001</v>
      </c>
      <c r="H2928" s="6" t="s">
        <v>1837</v>
      </c>
      <c r="I2928" s="6" t="s">
        <v>1838</v>
      </c>
      <c r="J2928" s="6" t="s">
        <v>3036</v>
      </c>
      <c r="L2928" s="6" t="s">
        <v>2127</v>
      </c>
      <c r="M2928" s="6">
        <f>INDEX(医院2县区2人!$B$2:$B$1048576,MATCH(L2928,医院2县区2人!$A$2:$A$1048576,0))</f>
        <v>2</v>
      </c>
      <c r="N2928" s="6" t="str">
        <f>INDEX(医院2县区2人!$C$2:$C$1048576,MATCH(L2928,医院2县区2人!$A$2:$A$1048576,0))</f>
        <v>1859</v>
      </c>
      <c r="P2928" s="7">
        <v>43281</v>
      </c>
      <c r="Q2928" s="6">
        <v>2</v>
      </c>
      <c r="R2928" s="6">
        <v>24.3</v>
      </c>
      <c r="S2928" s="6">
        <v>180104</v>
      </c>
      <c r="T2928" s="6" t="str">
        <f>INDEX(医院2县区2人!$D$2:$D$1048576,MATCH(L2928,医院2县区2人!$A$2:$A$1048576,0))</f>
        <v>201602151421097</v>
      </c>
      <c r="W2928" s="6" t="str">
        <f t="shared" si="93"/>
        <v>新盖中盖高钙片(成人)/盖中盖2.5g*36片</v>
      </c>
      <c r="X2928" s="6" t="s">
        <v>2879</v>
      </c>
    </row>
    <row r="2929" spans="1:24" x14ac:dyDescent="0.15">
      <c r="A2929" s="7" t="str">
        <f t="shared" si="94"/>
        <v>201806</v>
      </c>
      <c r="C2929" s="6" t="str">
        <f>INDEX(工厂基础数据!$A$2:$A$1024,MATCH(X2929,工厂基础数据!$D$2:$D$1024,0))</f>
        <v>02010326</v>
      </c>
      <c r="E2929" s="6" t="str">
        <f>INDEX(工厂基础数据!$B$2:$B$1024,MATCH(X2929,工厂基础数据!$D$2:$D$1024,0))</f>
        <v>山东福华医药有限公司</v>
      </c>
      <c r="F2929" s="6">
        <f>INDEX(商业2转码!$B$2:$B$10000,MATCH(E2929,商业2转码!$A$2:$A$10000,0))</f>
        <v>0</v>
      </c>
      <c r="G2929" s="6" t="str">
        <f>INDEX(品种2编码!$A$2:$A$1048576,MATCH(W2929,品种2编码!$D$2:$D$1048576,0))</f>
        <v>0020020020SJMS0006</v>
      </c>
      <c r="H2929" s="6" t="s">
        <v>516</v>
      </c>
      <c r="I2929" s="6" t="s">
        <v>1856</v>
      </c>
      <c r="J2929" s="6" t="s">
        <v>3046</v>
      </c>
      <c r="L2929" s="6" t="s">
        <v>2135</v>
      </c>
      <c r="M2929" s="6">
        <f>INDEX(医院2县区2人!$B$2:$B$1048576,MATCH(L2929,医院2县区2人!$A$2:$A$1048576,0))</f>
        <v>2</v>
      </c>
      <c r="N2929" s="6" t="str">
        <f>INDEX(医院2县区2人!$C$2:$C$1048576,MATCH(L2929,医院2县区2人!$A$2:$A$1048576,0))</f>
        <v>1859</v>
      </c>
      <c r="P2929" s="7">
        <v>43281</v>
      </c>
      <c r="Q2929" s="6">
        <v>10</v>
      </c>
      <c r="R2929" s="6">
        <v>1.6</v>
      </c>
      <c r="S2929" s="6">
        <v>1801006</v>
      </c>
      <c r="T2929" s="6" t="str">
        <f>INDEX(医院2县区2人!$D$2:$D$1048576,MATCH(L2929,医院2县区2人!$A$2:$A$1048576,0))</f>
        <v>201602151421097</v>
      </c>
      <c r="W2929" s="6" t="str">
        <f t="shared" si="93"/>
        <v>尼莫地平片20mg*50片</v>
      </c>
      <c r="X2929" s="6" t="s">
        <v>2879</v>
      </c>
    </row>
    <row r="2930" spans="1:24" x14ac:dyDescent="0.15">
      <c r="A2930" s="7" t="str">
        <f t="shared" si="94"/>
        <v>201806</v>
      </c>
      <c r="C2930" s="6" t="str">
        <f>INDEX(工厂基础数据!$A$2:$A$1024,MATCH(X2930,工厂基础数据!$D$2:$D$1024,0))</f>
        <v>02010326</v>
      </c>
      <c r="E2930" s="6" t="str">
        <f>INDEX(工厂基础数据!$B$2:$B$1024,MATCH(X2930,工厂基础数据!$D$2:$D$1024,0))</f>
        <v>山东福华医药有限公司</v>
      </c>
      <c r="F2930" s="6">
        <f>INDEX(商业2转码!$B$2:$B$10000,MATCH(E2930,商业2转码!$A$2:$A$10000,0))</f>
        <v>0</v>
      </c>
      <c r="G2930" s="6" t="str">
        <f>INDEX(品种2编码!$A$2:$A$1048576,MATCH(W2930,品种2编码!$D$2:$D$1048576,0))</f>
        <v>0020070001ZYZC0383</v>
      </c>
      <c r="H2930" s="6" t="s">
        <v>1849</v>
      </c>
      <c r="I2930" s="6" t="s">
        <v>1850</v>
      </c>
      <c r="J2930" s="6" t="s">
        <v>3038</v>
      </c>
      <c r="L2930" s="6" t="s">
        <v>2078</v>
      </c>
      <c r="M2930" s="6">
        <f>INDEX(医院2县区2人!$B$2:$B$1048576,MATCH(L2930,医院2县区2人!$A$2:$A$1048576,0))</f>
        <v>4</v>
      </c>
      <c r="N2930" s="6" t="str">
        <f>INDEX(医院2县区2人!$C$2:$C$1048576,MATCH(L2930,医院2县区2人!$A$2:$A$1048576,0))</f>
        <v>1859</v>
      </c>
      <c r="P2930" s="7">
        <v>43280</v>
      </c>
      <c r="Q2930" s="6">
        <v>10</v>
      </c>
      <c r="R2930" s="6">
        <v>14</v>
      </c>
      <c r="S2930" s="6">
        <v>1801107</v>
      </c>
      <c r="T2930" s="6" t="str">
        <f>INDEX(医院2县区2人!$D$2:$D$1048576,MATCH(L2930,医院2县区2人!$A$2:$A$1048576,0))</f>
        <v>201602151421097</v>
      </c>
      <c r="W2930" s="6" t="str">
        <f t="shared" si="93"/>
        <v>哈药牌钙铁锌口服液10ml*10支</v>
      </c>
      <c r="X2930" s="6" t="s">
        <v>2879</v>
      </c>
    </row>
    <row r="2931" spans="1:24" x14ac:dyDescent="0.15">
      <c r="A2931" s="7" t="str">
        <f t="shared" si="94"/>
        <v>201806</v>
      </c>
      <c r="C2931" s="6" t="str">
        <f>INDEX(工厂基础数据!$A$2:$A$1024,MATCH(X2931,工厂基础数据!$D$2:$D$1024,0))</f>
        <v>02010326</v>
      </c>
      <c r="E2931" s="6" t="str">
        <f>INDEX(工厂基础数据!$B$2:$B$1024,MATCH(X2931,工厂基础数据!$D$2:$D$1024,0))</f>
        <v>山东福华医药有限公司</v>
      </c>
      <c r="F2931" s="6">
        <f>INDEX(商业2转码!$B$2:$B$10000,MATCH(E2931,商业2转码!$A$2:$A$10000,0))</f>
        <v>0</v>
      </c>
      <c r="G2931" s="6" t="str">
        <f>INDEX(品种2编码!$A$2:$A$1048576,MATCH(W2931,品种2编码!$D$2:$D$1048576,0))</f>
        <v>0020020020ZYZC0473</v>
      </c>
      <c r="H2931" s="6" t="s">
        <v>745</v>
      </c>
      <c r="I2931" s="6" t="s">
        <v>290</v>
      </c>
      <c r="J2931" s="6" t="s">
        <v>3038</v>
      </c>
      <c r="L2931" s="6" t="s">
        <v>2094</v>
      </c>
      <c r="M2931" s="6">
        <f>INDEX(医院2县区2人!$B$2:$B$1048576,MATCH(L2931,医院2县区2人!$A$2:$A$1048576,0))</f>
        <v>1</v>
      </c>
      <c r="N2931" s="6" t="str">
        <f>INDEX(医院2县区2人!$C$2:$C$1048576,MATCH(L2931,医院2县区2人!$A$2:$A$1048576,0))</f>
        <v>1859</v>
      </c>
      <c r="P2931" s="7">
        <v>43280</v>
      </c>
      <c r="Q2931" s="6">
        <v>2</v>
      </c>
      <c r="R2931" s="6">
        <v>3.47</v>
      </c>
      <c r="S2931" s="6" t="s">
        <v>3056</v>
      </c>
      <c r="T2931" s="6" t="str">
        <f>INDEX(医院2县区2人!$D$2:$D$1048576,MATCH(L2931,医院2县区2人!$A$2:$A$1048576,0))</f>
        <v>201602151421097</v>
      </c>
      <c r="W2931" s="6" t="str">
        <f t="shared" si="93"/>
        <v>盐酸环丙沙星片0.25g*12片</v>
      </c>
      <c r="X2931" s="6" t="s">
        <v>2879</v>
      </c>
    </row>
    <row r="2932" spans="1:24" x14ac:dyDescent="0.15">
      <c r="A2932" s="7" t="str">
        <f t="shared" si="94"/>
        <v>201806</v>
      </c>
      <c r="C2932" s="6" t="str">
        <f>INDEX(工厂基础数据!$A$2:$A$1024,MATCH(X2932,工厂基础数据!$D$2:$D$1024,0))</f>
        <v>02010326</v>
      </c>
      <c r="E2932" s="6" t="str">
        <f>INDEX(工厂基础数据!$B$2:$B$1024,MATCH(X2932,工厂基础数据!$D$2:$D$1024,0))</f>
        <v>山东福华医药有限公司</v>
      </c>
      <c r="F2932" s="6">
        <f>INDEX(商业2转码!$B$2:$B$10000,MATCH(E2932,商业2转码!$A$2:$A$10000,0))</f>
        <v>0</v>
      </c>
      <c r="G2932" s="6" t="str">
        <f>INDEX(品种2编码!$A$2:$A$1048576,MATCH(W2932,品种2编码!$D$2:$D$1048576,0))</f>
        <v>0020030001SJZY0006</v>
      </c>
      <c r="H2932" s="6" t="s">
        <v>1833</v>
      </c>
      <c r="I2932" s="6" t="s">
        <v>411</v>
      </c>
      <c r="J2932" s="6" t="s">
        <v>3044</v>
      </c>
      <c r="L2932" s="6" t="s">
        <v>2775</v>
      </c>
      <c r="M2932" s="6">
        <f>INDEX(医院2县区2人!$B$2:$B$1048576,MATCH(L2932,医院2县区2人!$A$2:$A$1048576,0))</f>
        <v>2</v>
      </c>
      <c r="N2932" s="6" t="str">
        <f>INDEX(医院2县区2人!$C$2:$C$1048576,MATCH(L2932,医院2县区2人!$A$2:$A$1048576,0))</f>
        <v>1859</v>
      </c>
      <c r="P2932" s="7">
        <v>43280</v>
      </c>
      <c r="Q2932" s="6">
        <v>2</v>
      </c>
      <c r="R2932" s="6">
        <v>22.3</v>
      </c>
      <c r="S2932" s="6">
        <v>18030523</v>
      </c>
      <c r="T2932" s="6" t="str">
        <f>INDEX(医院2县区2人!$D$2:$D$1048576,MATCH(L2932,医院2县区2人!$A$2:$A$1048576,0))</f>
        <v>201602151421097</v>
      </c>
      <c r="W2932" s="6" t="str">
        <f t="shared" si="93"/>
        <v>葡萄糖酸钙口服溶液10ml*12支</v>
      </c>
      <c r="X2932" s="6" t="s">
        <v>2879</v>
      </c>
    </row>
    <row r="2933" spans="1:24" x14ac:dyDescent="0.15">
      <c r="A2933" s="7" t="str">
        <f t="shared" si="94"/>
        <v>201806</v>
      </c>
      <c r="C2933" s="6" t="str">
        <f>INDEX(工厂基础数据!$A$2:$A$1024,MATCH(X2933,工厂基础数据!$D$2:$D$1024,0))</f>
        <v>02010326</v>
      </c>
      <c r="E2933" s="6" t="str">
        <f>INDEX(工厂基础数据!$B$2:$B$1024,MATCH(X2933,工厂基础数据!$D$2:$D$1024,0))</f>
        <v>山东福华医药有限公司</v>
      </c>
      <c r="F2933" s="6">
        <f>INDEX(商业2转码!$B$2:$B$10000,MATCH(E2933,商业2转码!$A$2:$A$10000,0))</f>
        <v>0</v>
      </c>
      <c r="G2933" s="6" t="str">
        <f>INDEX(品种2编码!$A$2:$A$1048576,MATCH(W2933,品种2编码!$D$2:$D$1048576,0))</f>
        <v>0020050020SHYT0016</v>
      </c>
      <c r="H2933" s="6" t="s">
        <v>1864</v>
      </c>
      <c r="I2933" s="6" t="s">
        <v>339</v>
      </c>
      <c r="J2933" s="6" t="s">
        <v>3037</v>
      </c>
      <c r="L2933" s="6" t="s">
        <v>2089</v>
      </c>
      <c r="M2933" s="6">
        <f>INDEX(医院2县区2人!$B$2:$B$1048576,MATCH(L2933,医院2县区2人!$A$2:$A$1048576,0))</f>
        <v>1</v>
      </c>
      <c r="N2933" s="6" t="str">
        <f>INDEX(医院2县区2人!$C$2:$C$1048576,MATCH(L2933,医院2县区2人!$A$2:$A$1048576,0))</f>
        <v>1859</v>
      </c>
      <c r="P2933" s="7">
        <v>43280</v>
      </c>
      <c r="Q2933" s="6">
        <v>10</v>
      </c>
      <c r="R2933" s="6">
        <v>12.45</v>
      </c>
      <c r="S2933" s="6">
        <v>1702507</v>
      </c>
      <c r="T2933" s="6" t="str">
        <f>INDEX(医院2县区2人!$D$2:$D$1048576,MATCH(L2933,医院2县区2人!$A$2:$A$1048576,0))</f>
        <v>201602151421097</v>
      </c>
      <c r="W2933" s="6" t="str">
        <f t="shared" si="93"/>
        <v>复方金银花颗粒10g*10袋</v>
      </c>
      <c r="X2933" s="6" t="s">
        <v>2879</v>
      </c>
    </row>
    <row r="2934" spans="1:24" x14ac:dyDescent="0.15">
      <c r="A2934" s="7" t="str">
        <f t="shared" si="94"/>
        <v>201806</v>
      </c>
      <c r="C2934" s="6" t="str">
        <f>INDEX(工厂基础数据!$A$2:$A$1024,MATCH(X2934,工厂基础数据!$D$2:$D$1024,0))</f>
        <v>02010326</v>
      </c>
      <c r="E2934" s="6" t="str">
        <f>INDEX(工厂基础数据!$B$2:$B$1024,MATCH(X2934,工厂基础数据!$D$2:$D$1024,0))</f>
        <v>山东福华医药有限公司</v>
      </c>
      <c r="F2934" s="6">
        <f>INDEX(商业2转码!$B$2:$B$10000,MATCH(E2934,商业2转码!$A$2:$A$10000,0))</f>
        <v>0</v>
      </c>
      <c r="G2934" s="6" t="str">
        <f>INDEX(品种2编码!$A$2:$A$1048576,MATCH(W2934,品种2编码!$D$2:$D$1048576,0))</f>
        <v>0020020020ZYZC0473</v>
      </c>
      <c r="H2934" s="6" t="s">
        <v>745</v>
      </c>
      <c r="I2934" s="6" t="s">
        <v>290</v>
      </c>
      <c r="J2934" s="6" t="s">
        <v>3038</v>
      </c>
      <c r="L2934" s="6" t="s">
        <v>2093</v>
      </c>
      <c r="M2934" s="6">
        <f>INDEX(医院2县区2人!$B$2:$B$1048576,MATCH(L2934,医院2县区2人!$A$2:$A$1048576,0))</f>
        <v>1</v>
      </c>
      <c r="N2934" s="6" t="str">
        <f>INDEX(医院2县区2人!$C$2:$C$1048576,MATCH(L2934,医院2县区2人!$A$2:$A$1048576,0))</f>
        <v>1859</v>
      </c>
      <c r="P2934" s="7">
        <v>43280</v>
      </c>
      <c r="Q2934" s="6">
        <v>5</v>
      </c>
      <c r="R2934" s="6">
        <v>3.47</v>
      </c>
      <c r="S2934" s="6" t="s">
        <v>3056</v>
      </c>
      <c r="T2934" s="6" t="str">
        <f>INDEX(医院2县区2人!$D$2:$D$1048576,MATCH(L2934,医院2县区2人!$A$2:$A$1048576,0))</f>
        <v>201602151421097</v>
      </c>
      <c r="W2934" s="6" t="str">
        <f t="shared" si="93"/>
        <v>盐酸环丙沙星片0.25g*12片</v>
      </c>
      <c r="X2934" s="6" t="s">
        <v>2879</v>
      </c>
    </row>
    <row r="2935" spans="1:24" x14ac:dyDescent="0.15">
      <c r="A2935" s="7" t="str">
        <f t="shared" si="94"/>
        <v>201806</v>
      </c>
      <c r="C2935" s="6" t="str">
        <f>INDEX(工厂基础数据!$A$2:$A$1024,MATCH(X2935,工厂基础数据!$D$2:$D$1024,0))</f>
        <v>02010326</v>
      </c>
      <c r="E2935" s="6" t="str">
        <f>INDEX(工厂基础数据!$B$2:$B$1024,MATCH(X2935,工厂基础数据!$D$2:$D$1024,0))</f>
        <v>山东福华医药有限公司</v>
      </c>
      <c r="F2935" s="6">
        <f>INDEX(商业2转码!$B$2:$B$10000,MATCH(E2935,商业2转码!$A$2:$A$10000,0))</f>
        <v>0</v>
      </c>
      <c r="G2935" s="6" t="str">
        <f>INDEX(品种2编码!$A$2:$A$1048576,MATCH(W2935,品种2编码!$D$2:$D$1048576,0))</f>
        <v>0020020020ZYZC0473</v>
      </c>
      <c r="H2935" s="6" t="s">
        <v>745</v>
      </c>
      <c r="I2935" s="6" t="s">
        <v>290</v>
      </c>
      <c r="J2935" s="6" t="s">
        <v>3038</v>
      </c>
      <c r="L2935" s="6" t="s">
        <v>2092</v>
      </c>
      <c r="M2935" s="6">
        <f>INDEX(医院2县区2人!$B$2:$B$1048576,MATCH(L2935,医院2县区2人!$A$2:$A$1048576,0))</f>
        <v>1</v>
      </c>
      <c r="N2935" s="6" t="str">
        <f>INDEX(医院2县区2人!$C$2:$C$1048576,MATCH(L2935,医院2县区2人!$A$2:$A$1048576,0))</f>
        <v>1859</v>
      </c>
      <c r="P2935" s="7">
        <v>43280</v>
      </c>
      <c r="Q2935" s="6">
        <v>10</v>
      </c>
      <c r="R2935" s="6">
        <v>3.47</v>
      </c>
      <c r="S2935" s="6" t="s">
        <v>3056</v>
      </c>
      <c r="T2935" s="6" t="str">
        <f>INDEX(医院2县区2人!$D$2:$D$1048576,MATCH(L2935,医院2县区2人!$A$2:$A$1048576,0))</f>
        <v>201602151421097</v>
      </c>
      <c r="W2935" s="6" t="str">
        <f t="shared" si="93"/>
        <v>盐酸环丙沙星片0.25g*12片</v>
      </c>
      <c r="X2935" s="6" t="s">
        <v>2879</v>
      </c>
    </row>
    <row r="2936" spans="1:24" x14ac:dyDescent="0.15">
      <c r="A2936" s="7" t="str">
        <f t="shared" si="94"/>
        <v>201806</v>
      </c>
      <c r="C2936" s="6" t="str">
        <f>INDEX(工厂基础数据!$A$2:$A$1024,MATCH(X2936,工厂基础数据!$D$2:$D$1024,0))</f>
        <v>02010326</v>
      </c>
      <c r="E2936" s="6" t="str">
        <f>INDEX(工厂基础数据!$B$2:$B$1024,MATCH(X2936,工厂基础数据!$D$2:$D$1024,0))</f>
        <v>山东福华医药有限公司</v>
      </c>
      <c r="F2936" s="6">
        <f>INDEX(商业2转码!$B$2:$B$10000,MATCH(E2936,商业2转码!$A$2:$A$10000,0))</f>
        <v>0</v>
      </c>
      <c r="G2936" s="6" t="str">
        <f>INDEX(品种2编码!$A$2:$A$1048576,MATCH(W2936,品种2编码!$D$2:$D$1048576,0))</f>
        <v>0020030020SJSC0025</v>
      </c>
      <c r="H2936" s="6" t="s">
        <v>380</v>
      </c>
      <c r="I2936" s="6" t="s">
        <v>381</v>
      </c>
      <c r="J2936" s="6" t="s">
        <v>3036</v>
      </c>
      <c r="L2936" s="6" t="s">
        <v>2086</v>
      </c>
      <c r="M2936" s="6">
        <f>INDEX(医院2县区2人!$B$2:$B$1048576,MATCH(L2936,医院2县区2人!$A$2:$A$1048576,0))</f>
        <v>1</v>
      </c>
      <c r="N2936" s="6" t="str">
        <f>INDEX(医院2县区2人!$C$2:$C$1048576,MATCH(L2936,医院2县区2人!$A$2:$A$1048576,0))</f>
        <v>1859</v>
      </c>
      <c r="P2936" s="7">
        <v>43280</v>
      </c>
      <c r="Q2936" s="6">
        <v>1</v>
      </c>
      <c r="R2936" s="6">
        <v>0.01</v>
      </c>
      <c r="S2936" s="6">
        <v>170531</v>
      </c>
      <c r="T2936" s="6" t="str">
        <f>INDEX(医院2县区2人!$D$2:$D$1048576,MATCH(L2936,医院2县区2人!$A$2:$A$1048576,0))</f>
        <v>201602151421097</v>
      </c>
      <c r="W2936" s="6" t="str">
        <f t="shared" si="93"/>
        <v>复方氨酚烷胺片12片</v>
      </c>
      <c r="X2936" s="6" t="s">
        <v>2879</v>
      </c>
    </row>
    <row r="2937" spans="1:24" x14ac:dyDescent="0.15">
      <c r="A2937" s="7" t="str">
        <f t="shared" si="94"/>
        <v>201806</v>
      </c>
      <c r="C2937" s="6" t="str">
        <f>INDEX(工厂基础数据!$A$2:$A$1024,MATCH(X2937,工厂基础数据!$D$2:$D$1024,0))</f>
        <v>02010326</v>
      </c>
      <c r="E2937" s="6" t="str">
        <f>INDEX(工厂基础数据!$B$2:$B$1024,MATCH(X2937,工厂基础数据!$D$2:$D$1024,0))</f>
        <v>山东福华医药有限公司</v>
      </c>
      <c r="F2937" s="6">
        <f>INDEX(商业2转码!$B$2:$B$10000,MATCH(E2937,商业2转码!$A$2:$A$10000,0))</f>
        <v>0</v>
      </c>
      <c r="G2937" s="6" t="str">
        <f>INDEX(品种2编码!$A$2:$A$1048576,MATCH(W2937,品种2编码!$D$2:$D$1048576,0))</f>
        <v>0020050001SHYT0017</v>
      </c>
      <c r="H2937" s="6" t="s">
        <v>1861</v>
      </c>
      <c r="I2937" s="6" t="s">
        <v>444</v>
      </c>
      <c r="J2937" s="6" t="s">
        <v>3037</v>
      </c>
      <c r="L2937" s="6" t="s">
        <v>2093</v>
      </c>
      <c r="M2937" s="6">
        <f>INDEX(医院2县区2人!$B$2:$B$1048576,MATCH(L2937,医院2县区2人!$A$2:$A$1048576,0))</f>
        <v>1</v>
      </c>
      <c r="N2937" s="6" t="str">
        <f>INDEX(医院2县区2人!$C$2:$C$1048576,MATCH(L2937,医院2县区2人!$A$2:$A$1048576,0))</f>
        <v>1859</v>
      </c>
      <c r="P2937" s="7">
        <v>43280</v>
      </c>
      <c r="Q2937" s="6">
        <v>3</v>
      </c>
      <c r="R2937" s="6">
        <v>7.72</v>
      </c>
      <c r="S2937" s="6">
        <v>1606119</v>
      </c>
      <c r="T2937" s="6" t="str">
        <f>INDEX(医院2县区2人!$D$2:$D$1048576,MATCH(L2937,医院2县区2人!$A$2:$A$1048576,0))</f>
        <v>201602151421097</v>
      </c>
      <c r="W2937" s="6" t="str">
        <f t="shared" ref="W2937:W3000" si="95">H2937&amp;I2937</f>
        <v>附子理中丸9g*10丸</v>
      </c>
      <c r="X2937" s="6" t="s">
        <v>2879</v>
      </c>
    </row>
    <row r="2938" spans="1:24" x14ac:dyDescent="0.15">
      <c r="A2938" s="7" t="str">
        <f t="shared" ref="A2938:A3001" si="96">IF(MONTH(P2938)&lt;10,YEAR(P2938)&amp;"0"&amp;MONTH(P2938),YEAR(P2938)&amp;MONTH(P2938))</f>
        <v>201806</v>
      </c>
      <c r="C2938" s="6" t="str">
        <f>INDEX(工厂基础数据!$A$2:$A$1024,MATCH(X2938,工厂基础数据!$D$2:$D$1024,0))</f>
        <v>02010326</v>
      </c>
      <c r="E2938" s="6" t="str">
        <f>INDEX(工厂基础数据!$B$2:$B$1024,MATCH(X2938,工厂基础数据!$D$2:$D$1024,0))</f>
        <v>山东福华医药有限公司</v>
      </c>
      <c r="F2938" s="6">
        <f>INDEX(商业2转码!$B$2:$B$10000,MATCH(E2938,商业2转码!$A$2:$A$10000,0))</f>
        <v>0</v>
      </c>
      <c r="G2938" s="6" t="str">
        <f>INDEX(品种2编码!$A$2:$A$1048576,MATCH(W2938,品种2编码!$D$2:$D$1048576,0))</f>
        <v>0020070001ZYZC0383</v>
      </c>
      <c r="H2938" s="6" t="s">
        <v>1849</v>
      </c>
      <c r="I2938" s="6" t="s">
        <v>1850</v>
      </c>
      <c r="J2938" s="6" t="s">
        <v>3038</v>
      </c>
      <c r="L2938" s="6" t="s">
        <v>2091</v>
      </c>
      <c r="M2938" s="6">
        <f>INDEX(医院2县区2人!$B$2:$B$1048576,MATCH(L2938,医院2县区2人!$A$2:$A$1048576,0))</f>
        <v>1</v>
      </c>
      <c r="N2938" s="6" t="str">
        <f>INDEX(医院2县区2人!$C$2:$C$1048576,MATCH(L2938,医院2县区2人!$A$2:$A$1048576,0))</f>
        <v>1859</v>
      </c>
      <c r="P2938" s="7">
        <v>43280</v>
      </c>
      <c r="Q2938" s="6">
        <v>4</v>
      </c>
      <c r="R2938" s="6">
        <v>13.44</v>
      </c>
      <c r="S2938" s="6">
        <v>1801107</v>
      </c>
      <c r="T2938" s="6" t="str">
        <f>INDEX(医院2县区2人!$D$2:$D$1048576,MATCH(L2938,医院2县区2人!$A$2:$A$1048576,0))</f>
        <v>201602151421097</v>
      </c>
      <c r="W2938" s="6" t="str">
        <f t="shared" si="95"/>
        <v>哈药牌钙铁锌口服液10ml*10支</v>
      </c>
      <c r="X2938" s="6" t="s">
        <v>2879</v>
      </c>
    </row>
    <row r="2939" spans="1:24" x14ac:dyDescent="0.15">
      <c r="A2939" s="7" t="str">
        <f t="shared" si="96"/>
        <v>201806</v>
      </c>
      <c r="C2939" s="6" t="str">
        <f>INDEX(工厂基础数据!$A$2:$A$1024,MATCH(X2939,工厂基础数据!$D$2:$D$1024,0))</f>
        <v>02010326</v>
      </c>
      <c r="E2939" s="6" t="str">
        <f>INDEX(工厂基础数据!$B$2:$B$1024,MATCH(X2939,工厂基础数据!$D$2:$D$1024,0))</f>
        <v>山东福华医药有限公司</v>
      </c>
      <c r="F2939" s="6">
        <f>INDEX(商业2转码!$B$2:$B$10000,MATCH(E2939,商业2转码!$A$2:$A$10000,0))</f>
        <v>0</v>
      </c>
      <c r="G2939" s="6" t="str">
        <f>INDEX(品种2编码!$A$2:$A$1048576,MATCH(W2939,品种2编码!$D$2:$D$1048576,0))</f>
        <v>0020020021ZYZC0341</v>
      </c>
      <c r="H2939" s="6" t="s">
        <v>1854</v>
      </c>
      <c r="I2939" s="6" t="s">
        <v>279</v>
      </c>
      <c r="J2939" s="6" t="s">
        <v>3038</v>
      </c>
      <c r="L2939" s="6" t="s">
        <v>2093</v>
      </c>
      <c r="M2939" s="6">
        <f>INDEX(医院2县区2人!$B$2:$B$1048576,MATCH(L2939,医院2县区2人!$A$2:$A$1048576,0))</f>
        <v>1</v>
      </c>
      <c r="N2939" s="6" t="str">
        <f>INDEX(医院2县区2人!$C$2:$C$1048576,MATCH(L2939,医院2县区2人!$A$2:$A$1048576,0))</f>
        <v>1859</v>
      </c>
      <c r="P2939" s="7">
        <v>43280</v>
      </c>
      <c r="Q2939" s="6">
        <v>5</v>
      </c>
      <c r="R2939" s="6">
        <v>9.1199999999999992</v>
      </c>
      <c r="S2939" s="6" t="s">
        <v>3049</v>
      </c>
      <c r="T2939" s="6" t="str">
        <f>INDEX(医院2县区2人!$D$2:$D$1048576,MATCH(L2939,医院2县区2人!$A$2:$A$1048576,0))</f>
        <v>201602151421097</v>
      </c>
      <c r="W2939" s="6" t="str">
        <f t="shared" si="95"/>
        <v>阿莫西林克拉维酸钾分散片/胜艾0.2285g*12片</v>
      </c>
      <c r="X2939" s="6" t="s">
        <v>2879</v>
      </c>
    </row>
    <row r="2940" spans="1:24" x14ac:dyDescent="0.15">
      <c r="A2940" s="7" t="str">
        <f t="shared" si="96"/>
        <v>201806</v>
      </c>
      <c r="C2940" s="6" t="str">
        <f>INDEX(工厂基础数据!$A$2:$A$1024,MATCH(X2940,工厂基础数据!$D$2:$D$1024,0))</f>
        <v>02010326</v>
      </c>
      <c r="E2940" s="6" t="str">
        <f>INDEX(工厂基础数据!$B$2:$B$1024,MATCH(X2940,工厂基础数据!$D$2:$D$1024,0))</f>
        <v>山东福华医药有限公司</v>
      </c>
      <c r="F2940" s="6">
        <f>INDEX(商业2转码!$B$2:$B$10000,MATCH(E2940,商业2转码!$A$2:$A$10000,0))</f>
        <v>0</v>
      </c>
      <c r="G2940" s="6" t="str">
        <f>INDEX(品种2编码!$A$2:$A$1048576,MATCH(W2940,品种2编码!$D$2:$D$1048576,0))</f>
        <v>0020020030ZYZC0511</v>
      </c>
      <c r="H2940" s="6" t="s">
        <v>641</v>
      </c>
      <c r="I2940" s="6" t="s">
        <v>434</v>
      </c>
      <c r="J2940" s="6" t="s">
        <v>3038</v>
      </c>
      <c r="L2940" s="6" t="s">
        <v>2111</v>
      </c>
      <c r="M2940" s="6">
        <f>INDEX(医院2县区2人!$B$2:$B$1048576,MATCH(L2940,医院2县区2人!$A$2:$A$1048576,0))</f>
        <v>2</v>
      </c>
      <c r="N2940" s="6" t="str">
        <f>INDEX(医院2县区2人!$C$2:$C$1048576,MATCH(L2940,医院2县区2人!$A$2:$A$1048576,0))</f>
        <v>1859</v>
      </c>
      <c r="P2940" s="7">
        <v>43280</v>
      </c>
      <c r="Q2940" s="6">
        <v>30</v>
      </c>
      <c r="R2940" s="6">
        <v>5</v>
      </c>
      <c r="S2940" s="6">
        <v>1802003</v>
      </c>
      <c r="T2940" s="6" t="str">
        <f>INDEX(医院2县区2人!$D$2:$D$1048576,MATCH(L2940,医院2县区2人!$A$2:$A$1048576,0))</f>
        <v>201602151421097</v>
      </c>
      <c r="W2940" s="6" t="str">
        <f t="shared" si="95"/>
        <v>头孢氨苄胶囊0.125g*20粒</v>
      </c>
      <c r="X2940" s="6" t="s">
        <v>2879</v>
      </c>
    </row>
    <row r="2941" spans="1:24" x14ac:dyDescent="0.15">
      <c r="A2941" s="7" t="str">
        <f t="shared" si="96"/>
        <v>201806</v>
      </c>
      <c r="C2941" s="6" t="str">
        <f>INDEX(工厂基础数据!$A$2:$A$1024,MATCH(X2941,工厂基础数据!$D$2:$D$1024,0))</f>
        <v>02010326</v>
      </c>
      <c r="E2941" s="6" t="str">
        <f>INDEX(工厂基础数据!$B$2:$B$1024,MATCH(X2941,工厂基础数据!$D$2:$D$1024,0))</f>
        <v>山东福华医药有限公司</v>
      </c>
      <c r="F2941" s="6">
        <f>INDEX(商业2转码!$B$2:$B$10000,MATCH(E2941,商业2转码!$A$2:$A$10000,0))</f>
        <v>0</v>
      </c>
      <c r="G2941" s="6" t="str">
        <f>INDEX(品种2编码!$A$2:$A$1048576,MATCH(W2941,品种2编码!$D$2:$D$1048576,0))</f>
        <v>0020020030ZYZC0283</v>
      </c>
      <c r="H2941" s="6" t="s">
        <v>655</v>
      </c>
      <c r="I2941" s="6" t="s">
        <v>1938</v>
      </c>
      <c r="J2941" s="6" t="s">
        <v>3038</v>
      </c>
      <c r="L2941" s="6" t="s">
        <v>2058</v>
      </c>
      <c r="M2941" s="6">
        <f>INDEX(医院2县区2人!$B$2:$B$1048576,MATCH(L2941,医院2县区2人!$A$2:$A$1048576,0))</f>
        <v>1</v>
      </c>
      <c r="N2941" s="6" t="str">
        <f>INDEX(医院2县区2人!$C$2:$C$1048576,MATCH(L2941,医院2县区2人!$A$2:$A$1048576,0))</f>
        <v>1859</v>
      </c>
      <c r="P2941" s="7">
        <v>43279</v>
      </c>
      <c r="Q2941" s="6">
        <v>3</v>
      </c>
      <c r="R2941" s="6">
        <v>6.72</v>
      </c>
      <c r="S2941" s="6">
        <v>1802008</v>
      </c>
      <c r="T2941" s="6" t="str">
        <f>INDEX(医院2县区2人!$D$2:$D$1048576,MATCH(L2941,医院2县区2人!$A$2:$A$1048576,0))</f>
        <v>201602151421097</v>
      </c>
      <c r="W2941" s="6" t="str">
        <f t="shared" si="95"/>
        <v>头孢拉定胶囊0.25g*24粒</v>
      </c>
      <c r="X2941" s="6" t="s">
        <v>2879</v>
      </c>
    </row>
    <row r="2942" spans="1:24" x14ac:dyDescent="0.15">
      <c r="A2942" s="7" t="str">
        <f t="shared" si="96"/>
        <v>201806</v>
      </c>
      <c r="C2942" s="6" t="str">
        <f>INDEX(工厂基础数据!$A$2:$A$1024,MATCH(X2942,工厂基础数据!$D$2:$D$1024,0))</f>
        <v>02010326</v>
      </c>
      <c r="E2942" s="6" t="str">
        <f>INDEX(工厂基础数据!$B$2:$B$1024,MATCH(X2942,工厂基础数据!$D$2:$D$1024,0))</f>
        <v>山东福华医药有限公司</v>
      </c>
      <c r="F2942" s="6">
        <f>INDEX(商业2转码!$B$2:$B$10000,MATCH(E2942,商业2转码!$A$2:$A$10000,0))</f>
        <v>0</v>
      </c>
      <c r="G2942" s="6" t="str">
        <f>INDEX(品种2编码!$A$2:$A$1048576,MATCH(W2942,品种2编码!$D$2:$D$1048576,0))</f>
        <v>0020020030ZYZC0511</v>
      </c>
      <c r="H2942" s="6" t="s">
        <v>641</v>
      </c>
      <c r="I2942" s="6" t="s">
        <v>434</v>
      </c>
      <c r="J2942" s="6" t="s">
        <v>3038</v>
      </c>
      <c r="L2942" s="6" t="s">
        <v>3774</v>
      </c>
      <c r="M2942" s="6" t="e">
        <f>INDEX(医院2县区2人!$B$2:$B$1048576,MATCH(L2942,医院2县区2人!$A$2:$A$1048576,0))</f>
        <v>#N/A</v>
      </c>
      <c r="N2942" s="6" t="e">
        <f>INDEX(医院2县区2人!$C$2:$C$1048576,MATCH(L2942,医院2县区2人!$A$2:$A$1048576,0))</f>
        <v>#N/A</v>
      </c>
      <c r="P2942" s="7">
        <v>43279</v>
      </c>
      <c r="Q2942" s="6">
        <v>20</v>
      </c>
      <c r="R2942" s="6">
        <v>5</v>
      </c>
      <c r="S2942" s="6">
        <v>1802003</v>
      </c>
      <c r="T2942" s="6" t="e">
        <f>INDEX(医院2县区2人!$D$2:$D$1048576,MATCH(L2942,医院2县区2人!$A$2:$A$1048576,0))</f>
        <v>#N/A</v>
      </c>
      <c r="W2942" s="6" t="str">
        <f t="shared" si="95"/>
        <v>头孢氨苄胶囊0.125g*20粒</v>
      </c>
      <c r="X2942" s="6" t="s">
        <v>2879</v>
      </c>
    </row>
    <row r="2943" spans="1:24" x14ac:dyDescent="0.15">
      <c r="A2943" s="7" t="str">
        <f t="shared" si="96"/>
        <v>201806</v>
      </c>
      <c r="C2943" s="6" t="str">
        <f>INDEX(工厂基础数据!$A$2:$A$1024,MATCH(X2943,工厂基础数据!$D$2:$D$1024,0))</f>
        <v>02010326</v>
      </c>
      <c r="E2943" s="6" t="str">
        <f>INDEX(工厂基础数据!$B$2:$B$1024,MATCH(X2943,工厂基础数据!$D$2:$D$1024,0))</f>
        <v>山东福华医药有限公司</v>
      </c>
      <c r="F2943" s="6">
        <f>INDEX(商业2转码!$B$2:$B$10000,MATCH(E2943,商业2转码!$A$2:$A$10000,0))</f>
        <v>0</v>
      </c>
      <c r="G2943" s="6" t="str">
        <f>INDEX(品种2编码!$A$2:$A$1048576,MATCH(W2943,品种2编码!$D$2:$D$1048576,0))</f>
        <v>0020030040ZYLC0001</v>
      </c>
      <c r="H2943" s="6" t="s">
        <v>1852</v>
      </c>
      <c r="I2943" s="6" t="s">
        <v>1853</v>
      </c>
      <c r="J2943" s="6" t="s">
        <v>3036</v>
      </c>
      <c r="L2943" s="6" t="s">
        <v>2575</v>
      </c>
      <c r="M2943" s="6">
        <f>INDEX(医院2县区2人!$B$2:$B$1048576,MATCH(L2943,医院2县区2人!$A$2:$A$1048576,0))</f>
        <v>2</v>
      </c>
      <c r="N2943" s="6" t="str">
        <f>INDEX(医院2县区2人!$C$2:$C$1048576,MATCH(L2943,医院2县区2人!$A$2:$A$1048576,0))</f>
        <v>1859</v>
      </c>
      <c r="P2943" s="7">
        <v>43279</v>
      </c>
      <c r="Q2943" s="6">
        <v>10</v>
      </c>
      <c r="R2943" s="6">
        <v>10.8</v>
      </c>
      <c r="S2943" s="6">
        <v>170533</v>
      </c>
      <c r="T2943" s="6" t="str">
        <f>INDEX(医院2县区2人!$D$2:$D$1048576,MATCH(L2943,医院2县区2人!$A$2:$A$1048576,0))</f>
        <v>201602151421097</v>
      </c>
      <c r="W2943" s="6" t="str">
        <f t="shared" si="95"/>
        <v>小儿氨酚黄那敏颗粒/护彤2g*12袋</v>
      </c>
      <c r="X2943" s="6" t="s">
        <v>2879</v>
      </c>
    </row>
    <row r="2944" spans="1:24" x14ac:dyDescent="0.15">
      <c r="A2944" s="7" t="str">
        <f t="shared" si="96"/>
        <v>201806</v>
      </c>
      <c r="C2944" s="6" t="str">
        <f>INDEX(工厂基础数据!$A$2:$A$1024,MATCH(X2944,工厂基础数据!$D$2:$D$1024,0))</f>
        <v>02010326</v>
      </c>
      <c r="E2944" s="6" t="str">
        <f>INDEX(工厂基础数据!$B$2:$B$1024,MATCH(X2944,工厂基础数据!$D$2:$D$1024,0))</f>
        <v>山东福华医药有限公司</v>
      </c>
      <c r="F2944" s="6">
        <f>INDEX(商业2转码!$B$2:$B$10000,MATCH(E2944,商业2转码!$A$2:$A$10000,0))</f>
        <v>0</v>
      </c>
      <c r="G2944" s="6" t="str">
        <f>INDEX(品种2编码!$A$2:$A$1048576,MATCH(W2944,品种2编码!$D$2:$D$1048576,0))</f>
        <v>0020020030ZYZC0508</v>
      </c>
      <c r="H2944" s="6" t="s">
        <v>1859</v>
      </c>
      <c r="I2944" s="6" t="s">
        <v>246</v>
      </c>
      <c r="J2944" s="6" t="s">
        <v>3038</v>
      </c>
      <c r="L2944" s="6" t="s">
        <v>2057</v>
      </c>
      <c r="M2944" s="6">
        <f>INDEX(医院2县区2人!$B$2:$B$1048576,MATCH(L2944,医院2县区2人!$A$2:$A$1048576,0))</f>
        <v>1</v>
      </c>
      <c r="N2944" s="6" t="str">
        <f>INDEX(医院2县区2人!$C$2:$C$1048576,MATCH(L2944,医院2县区2人!$A$2:$A$1048576,0))</f>
        <v>1859</v>
      </c>
      <c r="P2944" s="7">
        <v>43279</v>
      </c>
      <c r="Q2944" s="6">
        <v>3</v>
      </c>
      <c r="R2944" s="6">
        <v>5.79</v>
      </c>
      <c r="S2944" s="6" t="s">
        <v>3053</v>
      </c>
      <c r="T2944" s="6" t="str">
        <f>INDEX(医院2县区2人!$D$2:$D$1048576,MATCH(L2944,医院2县区2人!$A$2:$A$1048576,0))</f>
        <v>201602151421097</v>
      </c>
      <c r="W2944" s="6" t="str">
        <f t="shared" si="95"/>
        <v>阿莫西林胶囊/益萨林0.25g*20粒</v>
      </c>
      <c r="X2944" s="6" t="s">
        <v>2879</v>
      </c>
    </row>
    <row r="2945" spans="1:24" x14ac:dyDescent="0.15">
      <c r="A2945" s="7" t="str">
        <f t="shared" si="96"/>
        <v>201806</v>
      </c>
      <c r="C2945" s="6" t="str">
        <f>INDEX(工厂基础数据!$A$2:$A$1024,MATCH(X2945,工厂基础数据!$D$2:$D$1024,0))</f>
        <v>02010326</v>
      </c>
      <c r="E2945" s="6" t="str">
        <f>INDEX(工厂基础数据!$B$2:$B$1024,MATCH(X2945,工厂基础数据!$D$2:$D$1024,0))</f>
        <v>山东福华医药有限公司</v>
      </c>
      <c r="F2945" s="6">
        <f>INDEX(商业2转码!$B$2:$B$10000,MATCH(E2945,商业2转码!$A$2:$A$10000,0))</f>
        <v>0</v>
      </c>
      <c r="G2945" s="6" t="str">
        <f>INDEX(品种2编码!$A$2:$A$1048576,MATCH(W2945,品种2编码!$D$2:$D$1048576,0))</f>
        <v>0020070001ZYZC0383</v>
      </c>
      <c r="H2945" s="6" t="s">
        <v>1849</v>
      </c>
      <c r="I2945" s="6" t="s">
        <v>1850</v>
      </c>
      <c r="J2945" s="6" t="s">
        <v>3038</v>
      </c>
      <c r="L2945" s="6" t="s">
        <v>2053</v>
      </c>
      <c r="M2945" s="6">
        <f>INDEX(医院2县区2人!$B$2:$B$1048576,MATCH(L2945,医院2县区2人!$A$2:$A$1048576,0))</f>
        <v>1</v>
      </c>
      <c r="N2945" s="6" t="str">
        <f>INDEX(医院2县区2人!$C$2:$C$1048576,MATCH(L2945,医院2县区2人!$A$2:$A$1048576,0))</f>
        <v>1859</v>
      </c>
      <c r="P2945" s="7">
        <v>43279</v>
      </c>
      <c r="Q2945" s="6">
        <v>20</v>
      </c>
      <c r="R2945" s="6">
        <v>13.44</v>
      </c>
      <c r="S2945" s="6">
        <v>1801107</v>
      </c>
      <c r="T2945" s="6" t="str">
        <f>INDEX(医院2县区2人!$D$2:$D$1048576,MATCH(L2945,医院2县区2人!$A$2:$A$1048576,0))</f>
        <v>201602151421097</v>
      </c>
      <c r="W2945" s="6" t="str">
        <f t="shared" si="95"/>
        <v>哈药牌钙铁锌口服液10ml*10支</v>
      </c>
      <c r="X2945" s="6" t="s">
        <v>2879</v>
      </c>
    </row>
    <row r="2946" spans="1:24" x14ac:dyDescent="0.15">
      <c r="A2946" s="7" t="str">
        <f t="shared" si="96"/>
        <v>201806</v>
      </c>
      <c r="C2946" s="6" t="str">
        <f>INDEX(工厂基础数据!$A$2:$A$1024,MATCH(X2946,工厂基础数据!$D$2:$D$1024,0))</f>
        <v>02010326</v>
      </c>
      <c r="E2946" s="6" t="str">
        <f>INDEX(工厂基础数据!$B$2:$B$1024,MATCH(X2946,工厂基础数据!$D$2:$D$1024,0))</f>
        <v>山东福华医药有限公司</v>
      </c>
      <c r="F2946" s="6">
        <f>INDEX(商业2转码!$B$2:$B$10000,MATCH(E2946,商业2转码!$A$2:$A$10000,0))</f>
        <v>0</v>
      </c>
      <c r="G2946" s="6" t="str">
        <f>INDEX(品种2编码!$A$2:$A$1048576,MATCH(W2946,品种2编码!$D$2:$D$1048576,0))</f>
        <v>0020030040SJET0003</v>
      </c>
      <c r="H2946" s="6" t="s">
        <v>306</v>
      </c>
      <c r="I2946" s="6" t="s">
        <v>1874</v>
      </c>
      <c r="J2946" s="6" t="s">
        <v>3786</v>
      </c>
      <c r="L2946" s="6" t="s">
        <v>2053</v>
      </c>
      <c r="M2946" s="6">
        <f>INDEX(医院2县区2人!$B$2:$B$1048576,MATCH(L2946,医院2县区2人!$A$2:$A$1048576,0))</f>
        <v>1</v>
      </c>
      <c r="N2946" s="6" t="str">
        <f>INDEX(医院2县区2人!$C$2:$C$1048576,MATCH(L2946,医院2县区2人!$A$2:$A$1048576,0))</f>
        <v>1859</v>
      </c>
      <c r="P2946" s="7">
        <v>43279</v>
      </c>
      <c r="Q2946" s="6">
        <v>3</v>
      </c>
      <c r="R2946" s="6">
        <v>8.64</v>
      </c>
      <c r="S2946" s="6">
        <v>180101</v>
      </c>
      <c r="T2946" s="6" t="str">
        <f>INDEX(医院2县区2人!$D$2:$D$1048576,MATCH(L2946,医院2县区2人!$A$2:$A$1048576,0))</f>
        <v>201602151421097</v>
      </c>
      <c r="W2946" s="6" t="str">
        <f t="shared" si="95"/>
        <v>氨金黄敏颗粒6g*10袋</v>
      </c>
      <c r="X2946" s="6" t="s">
        <v>2879</v>
      </c>
    </row>
    <row r="2947" spans="1:24" x14ac:dyDescent="0.15">
      <c r="A2947" s="7" t="str">
        <f t="shared" si="96"/>
        <v>201806</v>
      </c>
      <c r="C2947" s="6" t="str">
        <f>INDEX(工厂基础数据!$A$2:$A$1024,MATCH(X2947,工厂基础数据!$D$2:$D$1024,0))</f>
        <v>02010326</v>
      </c>
      <c r="E2947" s="6" t="str">
        <f>INDEX(工厂基础数据!$B$2:$B$1024,MATCH(X2947,工厂基础数据!$D$2:$D$1024,0))</f>
        <v>山东福华医药有限公司</v>
      </c>
      <c r="F2947" s="6">
        <f>INDEX(商业2转码!$B$2:$B$10000,MATCH(E2947,商业2转码!$A$2:$A$10000,0))</f>
        <v>0</v>
      </c>
      <c r="G2947" s="6" t="str">
        <f>INDEX(品种2编码!$A$2:$A$1048576,MATCH(W2947,品种2编码!$D$2:$D$1048576,0))</f>
        <v>0020030001SJZY0009</v>
      </c>
      <c r="H2947" s="6" t="s">
        <v>555</v>
      </c>
      <c r="I2947" s="6" t="s">
        <v>411</v>
      </c>
      <c r="J2947" s="6" t="s">
        <v>3785</v>
      </c>
      <c r="L2947" s="6" t="s">
        <v>2097</v>
      </c>
      <c r="M2947" s="6">
        <f>INDEX(医院2县区2人!$B$2:$B$1048576,MATCH(L2947,医院2县区2人!$A$2:$A$1048576,0))</f>
        <v>1</v>
      </c>
      <c r="N2947" s="6" t="str">
        <f>INDEX(医院2县区2人!$C$2:$C$1048576,MATCH(L2947,医院2县区2人!$A$2:$A$1048576,0))</f>
        <v>1859</v>
      </c>
      <c r="P2947" s="7">
        <v>43279</v>
      </c>
      <c r="Q2947" s="6">
        <v>-5</v>
      </c>
      <c r="R2947" s="6">
        <v>17.3</v>
      </c>
      <c r="S2947" s="6">
        <v>17070527</v>
      </c>
      <c r="T2947" s="6" t="str">
        <f>INDEX(医院2县区2人!$D$2:$D$1048576,MATCH(L2947,医院2县区2人!$A$2:$A$1048576,0))</f>
        <v>201602151421097</v>
      </c>
      <c r="W2947" s="6" t="str">
        <f t="shared" si="95"/>
        <v>葡萄糖酸锌口服液10ml*12支</v>
      </c>
      <c r="X2947" s="6" t="s">
        <v>2879</v>
      </c>
    </row>
    <row r="2948" spans="1:24" x14ac:dyDescent="0.15">
      <c r="A2948" s="7" t="str">
        <f t="shared" si="96"/>
        <v>201806</v>
      </c>
      <c r="C2948" s="6" t="str">
        <f>INDEX(工厂基础数据!$A$2:$A$1024,MATCH(X2948,工厂基础数据!$D$2:$D$1024,0))</f>
        <v>02010326</v>
      </c>
      <c r="E2948" s="6" t="str">
        <f>INDEX(工厂基础数据!$B$2:$B$1024,MATCH(X2948,工厂基础数据!$D$2:$D$1024,0))</f>
        <v>山东福华医药有限公司</v>
      </c>
      <c r="F2948" s="6">
        <f>INDEX(商业2转码!$B$2:$B$10000,MATCH(E2948,商业2转码!$A$2:$A$10000,0))</f>
        <v>0</v>
      </c>
      <c r="G2948" s="6" t="str">
        <f>INDEX(品种2编码!$A$2:$A$1048576,MATCH(W2948,品种2编码!$D$2:$D$1048576,0))</f>
        <v>0020030001SJZY0006</v>
      </c>
      <c r="H2948" s="6" t="s">
        <v>1833</v>
      </c>
      <c r="I2948" s="6" t="s">
        <v>411</v>
      </c>
      <c r="J2948" s="6" t="s">
        <v>3044</v>
      </c>
      <c r="L2948" s="6" t="s">
        <v>2572</v>
      </c>
      <c r="M2948" s="6">
        <f>INDEX(医院2县区2人!$B$2:$B$1048576,MATCH(L2948,医院2县区2人!$A$2:$A$1048576,0))</f>
        <v>2</v>
      </c>
      <c r="N2948" s="6" t="str">
        <f>INDEX(医院2县区2人!$C$2:$C$1048576,MATCH(L2948,医院2县区2人!$A$2:$A$1048576,0))</f>
        <v>1859</v>
      </c>
      <c r="P2948" s="7">
        <v>43279</v>
      </c>
      <c r="Q2948" s="6">
        <v>1</v>
      </c>
      <c r="R2948" s="6">
        <v>22.3</v>
      </c>
      <c r="S2948" s="6">
        <v>18030523</v>
      </c>
      <c r="T2948" s="6" t="str">
        <f>INDEX(医院2县区2人!$D$2:$D$1048576,MATCH(L2948,医院2县区2人!$A$2:$A$1048576,0))</f>
        <v>201602151421097</v>
      </c>
      <c r="W2948" s="6" t="str">
        <f t="shared" si="95"/>
        <v>葡萄糖酸钙口服溶液10ml*12支</v>
      </c>
      <c r="X2948" s="6" t="s">
        <v>2879</v>
      </c>
    </row>
    <row r="2949" spans="1:24" x14ac:dyDescent="0.15">
      <c r="A2949" s="7" t="str">
        <f t="shared" si="96"/>
        <v>201806</v>
      </c>
      <c r="C2949" s="6" t="str">
        <f>INDEX(工厂基础数据!$A$2:$A$1024,MATCH(X2949,工厂基础数据!$D$2:$D$1024,0))</f>
        <v>02010326</v>
      </c>
      <c r="E2949" s="6" t="str">
        <f>INDEX(工厂基础数据!$B$2:$B$1024,MATCH(X2949,工厂基础数据!$D$2:$D$1024,0))</f>
        <v>山东福华医药有限公司</v>
      </c>
      <c r="F2949" s="6">
        <f>INDEX(商业2转码!$B$2:$B$10000,MATCH(E2949,商业2转码!$A$2:$A$10000,0))</f>
        <v>0</v>
      </c>
      <c r="G2949" s="6" t="str">
        <f>INDEX(品种2编码!$A$2:$A$1048576,MATCH(W2949,品种2编码!$D$2:$D$1048576,0))</f>
        <v>0020020021ZYLC0004</v>
      </c>
      <c r="H2949" s="6" t="s">
        <v>1868</v>
      </c>
      <c r="I2949" s="6" t="s">
        <v>1869</v>
      </c>
      <c r="J2949" s="6" t="s">
        <v>3036</v>
      </c>
      <c r="L2949" s="6" t="s">
        <v>2068</v>
      </c>
      <c r="M2949" s="6">
        <f>INDEX(医院2县区2人!$B$2:$B$1048576,MATCH(L2949,医院2县区2人!$A$2:$A$1048576,0))</f>
        <v>1</v>
      </c>
      <c r="N2949" s="6" t="str">
        <f>INDEX(医院2县区2人!$C$2:$C$1048576,MATCH(L2949,医院2县区2人!$A$2:$A$1048576,0))</f>
        <v>1859</v>
      </c>
      <c r="P2949" s="7">
        <v>43279</v>
      </c>
      <c r="Q2949" s="6">
        <v>10</v>
      </c>
      <c r="R2949" s="6">
        <v>7.68</v>
      </c>
      <c r="S2949" s="6">
        <v>180201</v>
      </c>
      <c r="T2949" s="6" t="str">
        <f>INDEX(医院2县区2人!$D$2:$D$1048576,MATCH(L2949,医院2县区2人!$A$2:$A$1048576,0))</f>
        <v>201602151421097</v>
      </c>
      <c r="W2949" s="6" t="str">
        <f t="shared" si="95"/>
        <v>罗红霉素分散片/大严迪75mg*12片</v>
      </c>
      <c r="X2949" s="6" t="s">
        <v>2879</v>
      </c>
    </row>
    <row r="2950" spans="1:24" x14ac:dyDescent="0.15">
      <c r="A2950" s="7" t="str">
        <f t="shared" si="96"/>
        <v>201806</v>
      </c>
      <c r="C2950" s="6" t="str">
        <f>INDEX(工厂基础数据!$A$2:$A$1024,MATCH(X2950,工厂基础数据!$D$2:$D$1024,0))</f>
        <v>02010326</v>
      </c>
      <c r="E2950" s="6" t="str">
        <f>INDEX(工厂基础数据!$B$2:$B$1024,MATCH(X2950,工厂基础数据!$D$2:$D$1024,0))</f>
        <v>山东福华医药有限公司</v>
      </c>
      <c r="F2950" s="6">
        <f>INDEX(商业2转码!$B$2:$B$10000,MATCH(E2950,商业2转码!$A$2:$A$10000,0))</f>
        <v>0</v>
      </c>
      <c r="G2950" s="6" t="str">
        <f>INDEX(品种2编码!$A$2:$A$1048576,MATCH(W2950,品种2编码!$D$2:$D$1048576,0))</f>
        <v>0020020020SJMS0006</v>
      </c>
      <c r="H2950" s="6" t="s">
        <v>516</v>
      </c>
      <c r="I2950" s="6" t="s">
        <v>1856</v>
      </c>
      <c r="J2950" s="6" t="s">
        <v>3046</v>
      </c>
      <c r="L2950" s="6" t="s">
        <v>2577</v>
      </c>
      <c r="M2950" s="6">
        <f>INDEX(医院2县区2人!$B$2:$B$1048576,MATCH(L2950,医院2县区2人!$A$2:$A$1048576,0))</f>
        <v>2</v>
      </c>
      <c r="N2950" s="6" t="str">
        <f>INDEX(医院2县区2人!$C$2:$C$1048576,MATCH(L2950,医院2县区2人!$A$2:$A$1048576,0))</f>
        <v>1859</v>
      </c>
      <c r="P2950" s="7">
        <v>43279</v>
      </c>
      <c r="Q2950" s="6">
        <v>20</v>
      </c>
      <c r="R2950" s="6">
        <v>1.6</v>
      </c>
      <c r="S2950" s="6">
        <v>1801006</v>
      </c>
      <c r="T2950" s="6" t="str">
        <f>INDEX(医院2县区2人!$D$2:$D$1048576,MATCH(L2950,医院2县区2人!$A$2:$A$1048576,0))</f>
        <v>201602151421097</v>
      </c>
      <c r="W2950" s="6" t="str">
        <f t="shared" si="95"/>
        <v>尼莫地平片20mg*50片</v>
      </c>
      <c r="X2950" s="6" t="s">
        <v>2879</v>
      </c>
    </row>
    <row r="2951" spans="1:24" x14ac:dyDescent="0.15">
      <c r="A2951" s="7" t="str">
        <f t="shared" si="96"/>
        <v>201806</v>
      </c>
      <c r="C2951" s="6" t="str">
        <f>INDEX(工厂基础数据!$A$2:$A$1024,MATCH(X2951,工厂基础数据!$D$2:$D$1024,0))</f>
        <v>02010326</v>
      </c>
      <c r="E2951" s="6" t="str">
        <f>INDEX(工厂基础数据!$B$2:$B$1024,MATCH(X2951,工厂基础数据!$D$2:$D$1024,0))</f>
        <v>山东福华医药有限公司</v>
      </c>
      <c r="F2951" s="6">
        <f>INDEX(商业2转码!$B$2:$B$10000,MATCH(E2951,商业2转码!$A$2:$A$10000,0))</f>
        <v>0</v>
      </c>
      <c r="G2951" s="6" t="str">
        <f>INDEX(品种2编码!$A$2:$A$1048576,MATCH(W2951,品种2编码!$D$2:$D$1048576,0))</f>
        <v>0020020020ZYLC0003</v>
      </c>
      <c r="H2951" s="6" t="s">
        <v>1855</v>
      </c>
      <c r="I2951" s="6" t="s">
        <v>381</v>
      </c>
      <c r="J2951" s="6" t="s">
        <v>3036</v>
      </c>
      <c r="L2951" s="6" t="s">
        <v>2057</v>
      </c>
      <c r="M2951" s="6">
        <f>INDEX(医院2县区2人!$B$2:$B$1048576,MATCH(L2951,医院2县区2人!$A$2:$A$1048576,0))</f>
        <v>1</v>
      </c>
      <c r="N2951" s="6" t="str">
        <f>INDEX(医院2县区2人!$C$2:$C$1048576,MATCH(L2951,医院2县区2人!$A$2:$A$1048576,0))</f>
        <v>1859</v>
      </c>
      <c r="P2951" s="7">
        <v>43279</v>
      </c>
      <c r="Q2951" s="6">
        <v>3</v>
      </c>
      <c r="R2951" s="6">
        <v>5.31</v>
      </c>
      <c r="S2951" s="6">
        <v>161002</v>
      </c>
      <c r="T2951" s="6" t="str">
        <f>INDEX(医院2县区2人!$D$2:$D$1048576,MATCH(L2951,医院2县区2人!$A$2:$A$1048576,0))</f>
        <v>201602151421097</v>
      </c>
      <c r="W2951" s="6" t="str">
        <f t="shared" si="95"/>
        <v>颠茄磺苄啶片12片</v>
      </c>
      <c r="X2951" s="6" t="s">
        <v>2879</v>
      </c>
    </row>
    <row r="2952" spans="1:24" x14ac:dyDescent="0.15">
      <c r="A2952" s="7" t="str">
        <f t="shared" si="96"/>
        <v>201806</v>
      </c>
      <c r="C2952" s="6" t="str">
        <f>INDEX(工厂基础数据!$A$2:$A$1024,MATCH(X2952,工厂基础数据!$D$2:$D$1024,0))</f>
        <v>02010326</v>
      </c>
      <c r="E2952" s="6" t="str">
        <f>INDEX(工厂基础数据!$B$2:$B$1024,MATCH(X2952,工厂基础数据!$D$2:$D$1024,0))</f>
        <v>山东福华医药有限公司</v>
      </c>
      <c r="F2952" s="6">
        <f>INDEX(商业2转码!$B$2:$B$10000,MATCH(E2952,商业2转码!$A$2:$A$10000,0))</f>
        <v>0</v>
      </c>
      <c r="G2952" s="6" t="str">
        <f>INDEX(品种2编码!$A$2:$A$1048576,MATCH(W2952,品种2编码!$D$2:$D$1048576,0))</f>
        <v>0020020020ZYLC0003</v>
      </c>
      <c r="H2952" s="6" t="s">
        <v>1855</v>
      </c>
      <c r="I2952" s="6" t="s">
        <v>381</v>
      </c>
      <c r="J2952" s="6" t="s">
        <v>3036</v>
      </c>
      <c r="L2952" s="6" t="s">
        <v>2058</v>
      </c>
      <c r="M2952" s="6">
        <f>INDEX(医院2县区2人!$B$2:$B$1048576,MATCH(L2952,医院2县区2人!$A$2:$A$1048576,0))</f>
        <v>1</v>
      </c>
      <c r="N2952" s="6" t="str">
        <f>INDEX(医院2县区2人!$C$2:$C$1048576,MATCH(L2952,医院2县区2人!$A$2:$A$1048576,0))</f>
        <v>1859</v>
      </c>
      <c r="P2952" s="7">
        <v>43279</v>
      </c>
      <c r="Q2952" s="6">
        <v>3</v>
      </c>
      <c r="R2952" s="6">
        <v>5.31</v>
      </c>
      <c r="S2952" s="6">
        <v>161002</v>
      </c>
      <c r="T2952" s="6" t="str">
        <f>INDEX(医院2县区2人!$D$2:$D$1048576,MATCH(L2952,医院2县区2人!$A$2:$A$1048576,0))</f>
        <v>201602151421097</v>
      </c>
      <c r="W2952" s="6" t="str">
        <f t="shared" si="95"/>
        <v>颠茄磺苄啶片12片</v>
      </c>
      <c r="X2952" s="6" t="s">
        <v>2879</v>
      </c>
    </row>
    <row r="2953" spans="1:24" x14ac:dyDescent="0.15">
      <c r="A2953" s="7" t="str">
        <f t="shared" si="96"/>
        <v>201806</v>
      </c>
      <c r="C2953" s="6" t="str">
        <f>INDEX(工厂基础数据!$A$2:$A$1024,MATCH(X2953,工厂基础数据!$D$2:$D$1024,0))</f>
        <v>02010326</v>
      </c>
      <c r="E2953" s="6" t="str">
        <f>INDEX(工厂基础数据!$B$2:$B$1024,MATCH(X2953,工厂基础数据!$D$2:$D$1024,0))</f>
        <v>山东福华医药有限公司</v>
      </c>
      <c r="F2953" s="6">
        <f>INDEX(商业2转码!$B$2:$B$10000,MATCH(E2953,商业2转码!$A$2:$A$10000,0))</f>
        <v>0</v>
      </c>
      <c r="G2953" s="6" t="str">
        <f>INDEX(品种2编码!$A$2:$A$1048576,MATCH(W2953,品种2编码!$D$2:$D$1048576,0))</f>
        <v>0020020020ZYLC0003</v>
      </c>
      <c r="H2953" s="6" t="s">
        <v>1855</v>
      </c>
      <c r="I2953" s="6" t="s">
        <v>381</v>
      </c>
      <c r="J2953" s="6" t="s">
        <v>3036</v>
      </c>
      <c r="L2953" s="6" t="s">
        <v>2058</v>
      </c>
      <c r="M2953" s="6">
        <f>INDEX(医院2县区2人!$B$2:$B$1048576,MATCH(L2953,医院2县区2人!$A$2:$A$1048576,0))</f>
        <v>1</v>
      </c>
      <c r="N2953" s="6" t="str">
        <f>INDEX(医院2县区2人!$C$2:$C$1048576,MATCH(L2953,医院2县区2人!$A$2:$A$1048576,0))</f>
        <v>1859</v>
      </c>
      <c r="P2953" s="7">
        <v>43279</v>
      </c>
      <c r="Q2953" s="6">
        <v>3</v>
      </c>
      <c r="R2953" s="6">
        <v>5.31</v>
      </c>
      <c r="S2953" s="6">
        <v>161002</v>
      </c>
      <c r="T2953" s="6" t="str">
        <f>INDEX(医院2县区2人!$D$2:$D$1048576,MATCH(L2953,医院2县区2人!$A$2:$A$1048576,0))</f>
        <v>201602151421097</v>
      </c>
      <c r="W2953" s="6" t="str">
        <f t="shared" si="95"/>
        <v>颠茄磺苄啶片12片</v>
      </c>
      <c r="X2953" s="6" t="s">
        <v>2879</v>
      </c>
    </row>
    <row r="2954" spans="1:24" x14ac:dyDescent="0.15">
      <c r="A2954" s="7" t="str">
        <f t="shared" si="96"/>
        <v>201806</v>
      </c>
      <c r="C2954" s="6" t="str">
        <f>INDEX(工厂基础数据!$A$2:$A$1024,MATCH(X2954,工厂基础数据!$D$2:$D$1024,0))</f>
        <v>02010326</v>
      </c>
      <c r="E2954" s="6" t="str">
        <f>INDEX(工厂基础数据!$B$2:$B$1024,MATCH(X2954,工厂基础数据!$D$2:$D$1024,0))</f>
        <v>山东福华医药有限公司</v>
      </c>
      <c r="F2954" s="6">
        <f>INDEX(商业2转码!$B$2:$B$10000,MATCH(E2954,商业2转码!$A$2:$A$10000,0))</f>
        <v>0</v>
      </c>
      <c r="G2954" s="6" t="str">
        <f>INDEX(品种2编码!$A$2:$A$1048576,MATCH(W2954,品种2编码!$D$2:$D$1048576,0))</f>
        <v>0020070000ZYLC0001</v>
      </c>
      <c r="H2954" s="6" t="s">
        <v>1837</v>
      </c>
      <c r="I2954" s="6" t="s">
        <v>1838</v>
      </c>
      <c r="J2954" s="6" t="s">
        <v>3036</v>
      </c>
      <c r="L2954" s="6" t="s">
        <v>2575</v>
      </c>
      <c r="M2954" s="6">
        <f>INDEX(医院2县区2人!$B$2:$B$1048576,MATCH(L2954,医院2县区2人!$A$2:$A$1048576,0))</f>
        <v>2</v>
      </c>
      <c r="N2954" s="6" t="str">
        <f>INDEX(医院2县区2人!$C$2:$C$1048576,MATCH(L2954,医院2县区2人!$A$2:$A$1048576,0))</f>
        <v>1859</v>
      </c>
      <c r="P2954" s="7">
        <v>43279</v>
      </c>
      <c r="Q2954" s="6">
        <v>1</v>
      </c>
      <c r="R2954" s="6">
        <v>24</v>
      </c>
      <c r="S2954" s="6">
        <v>180104</v>
      </c>
      <c r="T2954" s="6" t="str">
        <f>INDEX(医院2县区2人!$D$2:$D$1048576,MATCH(L2954,医院2县区2人!$A$2:$A$1048576,0))</f>
        <v>201602151421097</v>
      </c>
      <c r="W2954" s="6" t="str">
        <f t="shared" si="95"/>
        <v>新盖中盖高钙片(成人)/盖中盖2.5g*36片</v>
      </c>
      <c r="X2954" s="6" t="s">
        <v>2879</v>
      </c>
    </row>
    <row r="2955" spans="1:24" x14ac:dyDescent="0.15">
      <c r="A2955" s="7" t="str">
        <f t="shared" si="96"/>
        <v>201806</v>
      </c>
      <c r="C2955" s="6" t="str">
        <f>INDEX(工厂基础数据!$A$2:$A$1024,MATCH(X2955,工厂基础数据!$D$2:$D$1024,0))</f>
        <v>02010326</v>
      </c>
      <c r="E2955" s="6" t="str">
        <f>INDEX(工厂基础数据!$B$2:$B$1024,MATCH(X2955,工厂基础数据!$D$2:$D$1024,0))</f>
        <v>山东福华医药有限公司</v>
      </c>
      <c r="F2955" s="6">
        <f>INDEX(商业2转码!$B$2:$B$10000,MATCH(E2955,商业2转码!$A$2:$A$10000,0))</f>
        <v>0</v>
      </c>
      <c r="G2955" s="6" t="str">
        <f>INDEX(品种2编码!$A$2:$A$1048576,MATCH(W2955,品种2编码!$D$2:$D$1048576,0))</f>
        <v>0020070000ZYLC0001</v>
      </c>
      <c r="H2955" s="6" t="s">
        <v>1837</v>
      </c>
      <c r="I2955" s="6" t="s">
        <v>1838</v>
      </c>
      <c r="J2955" s="6" t="s">
        <v>3036</v>
      </c>
      <c r="L2955" s="6" t="s">
        <v>2087</v>
      </c>
      <c r="M2955" s="6">
        <f>INDEX(医院2县区2人!$B$2:$B$1048576,MATCH(L2955,医院2县区2人!$A$2:$A$1048576,0))</f>
        <v>1</v>
      </c>
      <c r="N2955" s="6" t="str">
        <f>INDEX(医院2县区2人!$C$2:$C$1048576,MATCH(L2955,医院2县区2人!$A$2:$A$1048576,0))</f>
        <v>1859</v>
      </c>
      <c r="P2955" s="7">
        <v>43278</v>
      </c>
      <c r="Q2955" s="6">
        <v>5</v>
      </c>
      <c r="R2955" s="6">
        <v>23.04</v>
      </c>
      <c r="S2955" s="6">
        <v>180104</v>
      </c>
      <c r="T2955" s="6" t="str">
        <f>INDEX(医院2县区2人!$D$2:$D$1048576,MATCH(L2955,医院2县区2人!$A$2:$A$1048576,0))</f>
        <v>201602151421097</v>
      </c>
      <c r="W2955" s="6" t="str">
        <f t="shared" si="95"/>
        <v>新盖中盖高钙片(成人)/盖中盖2.5g*36片</v>
      </c>
      <c r="X2955" s="6" t="s">
        <v>2879</v>
      </c>
    </row>
    <row r="2956" spans="1:24" x14ac:dyDescent="0.15">
      <c r="A2956" s="7" t="str">
        <f t="shared" si="96"/>
        <v>201806</v>
      </c>
      <c r="C2956" s="6" t="str">
        <f>INDEX(工厂基础数据!$A$2:$A$1024,MATCH(X2956,工厂基础数据!$D$2:$D$1024,0))</f>
        <v>02010326</v>
      </c>
      <c r="E2956" s="6" t="str">
        <f>INDEX(工厂基础数据!$B$2:$B$1024,MATCH(X2956,工厂基础数据!$D$2:$D$1024,0))</f>
        <v>山东福华医药有限公司</v>
      </c>
      <c r="F2956" s="6">
        <f>INDEX(商业2转码!$B$2:$B$10000,MATCH(E2956,商业2转码!$A$2:$A$10000,0))</f>
        <v>0</v>
      </c>
      <c r="G2956" s="6" t="str">
        <f>INDEX(品种2编码!$A$2:$A$1048576,MATCH(W2956,品种2编码!$D$2:$D$1048576,0))</f>
        <v>0020070000ZYLC0055</v>
      </c>
      <c r="H2956" s="6" t="s">
        <v>1842</v>
      </c>
      <c r="I2956" s="6" t="s">
        <v>411</v>
      </c>
      <c r="J2956" s="6" t="s">
        <v>3036</v>
      </c>
      <c r="L2956" s="6" t="s">
        <v>2061</v>
      </c>
      <c r="M2956" s="6">
        <f>INDEX(医院2县区2人!$B$2:$B$1048576,MATCH(L2956,医院2县区2人!$A$2:$A$1048576,0))</f>
        <v>1</v>
      </c>
      <c r="N2956" s="6" t="str">
        <f>INDEX(医院2县区2人!$C$2:$C$1048576,MATCH(L2956,医院2县区2人!$A$2:$A$1048576,0))</f>
        <v>1859</v>
      </c>
      <c r="P2956" s="7">
        <v>43278</v>
      </c>
      <c r="Q2956" s="6">
        <v>1</v>
      </c>
      <c r="R2956" s="6">
        <v>14.96</v>
      </c>
      <c r="S2956" s="6">
        <v>170614</v>
      </c>
      <c r="T2956" s="6" t="str">
        <f>INDEX(医院2县区2人!$D$2:$D$1048576,MATCH(L2956,医院2县区2人!$A$2:$A$1048576,0))</f>
        <v>201602151421097</v>
      </c>
      <c r="W2956" s="6" t="str">
        <f t="shared" si="95"/>
        <v>朴血乳酸亚铁口服液10ml*12支</v>
      </c>
      <c r="X2956" s="6" t="s">
        <v>2879</v>
      </c>
    </row>
    <row r="2957" spans="1:24" x14ac:dyDescent="0.15">
      <c r="A2957" s="7" t="str">
        <f t="shared" si="96"/>
        <v>201806</v>
      </c>
      <c r="C2957" s="6" t="str">
        <f>INDEX(工厂基础数据!$A$2:$A$1024,MATCH(X2957,工厂基础数据!$D$2:$D$1024,0))</f>
        <v>02010326</v>
      </c>
      <c r="E2957" s="6" t="str">
        <f>INDEX(工厂基础数据!$B$2:$B$1024,MATCH(X2957,工厂基础数据!$D$2:$D$1024,0))</f>
        <v>山东福华医药有限公司</v>
      </c>
      <c r="F2957" s="6">
        <f>INDEX(商业2转码!$B$2:$B$10000,MATCH(E2957,商业2转码!$A$2:$A$10000,0))</f>
        <v>0</v>
      </c>
      <c r="G2957" s="6" t="str">
        <f>INDEX(品种2编码!$A$2:$A$1048576,MATCH(W2957,品种2编码!$D$2:$D$1048576,0))</f>
        <v>0020030020SJSC0025</v>
      </c>
      <c r="H2957" s="6" t="s">
        <v>380</v>
      </c>
      <c r="I2957" s="6" t="s">
        <v>381</v>
      </c>
      <c r="J2957" s="6" t="s">
        <v>3787</v>
      </c>
      <c r="L2957" s="6" t="s">
        <v>2064</v>
      </c>
      <c r="M2957" s="6">
        <f>INDEX(医院2县区2人!$B$2:$B$1048576,MATCH(L2957,医院2县区2人!$A$2:$A$1048576,0))</f>
        <v>1</v>
      </c>
      <c r="N2957" s="6" t="str">
        <f>INDEX(医院2县区2人!$C$2:$C$1048576,MATCH(L2957,医院2县区2人!$A$2:$A$1048576,0))</f>
        <v>1859</v>
      </c>
      <c r="P2957" s="7">
        <v>43278</v>
      </c>
      <c r="Q2957" s="6">
        <v>5</v>
      </c>
      <c r="R2957" s="6">
        <v>3.47</v>
      </c>
      <c r="S2957" s="6">
        <v>1705001</v>
      </c>
      <c r="T2957" s="6" t="str">
        <f>INDEX(医院2县区2人!$D$2:$D$1048576,MATCH(L2957,医院2县区2人!$A$2:$A$1048576,0))</f>
        <v>201602151421097</v>
      </c>
      <c r="W2957" s="6" t="str">
        <f t="shared" si="95"/>
        <v>复方氨酚烷胺片12片</v>
      </c>
      <c r="X2957" s="6" t="s">
        <v>2879</v>
      </c>
    </row>
    <row r="2958" spans="1:24" x14ac:dyDescent="0.15">
      <c r="A2958" s="7" t="str">
        <f t="shared" si="96"/>
        <v>201806</v>
      </c>
      <c r="C2958" s="6" t="str">
        <f>INDEX(工厂基础数据!$A$2:$A$1024,MATCH(X2958,工厂基础数据!$D$2:$D$1024,0))</f>
        <v>02010326</v>
      </c>
      <c r="E2958" s="6" t="str">
        <f>INDEX(工厂基础数据!$B$2:$B$1024,MATCH(X2958,工厂基础数据!$D$2:$D$1024,0))</f>
        <v>山东福华医药有限公司</v>
      </c>
      <c r="F2958" s="6">
        <f>INDEX(商业2转码!$B$2:$B$10000,MATCH(E2958,商业2转码!$A$2:$A$10000,0))</f>
        <v>0</v>
      </c>
      <c r="G2958" s="6" t="str">
        <f>INDEX(品种2编码!$A$2:$A$1048576,MATCH(W2958,品种2编码!$D$2:$D$1048576,0))</f>
        <v>0020070001ZYZC0383</v>
      </c>
      <c r="H2958" s="6" t="s">
        <v>1849</v>
      </c>
      <c r="I2958" s="6" t="s">
        <v>1850</v>
      </c>
      <c r="J2958" s="6" t="s">
        <v>3038</v>
      </c>
      <c r="L2958" s="6" t="s">
        <v>2061</v>
      </c>
      <c r="M2958" s="6">
        <f>INDEX(医院2县区2人!$B$2:$B$1048576,MATCH(L2958,医院2县区2人!$A$2:$A$1048576,0))</f>
        <v>1</v>
      </c>
      <c r="N2958" s="6" t="str">
        <f>INDEX(医院2县区2人!$C$2:$C$1048576,MATCH(L2958,医院2县区2人!$A$2:$A$1048576,0))</f>
        <v>1859</v>
      </c>
      <c r="P2958" s="7">
        <v>43278</v>
      </c>
      <c r="Q2958" s="6">
        <v>10</v>
      </c>
      <c r="R2958" s="6">
        <v>13.44</v>
      </c>
      <c r="S2958" s="6">
        <v>1801107</v>
      </c>
      <c r="T2958" s="6" t="str">
        <f>INDEX(医院2县区2人!$D$2:$D$1048576,MATCH(L2958,医院2县区2人!$A$2:$A$1048576,0))</f>
        <v>201602151421097</v>
      </c>
      <c r="W2958" s="6" t="str">
        <f t="shared" si="95"/>
        <v>哈药牌钙铁锌口服液10ml*10支</v>
      </c>
      <c r="X2958" s="6" t="s">
        <v>2879</v>
      </c>
    </row>
    <row r="2959" spans="1:24" x14ac:dyDescent="0.15">
      <c r="A2959" s="7" t="str">
        <f t="shared" si="96"/>
        <v>201806</v>
      </c>
      <c r="C2959" s="6" t="str">
        <f>INDEX(工厂基础数据!$A$2:$A$1024,MATCH(X2959,工厂基础数据!$D$2:$D$1024,0))</f>
        <v>02010326</v>
      </c>
      <c r="E2959" s="6" t="str">
        <f>INDEX(工厂基础数据!$B$2:$B$1024,MATCH(X2959,工厂基础数据!$D$2:$D$1024,0))</f>
        <v>山东福华医药有限公司</v>
      </c>
      <c r="F2959" s="6">
        <f>INDEX(商业2转码!$B$2:$B$10000,MATCH(E2959,商业2转码!$A$2:$A$10000,0))</f>
        <v>0</v>
      </c>
      <c r="G2959" s="6" t="str">
        <f>INDEX(品种2编码!$A$2:$A$1048576,MATCH(W2959,品种2编码!$D$2:$D$1048576,0))</f>
        <v>0020020030ZYZC0511</v>
      </c>
      <c r="H2959" s="6" t="s">
        <v>641</v>
      </c>
      <c r="I2959" s="6" t="s">
        <v>434</v>
      </c>
      <c r="J2959" s="6" t="s">
        <v>3038</v>
      </c>
      <c r="L2959" s="6" t="s">
        <v>2062</v>
      </c>
      <c r="M2959" s="6">
        <f>INDEX(医院2县区2人!$B$2:$B$1048576,MATCH(L2959,医院2县区2人!$A$2:$A$1048576,0))</f>
        <v>1</v>
      </c>
      <c r="N2959" s="6" t="str">
        <f>INDEX(医院2县区2人!$C$2:$C$1048576,MATCH(L2959,医院2县区2人!$A$2:$A$1048576,0))</f>
        <v>1859</v>
      </c>
      <c r="P2959" s="7">
        <v>43278</v>
      </c>
      <c r="Q2959" s="6">
        <v>10</v>
      </c>
      <c r="R2959" s="6">
        <v>4.8</v>
      </c>
      <c r="S2959" s="6">
        <v>1802003</v>
      </c>
      <c r="T2959" s="6" t="str">
        <f>INDEX(医院2县区2人!$D$2:$D$1048576,MATCH(L2959,医院2县区2人!$A$2:$A$1048576,0))</f>
        <v>201602151421097</v>
      </c>
      <c r="W2959" s="6" t="str">
        <f t="shared" si="95"/>
        <v>头孢氨苄胶囊0.125g*20粒</v>
      </c>
      <c r="X2959" s="6" t="s">
        <v>2879</v>
      </c>
    </row>
    <row r="2960" spans="1:24" x14ac:dyDescent="0.15">
      <c r="A2960" s="7" t="str">
        <f t="shared" si="96"/>
        <v>201806</v>
      </c>
      <c r="C2960" s="6" t="str">
        <f>INDEX(工厂基础数据!$A$2:$A$1024,MATCH(X2960,工厂基础数据!$D$2:$D$1024,0))</f>
        <v>02010326</v>
      </c>
      <c r="E2960" s="6" t="str">
        <f>INDEX(工厂基础数据!$B$2:$B$1024,MATCH(X2960,工厂基础数据!$D$2:$D$1024,0))</f>
        <v>山东福华医药有限公司</v>
      </c>
      <c r="F2960" s="6">
        <f>INDEX(商业2转码!$B$2:$B$10000,MATCH(E2960,商业2转码!$A$2:$A$10000,0))</f>
        <v>0</v>
      </c>
      <c r="G2960" s="6" t="str">
        <f>INDEX(品种2编码!$A$2:$A$1048576,MATCH(W2960,品种2编码!$D$2:$D$1048576,0))</f>
        <v>0020020030ZYZC0511</v>
      </c>
      <c r="H2960" s="6" t="s">
        <v>641</v>
      </c>
      <c r="I2960" s="6" t="s">
        <v>434</v>
      </c>
      <c r="J2960" s="6" t="s">
        <v>3038</v>
      </c>
      <c r="L2960" s="6" t="s">
        <v>2061</v>
      </c>
      <c r="M2960" s="6">
        <f>INDEX(医院2县区2人!$B$2:$B$1048576,MATCH(L2960,医院2县区2人!$A$2:$A$1048576,0))</f>
        <v>1</v>
      </c>
      <c r="N2960" s="6" t="str">
        <f>INDEX(医院2县区2人!$C$2:$C$1048576,MATCH(L2960,医院2县区2人!$A$2:$A$1048576,0))</f>
        <v>1859</v>
      </c>
      <c r="P2960" s="7">
        <v>43278</v>
      </c>
      <c r="Q2960" s="6">
        <v>2</v>
      </c>
      <c r="R2960" s="6">
        <v>4.8</v>
      </c>
      <c r="S2960" s="6">
        <v>1802003</v>
      </c>
      <c r="T2960" s="6" t="str">
        <f>INDEX(医院2县区2人!$D$2:$D$1048576,MATCH(L2960,医院2县区2人!$A$2:$A$1048576,0))</f>
        <v>201602151421097</v>
      </c>
      <c r="W2960" s="6" t="str">
        <f t="shared" si="95"/>
        <v>头孢氨苄胶囊0.125g*20粒</v>
      </c>
      <c r="X2960" s="6" t="s">
        <v>2879</v>
      </c>
    </row>
    <row r="2961" spans="1:24" x14ac:dyDescent="0.15">
      <c r="A2961" s="7" t="str">
        <f t="shared" si="96"/>
        <v>201806</v>
      </c>
      <c r="C2961" s="6" t="str">
        <f>INDEX(工厂基础数据!$A$2:$A$1024,MATCH(X2961,工厂基础数据!$D$2:$D$1024,0))</f>
        <v>02010326</v>
      </c>
      <c r="E2961" s="6" t="str">
        <f>INDEX(工厂基础数据!$B$2:$B$1024,MATCH(X2961,工厂基础数据!$D$2:$D$1024,0))</f>
        <v>山东福华医药有限公司</v>
      </c>
      <c r="F2961" s="6">
        <f>INDEX(商业2转码!$B$2:$B$10000,MATCH(E2961,商业2转码!$A$2:$A$10000,0))</f>
        <v>0</v>
      </c>
      <c r="G2961" s="6" t="str">
        <f>INDEX(品种2编码!$A$2:$A$1048576,MATCH(W2961,品种2编码!$D$2:$D$1048576,0))</f>
        <v>0020070000ZYLC0052</v>
      </c>
      <c r="H2961" s="6" t="s">
        <v>1844</v>
      </c>
      <c r="I2961" s="6" t="s">
        <v>411</v>
      </c>
      <c r="J2961" s="6" t="s">
        <v>3036</v>
      </c>
      <c r="L2961" s="6" t="s">
        <v>2069</v>
      </c>
      <c r="M2961" s="6">
        <f>INDEX(医院2县区2人!$B$2:$B$1048576,MATCH(L2961,医院2县区2人!$A$2:$A$1048576,0))</f>
        <v>1</v>
      </c>
      <c r="N2961" s="6" t="str">
        <f>INDEX(医院2县区2人!$C$2:$C$1048576,MATCH(L2961,医院2县区2人!$A$2:$A$1048576,0))</f>
        <v>1859</v>
      </c>
      <c r="P2961" s="7">
        <v>43277</v>
      </c>
      <c r="Q2961" s="6">
        <v>10</v>
      </c>
      <c r="R2961" s="6">
        <v>16.41</v>
      </c>
      <c r="S2961" s="6">
        <v>170523</v>
      </c>
      <c r="T2961" s="6" t="str">
        <f>INDEX(医院2县区2人!$D$2:$D$1048576,MATCH(L2961,医院2县区2人!$A$2:$A$1048576,0))</f>
        <v>201602151421097</v>
      </c>
      <c r="W2961" s="6" t="str">
        <f t="shared" si="95"/>
        <v>哈药六牌钙加锌口服液10ml*12支</v>
      </c>
      <c r="X2961" s="6" t="s">
        <v>2879</v>
      </c>
    </row>
    <row r="2962" spans="1:24" x14ac:dyDescent="0.15">
      <c r="A2962" s="7" t="str">
        <f t="shared" si="96"/>
        <v>201806</v>
      </c>
      <c r="C2962" s="6" t="str">
        <f>INDEX(工厂基础数据!$A$2:$A$1024,MATCH(X2962,工厂基础数据!$D$2:$D$1024,0))</f>
        <v>02010326</v>
      </c>
      <c r="E2962" s="6" t="str">
        <f>INDEX(工厂基础数据!$B$2:$B$1024,MATCH(X2962,工厂基础数据!$D$2:$D$1024,0))</f>
        <v>山东福华医药有限公司</v>
      </c>
      <c r="F2962" s="6">
        <f>INDEX(商业2转码!$B$2:$B$10000,MATCH(E2962,商业2转码!$A$2:$A$10000,0))</f>
        <v>0</v>
      </c>
      <c r="G2962" s="6" t="str">
        <f>INDEX(品种2编码!$A$2:$A$1048576,MATCH(W2962,品种2编码!$D$2:$D$1048576,0))</f>
        <v>0020070001ZYZC0383</v>
      </c>
      <c r="H2962" s="6" t="s">
        <v>1849</v>
      </c>
      <c r="I2962" s="6" t="s">
        <v>1850</v>
      </c>
      <c r="J2962" s="6" t="s">
        <v>3038</v>
      </c>
      <c r="L2962" s="6" t="s">
        <v>2067</v>
      </c>
      <c r="M2962" s="6">
        <f>INDEX(医院2县区2人!$B$2:$B$1048576,MATCH(L2962,医院2县区2人!$A$2:$A$1048576,0))</f>
        <v>1</v>
      </c>
      <c r="N2962" s="6" t="str">
        <f>INDEX(医院2县区2人!$C$2:$C$1048576,MATCH(L2962,医院2县区2人!$A$2:$A$1048576,0))</f>
        <v>1859</v>
      </c>
      <c r="P2962" s="7">
        <v>43277</v>
      </c>
      <c r="Q2962" s="6">
        <v>3</v>
      </c>
      <c r="R2962" s="6">
        <v>13.44</v>
      </c>
      <c r="S2962" s="6">
        <v>1801107</v>
      </c>
      <c r="T2962" s="6" t="str">
        <f>INDEX(医院2县区2人!$D$2:$D$1048576,MATCH(L2962,医院2县区2人!$A$2:$A$1048576,0))</f>
        <v>201602151421097</v>
      </c>
      <c r="W2962" s="6" t="str">
        <f t="shared" si="95"/>
        <v>哈药牌钙铁锌口服液10ml*10支</v>
      </c>
      <c r="X2962" s="6" t="s">
        <v>2879</v>
      </c>
    </row>
    <row r="2963" spans="1:24" x14ac:dyDescent="0.15">
      <c r="A2963" s="7" t="str">
        <f t="shared" si="96"/>
        <v>201806</v>
      </c>
      <c r="C2963" s="6" t="str">
        <f>INDEX(工厂基础数据!$A$2:$A$1024,MATCH(X2963,工厂基础数据!$D$2:$D$1024,0))</f>
        <v>02010326</v>
      </c>
      <c r="E2963" s="6" t="str">
        <f>INDEX(工厂基础数据!$B$2:$B$1024,MATCH(X2963,工厂基础数据!$D$2:$D$1024,0))</f>
        <v>山东福华医药有限公司</v>
      </c>
      <c r="F2963" s="6">
        <f>INDEX(商业2转码!$B$2:$B$10000,MATCH(E2963,商业2转码!$A$2:$A$10000,0))</f>
        <v>0</v>
      </c>
      <c r="G2963" s="6" t="str">
        <f>INDEX(品种2编码!$A$2:$A$1048576,MATCH(W2963,品种2编码!$D$2:$D$1048576,0))</f>
        <v>0020070000ZYLC0055</v>
      </c>
      <c r="H2963" s="6" t="s">
        <v>1842</v>
      </c>
      <c r="I2963" s="6" t="s">
        <v>411</v>
      </c>
      <c r="J2963" s="6" t="s">
        <v>3036</v>
      </c>
      <c r="L2963" s="6" t="s">
        <v>2074</v>
      </c>
      <c r="M2963" s="6">
        <f>INDEX(医院2县区2人!$B$2:$B$1048576,MATCH(L2963,医院2县区2人!$A$2:$A$1048576,0))</f>
        <v>1</v>
      </c>
      <c r="N2963" s="6" t="str">
        <f>INDEX(医院2县区2人!$C$2:$C$1048576,MATCH(L2963,医院2县区2人!$A$2:$A$1048576,0))</f>
        <v>1859</v>
      </c>
      <c r="P2963" s="7">
        <v>43277</v>
      </c>
      <c r="Q2963" s="6">
        <v>3</v>
      </c>
      <c r="R2963" s="6">
        <v>14.96</v>
      </c>
      <c r="S2963" s="6">
        <v>170614</v>
      </c>
      <c r="T2963" s="6" t="str">
        <f>INDEX(医院2县区2人!$D$2:$D$1048576,MATCH(L2963,医院2县区2人!$A$2:$A$1048576,0))</f>
        <v>201602151421097</v>
      </c>
      <c r="W2963" s="6" t="str">
        <f t="shared" si="95"/>
        <v>朴血乳酸亚铁口服液10ml*12支</v>
      </c>
      <c r="X2963" s="6" t="s">
        <v>2879</v>
      </c>
    </row>
    <row r="2964" spans="1:24" x14ac:dyDescent="0.15">
      <c r="A2964" s="7" t="str">
        <f t="shared" si="96"/>
        <v>201806</v>
      </c>
      <c r="C2964" s="6" t="str">
        <f>INDEX(工厂基础数据!$A$2:$A$1024,MATCH(X2964,工厂基础数据!$D$2:$D$1024,0))</f>
        <v>02010326</v>
      </c>
      <c r="E2964" s="6" t="str">
        <f>INDEX(工厂基础数据!$B$2:$B$1024,MATCH(X2964,工厂基础数据!$D$2:$D$1024,0))</f>
        <v>山东福华医药有限公司</v>
      </c>
      <c r="F2964" s="6">
        <f>INDEX(商业2转码!$B$2:$B$10000,MATCH(E2964,商业2转码!$A$2:$A$10000,0))</f>
        <v>0</v>
      </c>
      <c r="G2964" s="6" t="str">
        <f>INDEX(品种2编码!$A$2:$A$1048576,MATCH(W2964,品种2编码!$D$2:$D$1048576,0))</f>
        <v>0020020030ZYZC0264</v>
      </c>
      <c r="H2964" s="6" t="s">
        <v>1859</v>
      </c>
      <c r="I2964" s="6" t="s">
        <v>254</v>
      </c>
      <c r="J2964" s="6" t="s">
        <v>3038</v>
      </c>
      <c r="L2964" s="6" t="s">
        <v>2118</v>
      </c>
      <c r="M2964" s="6">
        <f>INDEX(医院2县区2人!$B$2:$B$1048576,MATCH(L2964,医院2县区2人!$A$2:$A$1048576,0))</f>
        <v>2</v>
      </c>
      <c r="N2964" s="6" t="str">
        <f>INDEX(医院2县区2人!$C$2:$C$1048576,MATCH(L2964,医院2县区2人!$A$2:$A$1048576,0))</f>
        <v>1859</v>
      </c>
      <c r="P2964" s="7">
        <v>43277</v>
      </c>
      <c r="Q2964" s="6">
        <v>2</v>
      </c>
      <c r="R2964" s="6">
        <v>8</v>
      </c>
      <c r="S2964" s="6" t="s">
        <v>3788</v>
      </c>
      <c r="T2964" s="6" t="str">
        <f>INDEX(医院2县区2人!$D$2:$D$1048576,MATCH(L2964,医院2县区2人!$A$2:$A$1048576,0))</f>
        <v>201602151421097</v>
      </c>
      <c r="W2964" s="6" t="str">
        <f t="shared" si="95"/>
        <v>阿莫西林胶囊/益萨林0.5g*20粒</v>
      </c>
      <c r="X2964" s="6" t="s">
        <v>2879</v>
      </c>
    </row>
    <row r="2965" spans="1:24" x14ac:dyDescent="0.15">
      <c r="A2965" s="7" t="str">
        <f t="shared" si="96"/>
        <v>201806</v>
      </c>
      <c r="C2965" s="6" t="str">
        <f>INDEX(工厂基础数据!$A$2:$A$1024,MATCH(X2965,工厂基础数据!$D$2:$D$1024,0))</f>
        <v>02010326</v>
      </c>
      <c r="E2965" s="6" t="str">
        <f>INDEX(工厂基础数据!$B$2:$B$1024,MATCH(X2965,工厂基础数据!$D$2:$D$1024,0))</f>
        <v>山东福华医药有限公司</v>
      </c>
      <c r="F2965" s="6">
        <f>INDEX(商业2转码!$B$2:$B$10000,MATCH(E2965,商业2转码!$A$2:$A$10000,0))</f>
        <v>0</v>
      </c>
      <c r="G2965" s="6" t="str">
        <f>INDEX(品种2编码!$A$2:$A$1048576,MATCH(W2965,品种2编码!$D$2:$D$1048576,0))</f>
        <v>0020100000ZYLC0012</v>
      </c>
      <c r="H2965" s="6" t="s">
        <v>768</v>
      </c>
      <c r="I2965" s="6" t="s">
        <v>1843</v>
      </c>
      <c r="J2965" s="6" t="s">
        <v>3036</v>
      </c>
      <c r="L2965" s="6" t="s">
        <v>2069</v>
      </c>
      <c r="M2965" s="6">
        <f>INDEX(医院2县区2人!$B$2:$B$1048576,MATCH(L2965,医院2县区2人!$A$2:$A$1048576,0))</f>
        <v>1</v>
      </c>
      <c r="N2965" s="6" t="str">
        <f>INDEX(医院2县区2人!$C$2:$C$1048576,MATCH(L2965,医院2县区2人!$A$2:$A$1048576,0))</f>
        <v>1859</v>
      </c>
      <c r="P2965" s="7">
        <v>43277</v>
      </c>
      <c r="Q2965" s="6">
        <v>5</v>
      </c>
      <c r="R2965" s="6">
        <v>7.68</v>
      </c>
      <c r="S2965" s="6">
        <v>20170802</v>
      </c>
      <c r="T2965" s="6" t="str">
        <f>INDEX(医院2县区2人!$D$2:$D$1048576,MATCH(L2965,医院2县区2人!$A$2:$A$1048576,0))</f>
        <v>201602151421097</v>
      </c>
      <c r="W2965" s="6" t="str">
        <f t="shared" si="95"/>
        <v>医用退热贴2贴</v>
      </c>
      <c r="X2965" s="6" t="s">
        <v>2879</v>
      </c>
    </row>
    <row r="2966" spans="1:24" x14ac:dyDescent="0.15">
      <c r="A2966" s="7" t="str">
        <f t="shared" si="96"/>
        <v>201806</v>
      </c>
      <c r="C2966" s="6" t="str">
        <f>INDEX(工厂基础数据!$A$2:$A$1024,MATCH(X2966,工厂基础数据!$D$2:$D$1024,0))</f>
        <v>02010326</v>
      </c>
      <c r="E2966" s="6" t="str">
        <f>INDEX(工厂基础数据!$B$2:$B$1024,MATCH(X2966,工厂基础数据!$D$2:$D$1024,0))</f>
        <v>山东福华医药有限公司</v>
      </c>
      <c r="F2966" s="6">
        <f>INDEX(商业2转码!$B$2:$B$10000,MATCH(E2966,商业2转码!$A$2:$A$10000,0))</f>
        <v>0</v>
      </c>
      <c r="G2966" s="6" t="str">
        <f>INDEX(品种2编码!$A$2:$A$1048576,MATCH(W2966,品种2编码!$D$2:$D$1048576,0))</f>
        <v>0020020021ZYZC0341</v>
      </c>
      <c r="H2966" s="6" t="s">
        <v>1854</v>
      </c>
      <c r="I2966" s="6" t="s">
        <v>279</v>
      </c>
      <c r="J2966" s="6" t="s">
        <v>3038</v>
      </c>
      <c r="L2966" s="6" t="s">
        <v>2068</v>
      </c>
      <c r="M2966" s="6">
        <f>INDEX(医院2县区2人!$B$2:$B$1048576,MATCH(L2966,医院2县区2人!$A$2:$A$1048576,0))</f>
        <v>1</v>
      </c>
      <c r="N2966" s="6" t="str">
        <f>INDEX(医院2县区2人!$C$2:$C$1048576,MATCH(L2966,医院2县区2人!$A$2:$A$1048576,0))</f>
        <v>1859</v>
      </c>
      <c r="P2966" s="7">
        <v>43277</v>
      </c>
      <c r="Q2966" s="6">
        <v>10</v>
      </c>
      <c r="R2966" s="6">
        <v>9.1199999999999992</v>
      </c>
      <c r="S2966" s="6" t="s">
        <v>3049</v>
      </c>
      <c r="T2966" s="6" t="str">
        <f>INDEX(医院2县区2人!$D$2:$D$1048576,MATCH(L2966,医院2县区2人!$A$2:$A$1048576,0))</f>
        <v>201602151421097</v>
      </c>
      <c r="W2966" s="6" t="str">
        <f t="shared" si="95"/>
        <v>阿莫西林克拉维酸钾分散片/胜艾0.2285g*12片</v>
      </c>
      <c r="X2966" s="6" t="s">
        <v>2879</v>
      </c>
    </row>
    <row r="2967" spans="1:24" x14ac:dyDescent="0.15">
      <c r="A2967" s="7" t="str">
        <f t="shared" si="96"/>
        <v>201806</v>
      </c>
      <c r="C2967" s="6" t="str">
        <f>INDEX(工厂基础数据!$A$2:$A$1024,MATCH(X2967,工厂基础数据!$D$2:$D$1024,0))</f>
        <v>02010326</v>
      </c>
      <c r="E2967" s="6" t="str">
        <f>INDEX(工厂基础数据!$B$2:$B$1024,MATCH(X2967,工厂基础数据!$D$2:$D$1024,0))</f>
        <v>山东福华医药有限公司</v>
      </c>
      <c r="F2967" s="6">
        <f>INDEX(商业2转码!$B$2:$B$10000,MATCH(E2967,商业2转码!$A$2:$A$10000,0))</f>
        <v>0</v>
      </c>
      <c r="G2967" s="6" t="str">
        <f>INDEX(品种2编码!$A$2:$A$1048576,MATCH(W2967,品种2编码!$D$2:$D$1048576,0))</f>
        <v>0020070001ZYZC0383</v>
      </c>
      <c r="H2967" s="6" t="s">
        <v>1849</v>
      </c>
      <c r="I2967" s="6" t="s">
        <v>1850</v>
      </c>
      <c r="J2967" s="6" t="s">
        <v>3038</v>
      </c>
      <c r="L2967" s="6" t="s">
        <v>2721</v>
      </c>
      <c r="M2967" s="6">
        <f>INDEX(医院2县区2人!$B$2:$B$1048576,MATCH(L2967,医院2县区2人!$A$2:$A$1048576,0))</f>
        <v>2</v>
      </c>
      <c r="N2967" s="6" t="str">
        <f>INDEX(医院2县区2人!$C$2:$C$1048576,MATCH(L2967,医院2县区2人!$A$2:$A$1048576,0))</f>
        <v>1859</v>
      </c>
      <c r="P2967" s="7">
        <v>43277</v>
      </c>
      <c r="Q2967" s="6">
        <v>10</v>
      </c>
      <c r="R2967" s="6">
        <v>14</v>
      </c>
      <c r="S2967" s="6">
        <v>1801107</v>
      </c>
      <c r="T2967" s="6" t="str">
        <f>INDEX(医院2县区2人!$D$2:$D$1048576,MATCH(L2967,医院2县区2人!$A$2:$A$1048576,0))</f>
        <v>201602151421097</v>
      </c>
      <c r="W2967" s="6" t="str">
        <f t="shared" si="95"/>
        <v>哈药牌钙铁锌口服液10ml*10支</v>
      </c>
      <c r="X2967" s="6" t="s">
        <v>2879</v>
      </c>
    </row>
    <row r="2968" spans="1:24" x14ac:dyDescent="0.15">
      <c r="A2968" s="7" t="str">
        <f t="shared" si="96"/>
        <v>201806</v>
      </c>
      <c r="C2968" s="6" t="str">
        <f>INDEX(工厂基础数据!$A$2:$A$1024,MATCH(X2968,工厂基础数据!$D$2:$D$1024,0))</f>
        <v>02010326</v>
      </c>
      <c r="E2968" s="6" t="str">
        <f>INDEX(工厂基础数据!$B$2:$B$1024,MATCH(X2968,工厂基础数据!$D$2:$D$1024,0))</f>
        <v>山东福华医药有限公司</v>
      </c>
      <c r="F2968" s="6">
        <f>INDEX(商业2转码!$B$2:$B$10000,MATCH(E2968,商业2转码!$A$2:$A$10000,0))</f>
        <v>0</v>
      </c>
      <c r="G2968" s="6" t="str">
        <f>INDEX(品种2编码!$A$2:$A$1048576,MATCH(W2968,品种2编码!$D$2:$D$1048576,0))</f>
        <v>0020070000ZYLC0052</v>
      </c>
      <c r="H2968" s="6" t="s">
        <v>1844</v>
      </c>
      <c r="I2968" s="6" t="s">
        <v>411</v>
      </c>
      <c r="J2968" s="6" t="s">
        <v>3036</v>
      </c>
      <c r="L2968" s="6" t="s">
        <v>2118</v>
      </c>
      <c r="M2968" s="6">
        <f>INDEX(医院2县区2人!$B$2:$B$1048576,MATCH(L2968,医院2县区2人!$A$2:$A$1048576,0))</f>
        <v>2</v>
      </c>
      <c r="N2968" s="6" t="str">
        <f>INDEX(医院2县区2人!$C$2:$C$1048576,MATCH(L2968,医院2县区2人!$A$2:$A$1048576,0))</f>
        <v>1859</v>
      </c>
      <c r="P2968" s="7">
        <v>43277</v>
      </c>
      <c r="Q2968" s="6">
        <v>1</v>
      </c>
      <c r="R2968" s="6">
        <v>17</v>
      </c>
      <c r="S2968" s="6">
        <v>170523</v>
      </c>
      <c r="T2968" s="6" t="str">
        <f>INDEX(医院2县区2人!$D$2:$D$1048576,MATCH(L2968,医院2县区2人!$A$2:$A$1048576,0))</f>
        <v>201602151421097</v>
      </c>
      <c r="W2968" s="6" t="str">
        <f t="shared" si="95"/>
        <v>哈药六牌钙加锌口服液10ml*12支</v>
      </c>
      <c r="X2968" s="6" t="s">
        <v>2879</v>
      </c>
    </row>
    <row r="2969" spans="1:24" x14ac:dyDescent="0.15">
      <c r="A2969" s="7" t="str">
        <f t="shared" si="96"/>
        <v>201806</v>
      </c>
      <c r="C2969" s="6" t="str">
        <f>INDEX(工厂基础数据!$A$2:$A$1024,MATCH(X2969,工厂基础数据!$D$2:$D$1024,0))</f>
        <v>02010326</v>
      </c>
      <c r="E2969" s="6" t="str">
        <f>INDEX(工厂基础数据!$B$2:$B$1024,MATCH(X2969,工厂基础数据!$D$2:$D$1024,0))</f>
        <v>山东福华医药有限公司</v>
      </c>
      <c r="F2969" s="6">
        <f>INDEX(商业2转码!$B$2:$B$10000,MATCH(E2969,商业2转码!$A$2:$A$10000,0))</f>
        <v>0</v>
      </c>
      <c r="G2969" s="6" t="str">
        <f>INDEX(品种2编码!$A$2:$A$1048576,MATCH(W2969,品种2编码!$D$2:$D$1048576,0))</f>
        <v>0020070001ZYZC0383</v>
      </c>
      <c r="H2969" s="6" t="s">
        <v>1849</v>
      </c>
      <c r="I2969" s="6" t="s">
        <v>1850</v>
      </c>
      <c r="J2969" s="6" t="s">
        <v>3038</v>
      </c>
      <c r="L2969" s="6" t="s">
        <v>2118</v>
      </c>
      <c r="M2969" s="6">
        <f>INDEX(医院2县区2人!$B$2:$B$1048576,MATCH(L2969,医院2县区2人!$A$2:$A$1048576,0))</f>
        <v>2</v>
      </c>
      <c r="N2969" s="6" t="str">
        <f>INDEX(医院2县区2人!$C$2:$C$1048576,MATCH(L2969,医院2县区2人!$A$2:$A$1048576,0))</f>
        <v>1859</v>
      </c>
      <c r="P2969" s="7">
        <v>43277</v>
      </c>
      <c r="Q2969" s="6">
        <v>2</v>
      </c>
      <c r="R2969" s="6">
        <v>14</v>
      </c>
      <c r="S2969" s="6">
        <v>1801107</v>
      </c>
      <c r="T2969" s="6" t="str">
        <f>INDEX(医院2县区2人!$D$2:$D$1048576,MATCH(L2969,医院2县区2人!$A$2:$A$1048576,0))</f>
        <v>201602151421097</v>
      </c>
      <c r="W2969" s="6" t="str">
        <f t="shared" si="95"/>
        <v>哈药牌钙铁锌口服液10ml*10支</v>
      </c>
      <c r="X2969" s="6" t="s">
        <v>2879</v>
      </c>
    </row>
    <row r="2970" spans="1:24" x14ac:dyDescent="0.15">
      <c r="A2970" s="7" t="str">
        <f t="shared" si="96"/>
        <v>201806</v>
      </c>
      <c r="C2970" s="6" t="str">
        <f>INDEX(工厂基础数据!$A$2:$A$1024,MATCH(X2970,工厂基础数据!$D$2:$D$1024,0))</f>
        <v>02010326</v>
      </c>
      <c r="E2970" s="6" t="str">
        <f>INDEX(工厂基础数据!$B$2:$B$1024,MATCH(X2970,工厂基础数据!$D$2:$D$1024,0))</f>
        <v>山东福华医药有限公司</v>
      </c>
      <c r="F2970" s="6">
        <f>INDEX(商业2转码!$B$2:$B$10000,MATCH(E2970,商业2转码!$A$2:$A$10000,0))</f>
        <v>0</v>
      </c>
      <c r="G2970" s="6" t="str">
        <f>INDEX(品种2编码!$A$2:$A$1048576,MATCH(W2970,品种2编码!$D$2:$D$1048576,0))</f>
        <v>0020020020SJMS0006</v>
      </c>
      <c r="H2970" s="6" t="s">
        <v>516</v>
      </c>
      <c r="I2970" s="6" t="s">
        <v>1856</v>
      </c>
      <c r="J2970" s="6" t="s">
        <v>3046</v>
      </c>
      <c r="L2970" s="6" t="s">
        <v>2082</v>
      </c>
      <c r="M2970" s="6">
        <f>INDEX(医院2县区2人!$B$2:$B$1048576,MATCH(L2970,医院2县区2人!$A$2:$A$1048576,0))</f>
        <v>2</v>
      </c>
      <c r="N2970" s="6" t="str">
        <f>INDEX(医院2县区2人!$C$2:$C$1048576,MATCH(L2970,医院2县区2人!$A$2:$A$1048576,0))</f>
        <v>1859</v>
      </c>
      <c r="P2970" s="7">
        <v>43276</v>
      </c>
      <c r="Q2970" s="6">
        <v>5</v>
      </c>
      <c r="R2970" s="6">
        <v>1.6</v>
      </c>
      <c r="S2970" s="6">
        <v>1801006</v>
      </c>
      <c r="T2970" s="6" t="str">
        <f>INDEX(医院2县区2人!$D$2:$D$1048576,MATCH(L2970,医院2县区2人!$A$2:$A$1048576,0))</f>
        <v>201602151421097</v>
      </c>
      <c r="W2970" s="6" t="str">
        <f t="shared" si="95"/>
        <v>尼莫地平片20mg*50片</v>
      </c>
      <c r="X2970" s="6" t="s">
        <v>2879</v>
      </c>
    </row>
    <row r="2971" spans="1:24" x14ac:dyDescent="0.15">
      <c r="A2971" s="7" t="str">
        <f t="shared" si="96"/>
        <v>201806</v>
      </c>
      <c r="C2971" s="6" t="str">
        <f>INDEX(工厂基础数据!$A$2:$A$1024,MATCH(X2971,工厂基础数据!$D$2:$D$1024,0))</f>
        <v>02010326</v>
      </c>
      <c r="E2971" s="6" t="str">
        <f>INDEX(工厂基础数据!$B$2:$B$1024,MATCH(X2971,工厂基础数据!$D$2:$D$1024,0))</f>
        <v>山东福华医药有限公司</v>
      </c>
      <c r="F2971" s="6">
        <f>INDEX(商业2转码!$B$2:$B$10000,MATCH(E2971,商业2转码!$A$2:$A$10000,0))</f>
        <v>0</v>
      </c>
      <c r="G2971" s="6" t="str">
        <f>INDEX(品种2编码!$A$2:$A$1048576,MATCH(W2971,品种2编码!$D$2:$D$1048576,0))</f>
        <v>0020050090ZYEC0005</v>
      </c>
      <c r="H2971" s="6" t="s">
        <v>581</v>
      </c>
      <c r="I2971" s="6" t="s">
        <v>1850</v>
      </c>
      <c r="J2971" s="6" t="s">
        <v>3041</v>
      </c>
      <c r="L2971" s="6" t="s">
        <v>2103</v>
      </c>
      <c r="M2971" s="6">
        <f>INDEX(医院2县区2人!$B$2:$B$1048576,MATCH(L2971,医院2县区2人!$A$2:$A$1048576,0))</f>
        <v>1</v>
      </c>
      <c r="N2971" s="6" t="str">
        <f>INDEX(医院2县区2人!$C$2:$C$1048576,MATCH(L2971,医院2县区2人!$A$2:$A$1048576,0))</f>
        <v>1859</v>
      </c>
      <c r="P2971" s="7">
        <v>43276</v>
      </c>
      <c r="Q2971" s="6">
        <v>2</v>
      </c>
      <c r="R2971" s="6">
        <v>13.25</v>
      </c>
      <c r="S2971" s="6">
        <v>180201</v>
      </c>
      <c r="T2971" s="6" t="str">
        <f>INDEX(医院2县区2人!$D$2:$D$1048576,MATCH(L2971,医院2县区2人!$A$2:$A$1048576,0))</f>
        <v>201602151421097</v>
      </c>
      <c r="W2971" s="6" t="str">
        <f t="shared" si="95"/>
        <v>清热解毒口服液10ml*10支</v>
      </c>
      <c r="X2971" s="6" t="s">
        <v>2879</v>
      </c>
    </row>
    <row r="2972" spans="1:24" x14ac:dyDescent="0.15">
      <c r="A2972" s="7" t="str">
        <f t="shared" si="96"/>
        <v>201806</v>
      </c>
      <c r="C2972" s="6" t="str">
        <f>INDEX(工厂基础数据!$A$2:$A$1024,MATCH(X2972,工厂基础数据!$D$2:$D$1024,0))</f>
        <v>02010326</v>
      </c>
      <c r="E2972" s="6" t="str">
        <f>INDEX(工厂基础数据!$B$2:$B$1024,MATCH(X2972,工厂基础数据!$D$2:$D$1024,0))</f>
        <v>山东福华医药有限公司</v>
      </c>
      <c r="F2972" s="6">
        <f>INDEX(商业2转码!$B$2:$B$10000,MATCH(E2972,商业2转码!$A$2:$A$10000,0))</f>
        <v>0</v>
      </c>
      <c r="G2972" s="6" t="str">
        <f>INDEX(品种2编码!$A$2:$A$1048576,MATCH(W2972,品种2编码!$D$2:$D$1048576,0))</f>
        <v>0020070000ZYLC0001</v>
      </c>
      <c r="H2972" s="6" t="s">
        <v>1837</v>
      </c>
      <c r="I2972" s="6" t="s">
        <v>1838</v>
      </c>
      <c r="J2972" s="6" t="s">
        <v>3036</v>
      </c>
      <c r="L2972" s="6" t="s">
        <v>2059</v>
      </c>
      <c r="M2972" s="6">
        <f>INDEX(医院2县区2人!$B$2:$B$1048576,MATCH(L2972,医院2县区2人!$A$2:$A$1048576,0))</f>
        <v>1</v>
      </c>
      <c r="N2972" s="6" t="str">
        <f>INDEX(医院2县区2人!$C$2:$C$1048576,MATCH(L2972,医院2县区2人!$A$2:$A$1048576,0))</f>
        <v>1859</v>
      </c>
      <c r="P2972" s="7">
        <v>43276</v>
      </c>
      <c r="Q2972" s="6">
        <v>5</v>
      </c>
      <c r="R2972" s="6">
        <v>23.04</v>
      </c>
      <c r="S2972" s="6">
        <v>180104</v>
      </c>
      <c r="T2972" s="6" t="str">
        <f>INDEX(医院2县区2人!$D$2:$D$1048576,MATCH(L2972,医院2县区2人!$A$2:$A$1048576,0))</f>
        <v>201602151421097</v>
      </c>
      <c r="W2972" s="6" t="str">
        <f t="shared" si="95"/>
        <v>新盖中盖高钙片(成人)/盖中盖2.5g*36片</v>
      </c>
      <c r="X2972" s="6" t="s">
        <v>2879</v>
      </c>
    </row>
    <row r="2973" spans="1:24" x14ac:dyDescent="0.15">
      <c r="A2973" s="7" t="str">
        <f t="shared" si="96"/>
        <v>201806</v>
      </c>
      <c r="C2973" s="6" t="str">
        <f>INDEX(工厂基础数据!$A$2:$A$1024,MATCH(X2973,工厂基础数据!$D$2:$D$1024,0))</f>
        <v>02010326</v>
      </c>
      <c r="E2973" s="6" t="str">
        <f>INDEX(工厂基础数据!$B$2:$B$1024,MATCH(X2973,工厂基础数据!$D$2:$D$1024,0))</f>
        <v>山东福华医药有限公司</v>
      </c>
      <c r="F2973" s="6">
        <f>INDEX(商业2转码!$B$2:$B$10000,MATCH(E2973,商业2转码!$A$2:$A$10000,0))</f>
        <v>0</v>
      </c>
      <c r="G2973" s="6" t="str">
        <f>INDEX(品种2编码!$A$2:$A$1048576,MATCH(W2973,品种2编码!$D$2:$D$1048576,0))</f>
        <v>0020050020SHYT0016</v>
      </c>
      <c r="H2973" s="6" t="s">
        <v>1864</v>
      </c>
      <c r="I2973" s="6" t="s">
        <v>339</v>
      </c>
      <c r="J2973" s="6" t="s">
        <v>3037</v>
      </c>
      <c r="L2973" s="6" t="s">
        <v>2079</v>
      </c>
      <c r="M2973" s="6">
        <f>INDEX(医院2县区2人!$B$2:$B$1048576,MATCH(L2973,医院2县区2人!$A$2:$A$1048576,0))</f>
        <v>1</v>
      </c>
      <c r="N2973" s="6" t="str">
        <f>INDEX(医院2县区2人!$C$2:$C$1048576,MATCH(L2973,医院2县区2人!$A$2:$A$1048576,0))</f>
        <v>1859</v>
      </c>
      <c r="P2973" s="7">
        <v>43276</v>
      </c>
      <c r="Q2973" s="6">
        <v>3</v>
      </c>
      <c r="R2973" s="6">
        <v>12.45</v>
      </c>
      <c r="S2973" s="6">
        <v>1702507</v>
      </c>
      <c r="T2973" s="6" t="str">
        <f>INDEX(医院2县区2人!$D$2:$D$1048576,MATCH(L2973,医院2县区2人!$A$2:$A$1048576,0))</f>
        <v>201602151421097</v>
      </c>
      <c r="W2973" s="6" t="str">
        <f t="shared" si="95"/>
        <v>复方金银花颗粒10g*10袋</v>
      </c>
      <c r="X2973" s="6" t="s">
        <v>2879</v>
      </c>
    </row>
    <row r="2974" spans="1:24" x14ac:dyDescent="0.15">
      <c r="A2974" s="7" t="str">
        <f t="shared" si="96"/>
        <v>201806</v>
      </c>
      <c r="C2974" s="6" t="str">
        <f>INDEX(工厂基础数据!$A$2:$A$1024,MATCH(X2974,工厂基础数据!$D$2:$D$1024,0))</f>
        <v>02010326</v>
      </c>
      <c r="E2974" s="6" t="str">
        <f>INDEX(工厂基础数据!$B$2:$B$1024,MATCH(X2974,工厂基础数据!$D$2:$D$1024,0))</f>
        <v>山东福华医药有限公司</v>
      </c>
      <c r="F2974" s="6">
        <f>INDEX(商业2转码!$B$2:$B$10000,MATCH(E2974,商业2转码!$A$2:$A$10000,0))</f>
        <v>0</v>
      </c>
      <c r="G2974" s="6" t="str">
        <f>INDEX(品种2编码!$A$2:$A$1048576,MATCH(W2974,品种2编码!$D$2:$D$1048576,0))</f>
        <v>0020030020SJSC0025</v>
      </c>
      <c r="H2974" s="6" t="s">
        <v>380</v>
      </c>
      <c r="I2974" s="6" t="s">
        <v>381</v>
      </c>
      <c r="J2974" s="6" t="s">
        <v>3787</v>
      </c>
      <c r="L2974" s="6" t="s">
        <v>2115</v>
      </c>
      <c r="M2974" s="6">
        <f>INDEX(医院2县区2人!$B$2:$B$1048576,MATCH(L2974,医院2县区2人!$A$2:$A$1048576,0))</f>
        <v>2</v>
      </c>
      <c r="N2974" s="6" t="str">
        <f>INDEX(医院2县区2人!$C$2:$C$1048576,MATCH(L2974,医院2县区2人!$A$2:$A$1048576,0))</f>
        <v>1859</v>
      </c>
      <c r="P2974" s="7">
        <v>43276</v>
      </c>
      <c r="Q2974" s="6">
        <v>10</v>
      </c>
      <c r="R2974" s="6">
        <v>3.8</v>
      </c>
      <c r="S2974" s="6">
        <v>1705001</v>
      </c>
      <c r="T2974" s="6" t="str">
        <f>INDEX(医院2县区2人!$D$2:$D$1048576,MATCH(L2974,医院2县区2人!$A$2:$A$1048576,0))</f>
        <v>201602151421097</v>
      </c>
      <c r="W2974" s="6" t="str">
        <f t="shared" si="95"/>
        <v>复方氨酚烷胺片12片</v>
      </c>
      <c r="X2974" s="6" t="s">
        <v>2879</v>
      </c>
    </row>
    <row r="2975" spans="1:24" x14ac:dyDescent="0.15">
      <c r="A2975" s="7" t="str">
        <f t="shared" si="96"/>
        <v>201806</v>
      </c>
      <c r="C2975" s="6" t="str">
        <f>INDEX(工厂基础数据!$A$2:$A$1024,MATCH(X2975,工厂基础数据!$D$2:$D$1024,0))</f>
        <v>02010326</v>
      </c>
      <c r="E2975" s="6" t="str">
        <f>INDEX(工厂基础数据!$B$2:$B$1024,MATCH(X2975,工厂基础数据!$D$2:$D$1024,0))</f>
        <v>山东福华医药有限公司</v>
      </c>
      <c r="F2975" s="6">
        <f>INDEX(商业2转码!$B$2:$B$10000,MATCH(E2975,商业2转码!$A$2:$A$10000,0))</f>
        <v>0</v>
      </c>
      <c r="G2975" s="6" t="str">
        <f>INDEX(品种2编码!$A$2:$A$1048576,MATCH(W2975,品种2编码!$D$2:$D$1048576,0))</f>
        <v>0020020021ZYLC0005</v>
      </c>
      <c r="H2975" s="6" t="s">
        <v>1840</v>
      </c>
      <c r="I2975" s="6" t="s">
        <v>1841</v>
      </c>
      <c r="J2975" s="6" t="s">
        <v>3036</v>
      </c>
      <c r="L2975" s="6" t="s">
        <v>2165</v>
      </c>
      <c r="M2975" s="6">
        <f>INDEX(医院2县区2人!$B$2:$B$1048576,MATCH(L2975,医院2县区2人!$A$2:$A$1048576,0))</f>
        <v>2</v>
      </c>
      <c r="N2975" s="6" t="str">
        <f>INDEX(医院2县区2人!$C$2:$C$1048576,MATCH(L2975,医院2县区2人!$A$2:$A$1048576,0))</f>
        <v>1859</v>
      </c>
      <c r="P2975" s="7">
        <v>43276</v>
      </c>
      <c r="Q2975" s="6">
        <v>10</v>
      </c>
      <c r="R2975" s="6">
        <v>4</v>
      </c>
      <c r="S2975" s="6">
        <v>170603</v>
      </c>
      <c r="T2975" s="6" t="str">
        <f>INDEX(医院2县区2人!$D$2:$D$1048576,MATCH(L2975,医院2县区2人!$A$2:$A$1048576,0))</f>
        <v>201602151421097</v>
      </c>
      <c r="W2975" s="6" t="str">
        <f t="shared" si="95"/>
        <v>罗红霉素分散片/小严迪50mg*12片</v>
      </c>
      <c r="X2975" s="6" t="s">
        <v>2879</v>
      </c>
    </row>
    <row r="2976" spans="1:24" x14ac:dyDescent="0.15">
      <c r="A2976" s="7" t="str">
        <f t="shared" si="96"/>
        <v>201806</v>
      </c>
      <c r="C2976" s="6" t="str">
        <f>INDEX(工厂基础数据!$A$2:$A$1024,MATCH(X2976,工厂基础数据!$D$2:$D$1024,0))</f>
        <v>02010326</v>
      </c>
      <c r="E2976" s="6" t="str">
        <f>INDEX(工厂基础数据!$B$2:$B$1024,MATCH(X2976,工厂基础数据!$D$2:$D$1024,0))</f>
        <v>山东福华医药有限公司</v>
      </c>
      <c r="F2976" s="6">
        <f>INDEX(商业2转码!$B$2:$B$10000,MATCH(E2976,商业2转码!$A$2:$A$10000,0))</f>
        <v>0</v>
      </c>
      <c r="G2976" s="6" t="str">
        <f>INDEX(品种2编码!$A$2:$A$1048576,MATCH(W2976,品种2编码!$D$2:$D$1048576,0))</f>
        <v>0020020020ZYZC0473</v>
      </c>
      <c r="H2976" s="6" t="s">
        <v>745</v>
      </c>
      <c r="I2976" s="6" t="s">
        <v>290</v>
      </c>
      <c r="J2976" s="6" t="s">
        <v>3038</v>
      </c>
      <c r="L2976" s="6" t="s">
        <v>2103</v>
      </c>
      <c r="M2976" s="6">
        <f>INDEX(医院2县区2人!$B$2:$B$1048576,MATCH(L2976,医院2县区2人!$A$2:$A$1048576,0))</f>
        <v>1</v>
      </c>
      <c r="N2976" s="6" t="str">
        <f>INDEX(医院2县区2人!$C$2:$C$1048576,MATCH(L2976,医院2县区2人!$A$2:$A$1048576,0))</f>
        <v>1859</v>
      </c>
      <c r="P2976" s="7">
        <v>43276</v>
      </c>
      <c r="Q2976" s="6">
        <v>4</v>
      </c>
      <c r="R2976" s="6">
        <v>3.47</v>
      </c>
      <c r="S2976" s="6" t="s">
        <v>3056</v>
      </c>
      <c r="T2976" s="6" t="str">
        <f>INDEX(医院2县区2人!$D$2:$D$1048576,MATCH(L2976,医院2县区2人!$A$2:$A$1048576,0))</f>
        <v>201602151421097</v>
      </c>
      <c r="W2976" s="6" t="str">
        <f t="shared" si="95"/>
        <v>盐酸环丙沙星片0.25g*12片</v>
      </c>
      <c r="X2976" s="6" t="s">
        <v>2879</v>
      </c>
    </row>
    <row r="2977" spans="1:24" x14ac:dyDescent="0.15">
      <c r="A2977" s="7" t="str">
        <f t="shared" si="96"/>
        <v>201806</v>
      </c>
      <c r="C2977" s="6" t="str">
        <f>INDEX(工厂基础数据!$A$2:$A$1024,MATCH(X2977,工厂基础数据!$D$2:$D$1024,0))</f>
        <v>02010326</v>
      </c>
      <c r="E2977" s="6" t="str">
        <f>INDEX(工厂基础数据!$B$2:$B$1024,MATCH(X2977,工厂基础数据!$D$2:$D$1024,0))</f>
        <v>山东福华医药有限公司</v>
      </c>
      <c r="F2977" s="6">
        <f>INDEX(商业2转码!$B$2:$B$10000,MATCH(E2977,商业2转码!$A$2:$A$10000,0))</f>
        <v>0</v>
      </c>
      <c r="G2977" s="6" t="str">
        <f>INDEX(品种2编码!$A$2:$A$1048576,MATCH(W2977,品种2编码!$D$2:$D$1048576,0))</f>
        <v>0020020020ZYZC0473</v>
      </c>
      <c r="H2977" s="6" t="s">
        <v>745</v>
      </c>
      <c r="I2977" s="6" t="s">
        <v>290</v>
      </c>
      <c r="J2977" s="6" t="s">
        <v>3038</v>
      </c>
      <c r="L2977" s="6" t="s">
        <v>2083</v>
      </c>
      <c r="M2977" s="6">
        <f>INDEX(医院2县区2人!$B$2:$B$1048576,MATCH(L2977,医院2县区2人!$A$2:$A$1048576,0))</f>
        <v>1</v>
      </c>
      <c r="N2977" s="6" t="str">
        <f>INDEX(医院2县区2人!$C$2:$C$1048576,MATCH(L2977,医院2县区2人!$A$2:$A$1048576,0))</f>
        <v>1859</v>
      </c>
      <c r="P2977" s="7">
        <v>43276</v>
      </c>
      <c r="Q2977" s="6">
        <v>10</v>
      </c>
      <c r="R2977" s="6">
        <v>3.47</v>
      </c>
      <c r="S2977" s="6" t="s">
        <v>3056</v>
      </c>
      <c r="T2977" s="6" t="str">
        <f>INDEX(医院2县区2人!$D$2:$D$1048576,MATCH(L2977,医院2县区2人!$A$2:$A$1048576,0))</f>
        <v>201602151421097</v>
      </c>
      <c r="W2977" s="6" t="str">
        <f t="shared" si="95"/>
        <v>盐酸环丙沙星片0.25g*12片</v>
      </c>
      <c r="X2977" s="6" t="s">
        <v>2879</v>
      </c>
    </row>
    <row r="2978" spans="1:24" x14ac:dyDescent="0.15">
      <c r="A2978" s="7" t="str">
        <f t="shared" si="96"/>
        <v>201806</v>
      </c>
      <c r="C2978" s="6" t="str">
        <f>INDEX(工厂基础数据!$A$2:$A$1024,MATCH(X2978,工厂基础数据!$D$2:$D$1024,0))</f>
        <v>02010326</v>
      </c>
      <c r="E2978" s="6" t="str">
        <f>INDEX(工厂基础数据!$B$2:$B$1024,MATCH(X2978,工厂基础数据!$D$2:$D$1024,0))</f>
        <v>山东福华医药有限公司</v>
      </c>
      <c r="F2978" s="6">
        <f>INDEX(商业2转码!$B$2:$B$10000,MATCH(E2978,商业2转码!$A$2:$A$10000,0))</f>
        <v>0</v>
      </c>
      <c r="G2978" s="6" t="str">
        <f>INDEX(品种2编码!$A$2:$A$1048576,MATCH(W2978,品种2编码!$D$2:$D$1048576,0))</f>
        <v>0020020030ZYZC0508</v>
      </c>
      <c r="H2978" s="6" t="s">
        <v>1859</v>
      </c>
      <c r="I2978" s="6" t="s">
        <v>246</v>
      </c>
      <c r="J2978" s="6" t="s">
        <v>3038</v>
      </c>
      <c r="L2978" s="6" t="s">
        <v>2103</v>
      </c>
      <c r="M2978" s="6">
        <f>INDEX(医院2县区2人!$B$2:$B$1048576,MATCH(L2978,医院2县区2人!$A$2:$A$1048576,0))</f>
        <v>1</v>
      </c>
      <c r="N2978" s="6" t="str">
        <f>INDEX(医院2县区2人!$C$2:$C$1048576,MATCH(L2978,医院2县区2人!$A$2:$A$1048576,0))</f>
        <v>1859</v>
      </c>
      <c r="P2978" s="7">
        <v>43276</v>
      </c>
      <c r="Q2978" s="6">
        <v>3</v>
      </c>
      <c r="R2978" s="6">
        <v>5.79</v>
      </c>
      <c r="S2978" s="6" t="s">
        <v>3053</v>
      </c>
      <c r="T2978" s="6" t="str">
        <f>INDEX(医院2县区2人!$D$2:$D$1048576,MATCH(L2978,医院2县区2人!$A$2:$A$1048576,0))</f>
        <v>201602151421097</v>
      </c>
      <c r="W2978" s="6" t="str">
        <f t="shared" si="95"/>
        <v>阿莫西林胶囊/益萨林0.25g*20粒</v>
      </c>
      <c r="X2978" s="6" t="s">
        <v>2879</v>
      </c>
    </row>
    <row r="2979" spans="1:24" x14ac:dyDescent="0.15">
      <c r="A2979" s="7" t="str">
        <f t="shared" si="96"/>
        <v>201806</v>
      </c>
      <c r="C2979" s="6" t="str">
        <f>INDEX(工厂基础数据!$A$2:$A$1024,MATCH(X2979,工厂基础数据!$D$2:$D$1024,0))</f>
        <v>02010326</v>
      </c>
      <c r="E2979" s="6" t="str">
        <f>INDEX(工厂基础数据!$B$2:$B$1024,MATCH(X2979,工厂基础数据!$D$2:$D$1024,0))</f>
        <v>山东福华医药有限公司</v>
      </c>
      <c r="F2979" s="6">
        <f>INDEX(商业2转码!$B$2:$B$10000,MATCH(E2979,商业2转码!$A$2:$A$10000,0))</f>
        <v>0</v>
      </c>
      <c r="G2979" s="6" t="str">
        <f>INDEX(品种2编码!$A$2:$A$1048576,MATCH(W2979,品种2编码!$D$2:$D$1048576,0))</f>
        <v>0020030040ZYLC0001</v>
      </c>
      <c r="H2979" s="6" t="s">
        <v>1852</v>
      </c>
      <c r="I2979" s="6" t="s">
        <v>1853</v>
      </c>
      <c r="J2979" s="6" t="s">
        <v>3036</v>
      </c>
      <c r="L2979" s="6" t="s">
        <v>2056</v>
      </c>
      <c r="M2979" s="6">
        <f>INDEX(医院2县区2人!$B$2:$B$1048576,MATCH(L2979,医院2县区2人!$A$2:$A$1048576,0))</f>
        <v>1</v>
      </c>
      <c r="N2979" s="6" t="str">
        <f>INDEX(医院2县区2人!$C$2:$C$1048576,MATCH(L2979,医院2县区2人!$A$2:$A$1048576,0))</f>
        <v>1859</v>
      </c>
      <c r="P2979" s="7">
        <v>43276</v>
      </c>
      <c r="Q2979" s="6">
        <v>5</v>
      </c>
      <c r="R2979" s="6">
        <v>8.01</v>
      </c>
      <c r="S2979" s="6">
        <v>170533</v>
      </c>
      <c r="T2979" s="6" t="str">
        <f>INDEX(医院2县区2人!$D$2:$D$1048576,MATCH(L2979,医院2县区2人!$A$2:$A$1048576,0))</f>
        <v>201602151421097</v>
      </c>
      <c r="W2979" s="6" t="str">
        <f t="shared" si="95"/>
        <v>小儿氨酚黄那敏颗粒/护彤2g*12袋</v>
      </c>
      <c r="X2979" s="6" t="s">
        <v>2879</v>
      </c>
    </row>
    <row r="2980" spans="1:24" x14ac:dyDescent="0.15">
      <c r="A2980" s="7" t="str">
        <f t="shared" si="96"/>
        <v>201806</v>
      </c>
      <c r="C2980" s="6" t="str">
        <f>INDEX(工厂基础数据!$A$2:$A$1024,MATCH(X2980,工厂基础数据!$D$2:$D$1024,0))</f>
        <v>02010326</v>
      </c>
      <c r="E2980" s="6" t="str">
        <f>INDEX(工厂基础数据!$B$2:$B$1024,MATCH(X2980,工厂基础数据!$D$2:$D$1024,0))</f>
        <v>山东福华医药有限公司</v>
      </c>
      <c r="F2980" s="6">
        <f>INDEX(商业2转码!$B$2:$B$10000,MATCH(E2980,商业2转码!$A$2:$A$10000,0))</f>
        <v>0</v>
      </c>
      <c r="G2980" s="6" t="str">
        <f>INDEX(品种2编码!$A$2:$A$1048576,MATCH(W2980,品种2编码!$D$2:$D$1048576,0))</f>
        <v>0020100000ZYLC0012</v>
      </c>
      <c r="H2980" s="6" t="s">
        <v>768</v>
      </c>
      <c r="I2980" s="6" t="s">
        <v>1843</v>
      </c>
      <c r="J2980" s="6" t="s">
        <v>3036</v>
      </c>
      <c r="L2980" s="6" t="s">
        <v>2056</v>
      </c>
      <c r="M2980" s="6">
        <f>INDEX(医院2县区2人!$B$2:$B$1048576,MATCH(L2980,医院2县区2人!$A$2:$A$1048576,0))</f>
        <v>1</v>
      </c>
      <c r="N2980" s="6" t="str">
        <f>INDEX(医院2县区2人!$C$2:$C$1048576,MATCH(L2980,医院2县区2人!$A$2:$A$1048576,0))</f>
        <v>1859</v>
      </c>
      <c r="P2980" s="7">
        <v>43276</v>
      </c>
      <c r="Q2980" s="6">
        <v>2</v>
      </c>
      <c r="R2980" s="6">
        <v>3.2</v>
      </c>
      <c r="S2980" s="6">
        <v>20180104</v>
      </c>
      <c r="T2980" s="6" t="str">
        <f>INDEX(医院2县区2人!$D$2:$D$1048576,MATCH(L2980,医院2县区2人!$A$2:$A$1048576,0))</f>
        <v>201602151421097</v>
      </c>
      <c r="W2980" s="6" t="str">
        <f t="shared" si="95"/>
        <v>医用退热贴2贴</v>
      </c>
      <c r="X2980" s="6" t="s">
        <v>2879</v>
      </c>
    </row>
    <row r="2981" spans="1:24" x14ac:dyDescent="0.15">
      <c r="A2981" s="7" t="str">
        <f t="shared" si="96"/>
        <v>201806</v>
      </c>
      <c r="C2981" s="6" t="str">
        <f>INDEX(工厂基础数据!$A$2:$A$1024,MATCH(X2981,工厂基础数据!$D$2:$D$1024,0))</f>
        <v>02010326</v>
      </c>
      <c r="E2981" s="6" t="str">
        <f>INDEX(工厂基础数据!$B$2:$B$1024,MATCH(X2981,工厂基础数据!$D$2:$D$1024,0))</f>
        <v>山东福华医药有限公司</v>
      </c>
      <c r="F2981" s="6">
        <f>INDEX(商业2转码!$B$2:$B$10000,MATCH(E2981,商业2转码!$A$2:$A$10000,0))</f>
        <v>0</v>
      </c>
      <c r="G2981" s="6" t="str">
        <f>INDEX(品种2编码!$A$2:$A$1048576,MATCH(W2981,品种2编码!$D$2:$D$1048576,0))</f>
        <v>0020100000ZYLC0012</v>
      </c>
      <c r="H2981" s="6" t="s">
        <v>768</v>
      </c>
      <c r="I2981" s="6" t="s">
        <v>1843</v>
      </c>
      <c r="J2981" s="6" t="s">
        <v>3036</v>
      </c>
      <c r="L2981" s="6" t="s">
        <v>2056</v>
      </c>
      <c r="M2981" s="6">
        <f>INDEX(医院2县区2人!$B$2:$B$1048576,MATCH(L2981,医院2县区2人!$A$2:$A$1048576,0))</f>
        <v>1</v>
      </c>
      <c r="N2981" s="6" t="str">
        <f>INDEX(医院2县区2人!$C$2:$C$1048576,MATCH(L2981,医院2县区2人!$A$2:$A$1048576,0))</f>
        <v>1859</v>
      </c>
      <c r="P2981" s="7">
        <v>43276</v>
      </c>
      <c r="Q2981" s="6">
        <v>3</v>
      </c>
      <c r="R2981" s="6">
        <v>7.68</v>
      </c>
      <c r="S2981" s="6">
        <v>20170802</v>
      </c>
      <c r="T2981" s="6" t="str">
        <f>INDEX(医院2县区2人!$D$2:$D$1048576,MATCH(L2981,医院2县区2人!$A$2:$A$1048576,0))</f>
        <v>201602151421097</v>
      </c>
      <c r="W2981" s="6" t="str">
        <f t="shared" si="95"/>
        <v>医用退热贴2贴</v>
      </c>
      <c r="X2981" s="6" t="s">
        <v>2879</v>
      </c>
    </row>
    <row r="2982" spans="1:24" x14ac:dyDescent="0.15">
      <c r="A2982" s="7" t="str">
        <f t="shared" si="96"/>
        <v>201806</v>
      </c>
      <c r="C2982" s="6" t="str">
        <f>INDEX(工厂基础数据!$A$2:$A$1024,MATCH(X2982,工厂基础数据!$D$2:$D$1024,0))</f>
        <v>02010326</v>
      </c>
      <c r="E2982" s="6" t="str">
        <f>INDEX(工厂基础数据!$B$2:$B$1024,MATCH(X2982,工厂基础数据!$D$2:$D$1024,0))</f>
        <v>山东福华医药有限公司</v>
      </c>
      <c r="F2982" s="6">
        <f>INDEX(商业2转码!$B$2:$B$10000,MATCH(E2982,商业2转码!$A$2:$A$10000,0))</f>
        <v>0</v>
      </c>
      <c r="G2982" s="6" t="str">
        <f>INDEX(品种2编码!$A$2:$A$1048576,MATCH(W2982,品种2编码!$D$2:$D$1048576,0))</f>
        <v>0020020030ZYZC0264</v>
      </c>
      <c r="H2982" s="6" t="s">
        <v>1859</v>
      </c>
      <c r="I2982" s="6" t="s">
        <v>254</v>
      </c>
      <c r="J2982" s="6" t="s">
        <v>3038</v>
      </c>
      <c r="L2982" s="6" t="s">
        <v>2085</v>
      </c>
      <c r="M2982" s="6">
        <f>INDEX(医院2县区2人!$B$2:$B$1048576,MATCH(L2982,医院2县区2人!$A$2:$A$1048576,0))</f>
        <v>1</v>
      </c>
      <c r="N2982" s="6" t="str">
        <f>INDEX(医院2县区2人!$C$2:$C$1048576,MATCH(L2982,医院2县区2人!$A$2:$A$1048576,0))</f>
        <v>1859</v>
      </c>
      <c r="P2982" s="7">
        <v>43273</v>
      </c>
      <c r="Q2982" s="6">
        <v>10</v>
      </c>
      <c r="R2982" s="6">
        <v>7.68</v>
      </c>
      <c r="S2982" s="6" t="s">
        <v>3788</v>
      </c>
      <c r="T2982" s="6" t="str">
        <f>INDEX(医院2县区2人!$D$2:$D$1048576,MATCH(L2982,医院2县区2人!$A$2:$A$1048576,0))</f>
        <v>201602151421097</v>
      </c>
      <c r="W2982" s="6" t="str">
        <f t="shared" si="95"/>
        <v>阿莫西林胶囊/益萨林0.5g*20粒</v>
      </c>
      <c r="X2982" s="6" t="s">
        <v>2879</v>
      </c>
    </row>
    <row r="2983" spans="1:24" x14ac:dyDescent="0.15">
      <c r="A2983" s="7" t="str">
        <f t="shared" si="96"/>
        <v>201806</v>
      </c>
      <c r="C2983" s="6" t="str">
        <f>INDEX(工厂基础数据!$A$2:$A$1024,MATCH(X2983,工厂基础数据!$D$2:$D$1024,0))</f>
        <v>02010326</v>
      </c>
      <c r="E2983" s="6" t="str">
        <f>INDEX(工厂基础数据!$B$2:$B$1024,MATCH(X2983,工厂基础数据!$D$2:$D$1024,0))</f>
        <v>山东福华医药有限公司</v>
      </c>
      <c r="F2983" s="6">
        <f>INDEX(商业2转码!$B$2:$B$10000,MATCH(E2983,商业2转码!$A$2:$A$10000,0))</f>
        <v>0</v>
      </c>
      <c r="G2983" s="6" t="str">
        <f>INDEX(品种2编码!$A$2:$A$1048576,MATCH(W2983,品种2编码!$D$2:$D$1048576,0))</f>
        <v>0020070001ZYZC0383</v>
      </c>
      <c r="H2983" s="6" t="s">
        <v>1849</v>
      </c>
      <c r="I2983" s="6" t="s">
        <v>1850</v>
      </c>
      <c r="J2983" s="6" t="s">
        <v>3038</v>
      </c>
      <c r="L2983" s="6" t="s">
        <v>2092</v>
      </c>
      <c r="M2983" s="6">
        <f>INDEX(医院2县区2人!$B$2:$B$1048576,MATCH(L2983,医院2县区2人!$A$2:$A$1048576,0))</f>
        <v>1</v>
      </c>
      <c r="N2983" s="6" t="str">
        <f>INDEX(医院2县区2人!$C$2:$C$1048576,MATCH(L2983,医院2县区2人!$A$2:$A$1048576,0))</f>
        <v>1859</v>
      </c>
      <c r="P2983" s="7">
        <v>43273</v>
      </c>
      <c r="Q2983" s="6">
        <v>10</v>
      </c>
      <c r="R2983" s="6">
        <v>13.44</v>
      </c>
      <c r="S2983" s="6">
        <v>1801107</v>
      </c>
      <c r="T2983" s="6" t="str">
        <f>INDEX(医院2县区2人!$D$2:$D$1048576,MATCH(L2983,医院2县区2人!$A$2:$A$1048576,0))</f>
        <v>201602151421097</v>
      </c>
      <c r="W2983" s="6" t="str">
        <f t="shared" si="95"/>
        <v>哈药牌钙铁锌口服液10ml*10支</v>
      </c>
      <c r="X2983" s="6" t="s">
        <v>2879</v>
      </c>
    </row>
    <row r="2984" spans="1:24" x14ac:dyDescent="0.15">
      <c r="A2984" s="7" t="str">
        <f t="shared" si="96"/>
        <v>201806</v>
      </c>
      <c r="C2984" s="6" t="str">
        <f>INDEX(工厂基础数据!$A$2:$A$1024,MATCH(X2984,工厂基础数据!$D$2:$D$1024,0))</f>
        <v>02010326</v>
      </c>
      <c r="E2984" s="6" t="str">
        <f>INDEX(工厂基础数据!$B$2:$B$1024,MATCH(X2984,工厂基础数据!$D$2:$D$1024,0))</f>
        <v>山东福华医药有限公司</v>
      </c>
      <c r="F2984" s="6">
        <f>INDEX(商业2转码!$B$2:$B$10000,MATCH(E2984,商业2转码!$A$2:$A$10000,0))</f>
        <v>0</v>
      </c>
      <c r="G2984" s="6" t="str">
        <f>INDEX(品种2编码!$A$2:$A$1048576,MATCH(W2984,品种2编码!$D$2:$D$1048576,0))</f>
        <v>0020020030ZYLC0006</v>
      </c>
      <c r="H2984" s="6" t="s">
        <v>361</v>
      </c>
      <c r="I2984" s="6" t="s">
        <v>2012</v>
      </c>
      <c r="J2984" s="6" t="s">
        <v>3036</v>
      </c>
      <c r="L2984" s="6" t="s">
        <v>2078</v>
      </c>
      <c r="M2984" s="6">
        <f>INDEX(医院2县区2人!$B$2:$B$1048576,MATCH(L2984,医院2县区2人!$A$2:$A$1048576,0))</f>
        <v>4</v>
      </c>
      <c r="N2984" s="6" t="str">
        <f>INDEX(医院2县区2人!$C$2:$C$1048576,MATCH(L2984,医院2县区2人!$A$2:$A$1048576,0))</f>
        <v>1859</v>
      </c>
      <c r="P2984" s="7">
        <v>43273</v>
      </c>
      <c r="Q2984" s="6">
        <v>5</v>
      </c>
      <c r="R2984" s="6">
        <v>12</v>
      </c>
      <c r="S2984" s="6">
        <v>180301</v>
      </c>
      <c r="T2984" s="6" t="str">
        <f>INDEX(医院2县区2人!$D$2:$D$1048576,MATCH(L2984,医院2县区2人!$A$2:$A$1048576,0))</f>
        <v>201602151421097</v>
      </c>
      <c r="W2984" s="6" t="str">
        <f t="shared" si="95"/>
        <v>厄贝沙坦胶囊0.075g*24粒</v>
      </c>
      <c r="X2984" s="6" t="s">
        <v>2879</v>
      </c>
    </row>
    <row r="2985" spans="1:24" x14ac:dyDescent="0.15">
      <c r="A2985" s="7" t="str">
        <f t="shared" si="96"/>
        <v>201806</v>
      </c>
      <c r="C2985" s="6" t="str">
        <f>INDEX(工厂基础数据!$A$2:$A$1024,MATCH(X2985,工厂基础数据!$D$2:$D$1024,0))</f>
        <v>02010326</v>
      </c>
      <c r="E2985" s="6" t="str">
        <f>INDEX(工厂基础数据!$B$2:$B$1024,MATCH(X2985,工厂基础数据!$D$2:$D$1024,0))</f>
        <v>山东福华医药有限公司</v>
      </c>
      <c r="F2985" s="6">
        <f>INDEX(商业2转码!$B$2:$B$10000,MATCH(E2985,商业2转码!$A$2:$A$10000,0))</f>
        <v>0</v>
      </c>
      <c r="G2985" s="6" t="str">
        <f>INDEX(品种2编码!$A$2:$A$1048576,MATCH(W2985,品种2编码!$D$2:$D$1048576,0))</f>
        <v>0020050020SHYT0016</v>
      </c>
      <c r="H2985" s="6" t="s">
        <v>1864</v>
      </c>
      <c r="I2985" s="6" t="s">
        <v>339</v>
      </c>
      <c r="J2985" s="6" t="s">
        <v>3037</v>
      </c>
      <c r="L2985" s="6" t="s">
        <v>2086</v>
      </c>
      <c r="M2985" s="6">
        <f>INDEX(医院2县区2人!$B$2:$B$1048576,MATCH(L2985,医院2县区2人!$A$2:$A$1048576,0))</f>
        <v>1</v>
      </c>
      <c r="N2985" s="6" t="str">
        <f>INDEX(医院2县区2人!$C$2:$C$1048576,MATCH(L2985,医院2县区2人!$A$2:$A$1048576,0))</f>
        <v>1859</v>
      </c>
      <c r="P2985" s="7">
        <v>43273</v>
      </c>
      <c r="Q2985" s="6">
        <v>5</v>
      </c>
      <c r="R2985" s="6">
        <v>12.45</v>
      </c>
      <c r="S2985" s="6">
        <v>1702507</v>
      </c>
      <c r="T2985" s="6" t="str">
        <f>INDEX(医院2县区2人!$D$2:$D$1048576,MATCH(L2985,医院2县区2人!$A$2:$A$1048576,0))</f>
        <v>201602151421097</v>
      </c>
      <c r="W2985" s="6" t="str">
        <f t="shared" si="95"/>
        <v>复方金银花颗粒10g*10袋</v>
      </c>
      <c r="X2985" s="6" t="s">
        <v>2879</v>
      </c>
    </row>
    <row r="2986" spans="1:24" x14ac:dyDescent="0.15">
      <c r="A2986" s="7" t="str">
        <f t="shared" si="96"/>
        <v>201806</v>
      </c>
      <c r="C2986" s="6" t="str">
        <f>INDEX(工厂基础数据!$A$2:$A$1024,MATCH(X2986,工厂基础数据!$D$2:$D$1024,0))</f>
        <v>02010326</v>
      </c>
      <c r="E2986" s="6" t="str">
        <f>INDEX(工厂基础数据!$B$2:$B$1024,MATCH(X2986,工厂基础数据!$D$2:$D$1024,0))</f>
        <v>山东福华医药有限公司</v>
      </c>
      <c r="F2986" s="6">
        <f>INDEX(商业2转码!$B$2:$B$10000,MATCH(E2986,商业2转码!$A$2:$A$10000,0))</f>
        <v>0</v>
      </c>
      <c r="G2986" s="6" t="str">
        <f>INDEX(品种2编码!$A$2:$A$1048576,MATCH(W2986,品种2编码!$D$2:$D$1048576,0))</f>
        <v>0020020030ZYLC0006</v>
      </c>
      <c r="H2986" s="6" t="s">
        <v>361</v>
      </c>
      <c r="I2986" s="6" t="s">
        <v>2012</v>
      </c>
      <c r="J2986" s="6" t="s">
        <v>3036</v>
      </c>
      <c r="L2986" s="6" t="s">
        <v>2085</v>
      </c>
      <c r="M2986" s="6">
        <f>INDEX(医院2县区2人!$B$2:$B$1048576,MATCH(L2986,医院2县区2人!$A$2:$A$1048576,0))</f>
        <v>1</v>
      </c>
      <c r="N2986" s="6" t="str">
        <f>INDEX(医院2县区2人!$C$2:$C$1048576,MATCH(L2986,医院2县区2人!$A$2:$A$1048576,0))</f>
        <v>1859</v>
      </c>
      <c r="P2986" s="7">
        <v>43273</v>
      </c>
      <c r="Q2986" s="6">
        <v>10</v>
      </c>
      <c r="R2986" s="6">
        <v>9.6</v>
      </c>
      <c r="S2986" s="6">
        <v>180301</v>
      </c>
      <c r="T2986" s="6" t="str">
        <f>INDEX(医院2县区2人!$D$2:$D$1048576,MATCH(L2986,医院2县区2人!$A$2:$A$1048576,0))</f>
        <v>201602151421097</v>
      </c>
      <c r="W2986" s="6" t="str">
        <f t="shared" si="95"/>
        <v>厄贝沙坦胶囊0.075g*24粒</v>
      </c>
      <c r="X2986" s="6" t="s">
        <v>2879</v>
      </c>
    </row>
    <row r="2987" spans="1:24" x14ac:dyDescent="0.15">
      <c r="A2987" s="7" t="str">
        <f t="shared" si="96"/>
        <v>201806</v>
      </c>
      <c r="C2987" s="6" t="str">
        <f>INDEX(工厂基础数据!$A$2:$A$1024,MATCH(X2987,工厂基础数据!$D$2:$D$1024,0))</f>
        <v>02010326</v>
      </c>
      <c r="E2987" s="6" t="str">
        <f>INDEX(工厂基础数据!$B$2:$B$1024,MATCH(X2987,工厂基础数据!$D$2:$D$1024,0))</f>
        <v>山东福华医药有限公司</v>
      </c>
      <c r="F2987" s="6">
        <f>INDEX(商业2转码!$B$2:$B$10000,MATCH(E2987,商业2转码!$A$2:$A$10000,0))</f>
        <v>0</v>
      </c>
      <c r="G2987" s="6" t="str">
        <f>INDEX(品种2编码!$A$2:$A$1048576,MATCH(W2987,品种2编码!$D$2:$D$1048576,0))</f>
        <v>0020030020SJSC0025</v>
      </c>
      <c r="H2987" s="6" t="s">
        <v>380</v>
      </c>
      <c r="I2987" s="6" t="s">
        <v>381</v>
      </c>
      <c r="J2987" s="6" t="s">
        <v>3787</v>
      </c>
      <c r="L2987" s="6" t="s">
        <v>2057</v>
      </c>
      <c r="M2987" s="6">
        <f>INDEX(医院2县区2人!$B$2:$B$1048576,MATCH(L2987,医院2县区2人!$A$2:$A$1048576,0))</f>
        <v>1</v>
      </c>
      <c r="N2987" s="6" t="str">
        <f>INDEX(医院2县区2人!$C$2:$C$1048576,MATCH(L2987,医院2县区2人!$A$2:$A$1048576,0))</f>
        <v>1859</v>
      </c>
      <c r="P2987" s="7">
        <v>43272</v>
      </c>
      <c r="Q2987" s="6">
        <v>10</v>
      </c>
      <c r="R2987" s="6">
        <v>3.47</v>
      </c>
      <c r="S2987" s="6">
        <v>1705001</v>
      </c>
      <c r="T2987" s="6" t="str">
        <f>INDEX(医院2县区2人!$D$2:$D$1048576,MATCH(L2987,医院2县区2人!$A$2:$A$1048576,0))</f>
        <v>201602151421097</v>
      </c>
      <c r="W2987" s="6" t="str">
        <f t="shared" si="95"/>
        <v>复方氨酚烷胺片12片</v>
      </c>
      <c r="X2987" s="6" t="s">
        <v>2879</v>
      </c>
    </row>
    <row r="2988" spans="1:24" x14ac:dyDescent="0.15">
      <c r="A2988" s="7" t="str">
        <f t="shared" si="96"/>
        <v>201806</v>
      </c>
      <c r="C2988" s="6" t="str">
        <f>INDEX(工厂基础数据!$A$2:$A$1024,MATCH(X2988,工厂基础数据!$D$2:$D$1024,0))</f>
        <v>02010326</v>
      </c>
      <c r="E2988" s="6" t="str">
        <f>INDEX(工厂基础数据!$B$2:$B$1024,MATCH(X2988,工厂基础数据!$D$2:$D$1024,0))</f>
        <v>山东福华医药有限公司</v>
      </c>
      <c r="F2988" s="6">
        <f>INDEX(商业2转码!$B$2:$B$10000,MATCH(E2988,商业2转码!$A$2:$A$10000,0))</f>
        <v>0</v>
      </c>
      <c r="G2988" s="6" t="str">
        <f>INDEX(品种2编码!$A$2:$A$1048576,MATCH(W2988,品种2编码!$D$2:$D$1048576,0))</f>
        <v>0020020021ZYZC0341</v>
      </c>
      <c r="H2988" s="6" t="s">
        <v>1854</v>
      </c>
      <c r="I2988" s="6" t="s">
        <v>279</v>
      </c>
      <c r="J2988" s="6" t="s">
        <v>3038</v>
      </c>
      <c r="L2988" s="6" t="s">
        <v>2115</v>
      </c>
      <c r="M2988" s="6">
        <f>INDEX(医院2县区2人!$B$2:$B$1048576,MATCH(L2988,医院2县区2人!$A$2:$A$1048576,0))</f>
        <v>2</v>
      </c>
      <c r="N2988" s="6" t="str">
        <f>INDEX(医院2县区2人!$C$2:$C$1048576,MATCH(L2988,医院2县区2人!$A$2:$A$1048576,0))</f>
        <v>1859</v>
      </c>
      <c r="P2988" s="7">
        <v>43272</v>
      </c>
      <c r="Q2988" s="6">
        <v>5</v>
      </c>
      <c r="R2988" s="6">
        <v>9.6999999999999993</v>
      </c>
      <c r="S2988" s="6" t="s">
        <v>3049</v>
      </c>
      <c r="T2988" s="6" t="str">
        <f>INDEX(医院2县区2人!$D$2:$D$1048576,MATCH(L2988,医院2县区2人!$A$2:$A$1048576,0))</f>
        <v>201602151421097</v>
      </c>
      <c r="W2988" s="6" t="str">
        <f t="shared" si="95"/>
        <v>阿莫西林克拉维酸钾分散片/胜艾0.2285g*12片</v>
      </c>
      <c r="X2988" s="6" t="s">
        <v>2879</v>
      </c>
    </row>
    <row r="2989" spans="1:24" x14ac:dyDescent="0.15">
      <c r="A2989" s="7" t="str">
        <f t="shared" si="96"/>
        <v>201806</v>
      </c>
      <c r="C2989" s="6" t="str">
        <f>INDEX(工厂基础数据!$A$2:$A$1024,MATCH(X2989,工厂基础数据!$D$2:$D$1024,0))</f>
        <v>02010326</v>
      </c>
      <c r="E2989" s="6" t="str">
        <f>INDEX(工厂基础数据!$B$2:$B$1024,MATCH(X2989,工厂基础数据!$D$2:$D$1024,0))</f>
        <v>山东福华医药有限公司</v>
      </c>
      <c r="F2989" s="6">
        <f>INDEX(商业2转码!$B$2:$B$10000,MATCH(E2989,商业2转码!$A$2:$A$10000,0))</f>
        <v>0</v>
      </c>
      <c r="G2989" s="6" t="str">
        <f>INDEX(品种2编码!$A$2:$A$1048576,MATCH(W2989,品种2编码!$D$2:$D$1048576,0))</f>
        <v>0020030040ZYLC0001</v>
      </c>
      <c r="H2989" s="6" t="s">
        <v>1852</v>
      </c>
      <c r="I2989" s="6" t="s">
        <v>1853</v>
      </c>
      <c r="J2989" s="6" t="s">
        <v>3036</v>
      </c>
      <c r="L2989" s="6" t="s">
        <v>2095</v>
      </c>
      <c r="M2989" s="6">
        <f>INDEX(医院2县区2人!$B$2:$B$1048576,MATCH(L2989,医院2县区2人!$A$2:$A$1048576,0))</f>
        <v>2</v>
      </c>
      <c r="N2989" s="6" t="str">
        <f>INDEX(医院2县区2人!$C$2:$C$1048576,MATCH(L2989,医院2县区2人!$A$2:$A$1048576,0))</f>
        <v>1859</v>
      </c>
      <c r="P2989" s="7">
        <v>43272</v>
      </c>
      <c r="Q2989" s="6">
        <v>10</v>
      </c>
      <c r="R2989" s="6">
        <v>8.3000000000000007</v>
      </c>
      <c r="S2989" s="6">
        <v>170533</v>
      </c>
      <c r="T2989" s="6" t="str">
        <f>INDEX(医院2县区2人!$D$2:$D$1048576,MATCH(L2989,医院2县区2人!$A$2:$A$1048576,0))</f>
        <v>201602151421097</v>
      </c>
      <c r="W2989" s="6" t="str">
        <f t="shared" si="95"/>
        <v>小儿氨酚黄那敏颗粒/护彤2g*12袋</v>
      </c>
      <c r="X2989" s="6" t="s">
        <v>2879</v>
      </c>
    </row>
    <row r="2990" spans="1:24" x14ac:dyDescent="0.15">
      <c r="A2990" s="7" t="str">
        <f t="shared" si="96"/>
        <v>201806</v>
      </c>
      <c r="C2990" s="6" t="str">
        <f>INDEX(工厂基础数据!$A$2:$A$1024,MATCH(X2990,工厂基础数据!$D$2:$D$1024,0))</f>
        <v>02010326</v>
      </c>
      <c r="E2990" s="6" t="str">
        <f>INDEX(工厂基础数据!$B$2:$B$1024,MATCH(X2990,工厂基础数据!$D$2:$D$1024,0))</f>
        <v>山东福华医药有限公司</v>
      </c>
      <c r="F2990" s="6">
        <f>INDEX(商业2转码!$B$2:$B$10000,MATCH(E2990,商业2转码!$A$2:$A$10000,0))</f>
        <v>0</v>
      </c>
      <c r="G2990" s="6" t="str">
        <f>INDEX(品种2编码!$A$2:$A$1048576,MATCH(W2990,品种2编码!$D$2:$D$1048576,0))</f>
        <v>0020070001ZYZC0383</v>
      </c>
      <c r="H2990" s="6" t="s">
        <v>1849</v>
      </c>
      <c r="I2990" s="6" t="s">
        <v>1850</v>
      </c>
      <c r="J2990" s="6" t="s">
        <v>3038</v>
      </c>
      <c r="L2990" s="6" t="s">
        <v>2057</v>
      </c>
      <c r="M2990" s="6">
        <f>INDEX(医院2县区2人!$B$2:$B$1048576,MATCH(L2990,医院2县区2人!$A$2:$A$1048576,0))</f>
        <v>1</v>
      </c>
      <c r="N2990" s="6" t="str">
        <f>INDEX(医院2县区2人!$C$2:$C$1048576,MATCH(L2990,医院2县区2人!$A$2:$A$1048576,0))</f>
        <v>1859</v>
      </c>
      <c r="P2990" s="7">
        <v>43272</v>
      </c>
      <c r="Q2990" s="6">
        <v>10</v>
      </c>
      <c r="R2990" s="6">
        <v>13.44</v>
      </c>
      <c r="S2990" s="6">
        <v>1801107</v>
      </c>
      <c r="T2990" s="6" t="str">
        <f>INDEX(医院2县区2人!$D$2:$D$1048576,MATCH(L2990,医院2县区2人!$A$2:$A$1048576,0))</f>
        <v>201602151421097</v>
      </c>
      <c r="W2990" s="6" t="str">
        <f t="shared" si="95"/>
        <v>哈药牌钙铁锌口服液10ml*10支</v>
      </c>
      <c r="X2990" s="6" t="s">
        <v>2879</v>
      </c>
    </row>
    <row r="2991" spans="1:24" x14ac:dyDescent="0.15">
      <c r="A2991" s="7" t="str">
        <f t="shared" si="96"/>
        <v>201806</v>
      </c>
      <c r="C2991" s="6" t="str">
        <f>INDEX(工厂基础数据!$A$2:$A$1024,MATCH(X2991,工厂基础数据!$D$2:$D$1024,0))</f>
        <v>02010326</v>
      </c>
      <c r="E2991" s="6" t="str">
        <f>INDEX(工厂基础数据!$B$2:$B$1024,MATCH(X2991,工厂基础数据!$D$2:$D$1024,0))</f>
        <v>山东福华医药有限公司</v>
      </c>
      <c r="F2991" s="6">
        <f>INDEX(商业2转码!$B$2:$B$10000,MATCH(E2991,商业2转码!$A$2:$A$10000,0))</f>
        <v>0</v>
      </c>
      <c r="G2991" s="6" t="str">
        <f>INDEX(品种2编码!$A$2:$A$1048576,MATCH(W2991,品种2编码!$D$2:$D$1048576,0))</f>
        <v>0020020030ZYZC0508</v>
      </c>
      <c r="H2991" s="6" t="s">
        <v>1859</v>
      </c>
      <c r="I2991" s="6" t="s">
        <v>246</v>
      </c>
      <c r="J2991" s="6" t="s">
        <v>3038</v>
      </c>
      <c r="L2991" s="6" t="s">
        <v>2058</v>
      </c>
      <c r="M2991" s="6">
        <f>INDEX(医院2县区2人!$B$2:$B$1048576,MATCH(L2991,医院2县区2人!$A$2:$A$1048576,0))</f>
        <v>1</v>
      </c>
      <c r="N2991" s="6" t="str">
        <f>INDEX(医院2县区2人!$C$2:$C$1048576,MATCH(L2991,医院2县区2人!$A$2:$A$1048576,0))</f>
        <v>1859</v>
      </c>
      <c r="P2991" s="7">
        <v>43272</v>
      </c>
      <c r="Q2991" s="6">
        <v>5</v>
      </c>
      <c r="R2991" s="6">
        <v>5.79</v>
      </c>
      <c r="S2991" s="6" t="s">
        <v>3053</v>
      </c>
      <c r="T2991" s="6" t="str">
        <f>INDEX(医院2县区2人!$D$2:$D$1048576,MATCH(L2991,医院2县区2人!$A$2:$A$1048576,0))</f>
        <v>201602151421097</v>
      </c>
      <c r="W2991" s="6" t="str">
        <f t="shared" si="95"/>
        <v>阿莫西林胶囊/益萨林0.25g*20粒</v>
      </c>
      <c r="X2991" s="6" t="s">
        <v>2879</v>
      </c>
    </row>
    <row r="2992" spans="1:24" x14ac:dyDescent="0.15">
      <c r="A2992" s="7" t="str">
        <f t="shared" si="96"/>
        <v>201806</v>
      </c>
      <c r="C2992" s="6" t="str">
        <f>INDEX(工厂基础数据!$A$2:$A$1024,MATCH(X2992,工厂基础数据!$D$2:$D$1024,0))</f>
        <v>02010326</v>
      </c>
      <c r="E2992" s="6" t="str">
        <f>INDEX(工厂基础数据!$B$2:$B$1024,MATCH(X2992,工厂基础数据!$D$2:$D$1024,0))</f>
        <v>山东福华医药有限公司</v>
      </c>
      <c r="F2992" s="6">
        <f>INDEX(商业2转码!$B$2:$B$10000,MATCH(E2992,商业2转码!$A$2:$A$10000,0))</f>
        <v>0</v>
      </c>
      <c r="G2992" s="6" t="str">
        <f>INDEX(品种2编码!$A$2:$A$1048576,MATCH(W2992,品种2编码!$D$2:$D$1048576,0))</f>
        <v>0020050001SHYT0017</v>
      </c>
      <c r="H2992" s="6" t="s">
        <v>1861</v>
      </c>
      <c r="I2992" s="6" t="s">
        <v>444</v>
      </c>
      <c r="J2992" s="6" t="s">
        <v>3037</v>
      </c>
      <c r="L2992" s="6" t="s">
        <v>2052</v>
      </c>
      <c r="M2992" s="6">
        <f>INDEX(医院2县区2人!$B$2:$B$1048576,MATCH(L2992,医院2县区2人!$A$2:$A$1048576,0))</f>
        <v>1</v>
      </c>
      <c r="N2992" s="6" t="str">
        <f>INDEX(医院2县区2人!$C$2:$C$1048576,MATCH(L2992,医院2县区2人!$A$2:$A$1048576,0))</f>
        <v>1859</v>
      </c>
      <c r="P2992" s="7">
        <v>43272</v>
      </c>
      <c r="Q2992" s="6">
        <v>5</v>
      </c>
      <c r="R2992" s="6">
        <v>7.72</v>
      </c>
      <c r="S2992" s="6">
        <v>1606119</v>
      </c>
      <c r="T2992" s="6" t="str">
        <f>INDEX(医院2县区2人!$D$2:$D$1048576,MATCH(L2992,医院2县区2人!$A$2:$A$1048576,0))</f>
        <v>201602151421097</v>
      </c>
      <c r="W2992" s="6" t="str">
        <f t="shared" si="95"/>
        <v>附子理中丸9g*10丸</v>
      </c>
      <c r="X2992" s="6" t="s">
        <v>2879</v>
      </c>
    </row>
    <row r="2993" spans="1:24" x14ac:dyDescent="0.15">
      <c r="A2993" s="7" t="str">
        <f t="shared" si="96"/>
        <v>201806</v>
      </c>
      <c r="C2993" s="6" t="str">
        <f>INDEX(工厂基础数据!$A$2:$A$1024,MATCH(X2993,工厂基础数据!$D$2:$D$1024,0))</f>
        <v>02010326</v>
      </c>
      <c r="E2993" s="6" t="str">
        <f>INDEX(工厂基础数据!$B$2:$B$1024,MATCH(X2993,工厂基础数据!$D$2:$D$1024,0))</f>
        <v>山东福华医药有限公司</v>
      </c>
      <c r="F2993" s="6">
        <f>INDEX(商业2转码!$B$2:$B$10000,MATCH(E2993,商业2转码!$A$2:$A$10000,0))</f>
        <v>0</v>
      </c>
      <c r="G2993" s="6" t="str">
        <f>INDEX(品种2编码!$A$2:$A$1048576,MATCH(W2993,品种2编码!$D$2:$D$1048576,0))</f>
        <v>0020070001ZYZC0383</v>
      </c>
      <c r="H2993" s="6" t="s">
        <v>1849</v>
      </c>
      <c r="I2993" s="6" t="s">
        <v>1850</v>
      </c>
      <c r="J2993" s="6" t="s">
        <v>3038</v>
      </c>
      <c r="L2993" s="6" t="s">
        <v>2061</v>
      </c>
      <c r="M2993" s="6">
        <f>INDEX(医院2县区2人!$B$2:$B$1048576,MATCH(L2993,医院2县区2人!$A$2:$A$1048576,0))</f>
        <v>1</v>
      </c>
      <c r="N2993" s="6" t="str">
        <f>INDEX(医院2县区2人!$C$2:$C$1048576,MATCH(L2993,医院2县区2人!$A$2:$A$1048576,0))</f>
        <v>1859</v>
      </c>
      <c r="P2993" s="7">
        <v>43271</v>
      </c>
      <c r="Q2993" s="6">
        <v>3</v>
      </c>
      <c r="R2993" s="6">
        <v>13.44</v>
      </c>
      <c r="S2993" s="6">
        <v>1801107</v>
      </c>
      <c r="T2993" s="6" t="str">
        <f>INDEX(医院2县区2人!$D$2:$D$1048576,MATCH(L2993,医院2县区2人!$A$2:$A$1048576,0))</f>
        <v>201602151421097</v>
      </c>
      <c r="W2993" s="6" t="str">
        <f t="shared" si="95"/>
        <v>哈药牌钙铁锌口服液10ml*10支</v>
      </c>
      <c r="X2993" s="6" t="s">
        <v>2879</v>
      </c>
    </row>
    <row r="2994" spans="1:24" x14ac:dyDescent="0.15">
      <c r="A2994" s="7" t="str">
        <f t="shared" si="96"/>
        <v>201806</v>
      </c>
      <c r="C2994" s="6" t="str">
        <f>INDEX(工厂基础数据!$A$2:$A$1024,MATCH(X2994,工厂基础数据!$D$2:$D$1024,0))</f>
        <v>02010326</v>
      </c>
      <c r="E2994" s="6" t="str">
        <f>INDEX(工厂基础数据!$B$2:$B$1024,MATCH(X2994,工厂基础数据!$D$2:$D$1024,0))</f>
        <v>山东福华医药有限公司</v>
      </c>
      <c r="F2994" s="6">
        <f>INDEX(商业2转码!$B$2:$B$10000,MATCH(E2994,商业2转码!$A$2:$A$10000,0))</f>
        <v>0</v>
      </c>
      <c r="G2994" s="6" t="str">
        <f>INDEX(品种2编码!$A$2:$A$1048576,MATCH(W2994,品种2编码!$D$2:$D$1048576,0))</f>
        <v>0020020030ZYZC0510</v>
      </c>
      <c r="H2994" s="6" t="s">
        <v>543</v>
      </c>
      <c r="I2994" s="6" t="s">
        <v>1834</v>
      </c>
      <c r="J2994" s="6" t="s">
        <v>3038</v>
      </c>
      <c r="L2994" s="6" t="s">
        <v>2105</v>
      </c>
      <c r="M2994" s="6">
        <f>INDEX(医院2县区2人!$B$2:$B$1048576,MATCH(L2994,医院2县区2人!$A$2:$A$1048576,0))</f>
        <v>1</v>
      </c>
      <c r="N2994" s="6" t="str">
        <f>INDEX(医院2县区2人!$C$2:$C$1048576,MATCH(L2994,医院2县区2人!$A$2:$A$1048576,0))</f>
        <v>1859</v>
      </c>
      <c r="P2994" s="7">
        <v>43271</v>
      </c>
      <c r="Q2994" s="6">
        <v>3</v>
      </c>
      <c r="R2994" s="6">
        <v>2.85</v>
      </c>
      <c r="S2994" s="6" t="s">
        <v>3789</v>
      </c>
      <c r="T2994" s="6" t="str">
        <f>INDEX(医院2县区2人!$D$2:$D$1048576,MATCH(L2994,医院2县区2人!$A$2:$A$1048576,0))</f>
        <v>201602151421097</v>
      </c>
      <c r="W2994" s="6" t="str">
        <f t="shared" si="95"/>
        <v>诺氟沙星胶囊0.1g*20粒</v>
      </c>
      <c r="X2994" s="6" t="s">
        <v>2879</v>
      </c>
    </row>
    <row r="2995" spans="1:24" x14ac:dyDescent="0.15">
      <c r="A2995" s="7" t="str">
        <f t="shared" si="96"/>
        <v>201806</v>
      </c>
      <c r="C2995" s="6" t="str">
        <f>INDEX(工厂基础数据!$A$2:$A$1024,MATCH(X2995,工厂基础数据!$D$2:$D$1024,0))</f>
        <v>02010326</v>
      </c>
      <c r="E2995" s="6" t="str">
        <f>INDEX(工厂基础数据!$B$2:$B$1024,MATCH(X2995,工厂基础数据!$D$2:$D$1024,0))</f>
        <v>山东福华医药有限公司</v>
      </c>
      <c r="F2995" s="6">
        <f>INDEX(商业2转码!$B$2:$B$10000,MATCH(E2995,商业2转码!$A$2:$A$10000,0))</f>
        <v>0</v>
      </c>
      <c r="G2995" s="6" t="str">
        <f>INDEX(品种2编码!$A$2:$A$1048576,MATCH(W2995,品种2编码!$D$2:$D$1048576,0))</f>
        <v>0020020021ZYZC0341</v>
      </c>
      <c r="H2995" s="6" t="s">
        <v>1854</v>
      </c>
      <c r="I2995" s="6" t="s">
        <v>279</v>
      </c>
      <c r="J2995" s="6" t="s">
        <v>3038</v>
      </c>
      <c r="L2995" s="6" t="s">
        <v>2065</v>
      </c>
      <c r="M2995" s="6">
        <f>INDEX(医院2县区2人!$B$2:$B$1048576,MATCH(L2995,医院2县区2人!$A$2:$A$1048576,0))</f>
        <v>1</v>
      </c>
      <c r="N2995" s="6" t="str">
        <f>INDEX(医院2县区2人!$C$2:$C$1048576,MATCH(L2995,医院2县区2人!$A$2:$A$1048576,0))</f>
        <v>1859</v>
      </c>
      <c r="P2995" s="7">
        <v>43271</v>
      </c>
      <c r="Q2995" s="6">
        <v>10</v>
      </c>
      <c r="R2995" s="6">
        <v>9.5760000000000005</v>
      </c>
      <c r="S2995" s="6" t="s">
        <v>3049</v>
      </c>
      <c r="T2995" s="6" t="str">
        <f>INDEX(医院2县区2人!$D$2:$D$1048576,MATCH(L2995,医院2县区2人!$A$2:$A$1048576,0))</f>
        <v>201602151421097</v>
      </c>
      <c r="W2995" s="6" t="str">
        <f t="shared" si="95"/>
        <v>阿莫西林克拉维酸钾分散片/胜艾0.2285g*12片</v>
      </c>
      <c r="X2995" s="6" t="s">
        <v>2879</v>
      </c>
    </row>
    <row r="2996" spans="1:24" x14ac:dyDescent="0.15">
      <c r="A2996" s="7" t="str">
        <f t="shared" si="96"/>
        <v>201806</v>
      </c>
      <c r="C2996" s="6" t="str">
        <f>INDEX(工厂基础数据!$A$2:$A$1024,MATCH(X2996,工厂基础数据!$D$2:$D$1024,0))</f>
        <v>02010326</v>
      </c>
      <c r="E2996" s="6" t="str">
        <f>INDEX(工厂基础数据!$B$2:$B$1024,MATCH(X2996,工厂基础数据!$D$2:$D$1024,0))</f>
        <v>山东福华医药有限公司</v>
      </c>
      <c r="F2996" s="6">
        <f>INDEX(商业2转码!$B$2:$B$10000,MATCH(E2996,商业2转码!$A$2:$A$10000,0))</f>
        <v>0</v>
      </c>
      <c r="G2996" s="6" t="str">
        <f>INDEX(品种2编码!$A$2:$A$1048576,MATCH(W2996,品种2编码!$D$2:$D$1048576,0))</f>
        <v>0020020030ZYLC0006</v>
      </c>
      <c r="H2996" s="6" t="s">
        <v>361</v>
      </c>
      <c r="I2996" s="6" t="s">
        <v>2012</v>
      </c>
      <c r="J2996" s="6" t="s">
        <v>3036</v>
      </c>
      <c r="L2996" s="6" t="s">
        <v>2094</v>
      </c>
      <c r="M2996" s="6">
        <f>INDEX(医院2县区2人!$B$2:$B$1048576,MATCH(L2996,医院2县区2人!$A$2:$A$1048576,0))</f>
        <v>1</v>
      </c>
      <c r="N2996" s="6" t="str">
        <f>INDEX(医院2县区2人!$C$2:$C$1048576,MATCH(L2996,医院2县区2人!$A$2:$A$1048576,0))</f>
        <v>1859</v>
      </c>
      <c r="P2996" s="7">
        <v>43271</v>
      </c>
      <c r="Q2996" s="6">
        <v>2</v>
      </c>
      <c r="R2996" s="6">
        <v>9.6</v>
      </c>
      <c r="S2996" s="6">
        <v>180301</v>
      </c>
      <c r="T2996" s="6" t="str">
        <f>INDEX(医院2县区2人!$D$2:$D$1048576,MATCH(L2996,医院2县区2人!$A$2:$A$1048576,0))</f>
        <v>201602151421097</v>
      </c>
      <c r="W2996" s="6" t="str">
        <f t="shared" si="95"/>
        <v>厄贝沙坦胶囊0.075g*24粒</v>
      </c>
      <c r="X2996" s="6" t="s">
        <v>2879</v>
      </c>
    </row>
    <row r="2997" spans="1:24" x14ac:dyDescent="0.15">
      <c r="A2997" s="7" t="str">
        <f t="shared" si="96"/>
        <v>201806</v>
      </c>
      <c r="C2997" s="6" t="str">
        <f>INDEX(工厂基础数据!$A$2:$A$1024,MATCH(X2997,工厂基础数据!$D$2:$D$1024,0))</f>
        <v>02010326</v>
      </c>
      <c r="E2997" s="6" t="str">
        <f>INDEX(工厂基础数据!$B$2:$B$1024,MATCH(X2997,工厂基础数据!$D$2:$D$1024,0))</f>
        <v>山东福华医药有限公司</v>
      </c>
      <c r="F2997" s="6">
        <f>INDEX(商业2转码!$B$2:$B$10000,MATCH(E2997,商业2转码!$A$2:$A$10000,0))</f>
        <v>0</v>
      </c>
      <c r="G2997" s="6" t="str">
        <f>INDEX(品种2编码!$A$2:$A$1048576,MATCH(W2997,品种2编码!$D$2:$D$1048576,0))</f>
        <v>0020030020SJSC0025</v>
      </c>
      <c r="H2997" s="6" t="s">
        <v>380</v>
      </c>
      <c r="I2997" s="6" t="s">
        <v>381</v>
      </c>
      <c r="J2997" s="6" t="s">
        <v>3787</v>
      </c>
      <c r="L2997" s="6" t="s">
        <v>2063</v>
      </c>
      <c r="M2997" s="6">
        <f>INDEX(医院2县区2人!$B$2:$B$1048576,MATCH(L2997,医院2县区2人!$A$2:$A$1048576,0))</f>
        <v>1</v>
      </c>
      <c r="N2997" s="6" t="str">
        <f>INDEX(医院2县区2人!$C$2:$C$1048576,MATCH(L2997,医院2县区2人!$A$2:$A$1048576,0))</f>
        <v>1859</v>
      </c>
      <c r="P2997" s="7">
        <v>43271</v>
      </c>
      <c r="Q2997" s="6">
        <v>5</v>
      </c>
      <c r="R2997" s="6">
        <v>3.47</v>
      </c>
      <c r="S2997" s="6">
        <v>1705001</v>
      </c>
      <c r="T2997" s="6" t="str">
        <f>INDEX(医院2县区2人!$D$2:$D$1048576,MATCH(L2997,医院2县区2人!$A$2:$A$1048576,0))</f>
        <v>201602151421097</v>
      </c>
      <c r="W2997" s="6" t="str">
        <f t="shared" si="95"/>
        <v>复方氨酚烷胺片12片</v>
      </c>
      <c r="X2997" s="6" t="s">
        <v>2879</v>
      </c>
    </row>
    <row r="2998" spans="1:24" x14ac:dyDescent="0.15">
      <c r="A2998" s="7" t="str">
        <f t="shared" si="96"/>
        <v>201806</v>
      </c>
      <c r="C2998" s="6" t="str">
        <f>INDEX(工厂基础数据!$A$2:$A$1024,MATCH(X2998,工厂基础数据!$D$2:$D$1024,0))</f>
        <v>02010326</v>
      </c>
      <c r="E2998" s="6" t="str">
        <f>INDEX(工厂基础数据!$B$2:$B$1024,MATCH(X2998,工厂基础数据!$D$2:$D$1024,0))</f>
        <v>山东福华医药有限公司</v>
      </c>
      <c r="F2998" s="6">
        <f>INDEX(商业2转码!$B$2:$B$10000,MATCH(E2998,商业2转码!$A$2:$A$10000,0))</f>
        <v>0</v>
      </c>
      <c r="G2998" s="6" t="str">
        <f>INDEX(品种2编码!$A$2:$A$1048576,MATCH(W2998,品种2编码!$D$2:$D$1048576,0))</f>
        <v>0020030020SJSC0025</v>
      </c>
      <c r="H2998" s="6" t="s">
        <v>380</v>
      </c>
      <c r="I2998" s="6" t="s">
        <v>381</v>
      </c>
      <c r="J2998" s="6" t="s">
        <v>3787</v>
      </c>
      <c r="L2998" s="6" t="s">
        <v>2061</v>
      </c>
      <c r="M2998" s="6">
        <f>INDEX(医院2县区2人!$B$2:$B$1048576,MATCH(L2998,医院2县区2人!$A$2:$A$1048576,0))</f>
        <v>1</v>
      </c>
      <c r="N2998" s="6" t="str">
        <f>INDEX(医院2县区2人!$C$2:$C$1048576,MATCH(L2998,医院2县区2人!$A$2:$A$1048576,0))</f>
        <v>1859</v>
      </c>
      <c r="P2998" s="7">
        <v>43271</v>
      </c>
      <c r="Q2998" s="6">
        <v>5</v>
      </c>
      <c r="R2998" s="6">
        <v>3.47</v>
      </c>
      <c r="S2998" s="6">
        <v>1705001</v>
      </c>
      <c r="T2998" s="6" t="str">
        <f>INDEX(医院2县区2人!$D$2:$D$1048576,MATCH(L2998,医院2县区2人!$A$2:$A$1048576,0))</f>
        <v>201602151421097</v>
      </c>
      <c r="W2998" s="6" t="str">
        <f t="shared" si="95"/>
        <v>复方氨酚烷胺片12片</v>
      </c>
      <c r="X2998" s="6" t="s">
        <v>2879</v>
      </c>
    </row>
    <row r="2999" spans="1:24" x14ac:dyDescent="0.15">
      <c r="A2999" s="7" t="str">
        <f t="shared" si="96"/>
        <v>201806</v>
      </c>
      <c r="C2999" s="6" t="str">
        <f>INDEX(工厂基础数据!$A$2:$A$1024,MATCH(X2999,工厂基础数据!$D$2:$D$1024,0))</f>
        <v>02010326</v>
      </c>
      <c r="E2999" s="6" t="str">
        <f>INDEX(工厂基础数据!$B$2:$B$1024,MATCH(X2999,工厂基础数据!$D$2:$D$1024,0))</f>
        <v>山东福华医药有限公司</v>
      </c>
      <c r="F2999" s="6">
        <f>INDEX(商业2转码!$B$2:$B$10000,MATCH(E2999,商业2转码!$A$2:$A$10000,0))</f>
        <v>0</v>
      </c>
      <c r="G2999" s="6" t="str">
        <f>INDEX(品种2编码!$A$2:$A$1048576,MATCH(W2999,品种2编码!$D$2:$D$1048576,0))</f>
        <v>0020020030ZYZC0510</v>
      </c>
      <c r="H2999" s="6" t="s">
        <v>543</v>
      </c>
      <c r="I2999" s="6" t="s">
        <v>1834</v>
      </c>
      <c r="J2999" s="6" t="s">
        <v>3038</v>
      </c>
      <c r="L2999" s="6" t="s">
        <v>2161</v>
      </c>
      <c r="M2999" s="6">
        <f>INDEX(医院2县区2人!$B$2:$B$1048576,MATCH(L2999,医院2县区2人!$A$2:$A$1048576,0))</f>
        <v>2</v>
      </c>
      <c r="N2999" s="6" t="str">
        <f>INDEX(医院2县区2人!$C$2:$C$1048576,MATCH(L2999,医院2县区2人!$A$2:$A$1048576,0))</f>
        <v>1859</v>
      </c>
      <c r="P2999" s="7">
        <v>43271</v>
      </c>
      <c r="Q2999" s="6">
        <v>28</v>
      </c>
      <c r="R2999" s="6">
        <v>2.95</v>
      </c>
      <c r="S2999" s="6" t="s">
        <v>3789</v>
      </c>
      <c r="T2999" s="6" t="str">
        <f>INDEX(医院2县区2人!$D$2:$D$1048576,MATCH(L2999,医院2县区2人!$A$2:$A$1048576,0))</f>
        <v>201602151421097</v>
      </c>
      <c r="W2999" s="6" t="str">
        <f t="shared" si="95"/>
        <v>诺氟沙星胶囊0.1g*20粒</v>
      </c>
      <c r="X2999" s="6" t="s">
        <v>2879</v>
      </c>
    </row>
    <row r="3000" spans="1:24" x14ac:dyDescent="0.15">
      <c r="A3000" s="7" t="str">
        <f t="shared" si="96"/>
        <v>201806</v>
      </c>
      <c r="C3000" s="6" t="str">
        <f>INDEX(工厂基础数据!$A$2:$A$1024,MATCH(X3000,工厂基础数据!$D$2:$D$1024,0))</f>
        <v>02010326</v>
      </c>
      <c r="E3000" s="6" t="str">
        <f>INDEX(工厂基础数据!$B$2:$B$1024,MATCH(X3000,工厂基础数据!$D$2:$D$1024,0))</f>
        <v>山东福华医药有限公司</v>
      </c>
      <c r="F3000" s="6">
        <f>INDEX(商业2转码!$B$2:$B$10000,MATCH(E3000,商业2转码!$A$2:$A$10000,0))</f>
        <v>0</v>
      </c>
      <c r="G3000" s="6" t="str">
        <f>INDEX(品种2编码!$A$2:$A$1048576,MATCH(W3000,品种2编码!$D$2:$D$1048576,0))</f>
        <v>0020030040SHYT0010</v>
      </c>
      <c r="H3000" s="6" t="s">
        <v>1847</v>
      </c>
      <c r="I3000" s="6" t="s">
        <v>1848</v>
      </c>
      <c r="J3000" s="6" t="s">
        <v>3037</v>
      </c>
      <c r="L3000" s="6" t="s">
        <v>2094</v>
      </c>
      <c r="M3000" s="6">
        <f>INDEX(医院2县区2人!$B$2:$B$1048576,MATCH(L3000,医院2县区2人!$A$2:$A$1048576,0))</f>
        <v>1</v>
      </c>
      <c r="N3000" s="6" t="str">
        <f>INDEX(医院2县区2人!$C$2:$C$1048576,MATCH(L3000,医院2县区2人!$A$2:$A$1048576,0))</f>
        <v>1859</v>
      </c>
      <c r="P3000" s="7">
        <v>43271</v>
      </c>
      <c r="Q3000" s="6">
        <v>3</v>
      </c>
      <c r="R3000" s="6">
        <v>12.06</v>
      </c>
      <c r="S3000" s="6">
        <v>1611616</v>
      </c>
      <c r="T3000" s="6" t="str">
        <f>INDEX(医院2县区2人!$D$2:$D$1048576,MATCH(L3000,医院2县区2人!$A$2:$A$1048576,0))</f>
        <v>201602151421097</v>
      </c>
      <c r="W3000" s="6" t="str">
        <f t="shared" si="95"/>
        <v>布洛芬颗粒/小安瑞克0.2g*12袋</v>
      </c>
      <c r="X3000" s="6" t="s">
        <v>2879</v>
      </c>
    </row>
    <row r="3001" spans="1:24" x14ac:dyDescent="0.15">
      <c r="A3001" s="7" t="str">
        <f t="shared" si="96"/>
        <v>201806</v>
      </c>
      <c r="C3001" s="6" t="str">
        <f>INDEX(工厂基础数据!$A$2:$A$1024,MATCH(X3001,工厂基础数据!$D$2:$D$1024,0))</f>
        <v>02010326</v>
      </c>
      <c r="E3001" s="6" t="str">
        <f>INDEX(工厂基础数据!$B$2:$B$1024,MATCH(X3001,工厂基础数据!$D$2:$D$1024,0))</f>
        <v>山东福华医药有限公司</v>
      </c>
      <c r="F3001" s="6">
        <f>INDEX(商业2转码!$B$2:$B$10000,MATCH(E3001,商业2转码!$A$2:$A$10000,0))</f>
        <v>0</v>
      </c>
      <c r="G3001" s="6" t="str">
        <f>INDEX(品种2编码!$A$2:$A$1048576,MATCH(W3001,品种2编码!$D$2:$D$1048576,0))</f>
        <v>0020020020SJMS0006</v>
      </c>
      <c r="H3001" s="6" t="s">
        <v>516</v>
      </c>
      <c r="I3001" s="6" t="s">
        <v>1856</v>
      </c>
      <c r="J3001" s="6" t="s">
        <v>3046</v>
      </c>
      <c r="L3001" s="6" t="s">
        <v>2094</v>
      </c>
      <c r="M3001" s="6">
        <f>INDEX(医院2县区2人!$B$2:$B$1048576,MATCH(L3001,医院2县区2人!$A$2:$A$1048576,0))</f>
        <v>1</v>
      </c>
      <c r="N3001" s="6" t="str">
        <f>INDEX(医院2县区2人!$C$2:$C$1048576,MATCH(L3001,医院2县区2人!$A$2:$A$1048576,0))</f>
        <v>1859</v>
      </c>
      <c r="P3001" s="7">
        <v>43271</v>
      </c>
      <c r="Q3001" s="6">
        <v>5</v>
      </c>
      <c r="R3001" s="6">
        <v>1.44</v>
      </c>
      <c r="S3001" s="6">
        <v>1801006</v>
      </c>
      <c r="T3001" s="6" t="str">
        <f>INDEX(医院2县区2人!$D$2:$D$1048576,MATCH(L3001,医院2县区2人!$A$2:$A$1048576,0))</f>
        <v>201602151421097</v>
      </c>
      <c r="W3001" s="6" t="str">
        <f t="shared" ref="W3001:W3064" si="97">H3001&amp;I3001</f>
        <v>尼莫地平片20mg*50片</v>
      </c>
      <c r="X3001" s="6" t="s">
        <v>2879</v>
      </c>
    </row>
    <row r="3002" spans="1:24" x14ac:dyDescent="0.15">
      <c r="A3002" s="7" t="str">
        <f t="shared" ref="A3002:A3065" si="98">IF(MONTH(P3002)&lt;10,YEAR(P3002)&amp;"0"&amp;MONTH(P3002),YEAR(P3002)&amp;MONTH(P3002))</f>
        <v>201806</v>
      </c>
      <c r="C3002" s="6" t="str">
        <f>INDEX(工厂基础数据!$A$2:$A$1024,MATCH(X3002,工厂基础数据!$D$2:$D$1024,0))</f>
        <v>02010326</v>
      </c>
      <c r="E3002" s="6" t="str">
        <f>INDEX(工厂基础数据!$B$2:$B$1024,MATCH(X3002,工厂基础数据!$D$2:$D$1024,0))</f>
        <v>山东福华医药有限公司</v>
      </c>
      <c r="F3002" s="6">
        <f>INDEX(商业2转码!$B$2:$B$10000,MATCH(E3002,商业2转码!$A$2:$A$10000,0))</f>
        <v>0</v>
      </c>
      <c r="G3002" s="6" t="str">
        <f>INDEX(品种2编码!$A$2:$A$1048576,MATCH(W3002,品种2编码!$D$2:$D$1048576,0))</f>
        <v>0020020020ZYZC0359</v>
      </c>
      <c r="H3002" s="6" t="s">
        <v>575</v>
      </c>
      <c r="I3002" s="6" t="s">
        <v>1860</v>
      </c>
      <c r="J3002" s="6" t="s">
        <v>3038</v>
      </c>
      <c r="L3002" s="6" t="s">
        <v>2061</v>
      </c>
      <c r="M3002" s="6">
        <f>INDEX(医院2县区2人!$B$2:$B$1048576,MATCH(L3002,医院2县区2人!$A$2:$A$1048576,0))</f>
        <v>1</v>
      </c>
      <c r="N3002" s="6" t="str">
        <f>INDEX(医院2县区2人!$C$2:$C$1048576,MATCH(L3002,医院2县区2人!$A$2:$A$1048576,0))</f>
        <v>1859</v>
      </c>
      <c r="P3002" s="7">
        <v>43271</v>
      </c>
      <c r="Q3002" s="6">
        <v>2</v>
      </c>
      <c r="R3002" s="6">
        <v>5.76</v>
      </c>
      <c r="S3002" s="6">
        <v>1802005</v>
      </c>
      <c r="T3002" s="6" t="str">
        <f>INDEX(医院2县区2人!$D$2:$D$1048576,MATCH(L3002,医院2县区2人!$A$2:$A$1048576,0))</f>
        <v>201602151421097</v>
      </c>
      <c r="W3002" s="6" t="str">
        <f t="shared" si="97"/>
        <v>青霉素V钾片0.236g*24片</v>
      </c>
      <c r="X3002" s="6" t="s">
        <v>2879</v>
      </c>
    </row>
    <row r="3003" spans="1:24" x14ac:dyDescent="0.15">
      <c r="A3003" s="7" t="str">
        <f t="shared" si="98"/>
        <v>201806</v>
      </c>
      <c r="C3003" s="6" t="str">
        <f>INDEX(工厂基础数据!$A$2:$A$1024,MATCH(X3003,工厂基础数据!$D$2:$D$1024,0))</f>
        <v>02010326</v>
      </c>
      <c r="E3003" s="6" t="str">
        <f>INDEX(工厂基础数据!$B$2:$B$1024,MATCH(X3003,工厂基础数据!$D$2:$D$1024,0))</f>
        <v>山东福华医药有限公司</v>
      </c>
      <c r="F3003" s="6">
        <f>INDEX(商业2转码!$B$2:$B$10000,MATCH(E3003,商业2转码!$A$2:$A$10000,0))</f>
        <v>0</v>
      </c>
      <c r="G3003" s="6" t="str">
        <f>INDEX(品种2编码!$A$2:$A$1048576,MATCH(W3003,品种2编码!$D$2:$D$1048576,0))</f>
        <v>0020020030ZYZC0511</v>
      </c>
      <c r="H3003" s="6" t="s">
        <v>641</v>
      </c>
      <c r="I3003" s="6" t="s">
        <v>434</v>
      </c>
      <c r="J3003" s="6" t="s">
        <v>3038</v>
      </c>
      <c r="L3003" s="6" t="s">
        <v>2132</v>
      </c>
      <c r="M3003" s="6">
        <f>INDEX(医院2县区2人!$B$2:$B$1048576,MATCH(L3003,医院2县区2人!$A$2:$A$1048576,0))</f>
        <v>2</v>
      </c>
      <c r="N3003" s="6" t="str">
        <f>INDEX(医院2县区2人!$C$2:$C$1048576,MATCH(L3003,医院2县区2人!$A$2:$A$1048576,0))</f>
        <v>1859</v>
      </c>
      <c r="P3003" s="7">
        <v>43270</v>
      </c>
      <c r="Q3003" s="6">
        <v>10</v>
      </c>
      <c r="R3003" s="6">
        <v>5</v>
      </c>
      <c r="S3003" s="6">
        <v>1802003</v>
      </c>
      <c r="T3003" s="6" t="str">
        <f>INDEX(医院2县区2人!$D$2:$D$1048576,MATCH(L3003,医院2县区2人!$A$2:$A$1048576,0))</f>
        <v>201602151421097</v>
      </c>
      <c r="W3003" s="6" t="str">
        <f t="shared" si="97"/>
        <v>头孢氨苄胶囊0.125g*20粒</v>
      </c>
      <c r="X3003" s="6" t="s">
        <v>2879</v>
      </c>
    </row>
    <row r="3004" spans="1:24" x14ac:dyDescent="0.15">
      <c r="A3004" s="7" t="str">
        <f t="shared" si="98"/>
        <v>201806</v>
      </c>
      <c r="C3004" s="6" t="str">
        <f>INDEX(工厂基础数据!$A$2:$A$1024,MATCH(X3004,工厂基础数据!$D$2:$D$1024,0))</f>
        <v>02010326</v>
      </c>
      <c r="E3004" s="6" t="str">
        <f>INDEX(工厂基础数据!$B$2:$B$1024,MATCH(X3004,工厂基础数据!$D$2:$D$1024,0))</f>
        <v>山东福华医药有限公司</v>
      </c>
      <c r="F3004" s="6">
        <f>INDEX(商业2转码!$B$2:$B$10000,MATCH(E3004,商业2转码!$A$2:$A$10000,0))</f>
        <v>0</v>
      </c>
      <c r="G3004" s="6" t="str">
        <f>INDEX(品种2编码!$A$2:$A$1048576,MATCH(W3004,品种2编码!$D$2:$D$1048576,0))</f>
        <v>0020070001ZYZC0383</v>
      </c>
      <c r="H3004" s="6" t="s">
        <v>1849</v>
      </c>
      <c r="I3004" s="6" t="s">
        <v>1850</v>
      </c>
      <c r="J3004" s="6" t="s">
        <v>3038</v>
      </c>
      <c r="L3004" s="6" t="s">
        <v>2642</v>
      </c>
      <c r="M3004" s="6">
        <f>INDEX(医院2县区2人!$B$2:$B$1048576,MATCH(L3004,医院2县区2人!$A$2:$A$1048576,0))</f>
        <v>1</v>
      </c>
      <c r="N3004" s="6" t="str">
        <f>INDEX(医院2县区2人!$C$2:$C$1048576,MATCH(L3004,医院2县区2人!$A$2:$A$1048576,0))</f>
        <v>1859</v>
      </c>
      <c r="P3004" s="7">
        <v>43270</v>
      </c>
      <c r="Q3004" s="6">
        <v>10</v>
      </c>
      <c r="R3004" s="6">
        <v>14</v>
      </c>
      <c r="S3004" s="6">
        <v>1801107</v>
      </c>
      <c r="T3004" s="6" t="str">
        <f>INDEX(医院2县区2人!$D$2:$D$1048576,MATCH(L3004,医院2县区2人!$A$2:$A$1048576,0))</f>
        <v>201602151421097</v>
      </c>
      <c r="W3004" s="6" t="str">
        <f t="shared" si="97"/>
        <v>哈药牌钙铁锌口服液10ml*10支</v>
      </c>
      <c r="X3004" s="6" t="s">
        <v>2879</v>
      </c>
    </row>
    <row r="3005" spans="1:24" x14ac:dyDescent="0.15">
      <c r="A3005" s="7" t="str">
        <f t="shared" si="98"/>
        <v>201806</v>
      </c>
      <c r="C3005" s="6" t="str">
        <f>INDEX(工厂基础数据!$A$2:$A$1024,MATCH(X3005,工厂基础数据!$D$2:$D$1024,0))</f>
        <v>02010326</v>
      </c>
      <c r="E3005" s="6" t="str">
        <f>INDEX(工厂基础数据!$B$2:$B$1024,MATCH(X3005,工厂基础数据!$D$2:$D$1024,0))</f>
        <v>山东福华医药有限公司</v>
      </c>
      <c r="F3005" s="6">
        <f>INDEX(商业2转码!$B$2:$B$10000,MATCH(E3005,商业2转码!$A$2:$A$10000,0))</f>
        <v>0</v>
      </c>
      <c r="G3005" s="6" t="str">
        <f>INDEX(品种2编码!$A$2:$A$1048576,MATCH(W3005,品种2编码!$D$2:$D$1048576,0))</f>
        <v>0020030020SJSC0025</v>
      </c>
      <c r="H3005" s="6" t="s">
        <v>380</v>
      </c>
      <c r="I3005" s="6" t="s">
        <v>381</v>
      </c>
      <c r="J3005" s="6" t="s">
        <v>3787</v>
      </c>
      <c r="L3005" s="6" t="s">
        <v>2070</v>
      </c>
      <c r="M3005" s="6">
        <f>INDEX(医院2县区2人!$B$2:$B$1048576,MATCH(L3005,医院2县区2人!$A$2:$A$1048576,0))</f>
        <v>1</v>
      </c>
      <c r="N3005" s="6" t="str">
        <f>INDEX(医院2县区2人!$C$2:$C$1048576,MATCH(L3005,医院2县区2人!$A$2:$A$1048576,0))</f>
        <v>1859</v>
      </c>
      <c r="P3005" s="7">
        <v>43270</v>
      </c>
      <c r="Q3005" s="6">
        <v>10</v>
      </c>
      <c r="R3005" s="6">
        <v>3.47</v>
      </c>
      <c r="S3005" s="6">
        <v>1705001</v>
      </c>
      <c r="T3005" s="6" t="str">
        <f>INDEX(医院2县区2人!$D$2:$D$1048576,MATCH(L3005,医院2县区2人!$A$2:$A$1048576,0))</f>
        <v>201602151421097</v>
      </c>
      <c r="W3005" s="6" t="str">
        <f t="shared" si="97"/>
        <v>复方氨酚烷胺片12片</v>
      </c>
      <c r="X3005" s="6" t="s">
        <v>2879</v>
      </c>
    </row>
    <row r="3006" spans="1:24" x14ac:dyDescent="0.15">
      <c r="A3006" s="7" t="str">
        <f t="shared" si="98"/>
        <v>201806</v>
      </c>
      <c r="C3006" s="6" t="str">
        <f>INDEX(工厂基础数据!$A$2:$A$1024,MATCH(X3006,工厂基础数据!$D$2:$D$1024,0))</f>
        <v>02010326</v>
      </c>
      <c r="E3006" s="6" t="str">
        <f>INDEX(工厂基础数据!$B$2:$B$1024,MATCH(X3006,工厂基础数据!$D$2:$D$1024,0))</f>
        <v>山东福华医药有限公司</v>
      </c>
      <c r="F3006" s="6">
        <f>INDEX(商业2转码!$B$2:$B$10000,MATCH(E3006,商业2转码!$A$2:$A$10000,0))</f>
        <v>0</v>
      </c>
      <c r="G3006" s="6" t="str">
        <f>INDEX(品种2编码!$A$2:$A$1048576,MATCH(W3006,品种2编码!$D$2:$D$1048576,0))</f>
        <v>0020050020SHYT0016</v>
      </c>
      <c r="H3006" s="6" t="s">
        <v>1864</v>
      </c>
      <c r="I3006" s="6" t="s">
        <v>339</v>
      </c>
      <c r="J3006" s="6" t="s">
        <v>3037</v>
      </c>
      <c r="L3006" s="6" t="s">
        <v>2074</v>
      </c>
      <c r="M3006" s="6">
        <f>INDEX(医院2县区2人!$B$2:$B$1048576,MATCH(L3006,医院2县区2人!$A$2:$A$1048576,0))</f>
        <v>1</v>
      </c>
      <c r="N3006" s="6" t="str">
        <f>INDEX(医院2县区2人!$C$2:$C$1048576,MATCH(L3006,医院2县区2人!$A$2:$A$1048576,0))</f>
        <v>1859</v>
      </c>
      <c r="P3006" s="7">
        <v>43270</v>
      </c>
      <c r="Q3006" s="6">
        <v>5</v>
      </c>
      <c r="R3006" s="6">
        <v>12.45</v>
      </c>
      <c r="S3006" s="6">
        <v>1702507</v>
      </c>
      <c r="T3006" s="6" t="str">
        <f>INDEX(医院2县区2人!$D$2:$D$1048576,MATCH(L3006,医院2县区2人!$A$2:$A$1048576,0))</f>
        <v>201602151421097</v>
      </c>
      <c r="W3006" s="6" t="str">
        <f t="shared" si="97"/>
        <v>复方金银花颗粒10g*10袋</v>
      </c>
      <c r="X3006" s="6" t="s">
        <v>2879</v>
      </c>
    </row>
    <row r="3007" spans="1:24" x14ac:dyDescent="0.15">
      <c r="A3007" s="7" t="str">
        <f t="shared" si="98"/>
        <v>201806</v>
      </c>
      <c r="C3007" s="6" t="str">
        <f>INDEX(工厂基础数据!$A$2:$A$1024,MATCH(X3007,工厂基础数据!$D$2:$D$1024,0))</f>
        <v>02010326</v>
      </c>
      <c r="E3007" s="6" t="str">
        <f>INDEX(工厂基础数据!$B$2:$B$1024,MATCH(X3007,工厂基础数据!$D$2:$D$1024,0))</f>
        <v>山东福华医药有限公司</v>
      </c>
      <c r="F3007" s="6">
        <f>INDEX(商业2转码!$B$2:$B$10000,MATCH(E3007,商业2转码!$A$2:$A$10000,0))</f>
        <v>0</v>
      </c>
      <c r="G3007" s="6" t="str">
        <f>INDEX(品种2编码!$A$2:$A$1048576,MATCH(W3007,品种2编码!$D$2:$D$1048576,0))</f>
        <v>0020070000ZYLC0001</v>
      </c>
      <c r="H3007" s="6" t="s">
        <v>1837</v>
      </c>
      <c r="I3007" s="6" t="s">
        <v>1838</v>
      </c>
      <c r="J3007" s="6" t="s">
        <v>3036</v>
      </c>
      <c r="L3007" s="6" t="s">
        <v>2085</v>
      </c>
      <c r="M3007" s="6">
        <f>INDEX(医院2县区2人!$B$2:$B$1048576,MATCH(L3007,医院2县区2人!$A$2:$A$1048576,0))</f>
        <v>1</v>
      </c>
      <c r="N3007" s="6" t="str">
        <f>INDEX(医院2县区2人!$C$2:$C$1048576,MATCH(L3007,医院2县区2人!$A$2:$A$1048576,0))</f>
        <v>1859</v>
      </c>
      <c r="P3007" s="7">
        <v>43270</v>
      </c>
      <c r="Q3007" s="6">
        <v>10</v>
      </c>
      <c r="R3007" s="6">
        <v>23.04</v>
      </c>
      <c r="S3007" s="6">
        <v>180104</v>
      </c>
      <c r="T3007" s="6" t="str">
        <f>INDEX(医院2县区2人!$D$2:$D$1048576,MATCH(L3007,医院2县区2人!$A$2:$A$1048576,0))</f>
        <v>201602151421097</v>
      </c>
      <c r="W3007" s="6" t="str">
        <f t="shared" si="97"/>
        <v>新盖中盖高钙片(成人)/盖中盖2.5g*36片</v>
      </c>
      <c r="X3007" s="6" t="s">
        <v>2879</v>
      </c>
    </row>
    <row r="3008" spans="1:24" x14ac:dyDescent="0.15">
      <c r="A3008" s="7" t="str">
        <f t="shared" si="98"/>
        <v>201806</v>
      </c>
      <c r="C3008" s="6" t="str">
        <f>INDEX(工厂基础数据!$A$2:$A$1024,MATCH(X3008,工厂基础数据!$D$2:$D$1024,0))</f>
        <v>02010326</v>
      </c>
      <c r="E3008" s="6" t="str">
        <f>INDEX(工厂基础数据!$B$2:$B$1024,MATCH(X3008,工厂基础数据!$D$2:$D$1024,0))</f>
        <v>山东福华医药有限公司</v>
      </c>
      <c r="F3008" s="6">
        <f>INDEX(商业2转码!$B$2:$B$10000,MATCH(E3008,商业2转码!$A$2:$A$10000,0))</f>
        <v>0</v>
      </c>
      <c r="G3008" s="6" t="str">
        <f>INDEX(品种2编码!$A$2:$A$1048576,MATCH(W3008,品种2编码!$D$2:$D$1048576,0))</f>
        <v>0020020030ZYZC0510</v>
      </c>
      <c r="H3008" s="6" t="s">
        <v>543</v>
      </c>
      <c r="I3008" s="6" t="s">
        <v>1834</v>
      </c>
      <c r="J3008" s="6" t="s">
        <v>3038</v>
      </c>
      <c r="L3008" s="6" t="s">
        <v>2160</v>
      </c>
      <c r="M3008" s="6">
        <f>INDEX(医院2县区2人!$B$2:$B$1048576,MATCH(L3008,医院2县区2人!$A$2:$A$1048576,0))</f>
        <v>2</v>
      </c>
      <c r="N3008" s="6" t="str">
        <f>INDEX(医院2县区2人!$C$2:$C$1048576,MATCH(L3008,医院2县区2人!$A$2:$A$1048576,0))</f>
        <v>1859</v>
      </c>
      <c r="P3008" s="7">
        <v>43270</v>
      </c>
      <c r="Q3008" s="6">
        <v>20</v>
      </c>
      <c r="R3008" s="6">
        <v>2.95</v>
      </c>
      <c r="S3008" s="6" t="s">
        <v>3789</v>
      </c>
      <c r="T3008" s="6" t="str">
        <f>INDEX(医院2县区2人!$D$2:$D$1048576,MATCH(L3008,医院2县区2人!$A$2:$A$1048576,0))</f>
        <v>201602151421097</v>
      </c>
      <c r="W3008" s="6" t="str">
        <f t="shared" si="97"/>
        <v>诺氟沙星胶囊0.1g*20粒</v>
      </c>
      <c r="X3008" s="6" t="s">
        <v>2879</v>
      </c>
    </row>
    <row r="3009" spans="1:24" x14ac:dyDescent="0.15">
      <c r="A3009" s="7" t="str">
        <f t="shared" si="98"/>
        <v>201806</v>
      </c>
      <c r="C3009" s="6" t="str">
        <f>INDEX(工厂基础数据!$A$2:$A$1024,MATCH(X3009,工厂基础数据!$D$2:$D$1024,0))</f>
        <v>02010326</v>
      </c>
      <c r="E3009" s="6" t="str">
        <f>INDEX(工厂基础数据!$B$2:$B$1024,MATCH(X3009,工厂基础数据!$D$2:$D$1024,0))</f>
        <v>山东福华医药有限公司</v>
      </c>
      <c r="F3009" s="6">
        <f>INDEX(商业2转码!$B$2:$B$10000,MATCH(E3009,商业2转码!$A$2:$A$10000,0))</f>
        <v>0</v>
      </c>
      <c r="G3009" s="6" t="str">
        <f>INDEX(品种2编码!$A$2:$A$1048576,MATCH(W3009,品种2编码!$D$2:$D$1048576,0))</f>
        <v>0020020030ZYZC0510</v>
      </c>
      <c r="H3009" s="6" t="s">
        <v>543</v>
      </c>
      <c r="I3009" s="6" t="s">
        <v>1834</v>
      </c>
      <c r="J3009" s="6" t="s">
        <v>3038</v>
      </c>
      <c r="L3009" s="6" t="s">
        <v>2074</v>
      </c>
      <c r="M3009" s="6">
        <f>INDEX(医院2县区2人!$B$2:$B$1048576,MATCH(L3009,医院2县区2人!$A$2:$A$1048576,0))</f>
        <v>1</v>
      </c>
      <c r="N3009" s="6" t="str">
        <f>INDEX(医院2县区2人!$C$2:$C$1048576,MATCH(L3009,医院2县区2人!$A$2:$A$1048576,0))</f>
        <v>1859</v>
      </c>
      <c r="P3009" s="7">
        <v>43270</v>
      </c>
      <c r="Q3009" s="6">
        <v>5</v>
      </c>
      <c r="R3009" s="6">
        <v>2.85</v>
      </c>
      <c r="S3009" s="6" t="s">
        <v>3789</v>
      </c>
      <c r="T3009" s="6" t="str">
        <f>INDEX(医院2县区2人!$D$2:$D$1048576,MATCH(L3009,医院2县区2人!$A$2:$A$1048576,0))</f>
        <v>201602151421097</v>
      </c>
      <c r="W3009" s="6" t="str">
        <f t="shared" si="97"/>
        <v>诺氟沙星胶囊0.1g*20粒</v>
      </c>
      <c r="X3009" s="6" t="s">
        <v>2879</v>
      </c>
    </row>
    <row r="3010" spans="1:24" x14ac:dyDescent="0.15">
      <c r="A3010" s="7" t="str">
        <f t="shared" si="98"/>
        <v>201806</v>
      </c>
      <c r="C3010" s="6" t="str">
        <f>INDEX(工厂基础数据!$A$2:$A$1024,MATCH(X3010,工厂基础数据!$D$2:$D$1024,0))</f>
        <v>02010326</v>
      </c>
      <c r="E3010" s="6" t="str">
        <f>INDEX(工厂基础数据!$B$2:$B$1024,MATCH(X3010,工厂基础数据!$D$2:$D$1024,0))</f>
        <v>山东福华医药有限公司</v>
      </c>
      <c r="F3010" s="6">
        <f>INDEX(商业2转码!$B$2:$B$10000,MATCH(E3010,商业2转码!$A$2:$A$10000,0))</f>
        <v>0</v>
      </c>
      <c r="G3010" s="6" t="str">
        <f>INDEX(品种2编码!$A$2:$A$1048576,MATCH(W3010,品种2编码!$D$2:$D$1048576,0))</f>
        <v>0020070001ZYZC0383</v>
      </c>
      <c r="H3010" s="6" t="s">
        <v>1849</v>
      </c>
      <c r="I3010" s="6" t="s">
        <v>1850</v>
      </c>
      <c r="J3010" s="6" t="s">
        <v>3038</v>
      </c>
      <c r="L3010" s="6" t="s">
        <v>2069</v>
      </c>
      <c r="M3010" s="6">
        <f>INDEX(医院2县区2人!$B$2:$B$1048576,MATCH(L3010,医院2县区2人!$A$2:$A$1048576,0))</f>
        <v>1</v>
      </c>
      <c r="N3010" s="6" t="str">
        <f>INDEX(医院2县区2人!$C$2:$C$1048576,MATCH(L3010,医院2县区2人!$A$2:$A$1048576,0))</f>
        <v>1859</v>
      </c>
      <c r="P3010" s="7">
        <v>43270</v>
      </c>
      <c r="Q3010" s="6">
        <v>10</v>
      </c>
      <c r="R3010" s="6">
        <v>13.44</v>
      </c>
      <c r="S3010" s="6">
        <v>1801107</v>
      </c>
      <c r="T3010" s="6" t="str">
        <f>INDEX(医院2县区2人!$D$2:$D$1048576,MATCH(L3010,医院2县区2人!$A$2:$A$1048576,0))</f>
        <v>201602151421097</v>
      </c>
      <c r="W3010" s="6" t="str">
        <f t="shared" si="97"/>
        <v>哈药牌钙铁锌口服液10ml*10支</v>
      </c>
      <c r="X3010" s="6" t="s">
        <v>2879</v>
      </c>
    </row>
    <row r="3011" spans="1:24" x14ac:dyDescent="0.15">
      <c r="A3011" s="7" t="str">
        <f t="shared" si="98"/>
        <v>201806</v>
      </c>
      <c r="C3011" s="6" t="str">
        <f>INDEX(工厂基础数据!$A$2:$A$1024,MATCH(X3011,工厂基础数据!$D$2:$D$1024,0))</f>
        <v>02010326</v>
      </c>
      <c r="E3011" s="6" t="str">
        <f>INDEX(工厂基础数据!$B$2:$B$1024,MATCH(X3011,工厂基础数据!$D$2:$D$1024,0))</f>
        <v>山东福华医药有限公司</v>
      </c>
      <c r="F3011" s="6">
        <f>INDEX(商业2转码!$B$2:$B$10000,MATCH(E3011,商业2转码!$A$2:$A$10000,0))</f>
        <v>0</v>
      </c>
      <c r="G3011" s="6" t="str">
        <f>INDEX(品种2编码!$A$2:$A$1048576,MATCH(W3011,品种2编码!$D$2:$D$1048576,0))</f>
        <v>0020020020SJMS0006</v>
      </c>
      <c r="H3011" s="6" t="s">
        <v>516</v>
      </c>
      <c r="I3011" s="6" t="s">
        <v>1856</v>
      </c>
      <c r="J3011" s="6" t="s">
        <v>3046</v>
      </c>
      <c r="L3011" s="6" t="s">
        <v>2085</v>
      </c>
      <c r="M3011" s="6">
        <f>INDEX(医院2县区2人!$B$2:$B$1048576,MATCH(L3011,医院2县区2人!$A$2:$A$1048576,0))</f>
        <v>1</v>
      </c>
      <c r="N3011" s="6" t="str">
        <f>INDEX(医院2县区2人!$C$2:$C$1048576,MATCH(L3011,医院2县区2人!$A$2:$A$1048576,0))</f>
        <v>1859</v>
      </c>
      <c r="P3011" s="7">
        <v>43270</v>
      </c>
      <c r="Q3011" s="6">
        <v>10</v>
      </c>
      <c r="R3011" s="6">
        <v>1.44</v>
      </c>
      <c r="S3011" s="6">
        <v>1801006</v>
      </c>
      <c r="T3011" s="6" t="str">
        <f>INDEX(医院2县区2人!$D$2:$D$1048576,MATCH(L3011,医院2县区2人!$A$2:$A$1048576,0))</f>
        <v>201602151421097</v>
      </c>
      <c r="W3011" s="6" t="str">
        <f t="shared" si="97"/>
        <v>尼莫地平片20mg*50片</v>
      </c>
      <c r="X3011" s="6" t="s">
        <v>2879</v>
      </c>
    </row>
    <row r="3012" spans="1:24" x14ac:dyDescent="0.15">
      <c r="A3012" s="7" t="str">
        <f t="shared" si="98"/>
        <v>201806</v>
      </c>
      <c r="C3012" s="6" t="str">
        <f>INDEX(工厂基础数据!$A$2:$A$1024,MATCH(X3012,工厂基础数据!$D$2:$D$1024,0))</f>
        <v>02010326</v>
      </c>
      <c r="E3012" s="6" t="str">
        <f>INDEX(工厂基础数据!$B$2:$B$1024,MATCH(X3012,工厂基础数据!$D$2:$D$1024,0))</f>
        <v>山东福华医药有限公司</v>
      </c>
      <c r="F3012" s="6">
        <f>INDEX(商业2转码!$B$2:$B$10000,MATCH(E3012,商业2转码!$A$2:$A$10000,0))</f>
        <v>0</v>
      </c>
      <c r="G3012" s="6" t="str">
        <f>INDEX(品种2编码!$A$2:$A$1048576,MATCH(W3012,品种2编码!$D$2:$D$1048576,0))</f>
        <v>0020070000ZYLC0052</v>
      </c>
      <c r="H3012" s="6" t="s">
        <v>1844</v>
      </c>
      <c r="I3012" s="6" t="s">
        <v>411</v>
      </c>
      <c r="J3012" s="6" t="s">
        <v>3036</v>
      </c>
      <c r="L3012" s="6" t="s">
        <v>2085</v>
      </c>
      <c r="M3012" s="6">
        <f>INDEX(医院2县区2人!$B$2:$B$1048576,MATCH(L3012,医院2县区2人!$A$2:$A$1048576,0))</f>
        <v>1</v>
      </c>
      <c r="N3012" s="6" t="str">
        <f>INDEX(医院2县区2人!$C$2:$C$1048576,MATCH(L3012,医院2县区2人!$A$2:$A$1048576,0))</f>
        <v>1859</v>
      </c>
      <c r="P3012" s="7">
        <v>43270</v>
      </c>
      <c r="Q3012" s="6">
        <v>10</v>
      </c>
      <c r="R3012" s="6">
        <v>16.41</v>
      </c>
      <c r="S3012" s="6">
        <v>170523</v>
      </c>
      <c r="T3012" s="6" t="str">
        <f>INDEX(医院2县区2人!$D$2:$D$1048576,MATCH(L3012,医院2县区2人!$A$2:$A$1048576,0))</f>
        <v>201602151421097</v>
      </c>
      <c r="W3012" s="6" t="str">
        <f t="shared" si="97"/>
        <v>哈药六牌钙加锌口服液10ml*12支</v>
      </c>
      <c r="X3012" s="6" t="s">
        <v>2879</v>
      </c>
    </row>
    <row r="3013" spans="1:24" x14ac:dyDescent="0.15">
      <c r="A3013" s="7" t="str">
        <f t="shared" si="98"/>
        <v>201806</v>
      </c>
      <c r="C3013" s="6" t="str">
        <f>INDEX(工厂基础数据!$A$2:$A$1024,MATCH(X3013,工厂基础数据!$D$2:$D$1024,0))</f>
        <v>02010326</v>
      </c>
      <c r="E3013" s="6" t="str">
        <f>INDEX(工厂基础数据!$B$2:$B$1024,MATCH(X3013,工厂基础数据!$D$2:$D$1024,0))</f>
        <v>山东福华医药有限公司</v>
      </c>
      <c r="F3013" s="6">
        <f>INDEX(商业2转码!$B$2:$B$10000,MATCH(E3013,商业2转码!$A$2:$A$10000,0))</f>
        <v>0</v>
      </c>
      <c r="G3013" s="6" t="str">
        <f>INDEX(品种2编码!$A$2:$A$1048576,MATCH(W3013,品种2编码!$D$2:$D$1048576,0))</f>
        <v>0020030020SJSC0004</v>
      </c>
      <c r="H3013" s="6" t="s">
        <v>1870</v>
      </c>
      <c r="I3013" s="6" t="s">
        <v>1871</v>
      </c>
      <c r="J3013" s="6" t="s">
        <v>3045</v>
      </c>
      <c r="L3013" s="6" t="s">
        <v>2074</v>
      </c>
      <c r="M3013" s="6">
        <f>INDEX(医院2县区2人!$B$2:$B$1048576,MATCH(L3013,医院2县区2人!$A$2:$A$1048576,0))</f>
        <v>1</v>
      </c>
      <c r="N3013" s="6" t="str">
        <f>INDEX(医院2县区2人!$C$2:$C$1048576,MATCH(L3013,医院2县区2人!$A$2:$A$1048576,0))</f>
        <v>1859</v>
      </c>
      <c r="P3013" s="7">
        <v>43270</v>
      </c>
      <c r="Q3013" s="6">
        <v>2</v>
      </c>
      <c r="R3013" s="6">
        <v>10.56</v>
      </c>
      <c r="S3013" s="6">
        <v>1712032</v>
      </c>
      <c r="T3013" s="6" t="str">
        <f>INDEX(医院2县区2人!$D$2:$D$1048576,MATCH(L3013,医院2县区2人!$A$2:$A$1048576,0))</f>
        <v>201602151421097</v>
      </c>
      <c r="W3013" s="6" t="str">
        <f t="shared" si="97"/>
        <v>复方铝酸铋片/新胃必治50片</v>
      </c>
      <c r="X3013" s="6" t="s">
        <v>2879</v>
      </c>
    </row>
    <row r="3014" spans="1:24" x14ac:dyDescent="0.15">
      <c r="A3014" s="7" t="str">
        <f t="shared" si="98"/>
        <v>201806</v>
      </c>
      <c r="C3014" s="6" t="str">
        <f>INDEX(工厂基础数据!$A$2:$A$1024,MATCH(X3014,工厂基础数据!$D$2:$D$1024,0))</f>
        <v>02010326</v>
      </c>
      <c r="E3014" s="6" t="str">
        <f>INDEX(工厂基础数据!$B$2:$B$1024,MATCH(X3014,工厂基础数据!$D$2:$D$1024,0))</f>
        <v>山东福华医药有限公司</v>
      </c>
      <c r="F3014" s="6">
        <f>INDEX(商业2转码!$B$2:$B$10000,MATCH(E3014,商业2转码!$A$2:$A$10000,0))</f>
        <v>0</v>
      </c>
      <c r="G3014" s="6" t="str">
        <f>INDEX(品种2编码!$A$2:$A$1048576,MATCH(W3014,品种2编码!$D$2:$D$1048576,0))</f>
        <v>0020020021ZYLC0004</v>
      </c>
      <c r="H3014" s="6" t="s">
        <v>1868</v>
      </c>
      <c r="I3014" s="6" t="s">
        <v>1869</v>
      </c>
      <c r="J3014" s="6" t="s">
        <v>3036</v>
      </c>
      <c r="L3014" s="6" t="s">
        <v>2066</v>
      </c>
      <c r="M3014" s="6">
        <f>INDEX(医院2县区2人!$B$2:$B$1048576,MATCH(L3014,医院2县区2人!$A$2:$A$1048576,0))</f>
        <v>1</v>
      </c>
      <c r="N3014" s="6" t="str">
        <f>INDEX(医院2县区2人!$C$2:$C$1048576,MATCH(L3014,医院2县区2人!$A$2:$A$1048576,0))</f>
        <v>1859</v>
      </c>
      <c r="P3014" s="7">
        <v>43270</v>
      </c>
      <c r="Q3014" s="6">
        <v>20</v>
      </c>
      <c r="R3014" s="6">
        <v>7.68</v>
      </c>
      <c r="S3014" s="6">
        <v>180201</v>
      </c>
      <c r="T3014" s="6" t="str">
        <f>INDEX(医院2县区2人!$D$2:$D$1048576,MATCH(L3014,医院2县区2人!$A$2:$A$1048576,0))</f>
        <v>201602151421097</v>
      </c>
      <c r="W3014" s="6" t="str">
        <f t="shared" si="97"/>
        <v>罗红霉素分散片/大严迪75mg*12片</v>
      </c>
      <c r="X3014" s="6" t="s">
        <v>2879</v>
      </c>
    </row>
    <row r="3015" spans="1:24" x14ac:dyDescent="0.15">
      <c r="A3015" s="7" t="str">
        <f t="shared" si="98"/>
        <v>201806</v>
      </c>
      <c r="C3015" s="6" t="str">
        <f>INDEX(工厂基础数据!$A$2:$A$1024,MATCH(X3015,工厂基础数据!$D$2:$D$1024,0))</f>
        <v>02010326</v>
      </c>
      <c r="E3015" s="6" t="str">
        <f>INDEX(工厂基础数据!$B$2:$B$1024,MATCH(X3015,工厂基础数据!$D$2:$D$1024,0))</f>
        <v>山东福华医药有限公司</v>
      </c>
      <c r="F3015" s="6">
        <f>INDEX(商业2转码!$B$2:$B$10000,MATCH(E3015,商业2转码!$A$2:$A$10000,0))</f>
        <v>0</v>
      </c>
      <c r="G3015" s="6" t="str">
        <f>INDEX(品种2编码!$A$2:$A$1048576,MATCH(W3015,品种2编码!$D$2:$D$1048576,0))</f>
        <v>0020020020ZYZC0473</v>
      </c>
      <c r="H3015" s="6" t="s">
        <v>745</v>
      </c>
      <c r="I3015" s="6" t="s">
        <v>290</v>
      </c>
      <c r="J3015" s="6" t="s">
        <v>3038</v>
      </c>
      <c r="L3015" s="6" t="s">
        <v>2083</v>
      </c>
      <c r="M3015" s="6">
        <f>INDEX(医院2县区2人!$B$2:$B$1048576,MATCH(L3015,医院2县区2人!$A$2:$A$1048576,0))</f>
        <v>1</v>
      </c>
      <c r="N3015" s="6" t="str">
        <f>INDEX(医院2县区2人!$C$2:$C$1048576,MATCH(L3015,医院2县区2人!$A$2:$A$1048576,0))</f>
        <v>1859</v>
      </c>
      <c r="P3015" s="7">
        <v>43269</v>
      </c>
      <c r="Q3015" s="6">
        <v>5</v>
      </c>
      <c r="R3015" s="6">
        <v>3.47</v>
      </c>
      <c r="S3015" s="6" t="s">
        <v>3056</v>
      </c>
      <c r="T3015" s="6" t="str">
        <f>INDEX(医院2县区2人!$D$2:$D$1048576,MATCH(L3015,医院2县区2人!$A$2:$A$1048576,0))</f>
        <v>201602151421097</v>
      </c>
      <c r="W3015" s="6" t="str">
        <f t="shared" si="97"/>
        <v>盐酸环丙沙星片0.25g*12片</v>
      </c>
      <c r="X3015" s="6" t="s">
        <v>2879</v>
      </c>
    </row>
    <row r="3016" spans="1:24" x14ac:dyDescent="0.15">
      <c r="A3016" s="7" t="str">
        <f t="shared" si="98"/>
        <v>201806</v>
      </c>
      <c r="C3016" s="6" t="str">
        <f>INDEX(工厂基础数据!$A$2:$A$1024,MATCH(X3016,工厂基础数据!$D$2:$D$1024,0))</f>
        <v>02010326</v>
      </c>
      <c r="E3016" s="6" t="str">
        <f>INDEX(工厂基础数据!$B$2:$B$1024,MATCH(X3016,工厂基础数据!$D$2:$D$1024,0))</f>
        <v>山东福华医药有限公司</v>
      </c>
      <c r="F3016" s="6">
        <f>INDEX(商业2转码!$B$2:$B$10000,MATCH(E3016,商业2转码!$A$2:$A$10000,0))</f>
        <v>0</v>
      </c>
      <c r="G3016" s="6" t="str">
        <f>INDEX(品种2编码!$A$2:$A$1048576,MATCH(W3016,品种2编码!$D$2:$D$1048576,0))</f>
        <v>0020020020ZYLC0011</v>
      </c>
      <c r="H3016" s="6" t="s">
        <v>1862</v>
      </c>
      <c r="I3016" s="6" t="s">
        <v>1863</v>
      </c>
      <c r="J3016" s="6" t="s">
        <v>3036</v>
      </c>
      <c r="L3016" s="6" t="s">
        <v>2079</v>
      </c>
      <c r="M3016" s="6">
        <f>INDEX(医院2县区2人!$B$2:$B$1048576,MATCH(L3016,医院2县区2人!$A$2:$A$1048576,0))</f>
        <v>1</v>
      </c>
      <c r="N3016" s="6" t="str">
        <f>INDEX(医院2县区2人!$C$2:$C$1048576,MATCH(L3016,医院2县区2人!$A$2:$A$1048576,0))</f>
        <v>1859</v>
      </c>
      <c r="P3016" s="7">
        <v>43269</v>
      </c>
      <c r="Q3016" s="6">
        <v>1</v>
      </c>
      <c r="R3016" s="6">
        <v>2.02</v>
      </c>
      <c r="S3016" s="6">
        <v>160803</v>
      </c>
      <c r="T3016" s="6" t="str">
        <f>INDEX(医院2县区2人!$D$2:$D$1048576,MATCH(L3016,医院2县区2人!$A$2:$A$1048576,0))</f>
        <v>201602151421097</v>
      </c>
      <c r="W3016" s="6" t="str">
        <f t="shared" si="97"/>
        <v>颠茄磺苄啶片/儿童0.122g*20片</v>
      </c>
      <c r="X3016" s="6" t="s">
        <v>2879</v>
      </c>
    </row>
    <row r="3017" spans="1:24" x14ac:dyDescent="0.15">
      <c r="A3017" s="7" t="str">
        <f t="shared" si="98"/>
        <v>201806</v>
      </c>
      <c r="C3017" s="6" t="str">
        <f>INDEX(工厂基础数据!$A$2:$A$1024,MATCH(X3017,工厂基础数据!$D$2:$D$1024,0))</f>
        <v>02010326</v>
      </c>
      <c r="E3017" s="6" t="str">
        <f>INDEX(工厂基础数据!$B$2:$B$1024,MATCH(X3017,工厂基础数据!$D$2:$D$1024,0))</f>
        <v>山东福华医药有限公司</v>
      </c>
      <c r="F3017" s="6">
        <f>INDEX(商业2转码!$B$2:$B$10000,MATCH(E3017,商业2转码!$A$2:$A$10000,0))</f>
        <v>0</v>
      </c>
      <c r="G3017" s="6" t="str">
        <f>INDEX(品种2编码!$A$2:$A$1048576,MATCH(W3017,品种2编码!$D$2:$D$1048576,0))</f>
        <v>0020070000ZYLC0052</v>
      </c>
      <c r="H3017" s="6" t="s">
        <v>1844</v>
      </c>
      <c r="I3017" s="6" t="s">
        <v>411</v>
      </c>
      <c r="J3017" s="6" t="s">
        <v>3036</v>
      </c>
      <c r="L3017" s="6" t="s">
        <v>2086</v>
      </c>
      <c r="M3017" s="6">
        <f>INDEX(医院2县区2人!$B$2:$B$1048576,MATCH(L3017,医院2县区2人!$A$2:$A$1048576,0))</f>
        <v>1</v>
      </c>
      <c r="N3017" s="6" t="str">
        <f>INDEX(医院2县区2人!$C$2:$C$1048576,MATCH(L3017,医院2县区2人!$A$2:$A$1048576,0))</f>
        <v>1859</v>
      </c>
      <c r="P3017" s="7">
        <v>43269</v>
      </c>
      <c r="Q3017" s="6">
        <v>10</v>
      </c>
      <c r="R3017" s="6">
        <v>16.41</v>
      </c>
      <c r="S3017" s="6">
        <v>170523</v>
      </c>
      <c r="T3017" s="6" t="str">
        <f>INDEX(医院2县区2人!$D$2:$D$1048576,MATCH(L3017,医院2县区2人!$A$2:$A$1048576,0))</f>
        <v>201602151421097</v>
      </c>
      <c r="W3017" s="6" t="str">
        <f t="shared" si="97"/>
        <v>哈药六牌钙加锌口服液10ml*12支</v>
      </c>
      <c r="X3017" s="6" t="s">
        <v>2879</v>
      </c>
    </row>
    <row r="3018" spans="1:24" x14ac:dyDescent="0.15">
      <c r="A3018" s="7" t="str">
        <f t="shared" si="98"/>
        <v>201806</v>
      </c>
      <c r="C3018" s="6" t="str">
        <f>INDEX(工厂基础数据!$A$2:$A$1024,MATCH(X3018,工厂基础数据!$D$2:$D$1024,0))</f>
        <v>02010326</v>
      </c>
      <c r="E3018" s="6" t="str">
        <f>INDEX(工厂基础数据!$B$2:$B$1024,MATCH(X3018,工厂基础数据!$D$2:$D$1024,0))</f>
        <v>山东福华医药有限公司</v>
      </c>
      <c r="F3018" s="6">
        <f>INDEX(商业2转码!$B$2:$B$10000,MATCH(E3018,商业2转码!$A$2:$A$10000,0))</f>
        <v>0</v>
      </c>
      <c r="G3018" s="6" t="str">
        <f>INDEX(品种2编码!$A$2:$A$1048576,MATCH(W3018,品种2编码!$D$2:$D$1048576,0))</f>
        <v>0020030020SJSC0004</v>
      </c>
      <c r="H3018" s="6" t="s">
        <v>1870</v>
      </c>
      <c r="I3018" s="6" t="s">
        <v>1871</v>
      </c>
      <c r="J3018" s="6" t="s">
        <v>3045</v>
      </c>
      <c r="L3018" s="6" t="s">
        <v>2083</v>
      </c>
      <c r="M3018" s="6">
        <f>INDEX(医院2县区2人!$B$2:$B$1048576,MATCH(L3018,医院2县区2人!$A$2:$A$1048576,0))</f>
        <v>1</v>
      </c>
      <c r="N3018" s="6" t="str">
        <f>INDEX(医院2县区2人!$C$2:$C$1048576,MATCH(L3018,医院2县区2人!$A$2:$A$1048576,0))</f>
        <v>1859</v>
      </c>
      <c r="P3018" s="7">
        <v>43269</v>
      </c>
      <c r="Q3018" s="6">
        <v>2</v>
      </c>
      <c r="R3018" s="6">
        <v>10.56</v>
      </c>
      <c r="S3018" s="6">
        <v>1712032</v>
      </c>
      <c r="T3018" s="6" t="str">
        <f>INDEX(医院2县区2人!$D$2:$D$1048576,MATCH(L3018,医院2县区2人!$A$2:$A$1048576,0))</f>
        <v>201602151421097</v>
      </c>
      <c r="W3018" s="6" t="str">
        <f t="shared" si="97"/>
        <v>复方铝酸铋片/新胃必治50片</v>
      </c>
      <c r="X3018" s="6" t="s">
        <v>2879</v>
      </c>
    </row>
    <row r="3019" spans="1:24" x14ac:dyDescent="0.15">
      <c r="A3019" s="7" t="str">
        <f t="shared" si="98"/>
        <v>201806</v>
      </c>
      <c r="C3019" s="6" t="str">
        <f>INDEX(工厂基础数据!$A$2:$A$1024,MATCH(X3019,工厂基础数据!$D$2:$D$1024,0))</f>
        <v>02010326</v>
      </c>
      <c r="E3019" s="6" t="str">
        <f>INDEX(工厂基础数据!$B$2:$B$1024,MATCH(X3019,工厂基础数据!$D$2:$D$1024,0))</f>
        <v>山东福华医药有限公司</v>
      </c>
      <c r="F3019" s="6">
        <f>INDEX(商业2转码!$B$2:$B$10000,MATCH(E3019,商业2转码!$A$2:$A$10000,0))</f>
        <v>0</v>
      </c>
      <c r="G3019" s="6" t="str">
        <f>INDEX(品种2编码!$A$2:$A$1048576,MATCH(W3019,品种2编码!$D$2:$D$1048576,0))</f>
        <v>0020100000ZYLC0012</v>
      </c>
      <c r="H3019" s="6" t="s">
        <v>768</v>
      </c>
      <c r="I3019" s="6" t="s">
        <v>1843</v>
      </c>
      <c r="J3019" s="6" t="s">
        <v>3036</v>
      </c>
      <c r="L3019" s="6" t="s">
        <v>2086</v>
      </c>
      <c r="M3019" s="6">
        <f>INDEX(医院2县区2人!$B$2:$B$1048576,MATCH(L3019,医院2县区2人!$A$2:$A$1048576,0))</f>
        <v>1</v>
      </c>
      <c r="N3019" s="6" t="str">
        <f>INDEX(医院2县区2人!$C$2:$C$1048576,MATCH(L3019,医院2县区2人!$A$2:$A$1048576,0))</f>
        <v>1859</v>
      </c>
      <c r="P3019" s="7">
        <v>43269</v>
      </c>
      <c r="Q3019" s="6">
        <v>20</v>
      </c>
      <c r="R3019" s="6">
        <v>3.2</v>
      </c>
      <c r="S3019" s="6">
        <v>20180104</v>
      </c>
      <c r="T3019" s="6" t="str">
        <f>INDEX(医院2县区2人!$D$2:$D$1048576,MATCH(L3019,医院2县区2人!$A$2:$A$1048576,0))</f>
        <v>201602151421097</v>
      </c>
      <c r="W3019" s="6" t="str">
        <f t="shared" si="97"/>
        <v>医用退热贴2贴</v>
      </c>
      <c r="X3019" s="6" t="s">
        <v>2879</v>
      </c>
    </row>
    <row r="3020" spans="1:24" x14ac:dyDescent="0.15">
      <c r="A3020" s="7" t="str">
        <f t="shared" si="98"/>
        <v>201806</v>
      </c>
      <c r="C3020" s="6" t="str">
        <f>INDEX(工厂基础数据!$A$2:$A$1024,MATCH(X3020,工厂基础数据!$D$2:$D$1024,0))</f>
        <v>02010326</v>
      </c>
      <c r="E3020" s="6" t="str">
        <f>INDEX(工厂基础数据!$B$2:$B$1024,MATCH(X3020,工厂基础数据!$D$2:$D$1024,0))</f>
        <v>山东福华医药有限公司</v>
      </c>
      <c r="F3020" s="6">
        <f>INDEX(商业2转码!$B$2:$B$10000,MATCH(E3020,商业2转码!$A$2:$A$10000,0))</f>
        <v>0</v>
      </c>
      <c r="G3020" s="6" t="str">
        <f>INDEX(品种2编码!$A$2:$A$1048576,MATCH(W3020,品种2编码!$D$2:$D$1048576,0))</f>
        <v>0020070001ZYZC0383</v>
      </c>
      <c r="H3020" s="6" t="s">
        <v>1849</v>
      </c>
      <c r="I3020" s="6" t="s">
        <v>1850</v>
      </c>
      <c r="J3020" s="6" t="s">
        <v>3038</v>
      </c>
      <c r="L3020" s="6" t="s">
        <v>2096</v>
      </c>
      <c r="M3020" s="6">
        <f>INDEX(医院2县区2人!$B$2:$B$1048576,MATCH(L3020,医院2县区2人!$A$2:$A$1048576,0))</f>
        <v>1</v>
      </c>
      <c r="N3020" s="6" t="str">
        <f>INDEX(医院2县区2人!$C$2:$C$1048576,MATCH(L3020,医院2县区2人!$A$2:$A$1048576,0))</f>
        <v>1859</v>
      </c>
      <c r="P3020" s="7">
        <v>43269</v>
      </c>
      <c r="Q3020" s="6">
        <v>5</v>
      </c>
      <c r="R3020" s="6">
        <v>13.44</v>
      </c>
      <c r="S3020" s="6">
        <v>1801107</v>
      </c>
      <c r="T3020" s="6" t="str">
        <f>INDEX(医院2县区2人!$D$2:$D$1048576,MATCH(L3020,医院2县区2人!$A$2:$A$1048576,0))</f>
        <v>201602151421097</v>
      </c>
      <c r="W3020" s="6" t="str">
        <f t="shared" si="97"/>
        <v>哈药牌钙铁锌口服液10ml*10支</v>
      </c>
      <c r="X3020" s="6" t="s">
        <v>2879</v>
      </c>
    </row>
    <row r="3021" spans="1:24" x14ac:dyDescent="0.15">
      <c r="A3021" s="7" t="str">
        <f t="shared" si="98"/>
        <v>201806</v>
      </c>
      <c r="C3021" s="6" t="str">
        <f>INDEX(工厂基础数据!$A$2:$A$1024,MATCH(X3021,工厂基础数据!$D$2:$D$1024,0))</f>
        <v>02010326</v>
      </c>
      <c r="E3021" s="6" t="str">
        <f>INDEX(工厂基础数据!$B$2:$B$1024,MATCH(X3021,工厂基础数据!$D$2:$D$1024,0))</f>
        <v>山东福华医药有限公司</v>
      </c>
      <c r="F3021" s="6">
        <f>INDEX(商业2转码!$B$2:$B$10000,MATCH(E3021,商业2转码!$A$2:$A$10000,0))</f>
        <v>0</v>
      </c>
      <c r="G3021" s="6" t="str">
        <f>INDEX(品种2编码!$A$2:$A$1048576,MATCH(W3021,品种2编码!$D$2:$D$1048576,0))</f>
        <v>0020020030ZYZC0510</v>
      </c>
      <c r="H3021" s="6" t="s">
        <v>543</v>
      </c>
      <c r="I3021" s="6" t="s">
        <v>1834</v>
      </c>
      <c r="J3021" s="6" t="s">
        <v>3038</v>
      </c>
      <c r="L3021" s="6" t="s">
        <v>3775</v>
      </c>
      <c r="M3021" s="6" t="e">
        <f>INDEX(医院2县区2人!$B$2:$B$1048576,MATCH(L3021,医院2县区2人!$A$2:$A$1048576,0))</f>
        <v>#N/A</v>
      </c>
      <c r="N3021" s="6" t="e">
        <f>INDEX(医院2县区2人!$C$2:$C$1048576,MATCH(L3021,医院2县区2人!$A$2:$A$1048576,0))</f>
        <v>#N/A</v>
      </c>
      <c r="P3021" s="7">
        <v>43269</v>
      </c>
      <c r="Q3021" s="6">
        <v>5</v>
      </c>
      <c r="R3021" s="6">
        <v>3</v>
      </c>
      <c r="S3021" s="6" t="s">
        <v>3789</v>
      </c>
      <c r="T3021" s="6" t="e">
        <f>INDEX(医院2县区2人!$D$2:$D$1048576,MATCH(L3021,医院2县区2人!$A$2:$A$1048576,0))</f>
        <v>#N/A</v>
      </c>
      <c r="W3021" s="6" t="str">
        <f t="shared" si="97"/>
        <v>诺氟沙星胶囊0.1g*20粒</v>
      </c>
      <c r="X3021" s="6" t="s">
        <v>2879</v>
      </c>
    </row>
    <row r="3022" spans="1:24" x14ac:dyDescent="0.15">
      <c r="A3022" s="7" t="str">
        <f t="shared" si="98"/>
        <v>201806</v>
      </c>
      <c r="C3022" s="6" t="str">
        <f>INDEX(工厂基础数据!$A$2:$A$1024,MATCH(X3022,工厂基础数据!$D$2:$D$1024,0))</f>
        <v>02010326</v>
      </c>
      <c r="E3022" s="6" t="str">
        <f>INDEX(工厂基础数据!$B$2:$B$1024,MATCH(X3022,工厂基础数据!$D$2:$D$1024,0))</f>
        <v>山东福华医药有限公司</v>
      </c>
      <c r="F3022" s="6">
        <f>INDEX(商业2转码!$B$2:$B$10000,MATCH(E3022,商业2转码!$A$2:$A$10000,0))</f>
        <v>0</v>
      </c>
      <c r="G3022" s="6" t="str">
        <f>INDEX(品种2编码!$A$2:$A$1048576,MATCH(W3022,品种2编码!$D$2:$D$1048576,0))</f>
        <v>0020020020ZYLC0003</v>
      </c>
      <c r="H3022" s="6" t="s">
        <v>1855</v>
      </c>
      <c r="I3022" s="6" t="s">
        <v>381</v>
      </c>
      <c r="J3022" s="6" t="s">
        <v>3036</v>
      </c>
      <c r="L3022" s="6" t="s">
        <v>2083</v>
      </c>
      <c r="M3022" s="6">
        <f>INDEX(医院2县区2人!$B$2:$B$1048576,MATCH(L3022,医院2县区2人!$A$2:$A$1048576,0))</f>
        <v>1</v>
      </c>
      <c r="N3022" s="6" t="str">
        <f>INDEX(医院2县区2人!$C$2:$C$1048576,MATCH(L3022,医院2县区2人!$A$2:$A$1048576,0))</f>
        <v>1859</v>
      </c>
      <c r="P3022" s="7">
        <v>43269</v>
      </c>
      <c r="Q3022" s="6">
        <v>5</v>
      </c>
      <c r="R3022" s="6">
        <v>5.31</v>
      </c>
      <c r="S3022" s="6">
        <v>161002</v>
      </c>
      <c r="T3022" s="6" t="str">
        <f>INDEX(医院2县区2人!$D$2:$D$1048576,MATCH(L3022,医院2县区2人!$A$2:$A$1048576,0))</f>
        <v>201602151421097</v>
      </c>
      <c r="W3022" s="6" t="str">
        <f t="shared" si="97"/>
        <v>颠茄磺苄啶片12片</v>
      </c>
      <c r="X3022" s="6" t="s">
        <v>2879</v>
      </c>
    </row>
    <row r="3023" spans="1:24" x14ac:dyDescent="0.15">
      <c r="A3023" s="7" t="str">
        <f t="shared" si="98"/>
        <v>201806</v>
      </c>
      <c r="C3023" s="6" t="str">
        <f>INDEX(工厂基础数据!$A$2:$A$1024,MATCH(X3023,工厂基础数据!$D$2:$D$1024,0))</f>
        <v>02010326</v>
      </c>
      <c r="E3023" s="6" t="str">
        <f>INDEX(工厂基础数据!$B$2:$B$1024,MATCH(X3023,工厂基础数据!$D$2:$D$1024,0))</f>
        <v>山东福华医药有限公司</v>
      </c>
      <c r="F3023" s="6">
        <f>INDEX(商业2转码!$B$2:$B$10000,MATCH(E3023,商业2转码!$A$2:$A$10000,0))</f>
        <v>0</v>
      </c>
      <c r="G3023" s="6" t="str">
        <f>INDEX(品种2编码!$A$2:$A$1048576,MATCH(W3023,品种2编码!$D$2:$D$1048576,0))</f>
        <v>0020070000ZYLC0052</v>
      </c>
      <c r="H3023" s="6" t="s">
        <v>1844</v>
      </c>
      <c r="I3023" s="6" t="s">
        <v>411</v>
      </c>
      <c r="J3023" s="6" t="s">
        <v>3036</v>
      </c>
      <c r="L3023" s="6" t="s">
        <v>2148</v>
      </c>
      <c r="M3023" s="6">
        <f>INDEX(医院2县区2人!$B$2:$B$1048576,MATCH(L3023,医院2县区2人!$A$2:$A$1048576,0))</f>
        <v>2</v>
      </c>
      <c r="N3023" s="6" t="str">
        <f>INDEX(医院2县区2人!$C$2:$C$1048576,MATCH(L3023,医院2县区2人!$A$2:$A$1048576,0))</f>
        <v>1859</v>
      </c>
      <c r="P3023" s="7">
        <v>43269</v>
      </c>
      <c r="Q3023" s="6">
        <v>10</v>
      </c>
      <c r="R3023" s="6">
        <v>17</v>
      </c>
      <c r="S3023" s="6">
        <v>170523</v>
      </c>
      <c r="T3023" s="6" t="str">
        <f>INDEX(医院2县区2人!$D$2:$D$1048576,MATCH(L3023,医院2县区2人!$A$2:$A$1048576,0))</f>
        <v>201602151421097</v>
      </c>
      <c r="W3023" s="6" t="str">
        <f t="shared" si="97"/>
        <v>哈药六牌钙加锌口服液10ml*12支</v>
      </c>
      <c r="X3023" s="6" t="s">
        <v>2879</v>
      </c>
    </row>
    <row r="3024" spans="1:24" x14ac:dyDescent="0.15">
      <c r="A3024" s="7" t="str">
        <f t="shared" si="98"/>
        <v>201806</v>
      </c>
      <c r="C3024" s="6" t="str">
        <f>INDEX(工厂基础数据!$A$2:$A$1024,MATCH(X3024,工厂基础数据!$D$2:$D$1024,0))</f>
        <v>02010326</v>
      </c>
      <c r="E3024" s="6" t="str">
        <f>INDEX(工厂基础数据!$B$2:$B$1024,MATCH(X3024,工厂基础数据!$D$2:$D$1024,0))</f>
        <v>山东福华医药有限公司</v>
      </c>
      <c r="F3024" s="6">
        <f>INDEX(商业2转码!$B$2:$B$10000,MATCH(E3024,商业2转码!$A$2:$A$10000,0))</f>
        <v>0</v>
      </c>
      <c r="G3024" s="6" t="str">
        <f>INDEX(品种2编码!$A$2:$A$1048576,MATCH(W3024,品种2编码!$D$2:$D$1048576,0))</f>
        <v>0020070001ZYZC0383</v>
      </c>
      <c r="H3024" s="6" t="s">
        <v>1849</v>
      </c>
      <c r="I3024" s="6" t="s">
        <v>1850</v>
      </c>
      <c r="J3024" s="6" t="s">
        <v>3038</v>
      </c>
      <c r="L3024" s="6" t="s">
        <v>2170</v>
      </c>
      <c r="M3024" s="6">
        <f>INDEX(医院2县区2人!$B$2:$B$1048576,MATCH(L3024,医院2县区2人!$A$2:$A$1048576,0))</f>
        <v>2</v>
      </c>
      <c r="N3024" s="6" t="str">
        <f>INDEX(医院2县区2人!$C$2:$C$1048576,MATCH(L3024,医院2县区2人!$A$2:$A$1048576,0))</f>
        <v>1859</v>
      </c>
      <c r="P3024" s="7">
        <v>43269</v>
      </c>
      <c r="Q3024" s="6">
        <v>10</v>
      </c>
      <c r="R3024" s="6">
        <v>14</v>
      </c>
      <c r="S3024" s="6">
        <v>1801107</v>
      </c>
      <c r="T3024" s="6" t="str">
        <f>INDEX(医院2县区2人!$D$2:$D$1048576,MATCH(L3024,医院2县区2人!$A$2:$A$1048576,0))</f>
        <v>201602151421097</v>
      </c>
      <c r="W3024" s="6" t="str">
        <f t="shared" si="97"/>
        <v>哈药牌钙铁锌口服液10ml*10支</v>
      </c>
      <c r="X3024" s="6" t="s">
        <v>2879</v>
      </c>
    </row>
    <row r="3025" spans="1:24" x14ac:dyDescent="0.15">
      <c r="A3025" s="7" t="str">
        <f t="shared" si="98"/>
        <v>201806</v>
      </c>
      <c r="C3025" s="6" t="str">
        <f>INDEX(工厂基础数据!$A$2:$A$1024,MATCH(X3025,工厂基础数据!$D$2:$D$1024,0))</f>
        <v>02010326</v>
      </c>
      <c r="E3025" s="6" t="str">
        <f>INDEX(工厂基础数据!$B$2:$B$1024,MATCH(X3025,工厂基础数据!$D$2:$D$1024,0))</f>
        <v>山东福华医药有限公司</v>
      </c>
      <c r="F3025" s="6">
        <f>INDEX(商业2转码!$B$2:$B$10000,MATCH(E3025,商业2转码!$A$2:$A$10000,0))</f>
        <v>0</v>
      </c>
      <c r="G3025" s="6" t="str">
        <f>INDEX(品种2编码!$A$2:$A$1048576,MATCH(W3025,品种2编码!$D$2:$D$1048576,0))</f>
        <v>0020030001SJZY0006</v>
      </c>
      <c r="H3025" s="6" t="s">
        <v>1833</v>
      </c>
      <c r="I3025" s="6" t="s">
        <v>411</v>
      </c>
      <c r="J3025" s="6" t="s">
        <v>3044</v>
      </c>
      <c r="L3025" s="6" t="s">
        <v>2056</v>
      </c>
      <c r="M3025" s="6">
        <f>INDEX(医院2县区2人!$B$2:$B$1048576,MATCH(L3025,医院2县区2人!$A$2:$A$1048576,0))</f>
        <v>1</v>
      </c>
      <c r="N3025" s="6" t="str">
        <f>INDEX(医院2县区2人!$C$2:$C$1048576,MATCH(L3025,医院2县区2人!$A$2:$A$1048576,0))</f>
        <v>1859</v>
      </c>
      <c r="P3025" s="7">
        <v>43267</v>
      </c>
      <c r="Q3025" s="6">
        <v>115</v>
      </c>
      <c r="R3025" s="6">
        <v>21.12</v>
      </c>
      <c r="S3025" s="6">
        <v>18030842</v>
      </c>
      <c r="T3025" s="6" t="str">
        <f>INDEX(医院2县区2人!$D$2:$D$1048576,MATCH(L3025,医院2县区2人!$A$2:$A$1048576,0))</f>
        <v>201602151421097</v>
      </c>
      <c r="W3025" s="6" t="str">
        <f t="shared" si="97"/>
        <v>葡萄糖酸钙口服溶液10ml*12支</v>
      </c>
      <c r="X3025" s="6" t="s">
        <v>2879</v>
      </c>
    </row>
    <row r="3026" spans="1:24" x14ac:dyDescent="0.15">
      <c r="A3026" s="7" t="str">
        <f t="shared" si="98"/>
        <v>201806</v>
      </c>
      <c r="C3026" s="6" t="str">
        <f>INDEX(工厂基础数据!$A$2:$A$1024,MATCH(X3026,工厂基础数据!$D$2:$D$1024,0))</f>
        <v>02010326</v>
      </c>
      <c r="E3026" s="6" t="str">
        <f>INDEX(工厂基础数据!$B$2:$B$1024,MATCH(X3026,工厂基础数据!$D$2:$D$1024,0))</f>
        <v>山东福华医药有限公司</v>
      </c>
      <c r="F3026" s="6">
        <f>INDEX(商业2转码!$B$2:$B$10000,MATCH(E3026,商业2转码!$A$2:$A$10000,0))</f>
        <v>0</v>
      </c>
      <c r="G3026" s="6" t="str">
        <f>INDEX(品种2编码!$A$2:$A$1048576,MATCH(W3026,品种2编码!$D$2:$D$1048576,0))</f>
        <v>0020020021ZYLC0004</v>
      </c>
      <c r="H3026" s="6" t="s">
        <v>1868</v>
      </c>
      <c r="I3026" s="6" t="s">
        <v>1869</v>
      </c>
      <c r="J3026" s="6" t="s">
        <v>3036</v>
      </c>
      <c r="L3026" s="6" t="s">
        <v>2086</v>
      </c>
      <c r="M3026" s="6">
        <f>INDEX(医院2县区2人!$B$2:$B$1048576,MATCH(L3026,医院2县区2人!$A$2:$A$1048576,0))</f>
        <v>1</v>
      </c>
      <c r="N3026" s="6" t="str">
        <f>INDEX(医院2县区2人!$C$2:$C$1048576,MATCH(L3026,医院2县区2人!$A$2:$A$1048576,0))</f>
        <v>1859</v>
      </c>
      <c r="P3026" s="7">
        <v>43266</v>
      </c>
      <c r="Q3026" s="6">
        <v>2</v>
      </c>
      <c r="R3026" s="6">
        <v>7.68</v>
      </c>
      <c r="S3026" s="6">
        <v>180201</v>
      </c>
      <c r="T3026" s="6" t="str">
        <f>INDEX(医院2县区2人!$D$2:$D$1048576,MATCH(L3026,医院2县区2人!$A$2:$A$1048576,0))</f>
        <v>201602151421097</v>
      </c>
      <c r="W3026" s="6" t="str">
        <f t="shared" si="97"/>
        <v>罗红霉素分散片/大严迪75mg*12片</v>
      </c>
      <c r="X3026" s="6" t="s">
        <v>2879</v>
      </c>
    </row>
    <row r="3027" spans="1:24" x14ac:dyDescent="0.15">
      <c r="A3027" s="7" t="str">
        <f t="shared" si="98"/>
        <v>201806</v>
      </c>
      <c r="C3027" s="6" t="str">
        <f>INDEX(工厂基础数据!$A$2:$A$1024,MATCH(X3027,工厂基础数据!$D$2:$D$1024,0))</f>
        <v>02010326</v>
      </c>
      <c r="E3027" s="6" t="str">
        <f>INDEX(工厂基础数据!$B$2:$B$1024,MATCH(X3027,工厂基础数据!$D$2:$D$1024,0))</f>
        <v>山东福华医药有限公司</v>
      </c>
      <c r="F3027" s="6">
        <f>INDEX(商业2转码!$B$2:$B$10000,MATCH(E3027,商业2转码!$A$2:$A$10000,0))</f>
        <v>0</v>
      </c>
      <c r="G3027" s="6" t="str">
        <f>INDEX(品种2编码!$A$2:$A$1048576,MATCH(W3027,品种2编码!$D$2:$D$1048576,0))</f>
        <v>0020040020SHYT0007</v>
      </c>
      <c r="H3027" s="6" t="s">
        <v>338</v>
      </c>
      <c r="I3027" s="6" t="s">
        <v>1866</v>
      </c>
      <c r="J3027" s="6" t="s">
        <v>3037</v>
      </c>
      <c r="L3027" s="6" t="s">
        <v>2086</v>
      </c>
      <c r="M3027" s="6">
        <f>INDEX(医院2县区2人!$B$2:$B$1048576,MATCH(L3027,医院2县区2人!$A$2:$A$1048576,0))</f>
        <v>1</v>
      </c>
      <c r="N3027" s="6" t="str">
        <f>INDEX(医院2县区2人!$C$2:$C$1048576,MATCH(L3027,医院2县区2人!$A$2:$A$1048576,0))</f>
        <v>1859</v>
      </c>
      <c r="P3027" s="7">
        <v>43266</v>
      </c>
      <c r="Q3027" s="6">
        <v>2</v>
      </c>
      <c r="R3027" s="6">
        <v>17.760000000000002</v>
      </c>
      <c r="S3027" s="6">
        <v>1707501</v>
      </c>
      <c r="T3027" s="6" t="str">
        <f>INDEX(医院2县区2人!$D$2:$D$1048576,MATCH(L3027,医院2县区2人!$A$2:$A$1048576,0))</f>
        <v>201602151421097</v>
      </c>
      <c r="W3027" s="6" t="str">
        <f t="shared" si="97"/>
        <v>丹佛胃尔康颗粒10g*6袋</v>
      </c>
      <c r="X3027" s="6" t="s">
        <v>2879</v>
      </c>
    </row>
    <row r="3028" spans="1:24" x14ac:dyDescent="0.15">
      <c r="A3028" s="7" t="str">
        <f t="shared" si="98"/>
        <v>201806</v>
      </c>
      <c r="C3028" s="6" t="str">
        <f>INDEX(工厂基础数据!$A$2:$A$1024,MATCH(X3028,工厂基础数据!$D$2:$D$1024,0))</f>
        <v>02010326</v>
      </c>
      <c r="E3028" s="6" t="str">
        <f>INDEX(工厂基础数据!$B$2:$B$1024,MATCH(X3028,工厂基础数据!$D$2:$D$1024,0))</f>
        <v>山东福华医药有限公司</v>
      </c>
      <c r="F3028" s="6">
        <f>INDEX(商业2转码!$B$2:$B$10000,MATCH(E3028,商业2转码!$A$2:$A$10000,0))</f>
        <v>0</v>
      </c>
      <c r="G3028" s="6" t="str">
        <f>INDEX(品种2编码!$A$2:$A$1048576,MATCH(W3028,品种2编码!$D$2:$D$1048576,0))</f>
        <v>0020020030ZYZC0510</v>
      </c>
      <c r="H3028" s="6" t="s">
        <v>543</v>
      </c>
      <c r="I3028" s="6" t="s">
        <v>1834</v>
      </c>
      <c r="J3028" s="6" t="s">
        <v>3038</v>
      </c>
      <c r="L3028" s="6" t="s">
        <v>2086</v>
      </c>
      <c r="M3028" s="6">
        <f>INDEX(医院2县区2人!$B$2:$B$1048576,MATCH(L3028,医院2县区2人!$A$2:$A$1048576,0))</f>
        <v>1</v>
      </c>
      <c r="N3028" s="6" t="str">
        <f>INDEX(医院2县区2人!$C$2:$C$1048576,MATCH(L3028,医院2县区2人!$A$2:$A$1048576,0))</f>
        <v>1859</v>
      </c>
      <c r="P3028" s="7">
        <v>43266</v>
      </c>
      <c r="Q3028" s="6">
        <v>10</v>
      </c>
      <c r="R3028" s="6">
        <v>2.85</v>
      </c>
      <c r="S3028" s="6" t="s">
        <v>3789</v>
      </c>
      <c r="T3028" s="6" t="str">
        <f>INDEX(医院2县区2人!$D$2:$D$1048576,MATCH(L3028,医院2县区2人!$A$2:$A$1048576,0))</f>
        <v>201602151421097</v>
      </c>
      <c r="W3028" s="6" t="str">
        <f t="shared" si="97"/>
        <v>诺氟沙星胶囊0.1g*20粒</v>
      </c>
      <c r="X3028" s="6" t="s">
        <v>2879</v>
      </c>
    </row>
    <row r="3029" spans="1:24" x14ac:dyDescent="0.15">
      <c r="A3029" s="7" t="str">
        <f t="shared" si="98"/>
        <v>201806</v>
      </c>
      <c r="C3029" s="6" t="str">
        <f>INDEX(工厂基础数据!$A$2:$A$1024,MATCH(X3029,工厂基础数据!$D$2:$D$1024,0))</f>
        <v>02010326</v>
      </c>
      <c r="E3029" s="6" t="str">
        <f>INDEX(工厂基础数据!$B$2:$B$1024,MATCH(X3029,工厂基础数据!$D$2:$D$1024,0))</f>
        <v>山东福华医药有限公司</v>
      </c>
      <c r="F3029" s="6">
        <f>INDEX(商业2转码!$B$2:$B$10000,MATCH(E3029,商业2转码!$A$2:$A$10000,0))</f>
        <v>0</v>
      </c>
      <c r="G3029" s="6" t="str">
        <f>INDEX(品种2编码!$A$2:$A$1048576,MATCH(W3029,品种2编码!$D$2:$D$1048576,0))</f>
        <v>0020030020SJSC0004</v>
      </c>
      <c r="H3029" s="6" t="s">
        <v>1870</v>
      </c>
      <c r="I3029" s="6" t="s">
        <v>1871</v>
      </c>
      <c r="J3029" s="6" t="s">
        <v>3045</v>
      </c>
      <c r="L3029" s="6" t="s">
        <v>2085</v>
      </c>
      <c r="M3029" s="6">
        <f>INDEX(医院2县区2人!$B$2:$B$1048576,MATCH(L3029,医院2县区2人!$A$2:$A$1048576,0))</f>
        <v>1</v>
      </c>
      <c r="N3029" s="6" t="str">
        <f>INDEX(医院2县区2人!$C$2:$C$1048576,MATCH(L3029,医院2县区2人!$A$2:$A$1048576,0))</f>
        <v>1859</v>
      </c>
      <c r="P3029" s="7">
        <v>43266</v>
      </c>
      <c r="Q3029" s="6">
        <v>10</v>
      </c>
      <c r="R3029" s="6">
        <v>10.56</v>
      </c>
      <c r="S3029" s="6">
        <v>1712032</v>
      </c>
      <c r="T3029" s="6" t="str">
        <f>INDEX(医院2县区2人!$D$2:$D$1048576,MATCH(L3029,医院2县区2人!$A$2:$A$1048576,0))</f>
        <v>201602151421097</v>
      </c>
      <c r="W3029" s="6" t="str">
        <f t="shared" si="97"/>
        <v>复方铝酸铋片/新胃必治50片</v>
      </c>
      <c r="X3029" s="6" t="s">
        <v>2879</v>
      </c>
    </row>
    <row r="3030" spans="1:24" x14ac:dyDescent="0.15">
      <c r="A3030" s="7" t="str">
        <f t="shared" si="98"/>
        <v>201806</v>
      </c>
      <c r="C3030" s="6" t="str">
        <f>INDEX(工厂基础数据!$A$2:$A$1024,MATCH(X3030,工厂基础数据!$D$2:$D$1024,0))</f>
        <v>02010326</v>
      </c>
      <c r="E3030" s="6" t="str">
        <f>INDEX(工厂基础数据!$B$2:$B$1024,MATCH(X3030,工厂基础数据!$D$2:$D$1024,0))</f>
        <v>山东福华医药有限公司</v>
      </c>
      <c r="F3030" s="6">
        <f>INDEX(商业2转码!$B$2:$B$10000,MATCH(E3030,商业2转码!$A$2:$A$10000,0))</f>
        <v>0</v>
      </c>
      <c r="G3030" s="6" t="str">
        <f>INDEX(品种2编码!$A$2:$A$1048576,MATCH(W3030,品种2编码!$D$2:$D$1048576,0))</f>
        <v>0020070001ZYZC0383</v>
      </c>
      <c r="H3030" s="6" t="s">
        <v>1849</v>
      </c>
      <c r="I3030" s="6" t="s">
        <v>1850</v>
      </c>
      <c r="J3030" s="6" t="s">
        <v>3038</v>
      </c>
      <c r="L3030" s="6" t="s">
        <v>2091</v>
      </c>
      <c r="M3030" s="6">
        <f>INDEX(医院2县区2人!$B$2:$B$1048576,MATCH(L3030,医院2县区2人!$A$2:$A$1048576,0))</f>
        <v>1</v>
      </c>
      <c r="N3030" s="6" t="str">
        <f>INDEX(医院2县区2人!$C$2:$C$1048576,MATCH(L3030,医院2县区2人!$A$2:$A$1048576,0))</f>
        <v>1859</v>
      </c>
      <c r="P3030" s="7">
        <v>43266</v>
      </c>
      <c r="Q3030" s="6">
        <v>5</v>
      </c>
      <c r="R3030" s="6">
        <v>13.44</v>
      </c>
      <c r="S3030" s="6">
        <v>1801107</v>
      </c>
      <c r="T3030" s="6" t="str">
        <f>INDEX(医院2县区2人!$D$2:$D$1048576,MATCH(L3030,医院2县区2人!$A$2:$A$1048576,0))</f>
        <v>201602151421097</v>
      </c>
      <c r="W3030" s="6" t="str">
        <f t="shared" si="97"/>
        <v>哈药牌钙铁锌口服液10ml*10支</v>
      </c>
      <c r="X3030" s="6" t="s">
        <v>2879</v>
      </c>
    </row>
    <row r="3031" spans="1:24" x14ac:dyDescent="0.15">
      <c r="A3031" s="7" t="str">
        <f t="shared" si="98"/>
        <v>201806</v>
      </c>
      <c r="C3031" s="6" t="str">
        <f>INDEX(工厂基础数据!$A$2:$A$1024,MATCH(X3031,工厂基础数据!$D$2:$D$1024,0))</f>
        <v>02010326</v>
      </c>
      <c r="E3031" s="6" t="str">
        <f>INDEX(工厂基础数据!$B$2:$B$1024,MATCH(X3031,工厂基础数据!$D$2:$D$1024,0))</f>
        <v>山东福华医药有限公司</v>
      </c>
      <c r="F3031" s="6">
        <f>INDEX(商业2转码!$B$2:$B$10000,MATCH(E3031,商业2转码!$A$2:$A$10000,0))</f>
        <v>0</v>
      </c>
      <c r="G3031" s="6" t="str">
        <f>INDEX(品种2编码!$A$2:$A$1048576,MATCH(W3031,品种2编码!$D$2:$D$1048576,0))</f>
        <v>0020020020SJMS0006</v>
      </c>
      <c r="H3031" s="6" t="s">
        <v>516</v>
      </c>
      <c r="I3031" s="6" t="s">
        <v>1856</v>
      </c>
      <c r="J3031" s="6" t="s">
        <v>3046</v>
      </c>
      <c r="L3031" s="6" t="s">
        <v>2087</v>
      </c>
      <c r="M3031" s="6">
        <f>INDEX(医院2县区2人!$B$2:$B$1048576,MATCH(L3031,医院2县区2人!$A$2:$A$1048576,0))</f>
        <v>1</v>
      </c>
      <c r="N3031" s="6" t="str">
        <f>INDEX(医院2县区2人!$C$2:$C$1048576,MATCH(L3031,医院2县区2人!$A$2:$A$1048576,0))</f>
        <v>1859</v>
      </c>
      <c r="P3031" s="7">
        <v>43266</v>
      </c>
      <c r="Q3031" s="6">
        <v>10</v>
      </c>
      <c r="R3031" s="6">
        <v>1.44</v>
      </c>
      <c r="S3031" s="6">
        <v>1801006</v>
      </c>
      <c r="T3031" s="6" t="str">
        <f>INDEX(医院2县区2人!$D$2:$D$1048576,MATCH(L3031,医院2县区2人!$A$2:$A$1048576,0))</f>
        <v>201602151421097</v>
      </c>
      <c r="W3031" s="6" t="str">
        <f t="shared" si="97"/>
        <v>尼莫地平片20mg*50片</v>
      </c>
      <c r="X3031" s="6" t="s">
        <v>2879</v>
      </c>
    </row>
    <row r="3032" spans="1:24" x14ac:dyDescent="0.15">
      <c r="A3032" s="7" t="str">
        <f t="shared" si="98"/>
        <v>201806</v>
      </c>
      <c r="C3032" s="6" t="str">
        <f>INDEX(工厂基础数据!$A$2:$A$1024,MATCH(X3032,工厂基础数据!$D$2:$D$1024,0))</f>
        <v>02010326</v>
      </c>
      <c r="E3032" s="6" t="str">
        <f>INDEX(工厂基础数据!$B$2:$B$1024,MATCH(X3032,工厂基础数据!$D$2:$D$1024,0))</f>
        <v>山东福华医药有限公司</v>
      </c>
      <c r="F3032" s="6">
        <f>INDEX(商业2转码!$B$2:$B$10000,MATCH(E3032,商业2转码!$A$2:$A$10000,0))</f>
        <v>0</v>
      </c>
      <c r="G3032" s="6" t="str">
        <f>INDEX(品种2编码!$A$2:$A$1048576,MATCH(W3032,品种2编码!$D$2:$D$1048576,0))</f>
        <v>0020030001SJZY0006</v>
      </c>
      <c r="H3032" s="6" t="s">
        <v>1833</v>
      </c>
      <c r="I3032" s="6" t="s">
        <v>411</v>
      </c>
      <c r="J3032" s="6" t="s">
        <v>3044</v>
      </c>
      <c r="L3032" s="6" t="s">
        <v>2057</v>
      </c>
      <c r="M3032" s="6">
        <f>INDEX(医院2县区2人!$B$2:$B$1048576,MATCH(L3032,医院2县区2人!$A$2:$A$1048576,0))</f>
        <v>1</v>
      </c>
      <c r="N3032" s="6" t="str">
        <f>INDEX(医院2县区2人!$C$2:$C$1048576,MATCH(L3032,医院2县区2人!$A$2:$A$1048576,0))</f>
        <v>1859</v>
      </c>
      <c r="P3032" s="7">
        <v>43266</v>
      </c>
      <c r="Q3032" s="6">
        <v>5</v>
      </c>
      <c r="R3032" s="6">
        <v>21.12</v>
      </c>
      <c r="S3032" s="6">
        <v>18030842</v>
      </c>
      <c r="T3032" s="6" t="str">
        <f>INDEX(医院2县区2人!$D$2:$D$1048576,MATCH(L3032,医院2县区2人!$A$2:$A$1048576,0))</f>
        <v>201602151421097</v>
      </c>
      <c r="W3032" s="6" t="str">
        <f t="shared" si="97"/>
        <v>葡萄糖酸钙口服溶液10ml*12支</v>
      </c>
      <c r="X3032" s="6" t="s">
        <v>2879</v>
      </c>
    </row>
    <row r="3033" spans="1:24" x14ac:dyDescent="0.15">
      <c r="A3033" s="7" t="str">
        <f t="shared" si="98"/>
        <v>201806</v>
      </c>
      <c r="C3033" s="6" t="str">
        <f>INDEX(工厂基础数据!$A$2:$A$1024,MATCH(X3033,工厂基础数据!$D$2:$D$1024,0))</f>
        <v>02010326</v>
      </c>
      <c r="E3033" s="6" t="str">
        <f>INDEX(工厂基础数据!$B$2:$B$1024,MATCH(X3033,工厂基础数据!$D$2:$D$1024,0))</f>
        <v>山东福华医药有限公司</v>
      </c>
      <c r="F3033" s="6">
        <f>INDEX(商业2转码!$B$2:$B$10000,MATCH(E3033,商业2转码!$A$2:$A$10000,0))</f>
        <v>0</v>
      </c>
      <c r="G3033" s="6" t="str">
        <f>INDEX(品种2编码!$A$2:$A$1048576,MATCH(W3033,品种2编码!$D$2:$D$1048576,0))</f>
        <v>0020040020SHYT0007</v>
      </c>
      <c r="H3033" s="6" t="s">
        <v>338</v>
      </c>
      <c r="I3033" s="6" t="s">
        <v>1866</v>
      </c>
      <c r="J3033" s="6" t="s">
        <v>3037</v>
      </c>
      <c r="L3033" s="6" t="s">
        <v>2057</v>
      </c>
      <c r="M3033" s="6">
        <f>INDEX(医院2县区2人!$B$2:$B$1048576,MATCH(L3033,医院2县区2人!$A$2:$A$1048576,0))</f>
        <v>1</v>
      </c>
      <c r="N3033" s="6" t="str">
        <f>INDEX(医院2县区2人!$C$2:$C$1048576,MATCH(L3033,医院2县区2人!$A$2:$A$1048576,0))</f>
        <v>1859</v>
      </c>
      <c r="P3033" s="7">
        <v>43266</v>
      </c>
      <c r="Q3033" s="6">
        <v>1</v>
      </c>
      <c r="R3033" s="6">
        <v>17.760000000000002</v>
      </c>
      <c r="S3033" s="6">
        <v>1707501</v>
      </c>
      <c r="T3033" s="6" t="str">
        <f>INDEX(医院2县区2人!$D$2:$D$1048576,MATCH(L3033,医院2县区2人!$A$2:$A$1048576,0))</f>
        <v>201602151421097</v>
      </c>
      <c r="W3033" s="6" t="str">
        <f t="shared" si="97"/>
        <v>丹佛胃尔康颗粒10g*6袋</v>
      </c>
      <c r="X3033" s="6" t="s">
        <v>2879</v>
      </c>
    </row>
    <row r="3034" spans="1:24" x14ac:dyDescent="0.15">
      <c r="A3034" s="7" t="str">
        <f t="shared" si="98"/>
        <v>201806</v>
      </c>
      <c r="C3034" s="6" t="str">
        <f>INDEX(工厂基础数据!$A$2:$A$1024,MATCH(X3034,工厂基础数据!$D$2:$D$1024,0))</f>
        <v>02010326</v>
      </c>
      <c r="E3034" s="6" t="str">
        <f>INDEX(工厂基础数据!$B$2:$B$1024,MATCH(X3034,工厂基础数据!$D$2:$D$1024,0))</f>
        <v>山东福华医药有限公司</v>
      </c>
      <c r="F3034" s="6">
        <f>INDEX(商业2转码!$B$2:$B$10000,MATCH(E3034,商业2转码!$A$2:$A$10000,0))</f>
        <v>0</v>
      </c>
      <c r="G3034" s="6" t="str">
        <f>INDEX(品种2编码!$A$2:$A$1048576,MATCH(W3034,品种2编码!$D$2:$D$1048576,0))</f>
        <v>0020070001ZYZC0383</v>
      </c>
      <c r="H3034" s="6" t="s">
        <v>1849</v>
      </c>
      <c r="I3034" s="6" t="s">
        <v>1850</v>
      </c>
      <c r="J3034" s="6" t="s">
        <v>3038</v>
      </c>
      <c r="L3034" s="6" t="s">
        <v>2106</v>
      </c>
      <c r="M3034" s="6">
        <f>INDEX(医院2县区2人!$B$2:$B$1048576,MATCH(L3034,医院2县区2人!$A$2:$A$1048576,0))</f>
        <v>2</v>
      </c>
      <c r="N3034" s="6" t="str">
        <f>INDEX(医院2县区2人!$C$2:$C$1048576,MATCH(L3034,医院2县区2人!$A$2:$A$1048576,0))</f>
        <v>1859</v>
      </c>
      <c r="P3034" s="7">
        <v>43266</v>
      </c>
      <c r="Q3034" s="6">
        <v>5</v>
      </c>
      <c r="R3034" s="6">
        <v>14</v>
      </c>
      <c r="S3034" s="6">
        <v>1801107</v>
      </c>
      <c r="T3034" s="6" t="str">
        <f>INDEX(医院2县区2人!$D$2:$D$1048576,MATCH(L3034,医院2县区2人!$A$2:$A$1048576,0))</f>
        <v>201602151421097</v>
      </c>
      <c r="W3034" s="6" t="str">
        <f t="shared" si="97"/>
        <v>哈药牌钙铁锌口服液10ml*10支</v>
      </c>
      <c r="X3034" s="6" t="s">
        <v>2879</v>
      </c>
    </row>
    <row r="3035" spans="1:24" x14ac:dyDescent="0.15">
      <c r="A3035" s="7" t="str">
        <f t="shared" si="98"/>
        <v>201806</v>
      </c>
      <c r="C3035" s="6" t="str">
        <f>INDEX(工厂基础数据!$A$2:$A$1024,MATCH(X3035,工厂基础数据!$D$2:$D$1024,0))</f>
        <v>02010326</v>
      </c>
      <c r="E3035" s="6" t="str">
        <f>INDEX(工厂基础数据!$B$2:$B$1024,MATCH(X3035,工厂基础数据!$D$2:$D$1024,0))</f>
        <v>山东福华医药有限公司</v>
      </c>
      <c r="F3035" s="6">
        <f>INDEX(商业2转码!$B$2:$B$10000,MATCH(E3035,商业2转码!$A$2:$A$10000,0))</f>
        <v>0</v>
      </c>
      <c r="G3035" s="6" t="str">
        <f>INDEX(品种2编码!$A$2:$A$1048576,MATCH(W3035,品种2编码!$D$2:$D$1048576,0))</f>
        <v>0020070001ZYZC0383</v>
      </c>
      <c r="H3035" s="6" t="s">
        <v>1849</v>
      </c>
      <c r="I3035" s="6" t="s">
        <v>1850</v>
      </c>
      <c r="J3035" s="6" t="s">
        <v>3038</v>
      </c>
      <c r="L3035" s="6" t="s">
        <v>2843</v>
      </c>
      <c r="M3035" s="6">
        <f>INDEX(医院2县区2人!$B$2:$B$1048576,MATCH(L3035,医院2县区2人!$A$2:$A$1048576,0))</f>
        <v>2</v>
      </c>
      <c r="N3035" s="6" t="str">
        <f>INDEX(医院2县区2人!$C$2:$C$1048576,MATCH(L3035,医院2县区2人!$A$2:$A$1048576,0))</f>
        <v>1859</v>
      </c>
      <c r="P3035" s="7">
        <v>43266</v>
      </c>
      <c r="Q3035" s="6">
        <v>30</v>
      </c>
      <c r="R3035" s="6">
        <v>14</v>
      </c>
      <c r="S3035" s="6">
        <v>1801107</v>
      </c>
      <c r="T3035" s="6" t="str">
        <f>INDEX(医院2县区2人!$D$2:$D$1048576,MATCH(L3035,医院2县区2人!$A$2:$A$1048576,0))</f>
        <v>201602151421097</v>
      </c>
      <c r="W3035" s="6" t="str">
        <f t="shared" si="97"/>
        <v>哈药牌钙铁锌口服液10ml*10支</v>
      </c>
      <c r="X3035" s="6" t="s">
        <v>2879</v>
      </c>
    </row>
    <row r="3036" spans="1:24" x14ac:dyDescent="0.15">
      <c r="A3036" s="7" t="str">
        <f t="shared" si="98"/>
        <v>201806</v>
      </c>
      <c r="C3036" s="6" t="str">
        <f>INDEX(工厂基础数据!$A$2:$A$1024,MATCH(X3036,工厂基础数据!$D$2:$D$1024,0))</f>
        <v>02010326</v>
      </c>
      <c r="E3036" s="6" t="str">
        <f>INDEX(工厂基础数据!$B$2:$B$1024,MATCH(X3036,工厂基础数据!$D$2:$D$1024,0))</f>
        <v>山东福华医药有限公司</v>
      </c>
      <c r="F3036" s="6">
        <f>INDEX(商业2转码!$B$2:$B$10000,MATCH(E3036,商业2转码!$A$2:$A$10000,0))</f>
        <v>0</v>
      </c>
      <c r="G3036" s="6" t="str">
        <f>INDEX(品种2编码!$A$2:$A$1048576,MATCH(W3036,品种2编码!$D$2:$D$1048576,0))</f>
        <v>0020070000ZYLC0001</v>
      </c>
      <c r="H3036" s="6" t="s">
        <v>1837</v>
      </c>
      <c r="I3036" s="6" t="s">
        <v>1838</v>
      </c>
      <c r="J3036" s="6" t="s">
        <v>3036</v>
      </c>
      <c r="L3036" s="6" t="s">
        <v>2092</v>
      </c>
      <c r="M3036" s="6">
        <f>INDEX(医院2县区2人!$B$2:$B$1048576,MATCH(L3036,医院2县区2人!$A$2:$A$1048576,0))</f>
        <v>1</v>
      </c>
      <c r="N3036" s="6" t="str">
        <f>INDEX(医院2县区2人!$C$2:$C$1048576,MATCH(L3036,医院2县区2人!$A$2:$A$1048576,0))</f>
        <v>1859</v>
      </c>
      <c r="P3036" s="7">
        <v>43266</v>
      </c>
      <c r="Q3036" s="6">
        <v>5</v>
      </c>
      <c r="R3036" s="6">
        <v>23.04</v>
      </c>
      <c r="S3036" s="6">
        <v>180104</v>
      </c>
      <c r="T3036" s="6" t="str">
        <f>INDEX(医院2县区2人!$D$2:$D$1048576,MATCH(L3036,医院2县区2人!$A$2:$A$1048576,0))</f>
        <v>201602151421097</v>
      </c>
      <c r="W3036" s="6" t="str">
        <f t="shared" si="97"/>
        <v>新盖中盖高钙片(成人)/盖中盖2.5g*36片</v>
      </c>
      <c r="X3036" s="6" t="s">
        <v>2879</v>
      </c>
    </row>
    <row r="3037" spans="1:24" x14ac:dyDescent="0.15">
      <c r="A3037" s="7" t="str">
        <f t="shared" si="98"/>
        <v>201806</v>
      </c>
      <c r="C3037" s="6" t="str">
        <f>INDEX(工厂基础数据!$A$2:$A$1024,MATCH(X3037,工厂基础数据!$D$2:$D$1024,0))</f>
        <v>02010326</v>
      </c>
      <c r="E3037" s="6" t="str">
        <f>INDEX(工厂基础数据!$B$2:$B$1024,MATCH(X3037,工厂基础数据!$D$2:$D$1024,0))</f>
        <v>山东福华医药有限公司</v>
      </c>
      <c r="F3037" s="6">
        <f>INDEX(商业2转码!$B$2:$B$10000,MATCH(E3037,商业2转码!$A$2:$A$10000,0))</f>
        <v>0</v>
      </c>
      <c r="G3037" s="6" t="str">
        <f>INDEX(品种2编码!$A$2:$A$1048576,MATCH(W3037,品种2编码!$D$2:$D$1048576,0))</f>
        <v>0020070000ZYLC0001</v>
      </c>
      <c r="H3037" s="6" t="s">
        <v>1837</v>
      </c>
      <c r="I3037" s="6" t="s">
        <v>1838</v>
      </c>
      <c r="J3037" s="6" t="s">
        <v>3036</v>
      </c>
      <c r="L3037" s="6" t="s">
        <v>2088</v>
      </c>
      <c r="M3037" s="6">
        <f>INDEX(医院2县区2人!$B$2:$B$1048576,MATCH(L3037,医院2县区2人!$A$2:$A$1048576,0))</f>
        <v>1</v>
      </c>
      <c r="N3037" s="6" t="str">
        <f>INDEX(医院2县区2人!$C$2:$C$1048576,MATCH(L3037,医院2县区2人!$A$2:$A$1048576,0))</f>
        <v>1859</v>
      </c>
      <c r="P3037" s="7">
        <v>43266</v>
      </c>
      <c r="Q3037" s="6">
        <v>2</v>
      </c>
      <c r="R3037" s="6">
        <v>23.04</v>
      </c>
      <c r="S3037" s="6">
        <v>180104</v>
      </c>
      <c r="T3037" s="6" t="str">
        <f>INDEX(医院2县区2人!$D$2:$D$1048576,MATCH(L3037,医院2县区2人!$A$2:$A$1048576,0))</f>
        <v>201602151421097</v>
      </c>
      <c r="W3037" s="6" t="str">
        <f t="shared" si="97"/>
        <v>新盖中盖高钙片(成人)/盖中盖2.5g*36片</v>
      </c>
      <c r="X3037" s="6" t="s">
        <v>2879</v>
      </c>
    </row>
    <row r="3038" spans="1:24" x14ac:dyDescent="0.15">
      <c r="A3038" s="7" t="str">
        <f t="shared" si="98"/>
        <v>201806</v>
      </c>
      <c r="C3038" s="6" t="str">
        <f>INDEX(工厂基础数据!$A$2:$A$1024,MATCH(X3038,工厂基础数据!$D$2:$D$1024,0))</f>
        <v>02010326</v>
      </c>
      <c r="E3038" s="6" t="str">
        <f>INDEX(工厂基础数据!$B$2:$B$1024,MATCH(X3038,工厂基础数据!$D$2:$D$1024,0))</f>
        <v>山东福华医药有限公司</v>
      </c>
      <c r="F3038" s="6">
        <f>INDEX(商业2转码!$B$2:$B$10000,MATCH(E3038,商业2转码!$A$2:$A$10000,0))</f>
        <v>0</v>
      </c>
      <c r="G3038" s="6" t="str">
        <f>INDEX(品种2编码!$A$2:$A$1048576,MATCH(W3038,品种2编码!$D$2:$D$1048576,0))</f>
        <v>0020050001SHYT0003</v>
      </c>
      <c r="H3038" s="6" t="s">
        <v>1875</v>
      </c>
      <c r="I3038" s="6" t="s">
        <v>444</v>
      </c>
      <c r="J3038" s="6" t="s">
        <v>3037</v>
      </c>
      <c r="L3038" s="6" t="s">
        <v>2085</v>
      </c>
      <c r="M3038" s="6">
        <f>INDEX(医院2县区2人!$B$2:$B$1048576,MATCH(L3038,医院2县区2人!$A$2:$A$1048576,0))</f>
        <v>1</v>
      </c>
      <c r="N3038" s="6" t="str">
        <f>INDEX(医院2县区2人!$C$2:$C$1048576,MATCH(L3038,医院2县区2人!$A$2:$A$1048576,0))</f>
        <v>1859</v>
      </c>
      <c r="P3038" s="7">
        <v>43266</v>
      </c>
      <c r="Q3038" s="6">
        <v>3</v>
      </c>
      <c r="R3038" s="6">
        <v>6.76</v>
      </c>
      <c r="S3038" s="6">
        <v>1606114</v>
      </c>
      <c r="T3038" s="6" t="str">
        <f>INDEX(医院2县区2人!$D$2:$D$1048576,MATCH(L3038,医院2县区2人!$A$2:$A$1048576,0))</f>
        <v>201602151421097</v>
      </c>
      <c r="W3038" s="6" t="str">
        <f t="shared" si="97"/>
        <v>益母丸9g*10丸</v>
      </c>
      <c r="X3038" s="6" t="s">
        <v>2879</v>
      </c>
    </row>
    <row r="3039" spans="1:24" x14ac:dyDescent="0.15">
      <c r="A3039" s="7" t="str">
        <f t="shared" si="98"/>
        <v>201806</v>
      </c>
      <c r="C3039" s="6" t="str">
        <f>INDEX(工厂基础数据!$A$2:$A$1024,MATCH(X3039,工厂基础数据!$D$2:$D$1024,0))</f>
        <v>02010326</v>
      </c>
      <c r="E3039" s="6" t="str">
        <f>INDEX(工厂基础数据!$B$2:$B$1024,MATCH(X3039,工厂基础数据!$D$2:$D$1024,0))</f>
        <v>山东福华医药有限公司</v>
      </c>
      <c r="F3039" s="6">
        <f>INDEX(商业2转码!$B$2:$B$10000,MATCH(E3039,商业2转码!$A$2:$A$10000,0))</f>
        <v>0</v>
      </c>
      <c r="G3039" s="6" t="str">
        <f>INDEX(品种2编码!$A$2:$A$1048576,MATCH(W3039,品种2编码!$D$2:$D$1048576,0))</f>
        <v>0020030001SJZY0006</v>
      </c>
      <c r="H3039" s="6" t="s">
        <v>1833</v>
      </c>
      <c r="I3039" s="6" t="s">
        <v>411</v>
      </c>
      <c r="J3039" s="6" t="s">
        <v>3044</v>
      </c>
      <c r="L3039" s="6" t="s">
        <v>2775</v>
      </c>
      <c r="M3039" s="6">
        <f>INDEX(医院2县区2人!$B$2:$B$1048576,MATCH(L3039,医院2县区2人!$A$2:$A$1048576,0))</f>
        <v>2</v>
      </c>
      <c r="N3039" s="6" t="str">
        <f>INDEX(医院2县区2人!$C$2:$C$1048576,MATCH(L3039,医院2县区2人!$A$2:$A$1048576,0))</f>
        <v>1859</v>
      </c>
      <c r="P3039" s="7">
        <v>43266</v>
      </c>
      <c r="Q3039" s="6">
        <v>5</v>
      </c>
      <c r="R3039" s="6">
        <v>22.3</v>
      </c>
      <c r="S3039" s="6">
        <v>18030842</v>
      </c>
      <c r="T3039" s="6" t="str">
        <f>INDEX(医院2县区2人!$D$2:$D$1048576,MATCH(L3039,医院2县区2人!$A$2:$A$1048576,0))</f>
        <v>201602151421097</v>
      </c>
      <c r="W3039" s="6" t="str">
        <f t="shared" si="97"/>
        <v>葡萄糖酸钙口服溶液10ml*12支</v>
      </c>
      <c r="X3039" s="6" t="s">
        <v>2879</v>
      </c>
    </row>
    <row r="3040" spans="1:24" x14ac:dyDescent="0.15">
      <c r="A3040" s="7" t="str">
        <f t="shared" si="98"/>
        <v>201806</v>
      </c>
      <c r="C3040" s="6" t="str">
        <f>INDEX(工厂基础数据!$A$2:$A$1024,MATCH(X3040,工厂基础数据!$D$2:$D$1024,0))</f>
        <v>02010326</v>
      </c>
      <c r="E3040" s="6" t="str">
        <f>INDEX(工厂基础数据!$B$2:$B$1024,MATCH(X3040,工厂基础数据!$D$2:$D$1024,0))</f>
        <v>山东福华医药有限公司</v>
      </c>
      <c r="F3040" s="6">
        <f>INDEX(商业2转码!$B$2:$B$10000,MATCH(E3040,商业2转码!$A$2:$A$10000,0))</f>
        <v>0</v>
      </c>
      <c r="G3040" s="6" t="str">
        <f>INDEX(品种2编码!$A$2:$A$1048576,MATCH(W3040,品种2编码!$D$2:$D$1048576,0))</f>
        <v>0020030001SJZY0009</v>
      </c>
      <c r="H3040" s="6" t="s">
        <v>555</v>
      </c>
      <c r="I3040" s="6" t="s">
        <v>411</v>
      </c>
      <c r="J3040" s="6" t="s">
        <v>3785</v>
      </c>
      <c r="L3040" s="6" t="s">
        <v>3776</v>
      </c>
      <c r="M3040" s="6" t="e">
        <f>INDEX(医院2县区2人!$B$2:$B$1048576,MATCH(L3040,医院2县区2人!$A$2:$A$1048576,0))</f>
        <v>#N/A</v>
      </c>
      <c r="N3040" s="6" t="e">
        <f>INDEX(医院2县区2人!$C$2:$C$1048576,MATCH(L3040,医院2县区2人!$A$2:$A$1048576,0))</f>
        <v>#N/A</v>
      </c>
      <c r="P3040" s="7">
        <v>43265</v>
      </c>
      <c r="Q3040" s="6">
        <v>6</v>
      </c>
      <c r="R3040" s="6">
        <v>23.5</v>
      </c>
      <c r="S3040" s="6">
        <v>18031227</v>
      </c>
      <c r="T3040" s="6" t="e">
        <f>INDEX(医院2县区2人!$D$2:$D$1048576,MATCH(L3040,医院2县区2人!$A$2:$A$1048576,0))</f>
        <v>#N/A</v>
      </c>
      <c r="W3040" s="6" t="str">
        <f t="shared" si="97"/>
        <v>葡萄糖酸锌口服液10ml*12支</v>
      </c>
      <c r="X3040" s="6" t="s">
        <v>2879</v>
      </c>
    </row>
    <row r="3041" spans="1:24" x14ac:dyDescent="0.15">
      <c r="A3041" s="7" t="str">
        <f t="shared" si="98"/>
        <v>201806</v>
      </c>
      <c r="C3041" s="6" t="str">
        <f>INDEX(工厂基础数据!$A$2:$A$1024,MATCH(X3041,工厂基础数据!$D$2:$D$1024,0))</f>
        <v>02010326</v>
      </c>
      <c r="E3041" s="6" t="str">
        <f>INDEX(工厂基础数据!$B$2:$B$1024,MATCH(X3041,工厂基础数据!$D$2:$D$1024,0))</f>
        <v>山东福华医药有限公司</v>
      </c>
      <c r="F3041" s="6">
        <f>INDEX(商业2转码!$B$2:$B$10000,MATCH(E3041,商业2转码!$A$2:$A$10000,0))</f>
        <v>0</v>
      </c>
      <c r="G3041" s="6" t="str">
        <f>INDEX(品种2编码!$A$2:$A$1048576,MATCH(W3041,品种2编码!$D$2:$D$1048576,0))</f>
        <v>0020020030ZYZC0510</v>
      </c>
      <c r="H3041" s="6" t="s">
        <v>543</v>
      </c>
      <c r="I3041" s="6" t="s">
        <v>1834</v>
      </c>
      <c r="J3041" s="6" t="s">
        <v>3038</v>
      </c>
      <c r="L3041" s="6" t="s">
        <v>3777</v>
      </c>
      <c r="M3041" s="6" t="e">
        <f>INDEX(医院2县区2人!$B$2:$B$1048576,MATCH(L3041,医院2县区2人!$A$2:$A$1048576,0))</f>
        <v>#N/A</v>
      </c>
      <c r="N3041" s="6" t="e">
        <f>INDEX(医院2县区2人!$C$2:$C$1048576,MATCH(L3041,医院2县区2人!$A$2:$A$1048576,0))</f>
        <v>#N/A</v>
      </c>
      <c r="P3041" s="7">
        <v>43265</v>
      </c>
      <c r="Q3041" s="6">
        <v>20</v>
      </c>
      <c r="R3041" s="6">
        <v>2.95</v>
      </c>
      <c r="S3041" s="6" t="s">
        <v>3789</v>
      </c>
      <c r="T3041" s="6" t="e">
        <f>INDEX(医院2县区2人!$D$2:$D$1048576,MATCH(L3041,医院2县区2人!$A$2:$A$1048576,0))</f>
        <v>#N/A</v>
      </c>
      <c r="W3041" s="6" t="str">
        <f t="shared" si="97"/>
        <v>诺氟沙星胶囊0.1g*20粒</v>
      </c>
      <c r="X3041" s="6" t="s">
        <v>2879</v>
      </c>
    </row>
    <row r="3042" spans="1:24" x14ac:dyDescent="0.15">
      <c r="A3042" s="7" t="str">
        <f t="shared" si="98"/>
        <v>201806</v>
      </c>
      <c r="C3042" s="6" t="str">
        <f>INDEX(工厂基础数据!$A$2:$A$1024,MATCH(X3042,工厂基础数据!$D$2:$D$1024,0))</f>
        <v>02010326</v>
      </c>
      <c r="E3042" s="6" t="str">
        <f>INDEX(工厂基础数据!$B$2:$B$1024,MATCH(X3042,工厂基础数据!$D$2:$D$1024,0))</f>
        <v>山东福华医药有限公司</v>
      </c>
      <c r="F3042" s="6">
        <f>INDEX(商业2转码!$B$2:$B$10000,MATCH(E3042,商业2转码!$A$2:$A$10000,0))</f>
        <v>0</v>
      </c>
      <c r="G3042" s="6" t="str">
        <f>INDEX(品种2编码!$A$2:$A$1048576,MATCH(W3042,品种2编码!$D$2:$D$1048576,0))</f>
        <v>0020030040ZYLC0001</v>
      </c>
      <c r="H3042" s="6" t="s">
        <v>1852</v>
      </c>
      <c r="I3042" s="6" t="s">
        <v>1853</v>
      </c>
      <c r="J3042" s="6" t="s">
        <v>3036</v>
      </c>
      <c r="L3042" s="6" t="s">
        <v>2095</v>
      </c>
      <c r="M3042" s="6">
        <f>INDEX(医院2县区2人!$B$2:$B$1048576,MATCH(L3042,医院2县区2人!$A$2:$A$1048576,0))</f>
        <v>2</v>
      </c>
      <c r="N3042" s="6" t="str">
        <f>INDEX(医院2县区2人!$C$2:$C$1048576,MATCH(L3042,医院2县区2人!$A$2:$A$1048576,0))</f>
        <v>1859</v>
      </c>
      <c r="P3042" s="7">
        <v>43265</v>
      </c>
      <c r="Q3042" s="6">
        <v>10</v>
      </c>
      <c r="R3042" s="6">
        <v>8.3000000000000007</v>
      </c>
      <c r="S3042" s="6">
        <v>170533</v>
      </c>
      <c r="T3042" s="6" t="str">
        <f>INDEX(医院2县区2人!$D$2:$D$1048576,MATCH(L3042,医院2县区2人!$A$2:$A$1048576,0))</f>
        <v>201602151421097</v>
      </c>
      <c r="W3042" s="6" t="str">
        <f t="shared" si="97"/>
        <v>小儿氨酚黄那敏颗粒/护彤2g*12袋</v>
      </c>
      <c r="X3042" s="6" t="s">
        <v>2879</v>
      </c>
    </row>
    <row r="3043" spans="1:24" x14ac:dyDescent="0.15">
      <c r="A3043" s="7" t="str">
        <f t="shared" si="98"/>
        <v>201806</v>
      </c>
      <c r="C3043" s="6" t="str">
        <f>INDEX(工厂基础数据!$A$2:$A$1024,MATCH(X3043,工厂基础数据!$D$2:$D$1024,0))</f>
        <v>02010326</v>
      </c>
      <c r="E3043" s="6" t="str">
        <f>INDEX(工厂基础数据!$B$2:$B$1024,MATCH(X3043,工厂基础数据!$D$2:$D$1024,0))</f>
        <v>山东福华医药有限公司</v>
      </c>
      <c r="F3043" s="6">
        <f>INDEX(商业2转码!$B$2:$B$10000,MATCH(E3043,商业2转码!$A$2:$A$10000,0))</f>
        <v>0</v>
      </c>
      <c r="G3043" s="6" t="str">
        <f>INDEX(品种2编码!$A$2:$A$1048576,MATCH(W3043,品种2编码!$D$2:$D$1048576,0))</f>
        <v>0020030040ZYLC0001</v>
      </c>
      <c r="H3043" s="6" t="s">
        <v>1852</v>
      </c>
      <c r="I3043" s="6" t="s">
        <v>1853</v>
      </c>
      <c r="J3043" s="6" t="s">
        <v>3036</v>
      </c>
      <c r="L3043" s="6" t="s">
        <v>2109</v>
      </c>
      <c r="M3043" s="6">
        <f>INDEX(医院2县区2人!$B$2:$B$1048576,MATCH(L3043,医院2县区2人!$A$2:$A$1048576,0))</f>
        <v>1</v>
      </c>
      <c r="N3043" s="6" t="str">
        <f>INDEX(医院2县区2人!$C$2:$C$1048576,MATCH(L3043,医院2县区2人!$A$2:$A$1048576,0))</f>
        <v>1859</v>
      </c>
      <c r="P3043" s="7">
        <v>43265</v>
      </c>
      <c r="Q3043" s="6">
        <v>1</v>
      </c>
      <c r="R3043" s="6">
        <v>8.3000000000000007</v>
      </c>
      <c r="S3043" s="6">
        <v>170533</v>
      </c>
      <c r="T3043" s="6" t="str">
        <f>INDEX(医院2县区2人!$D$2:$D$1048576,MATCH(L3043,医院2县区2人!$A$2:$A$1048576,0))</f>
        <v>201602151421097</v>
      </c>
      <c r="W3043" s="6" t="str">
        <f t="shared" si="97"/>
        <v>小儿氨酚黄那敏颗粒/护彤2g*12袋</v>
      </c>
      <c r="X3043" s="6" t="s">
        <v>2879</v>
      </c>
    </row>
    <row r="3044" spans="1:24" x14ac:dyDescent="0.15">
      <c r="A3044" s="7" t="str">
        <f t="shared" si="98"/>
        <v>201806</v>
      </c>
      <c r="C3044" s="6" t="str">
        <f>INDEX(工厂基础数据!$A$2:$A$1024,MATCH(X3044,工厂基础数据!$D$2:$D$1024,0))</f>
        <v>02010326</v>
      </c>
      <c r="E3044" s="6" t="str">
        <f>INDEX(工厂基础数据!$B$2:$B$1024,MATCH(X3044,工厂基础数据!$D$2:$D$1024,0))</f>
        <v>山东福华医药有限公司</v>
      </c>
      <c r="F3044" s="6">
        <f>INDEX(商业2转码!$B$2:$B$10000,MATCH(E3044,商业2转码!$A$2:$A$10000,0))</f>
        <v>0</v>
      </c>
      <c r="G3044" s="6" t="str">
        <f>INDEX(品种2编码!$A$2:$A$1048576,MATCH(W3044,品种2编码!$D$2:$D$1048576,0))</f>
        <v>0020020030ZYZC0510</v>
      </c>
      <c r="H3044" s="6" t="s">
        <v>543</v>
      </c>
      <c r="I3044" s="6" t="s">
        <v>1834</v>
      </c>
      <c r="J3044" s="6" t="s">
        <v>3038</v>
      </c>
      <c r="L3044" s="6" t="s">
        <v>2111</v>
      </c>
      <c r="M3044" s="6">
        <f>INDEX(医院2县区2人!$B$2:$B$1048576,MATCH(L3044,医院2县区2人!$A$2:$A$1048576,0))</f>
        <v>2</v>
      </c>
      <c r="N3044" s="6" t="str">
        <f>INDEX(医院2县区2人!$C$2:$C$1048576,MATCH(L3044,医院2县区2人!$A$2:$A$1048576,0))</f>
        <v>1859</v>
      </c>
      <c r="P3044" s="7">
        <v>43265</v>
      </c>
      <c r="Q3044" s="6">
        <v>50</v>
      </c>
      <c r="R3044" s="6">
        <v>2.95</v>
      </c>
      <c r="S3044" s="6" t="s">
        <v>3789</v>
      </c>
      <c r="T3044" s="6" t="str">
        <f>INDEX(医院2县区2人!$D$2:$D$1048576,MATCH(L3044,医院2县区2人!$A$2:$A$1048576,0))</f>
        <v>201602151421097</v>
      </c>
      <c r="W3044" s="6" t="str">
        <f t="shared" si="97"/>
        <v>诺氟沙星胶囊0.1g*20粒</v>
      </c>
      <c r="X3044" s="6" t="s">
        <v>2879</v>
      </c>
    </row>
    <row r="3045" spans="1:24" x14ac:dyDescent="0.15">
      <c r="A3045" s="7" t="str">
        <f t="shared" si="98"/>
        <v>201806</v>
      </c>
      <c r="C3045" s="6" t="str">
        <f>INDEX(工厂基础数据!$A$2:$A$1024,MATCH(X3045,工厂基础数据!$D$2:$D$1024,0))</f>
        <v>02010326</v>
      </c>
      <c r="E3045" s="6" t="str">
        <f>INDEX(工厂基础数据!$B$2:$B$1024,MATCH(X3045,工厂基础数据!$D$2:$D$1024,0))</f>
        <v>山东福华医药有限公司</v>
      </c>
      <c r="F3045" s="6">
        <f>INDEX(商业2转码!$B$2:$B$10000,MATCH(E3045,商业2转码!$A$2:$A$10000,0))</f>
        <v>0</v>
      </c>
      <c r="G3045" s="6" t="str">
        <f>INDEX(品种2编码!$A$2:$A$1048576,MATCH(W3045,品种2编码!$D$2:$D$1048576,0))</f>
        <v>0020030040SHYT0010</v>
      </c>
      <c r="H3045" s="6" t="s">
        <v>1847</v>
      </c>
      <c r="I3045" s="6" t="s">
        <v>1848</v>
      </c>
      <c r="J3045" s="6" t="s">
        <v>3037</v>
      </c>
      <c r="L3045" s="6" t="s">
        <v>2109</v>
      </c>
      <c r="M3045" s="6">
        <f>INDEX(医院2县区2人!$B$2:$B$1048576,MATCH(L3045,医院2县区2人!$A$2:$A$1048576,0))</f>
        <v>1</v>
      </c>
      <c r="N3045" s="6" t="str">
        <f>INDEX(医院2县区2人!$C$2:$C$1048576,MATCH(L3045,医院2县区2人!$A$2:$A$1048576,0))</f>
        <v>1859</v>
      </c>
      <c r="P3045" s="7">
        <v>43265</v>
      </c>
      <c r="Q3045" s="6">
        <v>1</v>
      </c>
      <c r="R3045" s="6">
        <v>12.5</v>
      </c>
      <c r="S3045" s="6">
        <v>1611616</v>
      </c>
      <c r="T3045" s="6" t="str">
        <f>INDEX(医院2县区2人!$D$2:$D$1048576,MATCH(L3045,医院2县区2人!$A$2:$A$1048576,0))</f>
        <v>201602151421097</v>
      </c>
      <c r="W3045" s="6" t="str">
        <f t="shared" si="97"/>
        <v>布洛芬颗粒/小安瑞克0.2g*12袋</v>
      </c>
      <c r="X3045" s="6" t="s">
        <v>2879</v>
      </c>
    </row>
    <row r="3046" spans="1:24" x14ac:dyDescent="0.15">
      <c r="A3046" s="7" t="str">
        <f t="shared" si="98"/>
        <v>201806</v>
      </c>
      <c r="C3046" s="6" t="str">
        <f>INDEX(工厂基础数据!$A$2:$A$1024,MATCH(X3046,工厂基础数据!$D$2:$D$1024,0))</f>
        <v>02010326</v>
      </c>
      <c r="E3046" s="6" t="str">
        <f>INDEX(工厂基础数据!$B$2:$B$1024,MATCH(X3046,工厂基础数据!$D$2:$D$1024,0))</f>
        <v>山东福华医药有限公司</v>
      </c>
      <c r="F3046" s="6">
        <f>INDEX(商业2转码!$B$2:$B$10000,MATCH(E3046,商业2转码!$A$2:$A$10000,0))</f>
        <v>0</v>
      </c>
      <c r="G3046" s="6" t="str">
        <f>INDEX(品种2编码!$A$2:$A$1048576,MATCH(W3046,品种2编码!$D$2:$D$1048576,0))</f>
        <v>0020050090ZYEC0005</v>
      </c>
      <c r="H3046" s="6" t="s">
        <v>581</v>
      </c>
      <c r="I3046" s="6" t="s">
        <v>1850</v>
      </c>
      <c r="J3046" s="6" t="s">
        <v>3041</v>
      </c>
      <c r="L3046" s="6" t="s">
        <v>2109</v>
      </c>
      <c r="M3046" s="6">
        <f>INDEX(医院2县区2人!$B$2:$B$1048576,MATCH(L3046,医院2县区2人!$A$2:$A$1048576,0))</f>
        <v>1</v>
      </c>
      <c r="N3046" s="6" t="str">
        <f>INDEX(医院2县区2人!$C$2:$C$1048576,MATCH(L3046,医院2县区2人!$A$2:$A$1048576,0))</f>
        <v>1859</v>
      </c>
      <c r="P3046" s="7">
        <v>43265</v>
      </c>
      <c r="Q3046" s="6">
        <v>1</v>
      </c>
      <c r="R3046" s="6">
        <v>13.8</v>
      </c>
      <c r="S3046" s="6">
        <v>180201</v>
      </c>
      <c r="T3046" s="6" t="str">
        <f>INDEX(医院2县区2人!$D$2:$D$1048576,MATCH(L3046,医院2县区2人!$A$2:$A$1048576,0))</f>
        <v>201602151421097</v>
      </c>
      <c r="W3046" s="6" t="str">
        <f t="shared" si="97"/>
        <v>清热解毒口服液10ml*10支</v>
      </c>
      <c r="X3046" s="6" t="s">
        <v>2879</v>
      </c>
    </row>
    <row r="3047" spans="1:24" x14ac:dyDescent="0.15">
      <c r="A3047" s="7" t="str">
        <f t="shared" si="98"/>
        <v>201806</v>
      </c>
      <c r="C3047" s="6" t="str">
        <f>INDEX(工厂基础数据!$A$2:$A$1024,MATCH(X3047,工厂基础数据!$D$2:$D$1024,0))</f>
        <v>02010326</v>
      </c>
      <c r="E3047" s="6" t="str">
        <f>INDEX(工厂基础数据!$B$2:$B$1024,MATCH(X3047,工厂基础数据!$D$2:$D$1024,0))</f>
        <v>山东福华医药有限公司</v>
      </c>
      <c r="F3047" s="6">
        <f>INDEX(商业2转码!$B$2:$B$10000,MATCH(E3047,商业2转码!$A$2:$A$10000,0))</f>
        <v>0</v>
      </c>
      <c r="G3047" s="6" t="str">
        <f>INDEX(品种2编码!$A$2:$A$1048576,MATCH(W3047,品种2编码!$D$2:$D$1048576,0))</f>
        <v>0020030040SJET0003</v>
      </c>
      <c r="H3047" s="6" t="s">
        <v>306</v>
      </c>
      <c r="I3047" s="6" t="s">
        <v>1874</v>
      </c>
      <c r="J3047" s="6" t="s">
        <v>3786</v>
      </c>
      <c r="L3047" s="6" t="s">
        <v>2057</v>
      </c>
      <c r="M3047" s="6">
        <f>INDEX(医院2县区2人!$B$2:$B$1048576,MATCH(L3047,医院2县区2人!$A$2:$A$1048576,0))</f>
        <v>1</v>
      </c>
      <c r="N3047" s="6" t="str">
        <f>INDEX(医院2县区2人!$C$2:$C$1048576,MATCH(L3047,医院2县区2人!$A$2:$A$1048576,0))</f>
        <v>1859</v>
      </c>
      <c r="P3047" s="7">
        <v>43265</v>
      </c>
      <c r="Q3047" s="6">
        <v>7</v>
      </c>
      <c r="R3047" s="6">
        <v>8.64</v>
      </c>
      <c r="S3047" s="6">
        <v>180101</v>
      </c>
      <c r="T3047" s="6" t="str">
        <f>INDEX(医院2县区2人!$D$2:$D$1048576,MATCH(L3047,医院2县区2人!$A$2:$A$1048576,0))</f>
        <v>201602151421097</v>
      </c>
      <c r="W3047" s="6" t="str">
        <f t="shared" si="97"/>
        <v>氨金黄敏颗粒6g*10袋</v>
      </c>
      <c r="X3047" s="6" t="s">
        <v>2879</v>
      </c>
    </row>
    <row r="3048" spans="1:24" x14ac:dyDescent="0.15">
      <c r="A3048" s="7" t="str">
        <f t="shared" si="98"/>
        <v>201806</v>
      </c>
      <c r="C3048" s="6" t="str">
        <f>INDEX(工厂基础数据!$A$2:$A$1024,MATCH(X3048,工厂基础数据!$D$2:$D$1024,0))</f>
        <v>02010326</v>
      </c>
      <c r="E3048" s="6" t="str">
        <f>INDEX(工厂基础数据!$B$2:$B$1024,MATCH(X3048,工厂基础数据!$D$2:$D$1024,0))</f>
        <v>山东福华医药有限公司</v>
      </c>
      <c r="F3048" s="6">
        <f>INDEX(商业2转码!$B$2:$B$10000,MATCH(E3048,商业2转码!$A$2:$A$10000,0))</f>
        <v>0</v>
      </c>
      <c r="G3048" s="6" t="str">
        <f>INDEX(品种2编码!$A$2:$A$1048576,MATCH(W3048,品种2编码!$D$2:$D$1048576,0))</f>
        <v>0020040020SHYT0007</v>
      </c>
      <c r="H3048" s="6" t="s">
        <v>338</v>
      </c>
      <c r="I3048" s="6" t="s">
        <v>1866</v>
      </c>
      <c r="J3048" s="6" t="s">
        <v>3037</v>
      </c>
      <c r="L3048" s="6" t="s">
        <v>2057</v>
      </c>
      <c r="M3048" s="6">
        <f>INDEX(医院2县区2人!$B$2:$B$1048576,MATCH(L3048,医院2县区2人!$A$2:$A$1048576,0))</f>
        <v>1</v>
      </c>
      <c r="N3048" s="6" t="str">
        <f>INDEX(医院2县区2人!$C$2:$C$1048576,MATCH(L3048,医院2县区2人!$A$2:$A$1048576,0))</f>
        <v>1859</v>
      </c>
      <c r="P3048" s="7">
        <v>43265</v>
      </c>
      <c r="Q3048" s="6">
        <v>2</v>
      </c>
      <c r="R3048" s="6">
        <v>17.760000000000002</v>
      </c>
      <c r="S3048" s="6">
        <v>1707501</v>
      </c>
      <c r="T3048" s="6" t="str">
        <f>INDEX(医院2县区2人!$D$2:$D$1048576,MATCH(L3048,医院2县区2人!$A$2:$A$1048576,0))</f>
        <v>201602151421097</v>
      </c>
      <c r="W3048" s="6" t="str">
        <f t="shared" si="97"/>
        <v>丹佛胃尔康颗粒10g*6袋</v>
      </c>
      <c r="X3048" s="6" t="s">
        <v>2879</v>
      </c>
    </row>
    <row r="3049" spans="1:24" x14ac:dyDescent="0.15">
      <c r="A3049" s="7" t="str">
        <f t="shared" si="98"/>
        <v>201806</v>
      </c>
      <c r="C3049" s="6" t="str">
        <f>INDEX(工厂基础数据!$A$2:$A$1024,MATCH(X3049,工厂基础数据!$D$2:$D$1024,0))</f>
        <v>02010326</v>
      </c>
      <c r="E3049" s="6" t="str">
        <f>INDEX(工厂基础数据!$B$2:$B$1024,MATCH(X3049,工厂基础数据!$D$2:$D$1024,0))</f>
        <v>山东福华医药有限公司</v>
      </c>
      <c r="F3049" s="6">
        <f>INDEX(商业2转码!$B$2:$B$10000,MATCH(E3049,商业2转码!$A$2:$A$10000,0))</f>
        <v>0</v>
      </c>
      <c r="G3049" s="6" t="str">
        <f>INDEX(品种2编码!$A$2:$A$1048576,MATCH(W3049,品种2编码!$D$2:$D$1048576,0))</f>
        <v>0020070001ZYZC0383</v>
      </c>
      <c r="H3049" s="6" t="s">
        <v>1849</v>
      </c>
      <c r="I3049" s="6" t="s">
        <v>1850</v>
      </c>
      <c r="J3049" s="6" t="s">
        <v>3038</v>
      </c>
      <c r="L3049" s="6" t="s">
        <v>2056</v>
      </c>
      <c r="M3049" s="6">
        <f>INDEX(医院2县区2人!$B$2:$B$1048576,MATCH(L3049,医院2县区2人!$A$2:$A$1048576,0))</f>
        <v>1</v>
      </c>
      <c r="N3049" s="6" t="str">
        <f>INDEX(医院2县区2人!$C$2:$C$1048576,MATCH(L3049,医院2县区2人!$A$2:$A$1048576,0))</f>
        <v>1859</v>
      </c>
      <c r="P3049" s="7">
        <v>43265</v>
      </c>
      <c r="Q3049" s="6">
        <v>10</v>
      </c>
      <c r="R3049" s="6">
        <v>13.44</v>
      </c>
      <c r="S3049" s="6">
        <v>1801107</v>
      </c>
      <c r="T3049" s="6" t="str">
        <f>INDEX(医院2县区2人!$D$2:$D$1048576,MATCH(L3049,医院2县区2人!$A$2:$A$1048576,0))</f>
        <v>201602151421097</v>
      </c>
      <c r="W3049" s="6" t="str">
        <f t="shared" si="97"/>
        <v>哈药牌钙铁锌口服液10ml*10支</v>
      </c>
      <c r="X3049" s="6" t="s">
        <v>2879</v>
      </c>
    </row>
    <row r="3050" spans="1:24" x14ac:dyDescent="0.15">
      <c r="A3050" s="7" t="str">
        <f t="shared" si="98"/>
        <v>201806</v>
      </c>
      <c r="C3050" s="6" t="str">
        <f>INDEX(工厂基础数据!$A$2:$A$1024,MATCH(X3050,工厂基础数据!$D$2:$D$1024,0))</f>
        <v>02010326</v>
      </c>
      <c r="E3050" s="6" t="str">
        <f>INDEX(工厂基础数据!$B$2:$B$1024,MATCH(X3050,工厂基础数据!$D$2:$D$1024,0))</f>
        <v>山东福华医药有限公司</v>
      </c>
      <c r="F3050" s="6">
        <f>INDEX(商业2转码!$B$2:$B$10000,MATCH(E3050,商业2转码!$A$2:$A$10000,0))</f>
        <v>0</v>
      </c>
      <c r="G3050" s="6" t="str">
        <f>INDEX(品种2编码!$A$2:$A$1048576,MATCH(W3050,品种2编码!$D$2:$D$1048576,0))</f>
        <v>0020030001SJZY0009</v>
      </c>
      <c r="H3050" s="6" t="s">
        <v>555</v>
      </c>
      <c r="I3050" s="6" t="s">
        <v>411</v>
      </c>
      <c r="J3050" s="6" t="s">
        <v>3785</v>
      </c>
      <c r="L3050" s="6" t="s">
        <v>2056</v>
      </c>
      <c r="M3050" s="6">
        <f>INDEX(医院2县区2人!$B$2:$B$1048576,MATCH(L3050,医院2县区2人!$A$2:$A$1048576,0))</f>
        <v>1</v>
      </c>
      <c r="N3050" s="6" t="str">
        <f>INDEX(医院2县区2人!$C$2:$C$1048576,MATCH(L3050,医院2县区2人!$A$2:$A$1048576,0))</f>
        <v>1859</v>
      </c>
      <c r="P3050" s="7">
        <v>43265</v>
      </c>
      <c r="Q3050" s="6">
        <v>80</v>
      </c>
      <c r="R3050" s="6">
        <v>19.52</v>
      </c>
      <c r="S3050" s="6">
        <v>18032527</v>
      </c>
      <c r="T3050" s="6" t="str">
        <f>INDEX(医院2县区2人!$D$2:$D$1048576,MATCH(L3050,医院2县区2人!$A$2:$A$1048576,0))</f>
        <v>201602151421097</v>
      </c>
      <c r="W3050" s="6" t="str">
        <f t="shared" si="97"/>
        <v>葡萄糖酸锌口服液10ml*12支</v>
      </c>
      <c r="X3050" s="6" t="s">
        <v>2879</v>
      </c>
    </row>
    <row r="3051" spans="1:24" x14ac:dyDescent="0.15">
      <c r="A3051" s="7" t="str">
        <f t="shared" si="98"/>
        <v>201806</v>
      </c>
      <c r="C3051" s="6" t="str">
        <f>INDEX(工厂基础数据!$A$2:$A$1024,MATCH(X3051,工厂基础数据!$D$2:$D$1024,0))</f>
        <v>02010326</v>
      </c>
      <c r="E3051" s="6" t="str">
        <f>INDEX(工厂基础数据!$B$2:$B$1024,MATCH(X3051,工厂基础数据!$D$2:$D$1024,0))</f>
        <v>山东福华医药有限公司</v>
      </c>
      <c r="F3051" s="6">
        <f>INDEX(商业2转码!$B$2:$B$10000,MATCH(E3051,商业2转码!$A$2:$A$10000,0))</f>
        <v>0</v>
      </c>
      <c r="G3051" s="6" t="str">
        <f>INDEX(品种2编码!$A$2:$A$1048576,MATCH(W3051,品种2编码!$D$2:$D$1048576,0))</f>
        <v>0020020021ZYLC0004</v>
      </c>
      <c r="H3051" s="6" t="s">
        <v>1868</v>
      </c>
      <c r="I3051" s="6" t="s">
        <v>1869</v>
      </c>
      <c r="J3051" s="6" t="s">
        <v>3036</v>
      </c>
      <c r="L3051" s="6" t="s">
        <v>2056</v>
      </c>
      <c r="M3051" s="6">
        <f>INDEX(医院2县区2人!$B$2:$B$1048576,MATCH(L3051,医院2县区2人!$A$2:$A$1048576,0))</f>
        <v>1</v>
      </c>
      <c r="N3051" s="6" t="str">
        <f>INDEX(医院2县区2人!$C$2:$C$1048576,MATCH(L3051,医院2县区2人!$A$2:$A$1048576,0))</f>
        <v>1859</v>
      </c>
      <c r="P3051" s="7">
        <v>43265</v>
      </c>
      <c r="Q3051" s="6">
        <v>3</v>
      </c>
      <c r="R3051" s="6">
        <v>7.68</v>
      </c>
      <c r="S3051" s="6">
        <v>180201</v>
      </c>
      <c r="T3051" s="6" t="str">
        <f>INDEX(医院2县区2人!$D$2:$D$1048576,MATCH(L3051,医院2县区2人!$A$2:$A$1048576,0))</f>
        <v>201602151421097</v>
      </c>
      <c r="W3051" s="6" t="str">
        <f t="shared" si="97"/>
        <v>罗红霉素分散片/大严迪75mg*12片</v>
      </c>
      <c r="X3051" s="6" t="s">
        <v>2879</v>
      </c>
    </row>
    <row r="3052" spans="1:24" x14ac:dyDescent="0.15">
      <c r="A3052" s="7" t="str">
        <f t="shared" si="98"/>
        <v>201806</v>
      </c>
      <c r="C3052" s="6" t="str">
        <f>INDEX(工厂基础数据!$A$2:$A$1024,MATCH(X3052,工厂基础数据!$D$2:$D$1024,0))</f>
        <v>02010326</v>
      </c>
      <c r="E3052" s="6" t="str">
        <f>INDEX(工厂基础数据!$B$2:$B$1024,MATCH(X3052,工厂基础数据!$D$2:$D$1024,0))</f>
        <v>山东福华医药有限公司</v>
      </c>
      <c r="F3052" s="6">
        <f>INDEX(商业2转码!$B$2:$B$10000,MATCH(E3052,商业2转码!$A$2:$A$10000,0))</f>
        <v>0</v>
      </c>
      <c r="G3052" s="6" t="str">
        <f>INDEX(品种2编码!$A$2:$A$1048576,MATCH(W3052,品种2编码!$D$2:$D$1048576,0))</f>
        <v>0020030001SJZY0006</v>
      </c>
      <c r="H3052" s="6" t="s">
        <v>1833</v>
      </c>
      <c r="I3052" s="6" t="s">
        <v>411</v>
      </c>
      <c r="J3052" s="6" t="s">
        <v>3044</v>
      </c>
      <c r="L3052" s="6" t="s">
        <v>2097</v>
      </c>
      <c r="M3052" s="6">
        <f>INDEX(医院2县区2人!$B$2:$B$1048576,MATCH(L3052,医院2县区2人!$A$2:$A$1048576,0))</f>
        <v>1</v>
      </c>
      <c r="N3052" s="6" t="str">
        <f>INDEX(医院2县区2人!$C$2:$C$1048576,MATCH(L3052,医院2县区2人!$A$2:$A$1048576,0))</f>
        <v>1859</v>
      </c>
      <c r="P3052" s="7">
        <v>43265</v>
      </c>
      <c r="Q3052" s="6">
        <v>80</v>
      </c>
      <c r="R3052" s="6">
        <v>21.12</v>
      </c>
      <c r="S3052" s="6">
        <v>18030842</v>
      </c>
      <c r="T3052" s="6" t="str">
        <f>INDEX(医院2县区2人!$D$2:$D$1048576,MATCH(L3052,医院2县区2人!$A$2:$A$1048576,0))</f>
        <v>201602151421097</v>
      </c>
      <c r="W3052" s="6" t="str">
        <f t="shared" si="97"/>
        <v>葡萄糖酸钙口服溶液10ml*12支</v>
      </c>
      <c r="X3052" s="6" t="s">
        <v>2879</v>
      </c>
    </row>
    <row r="3053" spans="1:24" x14ac:dyDescent="0.15">
      <c r="A3053" s="7" t="str">
        <f t="shared" si="98"/>
        <v>201806</v>
      </c>
      <c r="C3053" s="6" t="str">
        <f>INDEX(工厂基础数据!$A$2:$A$1024,MATCH(X3053,工厂基础数据!$D$2:$D$1024,0))</f>
        <v>02010326</v>
      </c>
      <c r="E3053" s="6" t="str">
        <f>INDEX(工厂基础数据!$B$2:$B$1024,MATCH(X3053,工厂基础数据!$D$2:$D$1024,0))</f>
        <v>山东福华医药有限公司</v>
      </c>
      <c r="F3053" s="6">
        <f>INDEX(商业2转码!$B$2:$B$10000,MATCH(E3053,商业2转码!$A$2:$A$10000,0))</f>
        <v>0</v>
      </c>
      <c r="G3053" s="6" t="str">
        <f>INDEX(品种2编码!$A$2:$A$1048576,MATCH(W3053,品种2编码!$D$2:$D$1048576,0))</f>
        <v>0020030001SJZY0009</v>
      </c>
      <c r="H3053" s="6" t="s">
        <v>555</v>
      </c>
      <c r="I3053" s="6" t="s">
        <v>411</v>
      </c>
      <c r="J3053" s="6" t="s">
        <v>3785</v>
      </c>
      <c r="L3053" s="6" t="s">
        <v>2093</v>
      </c>
      <c r="M3053" s="6">
        <f>INDEX(医院2县区2人!$B$2:$B$1048576,MATCH(L3053,医院2县区2人!$A$2:$A$1048576,0))</f>
        <v>1</v>
      </c>
      <c r="N3053" s="6" t="str">
        <f>INDEX(医院2县区2人!$C$2:$C$1048576,MATCH(L3053,医院2县区2人!$A$2:$A$1048576,0))</f>
        <v>1859</v>
      </c>
      <c r="P3053" s="7">
        <v>43265</v>
      </c>
      <c r="Q3053" s="6">
        <v>80</v>
      </c>
      <c r="R3053" s="6">
        <v>19.52</v>
      </c>
      <c r="S3053" s="6">
        <v>18032527</v>
      </c>
      <c r="T3053" s="6" t="str">
        <f>INDEX(医院2县区2人!$D$2:$D$1048576,MATCH(L3053,医院2县区2人!$A$2:$A$1048576,0))</f>
        <v>201602151421097</v>
      </c>
      <c r="W3053" s="6" t="str">
        <f t="shared" si="97"/>
        <v>葡萄糖酸锌口服液10ml*12支</v>
      </c>
      <c r="X3053" s="6" t="s">
        <v>2879</v>
      </c>
    </row>
    <row r="3054" spans="1:24" x14ac:dyDescent="0.15">
      <c r="A3054" s="7" t="str">
        <f t="shared" si="98"/>
        <v>201806</v>
      </c>
      <c r="C3054" s="6" t="str">
        <f>INDEX(工厂基础数据!$A$2:$A$1024,MATCH(X3054,工厂基础数据!$D$2:$D$1024,0))</f>
        <v>02010326</v>
      </c>
      <c r="E3054" s="6" t="str">
        <f>INDEX(工厂基础数据!$B$2:$B$1024,MATCH(X3054,工厂基础数据!$D$2:$D$1024,0))</f>
        <v>山东福华医药有限公司</v>
      </c>
      <c r="F3054" s="6">
        <f>INDEX(商业2转码!$B$2:$B$10000,MATCH(E3054,商业2转码!$A$2:$A$10000,0))</f>
        <v>0</v>
      </c>
      <c r="G3054" s="6" t="str">
        <f>INDEX(品种2编码!$A$2:$A$1048576,MATCH(W3054,品种2编码!$D$2:$D$1048576,0))</f>
        <v>0020030001SJZY0006</v>
      </c>
      <c r="H3054" s="6" t="s">
        <v>1833</v>
      </c>
      <c r="I3054" s="6" t="s">
        <v>411</v>
      </c>
      <c r="J3054" s="6" t="s">
        <v>3044</v>
      </c>
      <c r="L3054" s="6" t="s">
        <v>2093</v>
      </c>
      <c r="M3054" s="6">
        <f>INDEX(医院2县区2人!$B$2:$B$1048576,MATCH(L3054,医院2县区2人!$A$2:$A$1048576,0))</f>
        <v>1</v>
      </c>
      <c r="N3054" s="6" t="str">
        <f>INDEX(医院2县区2人!$C$2:$C$1048576,MATCH(L3054,医院2县区2人!$A$2:$A$1048576,0))</f>
        <v>1859</v>
      </c>
      <c r="P3054" s="7">
        <v>43265</v>
      </c>
      <c r="Q3054" s="6">
        <v>80</v>
      </c>
      <c r="R3054" s="6">
        <v>21.12</v>
      </c>
      <c r="S3054" s="6">
        <v>18030842</v>
      </c>
      <c r="T3054" s="6" t="str">
        <f>INDEX(医院2县区2人!$D$2:$D$1048576,MATCH(L3054,医院2县区2人!$A$2:$A$1048576,0))</f>
        <v>201602151421097</v>
      </c>
      <c r="W3054" s="6" t="str">
        <f t="shared" si="97"/>
        <v>葡萄糖酸钙口服溶液10ml*12支</v>
      </c>
      <c r="X3054" s="6" t="s">
        <v>2879</v>
      </c>
    </row>
    <row r="3055" spans="1:24" x14ac:dyDescent="0.15">
      <c r="A3055" s="7" t="str">
        <f t="shared" si="98"/>
        <v>201806</v>
      </c>
      <c r="C3055" s="6" t="str">
        <f>INDEX(工厂基础数据!$A$2:$A$1024,MATCH(X3055,工厂基础数据!$D$2:$D$1024,0))</f>
        <v>02010326</v>
      </c>
      <c r="E3055" s="6" t="str">
        <f>INDEX(工厂基础数据!$B$2:$B$1024,MATCH(X3055,工厂基础数据!$D$2:$D$1024,0))</f>
        <v>山东福华医药有限公司</v>
      </c>
      <c r="F3055" s="6">
        <f>INDEX(商业2转码!$B$2:$B$10000,MATCH(E3055,商业2转码!$A$2:$A$10000,0))</f>
        <v>0</v>
      </c>
      <c r="G3055" s="6" t="str">
        <f>INDEX(品种2编码!$A$2:$A$1048576,MATCH(W3055,品种2编码!$D$2:$D$1048576,0))</f>
        <v>0020030001SJZY0006</v>
      </c>
      <c r="H3055" s="6" t="s">
        <v>1833</v>
      </c>
      <c r="I3055" s="6" t="s">
        <v>411</v>
      </c>
      <c r="J3055" s="6" t="s">
        <v>3044</v>
      </c>
      <c r="L3055" s="6" t="s">
        <v>2068</v>
      </c>
      <c r="M3055" s="6">
        <f>INDEX(医院2县区2人!$B$2:$B$1048576,MATCH(L3055,医院2县区2人!$A$2:$A$1048576,0))</f>
        <v>1</v>
      </c>
      <c r="N3055" s="6" t="str">
        <f>INDEX(医院2县区2人!$C$2:$C$1048576,MATCH(L3055,医院2县区2人!$A$2:$A$1048576,0))</f>
        <v>1859</v>
      </c>
      <c r="P3055" s="7">
        <v>43265</v>
      </c>
      <c r="Q3055" s="6">
        <v>160</v>
      </c>
      <c r="R3055" s="6">
        <v>21.12</v>
      </c>
      <c r="S3055" s="6">
        <v>18030842</v>
      </c>
      <c r="T3055" s="6" t="str">
        <f>INDEX(医院2县区2人!$D$2:$D$1048576,MATCH(L3055,医院2县区2人!$A$2:$A$1048576,0))</f>
        <v>201602151421097</v>
      </c>
      <c r="W3055" s="6" t="str">
        <f t="shared" si="97"/>
        <v>葡萄糖酸钙口服溶液10ml*12支</v>
      </c>
      <c r="X3055" s="6" t="s">
        <v>2879</v>
      </c>
    </row>
    <row r="3056" spans="1:24" x14ac:dyDescent="0.15">
      <c r="A3056" s="7" t="str">
        <f t="shared" si="98"/>
        <v>201806</v>
      </c>
      <c r="C3056" s="6" t="str">
        <f>INDEX(工厂基础数据!$A$2:$A$1024,MATCH(X3056,工厂基础数据!$D$2:$D$1024,0))</f>
        <v>02010326</v>
      </c>
      <c r="E3056" s="6" t="str">
        <f>INDEX(工厂基础数据!$B$2:$B$1024,MATCH(X3056,工厂基础数据!$D$2:$D$1024,0))</f>
        <v>山东福华医药有限公司</v>
      </c>
      <c r="F3056" s="6">
        <f>INDEX(商业2转码!$B$2:$B$10000,MATCH(E3056,商业2转码!$A$2:$A$10000,0))</f>
        <v>0</v>
      </c>
      <c r="G3056" s="6" t="str">
        <f>INDEX(品种2编码!$A$2:$A$1048576,MATCH(W3056,品种2编码!$D$2:$D$1048576,0))</f>
        <v>0020030001SJZY0009</v>
      </c>
      <c r="H3056" s="6" t="s">
        <v>555</v>
      </c>
      <c r="I3056" s="6" t="s">
        <v>411</v>
      </c>
      <c r="J3056" s="6" t="s">
        <v>3785</v>
      </c>
      <c r="L3056" s="6" t="s">
        <v>2068</v>
      </c>
      <c r="M3056" s="6">
        <f>INDEX(医院2县区2人!$B$2:$B$1048576,MATCH(L3056,医院2县区2人!$A$2:$A$1048576,0))</f>
        <v>1</v>
      </c>
      <c r="N3056" s="6" t="str">
        <f>INDEX(医院2县区2人!$C$2:$C$1048576,MATCH(L3056,医院2县区2人!$A$2:$A$1048576,0))</f>
        <v>1859</v>
      </c>
      <c r="P3056" s="7">
        <v>43265</v>
      </c>
      <c r="Q3056" s="6">
        <v>44</v>
      </c>
      <c r="R3056" s="6">
        <v>22.08</v>
      </c>
      <c r="S3056" s="6">
        <v>18031227</v>
      </c>
      <c r="T3056" s="6" t="str">
        <f>INDEX(医院2县区2人!$D$2:$D$1048576,MATCH(L3056,医院2县区2人!$A$2:$A$1048576,0))</f>
        <v>201602151421097</v>
      </c>
      <c r="W3056" s="6" t="str">
        <f t="shared" si="97"/>
        <v>葡萄糖酸锌口服液10ml*12支</v>
      </c>
      <c r="X3056" s="6" t="s">
        <v>2879</v>
      </c>
    </row>
    <row r="3057" spans="1:24" x14ac:dyDescent="0.15">
      <c r="A3057" s="7" t="str">
        <f t="shared" si="98"/>
        <v>201806</v>
      </c>
      <c r="C3057" s="6" t="str">
        <f>INDEX(工厂基础数据!$A$2:$A$1024,MATCH(X3057,工厂基础数据!$D$2:$D$1024,0))</f>
        <v>02010326</v>
      </c>
      <c r="E3057" s="6" t="str">
        <f>INDEX(工厂基础数据!$B$2:$B$1024,MATCH(X3057,工厂基础数据!$D$2:$D$1024,0))</f>
        <v>山东福华医药有限公司</v>
      </c>
      <c r="F3057" s="6">
        <f>INDEX(商业2转码!$B$2:$B$10000,MATCH(E3057,商业2转码!$A$2:$A$10000,0))</f>
        <v>0</v>
      </c>
      <c r="G3057" s="6" t="str">
        <f>INDEX(品种2编码!$A$2:$A$1048576,MATCH(W3057,品种2编码!$D$2:$D$1048576,0))</f>
        <v>0020030001SJZY0006</v>
      </c>
      <c r="H3057" s="6" t="s">
        <v>1833</v>
      </c>
      <c r="I3057" s="6" t="s">
        <v>411</v>
      </c>
      <c r="J3057" s="6" t="s">
        <v>3044</v>
      </c>
      <c r="L3057" s="6" t="s">
        <v>2085</v>
      </c>
      <c r="M3057" s="6">
        <f>INDEX(医院2县区2人!$B$2:$B$1048576,MATCH(L3057,医院2县区2人!$A$2:$A$1048576,0))</f>
        <v>1</v>
      </c>
      <c r="N3057" s="6" t="str">
        <f>INDEX(医院2县区2人!$C$2:$C$1048576,MATCH(L3057,医院2县区2人!$A$2:$A$1048576,0))</f>
        <v>1859</v>
      </c>
      <c r="P3057" s="7">
        <v>43265</v>
      </c>
      <c r="Q3057" s="6">
        <v>160</v>
      </c>
      <c r="R3057" s="6">
        <v>21.12</v>
      </c>
      <c r="S3057" s="6">
        <v>18030842</v>
      </c>
      <c r="T3057" s="6" t="str">
        <f>INDEX(医院2县区2人!$D$2:$D$1048576,MATCH(L3057,医院2县区2人!$A$2:$A$1048576,0))</f>
        <v>201602151421097</v>
      </c>
      <c r="W3057" s="6" t="str">
        <f t="shared" si="97"/>
        <v>葡萄糖酸钙口服溶液10ml*12支</v>
      </c>
      <c r="X3057" s="6" t="s">
        <v>2879</v>
      </c>
    </row>
    <row r="3058" spans="1:24" x14ac:dyDescent="0.15">
      <c r="A3058" s="7" t="str">
        <f t="shared" si="98"/>
        <v>201806</v>
      </c>
      <c r="C3058" s="6" t="str">
        <f>INDEX(工厂基础数据!$A$2:$A$1024,MATCH(X3058,工厂基础数据!$D$2:$D$1024,0))</f>
        <v>02010326</v>
      </c>
      <c r="E3058" s="6" t="str">
        <f>INDEX(工厂基础数据!$B$2:$B$1024,MATCH(X3058,工厂基础数据!$D$2:$D$1024,0))</f>
        <v>山东福华医药有限公司</v>
      </c>
      <c r="F3058" s="6">
        <f>INDEX(商业2转码!$B$2:$B$10000,MATCH(E3058,商业2转码!$A$2:$A$10000,0))</f>
        <v>0</v>
      </c>
      <c r="G3058" s="6" t="str">
        <f>INDEX(品种2编码!$A$2:$A$1048576,MATCH(W3058,品种2编码!$D$2:$D$1048576,0))</f>
        <v>0020030001SJZY0009</v>
      </c>
      <c r="H3058" s="6" t="s">
        <v>555</v>
      </c>
      <c r="I3058" s="6" t="s">
        <v>411</v>
      </c>
      <c r="J3058" s="6" t="s">
        <v>3785</v>
      </c>
      <c r="L3058" s="6" t="s">
        <v>2085</v>
      </c>
      <c r="M3058" s="6">
        <f>INDEX(医院2县区2人!$B$2:$B$1048576,MATCH(L3058,医院2县区2人!$A$2:$A$1048576,0))</f>
        <v>1</v>
      </c>
      <c r="N3058" s="6" t="str">
        <f>INDEX(医院2县区2人!$C$2:$C$1048576,MATCH(L3058,医院2县区2人!$A$2:$A$1048576,0))</f>
        <v>1859</v>
      </c>
      <c r="P3058" s="7">
        <v>43265</v>
      </c>
      <c r="Q3058" s="6">
        <v>80</v>
      </c>
      <c r="R3058" s="6">
        <v>19.52</v>
      </c>
      <c r="S3058" s="6">
        <v>18032527</v>
      </c>
      <c r="T3058" s="6" t="str">
        <f>INDEX(医院2县区2人!$D$2:$D$1048576,MATCH(L3058,医院2县区2人!$A$2:$A$1048576,0))</f>
        <v>201602151421097</v>
      </c>
      <c r="W3058" s="6" t="str">
        <f t="shared" si="97"/>
        <v>葡萄糖酸锌口服液10ml*12支</v>
      </c>
      <c r="X3058" s="6" t="s">
        <v>2879</v>
      </c>
    </row>
    <row r="3059" spans="1:24" x14ac:dyDescent="0.15">
      <c r="A3059" s="7" t="str">
        <f t="shared" si="98"/>
        <v>201806</v>
      </c>
      <c r="C3059" s="6" t="str">
        <f>INDEX(工厂基础数据!$A$2:$A$1024,MATCH(X3059,工厂基础数据!$D$2:$D$1024,0))</f>
        <v>02010326</v>
      </c>
      <c r="E3059" s="6" t="str">
        <f>INDEX(工厂基础数据!$B$2:$B$1024,MATCH(X3059,工厂基础数据!$D$2:$D$1024,0))</f>
        <v>山东福华医药有限公司</v>
      </c>
      <c r="F3059" s="6">
        <f>INDEX(商业2转码!$B$2:$B$10000,MATCH(E3059,商业2转码!$A$2:$A$10000,0))</f>
        <v>0</v>
      </c>
      <c r="G3059" s="6" t="str">
        <f>INDEX(品种2编码!$A$2:$A$1048576,MATCH(W3059,品种2编码!$D$2:$D$1048576,0))</f>
        <v>0020020020ZYZC0473</v>
      </c>
      <c r="H3059" s="6" t="s">
        <v>745</v>
      </c>
      <c r="I3059" s="6" t="s">
        <v>290</v>
      </c>
      <c r="J3059" s="6" t="s">
        <v>3038</v>
      </c>
      <c r="L3059" s="6" t="s">
        <v>2094</v>
      </c>
      <c r="M3059" s="6">
        <f>INDEX(医院2县区2人!$B$2:$B$1048576,MATCH(L3059,医院2县区2人!$A$2:$A$1048576,0))</f>
        <v>1</v>
      </c>
      <c r="N3059" s="6" t="str">
        <f>INDEX(医院2县区2人!$C$2:$C$1048576,MATCH(L3059,医院2县区2人!$A$2:$A$1048576,0))</f>
        <v>1859</v>
      </c>
      <c r="P3059" s="7">
        <v>43264</v>
      </c>
      <c r="Q3059" s="6">
        <v>1</v>
      </c>
      <c r="R3059" s="6">
        <v>3.47</v>
      </c>
      <c r="S3059" s="6" t="s">
        <v>3056</v>
      </c>
      <c r="T3059" s="6" t="str">
        <f>INDEX(医院2县区2人!$D$2:$D$1048576,MATCH(L3059,医院2县区2人!$A$2:$A$1048576,0))</f>
        <v>201602151421097</v>
      </c>
      <c r="W3059" s="6" t="str">
        <f t="shared" si="97"/>
        <v>盐酸环丙沙星片0.25g*12片</v>
      </c>
      <c r="X3059" s="6" t="s">
        <v>2879</v>
      </c>
    </row>
    <row r="3060" spans="1:24" x14ac:dyDescent="0.15">
      <c r="A3060" s="7" t="str">
        <f t="shared" si="98"/>
        <v>201806</v>
      </c>
      <c r="C3060" s="6" t="str">
        <f>INDEX(工厂基础数据!$A$2:$A$1024,MATCH(X3060,工厂基础数据!$D$2:$D$1024,0))</f>
        <v>02010326</v>
      </c>
      <c r="E3060" s="6" t="str">
        <f>INDEX(工厂基础数据!$B$2:$B$1024,MATCH(X3060,工厂基础数据!$D$2:$D$1024,0))</f>
        <v>山东福华医药有限公司</v>
      </c>
      <c r="F3060" s="6">
        <f>INDEX(商业2转码!$B$2:$B$10000,MATCH(E3060,商业2转码!$A$2:$A$10000,0))</f>
        <v>0</v>
      </c>
      <c r="G3060" s="6" t="str">
        <f>INDEX(品种2编码!$A$2:$A$1048576,MATCH(W3060,品种2编码!$D$2:$D$1048576,0))</f>
        <v>0020070001ZYZC0383</v>
      </c>
      <c r="H3060" s="6" t="s">
        <v>1849</v>
      </c>
      <c r="I3060" s="6" t="s">
        <v>1850</v>
      </c>
      <c r="J3060" s="6" t="s">
        <v>3038</v>
      </c>
      <c r="L3060" s="6" t="s">
        <v>2087</v>
      </c>
      <c r="M3060" s="6">
        <f>INDEX(医院2县区2人!$B$2:$B$1048576,MATCH(L3060,医院2县区2人!$A$2:$A$1048576,0))</f>
        <v>1</v>
      </c>
      <c r="N3060" s="6" t="str">
        <f>INDEX(医院2县区2人!$C$2:$C$1048576,MATCH(L3060,医院2县区2人!$A$2:$A$1048576,0))</f>
        <v>1859</v>
      </c>
      <c r="P3060" s="7">
        <v>43264</v>
      </c>
      <c r="Q3060" s="6">
        <v>30</v>
      </c>
      <c r="R3060" s="6">
        <v>13.44</v>
      </c>
      <c r="S3060" s="6">
        <v>1801107</v>
      </c>
      <c r="T3060" s="6" t="str">
        <f>INDEX(医院2县区2人!$D$2:$D$1048576,MATCH(L3060,医院2县区2人!$A$2:$A$1048576,0))</f>
        <v>201602151421097</v>
      </c>
      <c r="W3060" s="6" t="str">
        <f t="shared" si="97"/>
        <v>哈药牌钙铁锌口服液10ml*10支</v>
      </c>
      <c r="X3060" s="6" t="s">
        <v>2879</v>
      </c>
    </row>
    <row r="3061" spans="1:24" x14ac:dyDescent="0.15">
      <c r="A3061" s="7" t="str">
        <f t="shared" si="98"/>
        <v>201806</v>
      </c>
      <c r="C3061" s="6" t="str">
        <f>INDEX(工厂基础数据!$A$2:$A$1024,MATCH(X3061,工厂基础数据!$D$2:$D$1024,0))</f>
        <v>02010326</v>
      </c>
      <c r="E3061" s="6" t="str">
        <f>INDEX(工厂基础数据!$B$2:$B$1024,MATCH(X3061,工厂基础数据!$D$2:$D$1024,0))</f>
        <v>山东福华医药有限公司</v>
      </c>
      <c r="F3061" s="6">
        <f>INDEX(商业2转码!$B$2:$B$10000,MATCH(E3061,商业2转码!$A$2:$A$10000,0))</f>
        <v>0</v>
      </c>
      <c r="G3061" s="6" t="str">
        <f>INDEX(品种2编码!$A$2:$A$1048576,MATCH(W3061,品种2编码!$D$2:$D$1048576,0))</f>
        <v>0020050001SHYT0017</v>
      </c>
      <c r="H3061" s="6" t="s">
        <v>1861</v>
      </c>
      <c r="I3061" s="6" t="s">
        <v>444</v>
      </c>
      <c r="J3061" s="6" t="s">
        <v>3037</v>
      </c>
      <c r="L3061" s="6" t="s">
        <v>2087</v>
      </c>
      <c r="M3061" s="6">
        <f>INDEX(医院2县区2人!$B$2:$B$1048576,MATCH(L3061,医院2县区2人!$A$2:$A$1048576,0))</f>
        <v>1</v>
      </c>
      <c r="N3061" s="6" t="str">
        <f>INDEX(医院2县区2人!$C$2:$C$1048576,MATCH(L3061,医院2县区2人!$A$2:$A$1048576,0))</f>
        <v>1859</v>
      </c>
      <c r="P3061" s="7">
        <v>43264</v>
      </c>
      <c r="Q3061" s="6">
        <v>5</v>
      </c>
      <c r="R3061" s="6">
        <v>7.72</v>
      </c>
      <c r="S3061" s="6">
        <v>1606119</v>
      </c>
      <c r="T3061" s="6" t="str">
        <f>INDEX(医院2县区2人!$D$2:$D$1048576,MATCH(L3061,医院2县区2人!$A$2:$A$1048576,0))</f>
        <v>201602151421097</v>
      </c>
      <c r="W3061" s="6" t="str">
        <f t="shared" si="97"/>
        <v>附子理中丸9g*10丸</v>
      </c>
      <c r="X3061" s="6" t="s">
        <v>2879</v>
      </c>
    </row>
    <row r="3062" spans="1:24" x14ac:dyDescent="0.15">
      <c r="A3062" s="7" t="str">
        <f t="shared" si="98"/>
        <v>201806</v>
      </c>
      <c r="C3062" s="6" t="str">
        <f>INDEX(工厂基础数据!$A$2:$A$1024,MATCH(X3062,工厂基础数据!$D$2:$D$1024,0))</f>
        <v>02010326</v>
      </c>
      <c r="E3062" s="6" t="str">
        <f>INDEX(工厂基础数据!$B$2:$B$1024,MATCH(X3062,工厂基础数据!$D$2:$D$1024,0))</f>
        <v>山东福华医药有限公司</v>
      </c>
      <c r="F3062" s="6">
        <f>INDEX(商业2转码!$B$2:$B$10000,MATCH(E3062,商业2转码!$A$2:$A$10000,0))</f>
        <v>0</v>
      </c>
      <c r="G3062" s="6" t="str">
        <f>INDEX(品种2编码!$A$2:$A$1048576,MATCH(W3062,品种2编码!$D$2:$D$1048576,0))</f>
        <v>0020020030ZYZC0510</v>
      </c>
      <c r="H3062" s="6" t="s">
        <v>543</v>
      </c>
      <c r="I3062" s="6" t="s">
        <v>1834</v>
      </c>
      <c r="J3062" s="6" t="s">
        <v>3038</v>
      </c>
      <c r="L3062" s="6" t="s">
        <v>2161</v>
      </c>
      <c r="M3062" s="6">
        <f>INDEX(医院2县区2人!$B$2:$B$1048576,MATCH(L3062,医院2县区2人!$A$2:$A$1048576,0))</f>
        <v>2</v>
      </c>
      <c r="N3062" s="6" t="str">
        <f>INDEX(医院2县区2人!$C$2:$C$1048576,MATCH(L3062,医院2县区2人!$A$2:$A$1048576,0))</f>
        <v>1859</v>
      </c>
      <c r="P3062" s="7">
        <v>43264</v>
      </c>
      <c r="Q3062" s="6">
        <v>10</v>
      </c>
      <c r="R3062" s="6">
        <v>2.95</v>
      </c>
      <c r="S3062" s="6" t="s">
        <v>3789</v>
      </c>
      <c r="T3062" s="6" t="str">
        <f>INDEX(医院2县区2人!$D$2:$D$1048576,MATCH(L3062,医院2县区2人!$A$2:$A$1048576,0))</f>
        <v>201602151421097</v>
      </c>
      <c r="W3062" s="6" t="str">
        <f t="shared" si="97"/>
        <v>诺氟沙星胶囊0.1g*20粒</v>
      </c>
      <c r="X3062" s="6" t="s">
        <v>2879</v>
      </c>
    </row>
    <row r="3063" spans="1:24" x14ac:dyDescent="0.15">
      <c r="A3063" s="7" t="str">
        <f t="shared" si="98"/>
        <v>201806</v>
      </c>
      <c r="C3063" s="6" t="str">
        <f>INDEX(工厂基础数据!$A$2:$A$1024,MATCH(X3063,工厂基础数据!$D$2:$D$1024,0))</f>
        <v>02010326</v>
      </c>
      <c r="E3063" s="6" t="str">
        <f>INDEX(工厂基础数据!$B$2:$B$1024,MATCH(X3063,工厂基础数据!$D$2:$D$1024,0))</f>
        <v>山东福华医药有限公司</v>
      </c>
      <c r="F3063" s="6">
        <f>INDEX(商业2转码!$B$2:$B$10000,MATCH(E3063,商业2转码!$A$2:$A$10000,0))</f>
        <v>0</v>
      </c>
      <c r="G3063" s="6" t="str">
        <f>INDEX(品种2编码!$A$2:$A$1048576,MATCH(W3063,品种2编码!$D$2:$D$1048576,0))</f>
        <v>0020020030ZYZC0510</v>
      </c>
      <c r="H3063" s="6" t="s">
        <v>543</v>
      </c>
      <c r="I3063" s="6" t="s">
        <v>1834</v>
      </c>
      <c r="J3063" s="6" t="s">
        <v>3038</v>
      </c>
      <c r="L3063" s="6" t="s">
        <v>2077</v>
      </c>
      <c r="M3063" s="6">
        <f>INDEX(医院2县区2人!$B$2:$B$1048576,MATCH(L3063,医院2县区2人!$A$2:$A$1048576,0))</f>
        <v>1</v>
      </c>
      <c r="N3063" s="6" t="str">
        <f>INDEX(医院2县区2人!$C$2:$C$1048576,MATCH(L3063,医院2县区2人!$A$2:$A$1048576,0))</f>
        <v>1859</v>
      </c>
      <c r="P3063" s="7">
        <v>43264</v>
      </c>
      <c r="Q3063" s="6">
        <v>10</v>
      </c>
      <c r="R3063" s="6">
        <v>2.85</v>
      </c>
      <c r="S3063" s="6" t="s">
        <v>3789</v>
      </c>
      <c r="T3063" s="6" t="str">
        <f>INDEX(医院2县区2人!$D$2:$D$1048576,MATCH(L3063,医院2县区2人!$A$2:$A$1048576,0))</f>
        <v>201602151421097</v>
      </c>
      <c r="W3063" s="6" t="str">
        <f t="shared" si="97"/>
        <v>诺氟沙星胶囊0.1g*20粒</v>
      </c>
      <c r="X3063" s="6" t="s">
        <v>2879</v>
      </c>
    </row>
    <row r="3064" spans="1:24" x14ac:dyDescent="0.15">
      <c r="A3064" s="7" t="str">
        <f t="shared" si="98"/>
        <v>201806</v>
      </c>
      <c r="C3064" s="6" t="str">
        <f>INDEX(工厂基础数据!$A$2:$A$1024,MATCH(X3064,工厂基础数据!$D$2:$D$1024,0))</f>
        <v>02010326</v>
      </c>
      <c r="E3064" s="6" t="str">
        <f>INDEX(工厂基础数据!$B$2:$B$1024,MATCH(X3064,工厂基础数据!$D$2:$D$1024,0))</f>
        <v>山东福华医药有限公司</v>
      </c>
      <c r="F3064" s="6">
        <f>INDEX(商业2转码!$B$2:$B$10000,MATCH(E3064,商业2转码!$A$2:$A$10000,0))</f>
        <v>0</v>
      </c>
      <c r="G3064" s="6" t="str">
        <f>INDEX(品种2编码!$A$2:$A$1048576,MATCH(W3064,品种2编码!$D$2:$D$1048576,0))</f>
        <v>0020030001SJZY0006</v>
      </c>
      <c r="H3064" s="6" t="s">
        <v>1833</v>
      </c>
      <c r="I3064" s="6" t="s">
        <v>411</v>
      </c>
      <c r="J3064" s="6" t="s">
        <v>3044</v>
      </c>
      <c r="L3064" s="6" t="s">
        <v>2061</v>
      </c>
      <c r="M3064" s="6">
        <f>INDEX(医院2县区2人!$B$2:$B$1048576,MATCH(L3064,医院2县区2人!$A$2:$A$1048576,0))</f>
        <v>1</v>
      </c>
      <c r="N3064" s="6" t="str">
        <f>INDEX(医院2县区2人!$C$2:$C$1048576,MATCH(L3064,医院2县区2人!$A$2:$A$1048576,0))</f>
        <v>1859</v>
      </c>
      <c r="P3064" s="7">
        <v>43264</v>
      </c>
      <c r="Q3064" s="6">
        <v>10</v>
      </c>
      <c r="R3064" s="6">
        <v>21.12</v>
      </c>
      <c r="S3064" s="6">
        <v>18030842</v>
      </c>
      <c r="T3064" s="6" t="str">
        <f>INDEX(医院2县区2人!$D$2:$D$1048576,MATCH(L3064,医院2县区2人!$A$2:$A$1048576,0))</f>
        <v>201602151421097</v>
      </c>
      <c r="W3064" s="6" t="str">
        <f t="shared" si="97"/>
        <v>葡萄糖酸钙口服溶液10ml*12支</v>
      </c>
      <c r="X3064" s="6" t="s">
        <v>2879</v>
      </c>
    </row>
    <row r="3065" spans="1:24" x14ac:dyDescent="0.15">
      <c r="A3065" s="7" t="str">
        <f t="shared" si="98"/>
        <v>201806</v>
      </c>
      <c r="C3065" s="6" t="str">
        <f>INDEX(工厂基础数据!$A$2:$A$1024,MATCH(X3065,工厂基础数据!$D$2:$D$1024,0))</f>
        <v>02010326</v>
      </c>
      <c r="E3065" s="6" t="str">
        <f>INDEX(工厂基础数据!$B$2:$B$1024,MATCH(X3065,工厂基础数据!$D$2:$D$1024,0))</f>
        <v>山东福华医药有限公司</v>
      </c>
      <c r="F3065" s="6">
        <f>INDEX(商业2转码!$B$2:$B$10000,MATCH(E3065,商业2转码!$A$2:$A$10000,0))</f>
        <v>0</v>
      </c>
      <c r="G3065" s="6" t="str">
        <f>INDEX(品种2编码!$A$2:$A$1048576,MATCH(W3065,品种2编码!$D$2:$D$1048576,0))</f>
        <v>0020020020ZYZC0473</v>
      </c>
      <c r="H3065" s="6" t="s">
        <v>745</v>
      </c>
      <c r="I3065" s="6" t="s">
        <v>290</v>
      </c>
      <c r="J3065" s="6" t="s">
        <v>3038</v>
      </c>
      <c r="L3065" s="6" t="s">
        <v>2064</v>
      </c>
      <c r="M3065" s="6">
        <f>INDEX(医院2县区2人!$B$2:$B$1048576,MATCH(L3065,医院2县区2人!$A$2:$A$1048576,0))</f>
        <v>1</v>
      </c>
      <c r="N3065" s="6" t="str">
        <f>INDEX(医院2县区2人!$C$2:$C$1048576,MATCH(L3065,医院2县区2人!$A$2:$A$1048576,0))</f>
        <v>1859</v>
      </c>
      <c r="P3065" s="7">
        <v>43264</v>
      </c>
      <c r="Q3065" s="6">
        <v>3</v>
      </c>
      <c r="R3065" s="6">
        <v>3.47</v>
      </c>
      <c r="S3065" s="6" t="s">
        <v>3056</v>
      </c>
      <c r="T3065" s="6" t="str">
        <f>INDEX(医院2县区2人!$D$2:$D$1048576,MATCH(L3065,医院2县区2人!$A$2:$A$1048576,0))</f>
        <v>201602151421097</v>
      </c>
      <c r="W3065" s="6" t="str">
        <f t="shared" ref="W3065:W3128" si="99">H3065&amp;I3065</f>
        <v>盐酸环丙沙星片0.25g*12片</v>
      </c>
      <c r="X3065" s="6" t="s">
        <v>2879</v>
      </c>
    </row>
    <row r="3066" spans="1:24" x14ac:dyDescent="0.15">
      <c r="A3066" s="7" t="str">
        <f t="shared" ref="A3066:A3129" si="100">IF(MONTH(P3066)&lt;10,YEAR(P3066)&amp;"0"&amp;MONTH(P3066),YEAR(P3066)&amp;MONTH(P3066))</f>
        <v>201806</v>
      </c>
      <c r="C3066" s="6" t="str">
        <f>INDEX(工厂基础数据!$A$2:$A$1024,MATCH(X3066,工厂基础数据!$D$2:$D$1024,0))</f>
        <v>02010326</v>
      </c>
      <c r="E3066" s="6" t="str">
        <f>INDEX(工厂基础数据!$B$2:$B$1024,MATCH(X3066,工厂基础数据!$D$2:$D$1024,0))</f>
        <v>山东福华医药有限公司</v>
      </c>
      <c r="F3066" s="6">
        <f>INDEX(商业2转码!$B$2:$B$10000,MATCH(E3066,商业2转码!$A$2:$A$10000,0))</f>
        <v>0</v>
      </c>
      <c r="G3066" s="6" t="str">
        <f>INDEX(品种2编码!$A$2:$A$1048576,MATCH(W3066,品种2编码!$D$2:$D$1048576,0))</f>
        <v>0020070000ZYLC0001</v>
      </c>
      <c r="H3066" s="6" t="s">
        <v>1837</v>
      </c>
      <c r="I3066" s="6" t="s">
        <v>1838</v>
      </c>
      <c r="J3066" s="6" t="s">
        <v>3036</v>
      </c>
      <c r="L3066" s="6" t="s">
        <v>2065</v>
      </c>
      <c r="M3066" s="6">
        <f>INDEX(医院2县区2人!$B$2:$B$1048576,MATCH(L3066,医院2县区2人!$A$2:$A$1048576,0))</f>
        <v>1</v>
      </c>
      <c r="N3066" s="6" t="str">
        <f>INDEX(医院2县区2人!$C$2:$C$1048576,MATCH(L3066,医院2县区2人!$A$2:$A$1048576,0))</f>
        <v>1859</v>
      </c>
      <c r="P3066" s="7">
        <v>43264</v>
      </c>
      <c r="Q3066" s="6">
        <v>5</v>
      </c>
      <c r="R3066" s="6">
        <v>24.192</v>
      </c>
      <c r="S3066" s="6">
        <v>180104</v>
      </c>
      <c r="T3066" s="6" t="str">
        <f>INDEX(医院2县区2人!$D$2:$D$1048576,MATCH(L3066,医院2县区2人!$A$2:$A$1048576,0))</f>
        <v>201602151421097</v>
      </c>
      <c r="W3066" s="6" t="str">
        <f t="shared" si="99"/>
        <v>新盖中盖高钙片(成人)/盖中盖2.5g*36片</v>
      </c>
      <c r="X3066" s="6" t="s">
        <v>2879</v>
      </c>
    </row>
    <row r="3067" spans="1:24" x14ac:dyDescent="0.15">
      <c r="A3067" s="7" t="str">
        <f t="shared" si="100"/>
        <v>201806</v>
      </c>
      <c r="C3067" s="6" t="str">
        <f>INDEX(工厂基础数据!$A$2:$A$1024,MATCH(X3067,工厂基础数据!$D$2:$D$1024,0))</f>
        <v>02010326</v>
      </c>
      <c r="E3067" s="6" t="str">
        <f>INDEX(工厂基础数据!$B$2:$B$1024,MATCH(X3067,工厂基础数据!$D$2:$D$1024,0))</f>
        <v>山东福华医药有限公司</v>
      </c>
      <c r="F3067" s="6">
        <f>INDEX(商业2转码!$B$2:$B$10000,MATCH(E3067,商业2转码!$A$2:$A$10000,0))</f>
        <v>0</v>
      </c>
      <c r="G3067" s="6" t="str">
        <f>INDEX(品种2编码!$A$2:$A$1048576,MATCH(W3067,品种2编码!$D$2:$D$1048576,0))</f>
        <v>0020020030ZYLC0006</v>
      </c>
      <c r="H3067" s="6" t="s">
        <v>361</v>
      </c>
      <c r="I3067" s="6" t="s">
        <v>2012</v>
      </c>
      <c r="J3067" s="6" t="s">
        <v>3036</v>
      </c>
      <c r="L3067" s="6" t="s">
        <v>2070</v>
      </c>
      <c r="M3067" s="6">
        <f>INDEX(医院2县区2人!$B$2:$B$1048576,MATCH(L3067,医院2县区2人!$A$2:$A$1048576,0))</f>
        <v>1</v>
      </c>
      <c r="N3067" s="6" t="str">
        <f>INDEX(医院2县区2人!$C$2:$C$1048576,MATCH(L3067,医院2县区2人!$A$2:$A$1048576,0))</f>
        <v>1859</v>
      </c>
      <c r="P3067" s="7">
        <v>43263</v>
      </c>
      <c r="Q3067" s="6">
        <v>2</v>
      </c>
      <c r="R3067" s="6">
        <v>9.6</v>
      </c>
      <c r="S3067" s="6">
        <v>180301</v>
      </c>
      <c r="T3067" s="6" t="str">
        <f>INDEX(医院2县区2人!$D$2:$D$1048576,MATCH(L3067,医院2县区2人!$A$2:$A$1048576,0))</f>
        <v>201602151421097</v>
      </c>
      <c r="W3067" s="6" t="str">
        <f t="shared" si="99"/>
        <v>厄贝沙坦胶囊0.075g*24粒</v>
      </c>
      <c r="X3067" s="6" t="s">
        <v>2879</v>
      </c>
    </row>
    <row r="3068" spans="1:24" x14ac:dyDescent="0.15">
      <c r="A3068" s="7" t="str">
        <f t="shared" si="100"/>
        <v>201806</v>
      </c>
      <c r="C3068" s="6" t="str">
        <f>INDEX(工厂基础数据!$A$2:$A$1024,MATCH(X3068,工厂基础数据!$D$2:$D$1024,0))</f>
        <v>02010326</v>
      </c>
      <c r="E3068" s="6" t="str">
        <f>INDEX(工厂基础数据!$B$2:$B$1024,MATCH(X3068,工厂基础数据!$D$2:$D$1024,0))</f>
        <v>山东福华医药有限公司</v>
      </c>
      <c r="F3068" s="6">
        <f>INDEX(商业2转码!$B$2:$B$10000,MATCH(E3068,商业2转码!$A$2:$A$10000,0))</f>
        <v>0</v>
      </c>
      <c r="G3068" s="6" t="str">
        <f>INDEX(品种2编码!$A$2:$A$1048576,MATCH(W3068,品种2编码!$D$2:$D$1048576,0))</f>
        <v>0020050090ZYEC0005</v>
      </c>
      <c r="H3068" s="6" t="s">
        <v>581</v>
      </c>
      <c r="I3068" s="6" t="s">
        <v>1850</v>
      </c>
      <c r="J3068" s="6" t="s">
        <v>3041</v>
      </c>
      <c r="L3068" s="6" t="s">
        <v>2067</v>
      </c>
      <c r="M3068" s="6">
        <f>INDEX(医院2县区2人!$B$2:$B$1048576,MATCH(L3068,医院2县区2人!$A$2:$A$1048576,0))</f>
        <v>1</v>
      </c>
      <c r="N3068" s="6" t="str">
        <f>INDEX(医院2县区2人!$C$2:$C$1048576,MATCH(L3068,医院2县区2人!$A$2:$A$1048576,0))</f>
        <v>1859</v>
      </c>
      <c r="P3068" s="7">
        <v>43263</v>
      </c>
      <c r="Q3068" s="6">
        <v>2</v>
      </c>
      <c r="R3068" s="6">
        <v>13.25</v>
      </c>
      <c r="S3068" s="6">
        <v>180201</v>
      </c>
      <c r="T3068" s="6" t="str">
        <f>INDEX(医院2县区2人!$D$2:$D$1048576,MATCH(L3068,医院2县区2人!$A$2:$A$1048576,0))</f>
        <v>201602151421097</v>
      </c>
      <c r="W3068" s="6" t="str">
        <f t="shared" si="99"/>
        <v>清热解毒口服液10ml*10支</v>
      </c>
      <c r="X3068" s="6" t="s">
        <v>2879</v>
      </c>
    </row>
    <row r="3069" spans="1:24" x14ac:dyDescent="0.15">
      <c r="A3069" s="7" t="str">
        <f t="shared" si="100"/>
        <v>201806</v>
      </c>
      <c r="C3069" s="6" t="str">
        <f>INDEX(工厂基础数据!$A$2:$A$1024,MATCH(X3069,工厂基础数据!$D$2:$D$1024,0))</f>
        <v>02010326</v>
      </c>
      <c r="E3069" s="6" t="str">
        <f>INDEX(工厂基础数据!$B$2:$B$1024,MATCH(X3069,工厂基础数据!$D$2:$D$1024,0))</f>
        <v>山东福华医药有限公司</v>
      </c>
      <c r="F3069" s="6">
        <f>INDEX(商业2转码!$B$2:$B$10000,MATCH(E3069,商业2转码!$A$2:$A$10000,0))</f>
        <v>0</v>
      </c>
      <c r="G3069" s="6" t="str">
        <f>INDEX(品种2编码!$A$2:$A$1048576,MATCH(W3069,品种2编码!$D$2:$D$1048576,0))</f>
        <v>0020020030ZYZC0508</v>
      </c>
      <c r="H3069" s="6" t="s">
        <v>1859</v>
      </c>
      <c r="I3069" s="6" t="s">
        <v>246</v>
      </c>
      <c r="J3069" s="6" t="s">
        <v>3038</v>
      </c>
      <c r="L3069" s="6" t="s">
        <v>2085</v>
      </c>
      <c r="M3069" s="6">
        <f>INDEX(医院2县区2人!$B$2:$B$1048576,MATCH(L3069,医院2县区2人!$A$2:$A$1048576,0))</f>
        <v>1</v>
      </c>
      <c r="N3069" s="6" t="str">
        <f>INDEX(医院2县区2人!$C$2:$C$1048576,MATCH(L3069,医院2县区2人!$A$2:$A$1048576,0))</f>
        <v>1859</v>
      </c>
      <c r="P3069" s="7">
        <v>43263</v>
      </c>
      <c r="Q3069" s="6">
        <v>10</v>
      </c>
      <c r="R3069" s="6">
        <v>5.79</v>
      </c>
      <c r="S3069" s="6" t="s">
        <v>3053</v>
      </c>
      <c r="T3069" s="6" t="str">
        <f>INDEX(医院2县区2人!$D$2:$D$1048576,MATCH(L3069,医院2县区2人!$A$2:$A$1048576,0))</f>
        <v>201602151421097</v>
      </c>
      <c r="W3069" s="6" t="str">
        <f t="shared" si="99"/>
        <v>阿莫西林胶囊/益萨林0.25g*20粒</v>
      </c>
      <c r="X3069" s="6" t="s">
        <v>2879</v>
      </c>
    </row>
    <row r="3070" spans="1:24" x14ac:dyDescent="0.15">
      <c r="A3070" s="7" t="str">
        <f t="shared" si="100"/>
        <v>201806</v>
      </c>
      <c r="C3070" s="6" t="str">
        <f>INDEX(工厂基础数据!$A$2:$A$1024,MATCH(X3070,工厂基础数据!$D$2:$D$1024,0))</f>
        <v>02010326</v>
      </c>
      <c r="E3070" s="6" t="str">
        <f>INDEX(工厂基础数据!$B$2:$B$1024,MATCH(X3070,工厂基础数据!$D$2:$D$1024,0))</f>
        <v>山东福华医药有限公司</v>
      </c>
      <c r="F3070" s="6">
        <f>INDEX(商业2转码!$B$2:$B$10000,MATCH(E3070,商业2转码!$A$2:$A$10000,0))</f>
        <v>0</v>
      </c>
      <c r="G3070" s="6" t="str">
        <f>INDEX(品种2编码!$A$2:$A$1048576,MATCH(W3070,品种2编码!$D$2:$D$1048576,0))</f>
        <v>0020020020SJMS0006</v>
      </c>
      <c r="H3070" s="6" t="s">
        <v>516</v>
      </c>
      <c r="I3070" s="6" t="s">
        <v>1856</v>
      </c>
      <c r="J3070" s="6" t="s">
        <v>3046</v>
      </c>
      <c r="L3070" s="6" t="s">
        <v>2070</v>
      </c>
      <c r="M3070" s="6">
        <f>INDEX(医院2县区2人!$B$2:$B$1048576,MATCH(L3070,医院2县区2人!$A$2:$A$1048576,0))</f>
        <v>1</v>
      </c>
      <c r="N3070" s="6" t="str">
        <f>INDEX(医院2县区2人!$C$2:$C$1048576,MATCH(L3070,医院2县区2人!$A$2:$A$1048576,0))</f>
        <v>1859</v>
      </c>
      <c r="P3070" s="7">
        <v>43263</v>
      </c>
      <c r="Q3070" s="6">
        <v>5</v>
      </c>
      <c r="R3070" s="6">
        <v>1.44</v>
      </c>
      <c r="S3070" s="6">
        <v>1801006</v>
      </c>
      <c r="T3070" s="6" t="str">
        <f>INDEX(医院2县区2人!$D$2:$D$1048576,MATCH(L3070,医院2县区2人!$A$2:$A$1048576,0))</f>
        <v>201602151421097</v>
      </c>
      <c r="W3070" s="6" t="str">
        <f t="shared" si="99"/>
        <v>尼莫地平片20mg*50片</v>
      </c>
      <c r="X3070" s="6" t="s">
        <v>2879</v>
      </c>
    </row>
    <row r="3071" spans="1:24" x14ac:dyDescent="0.15">
      <c r="A3071" s="7" t="str">
        <f t="shared" si="100"/>
        <v>201806</v>
      </c>
      <c r="C3071" s="6" t="str">
        <f>INDEX(工厂基础数据!$A$2:$A$1024,MATCH(X3071,工厂基础数据!$D$2:$D$1024,0))</f>
        <v>02010326</v>
      </c>
      <c r="E3071" s="6" t="str">
        <f>INDEX(工厂基础数据!$B$2:$B$1024,MATCH(X3071,工厂基础数据!$D$2:$D$1024,0))</f>
        <v>山东福华医药有限公司</v>
      </c>
      <c r="F3071" s="6">
        <f>INDEX(商业2转码!$B$2:$B$10000,MATCH(E3071,商业2转码!$A$2:$A$10000,0))</f>
        <v>0</v>
      </c>
      <c r="G3071" s="6" t="str">
        <f>INDEX(品种2编码!$A$2:$A$1048576,MATCH(W3071,品种2编码!$D$2:$D$1048576,0))</f>
        <v>0020020030ZYZC0510</v>
      </c>
      <c r="H3071" s="6" t="s">
        <v>543</v>
      </c>
      <c r="I3071" s="6" t="s">
        <v>1834</v>
      </c>
      <c r="J3071" s="6" t="s">
        <v>3038</v>
      </c>
      <c r="L3071" s="6" t="s">
        <v>2074</v>
      </c>
      <c r="M3071" s="6">
        <f>INDEX(医院2县区2人!$B$2:$B$1048576,MATCH(L3071,医院2县区2人!$A$2:$A$1048576,0))</f>
        <v>1</v>
      </c>
      <c r="N3071" s="6" t="str">
        <f>INDEX(医院2县区2人!$C$2:$C$1048576,MATCH(L3071,医院2县区2人!$A$2:$A$1048576,0))</f>
        <v>1859</v>
      </c>
      <c r="P3071" s="7">
        <v>43263</v>
      </c>
      <c r="Q3071" s="6">
        <v>5</v>
      </c>
      <c r="R3071" s="6">
        <v>2.85</v>
      </c>
      <c r="S3071" s="6" t="s">
        <v>3789</v>
      </c>
      <c r="T3071" s="6" t="str">
        <f>INDEX(医院2县区2人!$D$2:$D$1048576,MATCH(L3071,医院2县区2人!$A$2:$A$1048576,0))</f>
        <v>201602151421097</v>
      </c>
      <c r="W3071" s="6" t="str">
        <f t="shared" si="99"/>
        <v>诺氟沙星胶囊0.1g*20粒</v>
      </c>
      <c r="X3071" s="6" t="s">
        <v>2879</v>
      </c>
    </row>
    <row r="3072" spans="1:24" x14ac:dyDescent="0.15">
      <c r="A3072" s="7" t="str">
        <f t="shared" si="100"/>
        <v>201806</v>
      </c>
      <c r="C3072" s="6" t="str">
        <f>INDEX(工厂基础数据!$A$2:$A$1024,MATCH(X3072,工厂基础数据!$D$2:$D$1024,0))</f>
        <v>02010326</v>
      </c>
      <c r="E3072" s="6" t="str">
        <f>INDEX(工厂基础数据!$B$2:$B$1024,MATCH(X3072,工厂基础数据!$D$2:$D$1024,0))</f>
        <v>山东福华医药有限公司</v>
      </c>
      <c r="F3072" s="6">
        <f>INDEX(商业2转码!$B$2:$B$10000,MATCH(E3072,商业2转码!$A$2:$A$10000,0))</f>
        <v>0</v>
      </c>
      <c r="G3072" s="6" t="str">
        <f>INDEX(品种2编码!$A$2:$A$1048576,MATCH(W3072,品种2编码!$D$2:$D$1048576,0))</f>
        <v>0020020030ZYZC0510</v>
      </c>
      <c r="H3072" s="6" t="s">
        <v>543</v>
      </c>
      <c r="I3072" s="6" t="s">
        <v>1834</v>
      </c>
      <c r="J3072" s="6" t="s">
        <v>3038</v>
      </c>
      <c r="L3072" s="6" t="s">
        <v>2066</v>
      </c>
      <c r="M3072" s="6">
        <f>INDEX(医院2县区2人!$B$2:$B$1048576,MATCH(L3072,医院2县区2人!$A$2:$A$1048576,0))</f>
        <v>1</v>
      </c>
      <c r="N3072" s="6" t="str">
        <f>INDEX(医院2县区2人!$C$2:$C$1048576,MATCH(L3072,医院2县区2人!$A$2:$A$1048576,0))</f>
        <v>1859</v>
      </c>
      <c r="P3072" s="7">
        <v>43263</v>
      </c>
      <c r="Q3072" s="6">
        <v>2</v>
      </c>
      <c r="R3072" s="6">
        <v>2.85</v>
      </c>
      <c r="S3072" s="6" t="s">
        <v>3789</v>
      </c>
      <c r="T3072" s="6" t="str">
        <f>INDEX(医院2县区2人!$D$2:$D$1048576,MATCH(L3072,医院2县区2人!$A$2:$A$1048576,0))</f>
        <v>201602151421097</v>
      </c>
      <c r="W3072" s="6" t="str">
        <f t="shared" si="99"/>
        <v>诺氟沙星胶囊0.1g*20粒</v>
      </c>
      <c r="X3072" s="6" t="s">
        <v>2879</v>
      </c>
    </row>
    <row r="3073" spans="1:24" x14ac:dyDescent="0.15">
      <c r="A3073" s="7" t="str">
        <f t="shared" si="100"/>
        <v>201806</v>
      </c>
      <c r="C3073" s="6" t="str">
        <f>INDEX(工厂基础数据!$A$2:$A$1024,MATCH(X3073,工厂基础数据!$D$2:$D$1024,0))</f>
        <v>02010326</v>
      </c>
      <c r="E3073" s="6" t="str">
        <f>INDEX(工厂基础数据!$B$2:$B$1024,MATCH(X3073,工厂基础数据!$D$2:$D$1024,0))</f>
        <v>山东福华医药有限公司</v>
      </c>
      <c r="F3073" s="6">
        <f>INDEX(商业2转码!$B$2:$B$10000,MATCH(E3073,商业2转码!$A$2:$A$10000,0))</f>
        <v>0</v>
      </c>
      <c r="G3073" s="6" t="str">
        <f>INDEX(品种2编码!$A$2:$A$1048576,MATCH(W3073,品种2编码!$D$2:$D$1048576,0))</f>
        <v>0020030001SJZY0009</v>
      </c>
      <c r="H3073" s="6" t="s">
        <v>555</v>
      </c>
      <c r="I3073" s="6" t="s">
        <v>411</v>
      </c>
      <c r="J3073" s="6" t="s">
        <v>3785</v>
      </c>
      <c r="L3073" s="6" t="s">
        <v>2067</v>
      </c>
      <c r="M3073" s="6">
        <f>INDEX(医院2县区2人!$B$2:$B$1048576,MATCH(L3073,医院2县区2人!$A$2:$A$1048576,0))</f>
        <v>1</v>
      </c>
      <c r="N3073" s="6" t="str">
        <f>INDEX(医院2县区2人!$C$2:$C$1048576,MATCH(L3073,医院2县区2人!$A$2:$A$1048576,0))</f>
        <v>1859</v>
      </c>
      <c r="P3073" s="7">
        <v>43263</v>
      </c>
      <c r="Q3073" s="6">
        <v>5</v>
      </c>
      <c r="R3073" s="6">
        <v>22.08</v>
      </c>
      <c r="S3073" s="6">
        <v>18031227</v>
      </c>
      <c r="T3073" s="6" t="str">
        <f>INDEX(医院2县区2人!$D$2:$D$1048576,MATCH(L3073,医院2县区2人!$A$2:$A$1048576,0))</f>
        <v>201602151421097</v>
      </c>
      <c r="W3073" s="6" t="str">
        <f t="shared" si="99"/>
        <v>葡萄糖酸锌口服液10ml*12支</v>
      </c>
      <c r="X3073" s="6" t="s">
        <v>2879</v>
      </c>
    </row>
    <row r="3074" spans="1:24" x14ac:dyDescent="0.15">
      <c r="A3074" s="7" t="str">
        <f t="shared" si="100"/>
        <v>201806</v>
      </c>
      <c r="C3074" s="6" t="str">
        <f>INDEX(工厂基础数据!$A$2:$A$1024,MATCH(X3074,工厂基础数据!$D$2:$D$1024,0))</f>
        <v>02010326</v>
      </c>
      <c r="E3074" s="6" t="str">
        <f>INDEX(工厂基础数据!$B$2:$B$1024,MATCH(X3074,工厂基础数据!$D$2:$D$1024,0))</f>
        <v>山东福华医药有限公司</v>
      </c>
      <c r="F3074" s="6">
        <f>INDEX(商业2转码!$B$2:$B$10000,MATCH(E3074,商业2转码!$A$2:$A$10000,0))</f>
        <v>0</v>
      </c>
      <c r="G3074" s="6" t="str">
        <f>INDEX(品种2编码!$A$2:$A$1048576,MATCH(W3074,品种2编码!$D$2:$D$1048576,0))</f>
        <v>0020020021ZYLC0004</v>
      </c>
      <c r="H3074" s="6" t="s">
        <v>1868</v>
      </c>
      <c r="I3074" s="6" t="s">
        <v>1869</v>
      </c>
      <c r="J3074" s="6" t="s">
        <v>3036</v>
      </c>
      <c r="L3074" s="6" t="s">
        <v>2175</v>
      </c>
      <c r="M3074" s="6">
        <f>INDEX(医院2县区2人!$B$2:$B$1048576,MATCH(L3074,医院2县区2人!$A$2:$A$1048576,0))</f>
        <v>2</v>
      </c>
      <c r="N3074" s="6" t="str">
        <f>INDEX(医院2县区2人!$C$2:$C$1048576,MATCH(L3074,医院2县区2人!$A$2:$A$1048576,0))</f>
        <v>1859</v>
      </c>
      <c r="P3074" s="7">
        <v>43262</v>
      </c>
      <c r="Q3074" s="6">
        <v>5</v>
      </c>
      <c r="R3074" s="6">
        <v>8</v>
      </c>
      <c r="S3074" s="6">
        <v>180201</v>
      </c>
      <c r="T3074" s="6" t="str">
        <f>INDEX(医院2县区2人!$D$2:$D$1048576,MATCH(L3074,医院2县区2人!$A$2:$A$1048576,0))</f>
        <v>201602151421097</v>
      </c>
      <c r="W3074" s="6" t="str">
        <f t="shared" si="99"/>
        <v>罗红霉素分散片/大严迪75mg*12片</v>
      </c>
      <c r="X3074" s="6" t="s">
        <v>2879</v>
      </c>
    </row>
    <row r="3075" spans="1:24" x14ac:dyDescent="0.15">
      <c r="A3075" s="7" t="str">
        <f t="shared" si="100"/>
        <v>201806</v>
      </c>
      <c r="C3075" s="6" t="str">
        <f>INDEX(工厂基础数据!$A$2:$A$1024,MATCH(X3075,工厂基础数据!$D$2:$D$1024,0))</f>
        <v>02010326</v>
      </c>
      <c r="E3075" s="6" t="str">
        <f>INDEX(工厂基础数据!$B$2:$B$1024,MATCH(X3075,工厂基础数据!$D$2:$D$1024,0))</f>
        <v>山东福华医药有限公司</v>
      </c>
      <c r="F3075" s="6">
        <f>INDEX(商业2转码!$B$2:$B$10000,MATCH(E3075,商业2转码!$A$2:$A$10000,0))</f>
        <v>0</v>
      </c>
      <c r="G3075" s="6" t="str">
        <f>INDEX(品种2编码!$A$2:$A$1048576,MATCH(W3075,品种2编码!$D$2:$D$1048576,0))</f>
        <v>0020030020ZYLC0013</v>
      </c>
      <c r="H3075" s="6" t="s">
        <v>591</v>
      </c>
      <c r="I3075" s="6" t="s">
        <v>1839</v>
      </c>
      <c r="J3075" s="6" t="s">
        <v>3036</v>
      </c>
      <c r="L3075" s="6" t="s">
        <v>2059</v>
      </c>
      <c r="M3075" s="6">
        <f>INDEX(医院2县区2人!$B$2:$B$1048576,MATCH(L3075,医院2县区2人!$A$2:$A$1048576,0))</f>
        <v>1</v>
      </c>
      <c r="N3075" s="6" t="str">
        <f>INDEX(医院2县区2人!$C$2:$C$1048576,MATCH(L3075,医院2县区2人!$A$2:$A$1048576,0))</f>
        <v>1859</v>
      </c>
      <c r="P3075" s="7">
        <v>43262</v>
      </c>
      <c r="Q3075" s="6">
        <v>3</v>
      </c>
      <c r="R3075" s="6">
        <v>7.68</v>
      </c>
      <c r="S3075" s="6">
        <v>180302</v>
      </c>
      <c r="T3075" s="6" t="str">
        <f>INDEX(医院2县区2人!$D$2:$D$1048576,MATCH(L3075,医院2县区2人!$A$2:$A$1048576,0))</f>
        <v>201602151421097</v>
      </c>
      <c r="W3075" s="6" t="str">
        <f t="shared" si="99"/>
        <v>乳酸菌素片0.4g*36片</v>
      </c>
      <c r="X3075" s="6" t="s">
        <v>2879</v>
      </c>
    </row>
    <row r="3076" spans="1:24" x14ac:dyDescent="0.15">
      <c r="A3076" s="7" t="str">
        <f t="shared" si="100"/>
        <v>201806</v>
      </c>
      <c r="C3076" s="6" t="str">
        <f>INDEX(工厂基础数据!$A$2:$A$1024,MATCH(X3076,工厂基础数据!$D$2:$D$1024,0))</f>
        <v>02010326</v>
      </c>
      <c r="E3076" s="6" t="str">
        <f>INDEX(工厂基础数据!$B$2:$B$1024,MATCH(X3076,工厂基础数据!$D$2:$D$1024,0))</f>
        <v>山东福华医药有限公司</v>
      </c>
      <c r="F3076" s="6">
        <f>INDEX(商业2转码!$B$2:$B$10000,MATCH(E3076,商业2转码!$A$2:$A$10000,0))</f>
        <v>0</v>
      </c>
      <c r="G3076" s="6" t="str">
        <f>INDEX(品种2编码!$A$2:$A$1048576,MATCH(W3076,品种2编码!$D$2:$D$1048576,0))</f>
        <v>0020030001SJZY0006</v>
      </c>
      <c r="H3076" s="6" t="s">
        <v>1833</v>
      </c>
      <c r="I3076" s="6" t="s">
        <v>411</v>
      </c>
      <c r="J3076" s="6" t="s">
        <v>3044</v>
      </c>
      <c r="L3076" s="6" t="s">
        <v>2079</v>
      </c>
      <c r="M3076" s="6">
        <f>INDEX(医院2县区2人!$B$2:$B$1048576,MATCH(L3076,医院2县区2人!$A$2:$A$1048576,0))</f>
        <v>1</v>
      </c>
      <c r="N3076" s="6" t="str">
        <f>INDEX(医院2县区2人!$C$2:$C$1048576,MATCH(L3076,医院2县区2人!$A$2:$A$1048576,0))</f>
        <v>1859</v>
      </c>
      <c r="P3076" s="7">
        <v>43262</v>
      </c>
      <c r="Q3076" s="6">
        <v>20</v>
      </c>
      <c r="R3076" s="6">
        <v>21.12</v>
      </c>
      <c r="S3076" s="6">
        <v>18030842</v>
      </c>
      <c r="T3076" s="6" t="str">
        <f>INDEX(医院2县区2人!$D$2:$D$1048576,MATCH(L3076,医院2县区2人!$A$2:$A$1048576,0))</f>
        <v>201602151421097</v>
      </c>
      <c r="W3076" s="6" t="str">
        <f t="shared" si="99"/>
        <v>葡萄糖酸钙口服溶液10ml*12支</v>
      </c>
      <c r="X3076" s="6" t="s">
        <v>2879</v>
      </c>
    </row>
    <row r="3077" spans="1:24" x14ac:dyDescent="0.15">
      <c r="A3077" s="7" t="str">
        <f t="shared" si="100"/>
        <v>201806</v>
      </c>
      <c r="C3077" s="6" t="str">
        <f>INDEX(工厂基础数据!$A$2:$A$1024,MATCH(X3077,工厂基础数据!$D$2:$D$1024,0))</f>
        <v>02010326</v>
      </c>
      <c r="E3077" s="6" t="str">
        <f>INDEX(工厂基础数据!$B$2:$B$1024,MATCH(X3077,工厂基础数据!$D$2:$D$1024,0))</f>
        <v>山东福华医药有限公司</v>
      </c>
      <c r="F3077" s="6">
        <f>INDEX(商业2转码!$B$2:$B$10000,MATCH(E3077,商业2转码!$A$2:$A$10000,0))</f>
        <v>0</v>
      </c>
      <c r="G3077" s="6" t="str">
        <f>INDEX(品种2编码!$A$2:$A$1048576,MATCH(W3077,品种2编码!$D$2:$D$1048576,0))</f>
        <v>0020030001SJZY0009</v>
      </c>
      <c r="H3077" s="6" t="s">
        <v>555</v>
      </c>
      <c r="I3077" s="6" t="s">
        <v>411</v>
      </c>
      <c r="J3077" s="6" t="s">
        <v>3785</v>
      </c>
      <c r="L3077" s="6" t="s">
        <v>2079</v>
      </c>
      <c r="M3077" s="6">
        <f>INDEX(医院2县区2人!$B$2:$B$1048576,MATCH(L3077,医院2县区2人!$A$2:$A$1048576,0))</f>
        <v>1</v>
      </c>
      <c r="N3077" s="6" t="str">
        <f>INDEX(医院2县区2人!$C$2:$C$1048576,MATCH(L3077,医院2县区2人!$A$2:$A$1048576,0))</f>
        <v>1859</v>
      </c>
      <c r="P3077" s="7">
        <v>43262</v>
      </c>
      <c r="Q3077" s="6">
        <v>10</v>
      </c>
      <c r="R3077" s="6">
        <v>22.08</v>
      </c>
      <c r="S3077" s="6">
        <v>18031227</v>
      </c>
      <c r="T3077" s="6" t="str">
        <f>INDEX(医院2县区2人!$D$2:$D$1048576,MATCH(L3077,医院2县区2人!$A$2:$A$1048576,0))</f>
        <v>201602151421097</v>
      </c>
      <c r="W3077" s="6" t="str">
        <f t="shared" si="99"/>
        <v>葡萄糖酸锌口服液10ml*12支</v>
      </c>
      <c r="X3077" s="6" t="s">
        <v>2879</v>
      </c>
    </row>
    <row r="3078" spans="1:24" x14ac:dyDescent="0.15">
      <c r="A3078" s="7" t="str">
        <f t="shared" si="100"/>
        <v>201806</v>
      </c>
      <c r="C3078" s="6" t="str">
        <f>INDEX(工厂基础数据!$A$2:$A$1024,MATCH(X3078,工厂基础数据!$D$2:$D$1024,0))</f>
        <v>02010326</v>
      </c>
      <c r="E3078" s="6" t="str">
        <f>INDEX(工厂基础数据!$B$2:$B$1024,MATCH(X3078,工厂基础数据!$D$2:$D$1024,0))</f>
        <v>山东福华医药有限公司</v>
      </c>
      <c r="F3078" s="6">
        <f>INDEX(商业2转码!$B$2:$B$10000,MATCH(E3078,商业2转码!$A$2:$A$10000,0))</f>
        <v>0</v>
      </c>
      <c r="G3078" s="6" t="str">
        <f>INDEX(品种2编码!$A$2:$A$1048576,MATCH(W3078,品种2编码!$D$2:$D$1048576,0))</f>
        <v>0020030001SJZY0006</v>
      </c>
      <c r="H3078" s="6" t="s">
        <v>1833</v>
      </c>
      <c r="I3078" s="6" t="s">
        <v>411</v>
      </c>
      <c r="J3078" s="6" t="s">
        <v>3044</v>
      </c>
      <c r="L3078" s="6" t="s">
        <v>2084</v>
      </c>
      <c r="M3078" s="6">
        <f>INDEX(医院2县区2人!$B$2:$B$1048576,MATCH(L3078,医院2县区2人!$A$2:$A$1048576,0))</f>
        <v>1</v>
      </c>
      <c r="N3078" s="6" t="str">
        <f>INDEX(医院2县区2人!$C$2:$C$1048576,MATCH(L3078,医院2县区2人!$A$2:$A$1048576,0))</f>
        <v>1859</v>
      </c>
      <c r="P3078" s="7">
        <v>43262</v>
      </c>
      <c r="Q3078" s="6">
        <v>20</v>
      </c>
      <c r="R3078" s="6">
        <v>21.12</v>
      </c>
      <c r="S3078" s="6">
        <v>18030842</v>
      </c>
      <c r="T3078" s="6" t="str">
        <f>INDEX(医院2县区2人!$D$2:$D$1048576,MATCH(L3078,医院2县区2人!$A$2:$A$1048576,0))</f>
        <v>201602151421097</v>
      </c>
      <c r="W3078" s="6" t="str">
        <f t="shared" si="99"/>
        <v>葡萄糖酸钙口服溶液10ml*12支</v>
      </c>
      <c r="X3078" s="6" t="s">
        <v>2879</v>
      </c>
    </row>
    <row r="3079" spans="1:24" x14ac:dyDescent="0.15">
      <c r="A3079" s="7" t="str">
        <f t="shared" si="100"/>
        <v>201806</v>
      </c>
      <c r="C3079" s="6" t="str">
        <f>INDEX(工厂基础数据!$A$2:$A$1024,MATCH(X3079,工厂基础数据!$D$2:$D$1024,0))</f>
        <v>02010326</v>
      </c>
      <c r="E3079" s="6" t="str">
        <f>INDEX(工厂基础数据!$B$2:$B$1024,MATCH(X3079,工厂基础数据!$D$2:$D$1024,0))</f>
        <v>山东福华医药有限公司</v>
      </c>
      <c r="F3079" s="6">
        <f>INDEX(商业2转码!$B$2:$B$10000,MATCH(E3079,商业2转码!$A$2:$A$10000,0))</f>
        <v>0</v>
      </c>
      <c r="G3079" s="6" t="str">
        <f>INDEX(品种2编码!$A$2:$A$1048576,MATCH(W3079,品种2编码!$D$2:$D$1048576,0))</f>
        <v>0020030001SJZY0009</v>
      </c>
      <c r="H3079" s="6" t="s">
        <v>555</v>
      </c>
      <c r="I3079" s="6" t="s">
        <v>411</v>
      </c>
      <c r="J3079" s="6" t="s">
        <v>3785</v>
      </c>
      <c r="L3079" s="6" t="s">
        <v>2084</v>
      </c>
      <c r="M3079" s="6">
        <f>INDEX(医院2县区2人!$B$2:$B$1048576,MATCH(L3079,医院2县区2人!$A$2:$A$1048576,0))</f>
        <v>1</v>
      </c>
      <c r="N3079" s="6" t="str">
        <f>INDEX(医院2县区2人!$C$2:$C$1048576,MATCH(L3079,医院2县区2人!$A$2:$A$1048576,0))</f>
        <v>1859</v>
      </c>
      <c r="P3079" s="7">
        <v>43262</v>
      </c>
      <c r="Q3079" s="6">
        <v>20</v>
      </c>
      <c r="R3079" s="6">
        <v>22.08</v>
      </c>
      <c r="S3079" s="6">
        <v>18031227</v>
      </c>
      <c r="T3079" s="6" t="str">
        <f>INDEX(医院2县区2人!$D$2:$D$1048576,MATCH(L3079,医院2县区2人!$A$2:$A$1048576,0))</f>
        <v>201602151421097</v>
      </c>
      <c r="W3079" s="6" t="str">
        <f t="shared" si="99"/>
        <v>葡萄糖酸锌口服液10ml*12支</v>
      </c>
      <c r="X3079" s="6" t="s">
        <v>2879</v>
      </c>
    </row>
    <row r="3080" spans="1:24" x14ac:dyDescent="0.15">
      <c r="A3080" s="7" t="str">
        <f t="shared" si="100"/>
        <v>201806</v>
      </c>
      <c r="C3080" s="6" t="str">
        <f>INDEX(工厂基础数据!$A$2:$A$1024,MATCH(X3080,工厂基础数据!$D$2:$D$1024,0))</f>
        <v>02010326</v>
      </c>
      <c r="E3080" s="6" t="str">
        <f>INDEX(工厂基础数据!$B$2:$B$1024,MATCH(X3080,工厂基础数据!$D$2:$D$1024,0))</f>
        <v>山东福华医药有限公司</v>
      </c>
      <c r="F3080" s="6">
        <f>INDEX(商业2转码!$B$2:$B$10000,MATCH(E3080,商业2转码!$A$2:$A$10000,0))</f>
        <v>0</v>
      </c>
      <c r="G3080" s="6" t="str">
        <f>INDEX(品种2编码!$A$2:$A$1048576,MATCH(W3080,品种2编码!$D$2:$D$1048576,0))</f>
        <v>0020030001SJZY0006</v>
      </c>
      <c r="H3080" s="6" t="s">
        <v>1833</v>
      </c>
      <c r="I3080" s="6" t="s">
        <v>411</v>
      </c>
      <c r="J3080" s="6" t="s">
        <v>3044</v>
      </c>
      <c r="L3080" s="6" t="s">
        <v>2083</v>
      </c>
      <c r="M3080" s="6">
        <f>INDEX(医院2县区2人!$B$2:$B$1048576,MATCH(L3080,医院2县区2人!$A$2:$A$1048576,0))</f>
        <v>1</v>
      </c>
      <c r="N3080" s="6" t="str">
        <f>INDEX(医院2县区2人!$C$2:$C$1048576,MATCH(L3080,医院2县区2人!$A$2:$A$1048576,0))</f>
        <v>1859</v>
      </c>
      <c r="P3080" s="7">
        <v>43262</v>
      </c>
      <c r="Q3080" s="6">
        <v>15</v>
      </c>
      <c r="R3080" s="6">
        <v>21.12</v>
      </c>
      <c r="S3080" s="6">
        <v>18030842</v>
      </c>
      <c r="T3080" s="6" t="str">
        <f>INDEX(医院2县区2人!$D$2:$D$1048576,MATCH(L3080,医院2县区2人!$A$2:$A$1048576,0))</f>
        <v>201602151421097</v>
      </c>
      <c r="W3080" s="6" t="str">
        <f t="shared" si="99"/>
        <v>葡萄糖酸钙口服溶液10ml*12支</v>
      </c>
      <c r="X3080" s="6" t="s">
        <v>2879</v>
      </c>
    </row>
    <row r="3081" spans="1:24" x14ac:dyDescent="0.15">
      <c r="A3081" s="7" t="str">
        <f t="shared" si="100"/>
        <v>201806</v>
      </c>
      <c r="C3081" s="6" t="str">
        <f>INDEX(工厂基础数据!$A$2:$A$1024,MATCH(X3081,工厂基础数据!$D$2:$D$1024,0))</f>
        <v>02010326</v>
      </c>
      <c r="E3081" s="6" t="str">
        <f>INDEX(工厂基础数据!$B$2:$B$1024,MATCH(X3081,工厂基础数据!$D$2:$D$1024,0))</f>
        <v>山东福华医药有限公司</v>
      </c>
      <c r="F3081" s="6">
        <f>INDEX(商业2转码!$B$2:$B$10000,MATCH(E3081,商业2转码!$A$2:$A$10000,0))</f>
        <v>0</v>
      </c>
      <c r="G3081" s="6" t="str">
        <f>INDEX(品种2编码!$A$2:$A$1048576,MATCH(W3081,品种2编码!$D$2:$D$1048576,0))</f>
        <v>0020030001SJZY0006</v>
      </c>
      <c r="H3081" s="6" t="s">
        <v>1833</v>
      </c>
      <c r="I3081" s="6" t="s">
        <v>411</v>
      </c>
      <c r="J3081" s="6" t="s">
        <v>3044</v>
      </c>
      <c r="L3081" s="6" t="s">
        <v>2083</v>
      </c>
      <c r="M3081" s="6">
        <f>INDEX(医院2县区2人!$B$2:$B$1048576,MATCH(L3081,医院2县区2人!$A$2:$A$1048576,0))</f>
        <v>1</v>
      </c>
      <c r="N3081" s="6" t="str">
        <f>INDEX(医院2县区2人!$C$2:$C$1048576,MATCH(L3081,医院2县区2人!$A$2:$A$1048576,0))</f>
        <v>1859</v>
      </c>
      <c r="P3081" s="7">
        <v>43262</v>
      </c>
      <c r="Q3081" s="6">
        <v>5</v>
      </c>
      <c r="R3081" s="6">
        <v>21.12</v>
      </c>
      <c r="S3081" s="6">
        <v>18030842</v>
      </c>
      <c r="T3081" s="6" t="str">
        <f>INDEX(医院2县区2人!$D$2:$D$1048576,MATCH(L3081,医院2县区2人!$A$2:$A$1048576,0))</f>
        <v>201602151421097</v>
      </c>
      <c r="W3081" s="6" t="str">
        <f t="shared" si="99"/>
        <v>葡萄糖酸钙口服溶液10ml*12支</v>
      </c>
      <c r="X3081" s="6" t="s">
        <v>2879</v>
      </c>
    </row>
    <row r="3082" spans="1:24" x14ac:dyDescent="0.15">
      <c r="A3082" s="7" t="str">
        <f t="shared" si="100"/>
        <v>201806</v>
      </c>
      <c r="C3082" s="6" t="str">
        <f>INDEX(工厂基础数据!$A$2:$A$1024,MATCH(X3082,工厂基础数据!$D$2:$D$1024,0))</f>
        <v>02010326</v>
      </c>
      <c r="E3082" s="6" t="str">
        <f>INDEX(工厂基础数据!$B$2:$B$1024,MATCH(X3082,工厂基础数据!$D$2:$D$1024,0))</f>
        <v>山东福华医药有限公司</v>
      </c>
      <c r="F3082" s="6">
        <f>INDEX(商业2转码!$B$2:$B$10000,MATCH(E3082,商业2转码!$A$2:$A$10000,0))</f>
        <v>0</v>
      </c>
      <c r="G3082" s="6" t="str">
        <f>INDEX(品种2编码!$A$2:$A$1048576,MATCH(W3082,品种2编码!$D$2:$D$1048576,0))</f>
        <v>0020030001SJZY0009</v>
      </c>
      <c r="H3082" s="6" t="s">
        <v>555</v>
      </c>
      <c r="I3082" s="6" t="s">
        <v>411</v>
      </c>
      <c r="J3082" s="6" t="s">
        <v>3785</v>
      </c>
      <c r="L3082" s="6" t="s">
        <v>2083</v>
      </c>
      <c r="M3082" s="6">
        <f>INDEX(医院2县区2人!$B$2:$B$1048576,MATCH(L3082,医院2县区2人!$A$2:$A$1048576,0))</f>
        <v>1</v>
      </c>
      <c r="N3082" s="6" t="str">
        <f>INDEX(医院2县区2人!$C$2:$C$1048576,MATCH(L3082,医院2县区2人!$A$2:$A$1048576,0))</f>
        <v>1859</v>
      </c>
      <c r="P3082" s="7">
        <v>43262</v>
      </c>
      <c r="Q3082" s="6">
        <v>20</v>
      </c>
      <c r="R3082" s="6">
        <v>22.08</v>
      </c>
      <c r="S3082" s="6">
        <v>18031227</v>
      </c>
      <c r="T3082" s="6" t="str">
        <f>INDEX(医院2县区2人!$D$2:$D$1048576,MATCH(L3082,医院2县区2人!$A$2:$A$1048576,0))</f>
        <v>201602151421097</v>
      </c>
      <c r="W3082" s="6" t="str">
        <f t="shared" si="99"/>
        <v>葡萄糖酸锌口服液10ml*12支</v>
      </c>
      <c r="X3082" s="6" t="s">
        <v>2879</v>
      </c>
    </row>
    <row r="3083" spans="1:24" x14ac:dyDescent="0.15">
      <c r="A3083" s="7" t="str">
        <f t="shared" si="100"/>
        <v>201806</v>
      </c>
      <c r="C3083" s="6" t="str">
        <f>INDEX(工厂基础数据!$A$2:$A$1024,MATCH(X3083,工厂基础数据!$D$2:$D$1024,0))</f>
        <v>02010326</v>
      </c>
      <c r="E3083" s="6" t="str">
        <f>INDEX(工厂基础数据!$B$2:$B$1024,MATCH(X3083,工厂基础数据!$D$2:$D$1024,0))</f>
        <v>山东福华医药有限公司</v>
      </c>
      <c r="F3083" s="6">
        <f>INDEX(商业2转码!$B$2:$B$10000,MATCH(E3083,商业2转码!$A$2:$A$10000,0))</f>
        <v>0</v>
      </c>
      <c r="G3083" s="6" t="str">
        <f>INDEX(品种2编码!$A$2:$A$1048576,MATCH(W3083,品种2编码!$D$2:$D$1048576,0))</f>
        <v>0020020030ZYZC0510</v>
      </c>
      <c r="H3083" s="6" t="s">
        <v>543</v>
      </c>
      <c r="I3083" s="6" t="s">
        <v>1834</v>
      </c>
      <c r="J3083" s="6" t="s">
        <v>3038</v>
      </c>
      <c r="L3083" s="6" t="s">
        <v>2083</v>
      </c>
      <c r="M3083" s="6">
        <f>INDEX(医院2县区2人!$B$2:$B$1048576,MATCH(L3083,医院2县区2人!$A$2:$A$1048576,0))</f>
        <v>1</v>
      </c>
      <c r="N3083" s="6" t="str">
        <f>INDEX(医院2县区2人!$C$2:$C$1048576,MATCH(L3083,医院2县区2人!$A$2:$A$1048576,0))</f>
        <v>1859</v>
      </c>
      <c r="P3083" s="7">
        <v>43262</v>
      </c>
      <c r="Q3083" s="6">
        <v>6</v>
      </c>
      <c r="R3083" s="6">
        <v>2.85</v>
      </c>
      <c r="S3083" s="6" t="s">
        <v>3789</v>
      </c>
      <c r="T3083" s="6" t="str">
        <f>INDEX(医院2县区2人!$D$2:$D$1048576,MATCH(L3083,医院2县区2人!$A$2:$A$1048576,0))</f>
        <v>201602151421097</v>
      </c>
      <c r="W3083" s="6" t="str">
        <f t="shared" si="99"/>
        <v>诺氟沙星胶囊0.1g*20粒</v>
      </c>
      <c r="X3083" s="6" t="s">
        <v>2879</v>
      </c>
    </row>
    <row r="3084" spans="1:24" x14ac:dyDescent="0.15">
      <c r="A3084" s="7" t="str">
        <f t="shared" si="100"/>
        <v>201806</v>
      </c>
      <c r="C3084" s="6" t="str">
        <f>INDEX(工厂基础数据!$A$2:$A$1024,MATCH(X3084,工厂基础数据!$D$2:$D$1024,0))</f>
        <v>02010326</v>
      </c>
      <c r="E3084" s="6" t="str">
        <f>INDEX(工厂基础数据!$B$2:$B$1024,MATCH(X3084,工厂基础数据!$D$2:$D$1024,0))</f>
        <v>山东福华医药有限公司</v>
      </c>
      <c r="F3084" s="6">
        <f>INDEX(商业2转码!$B$2:$B$10000,MATCH(E3084,商业2转码!$A$2:$A$10000,0))</f>
        <v>0</v>
      </c>
      <c r="G3084" s="6" t="str">
        <f>INDEX(品种2编码!$A$2:$A$1048576,MATCH(W3084,品种2编码!$D$2:$D$1048576,0))</f>
        <v>0020070000ZYLC0001</v>
      </c>
      <c r="H3084" s="6" t="s">
        <v>1837</v>
      </c>
      <c r="I3084" s="6" t="s">
        <v>1838</v>
      </c>
      <c r="J3084" s="6" t="s">
        <v>3036</v>
      </c>
      <c r="L3084" s="6" t="s">
        <v>2575</v>
      </c>
      <c r="M3084" s="6">
        <f>INDEX(医院2县区2人!$B$2:$B$1048576,MATCH(L3084,医院2县区2人!$A$2:$A$1048576,0))</f>
        <v>2</v>
      </c>
      <c r="N3084" s="6" t="str">
        <f>INDEX(医院2县区2人!$C$2:$C$1048576,MATCH(L3084,医院2县区2人!$A$2:$A$1048576,0))</f>
        <v>1859</v>
      </c>
      <c r="P3084" s="7">
        <v>43262</v>
      </c>
      <c r="Q3084" s="6">
        <v>2</v>
      </c>
      <c r="R3084" s="6">
        <v>24</v>
      </c>
      <c r="S3084" s="6">
        <v>180104</v>
      </c>
      <c r="T3084" s="6" t="str">
        <f>INDEX(医院2县区2人!$D$2:$D$1048576,MATCH(L3084,医院2县区2人!$A$2:$A$1048576,0))</f>
        <v>201602151421097</v>
      </c>
      <c r="W3084" s="6" t="str">
        <f t="shared" si="99"/>
        <v>新盖中盖高钙片(成人)/盖中盖2.5g*36片</v>
      </c>
      <c r="X3084" s="6" t="s">
        <v>2879</v>
      </c>
    </row>
    <row r="3085" spans="1:24" x14ac:dyDescent="0.15">
      <c r="A3085" s="7" t="str">
        <f t="shared" si="100"/>
        <v>201806</v>
      </c>
      <c r="C3085" s="6" t="str">
        <f>INDEX(工厂基础数据!$A$2:$A$1024,MATCH(X3085,工厂基础数据!$D$2:$D$1024,0))</f>
        <v>02010326</v>
      </c>
      <c r="E3085" s="6" t="str">
        <f>INDEX(工厂基础数据!$B$2:$B$1024,MATCH(X3085,工厂基础数据!$D$2:$D$1024,0))</f>
        <v>山东福华医药有限公司</v>
      </c>
      <c r="F3085" s="6">
        <f>INDEX(商业2转码!$B$2:$B$10000,MATCH(E3085,商业2转码!$A$2:$A$10000,0))</f>
        <v>0</v>
      </c>
      <c r="G3085" s="6" t="str">
        <f>INDEX(品种2编码!$A$2:$A$1048576,MATCH(W3085,品种2编码!$D$2:$D$1048576,0))</f>
        <v>0020020020ZYLC0003</v>
      </c>
      <c r="H3085" s="6" t="s">
        <v>1855</v>
      </c>
      <c r="I3085" s="6" t="s">
        <v>381</v>
      </c>
      <c r="J3085" s="6" t="s">
        <v>3036</v>
      </c>
      <c r="L3085" s="6" t="s">
        <v>2059</v>
      </c>
      <c r="M3085" s="6">
        <f>INDEX(医院2县区2人!$B$2:$B$1048576,MATCH(L3085,医院2县区2人!$A$2:$A$1048576,0))</f>
        <v>1</v>
      </c>
      <c r="N3085" s="6" t="str">
        <f>INDEX(医院2县区2人!$C$2:$C$1048576,MATCH(L3085,医院2县区2人!$A$2:$A$1048576,0))</f>
        <v>1859</v>
      </c>
      <c r="P3085" s="7">
        <v>43262</v>
      </c>
      <c r="Q3085" s="6">
        <v>5</v>
      </c>
      <c r="R3085" s="6">
        <v>5.31</v>
      </c>
      <c r="S3085" s="6">
        <v>161002</v>
      </c>
      <c r="T3085" s="6" t="str">
        <f>INDEX(医院2县区2人!$D$2:$D$1048576,MATCH(L3085,医院2县区2人!$A$2:$A$1048576,0))</f>
        <v>201602151421097</v>
      </c>
      <c r="W3085" s="6" t="str">
        <f t="shared" si="99"/>
        <v>颠茄磺苄啶片12片</v>
      </c>
      <c r="X3085" s="6" t="s">
        <v>2879</v>
      </c>
    </row>
    <row r="3086" spans="1:24" x14ac:dyDescent="0.15">
      <c r="A3086" s="7" t="str">
        <f t="shared" si="100"/>
        <v>201806</v>
      </c>
      <c r="C3086" s="6" t="str">
        <f>INDEX(工厂基础数据!$A$2:$A$1024,MATCH(X3086,工厂基础数据!$D$2:$D$1024,0))</f>
        <v>02010326</v>
      </c>
      <c r="E3086" s="6" t="str">
        <f>INDEX(工厂基础数据!$B$2:$B$1024,MATCH(X3086,工厂基础数据!$D$2:$D$1024,0))</f>
        <v>山东福华医药有限公司</v>
      </c>
      <c r="F3086" s="6">
        <f>INDEX(商业2转码!$B$2:$B$10000,MATCH(E3086,商业2转码!$A$2:$A$10000,0))</f>
        <v>0</v>
      </c>
      <c r="G3086" s="6" t="str">
        <f>INDEX(品种2编码!$A$2:$A$1048576,MATCH(W3086,品种2编码!$D$2:$D$1048576,0))</f>
        <v>0020050020ZYEC0008</v>
      </c>
      <c r="H3086" s="6" t="s">
        <v>1845</v>
      </c>
      <c r="I3086" s="6" t="s">
        <v>1846</v>
      </c>
      <c r="J3086" s="6" t="s">
        <v>3041</v>
      </c>
      <c r="L3086" s="6" t="s">
        <v>3778</v>
      </c>
      <c r="M3086" s="6" t="e">
        <f>INDEX(医院2县区2人!$B$2:$B$1048576,MATCH(L3086,医院2县区2人!$A$2:$A$1048576,0))</f>
        <v>#N/A</v>
      </c>
      <c r="N3086" s="6" t="e">
        <f>INDEX(医院2县区2人!$C$2:$C$1048576,MATCH(L3086,医院2县区2人!$A$2:$A$1048576,0))</f>
        <v>#N/A</v>
      </c>
      <c r="P3086" s="7">
        <v>43262</v>
      </c>
      <c r="Q3086" s="6">
        <v>5</v>
      </c>
      <c r="R3086" s="6">
        <v>14.5</v>
      </c>
      <c r="S3086" s="6">
        <v>161201</v>
      </c>
      <c r="T3086" s="6" t="e">
        <f>INDEX(医院2县区2人!$D$2:$D$1048576,MATCH(L3086,医院2县区2人!$A$2:$A$1048576,0))</f>
        <v>#N/A</v>
      </c>
      <c r="W3086" s="6" t="str">
        <f t="shared" si="99"/>
        <v>感冒解毒灵颗粒5g*10袋</v>
      </c>
      <c r="X3086" s="6" t="s">
        <v>2879</v>
      </c>
    </row>
    <row r="3087" spans="1:24" x14ac:dyDescent="0.15">
      <c r="A3087" s="7" t="str">
        <f t="shared" si="100"/>
        <v>201806</v>
      </c>
      <c r="C3087" s="6" t="str">
        <f>INDEX(工厂基础数据!$A$2:$A$1024,MATCH(X3087,工厂基础数据!$D$2:$D$1024,0))</f>
        <v>02010326</v>
      </c>
      <c r="E3087" s="6" t="str">
        <f>INDEX(工厂基础数据!$B$2:$B$1024,MATCH(X3087,工厂基础数据!$D$2:$D$1024,0))</f>
        <v>山东福华医药有限公司</v>
      </c>
      <c r="F3087" s="6">
        <f>INDEX(商业2转码!$B$2:$B$10000,MATCH(E3087,商业2转码!$A$2:$A$10000,0))</f>
        <v>0</v>
      </c>
      <c r="G3087" s="6" t="str">
        <f>INDEX(品种2编码!$A$2:$A$1048576,MATCH(W3087,品种2编码!$D$2:$D$1048576,0))</f>
        <v>0020070000ZYLC0001</v>
      </c>
      <c r="H3087" s="6" t="s">
        <v>1837</v>
      </c>
      <c r="I3087" s="6" t="s">
        <v>1838</v>
      </c>
      <c r="J3087" s="6" t="s">
        <v>3036</v>
      </c>
      <c r="L3087" s="6" t="s">
        <v>2110</v>
      </c>
      <c r="M3087" s="6">
        <f>INDEX(医院2县区2人!$B$2:$B$1048576,MATCH(L3087,医院2县区2人!$A$2:$A$1048576,0))</f>
        <v>2</v>
      </c>
      <c r="N3087" s="6" t="str">
        <f>INDEX(医院2县区2人!$C$2:$C$1048576,MATCH(L3087,医院2县区2人!$A$2:$A$1048576,0))</f>
        <v>1859</v>
      </c>
      <c r="P3087" s="7">
        <v>43262</v>
      </c>
      <c r="Q3087" s="6">
        <v>30</v>
      </c>
      <c r="R3087" s="6">
        <v>24.3</v>
      </c>
      <c r="S3087" s="6">
        <v>180104</v>
      </c>
      <c r="T3087" s="6" t="str">
        <f>INDEX(医院2县区2人!$D$2:$D$1048576,MATCH(L3087,医院2县区2人!$A$2:$A$1048576,0))</f>
        <v>201602151421097</v>
      </c>
      <c r="W3087" s="6" t="str">
        <f t="shared" si="99"/>
        <v>新盖中盖高钙片(成人)/盖中盖2.5g*36片</v>
      </c>
      <c r="X3087" s="6" t="s">
        <v>2879</v>
      </c>
    </row>
    <row r="3088" spans="1:24" x14ac:dyDescent="0.15">
      <c r="A3088" s="7" t="str">
        <f t="shared" si="100"/>
        <v>201806</v>
      </c>
      <c r="C3088" s="6" t="str">
        <f>INDEX(工厂基础数据!$A$2:$A$1024,MATCH(X3088,工厂基础数据!$D$2:$D$1024,0))</f>
        <v>02010326</v>
      </c>
      <c r="E3088" s="6" t="str">
        <f>INDEX(工厂基础数据!$B$2:$B$1024,MATCH(X3088,工厂基础数据!$D$2:$D$1024,0))</f>
        <v>山东福华医药有限公司</v>
      </c>
      <c r="F3088" s="6">
        <f>INDEX(商业2转码!$B$2:$B$10000,MATCH(E3088,商业2转码!$A$2:$A$10000,0))</f>
        <v>0</v>
      </c>
      <c r="G3088" s="6" t="str">
        <f>INDEX(品种2编码!$A$2:$A$1048576,MATCH(W3088,品种2编码!$D$2:$D$1048576,0))</f>
        <v>0020070001ZYZC0383</v>
      </c>
      <c r="H3088" s="6" t="s">
        <v>1849</v>
      </c>
      <c r="I3088" s="6" t="s">
        <v>1850</v>
      </c>
      <c r="J3088" s="6" t="s">
        <v>3038</v>
      </c>
      <c r="L3088" s="6" t="s">
        <v>2078</v>
      </c>
      <c r="M3088" s="6">
        <f>INDEX(医院2县区2人!$B$2:$B$1048576,MATCH(L3088,医院2县区2人!$A$2:$A$1048576,0))</f>
        <v>4</v>
      </c>
      <c r="N3088" s="6" t="str">
        <f>INDEX(医院2县区2人!$C$2:$C$1048576,MATCH(L3088,医院2县区2人!$A$2:$A$1048576,0))</f>
        <v>1859</v>
      </c>
      <c r="P3088" s="7">
        <v>43262</v>
      </c>
      <c r="Q3088" s="6">
        <v>20</v>
      </c>
      <c r="R3088" s="6">
        <v>14</v>
      </c>
      <c r="S3088" s="6">
        <v>1801107</v>
      </c>
      <c r="T3088" s="6" t="str">
        <f>INDEX(医院2县区2人!$D$2:$D$1048576,MATCH(L3088,医院2县区2人!$A$2:$A$1048576,0))</f>
        <v>201602151421097</v>
      </c>
      <c r="W3088" s="6" t="str">
        <f t="shared" si="99"/>
        <v>哈药牌钙铁锌口服液10ml*10支</v>
      </c>
      <c r="X3088" s="6" t="s">
        <v>2879</v>
      </c>
    </row>
    <row r="3089" spans="1:24" x14ac:dyDescent="0.15">
      <c r="A3089" s="7" t="str">
        <f t="shared" si="100"/>
        <v>201806</v>
      </c>
      <c r="C3089" s="6" t="str">
        <f>INDEX(工厂基础数据!$A$2:$A$1024,MATCH(X3089,工厂基础数据!$D$2:$D$1024,0))</f>
        <v>02010326</v>
      </c>
      <c r="E3089" s="6" t="str">
        <f>INDEX(工厂基础数据!$B$2:$B$1024,MATCH(X3089,工厂基础数据!$D$2:$D$1024,0))</f>
        <v>山东福华医药有限公司</v>
      </c>
      <c r="F3089" s="6">
        <f>INDEX(商业2转码!$B$2:$B$10000,MATCH(E3089,商业2转码!$A$2:$A$10000,0))</f>
        <v>0</v>
      </c>
      <c r="G3089" s="6" t="str">
        <f>INDEX(品种2编码!$A$2:$A$1048576,MATCH(W3089,品种2编码!$D$2:$D$1048576,0))</f>
        <v>0020050090ZYEC0005</v>
      </c>
      <c r="H3089" s="6" t="s">
        <v>581</v>
      </c>
      <c r="I3089" s="6" t="s">
        <v>1850</v>
      </c>
      <c r="J3089" s="6" t="s">
        <v>3041</v>
      </c>
      <c r="L3089" s="6" t="s">
        <v>3778</v>
      </c>
      <c r="M3089" s="6" t="e">
        <f>INDEX(医院2县区2人!$B$2:$B$1048576,MATCH(L3089,医院2县区2人!$A$2:$A$1048576,0))</f>
        <v>#N/A</v>
      </c>
      <c r="N3089" s="6" t="e">
        <f>INDEX(医院2县区2人!$C$2:$C$1048576,MATCH(L3089,医院2县区2人!$A$2:$A$1048576,0))</f>
        <v>#N/A</v>
      </c>
      <c r="P3089" s="7">
        <v>43262</v>
      </c>
      <c r="Q3089" s="6">
        <v>70</v>
      </c>
      <c r="R3089" s="6">
        <v>13.8</v>
      </c>
      <c r="S3089" s="6">
        <v>180201</v>
      </c>
      <c r="T3089" s="6" t="e">
        <f>INDEX(医院2县区2人!$D$2:$D$1048576,MATCH(L3089,医院2县区2人!$A$2:$A$1048576,0))</f>
        <v>#N/A</v>
      </c>
      <c r="W3089" s="6" t="str">
        <f t="shared" si="99"/>
        <v>清热解毒口服液10ml*10支</v>
      </c>
      <c r="X3089" s="6" t="s">
        <v>2879</v>
      </c>
    </row>
    <row r="3090" spans="1:24" x14ac:dyDescent="0.15">
      <c r="A3090" s="7" t="str">
        <f t="shared" si="100"/>
        <v>201806</v>
      </c>
      <c r="C3090" s="6" t="str">
        <f>INDEX(工厂基础数据!$A$2:$A$1024,MATCH(X3090,工厂基础数据!$D$2:$D$1024,0))</f>
        <v>02010326</v>
      </c>
      <c r="E3090" s="6" t="str">
        <f>INDEX(工厂基础数据!$B$2:$B$1024,MATCH(X3090,工厂基础数据!$D$2:$D$1024,0))</f>
        <v>山东福华医药有限公司</v>
      </c>
      <c r="F3090" s="6">
        <f>INDEX(商业2转码!$B$2:$B$10000,MATCH(E3090,商业2转码!$A$2:$A$10000,0))</f>
        <v>0</v>
      </c>
      <c r="G3090" s="6" t="str">
        <f>INDEX(品种2编码!$A$2:$A$1048576,MATCH(W3090,品种2编码!$D$2:$D$1048576,0))</f>
        <v>0020030001SJZY0006</v>
      </c>
      <c r="H3090" s="6" t="s">
        <v>1833</v>
      </c>
      <c r="I3090" s="6" t="s">
        <v>411</v>
      </c>
      <c r="J3090" s="6" t="s">
        <v>3044</v>
      </c>
      <c r="L3090" s="6" t="s">
        <v>2089</v>
      </c>
      <c r="M3090" s="6">
        <f>INDEX(医院2县区2人!$B$2:$B$1048576,MATCH(L3090,医院2县区2人!$A$2:$A$1048576,0))</f>
        <v>1</v>
      </c>
      <c r="N3090" s="6" t="str">
        <f>INDEX(医院2县区2人!$C$2:$C$1048576,MATCH(L3090,医院2县区2人!$A$2:$A$1048576,0))</f>
        <v>1859</v>
      </c>
      <c r="P3090" s="7">
        <v>43259</v>
      </c>
      <c r="Q3090" s="6">
        <v>20</v>
      </c>
      <c r="R3090" s="6">
        <v>21.12</v>
      </c>
      <c r="S3090" s="6">
        <v>18030842</v>
      </c>
      <c r="T3090" s="6" t="str">
        <f>INDEX(医院2县区2人!$D$2:$D$1048576,MATCH(L3090,医院2县区2人!$A$2:$A$1048576,0))</f>
        <v>201602151421097</v>
      </c>
      <c r="W3090" s="6" t="str">
        <f t="shared" si="99"/>
        <v>葡萄糖酸钙口服溶液10ml*12支</v>
      </c>
      <c r="X3090" s="6" t="s">
        <v>2879</v>
      </c>
    </row>
    <row r="3091" spans="1:24" x14ac:dyDescent="0.15">
      <c r="A3091" s="7" t="str">
        <f t="shared" si="100"/>
        <v>201806</v>
      </c>
      <c r="C3091" s="6" t="str">
        <f>INDEX(工厂基础数据!$A$2:$A$1024,MATCH(X3091,工厂基础数据!$D$2:$D$1024,0))</f>
        <v>02010326</v>
      </c>
      <c r="E3091" s="6" t="str">
        <f>INDEX(工厂基础数据!$B$2:$B$1024,MATCH(X3091,工厂基础数据!$D$2:$D$1024,0))</f>
        <v>山东福华医药有限公司</v>
      </c>
      <c r="F3091" s="6">
        <f>INDEX(商业2转码!$B$2:$B$10000,MATCH(E3091,商业2转码!$A$2:$A$10000,0))</f>
        <v>0</v>
      </c>
      <c r="G3091" s="6" t="str">
        <f>INDEX(品种2编码!$A$2:$A$1048576,MATCH(W3091,品种2编码!$D$2:$D$1048576,0))</f>
        <v>0020030001SJZY0009</v>
      </c>
      <c r="H3091" s="6" t="s">
        <v>555</v>
      </c>
      <c r="I3091" s="6" t="s">
        <v>411</v>
      </c>
      <c r="J3091" s="6" t="s">
        <v>3785</v>
      </c>
      <c r="L3091" s="6" t="s">
        <v>2089</v>
      </c>
      <c r="M3091" s="6">
        <f>INDEX(医院2县区2人!$B$2:$B$1048576,MATCH(L3091,医院2县区2人!$A$2:$A$1048576,0))</f>
        <v>1</v>
      </c>
      <c r="N3091" s="6" t="str">
        <f>INDEX(医院2县区2人!$C$2:$C$1048576,MATCH(L3091,医院2县区2人!$A$2:$A$1048576,0))</f>
        <v>1859</v>
      </c>
      <c r="P3091" s="7">
        <v>43259</v>
      </c>
      <c r="Q3091" s="6">
        <v>10</v>
      </c>
      <c r="R3091" s="6">
        <v>22.08</v>
      </c>
      <c r="S3091" s="6">
        <v>18031227</v>
      </c>
      <c r="T3091" s="6" t="str">
        <f>INDEX(医院2县区2人!$D$2:$D$1048576,MATCH(L3091,医院2县区2人!$A$2:$A$1048576,0))</f>
        <v>201602151421097</v>
      </c>
      <c r="W3091" s="6" t="str">
        <f t="shared" si="99"/>
        <v>葡萄糖酸锌口服液10ml*12支</v>
      </c>
      <c r="X3091" s="6" t="s">
        <v>2879</v>
      </c>
    </row>
    <row r="3092" spans="1:24" x14ac:dyDescent="0.15">
      <c r="A3092" s="7" t="str">
        <f t="shared" si="100"/>
        <v>201806</v>
      </c>
      <c r="C3092" s="6" t="str">
        <f>INDEX(工厂基础数据!$A$2:$A$1024,MATCH(X3092,工厂基础数据!$D$2:$D$1024,0))</f>
        <v>02010326</v>
      </c>
      <c r="E3092" s="6" t="str">
        <f>INDEX(工厂基础数据!$B$2:$B$1024,MATCH(X3092,工厂基础数据!$D$2:$D$1024,0))</f>
        <v>山东福华医药有限公司</v>
      </c>
      <c r="F3092" s="6">
        <f>INDEX(商业2转码!$B$2:$B$10000,MATCH(E3092,商业2转码!$A$2:$A$10000,0))</f>
        <v>0</v>
      </c>
      <c r="G3092" s="6" t="str">
        <f>INDEX(品种2编码!$A$2:$A$1048576,MATCH(W3092,品种2编码!$D$2:$D$1048576,0))</f>
        <v>0020030020ZYLC0013</v>
      </c>
      <c r="H3092" s="6" t="s">
        <v>591</v>
      </c>
      <c r="I3092" s="6" t="s">
        <v>1839</v>
      </c>
      <c r="J3092" s="6" t="s">
        <v>3036</v>
      </c>
      <c r="L3092" s="6" t="s">
        <v>2058</v>
      </c>
      <c r="M3092" s="6">
        <f>INDEX(医院2县区2人!$B$2:$B$1048576,MATCH(L3092,医院2县区2人!$A$2:$A$1048576,0))</f>
        <v>1</v>
      </c>
      <c r="N3092" s="6" t="str">
        <f>INDEX(医院2县区2人!$C$2:$C$1048576,MATCH(L3092,医院2县区2人!$A$2:$A$1048576,0))</f>
        <v>1859</v>
      </c>
      <c r="P3092" s="7">
        <v>43259</v>
      </c>
      <c r="Q3092" s="6">
        <v>5</v>
      </c>
      <c r="R3092" s="6">
        <v>7.68</v>
      </c>
      <c r="S3092" s="6">
        <v>180302</v>
      </c>
      <c r="T3092" s="6" t="str">
        <f>INDEX(医院2县区2人!$D$2:$D$1048576,MATCH(L3092,医院2县区2人!$A$2:$A$1048576,0))</f>
        <v>201602151421097</v>
      </c>
      <c r="W3092" s="6" t="str">
        <f t="shared" si="99"/>
        <v>乳酸菌素片0.4g*36片</v>
      </c>
      <c r="X3092" s="6" t="s">
        <v>2879</v>
      </c>
    </row>
    <row r="3093" spans="1:24" x14ac:dyDescent="0.15">
      <c r="A3093" s="7" t="str">
        <f t="shared" si="100"/>
        <v>201806</v>
      </c>
      <c r="C3093" s="6" t="str">
        <f>INDEX(工厂基础数据!$A$2:$A$1024,MATCH(X3093,工厂基础数据!$D$2:$D$1024,0))</f>
        <v>02010326</v>
      </c>
      <c r="E3093" s="6" t="str">
        <f>INDEX(工厂基础数据!$B$2:$B$1024,MATCH(X3093,工厂基础数据!$D$2:$D$1024,0))</f>
        <v>山东福华医药有限公司</v>
      </c>
      <c r="F3093" s="6">
        <f>INDEX(商业2转码!$B$2:$B$10000,MATCH(E3093,商业2转码!$A$2:$A$10000,0))</f>
        <v>0</v>
      </c>
      <c r="G3093" s="6" t="str">
        <f>INDEX(品种2编码!$A$2:$A$1048576,MATCH(W3093,品种2编码!$D$2:$D$1048576,0))</f>
        <v>0020070001ZYZC0383</v>
      </c>
      <c r="H3093" s="6" t="s">
        <v>1849</v>
      </c>
      <c r="I3093" s="6" t="s">
        <v>1850</v>
      </c>
      <c r="J3093" s="6" t="s">
        <v>3038</v>
      </c>
      <c r="L3093" s="6" t="s">
        <v>2113</v>
      </c>
      <c r="M3093" s="6">
        <f>INDEX(医院2县区2人!$B$2:$B$1048576,MATCH(L3093,医院2县区2人!$A$2:$A$1048576,0))</f>
        <v>1</v>
      </c>
      <c r="N3093" s="6" t="str">
        <f>INDEX(医院2县区2人!$C$2:$C$1048576,MATCH(L3093,医院2县区2人!$A$2:$A$1048576,0))</f>
        <v>1854</v>
      </c>
      <c r="P3093" s="7">
        <v>43259</v>
      </c>
      <c r="Q3093" s="6">
        <v>5</v>
      </c>
      <c r="R3093" s="6">
        <v>14</v>
      </c>
      <c r="S3093" s="6">
        <v>1801107</v>
      </c>
      <c r="T3093" s="6" t="str">
        <f>INDEX(医院2县区2人!$D$2:$D$1048576,MATCH(L3093,医院2县区2人!$A$2:$A$1048576,0))</f>
        <v>201602151421097</v>
      </c>
      <c r="W3093" s="6" t="str">
        <f t="shared" si="99"/>
        <v>哈药牌钙铁锌口服液10ml*10支</v>
      </c>
      <c r="X3093" s="6" t="s">
        <v>2879</v>
      </c>
    </row>
    <row r="3094" spans="1:24" x14ac:dyDescent="0.15">
      <c r="A3094" s="7" t="str">
        <f t="shared" si="100"/>
        <v>201806</v>
      </c>
      <c r="C3094" s="6" t="str">
        <f>INDEX(工厂基础数据!$A$2:$A$1024,MATCH(X3094,工厂基础数据!$D$2:$D$1024,0))</f>
        <v>02010326</v>
      </c>
      <c r="E3094" s="6" t="str">
        <f>INDEX(工厂基础数据!$B$2:$B$1024,MATCH(X3094,工厂基础数据!$D$2:$D$1024,0))</f>
        <v>山东福华医药有限公司</v>
      </c>
      <c r="F3094" s="6">
        <f>INDEX(商业2转码!$B$2:$B$10000,MATCH(E3094,商业2转码!$A$2:$A$10000,0))</f>
        <v>0</v>
      </c>
      <c r="G3094" s="6" t="str">
        <f>INDEX(品种2编码!$A$2:$A$1048576,MATCH(W3094,品种2编码!$D$2:$D$1048576,0))</f>
        <v>0020030001SJZY0006</v>
      </c>
      <c r="H3094" s="6" t="s">
        <v>1833</v>
      </c>
      <c r="I3094" s="6" t="s">
        <v>411</v>
      </c>
      <c r="J3094" s="6" t="s">
        <v>3044</v>
      </c>
      <c r="L3094" s="6" t="s">
        <v>2091</v>
      </c>
      <c r="M3094" s="6">
        <f>INDEX(医院2县区2人!$B$2:$B$1048576,MATCH(L3094,医院2县区2人!$A$2:$A$1048576,0))</f>
        <v>1</v>
      </c>
      <c r="N3094" s="6" t="str">
        <f>INDEX(医院2县区2人!$C$2:$C$1048576,MATCH(L3094,医院2县区2人!$A$2:$A$1048576,0))</f>
        <v>1859</v>
      </c>
      <c r="P3094" s="7">
        <v>43259</v>
      </c>
      <c r="Q3094" s="6">
        <v>20</v>
      </c>
      <c r="R3094" s="6">
        <v>21.12</v>
      </c>
      <c r="S3094" s="6">
        <v>18030842</v>
      </c>
      <c r="T3094" s="6" t="str">
        <f>INDEX(医院2县区2人!$D$2:$D$1048576,MATCH(L3094,医院2县区2人!$A$2:$A$1048576,0))</f>
        <v>201602151421097</v>
      </c>
      <c r="W3094" s="6" t="str">
        <f t="shared" si="99"/>
        <v>葡萄糖酸钙口服溶液10ml*12支</v>
      </c>
      <c r="X3094" s="6" t="s">
        <v>2879</v>
      </c>
    </row>
    <row r="3095" spans="1:24" x14ac:dyDescent="0.15">
      <c r="A3095" s="7" t="str">
        <f t="shared" si="100"/>
        <v>201806</v>
      </c>
      <c r="C3095" s="6" t="str">
        <f>INDEX(工厂基础数据!$A$2:$A$1024,MATCH(X3095,工厂基础数据!$D$2:$D$1024,0))</f>
        <v>02010326</v>
      </c>
      <c r="E3095" s="6" t="str">
        <f>INDEX(工厂基础数据!$B$2:$B$1024,MATCH(X3095,工厂基础数据!$D$2:$D$1024,0))</f>
        <v>山东福华医药有限公司</v>
      </c>
      <c r="F3095" s="6">
        <f>INDEX(商业2转码!$B$2:$B$10000,MATCH(E3095,商业2转码!$A$2:$A$10000,0))</f>
        <v>0</v>
      </c>
      <c r="G3095" s="6" t="str">
        <f>INDEX(品种2编码!$A$2:$A$1048576,MATCH(W3095,品种2编码!$D$2:$D$1048576,0))</f>
        <v>0020030001SJZY0009</v>
      </c>
      <c r="H3095" s="6" t="s">
        <v>555</v>
      </c>
      <c r="I3095" s="6" t="s">
        <v>411</v>
      </c>
      <c r="J3095" s="6" t="s">
        <v>3785</v>
      </c>
      <c r="L3095" s="6" t="s">
        <v>2091</v>
      </c>
      <c r="M3095" s="6">
        <f>INDEX(医院2县区2人!$B$2:$B$1048576,MATCH(L3095,医院2县区2人!$A$2:$A$1048576,0))</f>
        <v>1</v>
      </c>
      <c r="N3095" s="6" t="str">
        <f>INDEX(医院2县区2人!$C$2:$C$1048576,MATCH(L3095,医院2县区2人!$A$2:$A$1048576,0))</f>
        <v>1859</v>
      </c>
      <c r="P3095" s="7">
        <v>43259</v>
      </c>
      <c r="Q3095" s="6">
        <v>20</v>
      </c>
      <c r="R3095" s="6">
        <v>22.08</v>
      </c>
      <c r="S3095" s="6">
        <v>18031227</v>
      </c>
      <c r="T3095" s="6" t="str">
        <f>INDEX(医院2县区2人!$D$2:$D$1048576,MATCH(L3095,医院2县区2人!$A$2:$A$1048576,0))</f>
        <v>201602151421097</v>
      </c>
      <c r="W3095" s="6" t="str">
        <f t="shared" si="99"/>
        <v>葡萄糖酸锌口服液10ml*12支</v>
      </c>
      <c r="X3095" s="6" t="s">
        <v>2879</v>
      </c>
    </row>
    <row r="3096" spans="1:24" x14ac:dyDescent="0.15">
      <c r="A3096" s="7" t="str">
        <f t="shared" si="100"/>
        <v>201806</v>
      </c>
      <c r="C3096" s="6" t="str">
        <f>INDEX(工厂基础数据!$A$2:$A$1024,MATCH(X3096,工厂基础数据!$D$2:$D$1024,0))</f>
        <v>02010326</v>
      </c>
      <c r="E3096" s="6" t="str">
        <f>INDEX(工厂基础数据!$B$2:$B$1024,MATCH(X3096,工厂基础数据!$D$2:$D$1024,0))</f>
        <v>山东福华医药有限公司</v>
      </c>
      <c r="F3096" s="6">
        <f>INDEX(商业2转码!$B$2:$B$10000,MATCH(E3096,商业2转码!$A$2:$A$10000,0))</f>
        <v>0</v>
      </c>
      <c r="G3096" s="6" t="str">
        <f>INDEX(品种2编码!$A$2:$A$1048576,MATCH(W3096,品种2编码!$D$2:$D$1048576,0))</f>
        <v>0020100000ZYLC0012</v>
      </c>
      <c r="H3096" s="6" t="s">
        <v>768</v>
      </c>
      <c r="I3096" s="6" t="s">
        <v>1843</v>
      </c>
      <c r="J3096" s="6" t="s">
        <v>3036</v>
      </c>
      <c r="L3096" s="6" t="s">
        <v>2087</v>
      </c>
      <c r="M3096" s="6">
        <f>INDEX(医院2县区2人!$B$2:$B$1048576,MATCH(L3096,医院2县区2人!$A$2:$A$1048576,0))</f>
        <v>1</v>
      </c>
      <c r="N3096" s="6" t="str">
        <f>INDEX(医院2县区2人!$C$2:$C$1048576,MATCH(L3096,医院2县区2人!$A$2:$A$1048576,0))</f>
        <v>1859</v>
      </c>
      <c r="P3096" s="7">
        <v>43259</v>
      </c>
      <c r="Q3096" s="6">
        <v>20</v>
      </c>
      <c r="R3096" s="6">
        <v>3.2</v>
      </c>
      <c r="S3096" s="6">
        <v>20180104</v>
      </c>
      <c r="T3096" s="6" t="str">
        <f>INDEX(医院2县区2人!$D$2:$D$1048576,MATCH(L3096,医院2县区2人!$A$2:$A$1048576,0))</f>
        <v>201602151421097</v>
      </c>
      <c r="W3096" s="6" t="str">
        <f t="shared" si="99"/>
        <v>医用退热贴2贴</v>
      </c>
      <c r="X3096" s="6" t="s">
        <v>2879</v>
      </c>
    </row>
    <row r="3097" spans="1:24" x14ac:dyDescent="0.15">
      <c r="A3097" s="7" t="str">
        <f t="shared" si="100"/>
        <v>201806</v>
      </c>
      <c r="C3097" s="6" t="str">
        <f>INDEX(工厂基础数据!$A$2:$A$1024,MATCH(X3097,工厂基础数据!$D$2:$D$1024,0))</f>
        <v>02010326</v>
      </c>
      <c r="E3097" s="6" t="str">
        <f>INDEX(工厂基础数据!$B$2:$B$1024,MATCH(X3097,工厂基础数据!$D$2:$D$1024,0))</f>
        <v>山东福华医药有限公司</v>
      </c>
      <c r="F3097" s="6">
        <f>INDEX(商业2转码!$B$2:$B$10000,MATCH(E3097,商业2转码!$A$2:$A$10000,0))</f>
        <v>0</v>
      </c>
      <c r="G3097" s="6" t="str">
        <f>INDEX(品种2编码!$A$2:$A$1048576,MATCH(W3097,品种2编码!$D$2:$D$1048576,0))</f>
        <v>0020040070ZYEC0005</v>
      </c>
      <c r="H3097" s="6" t="s">
        <v>708</v>
      </c>
      <c r="I3097" s="6" t="s">
        <v>1851</v>
      </c>
      <c r="J3097" s="6" t="s">
        <v>3041</v>
      </c>
      <c r="L3097" s="6" t="s">
        <v>2087</v>
      </c>
      <c r="M3097" s="6">
        <f>INDEX(医院2县区2人!$B$2:$B$1048576,MATCH(L3097,医院2县区2人!$A$2:$A$1048576,0))</f>
        <v>1</v>
      </c>
      <c r="N3097" s="6" t="str">
        <f>INDEX(医院2县区2人!$C$2:$C$1048576,MATCH(L3097,医院2县区2人!$A$2:$A$1048576,0))</f>
        <v>1859</v>
      </c>
      <c r="P3097" s="7">
        <v>43259</v>
      </c>
      <c r="Q3097" s="6">
        <v>5</v>
      </c>
      <c r="R3097" s="6">
        <v>11.52</v>
      </c>
      <c r="S3097" s="6">
        <v>180202</v>
      </c>
      <c r="T3097" s="6" t="str">
        <f>INDEX(医院2县区2人!$D$2:$D$1048576,MATCH(L3097,医院2县区2人!$A$2:$A$1048576,0))</f>
        <v>201602151421097</v>
      </c>
      <c r="W3097" s="6" t="str">
        <f t="shared" si="99"/>
        <v>小儿百部止咳糖浆100ml</v>
      </c>
      <c r="X3097" s="6" t="s">
        <v>2879</v>
      </c>
    </row>
    <row r="3098" spans="1:24" x14ac:dyDescent="0.15">
      <c r="A3098" s="7" t="str">
        <f t="shared" si="100"/>
        <v>201806</v>
      </c>
      <c r="C3098" s="6" t="str">
        <f>INDEX(工厂基础数据!$A$2:$A$1024,MATCH(X3098,工厂基础数据!$D$2:$D$1024,0))</f>
        <v>02010326</v>
      </c>
      <c r="E3098" s="6" t="str">
        <f>INDEX(工厂基础数据!$B$2:$B$1024,MATCH(X3098,工厂基础数据!$D$2:$D$1024,0))</f>
        <v>山东福华医药有限公司</v>
      </c>
      <c r="F3098" s="6">
        <f>INDEX(商业2转码!$B$2:$B$10000,MATCH(E3098,商业2转码!$A$2:$A$10000,0))</f>
        <v>0</v>
      </c>
      <c r="G3098" s="6" t="str">
        <f>INDEX(品种2编码!$A$2:$A$1048576,MATCH(W3098,品种2编码!$D$2:$D$1048576,0))</f>
        <v>0020030001SJZY0006</v>
      </c>
      <c r="H3098" s="6" t="s">
        <v>1833</v>
      </c>
      <c r="I3098" s="6" t="s">
        <v>411</v>
      </c>
      <c r="J3098" s="6" t="s">
        <v>3044</v>
      </c>
      <c r="L3098" s="6" t="s">
        <v>2086</v>
      </c>
      <c r="M3098" s="6">
        <f>INDEX(医院2县区2人!$B$2:$B$1048576,MATCH(L3098,医院2县区2人!$A$2:$A$1048576,0))</f>
        <v>1</v>
      </c>
      <c r="N3098" s="6" t="str">
        <f>INDEX(医院2县区2人!$C$2:$C$1048576,MATCH(L3098,医院2县区2人!$A$2:$A$1048576,0))</f>
        <v>1859</v>
      </c>
      <c r="P3098" s="7">
        <v>43259</v>
      </c>
      <c r="Q3098" s="6">
        <v>55</v>
      </c>
      <c r="R3098" s="6">
        <v>21.12</v>
      </c>
      <c r="S3098" s="6">
        <v>18030842</v>
      </c>
      <c r="T3098" s="6" t="str">
        <f>INDEX(医院2县区2人!$D$2:$D$1048576,MATCH(L3098,医院2县区2人!$A$2:$A$1048576,0))</f>
        <v>201602151421097</v>
      </c>
      <c r="W3098" s="6" t="str">
        <f t="shared" si="99"/>
        <v>葡萄糖酸钙口服溶液10ml*12支</v>
      </c>
      <c r="X3098" s="6" t="s">
        <v>2879</v>
      </c>
    </row>
    <row r="3099" spans="1:24" x14ac:dyDescent="0.15">
      <c r="A3099" s="7" t="str">
        <f t="shared" si="100"/>
        <v>201806</v>
      </c>
      <c r="C3099" s="6" t="str">
        <f>INDEX(工厂基础数据!$A$2:$A$1024,MATCH(X3099,工厂基础数据!$D$2:$D$1024,0))</f>
        <v>02010326</v>
      </c>
      <c r="E3099" s="6" t="str">
        <f>INDEX(工厂基础数据!$B$2:$B$1024,MATCH(X3099,工厂基础数据!$D$2:$D$1024,0))</f>
        <v>山东福华医药有限公司</v>
      </c>
      <c r="F3099" s="6">
        <f>INDEX(商业2转码!$B$2:$B$10000,MATCH(E3099,商业2转码!$A$2:$A$10000,0))</f>
        <v>0</v>
      </c>
      <c r="G3099" s="6" t="str">
        <f>INDEX(品种2编码!$A$2:$A$1048576,MATCH(W3099,品种2编码!$D$2:$D$1048576,0))</f>
        <v>0020030001SJZY0006</v>
      </c>
      <c r="H3099" s="6" t="s">
        <v>1833</v>
      </c>
      <c r="I3099" s="6" t="s">
        <v>411</v>
      </c>
      <c r="J3099" s="6" t="s">
        <v>3044</v>
      </c>
      <c r="L3099" s="6" t="s">
        <v>2086</v>
      </c>
      <c r="M3099" s="6">
        <f>INDEX(医院2县区2人!$B$2:$B$1048576,MATCH(L3099,医院2县区2人!$A$2:$A$1048576,0))</f>
        <v>1</v>
      </c>
      <c r="N3099" s="6" t="str">
        <f>INDEX(医院2县区2人!$C$2:$C$1048576,MATCH(L3099,医院2县区2人!$A$2:$A$1048576,0))</f>
        <v>1859</v>
      </c>
      <c r="P3099" s="7">
        <v>43259</v>
      </c>
      <c r="Q3099" s="6">
        <v>25</v>
      </c>
      <c r="R3099" s="6">
        <v>21.12</v>
      </c>
      <c r="S3099" s="6">
        <v>18030842</v>
      </c>
      <c r="T3099" s="6" t="str">
        <f>INDEX(医院2县区2人!$D$2:$D$1048576,MATCH(L3099,医院2县区2人!$A$2:$A$1048576,0))</f>
        <v>201602151421097</v>
      </c>
      <c r="W3099" s="6" t="str">
        <f t="shared" si="99"/>
        <v>葡萄糖酸钙口服溶液10ml*12支</v>
      </c>
      <c r="X3099" s="6" t="s">
        <v>2879</v>
      </c>
    </row>
    <row r="3100" spans="1:24" x14ac:dyDescent="0.15">
      <c r="A3100" s="7" t="str">
        <f t="shared" si="100"/>
        <v>201806</v>
      </c>
      <c r="C3100" s="6" t="str">
        <f>INDEX(工厂基础数据!$A$2:$A$1024,MATCH(X3100,工厂基础数据!$D$2:$D$1024,0))</f>
        <v>02010326</v>
      </c>
      <c r="E3100" s="6" t="str">
        <f>INDEX(工厂基础数据!$B$2:$B$1024,MATCH(X3100,工厂基础数据!$D$2:$D$1024,0))</f>
        <v>山东福华医药有限公司</v>
      </c>
      <c r="F3100" s="6">
        <f>INDEX(商业2转码!$B$2:$B$10000,MATCH(E3100,商业2转码!$A$2:$A$10000,0))</f>
        <v>0</v>
      </c>
      <c r="G3100" s="6" t="str">
        <f>INDEX(品种2编码!$A$2:$A$1048576,MATCH(W3100,品种2编码!$D$2:$D$1048576,0))</f>
        <v>0020030001SJZY0009</v>
      </c>
      <c r="H3100" s="6" t="s">
        <v>555</v>
      </c>
      <c r="I3100" s="6" t="s">
        <v>411</v>
      </c>
      <c r="J3100" s="6" t="s">
        <v>3785</v>
      </c>
      <c r="L3100" s="6" t="s">
        <v>2086</v>
      </c>
      <c r="M3100" s="6">
        <f>INDEX(医院2县区2人!$B$2:$B$1048576,MATCH(L3100,医院2县区2人!$A$2:$A$1048576,0))</f>
        <v>1</v>
      </c>
      <c r="N3100" s="6" t="str">
        <f>INDEX(医院2县区2人!$C$2:$C$1048576,MATCH(L3100,医院2县区2人!$A$2:$A$1048576,0))</f>
        <v>1859</v>
      </c>
      <c r="P3100" s="7">
        <v>43259</v>
      </c>
      <c r="Q3100" s="6">
        <v>80</v>
      </c>
      <c r="R3100" s="6">
        <v>22.08</v>
      </c>
      <c r="S3100" s="6">
        <v>18031227</v>
      </c>
      <c r="T3100" s="6" t="str">
        <f>INDEX(医院2县区2人!$D$2:$D$1048576,MATCH(L3100,医院2县区2人!$A$2:$A$1048576,0))</f>
        <v>201602151421097</v>
      </c>
      <c r="W3100" s="6" t="str">
        <f t="shared" si="99"/>
        <v>葡萄糖酸锌口服液10ml*12支</v>
      </c>
      <c r="X3100" s="6" t="s">
        <v>2879</v>
      </c>
    </row>
    <row r="3101" spans="1:24" x14ac:dyDescent="0.15">
      <c r="A3101" s="7" t="str">
        <f t="shared" si="100"/>
        <v>201806</v>
      </c>
      <c r="C3101" s="6" t="str">
        <f>INDEX(工厂基础数据!$A$2:$A$1024,MATCH(X3101,工厂基础数据!$D$2:$D$1024,0))</f>
        <v>02010326</v>
      </c>
      <c r="E3101" s="6" t="str">
        <f>INDEX(工厂基础数据!$B$2:$B$1024,MATCH(X3101,工厂基础数据!$D$2:$D$1024,0))</f>
        <v>山东福华医药有限公司</v>
      </c>
      <c r="F3101" s="6">
        <f>INDEX(商业2转码!$B$2:$B$10000,MATCH(E3101,商业2转码!$A$2:$A$10000,0))</f>
        <v>0</v>
      </c>
      <c r="G3101" s="6" t="str">
        <f>INDEX(品种2编码!$A$2:$A$1048576,MATCH(W3101,品种2编码!$D$2:$D$1048576,0))</f>
        <v>0020030001SJZY0006</v>
      </c>
      <c r="H3101" s="6" t="s">
        <v>1833</v>
      </c>
      <c r="I3101" s="6" t="s">
        <v>411</v>
      </c>
      <c r="J3101" s="6" t="s">
        <v>3044</v>
      </c>
      <c r="L3101" s="6" t="s">
        <v>2093</v>
      </c>
      <c r="M3101" s="6">
        <f>INDEX(医院2县区2人!$B$2:$B$1048576,MATCH(L3101,医院2县区2人!$A$2:$A$1048576,0))</f>
        <v>1</v>
      </c>
      <c r="N3101" s="6" t="str">
        <f>INDEX(医院2县区2人!$C$2:$C$1048576,MATCH(L3101,医院2县区2人!$A$2:$A$1048576,0))</f>
        <v>1859</v>
      </c>
      <c r="P3101" s="7">
        <v>43259</v>
      </c>
      <c r="Q3101" s="6">
        <v>35</v>
      </c>
      <c r="R3101" s="6">
        <v>21.12</v>
      </c>
      <c r="S3101" s="6">
        <v>18030842</v>
      </c>
      <c r="T3101" s="6" t="str">
        <f>INDEX(医院2县区2人!$D$2:$D$1048576,MATCH(L3101,医院2县区2人!$A$2:$A$1048576,0))</f>
        <v>201602151421097</v>
      </c>
      <c r="W3101" s="6" t="str">
        <f t="shared" si="99"/>
        <v>葡萄糖酸钙口服溶液10ml*12支</v>
      </c>
      <c r="X3101" s="6" t="s">
        <v>2879</v>
      </c>
    </row>
    <row r="3102" spans="1:24" x14ac:dyDescent="0.15">
      <c r="A3102" s="7" t="str">
        <f t="shared" si="100"/>
        <v>201806</v>
      </c>
      <c r="C3102" s="6" t="str">
        <f>INDEX(工厂基础数据!$A$2:$A$1024,MATCH(X3102,工厂基础数据!$D$2:$D$1024,0))</f>
        <v>02010326</v>
      </c>
      <c r="E3102" s="6" t="str">
        <f>INDEX(工厂基础数据!$B$2:$B$1024,MATCH(X3102,工厂基础数据!$D$2:$D$1024,0))</f>
        <v>山东福华医药有限公司</v>
      </c>
      <c r="F3102" s="6">
        <f>INDEX(商业2转码!$B$2:$B$10000,MATCH(E3102,商业2转码!$A$2:$A$10000,0))</f>
        <v>0</v>
      </c>
      <c r="G3102" s="6" t="str">
        <f>INDEX(品种2编码!$A$2:$A$1048576,MATCH(W3102,品种2编码!$D$2:$D$1048576,0))</f>
        <v>0020030001SJZY0006</v>
      </c>
      <c r="H3102" s="6" t="s">
        <v>1833</v>
      </c>
      <c r="I3102" s="6" t="s">
        <v>411</v>
      </c>
      <c r="J3102" s="6" t="s">
        <v>3044</v>
      </c>
      <c r="L3102" s="6" t="s">
        <v>2093</v>
      </c>
      <c r="M3102" s="6">
        <f>INDEX(医院2县区2人!$B$2:$B$1048576,MATCH(L3102,医院2县区2人!$A$2:$A$1048576,0))</f>
        <v>1</v>
      </c>
      <c r="N3102" s="6" t="str">
        <f>INDEX(医院2县区2人!$C$2:$C$1048576,MATCH(L3102,医院2县区2人!$A$2:$A$1048576,0))</f>
        <v>1859</v>
      </c>
      <c r="P3102" s="7">
        <v>43259</v>
      </c>
      <c r="Q3102" s="6">
        <v>5</v>
      </c>
      <c r="R3102" s="6">
        <v>21.12</v>
      </c>
      <c r="S3102" s="6">
        <v>18030842</v>
      </c>
      <c r="T3102" s="6" t="str">
        <f>INDEX(医院2县区2人!$D$2:$D$1048576,MATCH(L3102,医院2县区2人!$A$2:$A$1048576,0))</f>
        <v>201602151421097</v>
      </c>
      <c r="W3102" s="6" t="str">
        <f t="shared" si="99"/>
        <v>葡萄糖酸钙口服溶液10ml*12支</v>
      </c>
      <c r="X3102" s="6" t="s">
        <v>2879</v>
      </c>
    </row>
    <row r="3103" spans="1:24" x14ac:dyDescent="0.15">
      <c r="A3103" s="7" t="str">
        <f t="shared" si="100"/>
        <v>201806</v>
      </c>
      <c r="C3103" s="6" t="str">
        <f>INDEX(工厂基础数据!$A$2:$A$1024,MATCH(X3103,工厂基础数据!$D$2:$D$1024,0))</f>
        <v>02010326</v>
      </c>
      <c r="E3103" s="6" t="str">
        <f>INDEX(工厂基础数据!$B$2:$B$1024,MATCH(X3103,工厂基础数据!$D$2:$D$1024,0))</f>
        <v>山东福华医药有限公司</v>
      </c>
      <c r="F3103" s="6">
        <f>INDEX(商业2转码!$B$2:$B$10000,MATCH(E3103,商业2转码!$A$2:$A$10000,0))</f>
        <v>0</v>
      </c>
      <c r="G3103" s="6" t="str">
        <f>INDEX(品种2编码!$A$2:$A$1048576,MATCH(W3103,品种2编码!$D$2:$D$1048576,0))</f>
        <v>0020030001SJZY0009</v>
      </c>
      <c r="H3103" s="6" t="s">
        <v>555</v>
      </c>
      <c r="I3103" s="6" t="s">
        <v>411</v>
      </c>
      <c r="J3103" s="6" t="s">
        <v>3785</v>
      </c>
      <c r="L3103" s="6" t="s">
        <v>2093</v>
      </c>
      <c r="M3103" s="6">
        <f>INDEX(医院2县区2人!$B$2:$B$1048576,MATCH(L3103,医院2县区2人!$A$2:$A$1048576,0))</f>
        <v>1</v>
      </c>
      <c r="N3103" s="6" t="str">
        <f>INDEX(医院2县区2人!$C$2:$C$1048576,MATCH(L3103,医院2县区2人!$A$2:$A$1048576,0))</f>
        <v>1859</v>
      </c>
      <c r="P3103" s="7">
        <v>43259</v>
      </c>
      <c r="Q3103" s="6">
        <v>40</v>
      </c>
      <c r="R3103" s="6">
        <v>22.08</v>
      </c>
      <c r="S3103" s="6">
        <v>18031227</v>
      </c>
      <c r="T3103" s="6" t="str">
        <f>INDEX(医院2县区2人!$D$2:$D$1048576,MATCH(L3103,医院2县区2人!$A$2:$A$1048576,0))</f>
        <v>201602151421097</v>
      </c>
      <c r="W3103" s="6" t="str">
        <f t="shared" si="99"/>
        <v>葡萄糖酸锌口服液10ml*12支</v>
      </c>
      <c r="X3103" s="6" t="s">
        <v>2879</v>
      </c>
    </row>
    <row r="3104" spans="1:24" x14ac:dyDescent="0.15">
      <c r="A3104" s="7" t="str">
        <f t="shared" si="100"/>
        <v>201806</v>
      </c>
      <c r="C3104" s="6" t="str">
        <f>INDEX(工厂基础数据!$A$2:$A$1024,MATCH(X3104,工厂基础数据!$D$2:$D$1024,0))</f>
        <v>02010326</v>
      </c>
      <c r="E3104" s="6" t="str">
        <f>INDEX(工厂基础数据!$B$2:$B$1024,MATCH(X3104,工厂基础数据!$D$2:$D$1024,0))</f>
        <v>山东福华医药有限公司</v>
      </c>
      <c r="F3104" s="6">
        <f>INDEX(商业2转码!$B$2:$B$10000,MATCH(E3104,商业2转码!$A$2:$A$10000,0))</f>
        <v>0</v>
      </c>
      <c r="G3104" s="6" t="str">
        <f>INDEX(品种2编码!$A$2:$A$1048576,MATCH(W3104,品种2编码!$D$2:$D$1048576,0))</f>
        <v>0020030001SJZY0006</v>
      </c>
      <c r="H3104" s="6" t="s">
        <v>1833</v>
      </c>
      <c r="I3104" s="6" t="s">
        <v>411</v>
      </c>
      <c r="J3104" s="6" t="s">
        <v>3044</v>
      </c>
      <c r="L3104" s="6" t="s">
        <v>2088</v>
      </c>
      <c r="M3104" s="6">
        <f>INDEX(医院2县区2人!$B$2:$B$1048576,MATCH(L3104,医院2县区2人!$A$2:$A$1048576,0))</f>
        <v>1</v>
      </c>
      <c r="N3104" s="6" t="str">
        <f>INDEX(医院2县区2人!$C$2:$C$1048576,MATCH(L3104,医院2县区2人!$A$2:$A$1048576,0))</f>
        <v>1859</v>
      </c>
      <c r="P3104" s="7">
        <v>43259</v>
      </c>
      <c r="Q3104" s="6">
        <v>20</v>
      </c>
      <c r="R3104" s="6">
        <v>21.12</v>
      </c>
      <c r="S3104" s="6">
        <v>18030842</v>
      </c>
      <c r="T3104" s="6" t="str">
        <f>INDEX(医院2县区2人!$D$2:$D$1048576,MATCH(L3104,医院2县区2人!$A$2:$A$1048576,0))</f>
        <v>201602151421097</v>
      </c>
      <c r="W3104" s="6" t="str">
        <f t="shared" si="99"/>
        <v>葡萄糖酸钙口服溶液10ml*12支</v>
      </c>
      <c r="X3104" s="6" t="s">
        <v>2879</v>
      </c>
    </row>
    <row r="3105" spans="1:24" x14ac:dyDescent="0.15">
      <c r="A3105" s="7" t="str">
        <f t="shared" si="100"/>
        <v>201806</v>
      </c>
      <c r="C3105" s="6" t="str">
        <f>INDEX(工厂基础数据!$A$2:$A$1024,MATCH(X3105,工厂基础数据!$D$2:$D$1024,0))</f>
        <v>02010326</v>
      </c>
      <c r="E3105" s="6" t="str">
        <f>INDEX(工厂基础数据!$B$2:$B$1024,MATCH(X3105,工厂基础数据!$D$2:$D$1024,0))</f>
        <v>山东福华医药有限公司</v>
      </c>
      <c r="F3105" s="6">
        <f>INDEX(商业2转码!$B$2:$B$10000,MATCH(E3105,商业2转码!$A$2:$A$10000,0))</f>
        <v>0</v>
      </c>
      <c r="G3105" s="6" t="str">
        <f>INDEX(品种2编码!$A$2:$A$1048576,MATCH(W3105,品种2编码!$D$2:$D$1048576,0))</f>
        <v>0020030001SJZY0009</v>
      </c>
      <c r="H3105" s="6" t="s">
        <v>555</v>
      </c>
      <c r="I3105" s="6" t="s">
        <v>411</v>
      </c>
      <c r="J3105" s="6" t="s">
        <v>3785</v>
      </c>
      <c r="L3105" s="6" t="s">
        <v>2088</v>
      </c>
      <c r="M3105" s="6">
        <f>INDEX(医院2县区2人!$B$2:$B$1048576,MATCH(L3105,医院2县区2人!$A$2:$A$1048576,0))</f>
        <v>1</v>
      </c>
      <c r="N3105" s="6" t="str">
        <f>INDEX(医院2县区2人!$C$2:$C$1048576,MATCH(L3105,医院2县区2人!$A$2:$A$1048576,0))</f>
        <v>1859</v>
      </c>
      <c r="P3105" s="7">
        <v>43259</v>
      </c>
      <c r="Q3105" s="6">
        <v>20</v>
      </c>
      <c r="R3105" s="6">
        <v>22.08</v>
      </c>
      <c r="S3105" s="6">
        <v>18031227</v>
      </c>
      <c r="T3105" s="6" t="str">
        <f>INDEX(医院2县区2人!$D$2:$D$1048576,MATCH(L3105,医院2县区2人!$A$2:$A$1048576,0))</f>
        <v>201602151421097</v>
      </c>
      <c r="W3105" s="6" t="str">
        <f t="shared" si="99"/>
        <v>葡萄糖酸锌口服液10ml*12支</v>
      </c>
      <c r="X3105" s="6" t="s">
        <v>2879</v>
      </c>
    </row>
    <row r="3106" spans="1:24" x14ac:dyDescent="0.15">
      <c r="A3106" s="7" t="str">
        <f t="shared" si="100"/>
        <v>201806</v>
      </c>
      <c r="C3106" s="6" t="str">
        <f>INDEX(工厂基础数据!$A$2:$A$1024,MATCH(X3106,工厂基础数据!$D$2:$D$1024,0))</f>
        <v>02010326</v>
      </c>
      <c r="E3106" s="6" t="str">
        <f>INDEX(工厂基础数据!$B$2:$B$1024,MATCH(X3106,工厂基础数据!$D$2:$D$1024,0))</f>
        <v>山东福华医药有限公司</v>
      </c>
      <c r="F3106" s="6">
        <f>INDEX(商业2转码!$B$2:$B$10000,MATCH(E3106,商业2转码!$A$2:$A$10000,0))</f>
        <v>0</v>
      </c>
      <c r="G3106" s="6" t="str">
        <f>INDEX(品种2编码!$A$2:$A$1048576,MATCH(W3106,品种2编码!$D$2:$D$1048576,0))</f>
        <v>0020030001SJZY0006</v>
      </c>
      <c r="H3106" s="6" t="s">
        <v>1833</v>
      </c>
      <c r="I3106" s="6" t="s">
        <v>411</v>
      </c>
      <c r="J3106" s="6" t="s">
        <v>3044</v>
      </c>
      <c r="L3106" s="6" t="s">
        <v>2059</v>
      </c>
      <c r="M3106" s="6">
        <f>INDEX(医院2县区2人!$B$2:$B$1048576,MATCH(L3106,医院2县区2人!$A$2:$A$1048576,0))</f>
        <v>1</v>
      </c>
      <c r="N3106" s="6" t="str">
        <f>INDEX(医院2县区2人!$C$2:$C$1048576,MATCH(L3106,医院2县区2人!$A$2:$A$1048576,0))</f>
        <v>1859</v>
      </c>
      <c r="P3106" s="7">
        <v>43259</v>
      </c>
      <c r="Q3106" s="6">
        <v>20</v>
      </c>
      <c r="R3106" s="6">
        <v>21.12</v>
      </c>
      <c r="S3106" s="6">
        <v>18030842</v>
      </c>
      <c r="T3106" s="6" t="str">
        <f>INDEX(医院2县区2人!$D$2:$D$1048576,MATCH(L3106,医院2县区2人!$A$2:$A$1048576,0))</f>
        <v>201602151421097</v>
      </c>
      <c r="W3106" s="6" t="str">
        <f t="shared" si="99"/>
        <v>葡萄糖酸钙口服溶液10ml*12支</v>
      </c>
      <c r="X3106" s="6" t="s">
        <v>2879</v>
      </c>
    </row>
    <row r="3107" spans="1:24" x14ac:dyDescent="0.15">
      <c r="A3107" s="7" t="str">
        <f t="shared" si="100"/>
        <v>201806</v>
      </c>
      <c r="C3107" s="6" t="str">
        <f>INDEX(工厂基础数据!$A$2:$A$1024,MATCH(X3107,工厂基础数据!$D$2:$D$1024,0))</f>
        <v>02010326</v>
      </c>
      <c r="E3107" s="6" t="str">
        <f>INDEX(工厂基础数据!$B$2:$B$1024,MATCH(X3107,工厂基础数据!$D$2:$D$1024,0))</f>
        <v>山东福华医药有限公司</v>
      </c>
      <c r="F3107" s="6">
        <f>INDEX(商业2转码!$B$2:$B$10000,MATCH(E3107,商业2转码!$A$2:$A$10000,0))</f>
        <v>0</v>
      </c>
      <c r="G3107" s="6" t="str">
        <f>INDEX(品种2编码!$A$2:$A$1048576,MATCH(W3107,品种2编码!$D$2:$D$1048576,0))</f>
        <v>0020030001SJZY0009</v>
      </c>
      <c r="H3107" s="6" t="s">
        <v>555</v>
      </c>
      <c r="I3107" s="6" t="s">
        <v>411</v>
      </c>
      <c r="J3107" s="6" t="s">
        <v>3785</v>
      </c>
      <c r="L3107" s="6" t="s">
        <v>2059</v>
      </c>
      <c r="M3107" s="6">
        <f>INDEX(医院2县区2人!$B$2:$B$1048576,MATCH(L3107,医院2县区2人!$A$2:$A$1048576,0))</f>
        <v>1</v>
      </c>
      <c r="N3107" s="6" t="str">
        <f>INDEX(医院2县区2人!$C$2:$C$1048576,MATCH(L3107,医院2县区2人!$A$2:$A$1048576,0))</f>
        <v>1859</v>
      </c>
      <c r="P3107" s="7">
        <v>43259</v>
      </c>
      <c r="Q3107" s="6">
        <v>20</v>
      </c>
      <c r="R3107" s="6">
        <v>22.08</v>
      </c>
      <c r="S3107" s="6">
        <v>18031227</v>
      </c>
      <c r="T3107" s="6" t="str">
        <f>INDEX(医院2县区2人!$D$2:$D$1048576,MATCH(L3107,医院2县区2人!$A$2:$A$1048576,0))</f>
        <v>201602151421097</v>
      </c>
      <c r="W3107" s="6" t="str">
        <f t="shared" si="99"/>
        <v>葡萄糖酸锌口服液10ml*12支</v>
      </c>
      <c r="X3107" s="6" t="s">
        <v>2879</v>
      </c>
    </row>
    <row r="3108" spans="1:24" x14ac:dyDescent="0.15">
      <c r="A3108" s="7" t="str">
        <f t="shared" si="100"/>
        <v>201806</v>
      </c>
      <c r="C3108" s="6" t="str">
        <f>INDEX(工厂基础数据!$A$2:$A$1024,MATCH(X3108,工厂基础数据!$D$2:$D$1024,0))</f>
        <v>02010326</v>
      </c>
      <c r="E3108" s="6" t="str">
        <f>INDEX(工厂基础数据!$B$2:$B$1024,MATCH(X3108,工厂基础数据!$D$2:$D$1024,0))</f>
        <v>山东福华医药有限公司</v>
      </c>
      <c r="F3108" s="6">
        <f>INDEX(商业2转码!$B$2:$B$10000,MATCH(E3108,商业2转码!$A$2:$A$10000,0))</f>
        <v>0</v>
      </c>
      <c r="G3108" s="6" t="str">
        <f>INDEX(品种2编码!$A$2:$A$1048576,MATCH(W3108,品种2编码!$D$2:$D$1048576,0))</f>
        <v>0020030001SJZY0006</v>
      </c>
      <c r="H3108" s="6" t="s">
        <v>1833</v>
      </c>
      <c r="I3108" s="6" t="s">
        <v>411</v>
      </c>
      <c r="J3108" s="6" t="s">
        <v>3044</v>
      </c>
      <c r="L3108" s="6" t="s">
        <v>2068</v>
      </c>
      <c r="M3108" s="6">
        <f>INDEX(医院2县区2人!$B$2:$B$1048576,MATCH(L3108,医院2县区2人!$A$2:$A$1048576,0))</f>
        <v>1</v>
      </c>
      <c r="N3108" s="6" t="str">
        <f>INDEX(医院2县区2人!$C$2:$C$1048576,MATCH(L3108,医院2县区2人!$A$2:$A$1048576,0))</f>
        <v>1859</v>
      </c>
      <c r="P3108" s="7">
        <v>43258</v>
      </c>
      <c r="Q3108" s="6">
        <v>50</v>
      </c>
      <c r="R3108" s="6">
        <v>21.12</v>
      </c>
      <c r="S3108" s="6">
        <v>18030842</v>
      </c>
      <c r="T3108" s="6" t="str">
        <f>INDEX(医院2县区2人!$D$2:$D$1048576,MATCH(L3108,医院2县区2人!$A$2:$A$1048576,0))</f>
        <v>201602151421097</v>
      </c>
      <c r="W3108" s="6" t="str">
        <f t="shared" si="99"/>
        <v>葡萄糖酸钙口服溶液10ml*12支</v>
      </c>
      <c r="X3108" s="6" t="s">
        <v>2879</v>
      </c>
    </row>
    <row r="3109" spans="1:24" x14ac:dyDescent="0.15">
      <c r="A3109" s="7" t="str">
        <f t="shared" si="100"/>
        <v>201806</v>
      </c>
      <c r="C3109" s="6" t="str">
        <f>INDEX(工厂基础数据!$A$2:$A$1024,MATCH(X3109,工厂基础数据!$D$2:$D$1024,0))</f>
        <v>02010326</v>
      </c>
      <c r="E3109" s="6" t="str">
        <f>INDEX(工厂基础数据!$B$2:$B$1024,MATCH(X3109,工厂基础数据!$D$2:$D$1024,0))</f>
        <v>山东福华医药有限公司</v>
      </c>
      <c r="F3109" s="6">
        <f>INDEX(商业2转码!$B$2:$B$10000,MATCH(E3109,商业2转码!$A$2:$A$10000,0))</f>
        <v>0</v>
      </c>
      <c r="G3109" s="6" t="str">
        <f>INDEX(品种2编码!$A$2:$A$1048576,MATCH(W3109,品种2编码!$D$2:$D$1048576,0))</f>
        <v>0020030001SJZY0006</v>
      </c>
      <c r="H3109" s="6" t="s">
        <v>1833</v>
      </c>
      <c r="I3109" s="6" t="s">
        <v>411</v>
      </c>
      <c r="J3109" s="6" t="s">
        <v>3044</v>
      </c>
      <c r="L3109" s="6" t="s">
        <v>2068</v>
      </c>
      <c r="M3109" s="6">
        <f>INDEX(医院2县区2人!$B$2:$B$1048576,MATCH(L3109,医院2县区2人!$A$2:$A$1048576,0))</f>
        <v>1</v>
      </c>
      <c r="N3109" s="6" t="str">
        <f>INDEX(医院2县区2人!$C$2:$C$1048576,MATCH(L3109,医院2县区2人!$A$2:$A$1048576,0))</f>
        <v>1859</v>
      </c>
      <c r="P3109" s="7">
        <v>43258</v>
      </c>
      <c r="Q3109" s="6">
        <v>30</v>
      </c>
      <c r="R3109" s="6">
        <v>21.12</v>
      </c>
      <c r="S3109" s="6">
        <v>18030842</v>
      </c>
      <c r="T3109" s="6" t="str">
        <f>INDEX(医院2县区2人!$D$2:$D$1048576,MATCH(L3109,医院2县区2人!$A$2:$A$1048576,0))</f>
        <v>201602151421097</v>
      </c>
      <c r="W3109" s="6" t="str">
        <f t="shared" si="99"/>
        <v>葡萄糖酸钙口服溶液10ml*12支</v>
      </c>
      <c r="X3109" s="6" t="s">
        <v>2879</v>
      </c>
    </row>
    <row r="3110" spans="1:24" x14ac:dyDescent="0.15">
      <c r="A3110" s="7" t="str">
        <f t="shared" si="100"/>
        <v>201806</v>
      </c>
      <c r="C3110" s="6" t="str">
        <f>INDEX(工厂基础数据!$A$2:$A$1024,MATCH(X3110,工厂基础数据!$D$2:$D$1024,0))</f>
        <v>02010326</v>
      </c>
      <c r="E3110" s="6" t="str">
        <f>INDEX(工厂基础数据!$B$2:$B$1024,MATCH(X3110,工厂基础数据!$D$2:$D$1024,0))</f>
        <v>山东福华医药有限公司</v>
      </c>
      <c r="F3110" s="6">
        <f>INDEX(商业2转码!$B$2:$B$10000,MATCH(E3110,商业2转码!$A$2:$A$10000,0))</f>
        <v>0</v>
      </c>
      <c r="G3110" s="6" t="str">
        <f>INDEX(品种2编码!$A$2:$A$1048576,MATCH(W3110,品种2编码!$D$2:$D$1048576,0))</f>
        <v>0020030001SJZY0009</v>
      </c>
      <c r="H3110" s="6" t="s">
        <v>555</v>
      </c>
      <c r="I3110" s="6" t="s">
        <v>411</v>
      </c>
      <c r="J3110" s="6" t="s">
        <v>3785</v>
      </c>
      <c r="L3110" s="6" t="s">
        <v>2068</v>
      </c>
      <c r="M3110" s="6">
        <f>INDEX(医院2县区2人!$B$2:$B$1048576,MATCH(L3110,医院2县区2人!$A$2:$A$1048576,0))</f>
        <v>1</v>
      </c>
      <c r="N3110" s="6" t="str">
        <f>INDEX(医院2县区2人!$C$2:$C$1048576,MATCH(L3110,医院2县区2人!$A$2:$A$1048576,0))</f>
        <v>1859</v>
      </c>
      <c r="P3110" s="7">
        <v>43258</v>
      </c>
      <c r="Q3110" s="6">
        <v>10</v>
      </c>
      <c r="R3110" s="6">
        <v>22.08</v>
      </c>
      <c r="S3110" s="6">
        <v>18031227</v>
      </c>
      <c r="T3110" s="6" t="str">
        <f>INDEX(医院2县区2人!$D$2:$D$1048576,MATCH(L3110,医院2县区2人!$A$2:$A$1048576,0))</f>
        <v>201602151421097</v>
      </c>
      <c r="W3110" s="6" t="str">
        <f t="shared" si="99"/>
        <v>葡萄糖酸锌口服液10ml*12支</v>
      </c>
      <c r="X3110" s="6" t="s">
        <v>2879</v>
      </c>
    </row>
    <row r="3111" spans="1:24" x14ac:dyDescent="0.15">
      <c r="A3111" s="7" t="str">
        <f t="shared" si="100"/>
        <v>201806</v>
      </c>
      <c r="C3111" s="6" t="str">
        <f>INDEX(工厂基础数据!$A$2:$A$1024,MATCH(X3111,工厂基础数据!$D$2:$D$1024,0))</f>
        <v>02010326</v>
      </c>
      <c r="E3111" s="6" t="str">
        <f>INDEX(工厂基础数据!$B$2:$B$1024,MATCH(X3111,工厂基础数据!$D$2:$D$1024,0))</f>
        <v>山东福华医药有限公司</v>
      </c>
      <c r="F3111" s="6">
        <f>INDEX(商业2转码!$B$2:$B$10000,MATCH(E3111,商业2转码!$A$2:$A$10000,0))</f>
        <v>0</v>
      </c>
      <c r="G3111" s="6" t="str">
        <f>INDEX(品种2编码!$A$2:$A$1048576,MATCH(W3111,品种2编码!$D$2:$D$1048576,0))</f>
        <v>0020030001SJZY0009</v>
      </c>
      <c r="H3111" s="6" t="s">
        <v>555</v>
      </c>
      <c r="I3111" s="6" t="s">
        <v>411</v>
      </c>
      <c r="J3111" s="6" t="s">
        <v>3785</v>
      </c>
      <c r="L3111" s="6" t="s">
        <v>2068</v>
      </c>
      <c r="M3111" s="6">
        <f>INDEX(医院2县区2人!$B$2:$B$1048576,MATCH(L3111,医院2县区2人!$A$2:$A$1048576,0))</f>
        <v>1</v>
      </c>
      <c r="N3111" s="6" t="str">
        <f>INDEX(医院2县区2人!$C$2:$C$1048576,MATCH(L3111,医院2县区2人!$A$2:$A$1048576,0))</f>
        <v>1859</v>
      </c>
      <c r="P3111" s="7">
        <v>43258</v>
      </c>
      <c r="Q3111" s="6">
        <v>30</v>
      </c>
      <c r="R3111" s="6">
        <v>22.08</v>
      </c>
      <c r="S3111" s="6">
        <v>18031227</v>
      </c>
      <c r="T3111" s="6" t="str">
        <f>INDEX(医院2县区2人!$D$2:$D$1048576,MATCH(L3111,医院2县区2人!$A$2:$A$1048576,0))</f>
        <v>201602151421097</v>
      </c>
      <c r="W3111" s="6" t="str">
        <f t="shared" si="99"/>
        <v>葡萄糖酸锌口服液10ml*12支</v>
      </c>
      <c r="X3111" s="6" t="s">
        <v>2879</v>
      </c>
    </row>
    <row r="3112" spans="1:24" x14ac:dyDescent="0.15">
      <c r="A3112" s="7" t="str">
        <f t="shared" si="100"/>
        <v>201806</v>
      </c>
      <c r="C3112" s="6" t="str">
        <f>INDEX(工厂基础数据!$A$2:$A$1024,MATCH(X3112,工厂基础数据!$D$2:$D$1024,0))</f>
        <v>02010326</v>
      </c>
      <c r="E3112" s="6" t="str">
        <f>INDEX(工厂基础数据!$B$2:$B$1024,MATCH(X3112,工厂基础数据!$D$2:$D$1024,0))</f>
        <v>山东福华医药有限公司</v>
      </c>
      <c r="F3112" s="6">
        <f>INDEX(商业2转码!$B$2:$B$10000,MATCH(E3112,商业2转码!$A$2:$A$10000,0))</f>
        <v>0</v>
      </c>
      <c r="G3112" s="6" t="str">
        <f>INDEX(品种2编码!$A$2:$A$1048576,MATCH(W3112,品种2编码!$D$2:$D$1048576,0))</f>
        <v>0020030001SJZY0006</v>
      </c>
      <c r="H3112" s="6" t="s">
        <v>1833</v>
      </c>
      <c r="I3112" s="6" t="s">
        <v>411</v>
      </c>
      <c r="J3112" s="6" t="s">
        <v>3044</v>
      </c>
      <c r="L3112" s="6" t="s">
        <v>2053</v>
      </c>
      <c r="M3112" s="6">
        <f>INDEX(医院2县区2人!$B$2:$B$1048576,MATCH(L3112,医院2县区2人!$A$2:$A$1048576,0))</f>
        <v>1</v>
      </c>
      <c r="N3112" s="6" t="str">
        <f>INDEX(医院2县区2人!$C$2:$C$1048576,MATCH(L3112,医院2县区2人!$A$2:$A$1048576,0))</f>
        <v>1859</v>
      </c>
      <c r="P3112" s="7">
        <v>43258</v>
      </c>
      <c r="Q3112" s="6">
        <v>10</v>
      </c>
      <c r="R3112" s="6">
        <v>21.12</v>
      </c>
      <c r="S3112" s="6">
        <v>18030842</v>
      </c>
      <c r="T3112" s="6" t="str">
        <f>INDEX(医院2县区2人!$D$2:$D$1048576,MATCH(L3112,医院2县区2人!$A$2:$A$1048576,0))</f>
        <v>201602151421097</v>
      </c>
      <c r="W3112" s="6" t="str">
        <f t="shared" si="99"/>
        <v>葡萄糖酸钙口服溶液10ml*12支</v>
      </c>
      <c r="X3112" s="6" t="s">
        <v>2879</v>
      </c>
    </row>
    <row r="3113" spans="1:24" x14ac:dyDescent="0.15">
      <c r="A3113" s="7" t="str">
        <f t="shared" si="100"/>
        <v>201806</v>
      </c>
      <c r="C3113" s="6" t="str">
        <f>INDEX(工厂基础数据!$A$2:$A$1024,MATCH(X3113,工厂基础数据!$D$2:$D$1024,0))</f>
        <v>02010326</v>
      </c>
      <c r="E3113" s="6" t="str">
        <f>INDEX(工厂基础数据!$B$2:$B$1024,MATCH(X3113,工厂基础数据!$D$2:$D$1024,0))</f>
        <v>山东福华医药有限公司</v>
      </c>
      <c r="F3113" s="6">
        <f>INDEX(商业2转码!$B$2:$B$10000,MATCH(E3113,商业2转码!$A$2:$A$10000,0))</f>
        <v>0</v>
      </c>
      <c r="G3113" s="6" t="str">
        <f>INDEX(品种2编码!$A$2:$A$1048576,MATCH(W3113,品种2编码!$D$2:$D$1048576,0))</f>
        <v>0020030001SJZY0006</v>
      </c>
      <c r="H3113" s="6" t="s">
        <v>1833</v>
      </c>
      <c r="I3113" s="6" t="s">
        <v>411</v>
      </c>
      <c r="J3113" s="6" t="s">
        <v>3044</v>
      </c>
      <c r="L3113" s="6" t="s">
        <v>2053</v>
      </c>
      <c r="M3113" s="6">
        <f>INDEX(医院2县区2人!$B$2:$B$1048576,MATCH(L3113,医院2县区2人!$A$2:$A$1048576,0))</f>
        <v>1</v>
      </c>
      <c r="N3113" s="6" t="str">
        <f>INDEX(医院2县区2人!$C$2:$C$1048576,MATCH(L3113,医院2县区2人!$A$2:$A$1048576,0))</f>
        <v>1859</v>
      </c>
      <c r="P3113" s="7">
        <v>43258</v>
      </c>
      <c r="Q3113" s="6">
        <v>10</v>
      </c>
      <c r="R3113" s="6">
        <v>21.12</v>
      </c>
      <c r="S3113" s="6">
        <v>18030842</v>
      </c>
      <c r="T3113" s="6" t="str">
        <f>INDEX(医院2县区2人!$D$2:$D$1048576,MATCH(L3113,医院2县区2人!$A$2:$A$1048576,0))</f>
        <v>201602151421097</v>
      </c>
      <c r="W3113" s="6" t="str">
        <f t="shared" si="99"/>
        <v>葡萄糖酸钙口服溶液10ml*12支</v>
      </c>
      <c r="X3113" s="6" t="s">
        <v>2879</v>
      </c>
    </row>
    <row r="3114" spans="1:24" x14ac:dyDescent="0.15">
      <c r="A3114" s="7" t="str">
        <f t="shared" si="100"/>
        <v>201806</v>
      </c>
      <c r="C3114" s="6" t="str">
        <f>INDEX(工厂基础数据!$A$2:$A$1024,MATCH(X3114,工厂基础数据!$D$2:$D$1024,0))</f>
        <v>02010326</v>
      </c>
      <c r="E3114" s="6" t="str">
        <f>INDEX(工厂基础数据!$B$2:$B$1024,MATCH(X3114,工厂基础数据!$D$2:$D$1024,0))</f>
        <v>山东福华医药有限公司</v>
      </c>
      <c r="F3114" s="6">
        <f>INDEX(商业2转码!$B$2:$B$10000,MATCH(E3114,商业2转码!$A$2:$A$10000,0))</f>
        <v>0</v>
      </c>
      <c r="G3114" s="6" t="str">
        <f>INDEX(品种2编码!$A$2:$A$1048576,MATCH(W3114,品种2编码!$D$2:$D$1048576,0))</f>
        <v>0020030001SJZY0009</v>
      </c>
      <c r="H3114" s="6" t="s">
        <v>555</v>
      </c>
      <c r="I3114" s="6" t="s">
        <v>411</v>
      </c>
      <c r="J3114" s="6" t="s">
        <v>3785</v>
      </c>
      <c r="L3114" s="6" t="s">
        <v>2053</v>
      </c>
      <c r="M3114" s="6">
        <f>INDEX(医院2县区2人!$B$2:$B$1048576,MATCH(L3114,医院2县区2人!$A$2:$A$1048576,0))</f>
        <v>1</v>
      </c>
      <c r="N3114" s="6" t="str">
        <f>INDEX(医院2县区2人!$C$2:$C$1048576,MATCH(L3114,医院2县区2人!$A$2:$A$1048576,0))</f>
        <v>1859</v>
      </c>
      <c r="P3114" s="7">
        <v>43258</v>
      </c>
      <c r="Q3114" s="6">
        <v>20</v>
      </c>
      <c r="R3114" s="6">
        <v>22.08</v>
      </c>
      <c r="S3114" s="6">
        <v>18031227</v>
      </c>
      <c r="T3114" s="6" t="str">
        <f>INDEX(医院2县区2人!$D$2:$D$1048576,MATCH(L3114,医院2县区2人!$A$2:$A$1048576,0))</f>
        <v>201602151421097</v>
      </c>
      <c r="W3114" s="6" t="str">
        <f t="shared" si="99"/>
        <v>葡萄糖酸锌口服液10ml*12支</v>
      </c>
      <c r="X3114" s="6" t="s">
        <v>2879</v>
      </c>
    </row>
    <row r="3115" spans="1:24" x14ac:dyDescent="0.15">
      <c r="A3115" s="7" t="str">
        <f t="shared" si="100"/>
        <v>201806</v>
      </c>
      <c r="C3115" s="6" t="str">
        <f>INDEX(工厂基础数据!$A$2:$A$1024,MATCH(X3115,工厂基础数据!$D$2:$D$1024,0))</f>
        <v>02010326</v>
      </c>
      <c r="E3115" s="6" t="str">
        <f>INDEX(工厂基础数据!$B$2:$B$1024,MATCH(X3115,工厂基础数据!$D$2:$D$1024,0))</f>
        <v>山东福华医药有限公司</v>
      </c>
      <c r="F3115" s="6">
        <f>INDEX(商业2转码!$B$2:$B$10000,MATCH(E3115,商业2转码!$A$2:$A$10000,0))</f>
        <v>0</v>
      </c>
      <c r="G3115" s="6" t="str">
        <f>INDEX(品种2编码!$A$2:$A$1048576,MATCH(W3115,品种2编码!$D$2:$D$1048576,0))</f>
        <v>0020020021ZYLC0004</v>
      </c>
      <c r="H3115" s="6" t="s">
        <v>1868</v>
      </c>
      <c r="I3115" s="6" t="s">
        <v>1869</v>
      </c>
      <c r="J3115" s="6" t="s">
        <v>3036</v>
      </c>
      <c r="L3115" s="6" t="s">
        <v>2052</v>
      </c>
      <c r="M3115" s="6">
        <f>INDEX(医院2县区2人!$B$2:$B$1048576,MATCH(L3115,医院2县区2人!$A$2:$A$1048576,0))</f>
        <v>1</v>
      </c>
      <c r="N3115" s="6" t="str">
        <f>INDEX(医院2县区2人!$C$2:$C$1048576,MATCH(L3115,医院2县区2人!$A$2:$A$1048576,0))</f>
        <v>1859</v>
      </c>
      <c r="P3115" s="7">
        <v>43258</v>
      </c>
      <c r="Q3115" s="6">
        <v>5</v>
      </c>
      <c r="R3115" s="6">
        <v>7.68</v>
      </c>
      <c r="S3115" s="6">
        <v>180201</v>
      </c>
      <c r="T3115" s="6" t="str">
        <f>INDEX(医院2县区2人!$D$2:$D$1048576,MATCH(L3115,医院2县区2人!$A$2:$A$1048576,0))</f>
        <v>201602151421097</v>
      </c>
      <c r="W3115" s="6" t="str">
        <f t="shared" si="99"/>
        <v>罗红霉素分散片/大严迪75mg*12片</v>
      </c>
      <c r="X3115" s="6" t="s">
        <v>2879</v>
      </c>
    </row>
    <row r="3116" spans="1:24" x14ac:dyDescent="0.15">
      <c r="A3116" s="7" t="str">
        <f t="shared" si="100"/>
        <v>201806</v>
      </c>
      <c r="C3116" s="6" t="str">
        <f>INDEX(工厂基础数据!$A$2:$A$1024,MATCH(X3116,工厂基础数据!$D$2:$D$1024,0))</f>
        <v>02010326</v>
      </c>
      <c r="E3116" s="6" t="str">
        <f>INDEX(工厂基础数据!$B$2:$B$1024,MATCH(X3116,工厂基础数据!$D$2:$D$1024,0))</f>
        <v>山东福华医药有限公司</v>
      </c>
      <c r="F3116" s="6">
        <f>INDEX(商业2转码!$B$2:$B$10000,MATCH(E3116,商业2转码!$A$2:$A$10000,0))</f>
        <v>0</v>
      </c>
      <c r="G3116" s="6" t="str">
        <f>INDEX(品种2编码!$A$2:$A$1048576,MATCH(W3116,品种2编码!$D$2:$D$1048576,0))</f>
        <v>0020030001SJZY0006</v>
      </c>
      <c r="H3116" s="6" t="s">
        <v>1833</v>
      </c>
      <c r="I3116" s="6" t="s">
        <v>411</v>
      </c>
      <c r="J3116" s="6" t="s">
        <v>3044</v>
      </c>
      <c r="L3116" s="6" t="s">
        <v>2052</v>
      </c>
      <c r="M3116" s="6">
        <f>INDEX(医院2县区2人!$B$2:$B$1048576,MATCH(L3116,医院2县区2人!$A$2:$A$1048576,0))</f>
        <v>1</v>
      </c>
      <c r="N3116" s="6" t="str">
        <f>INDEX(医院2县区2人!$C$2:$C$1048576,MATCH(L3116,医院2县区2人!$A$2:$A$1048576,0))</f>
        <v>1859</v>
      </c>
      <c r="P3116" s="7">
        <v>43258</v>
      </c>
      <c r="Q3116" s="6">
        <v>20</v>
      </c>
      <c r="R3116" s="6">
        <v>21.12</v>
      </c>
      <c r="S3116" s="6">
        <v>18030842</v>
      </c>
      <c r="T3116" s="6" t="str">
        <f>INDEX(医院2县区2人!$D$2:$D$1048576,MATCH(L3116,医院2县区2人!$A$2:$A$1048576,0))</f>
        <v>201602151421097</v>
      </c>
      <c r="W3116" s="6" t="str">
        <f t="shared" si="99"/>
        <v>葡萄糖酸钙口服溶液10ml*12支</v>
      </c>
      <c r="X3116" s="6" t="s">
        <v>2879</v>
      </c>
    </row>
    <row r="3117" spans="1:24" x14ac:dyDescent="0.15">
      <c r="A3117" s="7" t="str">
        <f t="shared" si="100"/>
        <v>201806</v>
      </c>
      <c r="C3117" s="6" t="str">
        <f>INDEX(工厂基础数据!$A$2:$A$1024,MATCH(X3117,工厂基础数据!$D$2:$D$1024,0))</f>
        <v>02010326</v>
      </c>
      <c r="E3117" s="6" t="str">
        <f>INDEX(工厂基础数据!$B$2:$B$1024,MATCH(X3117,工厂基础数据!$D$2:$D$1024,0))</f>
        <v>山东福华医药有限公司</v>
      </c>
      <c r="F3117" s="6">
        <f>INDEX(商业2转码!$B$2:$B$10000,MATCH(E3117,商业2转码!$A$2:$A$10000,0))</f>
        <v>0</v>
      </c>
      <c r="G3117" s="6" t="str">
        <f>INDEX(品种2编码!$A$2:$A$1048576,MATCH(W3117,品种2编码!$D$2:$D$1048576,0))</f>
        <v>0020030001SJZY0009</v>
      </c>
      <c r="H3117" s="6" t="s">
        <v>555</v>
      </c>
      <c r="I3117" s="6" t="s">
        <v>411</v>
      </c>
      <c r="J3117" s="6" t="s">
        <v>3785</v>
      </c>
      <c r="L3117" s="6" t="s">
        <v>2052</v>
      </c>
      <c r="M3117" s="6">
        <f>INDEX(医院2县区2人!$B$2:$B$1048576,MATCH(L3117,医院2县区2人!$A$2:$A$1048576,0))</f>
        <v>1</v>
      </c>
      <c r="N3117" s="6" t="str">
        <f>INDEX(医院2县区2人!$C$2:$C$1048576,MATCH(L3117,医院2县区2人!$A$2:$A$1048576,0))</f>
        <v>1859</v>
      </c>
      <c r="P3117" s="7">
        <v>43258</v>
      </c>
      <c r="Q3117" s="6">
        <v>20</v>
      </c>
      <c r="R3117" s="6">
        <v>22.08</v>
      </c>
      <c r="S3117" s="6">
        <v>18031227</v>
      </c>
      <c r="T3117" s="6" t="str">
        <f>INDEX(医院2县区2人!$D$2:$D$1048576,MATCH(L3117,医院2县区2人!$A$2:$A$1048576,0))</f>
        <v>201602151421097</v>
      </c>
      <c r="W3117" s="6" t="str">
        <f t="shared" si="99"/>
        <v>葡萄糖酸锌口服液10ml*12支</v>
      </c>
      <c r="X3117" s="6" t="s">
        <v>2879</v>
      </c>
    </row>
    <row r="3118" spans="1:24" x14ac:dyDescent="0.15">
      <c r="A3118" s="7" t="str">
        <f t="shared" si="100"/>
        <v>201806</v>
      </c>
      <c r="C3118" s="6" t="str">
        <f>INDEX(工厂基础数据!$A$2:$A$1024,MATCH(X3118,工厂基础数据!$D$2:$D$1024,0))</f>
        <v>02010326</v>
      </c>
      <c r="E3118" s="6" t="str">
        <f>INDEX(工厂基础数据!$B$2:$B$1024,MATCH(X3118,工厂基础数据!$D$2:$D$1024,0))</f>
        <v>山东福华医药有限公司</v>
      </c>
      <c r="F3118" s="6">
        <f>INDEX(商业2转码!$B$2:$B$10000,MATCH(E3118,商业2转码!$A$2:$A$10000,0))</f>
        <v>0</v>
      </c>
      <c r="G3118" s="6" t="str">
        <f>INDEX(品种2编码!$A$2:$A$1048576,MATCH(W3118,品种2编码!$D$2:$D$1048576,0))</f>
        <v>0020020020ZYZC0473</v>
      </c>
      <c r="H3118" s="6" t="s">
        <v>745</v>
      </c>
      <c r="I3118" s="6" t="s">
        <v>290</v>
      </c>
      <c r="J3118" s="6" t="s">
        <v>3038</v>
      </c>
      <c r="L3118" s="6" t="s">
        <v>2085</v>
      </c>
      <c r="M3118" s="6">
        <f>INDEX(医院2县区2人!$B$2:$B$1048576,MATCH(L3118,医院2县区2人!$A$2:$A$1048576,0))</f>
        <v>1</v>
      </c>
      <c r="N3118" s="6" t="str">
        <f>INDEX(医院2县区2人!$C$2:$C$1048576,MATCH(L3118,医院2县区2人!$A$2:$A$1048576,0))</f>
        <v>1859</v>
      </c>
      <c r="P3118" s="7">
        <v>43258</v>
      </c>
      <c r="Q3118" s="6">
        <v>10</v>
      </c>
      <c r="R3118" s="6">
        <v>3.47</v>
      </c>
      <c r="S3118" s="6" t="s">
        <v>3056</v>
      </c>
      <c r="T3118" s="6" t="str">
        <f>INDEX(医院2县区2人!$D$2:$D$1048576,MATCH(L3118,医院2县区2人!$A$2:$A$1048576,0))</f>
        <v>201602151421097</v>
      </c>
      <c r="W3118" s="6" t="str">
        <f t="shared" si="99"/>
        <v>盐酸环丙沙星片0.25g*12片</v>
      </c>
      <c r="X3118" s="6" t="s">
        <v>2879</v>
      </c>
    </row>
    <row r="3119" spans="1:24" x14ac:dyDescent="0.15">
      <c r="A3119" s="7" t="str">
        <f t="shared" si="100"/>
        <v>201806</v>
      </c>
      <c r="C3119" s="6" t="str">
        <f>INDEX(工厂基础数据!$A$2:$A$1024,MATCH(X3119,工厂基础数据!$D$2:$D$1024,0))</f>
        <v>02010326</v>
      </c>
      <c r="E3119" s="6" t="str">
        <f>INDEX(工厂基础数据!$B$2:$B$1024,MATCH(X3119,工厂基础数据!$D$2:$D$1024,0))</f>
        <v>山东福华医药有限公司</v>
      </c>
      <c r="F3119" s="6">
        <f>INDEX(商业2转码!$B$2:$B$10000,MATCH(E3119,商业2转码!$A$2:$A$10000,0))</f>
        <v>0</v>
      </c>
      <c r="G3119" s="6" t="str">
        <f>INDEX(品种2编码!$A$2:$A$1048576,MATCH(W3119,品种2编码!$D$2:$D$1048576,0))</f>
        <v>0020030001SJZY0009</v>
      </c>
      <c r="H3119" s="6" t="s">
        <v>555</v>
      </c>
      <c r="I3119" s="6" t="s">
        <v>411</v>
      </c>
      <c r="J3119" s="6" t="s">
        <v>3785</v>
      </c>
      <c r="L3119" s="6" t="s">
        <v>2060</v>
      </c>
      <c r="M3119" s="6">
        <f>INDEX(医院2县区2人!$B$2:$B$1048576,MATCH(L3119,医院2县区2人!$A$2:$A$1048576,0))</f>
        <v>1</v>
      </c>
      <c r="N3119" s="6" t="str">
        <f>INDEX(医院2县区2人!$C$2:$C$1048576,MATCH(L3119,医院2县区2人!$A$2:$A$1048576,0))</f>
        <v>1859</v>
      </c>
      <c r="P3119" s="7">
        <v>43258</v>
      </c>
      <c r="Q3119" s="6">
        <v>10</v>
      </c>
      <c r="R3119" s="6">
        <v>22.08</v>
      </c>
      <c r="S3119" s="6">
        <v>18031227</v>
      </c>
      <c r="T3119" s="6" t="str">
        <f>INDEX(医院2县区2人!$D$2:$D$1048576,MATCH(L3119,医院2县区2人!$A$2:$A$1048576,0))</f>
        <v>201602151421097</v>
      </c>
      <c r="W3119" s="6" t="str">
        <f t="shared" si="99"/>
        <v>葡萄糖酸锌口服液10ml*12支</v>
      </c>
      <c r="X3119" s="6" t="s">
        <v>2879</v>
      </c>
    </row>
    <row r="3120" spans="1:24" x14ac:dyDescent="0.15">
      <c r="A3120" s="7" t="str">
        <f t="shared" si="100"/>
        <v>201806</v>
      </c>
      <c r="C3120" s="6" t="str">
        <f>INDEX(工厂基础数据!$A$2:$A$1024,MATCH(X3120,工厂基础数据!$D$2:$D$1024,0))</f>
        <v>02010326</v>
      </c>
      <c r="E3120" s="6" t="str">
        <f>INDEX(工厂基础数据!$B$2:$B$1024,MATCH(X3120,工厂基础数据!$D$2:$D$1024,0))</f>
        <v>山东福华医药有限公司</v>
      </c>
      <c r="F3120" s="6">
        <f>INDEX(商业2转码!$B$2:$B$10000,MATCH(E3120,商业2转码!$A$2:$A$10000,0))</f>
        <v>0</v>
      </c>
      <c r="G3120" s="6" t="str">
        <f>INDEX(品种2编码!$A$2:$A$1048576,MATCH(W3120,品种2编码!$D$2:$D$1048576,0))</f>
        <v>0020020021ZYLC0004</v>
      </c>
      <c r="H3120" s="6" t="s">
        <v>1868</v>
      </c>
      <c r="I3120" s="6" t="s">
        <v>1869</v>
      </c>
      <c r="J3120" s="6" t="s">
        <v>3036</v>
      </c>
      <c r="L3120" s="6" t="s">
        <v>2060</v>
      </c>
      <c r="M3120" s="6">
        <f>INDEX(医院2县区2人!$B$2:$B$1048576,MATCH(L3120,医院2县区2人!$A$2:$A$1048576,0))</f>
        <v>1</v>
      </c>
      <c r="N3120" s="6" t="str">
        <f>INDEX(医院2县区2人!$C$2:$C$1048576,MATCH(L3120,医院2县区2人!$A$2:$A$1048576,0))</f>
        <v>1859</v>
      </c>
      <c r="P3120" s="7">
        <v>43258</v>
      </c>
      <c r="Q3120" s="6">
        <v>5</v>
      </c>
      <c r="R3120" s="6">
        <v>7.68</v>
      </c>
      <c r="S3120" s="6">
        <v>180201</v>
      </c>
      <c r="T3120" s="6" t="str">
        <f>INDEX(医院2县区2人!$D$2:$D$1048576,MATCH(L3120,医院2县区2人!$A$2:$A$1048576,0))</f>
        <v>201602151421097</v>
      </c>
      <c r="W3120" s="6" t="str">
        <f t="shared" si="99"/>
        <v>罗红霉素分散片/大严迪75mg*12片</v>
      </c>
      <c r="X3120" s="6" t="s">
        <v>2879</v>
      </c>
    </row>
    <row r="3121" spans="1:24" x14ac:dyDescent="0.15">
      <c r="A3121" s="7" t="str">
        <f t="shared" si="100"/>
        <v>201806</v>
      </c>
      <c r="C3121" s="6" t="str">
        <f>INDEX(工厂基础数据!$A$2:$A$1024,MATCH(X3121,工厂基础数据!$D$2:$D$1024,0))</f>
        <v>02010326</v>
      </c>
      <c r="E3121" s="6" t="str">
        <f>INDEX(工厂基础数据!$B$2:$B$1024,MATCH(X3121,工厂基础数据!$D$2:$D$1024,0))</f>
        <v>山东福华医药有限公司</v>
      </c>
      <c r="F3121" s="6">
        <f>INDEX(商业2转码!$B$2:$B$10000,MATCH(E3121,商业2转码!$A$2:$A$10000,0))</f>
        <v>0</v>
      </c>
      <c r="G3121" s="6" t="str">
        <f>INDEX(品种2编码!$A$2:$A$1048576,MATCH(W3121,品种2编码!$D$2:$D$1048576,0))</f>
        <v>0020030001SJZY0006</v>
      </c>
      <c r="H3121" s="6" t="s">
        <v>1833</v>
      </c>
      <c r="I3121" s="6" t="s">
        <v>411</v>
      </c>
      <c r="J3121" s="6" t="s">
        <v>3044</v>
      </c>
      <c r="L3121" s="6" t="s">
        <v>2056</v>
      </c>
      <c r="M3121" s="6">
        <f>INDEX(医院2县区2人!$B$2:$B$1048576,MATCH(L3121,医院2县区2人!$A$2:$A$1048576,0))</f>
        <v>1</v>
      </c>
      <c r="N3121" s="6" t="str">
        <f>INDEX(医院2县区2人!$C$2:$C$1048576,MATCH(L3121,医院2县区2人!$A$2:$A$1048576,0))</f>
        <v>1859</v>
      </c>
      <c r="P3121" s="7">
        <v>43258</v>
      </c>
      <c r="Q3121" s="6">
        <v>80</v>
      </c>
      <c r="R3121" s="6">
        <v>21.12</v>
      </c>
      <c r="S3121" s="6">
        <v>18030842</v>
      </c>
      <c r="T3121" s="6" t="str">
        <f>INDEX(医院2县区2人!$D$2:$D$1048576,MATCH(L3121,医院2县区2人!$A$2:$A$1048576,0))</f>
        <v>201602151421097</v>
      </c>
      <c r="W3121" s="6" t="str">
        <f t="shared" si="99"/>
        <v>葡萄糖酸钙口服溶液10ml*12支</v>
      </c>
      <c r="X3121" s="6" t="s">
        <v>2879</v>
      </c>
    </row>
    <row r="3122" spans="1:24" x14ac:dyDescent="0.15">
      <c r="A3122" s="7" t="str">
        <f t="shared" si="100"/>
        <v>201806</v>
      </c>
      <c r="C3122" s="6" t="str">
        <f>INDEX(工厂基础数据!$A$2:$A$1024,MATCH(X3122,工厂基础数据!$D$2:$D$1024,0))</f>
        <v>02010326</v>
      </c>
      <c r="E3122" s="6" t="str">
        <f>INDEX(工厂基础数据!$B$2:$B$1024,MATCH(X3122,工厂基础数据!$D$2:$D$1024,0))</f>
        <v>山东福华医药有限公司</v>
      </c>
      <c r="F3122" s="6">
        <f>INDEX(商业2转码!$B$2:$B$10000,MATCH(E3122,商业2转码!$A$2:$A$10000,0))</f>
        <v>0</v>
      </c>
      <c r="G3122" s="6" t="str">
        <f>INDEX(品种2编码!$A$2:$A$1048576,MATCH(W3122,品种2编码!$D$2:$D$1048576,0))</f>
        <v>0020030001SJZY0009</v>
      </c>
      <c r="H3122" s="6" t="s">
        <v>555</v>
      </c>
      <c r="I3122" s="6" t="s">
        <v>411</v>
      </c>
      <c r="J3122" s="6" t="s">
        <v>3785</v>
      </c>
      <c r="L3122" s="6" t="s">
        <v>2056</v>
      </c>
      <c r="M3122" s="6">
        <f>INDEX(医院2县区2人!$B$2:$B$1048576,MATCH(L3122,医院2县区2人!$A$2:$A$1048576,0))</f>
        <v>1</v>
      </c>
      <c r="N3122" s="6" t="str">
        <f>INDEX(医院2县区2人!$C$2:$C$1048576,MATCH(L3122,医院2县区2人!$A$2:$A$1048576,0))</f>
        <v>1859</v>
      </c>
      <c r="P3122" s="7">
        <v>43258</v>
      </c>
      <c r="Q3122" s="6">
        <v>40</v>
      </c>
      <c r="R3122" s="6">
        <v>22.08</v>
      </c>
      <c r="S3122" s="6">
        <v>18031227</v>
      </c>
      <c r="T3122" s="6" t="str">
        <f>INDEX(医院2县区2人!$D$2:$D$1048576,MATCH(L3122,医院2县区2人!$A$2:$A$1048576,0))</f>
        <v>201602151421097</v>
      </c>
      <c r="W3122" s="6" t="str">
        <f t="shared" si="99"/>
        <v>葡萄糖酸锌口服液10ml*12支</v>
      </c>
      <c r="X3122" s="6" t="s">
        <v>2879</v>
      </c>
    </row>
    <row r="3123" spans="1:24" x14ac:dyDescent="0.15">
      <c r="A3123" s="7" t="str">
        <f t="shared" si="100"/>
        <v>201806</v>
      </c>
      <c r="C3123" s="6" t="str">
        <f>INDEX(工厂基础数据!$A$2:$A$1024,MATCH(X3123,工厂基础数据!$D$2:$D$1024,0))</f>
        <v>02010326</v>
      </c>
      <c r="E3123" s="6" t="str">
        <f>INDEX(工厂基础数据!$B$2:$B$1024,MATCH(X3123,工厂基础数据!$D$2:$D$1024,0))</f>
        <v>山东福华医药有限公司</v>
      </c>
      <c r="F3123" s="6">
        <f>INDEX(商业2转码!$B$2:$B$10000,MATCH(E3123,商业2转码!$A$2:$A$10000,0))</f>
        <v>0</v>
      </c>
      <c r="G3123" s="6" t="str">
        <f>INDEX(品种2编码!$A$2:$A$1048576,MATCH(W3123,品种2编码!$D$2:$D$1048576,0))</f>
        <v>0020030020ZYLC0013</v>
      </c>
      <c r="H3123" s="6" t="s">
        <v>591</v>
      </c>
      <c r="I3123" s="6" t="s">
        <v>1839</v>
      </c>
      <c r="J3123" s="6" t="s">
        <v>3036</v>
      </c>
      <c r="L3123" s="6" t="s">
        <v>2099</v>
      </c>
      <c r="M3123" s="6">
        <f>INDEX(医院2县区2人!$B$2:$B$1048576,MATCH(L3123,医院2县区2人!$A$2:$A$1048576,0))</f>
        <v>1</v>
      </c>
      <c r="N3123" s="6" t="str">
        <f>INDEX(医院2县区2人!$C$2:$C$1048576,MATCH(L3123,医院2县区2人!$A$2:$A$1048576,0))</f>
        <v>1859</v>
      </c>
      <c r="P3123" s="7">
        <v>43258</v>
      </c>
      <c r="Q3123" s="6">
        <v>10</v>
      </c>
      <c r="R3123" s="6">
        <v>7.68</v>
      </c>
      <c r="S3123" s="6">
        <v>180302</v>
      </c>
      <c r="T3123" s="6" t="str">
        <f>INDEX(医院2县区2人!$D$2:$D$1048576,MATCH(L3123,医院2县区2人!$A$2:$A$1048576,0))</f>
        <v>201602151421097</v>
      </c>
      <c r="W3123" s="6" t="str">
        <f t="shared" si="99"/>
        <v>乳酸菌素片0.4g*36片</v>
      </c>
      <c r="X3123" s="6" t="s">
        <v>2879</v>
      </c>
    </row>
    <row r="3124" spans="1:24" x14ac:dyDescent="0.15">
      <c r="A3124" s="7" t="str">
        <f t="shared" si="100"/>
        <v>201806</v>
      </c>
      <c r="C3124" s="6" t="str">
        <f>INDEX(工厂基础数据!$A$2:$A$1024,MATCH(X3124,工厂基础数据!$D$2:$D$1024,0))</f>
        <v>02010326</v>
      </c>
      <c r="E3124" s="6" t="str">
        <f>INDEX(工厂基础数据!$B$2:$B$1024,MATCH(X3124,工厂基础数据!$D$2:$D$1024,0))</f>
        <v>山东福华医药有限公司</v>
      </c>
      <c r="F3124" s="6">
        <f>INDEX(商业2转码!$B$2:$B$10000,MATCH(E3124,商业2转码!$A$2:$A$10000,0))</f>
        <v>0</v>
      </c>
      <c r="G3124" s="6" t="str">
        <f>INDEX(品种2编码!$A$2:$A$1048576,MATCH(W3124,品种2编码!$D$2:$D$1048576,0))</f>
        <v>0020030001SJZY0006</v>
      </c>
      <c r="H3124" s="6" t="s">
        <v>1833</v>
      </c>
      <c r="I3124" s="6" t="s">
        <v>411</v>
      </c>
      <c r="J3124" s="6" t="s">
        <v>3044</v>
      </c>
      <c r="L3124" s="6" t="s">
        <v>2099</v>
      </c>
      <c r="M3124" s="6">
        <f>INDEX(医院2县区2人!$B$2:$B$1048576,MATCH(L3124,医院2县区2人!$A$2:$A$1048576,0))</f>
        <v>1</v>
      </c>
      <c r="N3124" s="6" t="str">
        <f>INDEX(医院2县区2人!$C$2:$C$1048576,MATCH(L3124,医院2县区2人!$A$2:$A$1048576,0))</f>
        <v>1859</v>
      </c>
      <c r="P3124" s="7">
        <v>43258</v>
      </c>
      <c r="Q3124" s="6">
        <v>20</v>
      </c>
      <c r="R3124" s="6">
        <v>21.12</v>
      </c>
      <c r="S3124" s="6">
        <v>18030842</v>
      </c>
      <c r="T3124" s="6" t="str">
        <f>INDEX(医院2县区2人!$D$2:$D$1048576,MATCH(L3124,医院2县区2人!$A$2:$A$1048576,0))</f>
        <v>201602151421097</v>
      </c>
      <c r="W3124" s="6" t="str">
        <f t="shared" si="99"/>
        <v>葡萄糖酸钙口服溶液10ml*12支</v>
      </c>
      <c r="X3124" s="6" t="s">
        <v>2879</v>
      </c>
    </row>
    <row r="3125" spans="1:24" x14ac:dyDescent="0.15">
      <c r="A3125" s="7" t="str">
        <f t="shared" si="100"/>
        <v>201806</v>
      </c>
      <c r="C3125" s="6" t="str">
        <f>INDEX(工厂基础数据!$A$2:$A$1024,MATCH(X3125,工厂基础数据!$D$2:$D$1024,0))</f>
        <v>02010326</v>
      </c>
      <c r="E3125" s="6" t="str">
        <f>INDEX(工厂基础数据!$B$2:$B$1024,MATCH(X3125,工厂基础数据!$D$2:$D$1024,0))</f>
        <v>山东福华医药有限公司</v>
      </c>
      <c r="F3125" s="6">
        <f>INDEX(商业2转码!$B$2:$B$10000,MATCH(E3125,商业2转码!$A$2:$A$10000,0))</f>
        <v>0</v>
      </c>
      <c r="G3125" s="6" t="str">
        <f>INDEX(品种2编码!$A$2:$A$1048576,MATCH(W3125,品种2编码!$D$2:$D$1048576,0))</f>
        <v>0020030001SJZY0009</v>
      </c>
      <c r="H3125" s="6" t="s">
        <v>555</v>
      </c>
      <c r="I3125" s="6" t="s">
        <v>411</v>
      </c>
      <c r="J3125" s="6" t="s">
        <v>3785</v>
      </c>
      <c r="L3125" s="6" t="s">
        <v>2099</v>
      </c>
      <c r="M3125" s="6">
        <f>INDEX(医院2县区2人!$B$2:$B$1048576,MATCH(L3125,医院2县区2人!$A$2:$A$1048576,0))</f>
        <v>1</v>
      </c>
      <c r="N3125" s="6" t="str">
        <f>INDEX(医院2县区2人!$C$2:$C$1048576,MATCH(L3125,医院2县区2人!$A$2:$A$1048576,0))</f>
        <v>1859</v>
      </c>
      <c r="P3125" s="7">
        <v>43258</v>
      </c>
      <c r="Q3125" s="6">
        <v>20</v>
      </c>
      <c r="R3125" s="6">
        <v>22.08</v>
      </c>
      <c r="S3125" s="6">
        <v>18031227</v>
      </c>
      <c r="T3125" s="6" t="str">
        <f>INDEX(医院2县区2人!$D$2:$D$1048576,MATCH(L3125,医院2县区2人!$A$2:$A$1048576,0))</f>
        <v>201602151421097</v>
      </c>
      <c r="W3125" s="6" t="str">
        <f t="shared" si="99"/>
        <v>葡萄糖酸锌口服液10ml*12支</v>
      </c>
      <c r="X3125" s="6" t="s">
        <v>2879</v>
      </c>
    </row>
    <row r="3126" spans="1:24" x14ac:dyDescent="0.15">
      <c r="A3126" s="7" t="str">
        <f t="shared" si="100"/>
        <v>201806</v>
      </c>
      <c r="C3126" s="6" t="str">
        <f>INDEX(工厂基础数据!$A$2:$A$1024,MATCH(X3126,工厂基础数据!$D$2:$D$1024,0))</f>
        <v>02010326</v>
      </c>
      <c r="E3126" s="6" t="str">
        <f>INDEX(工厂基础数据!$B$2:$B$1024,MATCH(X3126,工厂基础数据!$D$2:$D$1024,0))</f>
        <v>山东福华医药有限公司</v>
      </c>
      <c r="F3126" s="6">
        <f>INDEX(商业2转码!$B$2:$B$10000,MATCH(E3126,商业2转码!$A$2:$A$10000,0))</f>
        <v>0</v>
      </c>
      <c r="G3126" s="6" t="str">
        <f>INDEX(品种2编码!$A$2:$A$1048576,MATCH(W3126,品种2编码!$D$2:$D$1048576,0))</f>
        <v>0020030001SJZY0006</v>
      </c>
      <c r="H3126" s="6" t="s">
        <v>1833</v>
      </c>
      <c r="I3126" s="6" t="s">
        <v>411</v>
      </c>
      <c r="J3126" s="6" t="s">
        <v>3044</v>
      </c>
      <c r="L3126" s="6" t="s">
        <v>2057</v>
      </c>
      <c r="M3126" s="6">
        <f>INDEX(医院2县区2人!$B$2:$B$1048576,MATCH(L3126,医院2县区2人!$A$2:$A$1048576,0))</f>
        <v>1</v>
      </c>
      <c r="N3126" s="6" t="str">
        <f>INDEX(医院2县区2人!$C$2:$C$1048576,MATCH(L3126,医院2县区2人!$A$2:$A$1048576,0))</f>
        <v>1859</v>
      </c>
      <c r="P3126" s="7">
        <v>43258</v>
      </c>
      <c r="Q3126" s="6">
        <v>15</v>
      </c>
      <c r="R3126" s="6">
        <v>21.12</v>
      </c>
      <c r="S3126" s="6">
        <v>18030842</v>
      </c>
      <c r="T3126" s="6" t="str">
        <f>INDEX(医院2县区2人!$D$2:$D$1048576,MATCH(L3126,医院2县区2人!$A$2:$A$1048576,0))</f>
        <v>201602151421097</v>
      </c>
      <c r="W3126" s="6" t="str">
        <f t="shared" si="99"/>
        <v>葡萄糖酸钙口服溶液10ml*12支</v>
      </c>
      <c r="X3126" s="6" t="s">
        <v>2879</v>
      </c>
    </row>
    <row r="3127" spans="1:24" x14ac:dyDescent="0.15">
      <c r="A3127" s="7" t="str">
        <f t="shared" si="100"/>
        <v>201806</v>
      </c>
      <c r="C3127" s="6" t="str">
        <f>INDEX(工厂基础数据!$A$2:$A$1024,MATCH(X3127,工厂基础数据!$D$2:$D$1024,0))</f>
        <v>02010326</v>
      </c>
      <c r="E3127" s="6" t="str">
        <f>INDEX(工厂基础数据!$B$2:$B$1024,MATCH(X3127,工厂基础数据!$D$2:$D$1024,0))</f>
        <v>山东福华医药有限公司</v>
      </c>
      <c r="F3127" s="6">
        <f>INDEX(商业2转码!$B$2:$B$10000,MATCH(E3127,商业2转码!$A$2:$A$10000,0))</f>
        <v>0</v>
      </c>
      <c r="G3127" s="6" t="str">
        <f>INDEX(品种2编码!$A$2:$A$1048576,MATCH(W3127,品种2编码!$D$2:$D$1048576,0))</f>
        <v>0020030020SJSC0004</v>
      </c>
      <c r="H3127" s="6" t="s">
        <v>1870</v>
      </c>
      <c r="I3127" s="6" t="s">
        <v>1871</v>
      </c>
      <c r="J3127" s="6" t="s">
        <v>3045</v>
      </c>
      <c r="L3127" s="6" t="s">
        <v>2052</v>
      </c>
      <c r="M3127" s="6">
        <f>INDEX(医院2县区2人!$B$2:$B$1048576,MATCH(L3127,医院2县区2人!$A$2:$A$1048576,0))</f>
        <v>1</v>
      </c>
      <c r="N3127" s="6" t="str">
        <f>INDEX(医院2县区2人!$C$2:$C$1048576,MATCH(L3127,医院2县区2人!$A$2:$A$1048576,0))</f>
        <v>1859</v>
      </c>
      <c r="P3127" s="7">
        <v>43258</v>
      </c>
      <c r="Q3127" s="6">
        <v>8</v>
      </c>
      <c r="R3127" s="6">
        <v>9.94</v>
      </c>
      <c r="S3127" s="6">
        <v>1609019</v>
      </c>
      <c r="T3127" s="6" t="str">
        <f>INDEX(医院2县区2人!$D$2:$D$1048576,MATCH(L3127,医院2县区2人!$A$2:$A$1048576,0))</f>
        <v>201602151421097</v>
      </c>
      <c r="W3127" s="6" t="str">
        <f t="shared" si="99"/>
        <v>复方铝酸铋片/新胃必治50片</v>
      </c>
      <c r="X3127" s="6" t="s">
        <v>2879</v>
      </c>
    </row>
    <row r="3128" spans="1:24" x14ac:dyDescent="0.15">
      <c r="A3128" s="7" t="str">
        <f t="shared" si="100"/>
        <v>201806</v>
      </c>
      <c r="C3128" s="6" t="str">
        <f>INDEX(工厂基础数据!$A$2:$A$1024,MATCH(X3128,工厂基础数据!$D$2:$D$1024,0))</f>
        <v>02010326</v>
      </c>
      <c r="E3128" s="6" t="str">
        <f>INDEX(工厂基础数据!$B$2:$B$1024,MATCH(X3128,工厂基础数据!$D$2:$D$1024,0))</f>
        <v>山东福华医药有限公司</v>
      </c>
      <c r="F3128" s="6">
        <f>INDEX(商业2转码!$B$2:$B$10000,MATCH(E3128,商业2转码!$A$2:$A$10000,0))</f>
        <v>0</v>
      </c>
      <c r="G3128" s="6" t="str">
        <f>INDEX(品种2编码!$A$2:$A$1048576,MATCH(W3128,品种2编码!$D$2:$D$1048576,0))</f>
        <v>0020030020SJSC0004</v>
      </c>
      <c r="H3128" s="6" t="s">
        <v>1870</v>
      </c>
      <c r="I3128" s="6" t="s">
        <v>1871</v>
      </c>
      <c r="J3128" s="6" t="s">
        <v>3045</v>
      </c>
      <c r="L3128" s="6" t="s">
        <v>2052</v>
      </c>
      <c r="M3128" s="6">
        <f>INDEX(医院2县区2人!$B$2:$B$1048576,MATCH(L3128,医院2县区2人!$A$2:$A$1048576,0))</f>
        <v>1</v>
      </c>
      <c r="N3128" s="6" t="str">
        <f>INDEX(医院2县区2人!$C$2:$C$1048576,MATCH(L3128,医院2县区2人!$A$2:$A$1048576,0))</f>
        <v>1859</v>
      </c>
      <c r="P3128" s="7">
        <v>43258</v>
      </c>
      <c r="Q3128" s="6">
        <v>2</v>
      </c>
      <c r="R3128" s="6">
        <v>10.56</v>
      </c>
      <c r="S3128" s="6">
        <v>1712032</v>
      </c>
      <c r="T3128" s="6" t="str">
        <f>INDEX(医院2县区2人!$D$2:$D$1048576,MATCH(L3128,医院2县区2人!$A$2:$A$1048576,0))</f>
        <v>201602151421097</v>
      </c>
      <c r="W3128" s="6" t="str">
        <f t="shared" si="99"/>
        <v>复方铝酸铋片/新胃必治50片</v>
      </c>
      <c r="X3128" s="6" t="s">
        <v>2879</v>
      </c>
    </row>
    <row r="3129" spans="1:24" x14ac:dyDescent="0.15">
      <c r="A3129" s="7" t="str">
        <f t="shared" si="100"/>
        <v>201806</v>
      </c>
      <c r="C3129" s="6" t="str">
        <f>INDEX(工厂基础数据!$A$2:$A$1024,MATCH(X3129,工厂基础数据!$D$2:$D$1024,0))</f>
        <v>02010326</v>
      </c>
      <c r="E3129" s="6" t="str">
        <f>INDEX(工厂基础数据!$B$2:$B$1024,MATCH(X3129,工厂基础数据!$D$2:$D$1024,0))</f>
        <v>山东福华医药有限公司</v>
      </c>
      <c r="F3129" s="6">
        <f>INDEX(商业2转码!$B$2:$B$10000,MATCH(E3129,商业2转码!$A$2:$A$10000,0))</f>
        <v>0</v>
      </c>
      <c r="G3129" s="6" t="str">
        <f>INDEX(品种2编码!$A$2:$A$1048576,MATCH(W3129,品种2编码!$D$2:$D$1048576,0))</f>
        <v>0020030001SJZY0006</v>
      </c>
      <c r="H3129" s="6" t="s">
        <v>1833</v>
      </c>
      <c r="I3129" s="6" t="s">
        <v>411</v>
      </c>
      <c r="J3129" s="6" t="s">
        <v>3044</v>
      </c>
      <c r="L3129" s="6" t="s">
        <v>2058</v>
      </c>
      <c r="M3129" s="6">
        <f>INDEX(医院2县区2人!$B$2:$B$1048576,MATCH(L3129,医院2县区2人!$A$2:$A$1048576,0))</f>
        <v>1</v>
      </c>
      <c r="N3129" s="6" t="str">
        <f>INDEX(医院2县区2人!$C$2:$C$1048576,MATCH(L3129,医院2县区2人!$A$2:$A$1048576,0))</f>
        <v>1859</v>
      </c>
      <c r="P3129" s="7">
        <v>43258</v>
      </c>
      <c r="Q3129" s="6">
        <v>40</v>
      </c>
      <c r="R3129" s="6">
        <v>21.12</v>
      </c>
      <c r="S3129" s="6">
        <v>18030842</v>
      </c>
      <c r="T3129" s="6" t="str">
        <f>INDEX(医院2县区2人!$D$2:$D$1048576,MATCH(L3129,医院2县区2人!$A$2:$A$1048576,0))</f>
        <v>201602151421097</v>
      </c>
      <c r="W3129" s="6" t="str">
        <f t="shared" ref="W3129:W3192" si="101">H3129&amp;I3129</f>
        <v>葡萄糖酸钙口服溶液10ml*12支</v>
      </c>
      <c r="X3129" s="6" t="s">
        <v>2879</v>
      </c>
    </row>
    <row r="3130" spans="1:24" x14ac:dyDescent="0.15">
      <c r="A3130" s="7" t="str">
        <f t="shared" ref="A3130:A3193" si="102">IF(MONTH(P3130)&lt;10,YEAR(P3130)&amp;"0"&amp;MONTH(P3130),YEAR(P3130)&amp;MONTH(P3130))</f>
        <v>201806</v>
      </c>
      <c r="C3130" s="6" t="str">
        <f>INDEX(工厂基础数据!$A$2:$A$1024,MATCH(X3130,工厂基础数据!$D$2:$D$1024,0))</f>
        <v>02010326</v>
      </c>
      <c r="E3130" s="6" t="str">
        <f>INDEX(工厂基础数据!$B$2:$B$1024,MATCH(X3130,工厂基础数据!$D$2:$D$1024,0))</f>
        <v>山东福华医药有限公司</v>
      </c>
      <c r="F3130" s="6">
        <f>INDEX(商业2转码!$B$2:$B$10000,MATCH(E3130,商业2转码!$A$2:$A$10000,0))</f>
        <v>0</v>
      </c>
      <c r="G3130" s="6" t="str">
        <f>INDEX(品种2编码!$A$2:$A$1048576,MATCH(W3130,品种2编码!$D$2:$D$1048576,0))</f>
        <v>0020030001SJZY0009</v>
      </c>
      <c r="H3130" s="6" t="s">
        <v>555</v>
      </c>
      <c r="I3130" s="6" t="s">
        <v>411</v>
      </c>
      <c r="J3130" s="6" t="s">
        <v>3785</v>
      </c>
      <c r="L3130" s="6" t="s">
        <v>2058</v>
      </c>
      <c r="M3130" s="6">
        <f>INDEX(医院2县区2人!$B$2:$B$1048576,MATCH(L3130,医院2县区2人!$A$2:$A$1048576,0))</f>
        <v>1</v>
      </c>
      <c r="N3130" s="6" t="str">
        <f>INDEX(医院2县区2人!$C$2:$C$1048576,MATCH(L3130,医院2县区2人!$A$2:$A$1048576,0))</f>
        <v>1859</v>
      </c>
      <c r="P3130" s="7">
        <v>43258</v>
      </c>
      <c r="Q3130" s="6">
        <v>20</v>
      </c>
      <c r="R3130" s="6">
        <v>22.08</v>
      </c>
      <c r="S3130" s="6">
        <v>18031227</v>
      </c>
      <c r="T3130" s="6" t="str">
        <f>INDEX(医院2县区2人!$D$2:$D$1048576,MATCH(L3130,医院2县区2人!$A$2:$A$1048576,0))</f>
        <v>201602151421097</v>
      </c>
      <c r="W3130" s="6" t="str">
        <f t="shared" si="101"/>
        <v>葡萄糖酸锌口服液10ml*12支</v>
      </c>
      <c r="X3130" s="6" t="s">
        <v>2879</v>
      </c>
    </row>
    <row r="3131" spans="1:24" x14ac:dyDescent="0.15">
      <c r="A3131" s="7" t="str">
        <f t="shared" si="102"/>
        <v>201806</v>
      </c>
      <c r="C3131" s="6" t="str">
        <f>INDEX(工厂基础数据!$A$2:$A$1024,MATCH(X3131,工厂基础数据!$D$2:$D$1024,0))</f>
        <v>02010326</v>
      </c>
      <c r="E3131" s="6" t="str">
        <f>INDEX(工厂基础数据!$B$2:$B$1024,MATCH(X3131,工厂基础数据!$D$2:$D$1024,0))</f>
        <v>山东福华医药有限公司</v>
      </c>
      <c r="F3131" s="6">
        <f>INDEX(商业2转码!$B$2:$B$10000,MATCH(E3131,商业2转码!$A$2:$A$10000,0))</f>
        <v>0</v>
      </c>
      <c r="G3131" s="6" t="str">
        <f>INDEX(品种2编码!$A$2:$A$1048576,MATCH(W3131,品种2编码!$D$2:$D$1048576,0))</f>
        <v>0020070000ZYLC0001</v>
      </c>
      <c r="H3131" s="6" t="s">
        <v>1837</v>
      </c>
      <c r="I3131" s="6" t="s">
        <v>1838</v>
      </c>
      <c r="J3131" s="6" t="s">
        <v>3036</v>
      </c>
      <c r="L3131" s="6" t="s">
        <v>2099</v>
      </c>
      <c r="M3131" s="6">
        <f>INDEX(医院2县区2人!$B$2:$B$1048576,MATCH(L3131,医院2县区2人!$A$2:$A$1048576,0))</f>
        <v>1</v>
      </c>
      <c r="N3131" s="6" t="str">
        <f>INDEX(医院2县区2人!$C$2:$C$1048576,MATCH(L3131,医院2县区2人!$A$2:$A$1048576,0))</f>
        <v>1859</v>
      </c>
      <c r="P3131" s="7">
        <v>43258</v>
      </c>
      <c r="Q3131" s="6">
        <v>3</v>
      </c>
      <c r="R3131" s="6">
        <v>23.04</v>
      </c>
      <c r="S3131" s="6">
        <v>180104</v>
      </c>
      <c r="T3131" s="6" t="str">
        <f>INDEX(医院2县区2人!$D$2:$D$1048576,MATCH(L3131,医院2县区2人!$A$2:$A$1048576,0))</f>
        <v>201602151421097</v>
      </c>
      <c r="W3131" s="6" t="str">
        <f t="shared" si="101"/>
        <v>新盖中盖高钙片(成人)/盖中盖2.5g*36片</v>
      </c>
      <c r="X3131" s="6" t="s">
        <v>2879</v>
      </c>
    </row>
    <row r="3132" spans="1:24" x14ac:dyDescent="0.15">
      <c r="A3132" s="7" t="str">
        <f t="shared" si="102"/>
        <v>201806</v>
      </c>
      <c r="C3132" s="6" t="str">
        <f>INDEX(工厂基础数据!$A$2:$A$1024,MATCH(X3132,工厂基础数据!$D$2:$D$1024,0))</f>
        <v>02010326</v>
      </c>
      <c r="E3132" s="6" t="str">
        <f>INDEX(工厂基础数据!$B$2:$B$1024,MATCH(X3132,工厂基础数据!$D$2:$D$1024,0))</f>
        <v>山东福华医药有限公司</v>
      </c>
      <c r="F3132" s="6">
        <f>INDEX(商业2转码!$B$2:$B$10000,MATCH(E3132,商业2转码!$A$2:$A$10000,0))</f>
        <v>0</v>
      </c>
      <c r="G3132" s="6" t="str">
        <f>INDEX(品种2编码!$A$2:$A$1048576,MATCH(W3132,品种2编码!$D$2:$D$1048576,0))</f>
        <v>0020070000ZYLC0001</v>
      </c>
      <c r="H3132" s="6" t="s">
        <v>1837</v>
      </c>
      <c r="I3132" s="6" t="s">
        <v>1838</v>
      </c>
      <c r="J3132" s="6" t="s">
        <v>3036</v>
      </c>
      <c r="L3132" s="6" t="s">
        <v>2107</v>
      </c>
      <c r="M3132" s="6">
        <f>INDEX(医院2县区2人!$B$2:$B$1048576,MATCH(L3132,医院2县区2人!$A$2:$A$1048576,0))</f>
        <v>2</v>
      </c>
      <c r="N3132" s="6" t="str">
        <f>INDEX(医院2县区2人!$C$2:$C$1048576,MATCH(L3132,医院2县区2人!$A$2:$A$1048576,0))</f>
        <v>1859</v>
      </c>
      <c r="P3132" s="7">
        <v>43258</v>
      </c>
      <c r="Q3132" s="6">
        <v>10</v>
      </c>
      <c r="R3132" s="6">
        <v>24.3</v>
      </c>
      <c r="S3132" s="6">
        <v>180104</v>
      </c>
      <c r="T3132" s="6" t="str">
        <f>INDEX(医院2县区2人!$D$2:$D$1048576,MATCH(L3132,医院2县区2人!$A$2:$A$1048576,0))</f>
        <v>201602151421097</v>
      </c>
      <c r="W3132" s="6" t="str">
        <f t="shared" si="101"/>
        <v>新盖中盖高钙片(成人)/盖中盖2.5g*36片</v>
      </c>
      <c r="X3132" s="6" t="s">
        <v>2879</v>
      </c>
    </row>
    <row r="3133" spans="1:24" x14ac:dyDescent="0.15">
      <c r="A3133" s="7" t="str">
        <f t="shared" si="102"/>
        <v>201806</v>
      </c>
      <c r="C3133" s="6" t="str">
        <f>INDEX(工厂基础数据!$A$2:$A$1024,MATCH(X3133,工厂基础数据!$D$2:$D$1024,0))</f>
        <v>02010326</v>
      </c>
      <c r="E3133" s="6" t="str">
        <f>INDEX(工厂基础数据!$B$2:$B$1024,MATCH(X3133,工厂基础数据!$D$2:$D$1024,0))</f>
        <v>山东福华医药有限公司</v>
      </c>
      <c r="F3133" s="6">
        <f>INDEX(商业2转码!$B$2:$B$10000,MATCH(E3133,商业2转码!$A$2:$A$10000,0))</f>
        <v>0</v>
      </c>
      <c r="G3133" s="6" t="str">
        <f>INDEX(品种2编码!$A$2:$A$1048576,MATCH(W3133,品种2编码!$D$2:$D$1048576,0))</f>
        <v>0020040220SHYT0004</v>
      </c>
      <c r="H3133" s="6" t="s">
        <v>1857</v>
      </c>
      <c r="I3133" s="6" t="s">
        <v>1858</v>
      </c>
      <c r="J3133" s="6" t="s">
        <v>3037</v>
      </c>
      <c r="L3133" s="6" t="s">
        <v>2057</v>
      </c>
      <c r="M3133" s="6">
        <f>INDEX(医院2县区2人!$B$2:$B$1048576,MATCH(L3133,医院2县区2人!$A$2:$A$1048576,0))</f>
        <v>1</v>
      </c>
      <c r="N3133" s="6" t="str">
        <f>INDEX(医院2县区2人!$C$2:$C$1048576,MATCH(L3133,医院2县区2人!$A$2:$A$1048576,0))</f>
        <v>1859</v>
      </c>
      <c r="P3133" s="7">
        <v>43258</v>
      </c>
      <c r="Q3133" s="6">
        <v>10</v>
      </c>
      <c r="R3133" s="6">
        <v>15.36</v>
      </c>
      <c r="S3133" s="6">
        <v>1803420</v>
      </c>
      <c r="T3133" s="6" t="str">
        <f>INDEX(医院2县区2人!$D$2:$D$1048576,MATCH(L3133,医院2县区2人!$A$2:$A$1048576,0))</f>
        <v>201602151421097</v>
      </c>
      <c r="W3133" s="6" t="str">
        <f t="shared" si="101"/>
        <v>妇宁栓1.6克*8粒</v>
      </c>
      <c r="X3133" s="6" t="s">
        <v>2879</v>
      </c>
    </row>
    <row r="3134" spans="1:24" x14ac:dyDescent="0.15">
      <c r="A3134" s="7" t="str">
        <f t="shared" si="102"/>
        <v>201806</v>
      </c>
      <c r="C3134" s="6" t="str">
        <f>INDEX(工厂基础数据!$A$2:$A$1024,MATCH(X3134,工厂基础数据!$D$2:$D$1024,0))</f>
        <v>02010326</v>
      </c>
      <c r="E3134" s="6" t="str">
        <f>INDEX(工厂基础数据!$B$2:$B$1024,MATCH(X3134,工厂基础数据!$D$2:$D$1024,0))</f>
        <v>山东福华医药有限公司</v>
      </c>
      <c r="F3134" s="6">
        <f>INDEX(商业2转码!$B$2:$B$10000,MATCH(E3134,商业2转码!$A$2:$A$10000,0))</f>
        <v>0</v>
      </c>
      <c r="G3134" s="6" t="str">
        <f>INDEX(品种2编码!$A$2:$A$1048576,MATCH(W3134,品种2编码!$D$2:$D$1048576,0))</f>
        <v>0020030020SJSC0025</v>
      </c>
      <c r="H3134" s="6" t="s">
        <v>380</v>
      </c>
      <c r="I3134" s="6" t="s">
        <v>381</v>
      </c>
      <c r="J3134" s="6" t="s">
        <v>3787</v>
      </c>
      <c r="L3134" s="6" t="s">
        <v>2058</v>
      </c>
      <c r="M3134" s="6">
        <f>INDEX(医院2县区2人!$B$2:$B$1048576,MATCH(L3134,医院2县区2人!$A$2:$A$1048576,0))</f>
        <v>1</v>
      </c>
      <c r="N3134" s="6" t="str">
        <f>INDEX(医院2县区2人!$C$2:$C$1048576,MATCH(L3134,医院2县区2人!$A$2:$A$1048576,0))</f>
        <v>1859</v>
      </c>
      <c r="P3134" s="7">
        <v>43258</v>
      </c>
      <c r="Q3134" s="6">
        <v>10</v>
      </c>
      <c r="R3134" s="6">
        <v>3.47</v>
      </c>
      <c r="S3134" s="6">
        <v>1705001</v>
      </c>
      <c r="T3134" s="6" t="str">
        <f>INDEX(医院2县区2人!$D$2:$D$1048576,MATCH(L3134,医院2县区2人!$A$2:$A$1048576,0))</f>
        <v>201602151421097</v>
      </c>
      <c r="W3134" s="6" t="str">
        <f t="shared" si="101"/>
        <v>复方氨酚烷胺片12片</v>
      </c>
      <c r="X3134" s="6" t="s">
        <v>2879</v>
      </c>
    </row>
    <row r="3135" spans="1:24" x14ac:dyDescent="0.15">
      <c r="A3135" s="7" t="str">
        <f t="shared" si="102"/>
        <v>201806</v>
      </c>
      <c r="C3135" s="6" t="str">
        <f>INDEX(工厂基础数据!$A$2:$A$1024,MATCH(X3135,工厂基础数据!$D$2:$D$1024,0))</f>
        <v>02010326</v>
      </c>
      <c r="E3135" s="6" t="str">
        <f>INDEX(工厂基础数据!$B$2:$B$1024,MATCH(X3135,工厂基础数据!$D$2:$D$1024,0))</f>
        <v>山东福华医药有限公司</v>
      </c>
      <c r="F3135" s="6">
        <f>INDEX(商业2转码!$B$2:$B$10000,MATCH(E3135,商业2转码!$A$2:$A$10000,0))</f>
        <v>0</v>
      </c>
      <c r="G3135" s="6" t="str">
        <f>INDEX(品种2编码!$A$2:$A$1048576,MATCH(W3135,品种2编码!$D$2:$D$1048576,0))</f>
        <v>0020020030ZYLC0006</v>
      </c>
      <c r="H3135" s="6" t="s">
        <v>361</v>
      </c>
      <c r="I3135" s="6" t="s">
        <v>2012</v>
      </c>
      <c r="J3135" s="6" t="s">
        <v>3036</v>
      </c>
      <c r="L3135" s="6" t="s">
        <v>2053</v>
      </c>
      <c r="M3135" s="6">
        <f>INDEX(医院2县区2人!$B$2:$B$1048576,MATCH(L3135,医院2县区2人!$A$2:$A$1048576,0))</f>
        <v>1</v>
      </c>
      <c r="N3135" s="6" t="str">
        <f>INDEX(医院2县区2人!$C$2:$C$1048576,MATCH(L3135,医院2县区2人!$A$2:$A$1048576,0))</f>
        <v>1859</v>
      </c>
      <c r="P3135" s="7">
        <v>43258</v>
      </c>
      <c r="Q3135" s="6">
        <v>5</v>
      </c>
      <c r="R3135" s="6">
        <v>9.6</v>
      </c>
      <c r="S3135" s="6">
        <v>180301</v>
      </c>
      <c r="T3135" s="6" t="str">
        <f>INDEX(医院2县区2人!$D$2:$D$1048576,MATCH(L3135,医院2县区2人!$A$2:$A$1048576,0))</f>
        <v>201602151421097</v>
      </c>
      <c r="W3135" s="6" t="str">
        <f t="shared" si="101"/>
        <v>厄贝沙坦胶囊0.075g*24粒</v>
      </c>
      <c r="X3135" s="6" t="s">
        <v>2879</v>
      </c>
    </row>
    <row r="3136" spans="1:24" x14ac:dyDescent="0.15">
      <c r="A3136" s="7" t="str">
        <f t="shared" si="102"/>
        <v>201806</v>
      </c>
      <c r="C3136" s="6" t="str">
        <f>INDEX(工厂基础数据!$A$2:$A$1024,MATCH(X3136,工厂基础数据!$D$2:$D$1024,0))</f>
        <v>02010326</v>
      </c>
      <c r="E3136" s="6" t="str">
        <f>INDEX(工厂基础数据!$B$2:$B$1024,MATCH(X3136,工厂基础数据!$D$2:$D$1024,0))</f>
        <v>山东福华医药有限公司</v>
      </c>
      <c r="F3136" s="6">
        <f>INDEX(商业2转码!$B$2:$B$10000,MATCH(E3136,商业2转码!$A$2:$A$10000,0))</f>
        <v>0</v>
      </c>
      <c r="G3136" s="6" t="str">
        <f>INDEX(品种2编码!$A$2:$A$1048576,MATCH(W3136,品种2编码!$D$2:$D$1048576,0))</f>
        <v>0020070000ZYLC0001</v>
      </c>
      <c r="H3136" s="6" t="s">
        <v>1837</v>
      </c>
      <c r="I3136" s="6" t="s">
        <v>1838</v>
      </c>
      <c r="J3136" s="6" t="s">
        <v>3036</v>
      </c>
      <c r="L3136" s="6" t="s">
        <v>2056</v>
      </c>
      <c r="M3136" s="6">
        <f>INDEX(医院2县区2人!$B$2:$B$1048576,MATCH(L3136,医院2县区2人!$A$2:$A$1048576,0))</f>
        <v>1</v>
      </c>
      <c r="N3136" s="6" t="str">
        <f>INDEX(医院2县区2人!$C$2:$C$1048576,MATCH(L3136,医院2县区2人!$A$2:$A$1048576,0))</f>
        <v>1859</v>
      </c>
      <c r="P3136" s="7">
        <v>43258</v>
      </c>
      <c r="Q3136" s="6">
        <v>3</v>
      </c>
      <c r="R3136" s="6">
        <v>23.04</v>
      </c>
      <c r="S3136" s="6">
        <v>180104</v>
      </c>
      <c r="T3136" s="6" t="str">
        <f>INDEX(医院2县区2人!$D$2:$D$1048576,MATCH(L3136,医院2县区2人!$A$2:$A$1048576,0))</f>
        <v>201602151421097</v>
      </c>
      <c r="W3136" s="6" t="str">
        <f t="shared" si="101"/>
        <v>新盖中盖高钙片(成人)/盖中盖2.5g*36片</v>
      </c>
      <c r="X3136" s="6" t="s">
        <v>2879</v>
      </c>
    </row>
    <row r="3137" spans="1:24" x14ac:dyDescent="0.15">
      <c r="A3137" s="7" t="str">
        <f t="shared" si="102"/>
        <v>201806</v>
      </c>
      <c r="C3137" s="6" t="str">
        <f>INDEX(工厂基础数据!$A$2:$A$1024,MATCH(X3137,工厂基础数据!$D$2:$D$1024,0))</f>
        <v>02010326</v>
      </c>
      <c r="E3137" s="6" t="str">
        <f>INDEX(工厂基础数据!$B$2:$B$1024,MATCH(X3137,工厂基础数据!$D$2:$D$1024,0))</f>
        <v>山东福华医药有限公司</v>
      </c>
      <c r="F3137" s="6">
        <f>INDEX(商业2转码!$B$2:$B$10000,MATCH(E3137,商业2转码!$A$2:$A$10000,0))</f>
        <v>0</v>
      </c>
      <c r="G3137" s="6" t="str">
        <f>INDEX(品种2编码!$A$2:$A$1048576,MATCH(W3137,品种2编码!$D$2:$D$1048576,0))</f>
        <v>0020070000ZYLC0001</v>
      </c>
      <c r="H3137" s="6" t="s">
        <v>1837</v>
      </c>
      <c r="I3137" s="6" t="s">
        <v>1838</v>
      </c>
      <c r="J3137" s="6" t="s">
        <v>3036</v>
      </c>
      <c r="L3137" s="6" t="s">
        <v>2060</v>
      </c>
      <c r="M3137" s="6">
        <f>INDEX(医院2县区2人!$B$2:$B$1048576,MATCH(L3137,医院2县区2人!$A$2:$A$1048576,0))</f>
        <v>1</v>
      </c>
      <c r="N3137" s="6" t="str">
        <f>INDEX(医院2县区2人!$C$2:$C$1048576,MATCH(L3137,医院2县区2人!$A$2:$A$1048576,0))</f>
        <v>1859</v>
      </c>
      <c r="P3137" s="7">
        <v>43258</v>
      </c>
      <c r="Q3137" s="6">
        <v>2</v>
      </c>
      <c r="R3137" s="6">
        <v>23.04</v>
      </c>
      <c r="S3137" s="6">
        <v>180104</v>
      </c>
      <c r="T3137" s="6" t="str">
        <f>INDEX(医院2县区2人!$D$2:$D$1048576,MATCH(L3137,医院2县区2人!$A$2:$A$1048576,0))</f>
        <v>201602151421097</v>
      </c>
      <c r="W3137" s="6" t="str">
        <f t="shared" si="101"/>
        <v>新盖中盖高钙片(成人)/盖中盖2.5g*36片</v>
      </c>
      <c r="X3137" s="6" t="s">
        <v>2879</v>
      </c>
    </row>
    <row r="3138" spans="1:24" x14ac:dyDescent="0.15">
      <c r="A3138" s="7" t="str">
        <f t="shared" si="102"/>
        <v>201806</v>
      </c>
      <c r="C3138" s="6" t="str">
        <f>INDEX(工厂基础数据!$A$2:$A$1024,MATCH(X3138,工厂基础数据!$D$2:$D$1024,0))</f>
        <v>02010326</v>
      </c>
      <c r="E3138" s="6" t="str">
        <f>INDEX(工厂基础数据!$B$2:$B$1024,MATCH(X3138,工厂基础数据!$D$2:$D$1024,0))</f>
        <v>山东福华医药有限公司</v>
      </c>
      <c r="F3138" s="6">
        <f>INDEX(商业2转码!$B$2:$B$10000,MATCH(E3138,商业2转码!$A$2:$A$10000,0))</f>
        <v>0</v>
      </c>
      <c r="G3138" s="6" t="str">
        <f>INDEX(品种2编码!$A$2:$A$1048576,MATCH(W3138,品种2编码!$D$2:$D$1048576,0))</f>
        <v>0020030001SJZY0009</v>
      </c>
      <c r="H3138" s="6" t="s">
        <v>555</v>
      </c>
      <c r="I3138" s="6" t="s">
        <v>411</v>
      </c>
      <c r="J3138" s="6" t="s">
        <v>3785</v>
      </c>
      <c r="L3138" s="6" t="s">
        <v>2058</v>
      </c>
      <c r="M3138" s="6">
        <f>INDEX(医院2县区2人!$B$2:$B$1048576,MATCH(L3138,医院2县区2人!$A$2:$A$1048576,0))</f>
        <v>1</v>
      </c>
      <c r="N3138" s="6" t="str">
        <f>INDEX(医院2县区2人!$C$2:$C$1048576,MATCH(L3138,医院2县区2人!$A$2:$A$1048576,0))</f>
        <v>1859</v>
      </c>
      <c r="P3138" s="7">
        <v>43258</v>
      </c>
      <c r="Q3138" s="6">
        <v>10</v>
      </c>
      <c r="R3138" s="6">
        <v>22.08</v>
      </c>
      <c r="S3138" s="6">
        <v>18031227</v>
      </c>
      <c r="T3138" s="6" t="str">
        <f>INDEX(医院2县区2人!$D$2:$D$1048576,MATCH(L3138,医院2县区2人!$A$2:$A$1048576,0))</f>
        <v>201602151421097</v>
      </c>
      <c r="W3138" s="6" t="str">
        <f t="shared" si="101"/>
        <v>葡萄糖酸锌口服液10ml*12支</v>
      </c>
      <c r="X3138" s="6" t="s">
        <v>2879</v>
      </c>
    </row>
    <row r="3139" spans="1:24" x14ac:dyDescent="0.15">
      <c r="A3139" s="7" t="str">
        <f t="shared" si="102"/>
        <v>201806</v>
      </c>
      <c r="C3139" s="6" t="str">
        <f>INDEX(工厂基础数据!$A$2:$A$1024,MATCH(X3139,工厂基础数据!$D$2:$D$1024,0))</f>
        <v>02010326</v>
      </c>
      <c r="E3139" s="6" t="str">
        <f>INDEX(工厂基础数据!$B$2:$B$1024,MATCH(X3139,工厂基础数据!$D$2:$D$1024,0))</f>
        <v>山东福华医药有限公司</v>
      </c>
      <c r="F3139" s="6">
        <f>INDEX(商业2转码!$B$2:$B$10000,MATCH(E3139,商业2转码!$A$2:$A$10000,0))</f>
        <v>0</v>
      </c>
      <c r="G3139" s="6" t="str">
        <f>INDEX(品种2编码!$A$2:$A$1048576,MATCH(W3139,品种2编码!$D$2:$D$1048576,0))</f>
        <v>0020030001SJZY0006</v>
      </c>
      <c r="H3139" s="6" t="s">
        <v>1833</v>
      </c>
      <c r="I3139" s="6" t="s">
        <v>411</v>
      </c>
      <c r="J3139" s="6" t="s">
        <v>3044</v>
      </c>
      <c r="L3139" s="6" t="s">
        <v>2096</v>
      </c>
      <c r="M3139" s="6">
        <f>INDEX(医院2县区2人!$B$2:$B$1048576,MATCH(L3139,医院2县区2人!$A$2:$A$1048576,0))</f>
        <v>1</v>
      </c>
      <c r="N3139" s="6" t="str">
        <f>INDEX(医院2县区2人!$C$2:$C$1048576,MATCH(L3139,医院2县区2人!$A$2:$A$1048576,0))</f>
        <v>1859</v>
      </c>
      <c r="P3139" s="7">
        <v>43258</v>
      </c>
      <c r="Q3139" s="6">
        <v>20</v>
      </c>
      <c r="R3139" s="6">
        <v>21.12</v>
      </c>
      <c r="S3139" s="6">
        <v>18030842</v>
      </c>
      <c r="T3139" s="6" t="str">
        <f>INDEX(医院2县区2人!$D$2:$D$1048576,MATCH(L3139,医院2县区2人!$A$2:$A$1048576,0))</f>
        <v>201602151421097</v>
      </c>
      <c r="W3139" s="6" t="str">
        <f t="shared" si="101"/>
        <v>葡萄糖酸钙口服溶液10ml*12支</v>
      </c>
      <c r="X3139" s="6" t="s">
        <v>2879</v>
      </c>
    </row>
    <row r="3140" spans="1:24" x14ac:dyDescent="0.15">
      <c r="A3140" s="7" t="str">
        <f t="shared" si="102"/>
        <v>201806</v>
      </c>
      <c r="C3140" s="6" t="str">
        <f>INDEX(工厂基础数据!$A$2:$A$1024,MATCH(X3140,工厂基础数据!$D$2:$D$1024,0))</f>
        <v>02010326</v>
      </c>
      <c r="E3140" s="6" t="str">
        <f>INDEX(工厂基础数据!$B$2:$B$1024,MATCH(X3140,工厂基础数据!$D$2:$D$1024,0))</f>
        <v>山东福华医药有限公司</v>
      </c>
      <c r="F3140" s="6">
        <f>INDEX(商业2转码!$B$2:$B$10000,MATCH(E3140,商业2转码!$A$2:$A$10000,0))</f>
        <v>0</v>
      </c>
      <c r="G3140" s="6" t="str">
        <f>INDEX(品种2编码!$A$2:$A$1048576,MATCH(W3140,品种2编码!$D$2:$D$1048576,0))</f>
        <v>0020030001SJZY0009</v>
      </c>
      <c r="H3140" s="6" t="s">
        <v>555</v>
      </c>
      <c r="I3140" s="6" t="s">
        <v>411</v>
      </c>
      <c r="J3140" s="6" t="s">
        <v>3785</v>
      </c>
      <c r="L3140" s="6" t="s">
        <v>2096</v>
      </c>
      <c r="M3140" s="6">
        <f>INDEX(医院2县区2人!$B$2:$B$1048576,MATCH(L3140,医院2县区2人!$A$2:$A$1048576,0))</f>
        <v>1</v>
      </c>
      <c r="N3140" s="6" t="str">
        <f>INDEX(医院2县区2人!$C$2:$C$1048576,MATCH(L3140,医院2县区2人!$A$2:$A$1048576,0))</f>
        <v>1859</v>
      </c>
      <c r="P3140" s="7">
        <v>43258</v>
      </c>
      <c r="Q3140" s="6">
        <v>10</v>
      </c>
      <c r="R3140" s="6">
        <v>22.08</v>
      </c>
      <c r="S3140" s="6">
        <v>18031227</v>
      </c>
      <c r="T3140" s="6" t="str">
        <f>INDEX(医院2县区2人!$D$2:$D$1048576,MATCH(L3140,医院2县区2人!$A$2:$A$1048576,0))</f>
        <v>201602151421097</v>
      </c>
      <c r="W3140" s="6" t="str">
        <f t="shared" si="101"/>
        <v>葡萄糖酸锌口服液10ml*12支</v>
      </c>
      <c r="X3140" s="6" t="s">
        <v>2879</v>
      </c>
    </row>
    <row r="3141" spans="1:24" x14ac:dyDescent="0.15">
      <c r="A3141" s="7" t="str">
        <f t="shared" si="102"/>
        <v>201806</v>
      </c>
      <c r="C3141" s="6" t="str">
        <f>INDEX(工厂基础数据!$A$2:$A$1024,MATCH(X3141,工厂基础数据!$D$2:$D$1024,0))</f>
        <v>02010326</v>
      </c>
      <c r="E3141" s="6" t="str">
        <f>INDEX(工厂基础数据!$B$2:$B$1024,MATCH(X3141,工厂基础数据!$D$2:$D$1024,0))</f>
        <v>山东福华医药有限公司</v>
      </c>
      <c r="F3141" s="6">
        <f>INDEX(商业2转码!$B$2:$B$10000,MATCH(E3141,商业2转码!$A$2:$A$10000,0))</f>
        <v>0</v>
      </c>
      <c r="G3141" s="6" t="str">
        <f>INDEX(品种2编码!$A$2:$A$1048576,MATCH(W3141,品种2编码!$D$2:$D$1048576,0))</f>
        <v>0020030001SJZY0006</v>
      </c>
      <c r="H3141" s="6" t="s">
        <v>1833</v>
      </c>
      <c r="I3141" s="6" t="s">
        <v>411</v>
      </c>
      <c r="J3141" s="6" t="s">
        <v>3044</v>
      </c>
      <c r="L3141" s="6" t="s">
        <v>3779</v>
      </c>
      <c r="M3141" s="6" t="e">
        <f>INDEX(医院2县区2人!$B$2:$B$1048576,MATCH(L3141,医院2县区2人!$A$2:$A$1048576,0))</f>
        <v>#N/A</v>
      </c>
      <c r="N3141" s="6" t="e">
        <f>INDEX(医院2县区2人!$C$2:$C$1048576,MATCH(L3141,医院2县区2人!$A$2:$A$1048576,0))</f>
        <v>#N/A</v>
      </c>
      <c r="P3141" s="7">
        <v>43257</v>
      </c>
      <c r="Q3141" s="6">
        <v>10</v>
      </c>
      <c r="R3141" s="6">
        <v>22.3</v>
      </c>
      <c r="S3141" s="6">
        <v>18030842</v>
      </c>
      <c r="T3141" s="6" t="e">
        <f>INDEX(医院2县区2人!$D$2:$D$1048576,MATCH(L3141,医院2县区2人!$A$2:$A$1048576,0))</f>
        <v>#N/A</v>
      </c>
      <c r="W3141" s="6" t="str">
        <f t="shared" si="101"/>
        <v>葡萄糖酸钙口服溶液10ml*12支</v>
      </c>
      <c r="X3141" s="6" t="s">
        <v>2879</v>
      </c>
    </row>
    <row r="3142" spans="1:24" x14ac:dyDescent="0.15">
      <c r="A3142" s="7" t="str">
        <f t="shared" si="102"/>
        <v>201806</v>
      </c>
      <c r="C3142" s="6" t="str">
        <f>INDEX(工厂基础数据!$A$2:$A$1024,MATCH(X3142,工厂基础数据!$D$2:$D$1024,0))</f>
        <v>02010326</v>
      </c>
      <c r="E3142" s="6" t="str">
        <f>INDEX(工厂基础数据!$B$2:$B$1024,MATCH(X3142,工厂基础数据!$D$2:$D$1024,0))</f>
        <v>山东福华医药有限公司</v>
      </c>
      <c r="F3142" s="6">
        <f>INDEX(商业2转码!$B$2:$B$10000,MATCH(E3142,商业2转码!$A$2:$A$10000,0))</f>
        <v>0</v>
      </c>
      <c r="G3142" s="6" t="str">
        <f>INDEX(品种2编码!$A$2:$A$1048576,MATCH(W3142,品种2编码!$D$2:$D$1048576,0))</f>
        <v>0020030001SJZY0009</v>
      </c>
      <c r="H3142" s="6" t="s">
        <v>555</v>
      </c>
      <c r="I3142" s="6" t="s">
        <v>411</v>
      </c>
      <c r="J3142" s="6" t="s">
        <v>3785</v>
      </c>
      <c r="L3142" s="6" t="s">
        <v>2064</v>
      </c>
      <c r="M3142" s="6">
        <f>INDEX(医院2县区2人!$B$2:$B$1048576,MATCH(L3142,医院2县区2人!$A$2:$A$1048576,0))</f>
        <v>1</v>
      </c>
      <c r="N3142" s="6" t="str">
        <f>INDEX(医院2县区2人!$C$2:$C$1048576,MATCH(L3142,医院2县区2人!$A$2:$A$1048576,0))</f>
        <v>1859</v>
      </c>
      <c r="P3142" s="7">
        <v>43257</v>
      </c>
      <c r="Q3142" s="6">
        <v>10</v>
      </c>
      <c r="R3142" s="6">
        <v>22.08</v>
      </c>
      <c r="S3142" s="6">
        <v>18031227</v>
      </c>
      <c r="T3142" s="6" t="str">
        <f>INDEX(医院2县区2人!$D$2:$D$1048576,MATCH(L3142,医院2县区2人!$A$2:$A$1048576,0))</f>
        <v>201602151421097</v>
      </c>
      <c r="W3142" s="6" t="str">
        <f t="shared" si="101"/>
        <v>葡萄糖酸锌口服液10ml*12支</v>
      </c>
      <c r="X3142" s="6" t="s">
        <v>2879</v>
      </c>
    </row>
    <row r="3143" spans="1:24" x14ac:dyDescent="0.15">
      <c r="A3143" s="7" t="str">
        <f t="shared" si="102"/>
        <v>201806</v>
      </c>
      <c r="C3143" s="6" t="str">
        <f>INDEX(工厂基础数据!$A$2:$A$1024,MATCH(X3143,工厂基础数据!$D$2:$D$1024,0))</f>
        <v>02010326</v>
      </c>
      <c r="E3143" s="6" t="str">
        <f>INDEX(工厂基础数据!$B$2:$B$1024,MATCH(X3143,工厂基础数据!$D$2:$D$1024,0))</f>
        <v>山东福华医药有限公司</v>
      </c>
      <c r="F3143" s="6">
        <f>INDEX(商业2转码!$B$2:$B$10000,MATCH(E3143,商业2转码!$A$2:$A$10000,0))</f>
        <v>0</v>
      </c>
      <c r="G3143" s="6" t="str">
        <f>INDEX(品种2编码!$A$2:$A$1048576,MATCH(W3143,品种2编码!$D$2:$D$1048576,0))</f>
        <v>0020020021ZYLC0004</v>
      </c>
      <c r="H3143" s="6" t="s">
        <v>1868</v>
      </c>
      <c r="I3143" s="6" t="s">
        <v>1869</v>
      </c>
      <c r="J3143" s="6" t="s">
        <v>3036</v>
      </c>
      <c r="L3143" s="6" t="s">
        <v>2064</v>
      </c>
      <c r="M3143" s="6">
        <f>INDEX(医院2县区2人!$B$2:$B$1048576,MATCH(L3143,医院2县区2人!$A$2:$A$1048576,0))</f>
        <v>1</v>
      </c>
      <c r="N3143" s="6" t="str">
        <f>INDEX(医院2县区2人!$C$2:$C$1048576,MATCH(L3143,医院2县区2人!$A$2:$A$1048576,0))</f>
        <v>1859</v>
      </c>
      <c r="P3143" s="7">
        <v>43257</v>
      </c>
      <c r="Q3143" s="6">
        <v>5</v>
      </c>
      <c r="R3143" s="6">
        <v>7.68</v>
      </c>
      <c r="S3143" s="6">
        <v>180201</v>
      </c>
      <c r="T3143" s="6" t="str">
        <f>INDEX(医院2县区2人!$D$2:$D$1048576,MATCH(L3143,医院2县区2人!$A$2:$A$1048576,0))</f>
        <v>201602151421097</v>
      </c>
      <c r="W3143" s="6" t="str">
        <f t="shared" si="101"/>
        <v>罗红霉素分散片/大严迪75mg*12片</v>
      </c>
      <c r="X3143" s="6" t="s">
        <v>2879</v>
      </c>
    </row>
    <row r="3144" spans="1:24" x14ac:dyDescent="0.15">
      <c r="A3144" s="7" t="str">
        <f t="shared" si="102"/>
        <v>201806</v>
      </c>
      <c r="C3144" s="6" t="str">
        <f>INDEX(工厂基础数据!$A$2:$A$1024,MATCH(X3144,工厂基础数据!$D$2:$D$1024,0))</f>
        <v>02010326</v>
      </c>
      <c r="E3144" s="6" t="str">
        <f>INDEX(工厂基础数据!$B$2:$B$1024,MATCH(X3144,工厂基础数据!$D$2:$D$1024,0))</f>
        <v>山东福华医药有限公司</v>
      </c>
      <c r="F3144" s="6">
        <f>INDEX(商业2转码!$B$2:$B$10000,MATCH(E3144,商业2转码!$A$2:$A$10000,0))</f>
        <v>0</v>
      </c>
      <c r="G3144" s="6" t="str">
        <f>INDEX(品种2编码!$A$2:$A$1048576,MATCH(W3144,品种2编码!$D$2:$D$1048576,0))</f>
        <v>0020030040ZYLC0001</v>
      </c>
      <c r="H3144" s="6" t="s">
        <v>1852</v>
      </c>
      <c r="I3144" s="6" t="s">
        <v>1853</v>
      </c>
      <c r="J3144" s="6" t="s">
        <v>3036</v>
      </c>
      <c r="L3144" s="6" t="s">
        <v>2095</v>
      </c>
      <c r="M3144" s="6">
        <f>INDEX(医院2县区2人!$B$2:$B$1048576,MATCH(L3144,医院2县区2人!$A$2:$A$1048576,0))</f>
        <v>2</v>
      </c>
      <c r="N3144" s="6" t="str">
        <f>INDEX(医院2县区2人!$C$2:$C$1048576,MATCH(L3144,医院2县区2人!$A$2:$A$1048576,0))</f>
        <v>1859</v>
      </c>
      <c r="P3144" s="7">
        <v>43257</v>
      </c>
      <c r="Q3144" s="6">
        <v>10</v>
      </c>
      <c r="R3144" s="6">
        <v>8.3000000000000007</v>
      </c>
      <c r="S3144" s="6">
        <v>170533</v>
      </c>
      <c r="T3144" s="6" t="str">
        <f>INDEX(医院2县区2人!$D$2:$D$1048576,MATCH(L3144,医院2县区2人!$A$2:$A$1048576,0))</f>
        <v>201602151421097</v>
      </c>
      <c r="W3144" s="6" t="str">
        <f t="shared" si="101"/>
        <v>小儿氨酚黄那敏颗粒/护彤2g*12袋</v>
      </c>
      <c r="X3144" s="6" t="s">
        <v>2879</v>
      </c>
    </row>
    <row r="3145" spans="1:24" x14ac:dyDescent="0.15">
      <c r="A3145" s="7" t="str">
        <f t="shared" si="102"/>
        <v>201806</v>
      </c>
      <c r="C3145" s="6" t="str">
        <f>INDEX(工厂基础数据!$A$2:$A$1024,MATCH(X3145,工厂基础数据!$D$2:$D$1024,0))</f>
        <v>02010326</v>
      </c>
      <c r="E3145" s="6" t="str">
        <f>INDEX(工厂基础数据!$B$2:$B$1024,MATCH(X3145,工厂基础数据!$D$2:$D$1024,0))</f>
        <v>山东福华医药有限公司</v>
      </c>
      <c r="F3145" s="6">
        <f>INDEX(商业2转码!$B$2:$B$10000,MATCH(E3145,商业2转码!$A$2:$A$10000,0))</f>
        <v>0</v>
      </c>
      <c r="G3145" s="6" t="str">
        <f>INDEX(品种2编码!$A$2:$A$1048576,MATCH(W3145,品种2编码!$D$2:$D$1048576,0))</f>
        <v>0020030001SJZY0009</v>
      </c>
      <c r="H3145" s="6" t="s">
        <v>555</v>
      </c>
      <c r="I3145" s="6" t="s">
        <v>411</v>
      </c>
      <c r="J3145" s="6" t="s">
        <v>3785</v>
      </c>
      <c r="L3145" s="6" t="s">
        <v>2061</v>
      </c>
      <c r="M3145" s="6">
        <f>INDEX(医院2县区2人!$B$2:$B$1048576,MATCH(L3145,医院2县区2人!$A$2:$A$1048576,0))</f>
        <v>1</v>
      </c>
      <c r="N3145" s="6" t="str">
        <f>INDEX(医院2县区2人!$C$2:$C$1048576,MATCH(L3145,医院2县区2人!$A$2:$A$1048576,0))</f>
        <v>1859</v>
      </c>
      <c r="P3145" s="7">
        <v>43257</v>
      </c>
      <c r="Q3145" s="6">
        <v>20</v>
      </c>
      <c r="R3145" s="6">
        <v>22.08</v>
      </c>
      <c r="S3145" s="6">
        <v>18031227</v>
      </c>
      <c r="T3145" s="6" t="str">
        <f>INDEX(医院2县区2人!$D$2:$D$1048576,MATCH(L3145,医院2县区2人!$A$2:$A$1048576,0))</f>
        <v>201602151421097</v>
      </c>
      <c r="W3145" s="6" t="str">
        <f t="shared" si="101"/>
        <v>葡萄糖酸锌口服液10ml*12支</v>
      </c>
      <c r="X3145" s="6" t="s">
        <v>2879</v>
      </c>
    </row>
    <row r="3146" spans="1:24" x14ac:dyDescent="0.15">
      <c r="A3146" s="7" t="str">
        <f t="shared" si="102"/>
        <v>201806</v>
      </c>
      <c r="C3146" s="6" t="str">
        <f>INDEX(工厂基础数据!$A$2:$A$1024,MATCH(X3146,工厂基础数据!$D$2:$D$1024,0))</f>
        <v>02010326</v>
      </c>
      <c r="E3146" s="6" t="str">
        <f>INDEX(工厂基础数据!$B$2:$B$1024,MATCH(X3146,工厂基础数据!$D$2:$D$1024,0))</f>
        <v>山东福华医药有限公司</v>
      </c>
      <c r="F3146" s="6">
        <f>INDEX(商业2转码!$B$2:$B$10000,MATCH(E3146,商业2转码!$A$2:$A$10000,0))</f>
        <v>0</v>
      </c>
      <c r="G3146" s="6" t="str">
        <f>INDEX(品种2编码!$A$2:$A$1048576,MATCH(W3146,品种2编码!$D$2:$D$1048576,0))</f>
        <v>0020030001SJZY0006</v>
      </c>
      <c r="H3146" s="6" t="s">
        <v>1833</v>
      </c>
      <c r="I3146" s="6" t="s">
        <v>411</v>
      </c>
      <c r="J3146" s="6" t="s">
        <v>3044</v>
      </c>
      <c r="L3146" s="6" t="s">
        <v>2094</v>
      </c>
      <c r="M3146" s="6">
        <f>INDEX(医院2县区2人!$B$2:$B$1048576,MATCH(L3146,医院2县区2人!$A$2:$A$1048576,0))</f>
        <v>1</v>
      </c>
      <c r="N3146" s="6" t="str">
        <f>INDEX(医院2县区2人!$C$2:$C$1048576,MATCH(L3146,医院2县区2人!$A$2:$A$1048576,0))</f>
        <v>1859</v>
      </c>
      <c r="P3146" s="7">
        <v>43257</v>
      </c>
      <c r="Q3146" s="6">
        <v>7</v>
      </c>
      <c r="R3146" s="6">
        <v>18.559999999999999</v>
      </c>
      <c r="S3146" s="6">
        <v>18030523</v>
      </c>
      <c r="T3146" s="6" t="str">
        <f>INDEX(医院2县区2人!$D$2:$D$1048576,MATCH(L3146,医院2县区2人!$A$2:$A$1048576,0))</f>
        <v>201602151421097</v>
      </c>
      <c r="W3146" s="6" t="str">
        <f t="shared" si="101"/>
        <v>葡萄糖酸钙口服溶液10ml*12支</v>
      </c>
      <c r="X3146" s="6" t="s">
        <v>2879</v>
      </c>
    </row>
    <row r="3147" spans="1:24" x14ac:dyDescent="0.15">
      <c r="A3147" s="7" t="str">
        <f t="shared" si="102"/>
        <v>201806</v>
      </c>
      <c r="C3147" s="6" t="str">
        <f>INDEX(工厂基础数据!$A$2:$A$1024,MATCH(X3147,工厂基础数据!$D$2:$D$1024,0))</f>
        <v>02010326</v>
      </c>
      <c r="E3147" s="6" t="str">
        <f>INDEX(工厂基础数据!$B$2:$B$1024,MATCH(X3147,工厂基础数据!$D$2:$D$1024,0))</f>
        <v>山东福华医药有限公司</v>
      </c>
      <c r="F3147" s="6">
        <f>INDEX(商业2转码!$B$2:$B$10000,MATCH(E3147,商业2转码!$A$2:$A$10000,0))</f>
        <v>0</v>
      </c>
      <c r="G3147" s="6" t="str">
        <f>INDEX(品种2编码!$A$2:$A$1048576,MATCH(W3147,品种2编码!$D$2:$D$1048576,0))</f>
        <v>0020030001SJZY0009</v>
      </c>
      <c r="H3147" s="6" t="s">
        <v>555</v>
      </c>
      <c r="I3147" s="6" t="s">
        <v>411</v>
      </c>
      <c r="J3147" s="6" t="s">
        <v>3785</v>
      </c>
      <c r="L3147" s="6" t="s">
        <v>2094</v>
      </c>
      <c r="M3147" s="6">
        <f>INDEX(医院2县区2人!$B$2:$B$1048576,MATCH(L3147,医院2县区2人!$A$2:$A$1048576,0))</f>
        <v>1</v>
      </c>
      <c r="N3147" s="6" t="str">
        <f>INDEX(医院2县区2人!$C$2:$C$1048576,MATCH(L3147,医院2县区2人!$A$2:$A$1048576,0))</f>
        <v>1859</v>
      </c>
      <c r="P3147" s="7">
        <v>43257</v>
      </c>
      <c r="Q3147" s="6">
        <v>20</v>
      </c>
      <c r="R3147" s="6">
        <v>22.08</v>
      </c>
      <c r="S3147" s="6">
        <v>18031227</v>
      </c>
      <c r="T3147" s="6" t="str">
        <f>INDEX(医院2县区2人!$D$2:$D$1048576,MATCH(L3147,医院2县区2人!$A$2:$A$1048576,0))</f>
        <v>201602151421097</v>
      </c>
      <c r="W3147" s="6" t="str">
        <f t="shared" si="101"/>
        <v>葡萄糖酸锌口服液10ml*12支</v>
      </c>
      <c r="X3147" s="6" t="s">
        <v>2879</v>
      </c>
    </row>
    <row r="3148" spans="1:24" x14ac:dyDescent="0.15">
      <c r="A3148" s="7" t="str">
        <f t="shared" si="102"/>
        <v>201806</v>
      </c>
      <c r="C3148" s="6" t="str">
        <f>INDEX(工厂基础数据!$A$2:$A$1024,MATCH(X3148,工厂基础数据!$D$2:$D$1024,0))</f>
        <v>02010326</v>
      </c>
      <c r="E3148" s="6" t="str">
        <f>INDEX(工厂基础数据!$B$2:$B$1024,MATCH(X3148,工厂基础数据!$D$2:$D$1024,0))</f>
        <v>山东福华医药有限公司</v>
      </c>
      <c r="F3148" s="6">
        <f>INDEX(商业2转码!$B$2:$B$10000,MATCH(E3148,商业2转码!$A$2:$A$10000,0))</f>
        <v>0</v>
      </c>
      <c r="G3148" s="6" t="str">
        <f>INDEX(品种2编码!$A$2:$A$1048576,MATCH(W3148,品种2编码!$D$2:$D$1048576,0))</f>
        <v>0020020021ZYZC0341</v>
      </c>
      <c r="H3148" s="6" t="s">
        <v>1854</v>
      </c>
      <c r="I3148" s="6" t="s">
        <v>279</v>
      </c>
      <c r="J3148" s="6" t="s">
        <v>3038</v>
      </c>
      <c r="L3148" s="6" t="s">
        <v>2094</v>
      </c>
      <c r="M3148" s="6">
        <f>INDEX(医院2县区2人!$B$2:$B$1048576,MATCH(L3148,医院2县区2人!$A$2:$A$1048576,0))</f>
        <v>1</v>
      </c>
      <c r="N3148" s="6" t="str">
        <f>INDEX(医院2县区2人!$C$2:$C$1048576,MATCH(L3148,医院2县区2人!$A$2:$A$1048576,0))</f>
        <v>1859</v>
      </c>
      <c r="P3148" s="7">
        <v>43257</v>
      </c>
      <c r="Q3148" s="6">
        <v>3</v>
      </c>
      <c r="R3148" s="6">
        <v>9.1199999999999992</v>
      </c>
      <c r="S3148" s="6" t="s">
        <v>3049</v>
      </c>
      <c r="T3148" s="6" t="str">
        <f>INDEX(医院2县区2人!$D$2:$D$1048576,MATCH(L3148,医院2县区2人!$A$2:$A$1048576,0))</f>
        <v>201602151421097</v>
      </c>
      <c r="W3148" s="6" t="str">
        <f t="shared" si="101"/>
        <v>阿莫西林克拉维酸钾分散片/胜艾0.2285g*12片</v>
      </c>
      <c r="X3148" s="6" t="s">
        <v>2879</v>
      </c>
    </row>
    <row r="3149" spans="1:24" x14ac:dyDescent="0.15">
      <c r="A3149" s="7" t="str">
        <f t="shared" si="102"/>
        <v>201806</v>
      </c>
      <c r="C3149" s="6" t="str">
        <f>INDEX(工厂基础数据!$A$2:$A$1024,MATCH(X3149,工厂基础数据!$D$2:$D$1024,0))</f>
        <v>02010326</v>
      </c>
      <c r="E3149" s="6" t="str">
        <f>INDEX(工厂基础数据!$B$2:$B$1024,MATCH(X3149,工厂基础数据!$D$2:$D$1024,0))</f>
        <v>山东福华医药有限公司</v>
      </c>
      <c r="F3149" s="6">
        <f>INDEX(商业2转码!$B$2:$B$10000,MATCH(E3149,商业2转码!$A$2:$A$10000,0))</f>
        <v>0</v>
      </c>
      <c r="G3149" s="6" t="str">
        <f>INDEX(品种2编码!$A$2:$A$1048576,MATCH(W3149,品种2编码!$D$2:$D$1048576,0))</f>
        <v>0020070000ZYLC0001</v>
      </c>
      <c r="H3149" s="6" t="s">
        <v>1837</v>
      </c>
      <c r="I3149" s="6" t="s">
        <v>1838</v>
      </c>
      <c r="J3149" s="6" t="s">
        <v>3036</v>
      </c>
      <c r="L3149" s="6" t="s">
        <v>2062</v>
      </c>
      <c r="M3149" s="6">
        <f>INDEX(医院2县区2人!$B$2:$B$1048576,MATCH(L3149,医院2县区2人!$A$2:$A$1048576,0))</f>
        <v>1</v>
      </c>
      <c r="N3149" s="6" t="str">
        <f>INDEX(医院2县区2人!$C$2:$C$1048576,MATCH(L3149,医院2县区2人!$A$2:$A$1048576,0))</f>
        <v>1859</v>
      </c>
      <c r="P3149" s="7">
        <v>43257</v>
      </c>
      <c r="Q3149" s="6">
        <v>5</v>
      </c>
      <c r="R3149" s="6">
        <v>23.04</v>
      </c>
      <c r="S3149" s="6">
        <v>180104</v>
      </c>
      <c r="T3149" s="6" t="str">
        <f>INDEX(医院2县区2人!$D$2:$D$1048576,MATCH(L3149,医院2县区2人!$A$2:$A$1048576,0))</f>
        <v>201602151421097</v>
      </c>
      <c r="W3149" s="6" t="str">
        <f t="shared" si="101"/>
        <v>新盖中盖高钙片(成人)/盖中盖2.5g*36片</v>
      </c>
      <c r="X3149" s="6" t="s">
        <v>2879</v>
      </c>
    </row>
    <row r="3150" spans="1:24" x14ac:dyDescent="0.15">
      <c r="A3150" s="7" t="str">
        <f t="shared" si="102"/>
        <v>201806</v>
      </c>
      <c r="C3150" s="6" t="str">
        <f>INDEX(工厂基础数据!$A$2:$A$1024,MATCH(X3150,工厂基础数据!$D$2:$D$1024,0))</f>
        <v>02010326</v>
      </c>
      <c r="E3150" s="6" t="str">
        <f>INDEX(工厂基础数据!$B$2:$B$1024,MATCH(X3150,工厂基础数据!$D$2:$D$1024,0))</f>
        <v>山东福华医药有限公司</v>
      </c>
      <c r="F3150" s="6">
        <f>INDEX(商业2转码!$B$2:$B$10000,MATCH(E3150,商业2转码!$A$2:$A$10000,0))</f>
        <v>0</v>
      </c>
      <c r="G3150" s="6" t="str">
        <f>INDEX(品种2编码!$A$2:$A$1048576,MATCH(W3150,品种2编码!$D$2:$D$1048576,0))</f>
        <v>0020030001SJZY0009</v>
      </c>
      <c r="H3150" s="6" t="s">
        <v>555</v>
      </c>
      <c r="I3150" s="6" t="s">
        <v>411</v>
      </c>
      <c r="J3150" s="6" t="s">
        <v>3785</v>
      </c>
      <c r="L3150" s="6" t="s">
        <v>2063</v>
      </c>
      <c r="M3150" s="6">
        <f>INDEX(医院2县区2人!$B$2:$B$1048576,MATCH(L3150,医院2县区2人!$A$2:$A$1048576,0))</f>
        <v>1</v>
      </c>
      <c r="N3150" s="6" t="str">
        <f>INDEX(医院2县区2人!$C$2:$C$1048576,MATCH(L3150,医院2县区2人!$A$2:$A$1048576,0))</f>
        <v>1859</v>
      </c>
      <c r="P3150" s="7">
        <v>43257</v>
      </c>
      <c r="Q3150" s="6">
        <v>20</v>
      </c>
      <c r="R3150" s="6">
        <v>19.52</v>
      </c>
      <c r="S3150" s="6">
        <v>18032527</v>
      </c>
      <c r="T3150" s="6" t="str">
        <f>INDEX(医院2县区2人!$D$2:$D$1048576,MATCH(L3150,医院2县区2人!$A$2:$A$1048576,0))</f>
        <v>201602151421097</v>
      </c>
      <c r="W3150" s="6" t="str">
        <f t="shared" si="101"/>
        <v>葡萄糖酸锌口服液10ml*12支</v>
      </c>
      <c r="X3150" s="6" t="s">
        <v>2879</v>
      </c>
    </row>
    <row r="3151" spans="1:24" x14ac:dyDescent="0.15">
      <c r="A3151" s="7" t="str">
        <f t="shared" si="102"/>
        <v>201806</v>
      </c>
      <c r="C3151" s="6" t="str">
        <f>INDEX(工厂基础数据!$A$2:$A$1024,MATCH(X3151,工厂基础数据!$D$2:$D$1024,0))</f>
        <v>02010326</v>
      </c>
      <c r="E3151" s="6" t="str">
        <f>INDEX(工厂基础数据!$B$2:$B$1024,MATCH(X3151,工厂基础数据!$D$2:$D$1024,0))</f>
        <v>山东福华医药有限公司</v>
      </c>
      <c r="F3151" s="6">
        <f>INDEX(商业2转码!$B$2:$B$10000,MATCH(E3151,商业2转码!$A$2:$A$10000,0))</f>
        <v>0</v>
      </c>
      <c r="G3151" s="6" t="str">
        <f>INDEX(品种2编码!$A$2:$A$1048576,MATCH(W3151,品种2编码!$D$2:$D$1048576,0))</f>
        <v>0020030001SJZY0006</v>
      </c>
      <c r="H3151" s="6" t="s">
        <v>1833</v>
      </c>
      <c r="I3151" s="6" t="s">
        <v>411</v>
      </c>
      <c r="J3151" s="6" t="s">
        <v>3044</v>
      </c>
      <c r="L3151" s="6" t="s">
        <v>2063</v>
      </c>
      <c r="M3151" s="6">
        <f>INDEX(医院2县区2人!$B$2:$B$1048576,MATCH(L3151,医院2县区2人!$A$2:$A$1048576,0))</f>
        <v>1</v>
      </c>
      <c r="N3151" s="6" t="str">
        <f>INDEX(医院2县区2人!$C$2:$C$1048576,MATCH(L3151,医院2县区2人!$A$2:$A$1048576,0))</f>
        <v>1859</v>
      </c>
      <c r="P3151" s="7">
        <v>43257</v>
      </c>
      <c r="Q3151" s="6">
        <v>20</v>
      </c>
      <c r="R3151" s="6">
        <v>18.559999999999999</v>
      </c>
      <c r="S3151" s="6">
        <v>18030523</v>
      </c>
      <c r="T3151" s="6" t="str">
        <f>INDEX(医院2县区2人!$D$2:$D$1048576,MATCH(L3151,医院2县区2人!$A$2:$A$1048576,0))</f>
        <v>201602151421097</v>
      </c>
      <c r="W3151" s="6" t="str">
        <f t="shared" si="101"/>
        <v>葡萄糖酸钙口服溶液10ml*12支</v>
      </c>
      <c r="X3151" s="6" t="s">
        <v>2879</v>
      </c>
    </row>
    <row r="3152" spans="1:24" x14ac:dyDescent="0.15">
      <c r="A3152" s="7" t="str">
        <f t="shared" si="102"/>
        <v>201806</v>
      </c>
      <c r="C3152" s="6" t="str">
        <f>INDEX(工厂基础数据!$A$2:$A$1024,MATCH(X3152,工厂基础数据!$D$2:$D$1024,0))</f>
        <v>02010326</v>
      </c>
      <c r="E3152" s="6" t="str">
        <f>INDEX(工厂基础数据!$B$2:$B$1024,MATCH(X3152,工厂基础数据!$D$2:$D$1024,0))</f>
        <v>山东福华医药有限公司</v>
      </c>
      <c r="F3152" s="6">
        <f>INDEX(商业2转码!$B$2:$B$10000,MATCH(E3152,商业2转码!$A$2:$A$10000,0))</f>
        <v>0</v>
      </c>
      <c r="G3152" s="6" t="str">
        <f>INDEX(品种2编码!$A$2:$A$1048576,MATCH(W3152,品种2编码!$D$2:$D$1048576,0))</f>
        <v>0020030001SJZY0009</v>
      </c>
      <c r="H3152" s="6" t="s">
        <v>555</v>
      </c>
      <c r="I3152" s="6" t="s">
        <v>411</v>
      </c>
      <c r="J3152" s="6" t="s">
        <v>3785</v>
      </c>
      <c r="L3152" s="6" t="s">
        <v>2077</v>
      </c>
      <c r="M3152" s="6">
        <f>INDEX(医院2县区2人!$B$2:$B$1048576,MATCH(L3152,医院2县区2人!$A$2:$A$1048576,0))</f>
        <v>1</v>
      </c>
      <c r="N3152" s="6" t="str">
        <f>INDEX(医院2县区2人!$C$2:$C$1048576,MATCH(L3152,医院2县区2人!$A$2:$A$1048576,0))</f>
        <v>1859</v>
      </c>
      <c r="P3152" s="7">
        <v>43257</v>
      </c>
      <c r="Q3152" s="6">
        <v>80</v>
      </c>
      <c r="R3152" s="6">
        <v>22.08</v>
      </c>
      <c r="S3152" s="6">
        <v>18031227</v>
      </c>
      <c r="T3152" s="6" t="str">
        <f>INDEX(医院2县区2人!$D$2:$D$1048576,MATCH(L3152,医院2县区2人!$A$2:$A$1048576,0))</f>
        <v>201602151421097</v>
      </c>
      <c r="W3152" s="6" t="str">
        <f t="shared" si="101"/>
        <v>葡萄糖酸锌口服液10ml*12支</v>
      </c>
      <c r="X3152" s="6" t="s">
        <v>2879</v>
      </c>
    </row>
    <row r="3153" spans="1:24" x14ac:dyDescent="0.15">
      <c r="A3153" s="7" t="str">
        <f t="shared" si="102"/>
        <v>201806</v>
      </c>
      <c r="C3153" s="6" t="str">
        <f>INDEX(工厂基础数据!$A$2:$A$1024,MATCH(X3153,工厂基础数据!$D$2:$D$1024,0))</f>
        <v>02010326</v>
      </c>
      <c r="E3153" s="6" t="str">
        <f>INDEX(工厂基础数据!$B$2:$B$1024,MATCH(X3153,工厂基础数据!$D$2:$D$1024,0))</f>
        <v>山东福华医药有限公司</v>
      </c>
      <c r="F3153" s="6">
        <f>INDEX(商业2转码!$B$2:$B$10000,MATCH(E3153,商业2转码!$A$2:$A$10000,0))</f>
        <v>0</v>
      </c>
      <c r="G3153" s="6" t="str">
        <f>INDEX(品种2编码!$A$2:$A$1048576,MATCH(W3153,品种2编码!$D$2:$D$1048576,0))</f>
        <v>0020040220SHYT0004</v>
      </c>
      <c r="H3153" s="6" t="s">
        <v>1857</v>
      </c>
      <c r="I3153" s="6" t="s">
        <v>1858</v>
      </c>
      <c r="J3153" s="6" t="s">
        <v>3037</v>
      </c>
      <c r="L3153" s="6" t="s">
        <v>2062</v>
      </c>
      <c r="M3153" s="6">
        <f>INDEX(医院2县区2人!$B$2:$B$1048576,MATCH(L3153,医院2县区2人!$A$2:$A$1048576,0))</f>
        <v>1</v>
      </c>
      <c r="N3153" s="6" t="str">
        <f>INDEX(医院2县区2人!$C$2:$C$1048576,MATCH(L3153,医院2县区2人!$A$2:$A$1048576,0))</f>
        <v>1859</v>
      </c>
      <c r="P3153" s="7">
        <v>43257</v>
      </c>
      <c r="Q3153" s="6">
        <v>5</v>
      </c>
      <c r="R3153" s="6">
        <v>15.36</v>
      </c>
      <c r="S3153" s="6">
        <v>1803420</v>
      </c>
      <c r="T3153" s="6" t="str">
        <f>INDEX(医院2县区2人!$D$2:$D$1048576,MATCH(L3153,医院2县区2人!$A$2:$A$1048576,0))</f>
        <v>201602151421097</v>
      </c>
      <c r="W3153" s="6" t="str">
        <f t="shared" si="101"/>
        <v>妇宁栓1.6克*8粒</v>
      </c>
      <c r="X3153" s="6" t="s">
        <v>2879</v>
      </c>
    </row>
    <row r="3154" spans="1:24" x14ac:dyDescent="0.15">
      <c r="A3154" s="7" t="str">
        <f t="shared" si="102"/>
        <v>201806</v>
      </c>
      <c r="C3154" s="6" t="str">
        <f>INDEX(工厂基础数据!$A$2:$A$1024,MATCH(X3154,工厂基础数据!$D$2:$D$1024,0))</f>
        <v>02010326</v>
      </c>
      <c r="E3154" s="6" t="str">
        <f>INDEX(工厂基础数据!$B$2:$B$1024,MATCH(X3154,工厂基础数据!$D$2:$D$1024,0))</f>
        <v>山东福华医药有限公司</v>
      </c>
      <c r="F3154" s="6">
        <f>INDEX(商业2转码!$B$2:$B$10000,MATCH(E3154,商业2转码!$A$2:$A$10000,0))</f>
        <v>0</v>
      </c>
      <c r="G3154" s="6" t="str">
        <f>INDEX(品种2编码!$A$2:$A$1048576,MATCH(W3154,品种2编码!$D$2:$D$1048576,0))</f>
        <v>0020030001SJZY0006</v>
      </c>
      <c r="H3154" s="6" t="s">
        <v>1833</v>
      </c>
      <c r="I3154" s="6" t="s">
        <v>411</v>
      </c>
      <c r="J3154" s="6" t="s">
        <v>3044</v>
      </c>
      <c r="L3154" s="6" t="s">
        <v>2074</v>
      </c>
      <c r="M3154" s="6">
        <f>INDEX(医院2县区2人!$B$2:$B$1048576,MATCH(L3154,医院2县区2人!$A$2:$A$1048576,0))</f>
        <v>1</v>
      </c>
      <c r="N3154" s="6" t="str">
        <f>INDEX(医院2县区2人!$C$2:$C$1048576,MATCH(L3154,医院2县区2人!$A$2:$A$1048576,0))</f>
        <v>1859</v>
      </c>
      <c r="P3154" s="7">
        <v>43257</v>
      </c>
      <c r="Q3154" s="6">
        <v>20</v>
      </c>
      <c r="R3154" s="6">
        <v>18.559999999999999</v>
      </c>
      <c r="S3154" s="6">
        <v>18030523</v>
      </c>
      <c r="T3154" s="6" t="str">
        <f>INDEX(医院2县区2人!$D$2:$D$1048576,MATCH(L3154,医院2县区2人!$A$2:$A$1048576,0))</f>
        <v>201602151421097</v>
      </c>
      <c r="W3154" s="6" t="str">
        <f t="shared" si="101"/>
        <v>葡萄糖酸钙口服溶液10ml*12支</v>
      </c>
      <c r="X3154" s="6" t="s">
        <v>2879</v>
      </c>
    </row>
    <row r="3155" spans="1:24" x14ac:dyDescent="0.15">
      <c r="A3155" s="7" t="str">
        <f t="shared" si="102"/>
        <v>201806</v>
      </c>
      <c r="C3155" s="6" t="str">
        <f>INDEX(工厂基础数据!$A$2:$A$1024,MATCH(X3155,工厂基础数据!$D$2:$D$1024,0))</f>
        <v>02010326</v>
      </c>
      <c r="E3155" s="6" t="str">
        <f>INDEX(工厂基础数据!$B$2:$B$1024,MATCH(X3155,工厂基础数据!$D$2:$D$1024,0))</f>
        <v>山东福华医药有限公司</v>
      </c>
      <c r="F3155" s="6">
        <f>INDEX(商业2转码!$B$2:$B$10000,MATCH(E3155,商业2转码!$A$2:$A$10000,0))</f>
        <v>0</v>
      </c>
      <c r="G3155" s="6" t="str">
        <f>INDEX(品种2编码!$A$2:$A$1048576,MATCH(W3155,品种2编码!$D$2:$D$1048576,0))</f>
        <v>0020030001SJZY0009</v>
      </c>
      <c r="H3155" s="6" t="s">
        <v>555</v>
      </c>
      <c r="I3155" s="6" t="s">
        <v>411</v>
      </c>
      <c r="J3155" s="6" t="s">
        <v>3785</v>
      </c>
      <c r="L3155" s="6" t="s">
        <v>2074</v>
      </c>
      <c r="M3155" s="6">
        <f>INDEX(医院2县区2人!$B$2:$B$1048576,MATCH(L3155,医院2县区2人!$A$2:$A$1048576,0))</f>
        <v>1</v>
      </c>
      <c r="N3155" s="6" t="str">
        <f>INDEX(医院2县区2人!$C$2:$C$1048576,MATCH(L3155,医院2县区2人!$A$2:$A$1048576,0))</f>
        <v>1859</v>
      </c>
      <c r="P3155" s="7">
        <v>43257</v>
      </c>
      <c r="Q3155" s="6">
        <v>20</v>
      </c>
      <c r="R3155" s="6">
        <v>19.52</v>
      </c>
      <c r="S3155" s="6">
        <v>18032527</v>
      </c>
      <c r="T3155" s="6" t="str">
        <f>INDEX(医院2县区2人!$D$2:$D$1048576,MATCH(L3155,医院2县区2人!$A$2:$A$1048576,0))</f>
        <v>201602151421097</v>
      </c>
      <c r="W3155" s="6" t="str">
        <f t="shared" si="101"/>
        <v>葡萄糖酸锌口服液10ml*12支</v>
      </c>
      <c r="X3155" s="6" t="s">
        <v>2879</v>
      </c>
    </row>
    <row r="3156" spans="1:24" x14ac:dyDescent="0.15">
      <c r="A3156" s="7" t="str">
        <f t="shared" si="102"/>
        <v>201806</v>
      </c>
      <c r="C3156" s="6" t="str">
        <f>INDEX(工厂基础数据!$A$2:$A$1024,MATCH(X3156,工厂基础数据!$D$2:$D$1024,0))</f>
        <v>02010326</v>
      </c>
      <c r="E3156" s="6" t="str">
        <f>INDEX(工厂基础数据!$B$2:$B$1024,MATCH(X3156,工厂基础数据!$D$2:$D$1024,0))</f>
        <v>山东福华医药有限公司</v>
      </c>
      <c r="F3156" s="6">
        <f>INDEX(商业2转码!$B$2:$B$10000,MATCH(E3156,商业2转码!$A$2:$A$10000,0))</f>
        <v>0</v>
      </c>
      <c r="G3156" s="6" t="str">
        <f>INDEX(品种2编码!$A$2:$A$1048576,MATCH(W3156,品种2编码!$D$2:$D$1048576,0))</f>
        <v>0020030001SJZY0009</v>
      </c>
      <c r="H3156" s="6" t="s">
        <v>555</v>
      </c>
      <c r="I3156" s="6" t="s">
        <v>411</v>
      </c>
      <c r="J3156" s="6" t="s">
        <v>3785</v>
      </c>
      <c r="L3156" s="6" t="s">
        <v>2087</v>
      </c>
      <c r="M3156" s="6">
        <f>INDEX(医院2县区2人!$B$2:$B$1048576,MATCH(L3156,医院2县区2人!$A$2:$A$1048576,0))</f>
        <v>1</v>
      </c>
      <c r="N3156" s="6" t="str">
        <f>INDEX(医院2县区2人!$C$2:$C$1048576,MATCH(L3156,医院2县区2人!$A$2:$A$1048576,0))</f>
        <v>1859</v>
      </c>
      <c r="P3156" s="7">
        <v>43257</v>
      </c>
      <c r="Q3156" s="6">
        <v>80</v>
      </c>
      <c r="R3156" s="6">
        <v>22.08</v>
      </c>
      <c r="S3156" s="6">
        <v>18031227</v>
      </c>
      <c r="T3156" s="6" t="str">
        <f>INDEX(医院2县区2人!$D$2:$D$1048576,MATCH(L3156,医院2县区2人!$A$2:$A$1048576,0))</f>
        <v>201602151421097</v>
      </c>
      <c r="W3156" s="6" t="str">
        <f t="shared" si="101"/>
        <v>葡萄糖酸锌口服液10ml*12支</v>
      </c>
      <c r="X3156" s="6" t="s">
        <v>2879</v>
      </c>
    </row>
    <row r="3157" spans="1:24" x14ac:dyDescent="0.15">
      <c r="A3157" s="7" t="str">
        <f t="shared" si="102"/>
        <v>201806</v>
      </c>
      <c r="C3157" s="6" t="str">
        <f>INDEX(工厂基础数据!$A$2:$A$1024,MATCH(X3157,工厂基础数据!$D$2:$D$1024,0))</f>
        <v>02010326</v>
      </c>
      <c r="E3157" s="6" t="str">
        <f>INDEX(工厂基础数据!$B$2:$B$1024,MATCH(X3157,工厂基础数据!$D$2:$D$1024,0))</f>
        <v>山东福华医药有限公司</v>
      </c>
      <c r="F3157" s="6">
        <f>INDEX(商业2转码!$B$2:$B$10000,MATCH(E3157,商业2转码!$A$2:$A$10000,0))</f>
        <v>0</v>
      </c>
      <c r="G3157" s="6" t="str">
        <f>INDEX(品种2编码!$A$2:$A$1048576,MATCH(W3157,品种2编码!$D$2:$D$1048576,0))</f>
        <v>0020030001SJZY0009</v>
      </c>
      <c r="H3157" s="6" t="s">
        <v>555</v>
      </c>
      <c r="I3157" s="6" t="s">
        <v>411</v>
      </c>
      <c r="J3157" s="6" t="s">
        <v>3785</v>
      </c>
      <c r="L3157" s="6" t="s">
        <v>2066</v>
      </c>
      <c r="M3157" s="6">
        <f>INDEX(医院2县区2人!$B$2:$B$1048576,MATCH(L3157,医院2县区2人!$A$2:$A$1048576,0))</f>
        <v>1</v>
      </c>
      <c r="N3157" s="6" t="str">
        <f>INDEX(医院2县区2人!$C$2:$C$1048576,MATCH(L3157,医院2县区2人!$A$2:$A$1048576,0))</f>
        <v>1859</v>
      </c>
      <c r="P3157" s="7">
        <v>43257</v>
      </c>
      <c r="Q3157" s="6">
        <v>20</v>
      </c>
      <c r="R3157" s="6">
        <v>22.08</v>
      </c>
      <c r="S3157" s="6">
        <v>18031227</v>
      </c>
      <c r="T3157" s="6" t="str">
        <f>INDEX(医院2县区2人!$D$2:$D$1048576,MATCH(L3157,医院2县区2人!$A$2:$A$1048576,0))</f>
        <v>201602151421097</v>
      </c>
      <c r="W3157" s="6" t="str">
        <f t="shared" si="101"/>
        <v>葡萄糖酸锌口服液10ml*12支</v>
      </c>
      <c r="X3157" s="6" t="s">
        <v>2879</v>
      </c>
    </row>
    <row r="3158" spans="1:24" x14ac:dyDescent="0.15">
      <c r="A3158" s="7" t="str">
        <f t="shared" si="102"/>
        <v>201806</v>
      </c>
      <c r="C3158" s="6" t="str">
        <f>INDEX(工厂基础数据!$A$2:$A$1024,MATCH(X3158,工厂基础数据!$D$2:$D$1024,0))</f>
        <v>02010326</v>
      </c>
      <c r="E3158" s="6" t="str">
        <f>INDEX(工厂基础数据!$B$2:$B$1024,MATCH(X3158,工厂基础数据!$D$2:$D$1024,0))</f>
        <v>山东福华医药有限公司</v>
      </c>
      <c r="F3158" s="6">
        <f>INDEX(商业2转码!$B$2:$B$10000,MATCH(E3158,商业2转码!$A$2:$A$10000,0))</f>
        <v>0</v>
      </c>
      <c r="G3158" s="6" t="str">
        <f>INDEX(品种2编码!$A$2:$A$1048576,MATCH(W3158,品种2编码!$D$2:$D$1048576,0))</f>
        <v>0020030001SJZY0006</v>
      </c>
      <c r="H3158" s="6" t="s">
        <v>1833</v>
      </c>
      <c r="I3158" s="6" t="s">
        <v>411</v>
      </c>
      <c r="J3158" s="6" t="s">
        <v>3044</v>
      </c>
      <c r="L3158" s="6" t="s">
        <v>2066</v>
      </c>
      <c r="M3158" s="6">
        <f>INDEX(医院2县区2人!$B$2:$B$1048576,MATCH(L3158,医院2县区2人!$A$2:$A$1048576,0))</f>
        <v>1</v>
      </c>
      <c r="N3158" s="6" t="str">
        <f>INDEX(医院2县区2人!$C$2:$C$1048576,MATCH(L3158,医院2县区2人!$A$2:$A$1048576,0))</f>
        <v>1859</v>
      </c>
      <c r="P3158" s="7">
        <v>43257</v>
      </c>
      <c r="Q3158" s="6">
        <v>20</v>
      </c>
      <c r="R3158" s="6">
        <v>21.12</v>
      </c>
      <c r="S3158" s="6">
        <v>18030842</v>
      </c>
      <c r="T3158" s="6" t="str">
        <f>INDEX(医院2县区2人!$D$2:$D$1048576,MATCH(L3158,医院2县区2人!$A$2:$A$1048576,0))</f>
        <v>201602151421097</v>
      </c>
      <c r="W3158" s="6" t="str">
        <f t="shared" si="101"/>
        <v>葡萄糖酸钙口服溶液10ml*12支</v>
      </c>
      <c r="X3158" s="6" t="s">
        <v>2879</v>
      </c>
    </row>
    <row r="3159" spans="1:24" x14ac:dyDescent="0.15">
      <c r="A3159" s="7" t="str">
        <f t="shared" si="102"/>
        <v>201806</v>
      </c>
      <c r="C3159" s="6" t="str">
        <f>INDEX(工厂基础数据!$A$2:$A$1024,MATCH(X3159,工厂基础数据!$D$2:$D$1024,0))</f>
        <v>02010326</v>
      </c>
      <c r="E3159" s="6" t="str">
        <f>INDEX(工厂基础数据!$B$2:$B$1024,MATCH(X3159,工厂基础数据!$D$2:$D$1024,0))</f>
        <v>山东福华医药有限公司</v>
      </c>
      <c r="F3159" s="6">
        <f>INDEX(商业2转码!$B$2:$B$10000,MATCH(E3159,商业2转码!$A$2:$A$10000,0))</f>
        <v>0</v>
      </c>
      <c r="G3159" s="6" t="str">
        <f>INDEX(品种2编码!$A$2:$A$1048576,MATCH(W3159,品种2编码!$D$2:$D$1048576,0))</f>
        <v>0020030001SJZY0006</v>
      </c>
      <c r="H3159" s="6" t="s">
        <v>1833</v>
      </c>
      <c r="I3159" s="6" t="s">
        <v>411</v>
      </c>
      <c r="J3159" s="6" t="s">
        <v>3044</v>
      </c>
      <c r="L3159" s="6" t="s">
        <v>2102</v>
      </c>
      <c r="M3159" s="6">
        <f>INDEX(医院2县区2人!$B$2:$B$1048576,MATCH(L3159,医院2县区2人!$A$2:$A$1048576,0))</f>
        <v>1</v>
      </c>
      <c r="N3159" s="6" t="str">
        <f>INDEX(医院2县区2人!$C$2:$C$1048576,MATCH(L3159,医院2县区2人!$A$2:$A$1048576,0))</f>
        <v>1859</v>
      </c>
      <c r="P3159" s="7">
        <v>43257</v>
      </c>
      <c r="Q3159" s="6">
        <v>20</v>
      </c>
      <c r="R3159" s="6">
        <v>18.559999999999999</v>
      </c>
      <c r="S3159" s="6">
        <v>18030523</v>
      </c>
      <c r="T3159" s="6" t="str">
        <f>INDEX(医院2县区2人!$D$2:$D$1048576,MATCH(L3159,医院2县区2人!$A$2:$A$1048576,0))</f>
        <v>201602151421097</v>
      </c>
      <c r="W3159" s="6" t="str">
        <f t="shared" si="101"/>
        <v>葡萄糖酸钙口服溶液10ml*12支</v>
      </c>
      <c r="X3159" s="6" t="s">
        <v>2879</v>
      </c>
    </row>
    <row r="3160" spans="1:24" x14ac:dyDescent="0.15">
      <c r="A3160" s="7" t="str">
        <f t="shared" si="102"/>
        <v>201806</v>
      </c>
      <c r="C3160" s="6" t="str">
        <f>INDEX(工厂基础数据!$A$2:$A$1024,MATCH(X3160,工厂基础数据!$D$2:$D$1024,0))</f>
        <v>02010326</v>
      </c>
      <c r="E3160" s="6" t="str">
        <f>INDEX(工厂基础数据!$B$2:$B$1024,MATCH(X3160,工厂基础数据!$D$2:$D$1024,0))</f>
        <v>山东福华医药有限公司</v>
      </c>
      <c r="F3160" s="6">
        <f>INDEX(商业2转码!$B$2:$B$10000,MATCH(E3160,商业2转码!$A$2:$A$10000,0))</f>
        <v>0</v>
      </c>
      <c r="G3160" s="6" t="str">
        <f>INDEX(品种2编码!$A$2:$A$1048576,MATCH(W3160,品种2编码!$D$2:$D$1048576,0))</f>
        <v>0020030001SJZY0009</v>
      </c>
      <c r="H3160" s="6" t="s">
        <v>555</v>
      </c>
      <c r="I3160" s="6" t="s">
        <v>411</v>
      </c>
      <c r="J3160" s="6" t="s">
        <v>3785</v>
      </c>
      <c r="L3160" s="6" t="s">
        <v>2102</v>
      </c>
      <c r="M3160" s="6">
        <f>INDEX(医院2县区2人!$B$2:$B$1048576,MATCH(L3160,医院2县区2人!$A$2:$A$1048576,0))</f>
        <v>1</v>
      </c>
      <c r="N3160" s="6" t="str">
        <f>INDEX(医院2县区2人!$C$2:$C$1048576,MATCH(L3160,医院2县区2人!$A$2:$A$1048576,0))</f>
        <v>1859</v>
      </c>
      <c r="P3160" s="7">
        <v>43257</v>
      </c>
      <c r="Q3160" s="6">
        <v>20</v>
      </c>
      <c r="R3160" s="6">
        <v>22.08</v>
      </c>
      <c r="S3160" s="6">
        <v>18031227</v>
      </c>
      <c r="T3160" s="6" t="str">
        <f>INDEX(医院2县区2人!$D$2:$D$1048576,MATCH(L3160,医院2县区2人!$A$2:$A$1048576,0))</f>
        <v>201602151421097</v>
      </c>
      <c r="W3160" s="6" t="str">
        <f t="shared" si="101"/>
        <v>葡萄糖酸锌口服液10ml*12支</v>
      </c>
      <c r="X3160" s="6" t="s">
        <v>2879</v>
      </c>
    </row>
    <row r="3161" spans="1:24" x14ac:dyDescent="0.15">
      <c r="A3161" s="7" t="str">
        <f t="shared" si="102"/>
        <v>201806</v>
      </c>
      <c r="C3161" s="6" t="str">
        <f>INDEX(工厂基础数据!$A$2:$A$1024,MATCH(X3161,工厂基础数据!$D$2:$D$1024,0))</f>
        <v>02010326</v>
      </c>
      <c r="E3161" s="6" t="str">
        <f>INDEX(工厂基础数据!$B$2:$B$1024,MATCH(X3161,工厂基础数据!$D$2:$D$1024,0))</f>
        <v>山东福华医药有限公司</v>
      </c>
      <c r="F3161" s="6">
        <f>INDEX(商业2转码!$B$2:$B$10000,MATCH(E3161,商业2转码!$A$2:$A$10000,0))</f>
        <v>0</v>
      </c>
      <c r="G3161" s="6" t="str">
        <f>INDEX(品种2编码!$A$2:$A$1048576,MATCH(W3161,品种2编码!$D$2:$D$1048576,0))</f>
        <v>0020030040ZYZC0307</v>
      </c>
      <c r="H3161" s="6" t="s">
        <v>399</v>
      </c>
      <c r="I3161" s="6" t="s">
        <v>508</v>
      </c>
      <c r="J3161" s="6" t="s">
        <v>3038</v>
      </c>
      <c r="L3161" s="6" t="s">
        <v>2102</v>
      </c>
      <c r="M3161" s="6">
        <f>INDEX(医院2县区2人!$B$2:$B$1048576,MATCH(L3161,医院2县区2人!$A$2:$A$1048576,0))</f>
        <v>1</v>
      </c>
      <c r="N3161" s="6" t="str">
        <f>INDEX(医院2县区2人!$C$2:$C$1048576,MATCH(L3161,医院2县区2人!$A$2:$A$1048576,0))</f>
        <v>1859</v>
      </c>
      <c r="P3161" s="7">
        <v>43257</v>
      </c>
      <c r="Q3161" s="6">
        <v>3</v>
      </c>
      <c r="R3161" s="6">
        <v>7.72</v>
      </c>
      <c r="S3161" s="6" t="s">
        <v>3790</v>
      </c>
      <c r="T3161" s="6" t="str">
        <f>INDEX(医院2县区2人!$D$2:$D$1048576,MATCH(L3161,医院2县区2人!$A$2:$A$1048576,0))</f>
        <v>201602151421097</v>
      </c>
      <c r="W3161" s="6" t="str">
        <f t="shared" si="101"/>
        <v>富马酸亚铁颗粒6袋</v>
      </c>
      <c r="X3161" s="6" t="s">
        <v>2879</v>
      </c>
    </row>
    <row r="3162" spans="1:24" x14ac:dyDescent="0.15">
      <c r="A3162" s="7" t="str">
        <f t="shared" si="102"/>
        <v>201806</v>
      </c>
      <c r="C3162" s="6" t="str">
        <f>INDEX(工厂基础数据!$A$2:$A$1024,MATCH(X3162,工厂基础数据!$D$2:$D$1024,0))</f>
        <v>02010326</v>
      </c>
      <c r="E3162" s="6" t="str">
        <f>INDEX(工厂基础数据!$B$2:$B$1024,MATCH(X3162,工厂基础数据!$D$2:$D$1024,0))</f>
        <v>山东福华医药有限公司</v>
      </c>
      <c r="F3162" s="6">
        <f>INDEX(商业2转码!$B$2:$B$10000,MATCH(E3162,商业2转码!$A$2:$A$10000,0))</f>
        <v>0</v>
      </c>
      <c r="G3162" s="6" t="str">
        <f>INDEX(品种2编码!$A$2:$A$1048576,MATCH(W3162,品种2编码!$D$2:$D$1048576,0))</f>
        <v>0020030001SJZY0006</v>
      </c>
      <c r="H3162" s="6" t="s">
        <v>1833</v>
      </c>
      <c r="I3162" s="6" t="s">
        <v>411</v>
      </c>
      <c r="J3162" s="6" t="s">
        <v>3044</v>
      </c>
      <c r="L3162" s="6" t="s">
        <v>2062</v>
      </c>
      <c r="M3162" s="6">
        <f>INDEX(医院2县区2人!$B$2:$B$1048576,MATCH(L3162,医院2县区2人!$A$2:$A$1048576,0))</f>
        <v>1</v>
      </c>
      <c r="N3162" s="6" t="str">
        <f>INDEX(医院2县区2人!$C$2:$C$1048576,MATCH(L3162,医院2县区2人!$A$2:$A$1048576,0))</f>
        <v>1859</v>
      </c>
      <c r="P3162" s="7">
        <v>43257</v>
      </c>
      <c r="Q3162" s="6">
        <v>27</v>
      </c>
      <c r="R3162" s="6">
        <v>18.559999999999999</v>
      </c>
      <c r="S3162" s="6">
        <v>18030523</v>
      </c>
      <c r="T3162" s="6" t="str">
        <f>INDEX(医院2县区2人!$D$2:$D$1048576,MATCH(L3162,医院2县区2人!$A$2:$A$1048576,0))</f>
        <v>201602151421097</v>
      </c>
      <c r="W3162" s="6" t="str">
        <f t="shared" si="101"/>
        <v>葡萄糖酸钙口服溶液10ml*12支</v>
      </c>
      <c r="X3162" s="6" t="s">
        <v>2879</v>
      </c>
    </row>
    <row r="3163" spans="1:24" x14ac:dyDescent="0.15">
      <c r="A3163" s="7" t="str">
        <f t="shared" si="102"/>
        <v>201806</v>
      </c>
      <c r="C3163" s="6" t="str">
        <f>INDEX(工厂基础数据!$A$2:$A$1024,MATCH(X3163,工厂基础数据!$D$2:$D$1024,0))</f>
        <v>02010326</v>
      </c>
      <c r="E3163" s="6" t="str">
        <f>INDEX(工厂基础数据!$B$2:$B$1024,MATCH(X3163,工厂基础数据!$D$2:$D$1024,0))</f>
        <v>山东福华医药有限公司</v>
      </c>
      <c r="F3163" s="6">
        <f>INDEX(商业2转码!$B$2:$B$10000,MATCH(E3163,商业2转码!$A$2:$A$10000,0))</f>
        <v>0</v>
      </c>
      <c r="G3163" s="6" t="str">
        <f>INDEX(品种2编码!$A$2:$A$1048576,MATCH(W3163,品种2编码!$D$2:$D$1048576,0))</f>
        <v>0020030001SJZY0006</v>
      </c>
      <c r="H3163" s="6" t="s">
        <v>1833</v>
      </c>
      <c r="I3163" s="6" t="s">
        <v>411</v>
      </c>
      <c r="J3163" s="6" t="s">
        <v>3044</v>
      </c>
      <c r="L3163" s="6" t="s">
        <v>2062</v>
      </c>
      <c r="M3163" s="6">
        <f>INDEX(医院2县区2人!$B$2:$B$1048576,MATCH(L3163,医院2县区2人!$A$2:$A$1048576,0))</f>
        <v>1</v>
      </c>
      <c r="N3163" s="6" t="str">
        <f>INDEX(医院2县区2人!$C$2:$C$1048576,MATCH(L3163,医院2县区2人!$A$2:$A$1048576,0))</f>
        <v>1859</v>
      </c>
      <c r="P3163" s="7">
        <v>43257</v>
      </c>
      <c r="Q3163" s="6">
        <v>53</v>
      </c>
      <c r="R3163" s="6">
        <v>18.559999999999999</v>
      </c>
      <c r="S3163" s="6">
        <v>18030523</v>
      </c>
      <c r="T3163" s="6" t="str">
        <f>INDEX(医院2县区2人!$D$2:$D$1048576,MATCH(L3163,医院2县区2人!$A$2:$A$1048576,0))</f>
        <v>201602151421097</v>
      </c>
      <c r="W3163" s="6" t="str">
        <f t="shared" si="101"/>
        <v>葡萄糖酸钙口服溶液10ml*12支</v>
      </c>
      <c r="X3163" s="6" t="s">
        <v>2879</v>
      </c>
    </row>
    <row r="3164" spans="1:24" x14ac:dyDescent="0.15">
      <c r="A3164" s="7" t="str">
        <f t="shared" si="102"/>
        <v>201806</v>
      </c>
      <c r="C3164" s="6" t="str">
        <f>INDEX(工厂基础数据!$A$2:$A$1024,MATCH(X3164,工厂基础数据!$D$2:$D$1024,0))</f>
        <v>02010326</v>
      </c>
      <c r="E3164" s="6" t="str">
        <f>INDEX(工厂基础数据!$B$2:$B$1024,MATCH(X3164,工厂基础数据!$D$2:$D$1024,0))</f>
        <v>山东福华医药有限公司</v>
      </c>
      <c r="F3164" s="6">
        <f>INDEX(商业2转码!$B$2:$B$10000,MATCH(E3164,商业2转码!$A$2:$A$10000,0))</f>
        <v>0</v>
      </c>
      <c r="G3164" s="6" t="str">
        <f>INDEX(品种2编码!$A$2:$A$1048576,MATCH(W3164,品种2编码!$D$2:$D$1048576,0))</f>
        <v>0020030001SJZY0009</v>
      </c>
      <c r="H3164" s="6" t="s">
        <v>555</v>
      </c>
      <c r="I3164" s="6" t="s">
        <v>411</v>
      </c>
      <c r="J3164" s="6" t="s">
        <v>3785</v>
      </c>
      <c r="L3164" s="6" t="s">
        <v>2062</v>
      </c>
      <c r="M3164" s="6">
        <f>INDEX(医院2县区2人!$B$2:$B$1048576,MATCH(L3164,医院2县区2人!$A$2:$A$1048576,0))</f>
        <v>1</v>
      </c>
      <c r="N3164" s="6" t="str">
        <f>INDEX(医院2县区2人!$C$2:$C$1048576,MATCH(L3164,医院2县区2人!$A$2:$A$1048576,0))</f>
        <v>1859</v>
      </c>
      <c r="P3164" s="7">
        <v>43257</v>
      </c>
      <c r="Q3164" s="6">
        <v>20</v>
      </c>
      <c r="R3164" s="6">
        <v>19.52</v>
      </c>
      <c r="S3164" s="6">
        <v>18032527</v>
      </c>
      <c r="T3164" s="6" t="str">
        <f>INDEX(医院2县区2人!$D$2:$D$1048576,MATCH(L3164,医院2县区2人!$A$2:$A$1048576,0))</f>
        <v>201602151421097</v>
      </c>
      <c r="W3164" s="6" t="str">
        <f t="shared" si="101"/>
        <v>葡萄糖酸锌口服液10ml*12支</v>
      </c>
      <c r="X3164" s="6" t="s">
        <v>2879</v>
      </c>
    </row>
    <row r="3165" spans="1:24" x14ac:dyDescent="0.15">
      <c r="A3165" s="7" t="str">
        <f t="shared" si="102"/>
        <v>201806</v>
      </c>
      <c r="C3165" s="6" t="str">
        <f>INDEX(工厂基础数据!$A$2:$A$1024,MATCH(X3165,工厂基础数据!$D$2:$D$1024,0))</f>
        <v>02010326</v>
      </c>
      <c r="E3165" s="6" t="str">
        <f>INDEX(工厂基础数据!$B$2:$B$1024,MATCH(X3165,工厂基础数据!$D$2:$D$1024,0))</f>
        <v>山东福华医药有限公司</v>
      </c>
      <c r="F3165" s="6">
        <f>INDEX(商业2转码!$B$2:$B$10000,MATCH(E3165,商业2转码!$A$2:$A$10000,0))</f>
        <v>0</v>
      </c>
      <c r="G3165" s="6" t="str">
        <f>INDEX(品种2编码!$A$2:$A$1048576,MATCH(W3165,品种2编码!$D$2:$D$1048576,0))</f>
        <v>0020030001SJZY0009</v>
      </c>
      <c r="H3165" s="6" t="s">
        <v>555</v>
      </c>
      <c r="I3165" s="6" t="s">
        <v>411</v>
      </c>
      <c r="J3165" s="6" t="s">
        <v>3785</v>
      </c>
      <c r="L3165" s="6" t="s">
        <v>2062</v>
      </c>
      <c r="M3165" s="6">
        <f>INDEX(医院2县区2人!$B$2:$B$1048576,MATCH(L3165,医院2县区2人!$A$2:$A$1048576,0))</f>
        <v>1</v>
      </c>
      <c r="N3165" s="6" t="str">
        <f>INDEX(医院2县区2人!$C$2:$C$1048576,MATCH(L3165,医院2县区2人!$A$2:$A$1048576,0))</f>
        <v>1859</v>
      </c>
      <c r="P3165" s="7">
        <v>43257</v>
      </c>
      <c r="Q3165" s="6">
        <v>60</v>
      </c>
      <c r="R3165" s="6">
        <v>22.08</v>
      </c>
      <c r="S3165" s="6">
        <v>18031227</v>
      </c>
      <c r="T3165" s="6" t="str">
        <f>INDEX(医院2县区2人!$D$2:$D$1048576,MATCH(L3165,医院2县区2人!$A$2:$A$1048576,0))</f>
        <v>201602151421097</v>
      </c>
      <c r="W3165" s="6" t="str">
        <f t="shared" si="101"/>
        <v>葡萄糖酸锌口服液10ml*12支</v>
      </c>
      <c r="X3165" s="6" t="s">
        <v>2879</v>
      </c>
    </row>
    <row r="3166" spans="1:24" x14ac:dyDescent="0.15">
      <c r="A3166" s="7" t="str">
        <f t="shared" si="102"/>
        <v>201806</v>
      </c>
      <c r="C3166" s="6" t="str">
        <f>INDEX(工厂基础数据!$A$2:$A$1024,MATCH(X3166,工厂基础数据!$D$2:$D$1024,0))</f>
        <v>02010326</v>
      </c>
      <c r="E3166" s="6" t="str">
        <f>INDEX(工厂基础数据!$B$2:$B$1024,MATCH(X3166,工厂基础数据!$D$2:$D$1024,0))</f>
        <v>山东福华医药有限公司</v>
      </c>
      <c r="F3166" s="6">
        <f>INDEX(商业2转码!$B$2:$B$10000,MATCH(E3166,商业2转码!$A$2:$A$10000,0))</f>
        <v>0</v>
      </c>
      <c r="G3166" s="6" t="str">
        <f>INDEX(品种2编码!$A$2:$A$1048576,MATCH(W3166,品种2编码!$D$2:$D$1048576,0))</f>
        <v>0020070000ZYLC0055</v>
      </c>
      <c r="H3166" s="6" t="s">
        <v>1842</v>
      </c>
      <c r="I3166" s="6" t="s">
        <v>411</v>
      </c>
      <c r="J3166" s="6" t="s">
        <v>3036</v>
      </c>
      <c r="L3166" s="6" t="s">
        <v>2102</v>
      </c>
      <c r="M3166" s="6">
        <f>INDEX(医院2县区2人!$B$2:$B$1048576,MATCH(L3166,医院2县区2人!$A$2:$A$1048576,0))</f>
        <v>1</v>
      </c>
      <c r="N3166" s="6" t="str">
        <f>INDEX(医院2县区2人!$C$2:$C$1048576,MATCH(L3166,医院2县区2人!$A$2:$A$1048576,0))</f>
        <v>1859</v>
      </c>
      <c r="P3166" s="7">
        <v>43257</v>
      </c>
      <c r="Q3166" s="6">
        <v>1</v>
      </c>
      <c r="R3166" s="6">
        <v>14.96</v>
      </c>
      <c r="S3166" s="6">
        <v>170614</v>
      </c>
      <c r="T3166" s="6" t="str">
        <f>INDEX(医院2县区2人!$D$2:$D$1048576,MATCH(L3166,医院2县区2人!$A$2:$A$1048576,0))</f>
        <v>201602151421097</v>
      </c>
      <c r="W3166" s="6" t="str">
        <f t="shared" si="101"/>
        <v>朴血乳酸亚铁口服液10ml*12支</v>
      </c>
      <c r="X3166" s="6" t="s">
        <v>2879</v>
      </c>
    </row>
    <row r="3167" spans="1:24" x14ac:dyDescent="0.15">
      <c r="A3167" s="7" t="str">
        <f t="shared" si="102"/>
        <v>201806</v>
      </c>
      <c r="C3167" s="6" t="str">
        <f>INDEX(工厂基础数据!$A$2:$A$1024,MATCH(X3167,工厂基础数据!$D$2:$D$1024,0))</f>
        <v>02010326</v>
      </c>
      <c r="E3167" s="6" t="str">
        <f>INDEX(工厂基础数据!$B$2:$B$1024,MATCH(X3167,工厂基础数据!$D$2:$D$1024,0))</f>
        <v>山东福华医药有限公司</v>
      </c>
      <c r="F3167" s="6">
        <f>INDEX(商业2转码!$B$2:$B$10000,MATCH(E3167,商业2转码!$A$2:$A$10000,0))</f>
        <v>0</v>
      </c>
      <c r="G3167" s="6" t="str">
        <f>INDEX(品种2编码!$A$2:$A$1048576,MATCH(W3167,品种2编码!$D$2:$D$1048576,0))</f>
        <v>0020030001SJZY0006</v>
      </c>
      <c r="H3167" s="6" t="s">
        <v>1833</v>
      </c>
      <c r="I3167" s="6" t="s">
        <v>411</v>
      </c>
      <c r="J3167" s="6" t="s">
        <v>3044</v>
      </c>
      <c r="L3167" s="6" t="s">
        <v>2085</v>
      </c>
      <c r="M3167" s="6">
        <f>INDEX(医院2县区2人!$B$2:$B$1048576,MATCH(L3167,医院2县区2人!$A$2:$A$1048576,0))</f>
        <v>1</v>
      </c>
      <c r="N3167" s="6" t="str">
        <f>INDEX(医院2县区2人!$C$2:$C$1048576,MATCH(L3167,医院2县区2人!$A$2:$A$1048576,0))</f>
        <v>1859</v>
      </c>
      <c r="P3167" s="7">
        <v>43256</v>
      </c>
      <c r="Q3167" s="6">
        <v>54</v>
      </c>
      <c r="R3167" s="6">
        <v>16.600000000000001</v>
      </c>
      <c r="S3167" s="6">
        <v>17071033</v>
      </c>
      <c r="T3167" s="6" t="str">
        <f>INDEX(医院2县区2人!$D$2:$D$1048576,MATCH(L3167,医院2县区2人!$A$2:$A$1048576,0))</f>
        <v>201602151421097</v>
      </c>
      <c r="W3167" s="6" t="str">
        <f t="shared" si="101"/>
        <v>葡萄糖酸钙口服溶液10ml*12支</v>
      </c>
      <c r="X3167" s="6" t="s">
        <v>2879</v>
      </c>
    </row>
    <row r="3168" spans="1:24" x14ac:dyDescent="0.15">
      <c r="A3168" s="7" t="str">
        <f t="shared" si="102"/>
        <v>201806</v>
      </c>
      <c r="C3168" s="6" t="str">
        <f>INDEX(工厂基础数据!$A$2:$A$1024,MATCH(X3168,工厂基础数据!$D$2:$D$1024,0))</f>
        <v>02010326</v>
      </c>
      <c r="E3168" s="6" t="str">
        <f>INDEX(工厂基础数据!$B$2:$B$1024,MATCH(X3168,工厂基础数据!$D$2:$D$1024,0))</f>
        <v>山东福华医药有限公司</v>
      </c>
      <c r="F3168" s="6">
        <f>INDEX(商业2转码!$B$2:$B$10000,MATCH(E3168,商业2转码!$A$2:$A$10000,0))</f>
        <v>0</v>
      </c>
      <c r="G3168" s="6" t="str">
        <f>INDEX(品种2编码!$A$2:$A$1048576,MATCH(W3168,品种2编码!$D$2:$D$1048576,0))</f>
        <v>0020030040SJET0003</v>
      </c>
      <c r="H3168" s="6" t="s">
        <v>306</v>
      </c>
      <c r="I3168" s="6" t="s">
        <v>1874</v>
      </c>
      <c r="J3168" s="6" t="s">
        <v>3786</v>
      </c>
      <c r="L3168" s="6" t="s">
        <v>2069</v>
      </c>
      <c r="M3168" s="6">
        <f>INDEX(医院2县区2人!$B$2:$B$1048576,MATCH(L3168,医院2县区2人!$A$2:$A$1048576,0))</f>
        <v>1</v>
      </c>
      <c r="N3168" s="6" t="str">
        <f>INDEX(医院2县区2人!$C$2:$C$1048576,MATCH(L3168,医院2县区2人!$A$2:$A$1048576,0))</f>
        <v>1859</v>
      </c>
      <c r="P3168" s="7">
        <v>43256</v>
      </c>
      <c r="Q3168" s="6">
        <v>10</v>
      </c>
      <c r="R3168" s="6">
        <v>8.64</v>
      </c>
      <c r="S3168" s="6">
        <v>180101</v>
      </c>
      <c r="T3168" s="6" t="str">
        <f>INDEX(医院2县区2人!$D$2:$D$1048576,MATCH(L3168,医院2县区2人!$A$2:$A$1048576,0))</f>
        <v>201602151421097</v>
      </c>
      <c r="W3168" s="6" t="str">
        <f t="shared" si="101"/>
        <v>氨金黄敏颗粒6g*10袋</v>
      </c>
      <c r="X3168" s="6" t="s">
        <v>2879</v>
      </c>
    </row>
    <row r="3169" spans="1:24" x14ac:dyDescent="0.15">
      <c r="A3169" s="7" t="str">
        <f t="shared" si="102"/>
        <v>201806</v>
      </c>
      <c r="C3169" s="6" t="str">
        <f>INDEX(工厂基础数据!$A$2:$A$1024,MATCH(X3169,工厂基础数据!$D$2:$D$1024,0))</f>
        <v>02010326</v>
      </c>
      <c r="E3169" s="6" t="str">
        <f>INDEX(工厂基础数据!$B$2:$B$1024,MATCH(X3169,工厂基础数据!$D$2:$D$1024,0))</f>
        <v>山东福华医药有限公司</v>
      </c>
      <c r="F3169" s="6">
        <f>INDEX(商业2转码!$B$2:$B$10000,MATCH(E3169,商业2转码!$A$2:$A$10000,0))</f>
        <v>0</v>
      </c>
      <c r="G3169" s="6" t="str">
        <f>INDEX(品种2编码!$A$2:$A$1048576,MATCH(W3169,品种2编码!$D$2:$D$1048576,0))</f>
        <v>0020020021ZYLC0004</v>
      </c>
      <c r="H3169" s="6" t="s">
        <v>1868</v>
      </c>
      <c r="I3169" s="6" t="s">
        <v>1869</v>
      </c>
      <c r="J3169" s="6" t="s">
        <v>3036</v>
      </c>
      <c r="L3169" s="6" t="s">
        <v>2067</v>
      </c>
      <c r="M3169" s="6">
        <f>INDEX(医院2县区2人!$B$2:$B$1048576,MATCH(L3169,医院2县区2人!$A$2:$A$1048576,0))</f>
        <v>1</v>
      </c>
      <c r="N3169" s="6" t="str">
        <f>INDEX(医院2县区2人!$C$2:$C$1048576,MATCH(L3169,医院2县区2人!$A$2:$A$1048576,0))</f>
        <v>1859</v>
      </c>
      <c r="P3169" s="7">
        <v>43256</v>
      </c>
      <c r="Q3169" s="6">
        <v>5</v>
      </c>
      <c r="R3169" s="6">
        <v>7.68</v>
      </c>
      <c r="S3169" s="6">
        <v>180201</v>
      </c>
      <c r="T3169" s="6" t="str">
        <f>INDEX(医院2县区2人!$D$2:$D$1048576,MATCH(L3169,医院2县区2人!$A$2:$A$1048576,0))</f>
        <v>201602151421097</v>
      </c>
      <c r="W3169" s="6" t="str">
        <f t="shared" si="101"/>
        <v>罗红霉素分散片/大严迪75mg*12片</v>
      </c>
      <c r="X3169" s="6" t="s">
        <v>2879</v>
      </c>
    </row>
    <row r="3170" spans="1:24" x14ac:dyDescent="0.15">
      <c r="A3170" s="7" t="str">
        <f t="shared" si="102"/>
        <v>201806</v>
      </c>
      <c r="C3170" s="6" t="str">
        <f>INDEX(工厂基础数据!$A$2:$A$1024,MATCH(X3170,工厂基础数据!$D$2:$D$1024,0))</f>
        <v>02010326</v>
      </c>
      <c r="E3170" s="6" t="str">
        <f>INDEX(工厂基础数据!$B$2:$B$1024,MATCH(X3170,工厂基础数据!$D$2:$D$1024,0))</f>
        <v>山东福华医药有限公司</v>
      </c>
      <c r="F3170" s="6">
        <f>INDEX(商业2转码!$B$2:$B$10000,MATCH(E3170,商业2转码!$A$2:$A$10000,0))</f>
        <v>0</v>
      </c>
      <c r="G3170" s="6" t="str">
        <f>INDEX(品种2编码!$A$2:$A$1048576,MATCH(W3170,品种2编码!$D$2:$D$1048576,0))</f>
        <v>0020030001SJZY0009</v>
      </c>
      <c r="H3170" s="6" t="s">
        <v>555</v>
      </c>
      <c r="I3170" s="6" t="s">
        <v>411</v>
      </c>
      <c r="J3170" s="6" t="s">
        <v>3785</v>
      </c>
      <c r="L3170" s="6" t="s">
        <v>2097</v>
      </c>
      <c r="M3170" s="6">
        <f>INDEX(医院2县区2人!$B$2:$B$1048576,MATCH(L3170,医院2县区2人!$A$2:$A$1048576,0))</f>
        <v>1</v>
      </c>
      <c r="N3170" s="6" t="str">
        <f>INDEX(医院2县区2人!$C$2:$C$1048576,MATCH(L3170,医院2县区2人!$A$2:$A$1048576,0))</f>
        <v>1859</v>
      </c>
      <c r="P3170" s="7">
        <v>43256</v>
      </c>
      <c r="Q3170" s="6">
        <v>5</v>
      </c>
      <c r="R3170" s="6">
        <v>17.3</v>
      </c>
      <c r="S3170" s="6">
        <v>17070527</v>
      </c>
      <c r="T3170" s="6" t="str">
        <f>INDEX(医院2县区2人!$D$2:$D$1048576,MATCH(L3170,医院2县区2人!$A$2:$A$1048576,0))</f>
        <v>201602151421097</v>
      </c>
      <c r="W3170" s="6" t="str">
        <f t="shared" si="101"/>
        <v>葡萄糖酸锌口服液10ml*12支</v>
      </c>
      <c r="X3170" s="6" t="s">
        <v>2879</v>
      </c>
    </row>
    <row r="3171" spans="1:24" x14ac:dyDescent="0.15">
      <c r="A3171" s="7" t="str">
        <f t="shared" si="102"/>
        <v>201806</v>
      </c>
      <c r="C3171" s="6" t="str">
        <f>INDEX(工厂基础数据!$A$2:$A$1024,MATCH(X3171,工厂基础数据!$D$2:$D$1024,0))</f>
        <v>02010326</v>
      </c>
      <c r="E3171" s="6" t="str">
        <f>INDEX(工厂基础数据!$B$2:$B$1024,MATCH(X3171,工厂基础数据!$D$2:$D$1024,0))</f>
        <v>山东福华医药有限公司</v>
      </c>
      <c r="F3171" s="6">
        <f>INDEX(商业2转码!$B$2:$B$10000,MATCH(E3171,商业2转码!$A$2:$A$10000,0))</f>
        <v>0</v>
      </c>
      <c r="G3171" s="6" t="str">
        <f>INDEX(品种2编码!$A$2:$A$1048576,MATCH(W3171,品种2编码!$D$2:$D$1048576,0))</f>
        <v>0020030020ZYLC0013</v>
      </c>
      <c r="H3171" s="6" t="s">
        <v>591</v>
      </c>
      <c r="I3171" s="6" t="s">
        <v>1839</v>
      </c>
      <c r="J3171" s="6" t="s">
        <v>3036</v>
      </c>
      <c r="L3171" s="6" t="s">
        <v>2074</v>
      </c>
      <c r="M3171" s="6">
        <f>INDEX(医院2县区2人!$B$2:$B$1048576,MATCH(L3171,医院2县区2人!$A$2:$A$1048576,0))</f>
        <v>1</v>
      </c>
      <c r="N3171" s="6" t="str">
        <f>INDEX(医院2县区2人!$C$2:$C$1048576,MATCH(L3171,医院2县区2人!$A$2:$A$1048576,0))</f>
        <v>1859</v>
      </c>
      <c r="P3171" s="7">
        <v>43256</v>
      </c>
      <c r="Q3171" s="6">
        <v>6</v>
      </c>
      <c r="R3171" s="6">
        <v>7.68</v>
      </c>
      <c r="S3171" s="6">
        <v>180302</v>
      </c>
      <c r="T3171" s="6" t="str">
        <f>INDEX(医院2县区2人!$D$2:$D$1048576,MATCH(L3171,医院2县区2人!$A$2:$A$1048576,0))</f>
        <v>201602151421097</v>
      </c>
      <c r="W3171" s="6" t="str">
        <f t="shared" si="101"/>
        <v>乳酸菌素片0.4g*36片</v>
      </c>
      <c r="X3171" s="6" t="s">
        <v>2879</v>
      </c>
    </row>
    <row r="3172" spans="1:24" x14ac:dyDescent="0.15">
      <c r="A3172" s="7" t="str">
        <f t="shared" si="102"/>
        <v>201806</v>
      </c>
      <c r="C3172" s="6" t="str">
        <f>INDEX(工厂基础数据!$A$2:$A$1024,MATCH(X3172,工厂基础数据!$D$2:$D$1024,0))</f>
        <v>02010326</v>
      </c>
      <c r="E3172" s="6" t="str">
        <f>INDEX(工厂基础数据!$B$2:$B$1024,MATCH(X3172,工厂基础数据!$D$2:$D$1024,0))</f>
        <v>山东福华医药有限公司</v>
      </c>
      <c r="F3172" s="6">
        <f>INDEX(商业2转码!$B$2:$B$10000,MATCH(E3172,商业2转码!$A$2:$A$10000,0))</f>
        <v>0</v>
      </c>
      <c r="G3172" s="6" t="str">
        <f>INDEX(品种2编码!$A$2:$A$1048576,MATCH(W3172,品种2编码!$D$2:$D$1048576,0))</f>
        <v>0020030001SJZY0006</v>
      </c>
      <c r="H3172" s="6" t="s">
        <v>1833</v>
      </c>
      <c r="I3172" s="6" t="s">
        <v>411</v>
      </c>
      <c r="J3172" s="6" t="s">
        <v>3044</v>
      </c>
      <c r="L3172" s="6" t="s">
        <v>2105</v>
      </c>
      <c r="M3172" s="6">
        <f>INDEX(医院2县区2人!$B$2:$B$1048576,MATCH(L3172,医院2县区2人!$A$2:$A$1048576,0))</f>
        <v>1</v>
      </c>
      <c r="N3172" s="6" t="str">
        <f>INDEX(医院2县区2人!$C$2:$C$1048576,MATCH(L3172,医院2县区2人!$A$2:$A$1048576,0))</f>
        <v>1859</v>
      </c>
      <c r="P3172" s="7">
        <v>43256</v>
      </c>
      <c r="Q3172" s="6">
        <v>20</v>
      </c>
      <c r="R3172" s="6">
        <v>16.600000000000001</v>
      </c>
      <c r="S3172" s="6">
        <v>17071033</v>
      </c>
      <c r="T3172" s="6" t="str">
        <f>INDEX(医院2县区2人!$D$2:$D$1048576,MATCH(L3172,医院2县区2人!$A$2:$A$1048576,0))</f>
        <v>201602151421097</v>
      </c>
      <c r="W3172" s="6" t="str">
        <f t="shared" si="101"/>
        <v>葡萄糖酸钙口服溶液10ml*12支</v>
      </c>
      <c r="X3172" s="6" t="s">
        <v>2879</v>
      </c>
    </row>
    <row r="3173" spans="1:24" x14ac:dyDescent="0.15">
      <c r="A3173" s="7" t="str">
        <f t="shared" si="102"/>
        <v>201806</v>
      </c>
      <c r="C3173" s="6" t="str">
        <f>INDEX(工厂基础数据!$A$2:$A$1024,MATCH(X3173,工厂基础数据!$D$2:$D$1024,0))</f>
        <v>02010326</v>
      </c>
      <c r="E3173" s="6" t="str">
        <f>INDEX(工厂基础数据!$B$2:$B$1024,MATCH(X3173,工厂基础数据!$D$2:$D$1024,0))</f>
        <v>山东福华医药有限公司</v>
      </c>
      <c r="F3173" s="6">
        <f>INDEX(商业2转码!$B$2:$B$10000,MATCH(E3173,商业2转码!$A$2:$A$10000,0))</f>
        <v>0</v>
      </c>
      <c r="G3173" s="6" t="str">
        <f>INDEX(品种2编码!$A$2:$A$1048576,MATCH(W3173,品种2编码!$D$2:$D$1048576,0))</f>
        <v>0020030001SJZY0009</v>
      </c>
      <c r="H3173" s="6" t="s">
        <v>555</v>
      </c>
      <c r="I3173" s="6" t="s">
        <v>411</v>
      </c>
      <c r="J3173" s="6" t="s">
        <v>3785</v>
      </c>
      <c r="L3173" s="6" t="s">
        <v>2105</v>
      </c>
      <c r="M3173" s="6">
        <f>INDEX(医院2县区2人!$B$2:$B$1048576,MATCH(L3173,医院2县区2人!$A$2:$A$1048576,0))</f>
        <v>1</v>
      </c>
      <c r="N3173" s="6" t="str">
        <f>INDEX(医院2县区2人!$C$2:$C$1048576,MATCH(L3173,医院2县区2人!$A$2:$A$1048576,0))</f>
        <v>1859</v>
      </c>
      <c r="P3173" s="7">
        <v>43256</v>
      </c>
      <c r="Q3173" s="6">
        <v>7</v>
      </c>
      <c r="R3173" s="6">
        <v>17.3</v>
      </c>
      <c r="S3173" s="6">
        <v>17070527</v>
      </c>
      <c r="T3173" s="6" t="str">
        <f>INDEX(医院2县区2人!$D$2:$D$1048576,MATCH(L3173,医院2县区2人!$A$2:$A$1048576,0))</f>
        <v>201602151421097</v>
      </c>
      <c r="W3173" s="6" t="str">
        <f t="shared" si="101"/>
        <v>葡萄糖酸锌口服液10ml*12支</v>
      </c>
      <c r="X3173" s="6" t="s">
        <v>2879</v>
      </c>
    </row>
    <row r="3174" spans="1:24" x14ac:dyDescent="0.15">
      <c r="A3174" s="7" t="str">
        <f t="shared" si="102"/>
        <v>201806</v>
      </c>
      <c r="C3174" s="6" t="str">
        <f>INDEX(工厂基础数据!$A$2:$A$1024,MATCH(X3174,工厂基础数据!$D$2:$D$1024,0))</f>
        <v>02010326</v>
      </c>
      <c r="E3174" s="6" t="str">
        <f>INDEX(工厂基础数据!$B$2:$B$1024,MATCH(X3174,工厂基础数据!$D$2:$D$1024,0))</f>
        <v>山东福华医药有限公司</v>
      </c>
      <c r="F3174" s="6">
        <f>INDEX(商业2转码!$B$2:$B$10000,MATCH(E3174,商业2转码!$A$2:$A$10000,0))</f>
        <v>0</v>
      </c>
      <c r="G3174" s="6" t="str">
        <f>INDEX(品种2编码!$A$2:$A$1048576,MATCH(W3174,品种2编码!$D$2:$D$1048576,0))</f>
        <v>0020020030ZYZC0510</v>
      </c>
      <c r="H3174" s="6" t="s">
        <v>543</v>
      </c>
      <c r="I3174" s="6" t="s">
        <v>1834</v>
      </c>
      <c r="J3174" s="6" t="s">
        <v>3038</v>
      </c>
      <c r="L3174" s="6" t="s">
        <v>2097</v>
      </c>
      <c r="M3174" s="6">
        <f>INDEX(医院2县区2人!$B$2:$B$1048576,MATCH(L3174,医院2县区2人!$A$2:$A$1048576,0))</f>
        <v>1</v>
      </c>
      <c r="N3174" s="6" t="str">
        <f>INDEX(医院2县区2人!$C$2:$C$1048576,MATCH(L3174,医院2县区2人!$A$2:$A$1048576,0))</f>
        <v>1859</v>
      </c>
      <c r="P3174" s="7">
        <v>43256</v>
      </c>
      <c r="Q3174" s="6">
        <v>5</v>
      </c>
      <c r="R3174" s="6">
        <v>2.85</v>
      </c>
      <c r="S3174" s="6" t="s">
        <v>3789</v>
      </c>
      <c r="T3174" s="6" t="str">
        <f>INDEX(医院2县区2人!$D$2:$D$1048576,MATCH(L3174,医院2县区2人!$A$2:$A$1048576,0))</f>
        <v>201602151421097</v>
      </c>
      <c r="W3174" s="6" t="str">
        <f t="shared" si="101"/>
        <v>诺氟沙星胶囊0.1g*20粒</v>
      </c>
      <c r="X3174" s="6" t="s">
        <v>2879</v>
      </c>
    </row>
    <row r="3175" spans="1:24" x14ac:dyDescent="0.15">
      <c r="A3175" s="7" t="str">
        <f t="shared" si="102"/>
        <v>201806</v>
      </c>
      <c r="C3175" s="6" t="str">
        <f>INDEX(工厂基础数据!$A$2:$A$1024,MATCH(X3175,工厂基础数据!$D$2:$D$1024,0))</f>
        <v>02010326</v>
      </c>
      <c r="E3175" s="6" t="str">
        <f>INDEX(工厂基础数据!$B$2:$B$1024,MATCH(X3175,工厂基础数据!$D$2:$D$1024,0))</f>
        <v>山东福华医药有限公司</v>
      </c>
      <c r="F3175" s="6">
        <f>INDEX(商业2转码!$B$2:$B$10000,MATCH(E3175,商业2转码!$A$2:$A$10000,0))</f>
        <v>0</v>
      </c>
      <c r="G3175" s="6" t="str">
        <f>INDEX(品种2编码!$A$2:$A$1048576,MATCH(W3175,品种2编码!$D$2:$D$1048576,0))</f>
        <v>0020070000ZYLC0052</v>
      </c>
      <c r="H3175" s="6" t="s">
        <v>1844</v>
      </c>
      <c r="I3175" s="6" t="s">
        <v>411</v>
      </c>
      <c r="J3175" s="6" t="s">
        <v>3036</v>
      </c>
      <c r="L3175" s="6" t="s">
        <v>2074</v>
      </c>
      <c r="M3175" s="6">
        <f>INDEX(医院2县区2人!$B$2:$B$1048576,MATCH(L3175,医院2县区2人!$A$2:$A$1048576,0))</f>
        <v>1</v>
      </c>
      <c r="N3175" s="6" t="str">
        <f>INDEX(医院2县区2人!$C$2:$C$1048576,MATCH(L3175,医院2县区2人!$A$2:$A$1048576,0))</f>
        <v>1859</v>
      </c>
      <c r="P3175" s="7">
        <v>43256</v>
      </c>
      <c r="Q3175" s="6">
        <v>10</v>
      </c>
      <c r="R3175" s="6">
        <v>16.41</v>
      </c>
      <c r="S3175" s="6">
        <v>170523</v>
      </c>
      <c r="T3175" s="6" t="str">
        <f>INDEX(医院2县区2人!$D$2:$D$1048576,MATCH(L3175,医院2县区2人!$A$2:$A$1048576,0))</f>
        <v>201602151421097</v>
      </c>
      <c r="W3175" s="6" t="str">
        <f t="shared" si="101"/>
        <v>哈药六牌钙加锌口服液10ml*12支</v>
      </c>
      <c r="X3175" s="6" t="s">
        <v>2879</v>
      </c>
    </row>
    <row r="3176" spans="1:24" x14ac:dyDescent="0.15">
      <c r="A3176" s="7" t="str">
        <f t="shared" si="102"/>
        <v>201806</v>
      </c>
      <c r="C3176" s="6" t="str">
        <f>INDEX(工厂基础数据!$A$2:$A$1024,MATCH(X3176,工厂基础数据!$D$2:$D$1024,0))</f>
        <v>02010326</v>
      </c>
      <c r="E3176" s="6" t="str">
        <f>INDEX(工厂基础数据!$B$2:$B$1024,MATCH(X3176,工厂基础数据!$D$2:$D$1024,0))</f>
        <v>山东福华医药有限公司</v>
      </c>
      <c r="F3176" s="6">
        <f>INDEX(商业2转码!$B$2:$B$10000,MATCH(E3176,商业2转码!$A$2:$A$10000,0))</f>
        <v>0</v>
      </c>
      <c r="G3176" s="6" t="str">
        <f>INDEX(品种2编码!$A$2:$A$1048576,MATCH(W3176,品种2编码!$D$2:$D$1048576,0))</f>
        <v>0020070001ZYZC0383</v>
      </c>
      <c r="H3176" s="6" t="s">
        <v>1849</v>
      </c>
      <c r="I3176" s="6" t="s">
        <v>1850</v>
      </c>
      <c r="J3176" s="6" t="s">
        <v>3038</v>
      </c>
      <c r="L3176" s="6" t="s">
        <v>2074</v>
      </c>
      <c r="M3176" s="6">
        <f>INDEX(医院2县区2人!$B$2:$B$1048576,MATCH(L3176,医院2县区2人!$A$2:$A$1048576,0))</f>
        <v>1</v>
      </c>
      <c r="N3176" s="6" t="str">
        <f>INDEX(医院2县区2人!$C$2:$C$1048576,MATCH(L3176,医院2县区2人!$A$2:$A$1048576,0))</f>
        <v>1859</v>
      </c>
      <c r="P3176" s="7">
        <v>43256</v>
      </c>
      <c r="Q3176" s="6">
        <v>20</v>
      </c>
      <c r="R3176" s="6">
        <v>13.44</v>
      </c>
      <c r="S3176" s="6">
        <v>1801107</v>
      </c>
      <c r="T3176" s="6" t="str">
        <f>INDEX(医院2县区2人!$D$2:$D$1048576,MATCH(L3176,医院2县区2人!$A$2:$A$1048576,0))</f>
        <v>201602151421097</v>
      </c>
      <c r="W3176" s="6" t="str">
        <f t="shared" si="101"/>
        <v>哈药牌钙铁锌口服液10ml*10支</v>
      </c>
      <c r="X3176" s="6" t="s">
        <v>2879</v>
      </c>
    </row>
    <row r="3177" spans="1:24" x14ac:dyDescent="0.15">
      <c r="A3177" s="7" t="str">
        <f t="shared" si="102"/>
        <v>201806</v>
      </c>
      <c r="C3177" s="6" t="str">
        <f>INDEX(工厂基础数据!$A$2:$A$1024,MATCH(X3177,工厂基础数据!$D$2:$D$1024,0))</f>
        <v>02010326</v>
      </c>
      <c r="E3177" s="6" t="str">
        <f>INDEX(工厂基础数据!$B$2:$B$1024,MATCH(X3177,工厂基础数据!$D$2:$D$1024,0))</f>
        <v>山东福华医药有限公司</v>
      </c>
      <c r="F3177" s="6">
        <f>INDEX(商业2转码!$B$2:$B$10000,MATCH(E3177,商业2转码!$A$2:$A$10000,0))</f>
        <v>0</v>
      </c>
      <c r="G3177" s="6" t="str">
        <f>INDEX(品种2编码!$A$2:$A$1048576,MATCH(W3177,品种2编码!$D$2:$D$1048576,0))</f>
        <v>0020070001ZYZC0383</v>
      </c>
      <c r="H3177" s="6" t="s">
        <v>1849</v>
      </c>
      <c r="I3177" s="6" t="s">
        <v>1850</v>
      </c>
      <c r="J3177" s="6" t="s">
        <v>3038</v>
      </c>
      <c r="L3177" s="6" t="s">
        <v>2085</v>
      </c>
      <c r="M3177" s="6">
        <f>INDEX(医院2县区2人!$B$2:$B$1048576,MATCH(L3177,医院2县区2人!$A$2:$A$1048576,0))</f>
        <v>1</v>
      </c>
      <c r="N3177" s="6" t="str">
        <f>INDEX(医院2县区2人!$C$2:$C$1048576,MATCH(L3177,医院2县区2人!$A$2:$A$1048576,0))</f>
        <v>1859</v>
      </c>
      <c r="P3177" s="7">
        <v>43256</v>
      </c>
      <c r="Q3177" s="6">
        <v>20</v>
      </c>
      <c r="R3177" s="6">
        <v>13.44</v>
      </c>
      <c r="S3177" s="6">
        <v>1801107</v>
      </c>
      <c r="T3177" s="6" t="str">
        <f>INDEX(医院2县区2人!$D$2:$D$1048576,MATCH(L3177,医院2县区2人!$A$2:$A$1048576,0))</f>
        <v>201602151421097</v>
      </c>
      <c r="W3177" s="6" t="str">
        <f t="shared" si="101"/>
        <v>哈药牌钙铁锌口服液10ml*10支</v>
      </c>
      <c r="X3177" s="6" t="s">
        <v>2879</v>
      </c>
    </row>
    <row r="3178" spans="1:24" x14ac:dyDescent="0.15">
      <c r="A3178" s="7" t="str">
        <f t="shared" si="102"/>
        <v>201806</v>
      </c>
      <c r="C3178" s="6" t="str">
        <f>INDEX(工厂基础数据!$A$2:$A$1024,MATCH(X3178,工厂基础数据!$D$2:$D$1024,0))</f>
        <v>02010326</v>
      </c>
      <c r="E3178" s="6" t="str">
        <f>INDEX(工厂基础数据!$B$2:$B$1024,MATCH(X3178,工厂基础数据!$D$2:$D$1024,0))</f>
        <v>山东福华医药有限公司</v>
      </c>
      <c r="F3178" s="6">
        <f>INDEX(商业2转码!$B$2:$B$10000,MATCH(E3178,商业2转码!$A$2:$A$10000,0))</f>
        <v>0</v>
      </c>
      <c r="G3178" s="6" t="str">
        <f>INDEX(品种2编码!$A$2:$A$1048576,MATCH(W3178,品种2编码!$D$2:$D$1048576,0))</f>
        <v>0020020020ZYLC0003</v>
      </c>
      <c r="H3178" s="6" t="s">
        <v>1855</v>
      </c>
      <c r="I3178" s="6" t="s">
        <v>381</v>
      </c>
      <c r="J3178" s="6" t="s">
        <v>3036</v>
      </c>
      <c r="L3178" s="6" t="s">
        <v>2074</v>
      </c>
      <c r="M3178" s="6">
        <f>INDEX(医院2县区2人!$B$2:$B$1048576,MATCH(L3178,医院2县区2人!$A$2:$A$1048576,0))</f>
        <v>1</v>
      </c>
      <c r="N3178" s="6" t="str">
        <f>INDEX(医院2县区2人!$C$2:$C$1048576,MATCH(L3178,医院2县区2人!$A$2:$A$1048576,0))</f>
        <v>1859</v>
      </c>
      <c r="P3178" s="7">
        <v>43256</v>
      </c>
      <c r="Q3178" s="6">
        <v>3</v>
      </c>
      <c r="R3178" s="6">
        <v>5.31</v>
      </c>
      <c r="S3178" s="6">
        <v>161002</v>
      </c>
      <c r="T3178" s="6" t="str">
        <f>INDEX(医院2县区2人!$D$2:$D$1048576,MATCH(L3178,医院2县区2人!$A$2:$A$1048576,0))</f>
        <v>201602151421097</v>
      </c>
      <c r="W3178" s="6" t="str">
        <f t="shared" si="101"/>
        <v>颠茄磺苄啶片12片</v>
      </c>
      <c r="X3178" s="6" t="s">
        <v>2879</v>
      </c>
    </row>
    <row r="3179" spans="1:24" x14ac:dyDescent="0.15">
      <c r="A3179" s="7" t="str">
        <f t="shared" si="102"/>
        <v>201806</v>
      </c>
      <c r="C3179" s="6" t="str">
        <f>INDEX(工厂基础数据!$A$2:$A$1024,MATCH(X3179,工厂基础数据!$D$2:$D$1024,0))</f>
        <v>02010326</v>
      </c>
      <c r="E3179" s="6" t="str">
        <f>INDEX(工厂基础数据!$B$2:$B$1024,MATCH(X3179,工厂基础数据!$D$2:$D$1024,0))</f>
        <v>山东福华医药有限公司</v>
      </c>
      <c r="F3179" s="6">
        <f>INDEX(商业2转码!$B$2:$B$10000,MATCH(E3179,商业2转码!$A$2:$A$10000,0))</f>
        <v>0</v>
      </c>
      <c r="G3179" s="6" t="str">
        <f>INDEX(品种2编码!$A$2:$A$1048576,MATCH(W3179,品种2编码!$D$2:$D$1048576,0))</f>
        <v>0020020020ZYLC0003</v>
      </c>
      <c r="H3179" s="6" t="s">
        <v>1855</v>
      </c>
      <c r="I3179" s="6" t="s">
        <v>381</v>
      </c>
      <c r="J3179" s="6" t="s">
        <v>3036</v>
      </c>
      <c r="L3179" s="6" t="s">
        <v>2085</v>
      </c>
      <c r="M3179" s="6">
        <f>INDEX(医院2县区2人!$B$2:$B$1048576,MATCH(L3179,医院2县区2人!$A$2:$A$1048576,0))</f>
        <v>1</v>
      </c>
      <c r="N3179" s="6" t="str">
        <f>INDEX(医院2县区2人!$C$2:$C$1048576,MATCH(L3179,医院2县区2人!$A$2:$A$1048576,0))</f>
        <v>1859</v>
      </c>
      <c r="P3179" s="7">
        <v>43256</v>
      </c>
      <c r="Q3179" s="6">
        <v>5</v>
      </c>
      <c r="R3179" s="6">
        <v>5.31</v>
      </c>
      <c r="S3179" s="6">
        <v>161002</v>
      </c>
      <c r="T3179" s="6" t="str">
        <f>INDEX(医院2县区2人!$D$2:$D$1048576,MATCH(L3179,医院2县区2人!$A$2:$A$1048576,0))</f>
        <v>201602151421097</v>
      </c>
      <c r="W3179" s="6" t="str">
        <f t="shared" si="101"/>
        <v>颠茄磺苄啶片12片</v>
      </c>
      <c r="X3179" s="6" t="s">
        <v>2879</v>
      </c>
    </row>
    <row r="3180" spans="1:24" x14ac:dyDescent="0.15">
      <c r="A3180" s="7" t="str">
        <f t="shared" si="102"/>
        <v>201806</v>
      </c>
      <c r="C3180" s="6" t="str">
        <f>INDEX(工厂基础数据!$A$2:$A$1024,MATCH(X3180,工厂基础数据!$D$2:$D$1024,0))</f>
        <v>02010326</v>
      </c>
      <c r="E3180" s="6" t="str">
        <f>INDEX(工厂基础数据!$B$2:$B$1024,MATCH(X3180,工厂基础数据!$D$2:$D$1024,0))</f>
        <v>山东福华医药有限公司</v>
      </c>
      <c r="F3180" s="6">
        <f>INDEX(商业2转码!$B$2:$B$10000,MATCH(E3180,商业2转码!$A$2:$A$10000,0))</f>
        <v>0</v>
      </c>
      <c r="G3180" s="6" t="str">
        <f>INDEX(品种2编码!$A$2:$A$1048576,MATCH(W3180,品种2编码!$D$2:$D$1048576,0))</f>
        <v>0020070001ZYZC0383</v>
      </c>
      <c r="H3180" s="6" t="s">
        <v>1849</v>
      </c>
      <c r="I3180" s="6" t="s">
        <v>1850</v>
      </c>
      <c r="J3180" s="6" t="s">
        <v>3038</v>
      </c>
      <c r="L3180" s="6" t="s">
        <v>2082</v>
      </c>
      <c r="M3180" s="6">
        <f>INDEX(医院2县区2人!$B$2:$B$1048576,MATCH(L3180,医院2县区2人!$A$2:$A$1048576,0))</f>
        <v>2</v>
      </c>
      <c r="N3180" s="6" t="str">
        <f>INDEX(医院2县区2人!$C$2:$C$1048576,MATCH(L3180,医院2县区2人!$A$2:$A$1048576,0))</f>
        <v>1859</v>
      </c>
      <c r="P3180" s="7">
        <v>43256</v>
      </c>
      <c r="Q3180" s="6">
        <v>3</v>
      </c>
      <c r="R3180" s="6">
        <v>13.44</v>
      </c>
      <c r="S3180" s="6">
        <v>1801107</v>
      </c>
      <c r="T3180" s="6" t="str">
        <f>INDEX(医院2县区2人!$D$2:$D$1048576,MATCH(L3180,医院2县区2人!$A$2:$A$1048576,0))</f>
        <v>201602151421097</v>
      </c>
      <c r="W3180" s="6" t="str">
        <f t="shared" si="101"/>
        <v>哈药牌钙铁锌口服液10ml*10支</v>
      </c>
      <c r="X3180" s="6" t="s">
        <v>2879</v>
      </c>
    </row>
    <row r="3181" spans="1:24" x14ac:dyDescent="0.15">
      <c r="A3181" s="7" t="str">
        <f t="shared" si="102"/>
        <v>201806</v>
      </c>
      <c r="C3181" s="6" t="str">
        <f>INDEX(工厂基础数据!$A$2:$A$1024,MATCH(X3181,工厂基础数据!$D$2:$D$1024,0))</f>
        <v>02010326</v>
      </c>
      <c r="E3181" s="6" t="str">
        <f>INDEX(工厂基础数据!$B$2:$B$1024,MATCH(X3181,工厂基础数据!$D$2:$D$1024,0))</f>
        <v>山东福华医药有限公司</v>
      </c>
      <c r="F3181" s="6">
        <f>INDEX(商业2转码!$B$2:$B$10000,MATCH(E3181,商业2转码!$A$2:$A$10000,0))</f>
        <v>0</v>
      </c>
      <c r="G3181" s="6" t="str">
        <f>INDEX(品种2编码!$A$2:$A$1048576,MATCH(W3181,品种2编码!$D$2:$D$1048576,0))</f>
        <v>0020030040ZYLC0001</v>
      </c>
      <c r="H3181" s="6" t="s">
        <v>1852</v>
      </c>
      <c r="I3181" s="6" t="s">
        <v>1853</v>
      </c>
      <c r="J3181" s="6" t="s">
        <v>3036</v>
      </c>
      <c r="L3181" s="6" t="s">
        <v>2118</v>
      </c>
      <c r="M3181" s="6">
        <f>INDEX(医院2县区2人!$B$2:$B$1048576,MATCH(L3181,医院2县区2人!$A$2:$A$1048576,0))</f>
        <v>2</v>
      </c>
      <c r="N3181" s="6" t="str">
        <f>INDEX(医院2县区2人!$C$2:$C$1048576,MATCH(L3181,医院2县区2人!$A$2:$A$1048576,0))</f>
        <v>1859</v>
      </c>
      <c r="P3181" s="7">
        <v>43256</v>
      </c>
      <c r="Q3181" s="6">
        <v>1</v>
      </c>
      <c r="R3181" s="6">
        <v>8.3000000000000007</v>
      </c>
      <c r="S3181" s="6">
        <v>170533</v>
      </c>
      <c r="T3181" s="6" t="str">
        <f>INDEX(医院2县区2人!$D$2:$D$1048576,MATCH(L3181,医院2县区2人!$A$2:$A$1048576,0))</f>
        <v>201602151421097</v>
      </c>
      <c r="W3181" s="6" t="str">
        <f t="shared" si="101"/>
        <v>小儿氨酚黄那敏颗粒/护彤2g*12袋</v>
      </c>
      <c r="X3181" s="6" t="s">
        <v>2879</v>
      </c>
    </row>
    <row r="3182" spans="1:24" x14ac:dyDescent="0.15">
      <c r="A3182" s="7" t="str">
        <f t="shared" si="102"/>
        <v>201806</v>
      </c>
      <c r="C3182" s="6" t="str">
        <f>INDEX(工厂基础数据!$A$2:$A$1024,MATCH(X3182,工厂基础数据!$D$2:$D$1024,0))</f>
        <v>02010326</v>
      </c>
      <c r="E3182" s="6" t="str">
        <f>INDEX(工厂基础数据!$B$2:$B$1024,MATCH(X3182,工厂基础数据!$D$2:$D$1024,0))</f>
        <v>山东福华医药有限公司</v>
      </c>
      <c r="F3182" s="6">
        <f>INDEX(商业2转码!$B$2:$B$10000,MATCH(E3182,商业2转码!$A$2:$A$10000,0))</f>
        <v>0</v>
      </c>
      <c r="G3182" s="6" t="str">
        <f>INDEX(品种2编码!$A$2:$A$1048576,MATCH(W3182,品种2编码!$D$2:$D$1048576,0))</f>
        <v>0020100000ZYLC0012</v>
      </c>
      <c r="H3182" s="6" t="s">
        <v>768</v>
      </c>
      <c r="I3182" s="6" t="s">
        <v>1843</v>
      </c>
      <c r="J3182" s="6" t="s">
        <v>3036</v>
      </c>
      <c r="L3182" s="6" t="s">
        <v>3780</v>
      </c>
      <c r="M3182" s="6" t="e">
        <f>INDEX(医院2县区2人!$B$2:$B$1048576,MATCH(L3182,医院2县区2人!$A$2:$A$1048576,0))</f>
        <v>#N/A</v>
      </c>
      <c r="N3182" s="6" t="e">
        <f>INDEX(医院2县区2人!$C$2:$C$1048576,MATCH(L3182,医院2县区2人!$A$2:$A$1048576,0))</f>
        <v>#N/A</v>
      </c>
      <c r="P3182" s="7">
        <v>43256</v>
      </c>
      <c r="Q3182" s="6">
        <v>5</v>
      </c>
      <c r="R3182" s="6">
        <v>8</v>
      </c>
      <c r="S3182" s="6">
        <v>20180104</v>
      </c>
      <c r="T3182" s="6" t="e">
        <f>INDEX(医院2县区2人!$D$2:$D$1048576,MATCH(L3182,医院2县区2人!$A$2:$A$1048576,0))</f>
        <v>#N/A</v>
      </c>
      <c r="W3182" s="6" t="str">
        <f t="shared" si="101"/>
        <v>医用退热贴2贴</v>
      </c>
      <c r="X3182" s="6" t="s">
        <v>2879</v>
      </c>
    </row>
    <row r="3183" spans="1:24" x14ac:dyDescent="0.15">
      <c r="A3183" s="7" t="str">
        <f t="shared" si="102"/>
        <v>201806</v>
      </c>
      <c r="C3183" s="6" t="str">
        <f>INDEX(工厂基础数据!$A$2:$A$1024,MATCH(X3183,工厂基础数据!$D$2:$D$1024,0))</f>
        <v>02010326</v>
      </c>
      <c r="E3183" s="6" t="str">
        <f>INDEX(工厂基础数据!$B$2:$B$1024,MATCH(X3183,工厂基础数据!$D$2:$D$1024,0))</f>
        <v>山东福华医药有限公司</v>
      </c>
      <c r="F3183" s="6">
        <f>INDEX(商业2转码!$B$2:$B$10000,MATCH(E3183,商业2转码!$A$2:$A$10000,0))</f>
        <v>0</v>
      </c>
      <c r="G3183" s="6" t="str">
        <f>INDEX(品种2编码!$A$2:$A$1048576,MATCH(W3183,品种2编码!$D$2:$D$1048576,0))</f>
        <v>0020030001SJZY0009</v>
      </c>
      <c r="H3183" s="6" t="s">
        <v>555</v>
      </c>
      <c r="I3183" s="6" t="s">
        <v>411</v>
      </c>
      <c r="J3183" s="6" t="s">
        <v>3785</v>
      </c>
      <c r="L3183" s="6" t="s">
        <v>2156</v>
      </c>
      <c r="M3183" s="6">
        <f>INDEX(医院2县区2人!$B$2:$B$1048576,MATCH(L3183,医院2县区2人!$A$2:$A$1048576,0))</f>
        <v>1</v>
      </c>
      <c r="N3183" s="6" t="str">
        <f>INDEX(医院2县区2人!$C$2:$C$1048576,MATCH(L3183,医院2县区2人!$A$2:$A$1048576,0))</f>
        <v>1859</v>
      </c>
      <c r="P3183" s="7">
        <v>43256</v>
      </c>
      <c r="Q3183" s="6">
        <v>-5</v>
      </c>
      <c r="R3183" s="6">
        <v>23.5</v>
      </c>
      <c r="S3183" s="6">
        <v>17070527</v>
      </c>
      <c r="T3183" s="6" t="str">
        <f>INDEX(医院2县区2人!$D$2:$D$1048576,MATCH(L3183,医院2县区2人!$A$2:$A$1048576,0))</f>
        <v>201602151421097</v>
      </c>
      <c r="W3183" s="6" t="str">
        <f t="shared" si="101"/>
        <v>葡萄糖酸锌口服液10ml*12支</v>
      </c>
      <c r="X3183" s="6" t="s">
        <v>2879</v>
      </c>
    </row>
    <row r="3184" spans="1:24" x14ac:dyDescent="0.15">
      <c r="A3184" s="7" t="str">
        <f t="shared" si="102"/>
        <v>201806</v>
      </c>
      <c r="C3184" s="6" t="str">
        <f>INDEX(工厂基础数据!$A$2:$A$1024,MATCH(X3184,工厂基础数据!$D$2:$D$1024,0))</f>
        <v>02010326</v>
      </c>
      <c r="E3184" s="6" t="str">
        <f>INDEX(工厂基础数据!$B$2:$B$1024,MATCH(X3184,工厂基础数据!$D$2:$D$1024,0))</f>
        <v>山东福华医药有限公司</v>
      </c>
      <c r="F3184" s="6">
        <f>INDEX(商业2转码!$B$2:$B$10000,MATCH(E3184,商业2转码!$A$2:$A$10000,0))</f>
        <v>0</v>
      </c>
      <c r="G3184" s="6" t="str">
        <f>INDEX(品种2编码!$A$2:$A$1048576,MATCH(W3184,品种2编码!$D$2:$D$1048576,0))</f>
        <v>0020030001SJZY0009</v>
      </c>
      <c r="H3184" s="6" t="s">
        <v>555</v>
      </c>
      <c r="I3184" s="6" t="s">
        <v>411</v>
      </c>
      <c r="J3184" s="6" t="s">
        <v>3785</v>
      </c>
      <c r="L3184" s="6" t="s">
        <v>2156</v>
      </c>
      <c r="M3184" s="6">
        <f>INDEX(医院2县区2人!$B$2:$B$1048576,MATCH(L3184,医院2县区2人!$A$2:$A$1048576,0))</f>
        <v>1</v>
      </c>
      <c r="N3184" s="6" t="str">
        <f>INDEX(医院2县区2人!$C$2:$C$1048576,MATCH(L3184,医院2县区2人!$A$2:$A$1048576,0))</f>
        <v>1859</v>
      </c>
      <c r="P3184" s="7">
        <v>43255</v>
      </c>
      <c r="Q3184" s="6">
        <v>10</v>
      </c>
      <c r="R3184" s="6">
        <v>23.5</v>
      </c>
      <c r="S3184" s="6">
        <v>17070527</v>
      </c>
      <c r="T3184" s="6" t="str">
        <f>INDEX(医院2县区2人!$D$2:$D$1048576,MATCH(L3184,医院2县区2人!$A$2:$A$1048576,0))</f>
        <v>201602151421097</v>
      </c>
      <c r="W3184" s="6" t="str">
        <f t="shared" si="101"/>
        <v>葡萄糖酸锌口服液10ml*12支</v>
      </c>
      <c r="X3184" s="6" t="s">
        <v>2879</v>
      </c>
    </row>
    <row r="3185" spans="1:24" x14ac:dyDescent="0.15">
      <c r="A3185" s="7" t="str">
        <f t="shared" si="102"/>
        <v>201806</v>
      </c>
      <c r="C3185" s="6" t="str">
        <f>INDEX(工厂基础数据!$A$2:$A$1024,MATCH(X3185,工厂基础数据!$D$2:$D$1024,0))</f>
        <v>02010326</v>
      </c>
      <c r="E3185" s="6" t="str">
        <f>INDEX(工厂基础数据!$B$2:$B$1024,MATCH(X3185,工厂基础数据!$D$2:$D$1024,0))</f>
        <v>山东福华医药有限公司</v>
      </c>
      <c r="F3185" s="6">
        <f>INDEX(商业2转码!$B$2:$B$10000,MATCH(E3185,商业2转码!$A$2:$A$10000,0))</f>
        <v>0</v>
      </c>
      <c r="G3185" s="6" t="str">
        <f>INDEX(品种2编码!$A$2:$A$1048576,MATCH(W3185,品种2编码!$D$2:$D$1048576,0))</f>
        <v>0020030040SHYT0010</v>
      </c>
      <c r="H3185" s="6" t="s">
        <v>1847</v>
      </c>
      <c r="I3185" s="6" t="s">
        <v>1848</v>
      </c>
      <c r="J3185" s="6" t="s">
        <v>3037</v>
      </c>
      <c r="L3185" s="6" t="s">
        <v>3781</v>
      </c>
      <c r="M3185" s="6" t="e">
        <f>INDEX(医院2县区2人!$B$2:$B$1048576,MATCH(L3185,医院2县区2人!$A$2:$A$1048576,0))</f>
        <v>#N/A</v>
      </c>
      <c r="N3185" s="6" t="e">
        <f>INDEX(医院2县区2人!$C$2:$C$1048576,MATCH(L3185,医院2县区2人!$A$2:$A$1048576,0))</f>
        <v>#N/A</v>
      </c>
      <c r="P3185" s="7">
        <v>43255</v>
      </c>
      <c r="Q3185" s="6">
        <v>5</v>
      </c>
      <c r="R3185" s="6">
        <v>12.5</v>
      </c>
      <c r="S3185" s="6">
        <v>1611616</v>
      </c>
      <c r="T3185" s="6" t="e">
        <f>INDEX(医院2县区2人!$D$2:$D$1048576,MATCH(L3185,医院2县区2人!$A$2:$A$1048576,0))</f>
        <v>#N/A</v>
      </c>
      <c r="W3185" s="6" t="str">
        <f t="shared" si="101"/>
        <v>布洛芬颗粒/小安瑞克0.2g*12袋</v>
      </c>
      <c r="X3185" s="6" t="s">
        <v>2879</v>
      </c>
    </row>
    <row r="3186" spans="1:24" x14ac:dyDescent="0.15">
      <c r="A3186" s="7" t="str">
        <f t="shared" si="102"/>
        <v>201806</v>
      </c>
      <c r="C3186" s="6" t="str">
        <f>INDEX(工厂基础数据!$A$2:$A$1024,MATCH(X3186,工厂基础数据!$D$2:$D$1024,0))</f>
        <v>02010326</v>
      </c>
      <c r="E3186" s="6" t="str">
        <f>INDEX(工厂基础数据!$B$2:$B$1024,MATCH(X3186,工厂基础数据!$D$2:$D$1024,0))</f>
        <v>山东福华医药有限公司</v>
      </c>
      <c r="F3186" s="6">
        <f>INDEX(商业2转码!$B$2:$B$10000,MATCH(E3186,商业2转码!$A$2:$A$10000,0))</f>
        <v>0</v>
      </c>
      <c r="G3186" s="6" t="str">
        <f>INDEX(品种2编码!$A$2:$A$1048576,MATCH(W3186,品种2编码!$D$2:$D$1048576,0))</f>
        <v>0020030170ZYEC0003</v>
      </c>
      <c r="H3186" s="6" t="s">
        <v>1835</v>
      </c>
      <c r="I3186" s="6" t="s">
        <v>1836</v>
      </c>
      <c r="J3186" s="6" t="s">
        <v>3041</v>
      </c>
      <c r="L3186" s="6" t="s">
        <v>3782</v>
      </c>
      <c r="M3186" s="6" t="e">
        <f>INDEX(医院2县区2人!$B$2:$B$1048576,MATCH(L3186,医院2县区2人!$A$2:$A$1048576,0))</f>
        <v>#N/A</v>
      </c>
      <c r="N3186" s="6" t="e">
        <f>INDEX(医院2县区2人!$C$2:$C$1048576,MATCH(L3186,医院2县区2人!$A$2:$A$1048576,0))</f>
        <v>#N/A</v>
      </c>
      <c r="P3186" s="7">
        <v>43255</v>
      </c>
      <c r="Q3186" s="6">
        <v>7</v>
      </c>
      <c r="R3186" s="6">
        <v>14</v>
      </c>
      <c r="S3186" s="6">
        <v>170201</v>
      </c>
      <c r="T3186" s="6" t="e">
        <f>INDEX(医院2县区2人!$D$2:$D$1048576,MATCH(L3186,医院2县区2人!$A$2:$A$1048576,0))</f>
        <v>#N/A</v>
      </c>
      <c r="W3186" s="6" t="str">
        <f t="shared" si="101"/>
        <v>蒙脱石散3g*12袋</v>
      </c>
      <c r="X3186" s="6" t="s">
        <v>2879</v>
      </c>
    </row>
    <row r="3187" spans="1:24" x14ac:dyDescent="0.15">
      <c r="A3187" s="7" t="str">
        <f t="shared" si="102"/>
        <v>201806</v>
      </c>
      <c r="C3187" s="6" t="str">
        <f>INDEX(工厂基础数据!$A$2:$A$1024,MATCH(X3187,工厂基础数据!$D$2:$D$1024,0))</f>
        <v>02010326</v>
      </c>
      <c r="E3187" s="6" t="str">
        <f>INDEX(工厂基础数据!$B$2:$B$1024,MATCH(X3187,工厂基础数据!$D$2:$D$1024,0))</f>
        <v>山东福华医药有限公司</v>
      </c>
      <c r="F3187" s="6">
        <f>INDEX(商业2转码!$B$2:$B$10000,MATCH(E3187,商业2转码!$A$2:$A$10000,0))</f>
        <v>0</v>
      </c>
      <c r="G3187" s="6" t="str">
        <f>INDEX(品种2编码!$A$2:$A$1048576,MATCH(W3187,品种2编码!$D$2:$D$1048576,0))</f>
        <v>0020030001SJZY0006</v>
      </c>
      <c r="H3187" s="6" t="s">
        <v>1833</v>
      </c>
      <c r="I3187" s="6" t="s">
        <v>411</v>
      </c>
      <c r="J3187" s="6" t="s">
        <v>3044</v>
      </c>
      <c r="L3187" s="6" t="s">
        <v>2106</v>
      </c>
      <c r="M3187" s="6">
        <f>INDEX(医院2县区2人!$B$2:$B$1048576,MATCH(L3187,医院2县区2人!$A$2:$A$1048576,0))</f>
        <v>2</v>
      </c>
      <c r="N3187" s="6" t="str">
        <f>INDEX(医院2县区2人!$C$2:$C$1048576,MATCH(L3187,医院2县区2人!$A$2:$A$1048576,0))</f>
        <v>1859</v>
      </c>
      <c r="P3187" s="7">
        <v>43255</v>
      </c>
      <c r="Q3187" s="6">
        <v>1</v>
      </c>
      <c r="R3187" s="6">
        <v>22.3</v>
      </c>
      <c r="S3187" s="6">
        <v>17071033</v>
      </c>
      <c r="T3187" s="6" t="str">
        <f>INDEX(医院2县区2人!$D$2:$D$1048576,MATCH(L3187,医院2县区2人!$A$2:$A$1048576,0))</f>
        <v>201602151421097</v>
      </c>
      <c r="W3187" s="6" t="str">
        <f t="shared" si="101"/>
        <v>葡萄糖酸钙口服溶液10ml*12支</v>
      </c>
      <c r="X3187" s="6" t="s">
        <v>2879</v>
      </c>
    </row>
    <row r="3188" spans="1:24" x14ac:dyDescent="0.15">
      <c r="A3188" s="7" t="str">
        <f t="shared" si="102"/>
        <v>201806</v>
      </c>
      <c r="C3188" s="6" t="str">
        <f>INDEX(工厂基础数据!$A$2:$A$1024,MATCH(X3188,工厂基础数据!$D$2:$D$1024,0))</f>
        <v>02010326</v>
      </c>
      <c r="E3188" s="6" t="str">
        <f>INDEX(工厂基础数据!$B$2:$B$1024,MATCH(X3188,工厂基础数据!$D$2:$D$1024,0))</f>
        <v>山东福华医药有限公司</v>
      </c>
      <c r="F3188" s="6">
        <f>INDEX(商业2转码!$B$2:$B$10000,MATCH(E3188,商业2转码!$A$2:$A$10000,0))</f>
        <v>0</v>
      </c>
      <c r="G3188" s="6" t="str">
        <f>INDEX(品种2编码!$A$2:$A$1048576,MATCH(W3188,品种2编码!$D$2:$D$1048576,0))</f>
        <v>0020030001SJZY0009</v>
      </c>
      <c r="H3188" s="6" t="s">
        <v>555</v>
      </c>
      <c r="I3188" s="6" t="s">
        <v>411</v>
      </c>
      <c r="J3188" s="6" t="s">
        <v>3785</v>
      </c>
      <c r="L3188" s="6" t="s">
        <v>2106</v>
      </c>
      <c r="M3188" s="6">
        <f>INDEX(医院2县区2人!$B$2:$B$1048576,MATCH(L3188,医院2县区2人!$A$2:$A$1048576,0))</f>
        <v>2</v>
      </c>
      <c r="N3188" s="6" t="str">
        <f>INDEX(医院2县区2人!$C$2:$C$1048576,MATCH(L3188,医院2县区2人!$A$2:$A$1048576,0))</f>
        <v>1859</v>
      </c>
      <c r="P3188" s="7">
        <v>43255</v>
      </c>
      <c r="Q3188" s="6">
        <v>2</v>
      </c>
      <c r="R3188" s="6">
        <v>23.5</v>
      </c>
      <c r="S3188" s="6">
        <v>17070527</v>
      </c>
      <c r="T3188" s="6" t="str">
        <f>INDEX(医院2县区2人!$D$2:$D$1048576,MATCH(L3188,医院2县区2人!$A$2:$A$1048576,0))</f>
        <v>201602151421097</v>
      </c>
      <c r="W3188" s="6" t="str">
        <f t="shared" si="101"/>
        <v>葡萄糖酸锌口服液10ml*12支</v>
      </c>
      <c r="X3188" s="6" t="s">
        <v>2879</v>
      </c>
    </row>
    <row r="3189" spans="1:24" x14ac:dyDescent="0.15">
      <c r="A3189" s="7" t="str">
        <f t="shared" si="102"/>
        <v>201806</v>
      </c>
      <c r="C3189" s="6" t="str">
        <f>INDEX(工厂基础数据!$A$2:$A$1024,MATCH(X3189,工厂基础数据!$D$2:$D$1024,0))</f>
        <v>02010326</v>
      </c>
      <c r="E3189" s="6" t="str">
        <f>INDEX(工厂基础数据!$B$2:$B$1024,MATCH(X3189,工厂基础数据!$D$2:$D$1024,0))</f>
        <v>山东福华医药有限公司</v>
      </c>
      <c r="F3189" s="6">
        <f>INDEX(商业2转码!$B$2:$B$10000,MATCH(E3189,商业2转码!$A$2:$A$10000,0))</f>
        <v>0</v>
      </c>
      <c r="G3189" s="6" t="str">
        <f>INDEX(品种2编码!$A$2:$A$1048576,MATCH(W3189,品种2编码!$D$2:$D$1048576,0))</f>
        <v>0020030020SJSC0025</v>
      </c>
      <c r="H3189" s="6" t="s">
        <v>380</v>
      </c>
      <c r="I3189" s="6" t="s">
        <v>381</v>
      </c>
      <c r="J3189" s="6" t="s">
        <v>3787</v>
      </c>
      <c r="L3189" s="6" t="s">
        <v>2164</v>
      </c>
      <c r="M3189" s="6">
        <f>INDEX(医院2县区2人!$B$2:$B$1048576,MATCH(L3189,医院2县区2人!$A$2:$A$1048576,0))</f>
        <v>2</v>
      </c>
      <c r="N3189" s="6" t="str">
        <f>INDEX(医院2县区2人!$C$2:$C$1048576,MATCH(L3189,医院2县区2人!$A$2:$A$1048576,0))</f>
        <v>1859</v>
      </c>
      <c r="P3189" s="7">
        <v>43255</v>
      </c>
      <c r="Q3189" s="6">
        <v>10</v>
      </c>
      <c r="R3189" s="6">
        <v>3.6</v>
      </c>
      <c r="S3189" s="6">
        <v>1705001</v>
      </c>
      <c r="T3189" s="6" t="str">
        <f>INDEX(医院2县区2人!$D$2:$D$1048576,MATCH(L3189,医院2县区2人!$A$2:$A$1048576,0))</f>
        <v>201602151421097</v>
      </c>
      <c r="W3189" s="6" t="str">
        <f t="shared" si="101"/>
        <v>复方氨酚烷胺片12片</v>
      </c>
      <c r="X3189" s="6" t="s">
        <v>2879</v>
      </c>
    </row>
    <row r="3190" spans="1:24" x14ac:dyDescent="0.15">
      <c r="A3190" s="7" t="str">
        <f t="shared" si="102"/>
        <v>201806</v>
      </c>
      <c r="C3190" s="6" t="str">
        <f>INDEX(工厂基础数据!$A$2:$A$1024,MATCH(X3190,工厂基础数据!$D$2:$D$1024,0))</f>
        <v>02010326</v>
      </c>
      <c r="E3190" s="6" t="str">
        <f>INDEX(工厂基础数据!$B$2:$B$1024,MATCH(X3190,工厂基础数据!$D$2:$D$1024,0))</f>
        <v>山东福华医药有限公司</v>
      </c>
      <c r="F3190" s="6">
        <f>INDEX(商业2转码!$B$2:$B$10000,MATCH(E3190,商业2转码!$A$2:$A$10000,0))</f>
        <v>0</v>
      </c>
      <c r="G3190" s="6" t="str">
        <f>INDEX(品种2编码!$A$2:$A$1048576,MATCH(W3190,品种2编码!$D$2:$D$1048576,0))</f>
        <v>0020030020SJSC0025</v>
      </c>
      <c r="H3190" s="6" t="s">
        <v>380</v>
      </c>
      <c r="I3190" s="6" t="s">
        <v>381</v>
      </c>
      <c r="J3190" s="6" t="s">
        <v>3787</v>
      </c>
      <c r="L3190" s="6" t="s">
        <v>3782</v>
      </c>
      <c r="M3190" s="6" t="e">
        <f>INDEX(医院2县区2人!$B$2:$B$1048576,MATCH(L3190,医院2县区2人!$A$2:$A$1048576,0))</f>
        <v>#N/A</v>
      </c>
      <c r="N3190" s="6" t="e">
        <f>INDEX(医院2县区2人!$C$2:$C$1048576,MATCH(L3190,医院2县区2人!$A$2:$A$1048576,0))</f>
        <v>#N/A</v>
      </c>
      <c r="P3190" s="7">
        <v>43255</v>
      </c>
      <c r="Q3190" s="6">
        <v>10</v>
      </c>
      <c r="R3190" s="6">
        <v>3.6</v>
      </c>
      <c r="S3190" s="6">
        <v>1705001</v>
      </c>
      <c r="T3190" s="6" t="e">
        <f>INDEX(医院2县区2人!$D$2:$D$1048576,MATCH(L3190,医院2县区2人!$A$2:$A$1048576,0))</f>
        <v>#N/A</v>
      </c>
      <c r="W3190" s="6" t="str">
        <f t="shared" si="101"/>
        <v>复方氨酚烷胺片12片</v>
      </c>
      <c r="X3190" s="6" t="s">
        <v>2879</v>
      </c>
    </row>
    <row r="3191" spans="1:24" x14ac:dyDescent="0.15">
      <c r="A3191" s="7" t="str">
        <f t="shared" si="102"/>
        <v>201806</v>
      </c>
      <c r="C3191" s="6" t="str">
        <f>INDEX(工厂基础数据!$A$2:$A$1024,MATCH(X3191,工厂基础数据!$D$2:$D$1024,0))</f>
        <v>02010326</v>
      </c>
      <c r="E3191" s="6" t="str">
        <f>INDEX(工厂基础数据!$B$2:$B$1024,MATCH(X3191,工厂基础数据!$D$2:$D$1024,0))</f>
        <v>山东福华医药有限公司</v>
      </c>
      <c r="F3191" s="6">
        <f>INDEX(商业2转码!$B$2:$B$10000,MATCH(E3191,商业2转码!$A$2:$A$10000,0))</f>
        <v>0</v>
      </c>
      <c r="G3191" s="6" t="str">
        <f>INDEX(品种2编码!$A$2:$A$1048576,MATCH(W3191,品种2编码!$D$2:$D$1048576,0))</f>
        <v>0020030040ZYLC0001</v>
      </c>
      <c r="H3191" s="6" t="s">
        <v>1852</v>
      </c>
      <c r="I3191" s="6" t="s">
        <v>1853</v>
      </c>
      <c r="J3191" s="6" t="s">
        <v>3036</v>
      </c>
      <c r="L3191" s="6" t="s">
        <v>2382</v>
      </c>
      <c r="M3191" s="6">
        <f>INDEX(医院2县区2人!$B$2:$B$1048576,MATCH(L3191,医院2县区2人!$A$2:$A$1048576,0))</f>
        <v>4</v>
      </c>
      <c r="N3191" s="6" t="str">
        <f>INDEX(医院2县区2人!$C$2:$C$1048576,MATCH(L3191,医院2县区2人!$A$2:$A$1048576,0))</f>
        <v>1859</v>
      </c>
      <c r="P3191" s="7">
        <v>43255</v>
      </c>
      <c r="Q3191" s="6">
        <v>5</v>
      </c>
      <c r="R3191" s="6">
        <v>8.3000000000000007</v>
      </c>
      <c r="S3191" s="6">
        <v>170533</v>
      </c>
      <c r="T3191" s="6" t="str">
        <f>INDEX(医院2县区2人!$D$2:$D$1048576,MATCH(L3191,医院2县区2人!$A$2:$A$1048576,0))</f>
        <v>201602151421097</v>
      </c>
      <c r="W3191" s="6" t="str">
        <f t="shared" si="101"/>
        <v>小儿氨酚黄那敏颗粒/护彤2g*12袋</v>
      </c>
      <c r="X3191" s="6" t="s">
        <v>2879</v>
      </c>
    </row>
    <row r="3192" spans="1:24" x14ac:dyDescent="0.15">
      <c r="A3192" s="7" t="str">
        <f t="shared" si="102"/>
        <v>201806</v>
      </c>
      <c r="C3192" s="6" t="str">
        <f>INDEX(工厂基础数据!$A$2:$A$1024,MATCH(X3192,工厂基础数据!$D$2:$D$1024,0))</f>
        <v>02010326</v>
      </c>
      <c r="E3192" s="6" t="str">
        <f>INDEX(工厂基础数据!$B$2:$B$1024,MATCH(X3192,工厂基础数据!$D$2:$D$1024,0))</f>
        <v>山东福华医药有限公司</v>
      </c>
      <c r="F3192" s="6">
        <f>INDEX(商业2转码!$B$2:$B$10000,MATCH(E3192,商业2转码!$A$2:$A$10000,0))</f>
        <v>0</v>
      </c>
      <c r="G3192" s="6" t="str">
        <f>INDEX(品种2编码!$A$2:$A$1048576,MATCH(W3192,品种2编码!$D$2:$D$1048576,0))</f>
        <v>0020030020SJSC0025</v>
      </c>
      <c r="H3192" s="6" t="s">
        <v>380</v>
      </c>
      <c r="I3192" s="6" t="s">
        <v>381</v>
      </c>
      <c r="J3192" s="6" t="s">
        <v>3787</v>
      </c>
      <c r="L3192" s="6" t="s">
        <v>3783</v>
      </c>
      <c r="M3192" s="6" t="e">
        <f>INDEX(医院2县区2人!$B$2:$B$1048576,MATCH(L3192,医院2县区2人!$A$2:$A$1048576,0))</f>
        <v>#N/A</v>
      </c>
      <c r="N3192" s="6" t="e">
        <f>INDEX(医院2县区2人!$C$2:$C$1048576,MATCH(L3192,医院2县区2人!$A$2:$A$1048576,0))</f>
        <v>#N/A</v>
      </c>
      <c r="P3192" s="7">
        <v>43255</v>
      </c>
      <c r="Q3192" s="6">
        <v>10</v>
      </c>
      <c r="R3192" s="6">
        <v>3.6</v>
      </c>
      <c r="S3192" s="6">
        <v>1705001</v>
      </c>
      <c r="T3192" s="6" t="e">
        <f>INDEX(医院2县区2人!$D$2:$D$1048576,MATCH(L3192,医院2县区2人!$A$2:$A$1048576,0))</f>
        <v>#N/A</v>
      </c>
      <c r="W3192" s="6" t="str">
        <f t="shared" si="101"/>
        <v>复方氨酚烷胺片12片</v>
      </c>
      <c r="X3192" s="6" t="s">
        <v>2879</v>
      </c>
    </row>
    <row r="3193" spans="1:24" x14ac:dyDescent="0.15">
      <c r="A3193" s="7" t="str">
        <f t="shared" si="102"/>
        <v>201806</v>
      </c>
      <c r="C3193" s="6" t="str">
        <f>INDEX(工厂基础数据!$A$2:$A$1024,MATCH(X3193,工厂基础数据!$D$2:$D$1024,0))</f>
        <v>02010326</v>
      </c>
      <c r="E3193" s="6" t="str">
        <f>INDEX(工厂基础数据!$B$2:$B$1024,MATCH(X3193,工厂基础数据!$D$2:$D$1024,0))</f>
        <v>山东福华医药有限公司</v>
      </c>
      <c r="F3193" s="6">
        <f>INDEX(商业2转码!$B$2:$B$10000,MATCH(E3193,商业2转码!$A$2:$A$10000,0))</f>
        <v>0</v>
      </c>
      <c r="G3193" s="6" t="str">
        <f>INDEX(品种2编码!$A$2:$A$1048576,MATCH(W3193,品种2编码!$D$2:$D$1048576,0))</f>
        <v>0020030020SJSC0025</v>
      </c>
      <c r="H3193" s="6" t="s">
        <v>380</v>
      </c>
      <c r="I3193" s="6" t="s">
        <v>381</v>
      </c>
      <c r="J3193" s="6" t="s">
        <v>3787</v>
      </c>
      <c r="L3193" s="6" t="s">
        <v>2833</v>
      </c>
      <c r="M3193" s="6">
        <f>INDEX(医院2县区2人!$B$2:$B$1048576,MATCH(L3193,医院2县区2人!$A$2:$A$1048576,0))</f>
        <v>2</v>
      </c>
      <c r="N3193" s="6" t="str">
        <f>INDEX(医院2县区2人!$C$2:$C$1048576,MATCH(L3193,医院2县区2人!$A$2:$A$1048576,0))</f>
        <v>1859</v>
      </c>
      <c r="P3193" s="7">
        <v>43255</v>
      </c>
      <c r="Q3193" s="6">
        <v>60</v>
      </c>
      <c r="R3193" s="6">
        <v>3.6</v>
      </c>
      <c r="S3193" s="6">
        <v>1705001</v>
      </c>
      <c r="T3193" s="6" t="str">
        <f>INDEX(医院2县区2人!$D$2:$D$1048576,MATCH(L3193,医院2县区2人!$A$2:$A$1048576,0))</f>
        <v>201602151421097</v>
      </c>
      <c r="W3193" s="6" t="str">
        <f t="shared" ref="W3193:W3213" si="103">H3193&amp;I3193</f>
        <v>复方氨酚烷胺片12片</v>
      </c>
      <c r="X3193" s="6" t="s">
        <v>2879</v>
      </c>
    </row>
    <row r="3194" spans="1:24" x14ac:dyDescent="0.15">
      <c r="A3194" s="7" t="str">
        <f t="shared" ref="A3194:A3213" si="104">IF(MONTH(P3194)&lt;10,YEAR(P3194)&amp;"0"&amp;MONTH(P3194),YEAR(P3194)&amp;MONTH(P3194))</f>
        <v>201806</v>
      </c>
      <c r="C3194" s="6" t="str">
        <f>INDEX(工厂基础数据!$A$2:$A$1024,MATCH(X3194,工厂基础数据!$D$2:$D$1024,0))</f>
        <v>02010326</v>
      </c>
      <c r="E3194" s="6" t="str">
        <f>INDEX(工厂基础数据!$B$2:$B$1024,MATCH(X3194,工厂基础数据!$D$2:$D$1024,0))</f>
        <v>山东福华医药有限公司</v>
      </c>
      <c r="F3194" s="6">
        <f>INDEX(商业2转码!$B$2:$B$10000,MATCH(E3194,商业2转码!$A$2:$A$10000,0))</f>
        <v>0</v>
      </c>
      <c r="G3194" s="6" t="str">
        <f>INDEX(品种2编码!$A$2:$A$1048576,MATCH(W3194,品种2编码!$D$2:$D$1048576,0))</f>
        <v>0020070000ZYLC0052</v>
      </c>
      <c r="H3194" s="6" t="s">
        <v>1844</v>
      </c>
      <c r="I3194" s="6" t="s">
        <v>411</v>
      </c>
      <c r="J3194" s="6" t="s">
        <v>3036</v>
      </c>
      <c r="L3194" s="6" t="s">
        <v>2080</v>
      </c>
      <c r="M3194" s="6">
        <f>INDEX(医院2县区2人!$B$2:$B$1048576,MATCH(L3194,医院2县区2人!$A$2:$A$1048576,0))</f>
        <v>2</v>
      </c>
      <c r="N3194" s="6" t="str">
        <f>INDEX(医院2县区2人!$C$2:$C$1048576,MATCH(L3194,医院2县区2人!$A$2:$A$1048576,0))</f>
        <v>1859</v>
      </c>
      <c r="P3194" s="7">
        <v>43255</v>
      </c>
      <c r="Q3194" s="6">
        <v>10</v>
      </c>
      <c r="R3194" s="6">
        <v>17</v>
      </c>
      <c r="S3194" s="6">
        <v>170523</v>
      </c>
      <c r="T3194" s="6" t="str">
        <f>INDEX(医院2县区2人!$D$2:$D$1048576,MATCH(L3194,医院2县区2人!$A$2:$A$1048576,0))</f>
        <v>201602151421097</v>
      </c>
      <c r="W3194" s="6" t="str">
        <f t="shared" si="103"/>
        <v>哈药六牌钙加锌口服液10ml*12支</v>
      </c>
      <c r="X3194" s="6" t="s">
        <v>2879</v>
      </c>
    </row>
    <row r="3195" spans="1:24" x14ac:dyDescent="0.15">
      <c r="A3195" s="7" t="str">
        <f t="shared" si="104"/>
        <v>201806</v>
      </c>
      <c r="C3195" s="6" t="str">
        <f>INDEX(工厂基础数据!$A$2:$A$1024,MATCH(X3195,工厂基础数据!$D$2:$D$1024,0))</f>
        <v>02010326</v>
      </c>
      <c r="E3195" s="6" t="str">
        <f>INDEX(工厂基础数据!$B$2:$B$1024,MATCH(X3195,工厂基础数据!$D$2:$D$1024,0))</f>
        <v>山东福华医药有限公司</v>
      </c>
      <c r="F3195" s="6">
        <f>INDEX(商业2转码!$B$2:$B$10000,MATCH(E3195,商业2转码!$A$2:$A$10000,0))</f>
        <v>0</v>
      </c>
      <c r="G3195" s="6" t="str">
        <f>INDEX(品种2编码!$A$2:$A$1048576,MATCH(W3195,品种2编码!$D$2:$D$1048576,0))</f>
        <v>0020070000ZYLC0001</v>
      </c>
      <c r="H3195" s="6" t="s">
        <v>1837</v>
      </c>
      <c r="I3195" s="6" t="s">
        <v>1838</v>
      </c>
      <c r="J3195" s="6" t="s">
        <v>3036</v>
      </c>
      <c r="L3195" s="6" t="s">
        <v>2575</v>
      </c>
      <c r="M3195" s="6">
        <f>INDEX(医院2县区2人!$B$2:$B$1048576,MATCH(L3195,医院2县区2人!$A$2:$A$1048576,0))</f>
        <v>2</v>
      </c>
      <c r="N3195" s="6" t="str">
        <f>INDEX(医院2县区2人!$C$2:$C$1048576,MATCH(L3195,医院2县区2人!$A$2:$A$1048576,0))</f>
        <v>1859</v>
      </c>
      <c r="P3195" s="7">
        <v>43255</v>
      </c>
      <c r="Q3195" s="6">
        <v>4</v>
      </c>
      <c r="R3195" s="6">
        <v>24</v>
      </c>
      <c r="S3195" s="6">
        <v>180104</v>
      </c>
      <c r="T3195" s="6" t="str">
        <f>INDEX(医院2县区2人!$D$2:$D$1048576,MATCH(L3195,医院2县区2人!$A$2:$A$1048576,0))</f>
        <v>201602151421097</v>
      </c>
      <c r="W3195" s="6" t="str">
        <f t="shared" si="103"/>
        <v>新盖中盖高钙片(成人)/盖中盖2.5g*36片</v>
      </c>
      <c r="X3195" s="6" t="s">
        <v>2879</v>
      </c>
    </row>
    <row r="3196" spans="1:24" x14ac:dyDescent="0.15">
      <c r="A3196" s="7" t="str">
        <f t="shared" si="104"/>
        <v>201806</v>
      </c>
      <c r="C3196" s="6" t="str">
        <f>INDEX(工厂基础数据!$A$2:$A$1024,MATCH(X3196,工厂基础数据!$D$2:$D$1024,0))</f>
        <v>02010326</v>
      </c>
      <c r="E3196" s="6" t="str">
        <f>INDEX(工厂基础数据!$B$2:$B$1024,MATCH(X3196,工厂基础数据!$D$2:$D$1024,0))</f>
        <v>山东福华医药有限公司</v>
      </c>
      <c r="F3196" s="6">
        <f>INDEX(商业2转码!$B$2:$B$10000,MATCH(E3196,商业2转码!$A$2:$A$10000,0))</f>
        <v>0</v>
      </c>
      <c r="G3196" s="6" t="str">
        <f>INDEX(品种2编码!$A$2:$A$1048576,MATCH(W3196,品种2编码!$D$2:$D$1048576,0))</f>
        <v>0020040220SHYT0004</v>
      </c>
      <c r="H3196" s="6" t="s">
        <v>1857</v>
      </c>
      <c r="I3196" s="6" t="s">
        <v>1858</v>
      </c>
      <c r="J3196" s="6" t="s">
        <v>3037</v>
      </c>
      <c r="L3196" s="6" t="s">
        <v>2059</v>
      </c>
      <c r="M3196" s="6">
        <f>INDEX(医院2县区2人!$B$2:$B$1048576,MATCH(L3196,医院2县区2人!$A$2:$A$1048576,0))</f>
        <v>1</v>
      </c>
      <c r="N3196" s="6" t="str">
        <f>INDEX(医院2县区2人!$C$2:$C$1048576,MATCH(L3196,医院2县区2人!$A$2:$A$1048576,0))</f>
        <v>1859</v>
      </c>
      <c r="P3196" s="7">
        <v>43255</v>
      </c>
      <c r="Q3196" s="6">
        <v>3</v>
      </c>
      <c r="R3196" s="6">
        <v>15.36</v>
      </c>
      <c r="S3196" s="6">
        <v>1803420</v>
      </c>
      <c r="T3196" s="6" t="str">
        <f>INDEX(医院2县区2人!$D$2:$D$1048576,MATCH(L3196,医院2县区2人!$A$2:$A$1048576,0))</f>
        <v>201602151421097</v>
      </c>
      <c r="W3196" s="6" t="str">
        <f t="shared" si="103"/>
        <v>妇宁栓1.6克*8粒</v>
      </c>
      <c r="X3196" s="6" t="s">
        <v>2879</v>
      </c>
    </row>
    <row r="3197" spans="1:24" x14ac:dyDescent="0.15">
      <c r="A3197" s="7" t="str">
        <f t="shared" si="104"/>
        <v>201806</v>
      </c>
      <c r="C3197" s="6" t="str">
        <f>INDEX(工厂基础数据!$A$2:$A$1024,MATCH(X3197,工厂基础数据!$D$2:$D$1024,0))</f>
        <v>02010326</v>
      </c>
      <c r="E3197" s="6" t="str">
        <f>INDEX(工厂基础数据!$B$2:$B$1024,MATCH(X3197,工厂基础数据!$D$2:$D$1024,0))</f>
        <v>山东福华医药有限公司</v>
      </c>
      <c r="F3197" s="6">
        <f>INDEX(商业2转码!$B$2:$B$10000,MATCH(E3197,商业2转码!$A$2:$A$10000,0))</f>
        <v>0</v>
      </c>
      <c r="G3197" s="6" t="str">
        <f>INDEX(品种2编码!$A$2:$A$1048576,MATCH(W3197,品种2编码!$D$2:$D$1048576,0))</f>
        <v>0020070000ZYLC0052</v>
      </c>
      <c r="H3197" s="6" t="s">
        <v>1844</v>
      </c>
      <c r="I3197" s="6" t="s">
        <v>411</v>
      </c>
      <c r="J3197" s="6" t="s">
        <v>3036</v>
      </c>
      <c r="L3197" s="6" t="s">
        <v>3784</v>
      </c>
      <c r="M3197" s="6" t="e">
        <f>INDEX(医院2县区2人!$B$2:$B$1048576,MATCH(L3197,医院2县区2人!$A$2:$A$1048576,0))</f>
        <v>#N/A</v>
      </c>
      <c r="N3197" s="6" t="e">
        <f>INDEX(医院2县区2人!$C$2:$C$1048576,MATCH(L3197,医院2县区2人!$A$2:$A$1048576,0))</f>
        <v>#N/A</v>
      </c>
      <c r="P3197" s="7">
        <v>43253</v>
      </c>
      <c r="Q3197" s="6">
        <v>2</v>
      </c>
      <c r="R3197" s="6">
        <v>17</v>
      </c>
      <c r="S3197" s="6">
        <v>170523</v>
      </c>
      <c r="T3197" s="6" t="e">
        <f>INDEX(医院2县区2人!$D$2:$D$1048576,MATCH(L3197,医院2县区2人!$A$2:$A$1048576,0))</f>
        <v>#N/A</v>
      </c>
      <c r="W3197" s="6" t="str">
        <f t="shared" si="103"/>
        <v>哈药六牌钙加锌口服液10ml*12支</v>
      </c>
      <c r="X3197" s="6" t="s">
        <v>2879</v>
      </c>
    </row>
    <row r="3198" spans="1:24" x14ac:dyDescent="0.15">
      <c r="A3198" s="7" t="str">
        <f t="shared" si="104"/>
        <v>201806</v>
      </c>
      <c r="C3198" s="6" t="str">
        <f>INDEX(工厂基础数据!$A$2:$A$1024,MATCH(X3198,工厂基础数据!$D$2:$D$1024,0))</f>
        <v>02010326</v>
      </c>
      <c r="E3198" s="6" t="str">
        <f>INDEX(工厂基础数据!$B$2:$B$1024,MATCH(X3198,工厂基础数据!$D$2:$D$1024,0))</f>
        <v>山东福华医药有限公司</v>
      </c>
      <c r="F3198" s="6">
        <f>INDEX(商业2转码!$B$2:$B$10000,MATCH(E3198,商业2转码!$A$2:$A$10000,0))</f>
        <v>0</v>
      </c>
      <c r="G3198" s="6" t="str">
        <f>INDEX(品种2编码!$A$2:$A$1048576,MATCH(W3198,品种2编码!$D$2:$D$1048576,0))</f>
        <v>0020020030ZYZC0264</v>
      </c>
      <c r="H3198" s="6" t="s">
        <v>1859</v>
      </c>
      <c r="I3198" s="6" t="s">
        <v>254</v>
      </c>
      <c r="J3198" s="6" t="s">
        <v>3038</v>
      </c>
      <c r="L3198" s="6" t="s">
        <v>2135</v>
      </c>
      <c r="M3198" s="6">
        <f>INDEX(医院2县区2人!$B$2:$B$1048576,MATCH(L3198,医院2县区2人!$A$2:$A$1048576,0))</f>
        <v>2</v>
      </c>
      <c r="N3198" s="6" t="str">
        <f>INDEX(医院2县区2人!$C$2:$C$1048576,MATCH(L3198,医院2县区2人!$A$2:$A$1048576,0))</f>
        <v>1859</v>
      </c>
      <c r="P3198" s="7">
        <v>43253</v>
      </c>
      <c r="Q3198" s="6">
        <v>20</v>
      </c>
      <c r="R3198" s="6">
        <v>8</v>
      </c>
      <c r="S3198" s="6" t="s">
        <v>3788</v>
      </c>
      <c r="T3198" s="6" t="str">
        <f>INDEX(医院2县区2人!$D$2:$D$1048576,MATCH(L3198,医院2县区2人!$A$2:$A$1048576,0))</f>
        <v>201602151421097</v>
      </c>
      <c r="W3198" s="6" t="str">
        <f t="shared" si="103"/>
        <v>阿莫西林胶囊/益萨林0.5g*20粒</v>
      </c>
      <c r="X3198" s="6" t="s">
        <v>2879</v>
      </c>
    </row>
    <row r="3199" spans="1:24" x14ac:dyDescent="0.15">
      <c r="A3199" s="7" t="str">
        <f t="shared" si="104"/>
        <v>201806</v>
      </c>
      <c r="C3199" s="6" t="str">
        <f>INDEX(工厂基础数据!$A$2:$A$1024,MATCH(X3199,工厂基础数据!$D$2:$D$1024,0))</f>
        <v>02010326</v>
      </c>
      <c r="E3199" s="6" t="str">
        <f>INDEX(工厂基础数据!$B$2:$B$1024,MATCH(X3199,工厂基础数据!$D$2:$D$1024,0))</f>
        <v>山东福华医药有限公司</v>
      </c>
      <c r="F3199" s="6">
        <f>INDEX(商业2转码!$B$2:$B$10000,MATCH(E3199,商业2转码!$A$2:$A$10000,0))</f>
        <v>0</v>
      </c>
      <c r="G3199" s="6" t="str">
        <f>INDEX(品种2编码!$A$2:$A$1048576,MATCH(W3199,品种2编码!$D$2:$D$1048576,0))</f>
        <v>0020020020ZYLC0003</v>
      </c>
      <c r="H3199" s="6" t="s">
        <v>1855</v>
      </c>
      <c r="I3199" s="6" t="s">
        <v>381</v>
      </c>
      <c r="J3199" s="6" t="s">
        <v>3036</v>
      </c>
      <c r="L3199" s="6" t="s">
        <v>2065</v>
      </c>
      <c r="M3199" s="6">
        <f>INDEX(医院2县区2人!$B$2:$B$1048576,MATCH(L3199,医院2县区2人!$A$2:$A$1048576,0))</f>
        <v>1</v>
      </c>
      <c r="N3199" s="6" t="str">
        <f>INDEX(医院2县区2人!$C$2:$C$1048576,MATCH(L3199,医院2县区2人!$A$2:$A$1048576,0))</f>
        <v>1859</v>
      </c>
      <c r="P3199" s="7">
        <v>43253</v>
      </c>
      <c r="Q3199" s="6">
        <v>10</v>
      </c>
      <c r="R3199" s="6">
        <v>5.5754999999999999</v>
      </c>
      <c r="S3199" s="6">
        <v>161002</v>
      </c>
      <c r="T3199" s="6" t="str">
        <f>INDEX(医院2县区2人!$D$2:$D$1048576,MATCH(L3199,医院2县区2人!$A$2:$A$1048576,0))</f>
        <v>201602151421097</v>
      </c>
      <c r="W3199" s="6" t="str">
        <f t="shared" si="103"/>
        <v>颠茄磺苄啶片12片</v>
      </c>
      <c r="X3199" s="6" t="s">
        <v>2879</v>
      </c>
    </row>
    <row r="3200" spans="1:24" x14ac:dyDescent="0.15">
      <c r="A3200" s="7" t="str">
        <f t="shared" si="104"/>
        <v>201806</v>
      </c>
      <c r="C3200" s="6" t="str">
        <f>INDEX(工厂基础数据!$A$2:$A$1024,MATCH(X3200,工厂基础数据!$D$2:$D$1024,0))</f>
        <v>02010326</v>
      </c>
      <c r="E3200" s="6" t="str">
        <f>INDEX(工厂基础数据!$B$2:$B$1024,MATCH(X3200,工厂基础数据!$D$2:$D$1024,0))</f>
        <v>山东福华医药有限公司</v>
      </c>
      <c r="F3200" s="6">
        <f>INDEX(商业2转码!$B$2:$B$10000,MATCH(E3200,商业2转码!$A$2:$A$10000,0))</f>
        <v>0</v>
      </c>
      <c r="G3200" s="6" t="str">
        <f>INDEX(品种2编码!$A$2:$A$1048576,MATCH(W3200,品种2编码!$D$2:$D$1048576,0))</f>
        <v>0020040020SHYT0007</v>
      </c>
      <c r="H3200" s="6" t="s">
        <v>338</v>
      </c>
      <c r="I3200" s="6" t="s">
        <v>1866</v>
      </c>
      <c r="J3200" s="6" t="s">
        <v>3037</v>
      </c>
      <c r="L3200" s="6" t="s">
        <v>2064</v>
      </c>
      <c r="M3200" s="6">
        <f>INDEX(医院2县区2人!$B$2:$B$1048576,MATCH(L3200,医院2县区2人!$A$2:$A$1048576,0))</f>
        <v>1</v>
      </c>
      <c r="N3200" s="6" t="str">
        <f>INDEX(医院2县区2人!$C$2:$C$1048576,MATCH(L3200,医院2县区2人!$A$2:$A$1048576,0))</f>
        <v>1859</v>
      </c>
      <c r="P3200" s="7">
        <v>43252</v>
      </c>
      <c r="Q3200" s="6">
        <v>2</v>
      </c>
      <c r="R3200" s="6">
        <v>17.760000000000002</v>
      </c>
      <c r="S3200" s="6">
        <v>1707501</v>
      </c>
      <c r="T3200" s="6" t="str">
        <f>INDEX(医院2县区2人!$D$2:$D$1048576,MATCH(L3200,医院2县区2人!$A$2:$A$1048576,0))</f>
        <v>201602151421097</v>
      </c>
      <c r="W3200" s="6" t="str">
        <f t="shared" si="103"/>
        <v>丹佛胃尔康颗粒10g*6袋</v>
      </c>
      <c r="X3200" s="6" t="s">
        <v>2879</v>
      </c>
    </row>
    <row r="3201" spans="1:24" x14ac:dyDescent="0.15">
      <c r="A3201" s="7" t="str">
        <f t="shared" si="104"/>
        <v>201806</v>
      </c>
      <c r="C3201" s="6" t="str">
        <f>INDEX(工厂基础数据!$A$2:$A$1024,MATCH(X3201,工厂基础数据!$D$2:$D$1024,0))</f>
        <v>02010326</v>
      </c>
      <c r="E3201" s="6" t="str">
        <f>INDEX(工厂基础数据!$B$2:$B$1024,MATCH(X3201,工厂基础数据!$D$2:$D$1024,0))</f>
        <v>山东福华医药有限公司</v>
      </c>
      <c r="F3201" s="6">
        <f>INDEX(商业2转码!$B$2:$B$10000,MATCH(E3201,商业2转码!$A$2:$A$10000,0))</f>
        <v>0</v>
      </c>
      <c r="G3201" s="6" t="str">
        <f>INDEX(品种2编码!$A$2:$A$1048576,MATCH(W3201,品种2编码!$D$2:$D$1048576,0))</f>
        <v>0020030020SJSC0025</v>
      </c>
      <c r="H3201" s="6" t="s">
        <v>380</v>
      </c>
      <c r="I3201" s="6" t="s">
        <v>381</v>
      </c>
      <c r="J3201" s="6" t="s">
        <v>3787</v>
      </c>
      <c r="L3201" s="6" t="s">
        <v>2174</v>
      </c>
      <c r="M3201" s="6">
        <f>INDEX(医院2县区2人!$B$2:$B$1048576,MATCH(L3201,医院2县区2人!$A$2:$A$1048576,0))</f>
        <v>2</v>
      </c>
      <c r="N3201" s="6" t="str">
        <f>INDEX(医院2县区2人!$C$2:$C$1048576,MATCH(L3201,医院2县区2人!$A$2:$A$1048576,0))</f>
        <v>1859</v>
      </c>
      <c r="P3201" s="7">
        <v>43252</v>
      </c>
      <c r="Q3201" s="6">
        <v>10</v>
      </c>
      <c r="R3201" s="6">
        <v>3.6</v>
      </c>
      <c r="S3201" s="6">
        <v>1705001</v>
      </c>
      <c r="T3201" s="6" t="str">
        <f>INDEX(医院2县区2人!$D$2:$D$1048576,MATCH(L3201,医院2县区2人!$A$2:$A$1048576,0))</f>
        <v>201602151421097</v>
      </c>
      <c r="W3201" s="6" t="str">
        <f t="shared" si="103"/>
        <v>复方氨酚烷胺片12片</v>
      </c>
      <c r="X3201" s="6" t="s">
        <v>2879</v>
      </c>
    </row>
    <row r="3202" spans="1:24" x14ac:dyDescent="0.15">
      <c r="A3202" s="7" t="str">
        <f t="shared" si="104"/>
        <v>201806</v>
      </c>
      <c r="C3202" s="6" t="str">
        <f>INDEX(工厂基础数据!$A$2:$A$1024,MATCH(X3202,工厂基础数据!$D$2:$D$1024,0))</f>
        <v>02010326</v>
      </c>
      <c r="E3202" s="6" t="str">
        <f>INDEX(工厂基础数据!$B$2:$B$1024,MATCH(X3202,工厂基础数据!$D$2:$D$1024,0))</f>
        <v>山东福华医药有限公司</v>
      </c>
      <c r="F3202" s="6">
        <f>INDEX(商业2转码!$B$2:$B$10000,MATCH(E3202,商业2转码!$A$2:$A$10000,0))</f>
        <v>0</v>
      </c>
      <c r="G3202" s="6" t="str">
        <f>INDEX(品种2编码!$A$2:$A$1048576,MATCH(W3202,品种2编码!$D$2:$D$1048576,0))</f>
        <v>0020070000ZYLC0001</v>
      </c>
      <c r="H3202" s="6" t="s">
        <v>1837</v>
      </c>
      <c r="I3202" s="6" t="s">
        <v>1838</v>
      </c>
      <c r="J3202" s="6" t="s">
        <v>3036</v>
      </c>
      <c r="L3202" s="6" t="s">
        <v>2091</v>
      </c>
      <c r="M3202" s="6">
        <f>INDEX(医院2县区2人!$B$2:$B$1048576,MATCH(L3202,医院2县区2人!$A$2:$A$1048576,0))</f>
        <v>1</v>
      </c>
      <c r="N3202" s="6" t="str">
        <f>INDEX(医院2县区2人!$C$2:$C$1048576,MATCH(L3202,医院2县区2人!$A$2:$A$1048576,0))</f>
        <v>1859</v>
      </c>
      <c r="P3202" s="7">
        <v>43252</v>
      </c>
      <c r="Q3202" s="6">
        <v>2</v>
      </c>
      <c r="R3202" s="6">
        <v>23.04</v>
      </c>
      <c r="S3202" s="6">
        <v>180104</v>
      </c>
      <c r="T3202" s="6" t="str">
        <f>INDEX(医院2县区2人!$D$2:$D$1048576,MATCH(L3202,医院2县区2人!$A$2:$A$1048576,0))</f>
        <v>201602151421097</v>
      </c>
      <c r="W3202" s="6" t="str">
        <f t="shared" si="103"/>
        <v>新盖中盖高钙片(成人)/盖中盖2.5g*36片</v>
      </c>
      <c r="X3202" s="6" t="s">
        <v>2879</v>
      </c>
    </row>
    <row r="3203" spans="1:24" x14ac:dyDescent="0.15">
      <c r="A3203" s="7" t="str">
        <f t="shared" si="104"/>
        <v>201806</v>
      </c>
      <c r="C3203" s="6" t="str">
        <f>INDEX(工厂基础数据!$A$2:$A$1024,MATCH(X3203,工厂基础数据!$D$2:$D$1024,0))</f>
        <v>02010326</v>
      </c>
      <c r="E3203" s="6" t="str">
        <f>INDEX(工厂基础数据!$B$2:$B$1024,MATCH(X3203,工厂基础数据!$D$2:$D$1024,0))</f>
        <v>山东福华医药有限公司</v>
      </c>
      <c r="F3203" s="6">
        <f>INDEX(商业2转码!$B$2:$B$10000,MATCH(E3203,商业2转码!$A$2:$A$10000,0))</f>
        <v>0</v>
      </c>
      <c r="G3203" s="6" t="str">
        <f>INDEX(品种2编码!$A$2:$A$1048576,MATCH(W3203,品种2编码!$D$2:$D$1048576,0))</f>
        <v>0020050090ZYEC0005</v>
      </c>
      <c r="H3203" s="6" t="s">
        <v>581</v>
      </c>
      <c r="I3203" s="6" t="s">
        <v>1850</v>
      </c>
      <c r="J3203" s="6" t="s">
        <v>3041</v>
      </c>
      <c r="L3203" s="6" t="s">
        <v>2091</v>
      </c>
      <c r="M3203" s="6">
        <f>INDEX(医院2县区2人!$B$2:$B$1048576,MATCH(L3203,医院2县区2人!$A$2:$A$1048576,0))</f>
        <v>1</v>
      </c>
      <c r="N3203" s="6" t="str">
        <f>INDEX(医院2县区2人!$C$2:$C$1048576,MATCH(L3203,医院2县区2人!$A$2:$A$1048576,0))</f>
        <v>1859</v>
      </c>
      <c r="P3203" s="7">
        <v>43252</v>
      </c>
      <c r="Q3203" s="6">
        <v>3</v>
      </c>
      <c r="R3203" s="6">
        <v>13.25</v>
      </c>
      <c r="S3203" s="6">
        <v>180201</v>
      </c>
      <c r="T3203" s="6" t="str">
        <f>INDEX(医院2县区2人!$D$2:$D$1048576,MATCH(L3203,医院2县区2人!$A$2:$A$1048576,0))</f>
        <v>201602151421097</v>
      </c>
      <c r="W3203" s="6" t="str">
        <f t="shared" si="103"/>
        <v>清热解毒口服液10ml*10支</v>
      </c>
      <c r="X3203" s="6" t="s">
        <v>2879</v>
      </c>
    </row>
    <row r="3204" spans="1:24" x14ac:dyDescent="0.15">
      <c r="A3204" s="7" t="str">
        <f t="shared" si="104"/>
        <v>201806</v>
      </c>
      <c r="C3204" s="6" t="str">
        <f>INDEX(工厂基础数据!$A$2:$A$1024,MATCH(X3204,工厂基础数据!$D$2:$D$1024,0))</f>
        <v>02010326</v>
      </c>
      <c r="E3204" s="6" t="str">
        <f>INDEX(工厂基础数据!$B$2:$B$1024,MATCH(X3204,工厂基础数据!$D$2:$D$1024,0))</f>
        <v>山东福华医药有限公司</v>
      </c>
      <c r="F3204" s="6">
        <f>INDEX(商业2转码!$B$2:$B$10000,MATCH(E3204,商业2转码!$A$2:$A$10000,0))</f>
        <v>0</v>
      </c>
      <c r="G3204" s="6" t="str">
        <f>INDEX(品种2编码!$A$2:$A$1048576,MATCH(W3204,品种2编码!$D$2:$D$1048576,0))</f>
        <v>0020050020SHYT0016</v>
      </c>
      <c r="H3204" s="6" t="s">
        <v>1864</v>
      </c>
      <c r="I3204" s="6" t="s">
        <v>339</v>
      </c>
      <c r="J3204" s="6" t="s">
        <v>3037</v>
      </c>
      <c r="L3204" s="6" t="s">
        <v>2092</v>
      </c>
      <c r="M3204" s="6">
        <f>INDEX(医院2县区2人!$B$2:$B$1048576,MATCH(L3204,医院2县区2人!$A$2:$A$1048576,0))</f>
        <v>1</v>
      </c>
      <c r="N3204" s="6" t="str">
        <f>INDEX(医院2县区2人!$C$2:$C$1048576,MATCH(L3204,医院2县区2人!$A$2:$A$1048576,0))</f>
        <v>1859</v>
      </c>
      <c r="P3204" s="7">
        <v>43252</v>
      </c>
      <c r="Q3204" s="6">
        <v>5</v>
      </c>
      <c r="R3204" s="6">
        <v>12.45</v>
      </c>
      <c r="S3204" s="6">
        <v>1702507</v>
      </c>
      <c r="T3204" s="6" t="str">
        <f>INDEX(医院2县区2人!$D$2:$D$1048576,MATCH(L3204,医院2县区2人!$A$2:$A$1048576,0))</f>
        <v>201602151421097</v>
      </c>
      <c r="W3204" s="6" t="str">
        <f t="shared" si="103"/>
        <v>复方金银花颗粒10g*10袋</v>
      </c>
      <c r="X3204" s="6" t="s">
        <v>2879</v>
      </c>
    </row>
    <row r="3205" spans="1:24" x14ac:dyDescent="0.15">
      <c r="A3205" s="7" t="str">
        <f t="shared" si="104"/>
        <v>201806</v>
      </c>
      <c r="C3205" s="6" t="str">
        <f>INDEX(工厂基础数据!$A$2:$A$1024,MATCH(X3205,工厂基础数据!$D$2:$D$1024,0))</f>
        <v>02010326</v>
      </c>
      <c r="E3205" s="6" t="str">
        <f>INDEX(工厂基础数据!$B$2:$B$1024,MATCH(X3205,工厂基础数据!$D$2:$D$1024,0))</f>
        <v>山东福华医药有限公司</v>
      </c>
      <c r="F3205" s="6">
        <f>INDEX(商业2转码!$B$2:$B$10000,MATCH(E3205,商业2转码!$A$2:$A$10000,0))</f>
        <v>0</v>
      </c>
      <c r="G3205" s="6" t="str">
        <f>INDEX(品种2编码!$A$2:$A$1048576,MATCH(W3205,品种2编码!$D$2:$D$1048576,0))</f>
        <v>0020020030ZYZC0510</v>
      </c>
      <c r="H3205" s="6" t="s">
        <v>543</v>
      </c>
      <c r="I3205" s="6" t="s">
        <v>1834</v>
      </c>
      <c r="J3205" s="6" t="s">
        <v>3038</v>
      </c>
      <c r="L3205" s="6" t="s">
        <v>2102</v>
      </c>
      <c r="M3205" s="6">
        <f>INDEX(医院2县区2人!$B$2:$B$1048576,MATCH(L3205,医院2县区2人!$A$2:$A$1048576,0))</f>
        <v>1</v>
      </c>
      <c r="N3205" s="6" t="str">
        <f>INDEX(医院2县区2人!$C$2:$C$1048576,MATCH(L3205,医院2县区2人!$A$2:$A$1048576,0))</f>
        <v>1859</v>
      </c>
      <c r="P3205" s="7">
        <v>43252</v>
      </c>
      <c r="Q3205" s="6">
        <v>10</v>
      </c>
      <c r="R3205" s="6">
        <v>2.85</v>
      </c>
      <c r="S3205" s="6" t="s">
        <v>3789</v>
      </c>
      <c r="T3205" s="6" t="str">
        <f>INDEX(医院2县区2人!$D$2:$D$1048576,MATCH(L3205,医院2县区2人!$A$2:$A$1048576,0))</f>
        <v>201602151421097</v>
      </c>
      <c r="W3205" s="6" t="str">
        <f t="shared" si="103"/>
        <v>诺氟沙星胶囊0.1g*20粒</v>
      </c>
      <c r="X3205" s="6" t="s">
        <v>2879</v>
      </c>
    </row>
    <row r="3206" spans="1:24" x14ac:dyDescent="0.15">
      <c r="A3206" s="7" t="str">
        <f t="shared" si="104"/>
        <v>201806</v>
      </c>
      <c r="C3206" s="6" t="str">
        <f>INDEX(工厂基础数据!$A$2:$A$1024,MATCH(X3206,工厂基础数据!$D$2:$D$1024,0))</f>
        <v>02010326</v>
      </c>
      <c r="E3206" s="6" t="str">
        <f>INDEX(工厂基础数据!$B$2:$B$1024,MATCH(X3206,工厂基础数据!$D$2:$D$1024,0))</f>
        <v>山东福华医药有限公司</v>
      </c>
      <c r="F3206" s="6">
        <f>INDEX(商业2转码!$B$2:$B$10000,MATCH(E3206,商业2转码!$A$2:$A$10000,0))</f>
        <v>0</v>
      </c>
      <c r="G3206" s="6" t="str">
        <f>INDEX(品种2编码!$A$2:$A$1048576,MATCH(W3206,品种2编码!$D$2:$D$1048576,0))</f>
        <v>0020020020SJMS0008</v>
      </c>
      <c r="H3206" s="6" t="s">
        <v>1872</v>
      </c>
      <c r="I3206" s="6" t="s">
        <v>1873</v>
      </c>
      <c r="J3206" s="6" t="s">
        <v>3044</v>
      </c>
      <c r="L3206" s="6" t="s">
        <v>2085</v>
      </c>
      <c r="M3206" s="6">
        <f>INDEX(医院2县区2人!$B$2:$B$1048576,MATCH(L3206,医院2县区2人!$A$2:$A$1048576,0))</f>
        <v>1</v>
      </c>
      <c r="N3206" s="6" t="str">
        <f>INDEX(医院2县区2人!$C$2:$C$1048576,MATCH(L3206,医院2县区2人!$A$2:$A$1048576,0))</f>
        <v>1859</v>
      </c>
      <c r="P3206" s="7">
        <v>43252</v>
      </c>
      <c r="Q3206" s="6">
        <v>10</v>
      </c>
      <c r="R3206" s="6">
        <v>25.44</v>
      </c>
      <c r="S3206" s="6">
        <v>1801004</v>
      </c>
      <c r="T3206" s="6" t="str">
        <f>INDEX(医院2县区2人!$D$2:$D$1048576,MATCH(L3206,医院2县区2人!$A$2:$A$1048576,0))</f>
        <v>201602151421097</v>
      </c>
      <c r="W3206" s="6" t="str">
        <f t="shared" si="103"/>
        <v>拉西地平片/司乐平4mg*15片</v>
      </c>
      <c r="X3206" s="6" t="s">
        <v>2879</v>
      </c>
    </row>
    <row r="3207" spans="1:24" x14ac:dyDescent="0.15">
      <c r="A3207" s="7" t="str">
        <f t="shared" si="104"/>
        <v>201806</v>
      </c>
      <c r="C3207" s="6" t="str">
        <f>INDEX(工厂基础数据!$A$2:$A$1024,MATCH(X3207,工厂基础数据!$D$2:$D$1024,0))</f>
        <v>02010326</v>
      </c>
      <c r="E3207" s="6" t="str">
        <f>INDEX(工厂基础数据!$B$2:$B$1024,MATCH(X3207,工厂基础数据!$D$2:$D$1024,0))</f>
        <v>山东福华医药有限公司</v>
      </c>
      <c r="F3207" s="6">
        <f>INDEX(商业2转码!$B$2:$B$10000,MATCH(E3207,商业2转码!$A$2:$A$10000,0))</f>
        <v>0</v>
      </c>
      <c r="G3207" s="6" t="str">
        <f>INDEX(品种2编码!$A$2:$A$1048576,MATCH(W3207,品种2编码!$D$2:$D$1048576,0))</f>
        <v>0020070000ZYLC0052</v>
      </c>
      <c r="H3207" s="6" t="s">
        <v>1844</v>
      </c>
      <c r="I3207" s="6" t="s">
        <v>411</v>
      </c>
      <c r="J3207" s="6" t="s">
        <v>3036</v>
      </c>
      <c r="L3207" s="6" t="s">
        <v>2575</v>
      </c>
      <c r="M3207" s="6">
        <f>INDEX(医院2县区2人!$B$2:$B$1048576,MATCH(L3207,医院2县区2人!$A$2:$A$1048576,0))</f>
        <v>2</v>
      </c>
      <c r="N3207" s="6" t="str">
        <f>INDEX(医院2县区2人!$C$2:$C$1048576,MATCH(L3207,医院2县区2人!$A$2:$A$1048576,0))</f>
        <v>1859</v>
      </c>
      <c r="P3207" s="7">
        <v>43252</v>
      </c>
      <c r="Q3207" s="6">
        <v>10</v>
      </c>
      <c r="R3207" s="6">
        <v>21.8</v>
      </c>
      <c r="S3207" s="6">
        <v>170523</v>
      </c>
      <c r="T3207" s="6" t="str">
        <f>INDEX(医院2县区2人!$D$2:$D$1048576,MATCH(L3207,医院2县区2人!$A$2:$A$1048576,0))</f>
        <v>201602151421097</v>
      </c>
      <c r="W3207" s="6" t="str">
        <f t="shared" si="103"/>
        <v>哈药六牌钙加锌口服液10ml*12支</v>
      </c>
      <c r="X3207" s="6" t="s">
        <v>2879</v>
      </c>
    </row>
    <row r="3208" spans="1:24" x14ac:dyDescent="0.15">
      <c r="A3208" s="7" t="str">
        <f t="shared" si="104"/>
        <v>201806</v>
      </c>
      <c r="C3208" s="6" t="str">
        <f>INDEX(工厂基础数据!$A$2:$A$1024,MATCH(X3208,工厂基础数据!$D$2:$D$1024,0))</f>
        <v>02010326</v>
      </c>
      <c r="E3208" s="6" t="str">
        <f>INDEX(工厂基础数据!$B$2:$B$1024,MATCH(X3208,工厂基础数据!$D$2:$D$1024,0))</f>
        <v>山东福华医药有限公司</v>
      </c>
      <c r="F3208" s="6">
        <f>INDEX(商业2转码!$B$2:$B$10000,MATCH(E3208,商业2转码!$A$2:$A$10000,0))</f>
        <v>0</v>
      </c>
      <c r="G3208" s="6" t="str">
        <f>INDEX(品种2编码!$A$2:$A$1048576,MATCH(W3208,品种2编码!$D$2:$D$1048576,0))</f>
        <v>0020040220SHYT0004</v>
      </c>
      <c r="H3208" s="6" t="s">
        <v>1857</v>
      </c>
      <c r="I3208" s="6" t="s">
        <v>1858</v>
      </c>
      <c r="J3208" s="6" t="s">
        <v>3037</v>
      </c>
      <c r="L3208" s="6" t="s">
        <v>2087</v>
      </c>
      <c r="M3208" s="6">
        <f>INDEX(医院2县区2人!$B$2:$B$1048576,MATCH(L3208,医院2县区2人!$A$2:$A$1048576,0))</f>
        <v>1</v>
      </c>
      <c r="N3208" s="6" t="str">
        <f>INDEX(医院2县区2人!$C$2:$C$1048576,MATCH(L3208,医院2县区2人!$A$2:$A$1048576,0))</f>
        <v>1859</v>
      </c>
      <c r="P3208" s="7">
        <v>43252</v>
      </c>
      <c r="Q3208" s="6">
        <v>5</v>
      </c>
      <c r="R3208" s="6">
        <v>15.36</v>
      </c>
      <c r="S3208" s="6">
        <v>1803420</v>
      </c>
      <c r="T3208" s="6" t="str">
        <f>INDEX(医院2县区2人!$D$2:$D$1048576,MATCH(L3208,医院2县区2人!$A$2:$A$1048576,0))</f>
        <v>201602151421097</v>
      </c>
      <c r="W3208" s="6" t="str">
        <f t="shared" si="103"/>
        <v>妇宁栓1.6克*8粒</v>
      </c>
      <c r="X3208" s="6" t="s">
        <v>2879</v>
      </c>
    </row>
    <row r="3209" spans="1:24" x14ac:dyDescent="0.15">
      <c r="A3209" s="7" t="str">
        <f t="shared" si="104"/>
        <v>201806</v>
      </c>
      <c r="C3209" s="6" t="str">
        <f>INDEX(工厂基础数据!$A$2:$A$1024,MATCH(X3209,工厂基础数据!$D$2:$D$1024,0))</f>
        <v>02010326</v>
      </c>
      <c r="E3209" s="6" t="str">
        <f>INDEX(工厂基础数据!$B$2:$B$1024,MATCH(X3209,工厂基础数据!$D$2:$D$1024,0))</f>
        <v>山东福华医药有限公司</v>
      </c>
      <c r="F3209" s="6">
        <f>INDEX(商业2转码!$B$2:$B$10000,MATCH(E3209,商业2转码!$A$2:$A$10000,0))</f>
        <v>0</v>
      </c>
      <c r="G3209" s="6" t="str">
        <f>INDEX(品种2编码!$A$2:$A$1048576,MATCH(W3209,品种2编码!$D$2:$D$1048576,0))</f>
        <v>0020030040ZYZC0307</v>
      </c>
      <c r="H3209" s="6" t="s">
        <v>399</v>
      </c>
      <c r="I3209" s="6" t="s">
        <v>508</v>
      </c>
      <c r="J3209" s="6" t="s">
        <v>3038</v>
      </c>
      <c r="L3209" s="6" t="s">
        <v>2085</v>
      </c>
      <c r="M3209" s="6">
        <f>INDEX(医院2县区2人!$B$2:$B$1048576,MATCH(L3209,医院2县区2人!$A$2:$A$1048576,0))</f>
        <v>1</v>
      </c>
      <c r="N3209" s="6" t="str">
        <f>INDEX(医院2县区2人!$C$2:$C$1048576,MATCH(L3209,医院2县区2人!$A$2:$A$1048576,0))</f>
        <v>1859</v>
      </c>
      <c r="P3209" s="7">
        <v>43252</v>
      </c>
      <c r="Q3209" s="6">
        <v>10</v>
      </c>
      <c r="R3209" s="6">
        <v>7.72</v>
      </c>
      <c r="S3209" s="6" t="s">
        <v>3790</v>
      </c>
      <c r="T3209" s="6" t="str">
        <f>INDEX(医院2县区2人!$D$2:$D$1048576,MATCH(L3209,医院2县区2人!$A$2:$A$1048576,0))</f>
        <v>201602151421097</v>
      </c>
      <c r="W3209" s="6" t="str">
        <f t="shared" si="103"/>
        <v>富马酸亚铁颗粒6袋</v>
      </c>
      <c r="X3209" s="6" t="s">
        <v>2879</v>
      </c>
    </row>
    <row r="3210" spans="1:24" x14ac:dyDescent="0.15">
      <c r="A3210" s="7" t="str">
        <f t="shared" si="104"/>
        <v>201806</v>
      </c>
      <c r="C3210" s="6" t="str">
        <f>INDEX(工厂基础数据!$A$2:$A$1024,MATCH(X3210,工厂基础数据!$D$2:$D$1024,0))</f>
        <v>02036558</v>
      </c>
      <c r="E3210" s="6" t="str">
        <f>INDEX(工厂基础数据!$B$2:$B$1024,MATCH(X3210,工厂基础数据!$D$2:$D$1024,0))</f>
        <v>罗欣医药集团山东宏欣医药有限公司</v>
      </c>
      <c r="F3210" s="6" t="e">
        <f>INDEX(商业2转码!$B$2:$B$10000,MATCH(E3210,商业2转码!$A$2:$A$10000,0))</f>
        <v>#N/A</v>
      </c>
      <c r="G3210" s="6">
        <f>INDEX(品种2编码!$A$2:$A$1048576,MATCH(W3210,品种2编码!$D$2:$D$1048576,0))</f>
        <v>0</v>
      </c>
      <c r="H3210" s="6" t="s">
        <v>3300</v>
      </c>
      <c r="I3210" s="6" t="s">
        <v>3301</v>
      </c>
      <c r="J3210" s="6" t="s">
        <v>3041</v>
      </c>
      <c r="L3210" s="6" t="s">
        <v>3791</v>
      </c>
      <c r="M3210" s="6" t="e">
        <f>INDEX(医院2县区2人!$B$2:$B$1048576,MATCH(L3210,医院2县区2人!$A$2:$A$1048576,0))</f>
        <v>#N/A</v>
      </c>
      <c r="N3210" s="6" t="e">
        <f>INDEX(医院2县区2人!$C$2:$C$1048576,MATCH(L3210,医院2县区2人!$A$2:$A$1048576,0))</f>
        <v>#N/A</v>
      </c>
      <c r="P3210" s="7">
        <v>43252</v>
      </c>
      <c r="Q3210" s="6">
        <v>600</v>
      </c>
      <c r="R3210" s="6">
        <v>20.64</v>
      </c>
      <c r="S3210" s="6">
        <v>1801715</v>
      </c>
      <c r="T3210" s="6" t="e">
        <f>INDEX(医院2县区2人!$D$2:$D$1048576,MATCH(L3210,医院2县区2人!$A$2:$A$1048576,0))</f>
        <v>#N/A</v>
      </c>
      <c r="W3210" s="6" t="str">
        <f t="shared" si="103"/>
        <v>注射用丹参（冻干）400mg</v>
      </c>
      <c r="X3210" s="6" t="s">
        <v>2909</v>
      </c>
    </row>
    <row r="3211" spans="1:24" x14ac:dyDescent="0.15">
      <c r="A3211" s="7" t="str">
        <f t="shared" si="104"/>
        <v>201806</v>
      </c>
      <c r="C3211" s="6" t="str">
        <f>INDEX(工厂基础数据!$A$2:$A$1024,MATCH(X3211,工厂基础数据!$D$2:$D$1024,0))</f>
        <v>02036558</v>
      </c>
      <c r="E3211" s="6" t="str">
        <f>INDEX(工厂基础数据!$B$2:$B$1024,MATCH(X3211,工厂基础数据!$D$2:$D$1024,0))</f>
        <v>罗欣医药集团山东宏欣医药有限公司</v>
      </c>
      <c r="F3211" s="6" t="e">
        <f>INDEX(商业2转码!$B$2:$B$10000,MATCH(E3211,商业2转码!$A$2:$A$10000,0))</f>
        <v>#N/A</v>
      </c>
      <c r="G3211" s="6">
        <f>INDEX(品种2编码!$A$2:$A$1048576,MATCH(W3211,品种2编码!$D$2:$D$1048576,0))</f>
        <v>0</v>
      </c>
      <c r="H3211" s="6" t="s">
        <v>3300</v>
      </c>
      <c r="I3211" s="6" t="s">
        <v>3301</v>
      </c>
      <c r="J3211" s="6" t="s">
        <v>3041</v>
      </c>
      <c r="L3211" s="6" t="s">
        <v>3791</v>
      </c>
      <c r="M3211" s="6" t="e">
        <f>INDEX(医院2县区2人!$B$2:$B$1048576,MATCH(L3211,医院2县区2人!$A$2:$A$1048576,0))</f>
        <v>#N/A</v>
      </c>
      <c r="N3211" s="6" t="e">
        <f>INDEX(医院2县区2人!$C$2:$C$1048576,MATCH(L3211,医院2县区2人!$A$2:$A$1048576,0))</f>
        <v>#N/A</v>
      </c>
      <c r="P3211" s="7">
        <v>43280</v>
      </c>
      <c r="Q3211" s="6">
        <v>600</v>
      </c>
      <c r="R3211" s="6">
        <v>20.64</v>
      </c>
      <c r="S3211" s="6">
        <v>1801715</v>
      </c>
      <c r="T3211" s="6" t="e">
        <f>INDEX(医院2县区2人!$D$2:$D$1048576,MATCH(L3211,医院2县区2人!$A$2:$A$1048576,0))</f>
        <v>#N/A</v>
      </c>
      <c r="W3211" s="6" t="str">
        <f t="shared" si="103"/>
        <v>注射用丹参（冻干）400mg</v>
      </c>
      <c r="X3211" s="6" t="s">
        <v>2909</v>
      </c>
    </row>
    <row r="3212" spans="1:24" x14ac:dyDescent="0.15">
      <c r="A3212" s="7" t="str">
        <f t="shared" si="104"/>
        <v>201806</v>
      </c>
      <c r="C3212" s="6" t="str">
        <f>INDEX(工厂基础数据!$A$2:$A$1024,MATCH(X3212,工厂基础数据!$D$2:$D$1024,0))</f>
        <v>02004006</v>
      </c>
      <c r="E3212" s="6" t="str">
        <f>INDEX(工厂基础数据!$B$2:$B$1024,MATCH(X3212,工厂基础数据!$D$2:$D$1024,0))</f>
        <v>山东省飞龙中大药业有限公司</v>
      </c>
      <c r="F3212" s="6" t="e">
        <f>INDEX(商业2转码!$B$2:$B$10000,MATCH(E3212,商业2转码!$A$2:$A$10000,0))</f>
        <v>#N/A</v>
      </c>
      <c r="G3212" s="6">
        <f>INDEX(品种2编码!$A$2:$A$1048576,MATCH(W3212,品种2编码!$D$2:$D$1048576,0))</f>
        <v>0</v>
      </c>
      <c r="H3212" s="6" t="s">
        <v>3300</v>
      </c>
      <c r="I3212" s="6" t="s">
        <v>3301</v>
      </c>
      <c r="J3212" s="6" t="s">
        <v>3041</v>
      </c>
      <c r="L3212" s="6" t="s">
        <v>3792</v>
      </c>
      <c r="M3212" s="6" t="e">
        <f>INDEX(医院2县区2人!$B$2:$B$1048576,MATCH(L3212,医院2县区2人!$A$2:$A$1048576,0))</f>
        <v>#N/A</v>
      </c>
      <c r="N3212" s="6" t="e">
        <f>INDEX(医院2县区2人!$C$2:$C$1048576,MATCH(L3212,医院2县区2人!$A$2:$A$1048576,0))</f>
        <v>#N/A</v>
      </c>
      <c r="P3212" s="7">
        <v>43270</v>
      </c>
      <c r="Q3212" s="6">
        <v>2400</v>
      </c>
      <c r="R3212" s="6">
        <v>7.7</v>
      </c>
      <c r="S3212" s="6">
        <v>1801715</v>
      </c>
      <c r="T3212" s="6" t="e">
        <f>INDEX(医院2县区2人!$D$2:$D$1048576,MATCH(L3212,医院2县区2人!$A$2:$A$1048576,0))</f>
        <v>#N/A</v>
      </c>
      <c r="W3212" s="6" t="str">
        <f t="shared" si="103"/>
        <v>注射用丹参（冻干）400mg</v>
      </c>
      <c r="X3212" s="6" t="s">
        <v>2898</v>
      </c>
    </row>
    <row r="3213" spans="1:24" x14ac:dyDescent="0.15">
      <c r="A3213" s="7" t="str">
        <f t="shared" si="104"/>
        <v>201806</v>
      </c>
      <c r="C3213" s="6" t="str">
        <f>INDEX(工厂基础数据!$A$2:$A$1024,MATCH(X3213,工厂基础数据!$D$2:$D$1024,0))</f>
        <v>02004006</v>
      </c>
      <c r="E3213" s="6" t="str">
        <f>INDEX(工厂基础数据!$B$2:$B$1024,MATCH(X3213,工厂基础数据!$D$2:$D$1024,0))</f>
        <v>山东省飞龙中大药业有限公司</v>
      </c>
      <c r="F3213" s="6" t="e">
        <f>INDEX(商业2转码!$B$2:$B$10000,MATCH(E3213,商业2转码!$A$2:$A$10000,0))</f>
        <v>#N/A</v>
      </c>
      <c r="G3213" s="6">
        <f>INDEX(品种2编码!$A$2:$A$1048576,MATCH(W3213,品种2编码!$D$2:$D$1048576,0))</f>
        <v>0</v>
      </c>
      <c r="H3213" s="6" t="s">
        <v>3300</v>
      </c>
      <c r="I3213" s="6" t="s">
        <v>3301</v>
      </c>
      <c r="J3213" s="6" t="s">
        <v>3041</v>
      </c>
      <c r="L3213" s="6" t="s">
        <v>222</v>
      </c>
      <c r="M3213" s="6" t="e">
        <f>INDEX(医院2县区2人!$B$2:$B$1048576,MATCH(L3213,医院2县区2人!$A$2:$A$1048576,0))</f>
        <v>#N/A</v>
      </c>
      <c r="N3213" s="6" t="e">
        <f>INDEX(医院2县区2人!$C$2:$C$1048576,MATCH(L3213,医院2县区2人!$A$2:$A$1048576,0))</f>
        <v>#N/A</v>
      </c>
      <c r="P3213" s="7">
        <v>43272</v>
      </c>
      <c r="Q3213" s="6">
        <v>1200</v>
      </c>
      <c r="R3213" s="6">
        <v>7.7</v>
      </c>
      <c r="S3213" s="6">
        <v>1801715</v>
      </c>
      <c r="T3213" s="6" t="e">
        <f>INDEX(医院2县区2人!$D$2:$D$1048576,MATCH(L3213,医院2县区2人!$A$2:$A$1048576,0))</f>
        <v>#N/A</v>
      </c>
      <c r="W3213" s="6" t="str">
        <f t="shared" si="103"/>
        <v>注射用丹参（冻干）400mg</v>
      </c>
      <c r="X3213" s="6" t="s">
        <v>2898</v>
      </c>
    </row>
    <row r="3214" spans="1:24" x14ac:dyDescent="0.15">
      <c r="X3214" s="6" t="s">
        <v>2898</v>
      </c>
    </row>
  </sheetData>
  <autoFilter ref="A1:X3213" xr:uid="{499420C0-F04F-43BE-8DE1-A32D578650DE}"/>
  <phoneticPr fontId="57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宏2">
                <anchor>
                  <from>
                    <xdr:col>7</xdr:col>
                    <xdr:colOff>628650</xdr:colOff>
                    <xdr:row>2</xdr:row>
                    <xdr:rowOff>85725</xdr:rowOff>
                  </from>
                  <to>
                    <xdr:col>7</xdr:col>
                    <xdr:colOff>1704975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宏1">
                <anchor moveWithCells="1" sizeWithCells="1">
                  <from>
                    <xdr:col>7</xdr:col>
                    <xdr:colOff>609600</xdr:colOff>
                    <xdr:row>7</xdr:row>
                    <xdr:rowOff>76200</xdr:rowOff>
                  </from>
                  <to>
                    <xdr:col>7</xdr:col>
                    <xdr:colOff>1676400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58FB-CE1F-4678-80B9-A474487B42D1}">
  <sheetPr codeName="Sheet4"/>
  <dimension ref="A1:C20"/>
  <sheetViews>
    <sheetView workbookViewId="0">
      <selection activeCell="B13" sqref="B13"/>
    </sheetView>
  </sheetViews>
  <sheetFormatPr defaultRowHeight="13.5" x14ac:dyDescent="0.15"/>
  <cols>
    <col min="1" max="1" width="29.625" bestFit="1" customWidth="1"/>
    <col min="2" max="2" width="30.875" bestFit="1" customWidth="1"/>
  </cols>
  <sheetData>
    <row r="1" spans="1:3" x14ac:dyDescent="0.15">
      <c r="A1" t="s">
        <v>19</v>
      </c>
      <c r="B1" t="s">
        <v>20</v>
      </c>
      <c r="C1" s="13" t="s">
        <v>1817</v>
      </c>
    </row>
    <row r="2" spans="1:3" x14ac:dyDescent="0.15">
      <c r="A2" t="s">
        <v>2868</v>
      </c>
      <c r="B2">
        <v>0</v>
      </c>
    </row>
    <row r="3" spans="1:3" x14ac:dyDescent="0.15">
      <c r="A3" t="s">
        <v>204</v>
      </c>
      <c r="B3">
        <v>0</v>
      </c>
    </row>
    <row r="4" spans="1:3" x14ac:dyDescent="0.15">
      <c r="A4" t="s">
        <v>2869</v>
      </c>
      <c r="B4">
        <v>0</v>
      </c>
    </row>
    <row r="5" spans="1:3" x14ac:dyDescent="0.15">
      <c r="A5" t="s">
        <v>2423</v>
      </c>
      <c r="B5">
        <v>1</v>
      </c>
    </row>
    <row r="6" spans="1:3" x14ac:dyDescent="0.15">
      <c r="A6" t="s">
        <v>100</v>
      </c>
      <c r="B6">
        <v>0</v>
      </c>
    </row>
    <row r="7" spans="1:3" x14ac:dyDescent="0.15">
      <c r="A7" t="s">
        <v>2213</v>
      </c>
      <c r="B7">
        <v>1</v>
      </c>
    </row>
    <row r="8" spans="1:3" x14ac:dyDescent="0.15">
      <c r="A8" t="s">
        <v>54</v>
      </c>
      <c r="B8">
        <v>0</v>
      </c>
    </row>
    <row r="9" spans="1:3" x14ac:dyDescent="0.15">
      <c r="A9" s="1"/>
      <c r="B9" s="1"/>
      <c r="C9" t="s">
        <v>2921</v>
      </c>
    </row>
    <row r="10" spans="1:3" x14ac:dyDescent="0.15">
      <c r="A10" s="1"/>
      <c r="B10" s="1"/>
      <c r="C10" t="s">
        <v>2893</v>
      </c>
    </row>
    <row r="11" spans="1:3" x14ac:dyDescent="0.15">
      <c r="A11" s="1"/>
      <c r="B11" s="1"/>
      <c r="C11" t="s">
        <v>2900</v>
      </c>
    </row>
    <row r="12" spans="1:3" x14ac:dyDescent="0.15">
      <c r="A12" s="1"/>
      <c r="B12" s="1"/>
      <c r="C12" t="s">
        <v>2919</v>
      </c>
    </row>
    <row r="13" spans="1:3" x14ac:dyDescent="0.15">
      <c r="A13" s="1"/>
      <c r="B13" s="1"/>
      <c r="C13" t="s">
        <v>2920</v>
      </c>
    </row>
    <row r="14" spans="1:3" x14ac:dyDescent="0.15">
      <c r="A14" s="1"/>
      <c r="B14" s="1"/>
      <c r="C14" t="s">
        <v>2907</v>
      </c>
    </row>
    <row r="15" spans="1:3" x14ac:dyDescent="0.15">
      <c r="A15" s="1"/>
      <c r="B15" s="1"/>
      <c r="C15" t="s">
        <v>2922</v>
      </c>
    </row>
    <row r="16" spans="1:3" x14ac:dyDescent="0.15">
      <c r="A16" s="1"/>
      <c r="B16" s="1"/>
      <c r="C16" t="s">
        <v>2904</v>
      </c>
    </row>
    <row r="17" spans="1:3" x14ac:dyDescent="0.15">
      <c r="A17" s="1"/>
      <c r="B17" s="1"/>
      <c r="C17" t="s">
        <v>2901</v>
      </c>
    </row>
    <row r="18" spans="1:3" x14ac:dyDescent="0.15">
      <c r="A18" s="1"/>
      <c r="B18" s="1"/>
      <c r="C18" t="s">
        <v>2912</v>
      </c>
    </row>
    <row r="19" spans="1:3" x14ac:dyDescent="0.15">
      <c r="A19" s="1"/>
      <c r="B19" s="1"/>
      <c r="C19" t="s">
        <v>2909</v>
      </c>
    </row>
    <row r="20" spans="1:3" x14ac:dyDescent="0.15">
      <c r="A20" s="1"/>
      <c r="B20" s="1"/>
      <c r="C20" t="s">
        <v>2898</v>
      </c>
    </row>
  </sheetData>
  <phoneticPr fontId="5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4FEB3-EE50-44BD-97E8-CEDF60EB33DF}">
  <sheetPr codeName="Sheet5"/>
  <dimension ref="A1:E1246"/>
  <sheetViews>
    <sheetView tabSelected="1" topLeftCell="A1224" workbookViewId="0">
      <selection activeCell="B1230" sqref="B1230"/>
    </sheetView>
  </sheetViews>
  <sheetFormatPr defaultRowHeight="13.5" x14ac:dyDescent="0.15"/>
  <cols>
    <col min="1" max="1" width="50.5" bestFit="1" customWidth="1"/>
    <col min="2" max="2" width="28.875" bestFit="1" customWidth="1"/>
    <col min="3" max="3" width="8.25" bestFit="1" customWidth="1"/>
    <col min="4" max="4" width="17.25" bestFit="1" customWidth="1"/>
    <col min="5" max="5" width="10.125" bestFit="1" customWidth="1"/>
  </cols>
  <sheetData>
    <row r="1" spans="1:5" x14ac:dyDescent="0.15">
      <c r="A1" t="s">
        <v>13</v>
      </c>
      <c r="B1" t="s">
        <v>12</v>
      </c>
      <c r="C1" t="s">
        <v>14</v>
      </c>
      <c r="D1" t="s">
        <v>15</v>
      </c>
      <c r="E1" t="s">
        <v>16</v>
      </c>
    </row>
    <row r="2" spans="1:5" x14ac:dyDescent="0.15">
      <c r="A2" t="s">
        <v>2052</v>
      </c>
      <c r="B2">
        <v>1</v>
      </c>
      <c r="C2" t="s">
        <v>1538</v>
      </c>
      <c r="D2" t="s">
        <v>1473</v>
      </c>
      <c r="E2">
        <v>0</v>
      </c>
    </row>
    <row r="3" spans="1:5" x14ac:dyDescent="0.15">
      <c r="A3" t="s">
        <v>2053</v>
      </c>
      <c r="B3">
        <v>1</v>
      </c>
      <c r="C3" t="s">
        <v>1538</v>
      </c>
      <c r="D3" t="s">
        <v>1473</v>
      </c>
      <c r="E3">
        <v>0</v>
      </c>
    </row>
    <row r="4" spans="1:5" x14ac:dyDescent="0.15">
      <c r="A4" t="s">
        <v>2053</v>
      </c>
      <c r="B4">
        <v>1</v>
      </c>
      <c r="C4" t="s">
        <v>1538</v>
      </c>
      <c r="D4" t="s">
        <v>1473</v>
      </c>
      <c r="E4">
        <v>2</v>
      </c>
    </row>
    <row r="5" spans="1:5" x14ac:dyDescent="0.15">
      <c r="A5" t="s">
        <v>2054</v>
      </c>
      <c r="B5">
        <v>2</v>
      </c>
      <c r="C5" t="s">
        <v>1538</v>
      </c>
      <c r="D5" t="s">
        <v>1473</v>
      </c>
      <c r="E5">
        <v>0</v>
      </c>
    </row>
    <row r="6" spans="1:5" x14ac:dyDescent="0.15">
      <c r="A6" t="s">
        <v>2055</v>
      </c>
      <c r="B6">
        <v>2</v>
      </c>
      <c r="C6" t="s">
        <v>1538</v>
      </c>
      <c r="D6" t="s">
        <v>1473</v>
      </c>
      <c r="E6">
        <v>0</v>
      </c>
    </row>
    <row r="7" spans="1:5" x14ac:dyDescent="0.15">
      <c r="A7" t="s">
        <v>2056</v>
      </c>
      <c r="B7">
        <v>1</v>
      </c>
      <c r="C7" t="s">
        <v>1538</v>
      </c>
      <c r="D7" t="s">
        <v>1473</v>
      </c>
      <c r="E7">
        <v>0</v>
      </c>
    </row>
    <row r="8" spans="1:5" x14ac:dyDescent="0.15">
      <c r="A8" t="s">
        <v>2057</v>
      </c>
      <c r="B8">
        <v>1</v>
      </c>
      <c r="C8" t="s">
        <v>1538</v>
      </c>
      <c r="D8" t="s">
        <v>1473</v>
      </c>
      <c r="E8">
        <v>2</v>
      </c>
    </row>
    <row r="9" spans="1:5" x14ac:dyDescent="0.15">
      <c r="A9" t="s">
        <v>2058</v>
      </c>
      <c r="B9">
        <v>1</v>
      </c>
      <c r="C9" t="s">
        <v>1538</v>
      </c>
      <c r="D9" t="s">
        <v>1473</v>
      </c>
      <c r="E9">
        <v>0</v>
      </c>
    </row>
    <row r="10" spans="1:5" x14ac:dyDescent="0.15">
      <c r="A10" t="s">
        <v>2059</v>
      </c>
      <c r="B10">
        <v>1</v>
      </c>
      <c r="C10" t="s">
        <v>1538</v>
      </c>
      <c r="D10" t="s">
        <v>1473</v>
      </c>
      <c r="E10">
        <v>0</v>
      </c>
    </row>
    <row r="11" spans="1:5" x14ac:dyDescent="0.15">
      <c r="A11" t="s">
        <v>2057</v>
      </c>
      <c r="B11">
        <v>1</v>
      </c>
      <c r="C11" t="s">
        <v>1538</v>
      </c>
      <c r="D11" t="s">
        <v>1473</v>
      </c>
      <c r="E11">
        <v>0</v>
      </c>
    </row>
    <row r="12" spans="1:5" x14ac:dyDescent="0.15">
      <c r="A12" t="s">
        <v>2060</v>
      </c>
      <c r="B12">
        <v>1</v>
      </c>
      <c r="C12" t="s">
        <v>1538</v>
      </c>
      <c r="D12" t="s">
        <v>1473</v>
      </c>
      <c r="E12">
        <v>2</v>
      </c>
    </row>
    <row r="13" spans="1:5" x14ac:dyDescent="0.15">
      <c r="A13" t="s">
        <v>2061</v>
      </c>
      <c r="B13">
        <v>1</v>
      </c>
      <c r="C13" t="s">
        <v>1538</v>
      </c>
      <c r="D13" t="s">
        <v>1473</v>
      </c>
      <c r="E13">
        <v>0</v>
      </c>
    </row>
    <row r="14" spans="1:5" x14ac:dyDescent="0.15">
      <c r="A14" t="s">
        <v>2062</v>
      </c>
      <c r="B14">
        <v>1</v>
      </c>
      <c r="C14" t="s">
        <v>1538</v>
      </c>
      <c r="D14" t="s">
        <v>1473</v>
      </c>
      <c r="E14">
        <v>0</v>
      </c>
    </row>
    <row r="15" spans="1:5" x14ac:dyDescent="0.15">
      <c r="A15" t="s">
        <v>2063</v>
      </c>
      <c r="B15">
        <v>1</v>
      </c>
      <c r="C15" t="s">
        <v>1538</v>
      </c>
      <c r="D15" t="s">
        <v>1473</v>
      </c>
      <c r="E15">
        <v>0</v>
      </c>
    </row>
    <row r="16" spans="1:5" x14ac:dyDescent="0.15">
      <c r="A16" t="s">
        <v>2064</v>
      </c>
      <c r="B16">
        <v>1</v>
      </c>
      <c r="C16" t="s">
        <v>1538</v>
      </c>
      <c r="D16" t="s">
        <v>1473</v>
      </c>
      <c r="E16">
        <v>0</v>
      </c>
    </row>
    <row r="17" spans="1:5" x14ac:dyDescent="0.15">
      <c r="A17" t="s">
        <v>2065</v>
      </c>
      <c r="B17">
        <v>1</v>
      </c>
      <c r="C17" t="s">
        <v>1538</v>
      </c>
      <c r="D17" t="s">
        <v>1473</v>
      </c>
      <c r="E17">
        <v>2</v>
      </c>
    </row>
    <row r="18" spans="1:5" x14ac:dyDescent="0.15">
      <c r="A18" t="s">
        <v>2065</v>
      </c>
      <c r="B18">
        <v>1</v>
      </c>
      <c r="C18" t="s">
        <v>1538</v>
      </c>
      <c r="D18" t="s">
        <v>1473</v>
      </c>
      <c r="E18">
        <v>0</v>
      </c>
    </row>
    <row r="19" spans="1:5" x14ac:dyDescent="0.15">
      <c r="A19" t="s">
        <v>2066</v>
      </c>
      <c r="B19">
        <v>1</v>
      </c>
      <c r="C19" t="s">
        <v>1538</v>
      </c>
      <c r="D19" t="s">
        <v>1473</v>
      </c>
      <c r="E19">
        <v>0</v>
      </c>
    </row>
    <row r="20" spans="1:5" x14ac:dyDescent="0.15">
      <c r="A20" t="s">
        <v>2067</v>
      </c>
      <c r="B20">
        <v>1</v>
      </c>
      <c r="C20" t="s">
        <v>1538</v>
      </c>
      <c r="D20" t="s">
        <v>1473</v>
      </c>
      <c r="E20">
        <v>0</v>
      </c>
    </row>
    <row r="21" spans="1:5" x14ac:dyDescent="0.15">
      <c r="A21" t="s">
        <v>2068</v>
      </c>
      <c r="B21">
        <v>1</v>
      </c>
      <c r="C21" t="s">
        <v>1538</v>
      </c>
      <c r="D21" t="s">
        <v>1473</v>
      </c>
      <c r="E21">
        <v>0</v>
      </c>
    </row>
    <row r="22" spans="1:5" x14ac:dyDescent="0.15">
      <c r="A22" t="s">
        <v>2069</v>
      </c>
      <c r="B22">
        <v>1</v>
      </c>
      <c r="C22" t="s">
        <v>1538</v>
      </c>
      <c r="D22" t="s">
        <v>1473</v>
      </c>
      <c r="E22">
        <v>2</v>
      </c>
    </row>
    <row r="23" spans="1:5" x14ac:dyDescent="0.15">
      <c r="A23" t="s">
        <v>2069</v>
      </c>
      <c r="B23">
        <v>1</v>
      </c>
      <c r="C23" t="s">
        <v>1538</v>
      </c>
      <c r="D23" t="s">
        <v>1473</v>
      </c>
      <c r="E23">
        <v>0</v>
      </c>
    </row>
    <row r="24" spans="1:5" x14ac:dyDescent="0.15">
      <c r="A24" t="s">
        <v>2070</v>
      </c>
      <c r="B24">
        <v>1</v>
      </c>
      <c r="C24" t="s">
        <v>1538</v>
      </c>
      <c r="D24" t="s">
        <v>1473</v>
      </c>
      <c r="E24">
        <v>0</v>
      </c>
    </row>
    <row r="25" spans="1:5" x14ac:dyDescent="0.15">
      <c r="A25" t="s">
        <v>2071</v>
      </c>
      <c r="B25">
        <v>2</v>
      </c>
      <c r="C25" t="s">
        <v>1538</v>
      </c>
      <c r="D25" t="s">
        <v>1473</v>
      </c>
      <c r="E25">
        <v>2</v>
      </c>
    </row>
    <row r="26" spans="1:5" x14ac:dyDescent="0.15">
      <c r="A26" t="s">
        <v>2072</v>
      </c>
      <c r="B26">
        <v>2</v>
      </c>
      <c r="C26" t="s">
        <v>1538</v>
      </c>
      <c r="D26" t="s">
        <v>1473</v>
      </c>
      <c r="E26">
        <v>0</v>
      </c>
    </row>
    <row r="27" spans="1:5" x14ac:dyDescent="0.15">
      <c r="A27" t="s">
        <v>2073</v>
      </c>
      <c r="B27">
        <v>2</v>
      </c>
      <c r="C27" t="s">
        <v>1538</v>
      </c>
      <c r="D27" t="s">
        <v>1473</v>
      </c>
      <c r="E27">
        <v>0</v>
      </c>
    </row>
    <row r="28" spans="1:5" x14ac:dyDescent="0.15">
      <c r="A28" t="s">
        <v>2074</v>
      </c>
      <c r="B28">
        <v>1</v>
      </c>
      <c r="C28" t="s">
        <v>1538</v>
      </c>
      <c r="D28" t="s">
        <v>1473</v>
      </c>
      <c r="E28">
        <v>0</v>
      </c>
    </row>
    <row r="29" spans="1:5" x14ac:dyDescent="0.15">
      <c r="A29" t="s">
        <v>2075</v>
      </c>
      <c r="B29">
        <v>2</v>
      </c>
      <c r="C29" t="s">
        <v>1538</v>
      </c>
      <c r="D29" t="s">
        <v>1473</v>
      </c>
      <c r="E29">
        <v>0</v>
      </c>
    </row>
    <row r="30" spans="1:5" x14ac:dyDescent="0.15">
      <c r="A30" t="s">
        <v>2076</v>
      </c>
      <c r="B30">
        <v>2</v>
      </c>
      <c r="C30" t="s">
        <v>1538</v>
      </c>
      <c r="D30" t="s">
        <v>1473</v>
      </c>
      <c r="E30">
        <v>0</v>
      </c>
    </row>
    <row r="31" spans="1:5" x14ac:dyDescent="0.15">
      <c r="A31" t="s">
        <v>2077</v>
      </c>
      <c r="B31">
        <v>1</v>
      </c>
      <c r="C31" t="s">
        <v>1538</v>
      </c>
      <c r="D31" t="s">
        <v>1473</v>
      </c>
      <c r="E31">
        <v>2</v>
      </c>
    </row>
    <row r="32" spans="1:5" x14ac:dyDescent="0.15">
      <c r="A32" t="s">
        <v>2077</v>
      </c>
      <c r="B32">
        <v>1</v>
      </c>
      <c r="C32" t="s">
        <v>1538</v>
      </c>
      <c r="D32" t="s">
        <v>1473</v>
      </c>
      <c r="E32">
        <v>0</v>
      </c>
    </row>
    <row r="33" spans="1:5" x14ac:dyDescent="0.15">
      <c r="A33" t="s">
        <v>2078</v>
      </c>
      <c r="B33">
        <v>4</v>
      </c>
      <c r="C33" t="s">
        <v>1538</v>
      </c>
      <c r="D33" t="s">
        <v>1473</v>
      </c>
      <c r="E33">
        <v>0</v>
      </c>
    </row>
    <row r="34" spans="1:5" x14ac:dyDescent="0.15">
      <c r="A34" t="s">
        <v>2079</v>
      </c>
      <c r="B34">
        <v>1</v>
      </c>
      <c r="C34" t="s">
        <v>1538</v>
      </c>
      <c r="D34" t="s">
        <v>1473</v>
      </c>
      <c r="E34">
        <v>0</v>
      </c>
    </row>
    <row r="35" spans="1:5" x14ac:dyDescent="0.15">
      <c r="A35" t="s">
        <v>2080</v>
      </c>
      <c r="B35">
        <v>2</v>
      </c>
      <c r="C35" t="s">
        <v>1538</v>
      </c>
      <c r="D35" t="s">
        <v>1473</v>
      </c>
      <c r="E35">
        <v>0</v>
      </c>
    </row>
    <row r="36" spans="1:5" x14ac:dyDescent="0.15">
      <c r="A36" t="s">
        <v>2081</v>
      </c>
      <c r="B36">
        <v>2</v>
      </c>
      <c r="C36" t="s">
        <v>1538</v>
      </c>
      <c r="D36" t="s">
        <v>1473</v>
      </c>
      <c r="E36">
        <v>0</v>
      </c>
    </row>
    <row r="37" spans="1:5" x14ac:dyDescent="0.15">
      <c r="A37" t="s">
        <v>2082</v>
      </c>
      <c r="B37">
        <v>2</v>
      </c>
      <c r="C37" t="s">
        <v>1538</v>
      </c>
      <c r="D37" t="s">
        <v>1473</v>
      </c>
      <c r="E37">
        <v>0</v>
      </c>
    </row>
    <row r="38" spans="1:5" x14ac:dyDescent="0.15">
      <c r="A38" t="s">
        <v>2083</v>
      </c>
      <c r="B38">
        <v>1</v>
      </c>
      <c r="C38" t="s">
        <v>1538</v>
      </c>
      <c r="D38" t="s">
        <v>1473</v>
      </c>
      <c r="E38">
        <v>2</v>
      </c>
    </row>
    <row r="39" spans="1:5" x14ac:dyDescent="0.15">
      <c r="A39" t="s">
        <v>2083</v>
      </c>
      <c r="B39">
        <v>1</v>
      </c>
      <c r="C39" t="s">
        <v>1538</v>
      </c>
      <c r="D39" t="s">
        <v>1473</v>
      </c>
      <c r="E39">
        <v>0</v>
      </c>
    </row>
    <row r="40" spans="1:5" x14ac:dyDescent="0.15">
      <c r="A40" t="s">
        <v>2084</v>
      </c>
      <c r="B40">
        <v>1</v>
      </c>
      <c r="C40" t="s">
        <v>1538</v>
      </c>
      <c r="D40" t="s">
        <v>1473</v>
      </c>
      <c r="E40">
        <v>2</v>
      </c>
    </row>
    <row r="41" spans="1:5" x14ac:dyDescent="0.15">
      <c r="A41" t="s">
        <v>2084</v>
      </c>
      <c r="B41">
        <v>1</v>
      </c>
      <c r="C41" t="s">
        <v>1538</v>
      </c>
      <c r="D41" t="s">
        <v>1473</v>
      </c>
      <c r="E41">
        <v>0</v>
      </c>
    </row>
    <row r="42" spans="1:5" x14ac:dyDescent="0.15">
      <c r="A42" t="s">
        <v>2085</v>
      </c>
      <c r="B42">
        <v>1</v>
      </c>
      <c r="C42" t="s">
        <v>1538</v>
      </c>
      <c r="D42" t="s">
        <v>1473</v>
      </c>
      <c r="E42">
        <v>0</v>
      </c>
    </row>
    <row r="43" spans="1:5" x14ac:dyDescent="0.15">
      <c r="A43" t="s">
        <v>2086</v>
      </c>
      <c r="B43">
        <v>1</v>
      </c>
      <c r="C43" t="s">
        <v>1538</v>
      </c>
      <c r="D43" t="s">
        <v>1473</v>
      </c>
      <c r="E43">
        <v>0</v>
      </c>
    </row>
    <row r="44" spans="1:5" x14ac:dyDescent="0.15">
      <c r="A44" t="s">
        <v>2078</v>
      </c>
      <c r="B44">
        <v>4</v>
      </c>
      <c r="C44" t="s">
        <v>1538</v>
      </c>
      <c r="D44" t="s">
        <v>1473</v>
      </c>
      <c r="E44">
        <v>4</v>
      </c>
    </row>
    <row r="45" spans="1:5" x14ac:dyDescent="0.15">
      <c r="A45" t="s">
        <v>2087</v>
      </c>
      <c r="B45">
        <v>1</v>
      </c>
      <c r="C45" t="s">
        <v>1538</v>
      </c>
      <c r="D45" t="s">
        <v>1473</v>
      </c>
      <c r="E45">
        <v>0</v>
      </c>
    </row>
    <row r="46" spans="1:5" x14ac:dyDescent="0.15">
      <c r="A46" t="s">
        <v>2088</v>
      </c>
      <c r="B46">
        <v>1</v>
      </c>
      <c r="C46" t="s">
        <v>1538</v>
      </c>
      <c r="D46" t="s">
        <v>1473</v>
      </c>
      <c r="E46">
        <v>0</v>
      </c>
    </row>
    <row r="47" spans="1:5" x14ac:dyDescent="0.15">
      <c r="A47" t="s">
        <v>2089</v>
      </c>
      <c r="B47">
        <v>1</v>
      </c>
      <c r="C47" t="s">
        <v>1538</v>
      </c>
      <c r="D47" t="s">
        <v>1473</v>
      </c>
      <c r="E47">
        <v>0</v>
      </c>
    </row>
    <row r="48" spans="1:5" x14ac:dyDescent="0.15">
      <c r="A48" t="s">
        <v>2090</v>
      </c>
      <c r="B48">
        <v>2</v>
      </c>
      <c r="C48" t="s">
        <v>1801</v>
      </c>
      <c r="E48">
        <v>0</v>
      </c>
    </row>
    <row r="49" spans="1:5" x14ac:dyDescent="0.15">
      <c r="A49" t="s">
        <v>2086</v>
      </c>
      <c r="B49">
        <v>1</v>
      </c>
      <c r="C49" t="s">
        <v>1538</v>
      </c>
      <c r="D49" t="s">
        <v>1473</v>
      </c>
      <c r="E49">
        <v>2</v>
      </c>
    </row>
    <row r="50" spans="1:5" x14ac:dyDescent="0.15">
      <c r="A50" t="s">
        <v>2091</v>
      </c>
      <c r="B50">
        <v>1</v>
      </c>
      <c r="C50" t="s">
        <v>1538</v>
      </c>
      <c r="D50" t="s">
        <v>1473</v>
      </c>
      <c r="E50">
        <v>0</v>
      </c>
    </row>
    <row r="51" spans="1:5" x14ac:dyDescent="0.15">
      <c r="A51" t="s">
        <v>2092</v>
      </c>
      <c r="B51">
        <v>1</v>
      </c>
      <c r="C51" t="s">
        <v>1538</v>
      </c>
      <c r="D51" t="s">
        <v>1473</v>
      </c>
      <c r="E51">
        <v>0</v>
      </c>
    </row>
    <row r="52" spans="1:5" x14ac:dyDescent="0.15">
      <c r="A52" t="s">
        <v>2093</v>
      </c>
      <c r="B52">
        <v>1</v>
      </c>
      <c r="C52" t="s">
        <v>1538</v>
      </c>
      <c r="D52" t="s">
        <v>1473</v>
      </c>
      <c r="E52">
        <v>0</v>
      </c>
    </row>
    <row r="53" spans="1:5" x14ac:dyDescent="0.15">
      <c r="A53" t="s">
        <v>2094</v>
      </c>
      <c r="B53">
        <v>1</v>
      </c>
      <c r="C53" t="s">
        <v>1538</v>
      </c>
      <c r="D53" t="s">
        <v>1473</v>
      </c>
      <c r="E53">
        <v>0</v>
      </c>
    </row>
    <row r="54" spans="1:5" x14ac:dyDescent="0.15">
      <c r="A54" t="s">
        <v>2052</v>
      </c>
      <c r="B54">
        <v>1</v>
      </c>
      <c r="C54" t="s">
        <v>1538</v>
      </c>
      <c r="D54" t="s">
        <v>1473</v>
      </c>
      <c r="E54">
        <v>2</v>
      </c>
    </row>
    <row r="55" spans="1:5" x14ac:dyDescent="0.15">
      <c r="A55" t="s">
        <v>2095</v>
      </c>
      <c r="B55">
        <v>2</v>
      </c>
      <c r="C55" t="s">
        <v>1538</v>
      </c>
      <c r="D55" t="s">
        <v>1473</v>
      </c>
      <c r="E55">
        <v>0</v>
      </c>
    </row>
    <row r="56" spans="1:5" x14ac:dyDescent="0.15">
      <c r="A56" t="s">
        <v>2096</v>
      </c>
      <c r="B56">
        <v>1</v>
      </c>
      <c r="C56" t="s">
        <v>1538</v>
      </c>
      <c r="D56" t="s">
        <v>1473</v>
      </c>
      <c r="E56">
        <v>0</v>
      </c>
    </row>
    <row r="57" spans="1:5" x14ac:dyDescent="0.15">
      <c r="A57" t="s">
        <v>2097</v>
      </c>
      <c r="B57">
        <v>1</v>
      </c>
      <c r="C57" t="s">
        <v>1538</v>
      </c>
      <c r="D57" t="s">
        <v>1473</v>
      </c>
      <c r="E57">
        <v>0</v>
      </c>
    </row>
    <row r="58" spans="1:5" x14ac:dyDescent="0.15">
      <c r="A58" t="s">
        <v>2098</v>
      </c>
      <c r="B58">
        <v>2</v>
      </c>
      <c r="C58" t="s">
        <v>1538</v>
      </c>
      <c r="D58" t="s">
        <v>1473</v>
      </c>
      <c r="E58">
        <v>0</v>
      </c>
    </row>
    <row r="59" spans="1:5" x14ac:dyDescent="0.15">
      <c r="A59" t="s">
        <v>2099</v>
      </c>
      <c r="B59">
        <v>1</v>
      </c>
      <c r="C59" t="s">
        <v>1538</v>
      </c>
      <c r="D59" t="s">
        <v>1473</v>
      </c>
      <c r="E59">
        <v>0</v>
      </c>
    </row>
    <row r="60" spans="1:5" x14ac:dyDescent="0.15">
      <c r="A60" t="s">
        <v>2060</v>
      </c>
      <c r="B60">
        <v>1</v>
      </c>
      <c r="C60" t="s">
        <v>1538</v>
      </c>
      <c r="D60" t="s">
        <v>1473</v>
      </c>
      <c r="E60">
        <v>0</v>
      </c>
    </row>
    <row r="61" spans="1:5" x14ac:dyDescent="0.15">
      <c r="A61" t="s">
        <v>2100</v>
      </c>
      <c r="B61">
        <v>2</v>
      </c>
      <c r="C61" t="s">
        <v>1538</v>
      </c>
      <c r="D61" t="s">
        <v>1473</v>
      </c>
      <c r="E61">
        <v>0</v>
      </c>
    </row>
    <row r="62" spans="1:5" x14ac:dyDescent="0.15">
      <c r="A62" t="s">
        <v>2101</v>
      </c>
      <c r="B62">
        <v>2</v>
      </c>
      <c r="C62" t="s">
        <v>1538</v>
      </c>
      <c r="D62" t="s">
        <v>1473</v>
      </c>
      <c r="E62">
        <v>0</v>
      </c>
    </row>
    <row r="63" spans="1:5" x14ac:dyDescent="0.15">
      <c r="A63" t="s">
        <v>2102</v>
      </c>
      <c r="B63">
        <v>1</v>
      </c>
      <c r="C63" t="s">
        <v>1538</v>
      </c>
      <c r="D63" t="s">
        <v>1473</v>
      </c>
      <c r="E63">
        <v>2</v>
      </c>
    </row>
    <row r="64" spans="1:5" x14ac:dyDescent="0.15">
      <c r="A64" t="s">
        <v>2102</v>
      </c>
      <c r="B64">
        <v>1</v>
      </c>
      <c r="C64" t="s">
        <v>1538</v>
      </c>
      <c r="D64" t="s">
        <v>1473</v>
      </c>
      <c r="E64">
        <v>0</v>
      </c>
    </row>
    <row r="65" spans="1:5" x14ac:dyDescent="0.15">
      <c r="A65" t="s">
        <v>2103</v>
      </c>
      <c r="B65">
        <v>1</v>
      </c>
      <c r="C65" t="s">
        <v>1538</v>
      </c>
      <c r="D65" t="s">
        <v>1473</v>
      </c>
      <c r="E65">
        <v>0</v>
      </c>
    </row>
    <row r="66" spans="1:5" x14ac:dyDescent="0.15">
      <c r="A66" t="s">
        <v>2062</v>
      </c>
      <c r="B66">
        <v>1</v>
      </c>
      <c r="C66" t="s">
        <v>1538</v>
      </c>
      <c r="D66" t="s">
        <v>1473</v>
      </c>
      <c r="E66">
        <v>2</v>
      </c>
    </row>
    <row r="67" spans="1:5" x14ac:dyDescent="0.15">
      <c r="A67" t="s">
        <v>2104</v>
      </c>
      <c r="B67">
        <v>2</v>
      </c>
      <c r="C67" t="s">
        <v>1538</v>
      </c>
      <c r="D67" t="s">
        <v>1473</v>
      </c>
      <c r="E67">
        <v>0</v>
      </c>
    </row>
    <row r="68" spans="1:5" x14ac:dyDescent="0.15">
      <c r="A68" t="s">
        <v>2105</v>
      </c>
      <c r="B68">
        <v>1</v>
      </c>
      <c r="C68" t="s">
        <v>1538</v>
      </c>
      <c r="D68" t="s">
        <v>1473</v>
      </c>
      <c r="E68">
        <v>0</v>
      </c>
    </row>
    <row r="69" spans="1:5" x14ac:dyDescent="0.15">
      <c r="A69" t="s">
        <v>2106</v>
      </c>
      <c r="B69">
        <v>2</v>
      </c>
      <c r="C69" t="s">
        <v>1538</v>
      </c>
      <c r="D69" t="s">
        <v>1473</v>
      </c>
      <c r="E69">
        <v>0</v>
      </c>
    </row>
    <row r="70" spans="1:5" x14ac:dyDescent="0.15">
      <c r="A70" t="s">
        <v>2094</v>
      </c>
      <c r="B70">
        <v>1</v>
      </c>
      <c r="C70" t="s">
        <v>1538</v>
      </c>
      <c r="D70" t="s">
        <v>1473</v>
      </c>
      <c r="E70">
        <v>2</v>
      </c>
    </row>
    <row r="71" spans="1:5" x14ac:dyDescent="0.15">
      <c r="A71" t="s">
        <v>2066</v>
      </c>
      <c r="B71">
        <v>1</v>
      </c>
      <c r="C71" t="s">
        <v>1538</v>
      </c>
      <c r="D71" t="s">
        <v>1473</v>
      </c>
      <c r="E71">
        <v>2</v>
      </c>
    </row>
    <row r="72" spans="1:5" x14ac:dyDescent="0.15">
      <c r="A72" t="s">
        <v>2107</v>
      </c>
      <c r="B72">
        <v>2</v>
      </c>
      <c r="C72" t="s">
        <v>1538</v>
      </c>
      <c r="D72" t="s">
        <v>1473</v>
      </c>
      <c r="E72">
        <v>0</v>
      </c>
    </row>
    <row r="73" spans="1:5" x14ac:dyDescent="0.15">
      <c r="A73" t="s">
        <v>2108</v>
      </c>
      <c r="B73">
        <v>2</v>
      </c>
      <c r="C73" t="s">
        <v>1538</v>
      </c>
      <c r="D73" t="s">
        <v>1473</v>
      </c>
      <c r="E73">
        <v>0</v>
      </c>
    </row>
    <row r="74" spans="1:5" x14ac:dyDescent="0.15">
      <c r="A74" t="s">
        <v>2103</v>
      </c>
      <c r="B74">
        <v>1</v>
      </c>
      <c r="C74" t="s">
        <v>1538</v>
      </c>
      <c r="D74" t="s">
        <v>1473</v>
      </c>
      <c r="E74">
        <v>2</v>
      </c>
    </row>
    <row r="75" spans="1:5" x14ac:dyDescent="0.15">
      <c r="A75" t="s">
        <v>2109</v>
      </c>
      <c r="B75">
        <v>1</v>
      </c>
      <c r="C75" t="s">
        <v>1538</v>
      </c>
      <c r="D75" t="s">
        <v>1473</v>
      </c>
      <c r="E75">
        <v>2</v>
      </c>
    </row>
    <row r="76" spans="1:5" x14ac:dyDescent="0.15">
      <c r="A76" t="s">
        <v>2110</v>
      </c>
      <c r="B76">
        <v>2</v>
      </c>
      <c r="C76" t="s">
        <v>1538</v>
      </c>
      <c r="D76" t="s">
        <v>1473</v>
      </c>
      <c r="E76">
        <v>0</v>
      </c>
    </row>
    <row r="77" spans="1:5" x14ac:dyDescent="0.15">
      <c r="A77" t="s">
        <v>2111</v>
      </c>
      <c r="B77">
        <v>2</v>
      </c>
      <c r="C77" t="s">
        <v>1538</v>
      </c>
      <c r="D77" t="s">
        <v>1473</v>
      </c>
      <c r="E77">
        <v>2</v>
      </c>
    </row>
    <row r="78" spans="1:5" x14ac:dyDescent="0.15">
      <c r="A78" t="s">
        <v>2112</v>
      </c>
      <c r="B78">
        <v>2</v>
      </c>
      <c r="C78" t="s">
        <v>1538</v>
      </c>
      <c r="D78" t="s">
        <v>1473</v>
      </c>
      <c r="E78">
        <v>0</v>
      </c>
    </row>
    <row r="79" spans="1:5" x14ac:dyDescent="0.15">
      <c r="A79" t="s">
        <v>2113</v>
      </c>
      <c r="B79">
        <v>1</v>
      </c>
      <c r="C79" t="s">
        <v>1530</v>
      </c>
      <c r="D79" t="s">
        <v>1473</v>
      </c>
      <c r="E79">
        <v>0</v>
      </c>
    </row>
    <row r="80" spans="1:5" x14ac:dyDescent="0.15">
      <c r="A80" t="s">
        <v>2061</v>
      </c>
      <c r="B80">
        <v>1</v>
      </c>
      <c r="C80" t="s">
        <v>1538</v>
      </c>
      <c r="D80" t="s">
        <v>1473</v>
      </c>
      <c r="E80">
        <v>4</v>
      </c>
    </row>
    <row r="81" spans="1:5" x14ac:dyDescent="0.15">
      <c r="A81" t="s">
        <v>2065</v>
      </c>
      <c r="B81">
        <v>1</v>
      </c>
      <c r="C81" t="s">
        <v>1538</v>
      </c>
      <c r="D81" t="s">
        <v>1473</v>
      </c>
      <c r="E81">
        <v>4</v>
      </c>
    </row>
    <row r="82" spans="1:5" x14ac:dyDescent="0.15">
      <c r="A82" t="s">
        <v>2082</v>
      </c>
      <c r="B82">
        <v>1</v>
      </c>
      <c r="C82" t="s">
        <v>1538</v>
      </c>
      <c r="D82" t="s">
        <v>1473</v>
      </c>
      <c r="E82">
        <v>0</v>
      </c>
    </row>
    <row r="83" spans="1:5" x14ac:dyDescent="0.15">
      <c r="A83" t="s">
        <v>2070</v>
      </c>
      <c r="B83">
        <v>1</v>
      </c>
      <c r="C83" t="s">
        <v>1538</v>
      </c>
      <c r="D83" t="s">
        <v>1473</v>
      </c>
      <c r="E83">
        <v>2</v>
      </c>
    </row>
    <row r="84" spans="1:5" x14ac:dyDescent="0.15">
      <c r="A84" t="s">
        <v>2067</v>
      </c>
      <c r="B84">
        <v>1</v>
      </c>
      <c r="C84" t="s">
        <v>1538</v>
      </c>
      <c r="D84" t="s">
        <v>1473</v>
      </c>
      <c r="E84">
        <v>2</v>
      </c>
    </row>
    <row r="85" spans="1:5" x14ac:dyDescent="0.15">
      <c r="A85" t="s">
        <v>2114</v>
      </c>
      <c r="B85">
        <v>2</v>
      </c>
      <c r="C85" t="s">
        <v>1538</v>
      </c>
      <c r="D85" t="s">
        <v>1473</v>
      </c>
      <c r="E85">
        <v>0</v>
      </c>
    </row>
    <row r="86" spans="1:5" x14ac:dyDescent="0.15">
      <c r="A86" t="s">
        <v>2115</v>
      </c>
      <c r="B86">
        <v>2</v>
      </c>
      <c r="C86" t="s">
        <v>1538</v>
      </c>
      <c r="D86" t="s">
        <v>1473</v>
      </c>
      <c r="E86">
        <v>0</v>
      </c>
    </row>
    <row r="87" spans="1:5" x14ac:dyDescent="0.15">
      <c r="A87" t="s">
        <v>2116</v>
      </c>
      <c r="B87">
        <v>2</v>
      </c>
      <c r="C87" t="s">
        <v>1538</v>
      </c>
      <c r="D87" t="s">
        <v>1473</v>
      </c>
      <c r="E87">
        <v>0</v>
      </c>
    </row>
    <row r="88" spans="1:5" x14ac:dyDescent="0.15">
      <c r="A88" t="s">
        <v>2117</v>
      </c>
      <c r="B88">
        <v>2</v>
      </c>
      <c r="C88" t="s">
        <v>1538</v>
      </c>
      <c r="D88" t="s">
        <v>1473</v>
      </c>
      <c r="E88">
        <v>0</v>
      </c>
    </row>
    <row r="89" spans="1:5" x14ac:dyDescent="0.15">
      <c r="A89" t="s">
        <v>2118</v>
      </c>
      <c r="B89">
        <v>2</v>
      </c>
      <c r="C89" t="s">
        <v>1538</v>
      </c>
      <c r="D89" t="s">
        <v>1473</v>
      </c>
      <c r="E89">
        <v>0</v>
      </c>
    </row>
    <row r="90" spans="1:5" x14ac:dyDescent="0.15">
      <c r="A90" t="s">
        <v>2119</v>
      </c>
      <c r="B90">
        <v>2</v>
      </c>
      <c r="C90" t="s">
        <v>1538</v>
      </c>
      <c r="D90" t="s">
        <v>1473</v>
      </c>
      <c r="E90">
        <v>0</v>
      </c>
    </row>
    <row r="91" spans="1:5" x14ac:dyDescent="0.15">
      <c r="A91" t="s">
        <v>2120</v>
      </c>
      <c r="B91">
        <v>2</v>
      </c>
      <c r="C91" t="s">
        <v>1538</v>
      </c>
      <c r="D91" t="s">
        <v>1473</v>
      </c>
      <c r="E91">
        <v>0</v>
      </c>
    </row>
    <row r="92" spans="1:5" x14ac:dyDescent="0.15">
      <c r="A92" t="s">
        <v>2121</v>
      </c>
      <c r="B92">
        <v>2</v>
      </c>
      <c r="C92" t="s">
        <v>1538</v>
      </c>
      <c r="D92" t="s">
        <v>1473</v>
      </c>
      <c r="E92">
        <v>0</v>
      </c>
    </row>
    <row r="93" spans="1:5" x14ac:dyDescent="0.15">
      <c r="A93" t="s">
        <v>2122</v>
      </c>
      <c r="B93">
        <v>2</v>
      </c>
      <c r="C93" t="s">
        <v>1538</v>
      </c>
      <c r="D93" t="s">
        <v>1473</v>
      </c>
      <c r="E93">
        <v>0</v>
      </c>
    </row>
    <row r="94" spans="1:5" x14ac:dyDescent="0.15">
      <c r="A94" t="s">
        <v>2123</v>
      </c>
      <c r="B94">
        <v>2</v>
      </c>
      <c r="C94" t="s">
        <v>1538</v>
      </c>
      <c r="D94" t="s">
        <v>1473</v>
      </c>
      <c r="E94">
        <v>0</v>
      </c>
    </row>
    <row r="95" spans="1:5" x14ac:dyDescent="0.15">
      <c r="A95" t="s">
        <v>2084</v>
      </c>
      <c r="B95">
        <v>1</v>
      </c>
      <c r="C95" t="s">
        <v>1538</v>
      </c>
      <c r="D95" t="s">
        <v>1473</v>
      </c>
      <c r="E95">
        <v>4</v>
      </c>
    </row>
    <row r="96" spans="1:5" x14ac:dyDescent="0.15">
      <c r="A96" t="s">
        <v>2124</v>
      </c>
      <c r="B96">
        <v>2</v>
      </c>
      <c r="C96" t="s">
        <v>1538</v>
      </c>
      <c r="D96" t="s">
        <v>1473</v>
      </c>
      <c r="E96">
        <v>0</v>
      </c>
    </row>
    <row r="97" spans="1:5" x14ac:dyDescent="0.15">
      <c r="A97" t="s">
        <v>2125</v>
      </c>
      <c r="B97">
        <v>2</v>
      </c>
      <c r="C97" t="s">
        <v>1538</v>
      </c>
      <c r="D97" t="s">
        <v>1473</v>
      </c>
      <c r="E97">
        <v>0</v>
      </c>
    </row>
    <row r="98" spans="1:5" x14ac:dyDescent="0.15">
      <c r="A98" t="s">
        <v>2126</v>
      </c>
      <c r="B98">
        <v>2</v>
      </c>
      <c r="C98" t="s">
        <v>1538</v>
      </c>
      <c r="D98" t="s">
        <v>1473</v>
      </c>
      <c r="E98">
        <v>0</v>
      </c>
    </row>
    <row r="99" spans="1:5" x14ac:dyDescent="0.15">
      <c r="A99" t="s">
        <v>2127</v>
      </c>
      <c r="B99">
        <v>2</v>
      </c>
      <c r="C99" t="s">
        <v>1538</v>
      </c>
      <c r="D99" t="s">
        <v>1473</v>
      </c>
      <c r="E99">
        <v>0</v>
      </c>
    </row>
    <row r="100" spans="1:5" x14ac:dyDescent="0.15">
      <c r="A100" t="s">
        <v>2128</v>
      </c>
      <c r="B100">
        <v>2</v>
      </c>
      <c r="C100" t="s">
        <v>1538</v>
      </c>
      <c r="D100" t="s">
        <v>1473</v>
      </c>
      <c r="E100">
        <v>0</v>
      </c>
    </row>
    <row r="101" spans="1:5" x14ac:dyDescent="0.15">
      <c r="A101" t="s">
        <v>2129</v>
      </c>
      <c r="B101">
        <v>2</v>
      </c>
      <c r="C101" t="s">
        <v>1538</v>
      </c>
      <c r="D101" t="s">
        <v>1473</v>
      </c>
      <c r="E101">
        <v>0</v>
      </c>
    </row>
    <row r="102" spans="1:5" x14ac:dyDescent="0.15">
      <c r="A102" t="s">
        <v>2130</v>
      </c>
      <c r="B102">
        <v>2</v>
      </c>
      <c r="C102" t="s">
        <v>1538</v>
      </c>
      <c r="D102" t="s">
        <v>1473</v>
      </c>
      <c r="E102">
        <v>0</v>
      </c>
    </row>
    <row r="103" spans="1:5" x14ac:dyDescent="0.15">
      <c r="A103" t="s">
        <v>2111</v>
      </c>
      <c r="B103">
        <v>2</v>
      </c>
      <c r="C103" t="s">
        <v>1538</v>
      </c>
      <c r="D103" t="s">
        <v>1473</v>
      </c>
      <c r="E103">
        <v>0</v>
      </c>
    </row>
    <row r="104" spans="1:5" x14ac:dyDescent="0.15">
      <c r="A104" t="s">
        <v>2131</v>
      </c>
      <c r="B104">
        <v>2</v>
      </c>
      <c r="C104" t="s">
        <v>1528</v>
      </c>
      <c r="D104" t="s">
        <v>1473</v>
      </c>
      <c r="E104">
        <v>0</v>
      </c>
    </row>
    <row r="105" spans="1:5" x14ac:dyDescent="0.15">
      <c r="A105" t="s">
        <v>2132</v>
      </c>
      <c r="B105">
        <v>2</v>
      </c>
      <c r="C105" t="s">
        <v>1538</v>
      </c>
      <c r="D105" t="s">
        <v>1473</v>
      </c>
      <c r="E105">
        <v>0</v>
      </c>
    </row>
    <row r="106" spans="1:5" x14ac:dyDescent="0.15">
      <c r="A106" t="s">
        <v>2133</v>
      </c>
      <c r="B106">
        <v>2</v>
      </c>
      <c r="C106" t="s">
        <v>1538</v>
      </c>
      <c r="D106" t="s">
        <v>1473</v>
      </c>
      <c r="E106">
        <v>0</v>
      </c>
    </row>
    <row r="107" spans="1:5" x14ac:dyDescent="0.15">
      <c r="A107" t="s">
        <v>2134</v>
      </c>
      <c r="B107">
        <v>2</v>
      </c>
      <c r="C107" t="s">
        <v>1538</v>
      </c>
      <c r="D107" t="s">
        <v>1473</v>
      </c>
      <c r="E107">
        <v>0</v>
      </c>
    </row>
    <row r="108" spans="1:5" x14ac:dyDescent="0.15">
      <c r="A108" t="s">
        <v>2135</v>
      </c>
      <c r="B108">
        <v>2</v>
      </c>
      <c r="C108" t="s">
        <v>1538</v>
      </c>
      <c r="D108" t="s">
        <v>1473</v>
      </c>
      <c r="E108">
        <v>2</v>
      </c>
    </row>
    <row r="109" spans="1:5" x14ac:dyDescent="0.15">
      <c r="A109" t="s">
        <v>2135</v>
      </c>
      <c r="B109">
        <v>2</v>
      </c>
      <c r="C109" t="s">
        <v>1538</v>
      </c>
      <c r="D109" t="s">
        <v>1473</v>
      </c>
      <c r="E109">
        <v>0</v>
      </c>
    </row>
    <row r="110" spans="1:5" x14ac:dyDescent="0.15">
      <c r="A110" t="s">
        <v>2136</v>
      </c>
      <c r="B110">
        <v>2</v>
      </c>
      <c r="C110" t="s">
        <v>1538</v>
      </c>
      <c r="D110" t="s">
        <v>1473</v>
      </c>
      <c r="E110">
        <v>0</v>
      </c>
    </row>
    <row r="111" spans="1:5" x14ac:dyDescent="0.15">
      <c r="A111" t="s">
        <v>2137</v>
      </c>
      <c r="B111">
        <v>2</v>
      </c>
      <c r="C111" t="s">
        <v>1538</v>
      </c>
      <c r="D111" t="s">
        <v>1473</v>
      </c>
      <c r="E111">
        <v>0</v>
      </c>
    </row>
    <row r="112" spans="1:5" x14ac:dyDescent="0.15">
      <c r="A112" t="s">
        <v>2138</v>
      </c>
      <c r="B112">
        <v>2</v>
      </c>
      <c r="C112" t="s">
        <v>1538</v>
      </c>
      <c r="D112" t="s">
        <v>1473</v>
      </c>
      <c r="E112">
        <v>0</v>
      </c>
    </row>
    <row r="113" spans="1:5" x14ac:dyDescent="0.15">
      <c r="A113" t="s">
        <v>2139</v>
      </c>
      <c r="B113">
        <v>2</v>
      </c>
      <c r="C113" t="s">
        <v>1528</v>
      </c>
      <c r="D113" t="s">
        <v>1473</v>
      </c>
      <c r="E113">
        <v>0</v>
      </c>
    </row>
    <row r="114" spans="1:5" x14ac:dyDescent="0.15">
      <c r="A114" t="s">
        <v>2140</v>
      </c>
      <c r="B114">
        <v>2</v>
      </c>
      <c r="C114" t="s">
        <v>1538</v>
      </c>
      <c r="D114" t="s">
        <v>1473</v>
      </c>
      <c r="E114">
        <v>0</v>
      </c>
    </row>
    <row r="115" spans="1:5" x14ac:dyDescent="0.15">
      <c r="A115" t="s">
        <v>2141</v>
      </c>
      <c r="B115">
        <v>2</v>
      </c>
      <c r="C115" t="s">
        <v>1530</v>
      </c>
      <c r="D115" t="s">
        <v>1473</v>
      </c>
      <c r="E115">
        <v>2</v>
      </c>
    </row>
    <row r="116" spans="1:5" x14ac:dyDescent="0.15">
      <c r="A116" t="s">
        <v>2093</v>
      </c>
      <c r="B116">
        <v>1</v>
      </c>
      <c r="C116" t="s">
        <v>1538</v>
      </c>
      <c r="D116" t="s">
        <v>1473</v>
      </c>
      <c r="E116">
        <v>2</v>
      </c>
    </row>
    <row r="117" spans="1:5" x14ac:dyDescent="0.15">
      <c r="A117" t="s">
        <v>2142</v>
      </c>
      <c r="B117">
        <v>2</v>
      </c>
      <c r="C117" t="s">
        <v>1530</v>
      </c>
      <c r="D117" t="s">
        <v>1473</v>
      </c>
      <c r="E117">
        <v>0</v>
      </c>
    </row>
    <row r="118" spans="1:5" x14ac:dyDescent="0.15">
      <c r="A118" t="s">
        <v>2143</v>
      </c>
      <c r="B118">
        <v>2</v>
      </c>
      <c r="C118" t="s">
        <v>1530</v>
      </c>
      <c r="D118" t="s">
        <v>1473</v>
      </c>
      <c r="E118">
        <v>0</v>
      </c>
    </row>
    <row r="119" spans="1:5" x14ac:dyDescent="0.15">
      <c r="A119" t="s">
        <v>2144</v>
      </c>
      <c r="B119">
        <v>2</v>
      </c>
      <c r="C119" t="s">
        <v>1538</v>
      </c>
      <c r="D119" t="s">
        <v>1473</v>
      </c>
      <c r="E119">
        <v>0</v>
      </c>
    </row>
    <row r="120" spans="1:5" x14ac:dyDescent="0.15">
      <c r="A120" t="s">
        <v>2145</v>
      </c>
      <c r="B120">
        <v>2</v>
      </c>
      <c r="C120" t="s">
        <v>1538</v>
      </c>
      <c r="D120" t="s">
        <v>1473</v>
      </c>
      <c r="E120">
        <v>0</v>
      </c>
    </row>
    <row r="121" spans="1:5" x14ac:dyDescent="0.15">
      <c r="A121" t="s">
        <v>2146</v>
      </c>
      <c r="B121">
        <v>2</v>
      </c>
      <c r="C121" t="s">
        <v>1528</v>
      </c>
      <c r="D121" t="s">
        <v>1473</v>
      </c>
      <c r="E121">
        <v>0</v>
      </c>
    </row>
    <row r="122" spans="1:5" x14ac:dyDescent="0.15">
      <c r="A122" t="s">
        <v>2147</v>
      </c>
      <c r="B122">
        <v>2</v>
      </c>
      <c r="C122" t="s">
        <v>1538</v>
      </c>
      <c r="D122" t="s">
        <v>1473</v>
      </c>
      <c r="E122">
        <v>0</v>
      </c>
    </row>
    <row r="123" spans="1:5" x14ac:dyDescent="0.15">
      <c r="A123" t="s">
        <v>2071</v>
      </c>
      <c r="B123">
        <v>2</v>
      </c>
      <c r="C123" t="s">
        <v>1538</v>
      </c>
      <c r="D123" t="s">
        <v>1473</v>
      </c>
      <c r="E123">
        <v>0</v>
      </c>
    </row>
    <row r="124" spans="1:5" x14ac:dyDescent="0.15">
      <c r="A124" t="s">
        <v>2148</v>
      </c>
      <c r="B124">
        <v>2</v>
      </c>
      <c r="C124" t="s">
        <v>1538</v>
      </c>
      <c r="D124" t="s">
        <v>1473</v>
      </c>
      <c r="E124">
        <v>0</v>
      </c>
    </row>
    <row r="125" spans="1:5" x14ac:dyDescent="0.15">
      <c r="A125" t="s">
        <v>2149</v>
      </c>
      <c r="B125">
        <v>2</v>
      </c>
      <c r="C125" t="s">
        <v>1530</v>
      </c>
      <c r="D125" t="s">
        <v>1473</v>
      </c>
      <c r="E125">
        <v>0</v>
      </c>
    </row>
    <row r="126" spans="1:5" x14ac:dyDescent="0.15">
      <c r="A126" t="s">
        <v>2150</v>
      </c>
      <c r="B126">
        <v>2</v>
      </c>
      <c r="C126" t="s">
        <v>1538</v>
      </c>
      <c r="D126" t="s">
        <v>1473</v>
      </c>
      <c r="E126">
        <v>0</v>
      </c>
    </row>
    <row r="127" spans="1:5" x14ac:dyDescent="0.15">
      <c r="A127" t="s">
        <v>2151</v>
      </c>
      <c r="B127">
        <v>2</v>
      </c>
      <c r="C127" t="s">
        <v>1530</v>
      </c>
      <c r="D127" t="s">
        <v>1473</v>
      </c>
      <c r="E127">
        <v>0</v>
      </c>
    </row>
    <row r="128" spans="1:5" x14ac:dyDescent="0.15">
      <c r="A128" t="s">
        <v>2152</v>
      </c>
      <c r="B128">
        <v>2</v>
      </c>
      <c r="C128" t="s">
        <v>1538</v>
      </c>
      <c r="D128" t="s">
        <v>1473</v>
      </c>
      <c r="E128">
        <v>0</v>
      </c>
    </row>
    <row r="129" spans="1:5" x14ac:dyDescent="0.15">
      <c r="A129" t="s">
        <v>2153</v>
      </c>
      <c r="B129">
        <v>2</v>
      </c>
      <c r="C129" t="s">
        <v>1538</v>
      </c>
      <c r="D129" t="s">
        <v>1473</v>
      </c>
      <c r="E129">
        <v>0</v>
      </c>
    </row>
    <row r="130" spans="1:5" x14ac:dyDescent="0.15">
      <c r="A130" t="s">
        <v>2154</v>
      </c>
      <c r="B130">
        <v>2</v>
      </c>
      <c r="C130" t="s">
        <v>1538</v>
      </c>
      <c r="D130" t="s">
        <v>1473</v>
      </c>
      <c r="E130">
        <v>0</v>
      </c>
    </row>
    <row r="131" spans="1:5" x14ac:dyDescent="0.15">
      <c r="A131" t="s">
        <v>2155</v>
      </c>
      <c r="B131">
        <v>2</v>
      </c>
      <c r="C131" t="s">
        <v>1538</v>
      </c>
      <c r="D131" t="s">
        <v>1473</v>
      </c>
      <c r="E131">
        <v>0</v>
      </c>
    </row>
    <row r="132" spans="1:5" x14ac:dyDescent="0.15">
      <c r="A132" t="s">
        <v>2156</v>
      </c>
      <c r="B132">
        <v>1</v>
      </c>
      <c r="C132" t="s">
        <v>1538</v>
      </c>
      <c r="D132" t="s">
        <v>1473</v>
      </c>
      <c r="E132">
        <v>0</v>
      </c>
    </row>
    <row r="133" spans="1:5" x14ac:dyDescent="0.15">
      <c r="A133" t="s">
        <v>2157</v>
      </c>
      <c r="B133">
        <v>2</v>
      </c>
      <c r="C133" t="s">
        <v>1538</v>
      </c>
      <c r="D133" t="s">
        <v>1473</v>
      </c>
      <c r="E133">
        <v>0</v>
      </c>
    </row>
    <row r="134" spans="1:5" x14ac:dyDescent="0.15">
      <c r="A134" t="s">
        <v>2158</v>
      </c>
      <c r="B134">
        <v>2</v>
      </c>
      <c r="C134" t="s">
        <v>1538</v>
      </c>
      <c r="D134" t="s">
        <v>1473</v>
      </c>
      <c r="E134">
        <v>0</v>
      </c>
    </row>
    <row r="135" spans="1:5" x14ac:dyDescent="0.15">
      <c r="A135" t="s">
        <v>2159</v>
      </c>
      <c r="B135">
        <v>2</v>
      </c>
      <c r="C135" t="s">
        <v>1538</v>
      </c>
      <c r="D135" t="s">
        <v>1473</v>
      </c>
      <c r="E135">
        <v>0</v>
      </c>
    </row>
    <row r="136" spans="1:5" x14ac:dyDescent="0.15">
      <c r="A136" t="s">
        <v>2160</v>
      </c>
      <c r="B136">
        <v>2</v>
      </c>
      <c r="C136" t="s">
        <v>1538</v>
      </c>
      <c r="D136" t="s">
        <v>1473</v>
      </c>
      <c r="E136">
        <v>0</v>
      </c>
    </row>
    <row r="137" spans="1:5" x14ac:dyDescent="0.15">
      <c r="A137" t="s">
        <v>2161</v>
      </c>
      <c r="B137">
        <v>2</v>
      </c>
      <c r="C137" t="s">
        <v>1538</v>
      </c>
      <c r="D137" t="s">
        <v>1473</v>
      </c>
      <c r="E137">
        <v>0</v>
      </c>
    </row>
    <row r="138" spans="1:5" x14ac:dyDescent="0.15">
      <c r="A138" t="s">
        <v>2162</v>
      </c>
      <c r="B138">
        <v>2</v>
      </c>
      <c r="C138" t="s">
        <v>1530</v>
      </c>
      <c r="D138" t="s">
        <v>1473</v>
      </c>
      <c r="E138">
        <v>0</v>
      </c>
    </row>
    <row r="139" spans="1:5" x14ac:dyDescent="0.15">
      <c r="A139" t="s">
        <v>2163</v>
      </c>
      <c r="B139">
        <v>2</v>
      </c>
      <c r="C139" t="s">
        <v>1538</v>
      </c>
      <c r="D139" t="s">
        <v>1473</v>
      </c>
      <c r="E139">
        <v>0</v>
      </c>
    </row>
    <row r="140" spans="1:5" x14ac:dyDescent="0.15">
      <c r="A140" t="s">
        <v>2164</v>
      </c>
      <c r="B140">
        <v>2</v>
      </c>
      <c r="C140" t="s">
        <v>1538</v>
      </c>
      <c r="D140" t="s">
        <v>1473</v>
      </c>
      <c r="E140">
        <v>0</v>
      </c>
    </row>
    <row r="141" spans="1:5" x14ac:dyDescent="0.15">
      <c r="A141" t="s">
        <v>2165</v>
      </c>
      <c r="B141">
        <v>2</v>
      </c>
      <c r="C141" t="s">
        <v>1538</v>
      </c>
      <c r="D141" t="s">
        <v>1473</v>
      </c>
      <c r="E141">
        <v>0</v>
      </c>
    </row>
    <row r="142" spans="1:5" x14ac:dyDescent="0.15">
      <c r="A142" t="s">
        <v>2166</v>
      </c>
      <c r="B142">
        <v>2</v>
      </c>
      <c r="C142" t="s">
        <v>1538</v>
      </c>
      <c r="D142" t="s">
        <v>1473</v>
      </c>
      <c r="E142">
        <v>0</v>
      </c>
    </row>
    <row r="143" spans="1:5" x14ac:dyDescent="0.15">
      <c r="A143" t="s">
        <v>2167</v>
      </c>
      <c r="B143">
        <v>2</v>
      </c>
      <c r="C143" t="s">
        <v>1538</v>
      </c>
      <c r="D143" t="s">
        <v>1473</v>
      </c>
      <c r="E143">
        <v>0</v>
      </c>
    </row>
    <row r="144" spans="1:5" x14ac:dyDescent="0.15">
      <c r="A144" t="s">
        <v>2168</v>
      </c>
      <c r="B144">
        <v>2</v>
      </c>
      <c r="C144" t="s">
        <v>1538</v>
      </c>
      <c r="D144" t="s">
        <v>1473</v>
      </c>
      <c r="E144">
        <v>0</v>
      </c>
    </row>
    <row r="145" spans="1:5" x14ac:dyDescent="0.15">
      <c r="A145" t="s">
        <v>2056</v>
      </c>
      <c r="B145">
        <v>1</v>
      </c>
      <c r="C145" t="s">
        <v>1538</v>
      </c>
      <c r="D145" t="s">
        <v>1473</v>
      </c>
      <c r="E145">
        <v>2</v>
      </c>
    </row>
    <row r="146" spans="1:5" x14ac:dyDescent="0.15">
      <c r="A146" t="s">
        <v>2169</v>
      </c>
      <c r="B146">
        <v>2</v>
      </c>
      <c r="C146" t="s">
        <v>1538</v>
      </c>
      <c r="D146" t="s">
        <v>1473</v>
      </c>
      <c r="E146">
        <v>0</v>
      </c>
    </row>
    <row r="147" spans="1:5" x14ac:dyDescent="0.15">
      <c r="A147" t="s">
        <v>2170</v>
      </c>
      <c r="B147">
        <v>2</v>
      </c>
      <c r="C147" t="s">
        <v>1538</v>
      </c>
      <c r="D147" t="s">
        <v>1473</v>
      </c>
      <c r="E147">
        <v>0</v>
      </c>
    </row>
    <row r="148" spans="1:5" x14ac:dyDescent="0.15">
      <c r="A148" t="s">
        <v>2171</v>
      </c>
      <c r="B148">
        <v>2</v>
      </c>
      <c r="C148" t="s">
        <v>1538</v>
      </c>
      <c r="D148" t="s">
        <v>1473</v>
      </c>
      <c r="E148">
        <v>0</v>
      </c>
    </row>
    <row r="149" spans="1:5" x14ac:dyDescent="0.15">
      <c r="A149" t="s">
        <v>2172</v>
      </c>
      <c r="B149">
        <v>2</v>
      </c>
      <c r="C149" t="s">
        <v>1538</v>
      </c>
      <c r="D149" t="s">
        <v>1473</v>
      </c>
      <c r="E149">
        <v>0</v>
      </c>
    </row>
    <row r="150" spans="1:5" x14ac:dyDescent="0.15">
      <c r="A150" t="s">
        <v>2061</v>
      </c>
      <c r="B150">
        <v>1</v>
      </c>
      <c r="C150" t="s">
        <v>1538</v>
      </c>
      <c r="D150" t="s">
        <v>1473</v>
      </c>
      <c r="E150">
        <v>2</v>
      </c>
    </row>
    <row r="151" spans="1:5" x14ac:dyDescent="0.15">
      <c r="A151" t="s">
        <v>2173</v>
      </c>
      <c r="B151">
        <v>2</v>
      </c>
      <c r="C151" t="s">
        <v>1532</v>
      </c>
      <c r="D151" t="s">
        <v>1473</v>
      </c>
      <c r="E151">
        <v>0</v>
      </c>
    </row>
    <row r="152" spans="1:5" x14ac:dyDescent="0.15">
      <c r="A152" t="s">
        <v>2102</v>
      </c>
      <c r="B152">
        <v>1</v>
      </c>
      <c r="C152" t="s">
        <v>1538</v>
      </c>
      <c r="D152" t="s">
        <v>1473</v>
      </c>
      <c r="E152">
        <v>4</v>
      </c>
    </row>
    <row r="153" spans="1:5" x14ac:dyDescent="0.15">
      <c r="A153" t="s">
        <v>2174</v>
      </c>
      <c r="B153">
        <v>2</v>
      </c>
      <c r="C153" t="s">
        <v>1538</v>
      </c>
      <c r="D153" t="s">
        <v>1473</v>
      </c>
      <c r="E153">
        <v>0</v>
      </c>
    </row>
    <row r="154" spans="1:5" x14ac:dyDescent="0.15">
      <c r="A154" t="s">
        <v>2097</v>
      </c>
      <c r="B154">
        <v>1</v>
      </c>
      <c r="C154" t="s">
        <v>1538</v>
      </c>
      <c r="D154" t="s">
        <v>1473</v>
      </c>
      <c r="E154">
        <v>2</v>
      </c>
    </row>
    <row r="155" spans="1:5" x14ac:dyDescent="0.15">
      <c r="A155" t="s">
        <v>2085</v>
      </c>
      <c r="B155">
        <v>1</v>
      </c>
      <c r="C155" t="s">
        <v>1538</v>
      </c>
      <c r="D155" t="s">
        <v>1473</v>
      </c>
      <c r="E155">
        <v>4</v>
      </c>
    </row>
    <row r="156" spans="1:5" x14ac:dyDescent="0.15">
      <c r="A156" t="s">
        <v>2175</v>
      </c>
      <c r="B156">
        <v>2</v>
      </c>
      <c r="C156" t="s">
        <v>1538</v>
      </c>
      <c r="D156" t="s">
        <v>1473</v>
      </c>
      <c r="E156">
        <v>0</v>
      </c>
    </row>
    <row r="157" spans="1:5" x14ac:dyDescent="0.15">
      <c r="A157" t="s">
        <v>2176</v>
      </c>
      <c r="B157">
        <v>2</v>
      </c>
      <c r="C157" t="s">
        <v>1538</v>
      </c>
      <c r="D157" t="s">
        <v>1473</v>
      </c>
      <c r="E157">
        <v>0</v>
      </c>
    </row>
    <row r="158" spans="1:5" x14ac:dyDescent="0.15">
      <c r="A158" t="s">
        <v>2177</v>
      </c>
      <c r="B158">
        <v>2</v>
      </c>
      <c r="C158" t="s">
        <v>1538</v>
      </c>
      <c r="D158" t="s">
        <v>1473</v>
      </c>
      <c r="E158">
        <v>0</v>
      </c>
    </row>
    <row r="159" spans="1:5" x14ac:dyDescent="0.15">
      <c r="A159" t="s">
        <v>2178</v>
      </c>
      <c r="B159">
        <v>2</v>
      </c>
      <c r="C159" t="s">
        <v>1538</v>
      </c>
      <c r="D159" t="s">
        <v>1473</v>
      </c>
      <c r="E159">
        <v>0</v>
      </c>
    </row>
    <row r="160" spans="1:5" x14ac:dyDescent="0.15">
      <c r="A160" t="s">
        <v>2179</v>
      </c>
      <c r="B160">
        <v>1</v>
      </c>
      <c r="C160" t="s">
        <v>1530</v>
      </c>
      <c r="D160" t="s">
        <v>1473</v>
      </c>
      <c r="E160">
        <v>0</v>
      </c>
    </row>
    <row r="161" spans="1:5" x14ac:dyDescent="0.15">
      <c r="A161" t="s">
        <v>2180</v>
      </c>
      <c r="B161">
        <v>1</v>
      </c>
      <c r="C161" t="s">
        <v>1538</v>
      </c>
      <c r="D161" t="s">
        <v>1473</v>
      </c>
      <c r="E161">
        <v>0</v>
      </c>
    </row>
    <row r="162" spans="1:5" x14ac:dyDescent="0.15">
      <c r="A162" t="s">
        <v>2181</v>
      </c>
      <c r="B162">
        <v>1</v>
      </c>
      <c r="C162" t="s">
        <v>1528</v>
      </c>
      <c r="D162" t="s">
        <v>1473</v>
      </c>
      <c r="E162">
        <v>0</v>
      </c>
    </row>
    <row r="163" spans="1:5" x14ac:dyDescent="0.15">
      <c r="A163" t="s">
        <v>2182</v>
      </c>
      <c r="B163">
        <v>1</v>
      </c>
      <c r="C163" t="s">
        <v>1526</v>
      </c>
      <c r="D163" t="s">
        <v>1473</v>
      </c>
      <c r="E163">
        <v>0</v>
      </c>
    </row>
    <row r="164" spans="1:5" x14ac:dyDescent="0.15">
      <c r="A164" t="s">
        <v>2183</v>
      </c>
      <c r="B164">
        <v>4</v>
      </c>
      <c r="C164" t="s">
        <v>1538</v>
      </c>
      <c r="D164" t="s">
        <v>1473</v>
      </c>
      <c r="E164">
        <v>0</v>
      </c>
    </row>
    <row r="165" spans="1:5" x14ac:dyDescent="0.15">
      <c r="A165" t="s">
        <v>2183</v>
      </c>
      <c r="B165">
        <v>4</v>
      </c>
      <c r="C165" t="s">
        <v>1538</v>
      </c>
      <c r="D165" t="s">
        <v>1473</v>
      </c>
      <c r="E165">
        <v>2</v>
      </c>
    </row>
    <row r="166" spans="1:5" x14ac:dyDescent="0.15">
      <c r="A166" t="s">
        <v>2184</v>
      </c>
      <c r="B166">
        <v>2</v>
      </c>
      <c r="C166" t="s">
        <v>1526</v>
      </c>
      <c r="D166" t="s">
        <v>1473</v>
      </c>
      <c r="E166">
        <v>4</v>
      </c>
    </row>
    <row r="167" spans="1:5" x14ac:dyDescent="0.15">
      <c r="A167" t="s">
        <v>2184</v>
      </c>
      <c r="B167">
        <v>2</v>
      </c>
      <c r="C167" t="s">
        <v>1526</v>
      </c>
      <c r="D167" t="s">
        <v>1473</v>
      </c>
      <c r="E167">
        <v>0</v>
      </c>
    </row>
    <row r="168" spans="1:5" x14ac:dyDescent="0.15">
      <c r="A168" t="s">
        <v>2185</v>
      </c>
      <c r="B168">
        <v>2</v>
      </c>
      <c r="C168" t="s">
        <v>1534</v>
      </c>
      <c r="D168" t="s">
        <v>1473</v>
      </c>
      <c r="E168">
        <v>0</v>
      </c>
    </row>
    <row r="169" spans="1:5" x14ac:dyDescent="0.15">
      <c r="A169" t="s">
        <v>2186</v>
      </c>
      <c r="B169">
        <v>1</v>
      </c>
      <c r="C169" t="s">
        <v>1538</v>
      </c>
      <c r="D169" t="s">
        <v>1473</v>
      </c>
      <c r="E169">
        <v>2</v>
      </c>
    </row>
    <row r="170" spans="1:5" x14ac:dyDescent="0.15">
      <c r="A170" t="s">
        <v>2187</v>
      </c>
      <c r="B170">
        <v>4</v>
      </c>
      <c r="C170" t="s">
        <v>1528</v>
      </c>
      <c r="D170" t="s">
        <v>1473</v>
      </c>
      <c r="E170">
        <v>0</v>
      </c>
    </row>
    <row r="171" spans="1:5" x14ac:dyDescent="0.15">
      <c r="A171" t="s">
        <v>2188</v>
      </c>
      <c r="B171">
        <v>2</v>
      </c>
      <c r="C171" t="s">
        <v>1534</v>
      </c>
      <c r="D171" t="s">
        <v>1473</v>
      </c>
      <c r="E171">
        <v>0</v>
      </c>
    </row>
    <row r="172" spans="1:5" x14ac:dyDescent="0.15">
      <c r="A172" t="s">
        <v>2189</v>
      </c>
      <c r="B172">
        <v>1</v>
      </c>
      <c r="C172" t="s">
        <v>1530</v>
      </c>
      <c r="D172" t="s">
        <v>1473</v>
      </c>
      <c r="E172">
        <v>0</v>
      </c>
    </row>
    <row r="173" spans="1:5" x14ac:dyDescent="0.15">
      <c r="A173" t="s">
        <v>2190</v>
      </c>
      <c r="B173">
        <v>2</v>
      </c>
      <c r="C173" t="s">
        <v>1534</v>
      </c>
      <c r="D173" t="s">
        <v>1473</v>
      </c>
      <c r="E173">
        <v>0</v>
      </c>
    </row>
    <row r="174" spans="1:5" x14ac:dyDescent="0.15">
      <c r="A174" t="s">
        <v>2191</v>
      </c>
      <c r="B174">
        <v>2</v>
      </c>
      <c r="C174" t="s">
        <v>1534</v>
      </c>
      <c r="D174" t="s">
        <v>1473</v>
      </c>
      <c r="E174">
        <v>0</v>
      </c>
    </row>
    <row r="175" spans="1:5" x14ac:dyDescent="0.15">
      <c r="A175" t="s">
        <v>2192</v>
      </c>
      <c r="B175">
        <v>2</v>
      </c>
      <c r="C175" t="s">
        <v>1532</v>
      </c>
      <c r="D175" t="s">
        <v>1473</v>
      </c>
      <c r="E175">
        <v>0</v>
      </c>
    </row>
    <row r="176" spans="1:5" x14ac:dyDescent="0.15">
      <c r="A176" t="s">
        <v>2192</v>
      </c>
      <c r="B176">
        <v>2</v>
      </c>
      <c r="C176" t="s">
        <v>1532</v>
      </c>
      <c r="D176" t="s">
        <v>1473</v>
      </c>
      <c r="E176">
        <v>2</v>
      </c>
    </row>
    <row r="177" spans="1:5" x14ac:dyDescent="0.15">
      <c r="A177" t="s">
        <v>2192</v>
      </c>
      <c r="B177">
        <v>2</v>
      </c>
      <c r="C177" t="s">
        <v>1532</v>
      </c>
      <c r="D177" t="s">
        <v>1473</v>
      </c>
      <c r="E177">
        <v>4</v>
      </c>
    </row>
    <row r="178" spans="1:5" x14ac:dyDescent="0.15">
      <c r="A178" t="s">
        <v>2193</v>
      </c>
      <c r="B178">
        <v>4</v>
      </c>
      <c r="C178" t="s">
        <v>1526</v>
      </c>
      <c r="D178" t="s">
        <v>1473</v>
      </c>
      <c r="E178">
        <v>0</v>
      </c>
    </row>
    <row r="179" spans="1:5" x14ac:dyDescent="0.15">
      <c r="A179" t="s">
        <v>2194</v>
      </c>
      <c r="B179">
        <v>1</v>
      </c>
      <c r="C179" t="s">
        <v>1532</v>
      </c>
      <c r="D179" t="s">
        <v>1473</v>
      </c>
      <c r="E179">
        <v>0</v>
      </c>
    </row>
    <row r="180" spans="1:5" x14ac:dyDescent="0.15">
      <c r="A180" t="s">
        <v>2195</v>
      </c>
      <c r="B180">
        <v>2</v>
      </c>
      <c r="C180" t="s">
        <v>1526</v>
      </c>
      <c r="D180" t="s">
        <v>1473</v>
      </c>
      <c r="E180">
        <v>2</v>
      </c>
    </row>
    <row r="181" spans="1:5" x14ac:dyDescent="0.15">
      <c r="A181" t="s">
        <v>2196</v>
      </c>
      <c r="B181">
        <v>2</v>
      </c>
      <c r="C181" t="s">
        <v>1534</v>
      </c>
      <c r="D181" t="s">
        <v>1473</v>
      </c>
      <c r="E181">
        <v>0</v>
      </c>
    </row>
    <row r="182" spans="1:5" x14ac:dyDescent="0.15">
      <c r="A182" t="s">
        <v>2197</v>
      </c>
      <c r="B182">
        <v>2</v>
      </c>
      <c r="C182" t="s">
        <v>1534</v>
      </c>
      <c r="D182" t="s">
        <v>1473</v>
      </c>
      <c r="E182">
        <v>2</v>
      </c>
    </row>
    <row r="183" spans="1:5" x14ac:dyDescent="0.15">
      <c r="A183" t="s">
        <v>2198</v>
      </c>
      <c r="B183">
        <v>2</v>
      </c>
      <c r="C183" t="s">
        <v>1526</v>
      </c>
      <c r="D183" t="s">
        <v>1473</v>
      </c>
      <c r="E183">
        <v>0</v>
      </c>
    </row>
    <row r="184" spans="1:5" x14ac:dyDescent="0.15">
      <c r="A184" t="s">
        <v>2199</v>
      </c>
      <c r="B184">
        <v>2</v>
      </c>
      <c r="C184" t="s">
        <v>1534</v>
      </c>
      <c r="D184" t="s">
        <v>1473</v>
      </c>
      <c r="E184">
        <v>2</v>
      </c>
    </row>
    <row r="185" spans="1:5" x14ac:dyDescent="0.15">
      <c r="A185" t="s">
        <v>2199</v>
      </c>
      <c r="B185">
        <v>2</v>
      </c>
      <c r="C185" t="s">
        <v>1534</v>
      </c>
      <c r="D185" t="s">
        <v>1473</v>
      </c>
      <c r="E185">
        <v>0</v>
      </c>
    </row>
    <row r="186" spans="1:5" x14ac:dyDescent="0.15">
      <c r="A186" t="s">
        <v>2200</v>
      </c>
      <c r="B186">
        <v>2</v>
      </c>
      <c r="C186" t="s">
        <v>1534</v>
      </c>
      <c r="D186" t="s">
        <v>1473</v>
      </c>
      <c r="E186">
        <v>0</v>
      </c>
    </row>
    <row r="187" spans="1:5" x14ac:dyDescent="0.15">
      <c r="A187" t="s">
        <v>2201</v>
      </c>
      <c r="B187">
        <v>2</v>
      </c>
      <c r="C187" t="s">
        <v>1526</v>
      </c>
      <c r="D187" t="s">
        <v>1473</v>
      </c>
      <c r="E187">
        <v>0</v>
      </c>
    </row>
    <row r="188" spans="1:5" x14ac:dyDescent="0.15">
      <c r="A188" t="s">
        <v>2202</v>
      </c>
      <c r="B188">
        <v>1</v>
      </c>
      <c r="C188" t="s">
        <v>1530</v>
      </c>
      <c r="D188" t="s">
        <v>1473</v>
      </c>
      <c r="E188">
        <v>0</v>
      </c>
    </row>
    <row r="189" spans="1:5" x14ac:dyDescent="0.15">
      <c r="A189" t="s">
        <v>2203</v>
      </c>
      <c r="B189">
        <v>2</v>
      </c>
      <c r="C189" t="s">
        <v>1534</v>
      </c>
      <c r="D189" t="s">
        <v>1473</v>
      </c>
      <c r="E189">
        <v>0</v>
      </c>
    </row>
    <row r="190" spans="1:5" x14ac:dyDescent="0.15">
      <c r="A190" t="s">
        <v>2204</v>
      </c>
      <c r="B190">
        <v>2</v>
      </c>
      <c r="C190" t="s">
        <v>1534</v>
      </c>
      <c r="D190" t="s">
        <v>1473</v>
      </c>
      <c r="E190">
        <v>0</v>
      </c>
    </row>
    <row r="191" spans="1:5" x14ac:dyDescent="0.15">
      <c r="A191" t="s">
        <v>2202</v>
      </c>
      <c r="B191">
        <v>1</v>
      </c>
      <c r="C191" t="s">
        <v>1530</v>
      </c>
      <c r="D191" t="s">
        <v>1473</v>
      </c>
      <c r="E191">
        <v>4</v>
      </c>
    </row>
    <row r="192" spans="1:5" x14ac:dyDescent="0.15">
      <c r="A192" t="s">
        <v>2205</v>
      </c>
      <c r="B192">
        <v>2</v>
      </c>
      <c r="C192" t="s">
        <v>1534</v>
      </c>
      <c r="D192" t="s">
        <v>1473</v>
      </c>
      <c r="E192">
        <v>0</v>
      </c>
    </row>
    <row r="193" spans="1:5" x14ac:dyDescent="0.15">
      <c r="A193" t="s">
        <v>2206</v>
      </c>
      <c r="B193">
        <v>1</v>
      </c>
      <c r="C193" t="s">
        <v>1530</v>
      </c>
      <c r="D193" t="s">
        <v>1473</v>
      </c>
      <c r="E193">
        <v>0</v>
      </c>
    </row>
    <row r="194" spans="1:5" x14ac:dyDescent="0.15">
      <c r="A194" t="s">
        <v>2207</v>
      </c>
      <c r="B194">
        <v>2</v>
      </c>
      <c r="C194" t="s">
        <v>1534</v>
      </c>
      <c r="D194" t="s">
        <v>1473</v>
      </c>
      <c r="E194">
        <v>0</v>
      </c>
    </row>
    <row r="195" spans="1:5" x14ac:dyDescent="0.15">
      <c r="A195" t="s">
        <v>2208</v>
      </c>
      <c r="B195">
        <v>2</v>
      </c>
      <c r="C195" t="s">
        <v>1534</v>
      </c>
      <c r="D195" t="s">
        <v>1473</v>
      </c>
      <c r="E195">
        <v>0</v>
      </c>
    </row>
    <row r="196" spans="1:5" x14ac:dyDescent="0.15">
      <c r="A196" t="s">
        <v>2209</v>
      </c>
      <c r="B196">
        <v>2</v>
      </c>
      <c r="C196" t="s">
        <v>1536</v>
      </c>
      <c r="D196" t="s">
        <v>1473</v>
      </c>
      <c r="E196">
        <v>0</v>
      </c>
    </row>
    <row r="197" spans="1:5" x14ac:dyDescent="0.15">
      <c r="A197" t="s">
        <v>2210</v>
      </c>
      <c r="B197">
        <v>2</v>
      </c>
      <c r="C197" t="s">
        <v>1534</v>
      </c>
      <c r="D197" t="s">
        <v>1473</v>
      </c>
      <c r="E197">
        <v>0</v>
      </c>
    </row>
    <row r="198" spans="1:5" x14ac:dyDescent="0.15">
      <c r="A198" t="s">
        <v>2211</v>
      </c>
      <c r="B198">
        <v>2</v>
      </c>
      <c r="C198" t="s">
        <v>1534</v>
      </c>
      <c r="D198" t="s">
        <v>1473</v>
      </c>
      <c r="E198">
        <v>0</v>
      </c>
    </row>
    <row r="199" spans="1:5" x14ac:dyDescent="0.15">
      <c r="A199" t="s">
        <v>2212</v>
      </c>
      <c r="B199">
        <v>2</v>
      </c>
      <c r="C199" t="s">
        <v>1534</v>
      </c>
      <c r="D199" t="s">
        <v>1473</v>
      </c>
      <c r="E199">
        <v>0</v>
      </c>
    </row>
    <row r="200" spans="1:5" x14ac:dyDescent="0.15">
      <c r="A200" t="s">
        <v>2213</v>
      </c>
      <c r="B200">
        <v>4</v>
      </c>
      <c r="C200" t="s">
        <v>1536</v>
      </c>
      <c r="D200" t="s">
        <v>1473</v>
      </c>
      <c r="E200">
        <v>0</v>
      </c>
    </row>
    <row r="201" spans="1:5" x14ac:dyDescent="0.15">
      <c r="A201" t="s">
        <v>2214</v>
      </c>
      <c r="B201">
        <v>4</v>
      </c>
      <c r="C201" t="s">
        <v>1528</v>
      </c>
      <c r="D201" t="s">
        <v>1473</v>
      </c>
      <c r="E201">
        <v>4</v>
      </c>
    </row>
    <row r="202" spans="1:5" x14ac:dyDescent="0.15">
      <c r="A202" t="s">
        <v>2214</v>
      </c>
      <c r="B202">
        <v>4</v>
      </c>
      <c r="C202" t="s">
        <v>1528</v>
      </c>
      <c r="D202" t="s">
        <v>1473</v>
      </c>
      <c r="E202">
        <v>2</v>
      </c>
    </row>
    <row r="203" spans="1:5" x14ac:dyDescent="0.15">
      <c r="A203" t="s">
        <v>2215</v>
      </c>
      <c r="B203">
        <v>2</v>
      </c>
      <c r="C203" t="s">
        <v>1526</v>
      </c>
      <c r="D203" t="s">
        <v>1473</v>
      </c>
      <c r="E203">
        <v>0</v>
      </c>
    </row>
    <row r="204" spans="1:5" x14ac:dyDescent="0.15">
      <c r="A204" t="s">
        <v>2216</v>
      </c>
      <c r="B204">
        <v>2</v>
      </c>
      <c r="C204" t="s">
        <v>1532</v>
      </c>
      <c r="D204" t="s">
        <v>1473</v>
      </c>
      <c r="E204">
        <v>0</v>
      </c>
    </row>
    <row r="205" spans="1:5" x14ac:dyDescent="0.15">
      <c r="A205" t="s">
        <v>2217</v>
      </c>
      <c r="B205">
        <v>2</v>
      </c>
      <c r="C205" t="s">
        <v>1534</v>
      </c>
      <c r="D205" t="s">
        <v>1473</v>
      </c>
      <c r="E205">
        <v>0</v>
      </c>
    </row>
    <row r="206" spans="1:5" x14ac:dyDescent="0.15">
      <c r="A206" t="s">
        <v>2218</v>
      </c>
      <c r="B206">
        <v>2</v>
      </c>
      <c r="C206" t="s">
        <v>1534</v>
      </c>
      <c r="D206" t="s">
        <v>1473</v>
      </c>
      <c r="E206">
        <v>0</v>
      </c>
    </row>
    <row r="207" spans="1:5" x14ac:dyDescent="0.15">
      <c r="A207" t="s">
        <v>2219</v>
      </c>
      <c r="B207">
        <v>1</v>
      </c>
      <c r="C207" t="s">
        <v>1536</v>
      </c>
      <c r="D207" t="s">
        <v>1473</v>
      </c>
      <c r="E207">
        <v>0</v>
      </c>
    </row>
    <row r="208" spans="1:5" x14ac:dyDescent="0.15">
      <c r="A208" t="s">
        <v>2220</v>
      </c>
      <c r="B208">
        <v>2</v>
      </c>
      <c r="C208" t="s">
        <v>1536</v>
      </c>
      <c r="D208" t="s">
        <v>1473</v>
      </c>
      <c r="E208">
        <v>0</v>
      </c>
    </row>
    <row r="209" spans="1:5" x14ac:dyDescent="0.15">
      <c r="A209" t="s">
        <v>2221</v>
      </c>
      <c r="B209">
        <v>2</v>
      </c>
      <c r="C209" t="s">
        <v>1534</v>
      </c>
      <c r="D209" t="s">
        <v>1473</v>
      </c>
      <c r="E209">
        <v>0</v>
      </c>
    </row>
    <row r="210" spans="1:5" x14ac:dyDescent="0.15">
      <c r="A210" t="s">
        <v>2222</v>
      </c>
      <c r="B210">
        <v>2</v>
      </c>
      <c r="C210" t="s">
        <v>1534</v>
      </c>
      <c r="D210" t="s">
        <v>1473</v>
      </c>
      <c r="E210">
        <v>0</v>
      </c>
    </row>
    <row r="211" spans="1:5" x14ac:dyDescent="0.15">
      <c r="A211" t="s">
        <v>2222</v>
      </c>
      <c r="B211">
        <v>2</v>
      </c>
      <c r="C211" t="s">
        <v>1534</v>
      </c>
      <c r="D211" t="s">
        <v>1473</v>
      </c>
      <c r="E211">
        <v>2</v>
      </c>
    </row>
    <row r="212" spans="1:5" x14ac:dyDescent="0.15">
      <c r="A212" t="s">
        <v>2223</v>
      </c>
      <c r="B212">
        <v>2</v>
      </c>
      <c r="C212" t="s">
        <v>1536</v>
      </c>
      <c r="D212" t="s">
        <v>1473</v>
      </c>
      <c r="E212">
        <v>0</v>
      </c>
    </row>
    <row r="213" spans="1:5" x14ac:dyDescent="0.15">
      <c r="A213" t="s">
        <v>2186</v>
      </c>
      <c r="B213">
        <v>1</v>
      </c>
      <c r="C213" t="s">
        <v>1538</v>
      </c>
      <c r="D213" t="s">
        <v>1473</v>
      </c>
      <c r="E213">
        <v>4</v>
      </c>
    </row>
    <row r="214" spans="1:5" x14ac:dyDescent="0.15">
      <c r="A214" t="s">
        <v>2186</v>
      </c>
      <c r="B214">
        <v>1</v>
      </c>
      <c r="C214" t="s">
        <v>1538</v>
      </c>
      <c r="D214" t="s">
        <v>1473</v>
      </c>
      <c r="E214">
        <v>0</v>
      </c>
    </row>
    <row r="215" spans="1:5" x14ac:dyDescent="0.15">
      <c r="A215" t="s">
        <v>2224</v>
      </c>
      <c r="B215">
        <v>2</v>
      </c>
      <c r="C215" t="s">
        <v>1526</v>
      </c>
      <c r="D215" t="s">
        <v>1473</v>
      </c>
      <c r="E215">
        <v>0</v>
      </c>
    </row>
    <row r="216" spans="1:5" x14ac:dyDescent="0.15">
      <c r="A216" t="s">
        <v>2225</v>
      </c>
      <c r="B216">
        <v>1</v>
      </c>
      <c r="C216" t="s">
        <v>1526</v>
      </c>
      <c r="D216" t="s">
        <v>1473</v>
      </c>
      <c r="E216">
        <v>0</v>
      </c>
    </row>
    <row r="217" spans="1:5" x14ac:dyDescent="0.15">
      <c r="A217" t="s">
        <v>2226</v>
      </c>
      <c r="B217">
        <v>1</v>
      </c>
      <c r="C217" t="s">
        <v>1530</v>
      </c>
      <c r="D217" t="s">
        <v>1473</v>
      </c>
      <c r="E217">
        <v>2</v>
      </c>
    </row>
    <row r="218" spans="1:5" x14ac:dyDescent="0.15">
      <c r="A218" t="s">
        <v>2227</v>
      </c>
      <c r="B218">
        <v>2</v>
      </c>
      <c r="C218" t="s">
        <v>1530</v>
      </c>
      <c r="D218" t="s">
        <v>1473</v>
      </c>
      <c r="E218">
        <v>0</v>
      </c>
    </row>
    <row r="219" spans="1:5" x14ac:dyDescent="0.15">
      <c r="A219" t="s">
        <v>2228</v>
      </c>
      <c r="B219">
        <v>2</v>
      </c>
      <c r="C219" t="s">
        <v>1530</v>
      </c>
      <c r="D219" t="s">
        <v>1473</v>
      </c>
      <c r="E219">
        <v>0</v>
      </c>
    </row>
    <row r="220" spans="1:5" x14ac:dyDescent="0.15">
      <c r="A220" t="s">
        <v>2228</v>
      </c>
      <c r="B220">
        <v>2</v>
      </c>
      <c r="C220" t="s">
        <v>1530</v>
      </c>
      <c r="D220" t="s">
        <v>1473</v>
      </c>
      <c r="E220">
        <v>2</v>
      </c>
    </row>
    <row r="221" spans="1:5" x14ac:dyDescent="0.15">
      <c r="A221" t="s">
        <v>2229</v>
      </c>
      <c r="B221">
        <v>4</v>
      </c>
      <c r="C221" t="s">
        <v>1526</v>
      </c>
      <c r="D221" t="s">
        <v>1473</v>
      </c>
      <c r="E221">
        <v>0</v>
      </c>
    </row>
    <row r="222" spans="1:5" x14ac:dyDescent="0.15">
      <c r="A222" t="s">
        <v>2230</v>
      </c>
      <c r="B222">
        <v>1</v>
      </c>
      <c r="C222" t="s">
        <v>1534</v>
      </c>
      <c r="D222" t="s">
        <v>1473</v>
      </c>
      <c r="E222">
        <v>0</v>
      </c>
    </row>
    <row r="223" spans="1:5" x14ac:dyDescent="0.15">
      <c r="A223" t="s">
        <v>2231</v>
      </c>
      <c r="B223">
        <v>4</v>
      </c>
      <c r="C223" t="s">
        <v>1526</v>
      </c>
      <c r="D223" t="s">
        <v>1473</v>
      </c>
      <c r="E223">
        <v>0</v>
      </c>
    </row>
    <row r="224" spans="1:5" x14ac:dyDescent="0.15">
      <c r="A224" t="s">
        <v>2232</v>
      </c>
      <c r="B224">
        <v>2</v>
      </c>
      <c r="C224" t="s">
        <v>1530</v>
      </c>
      <c r="D224" t="s">
        <v>1473</v>
      </c>
      <c r="E224">
        <v>4</v>
      </c>
    </row>
    <row r="225" spans="1:5" x14ac:dyDescent="0.15">
      <c r="A225" t="s">
        <v>2233</v>
      </c>
      <c r="B225">
        <v>4</v>
      </c>
      <c r="C225" t="s">
        <v>1528</v>
      </c>
      <c r="D225" t="s">
        <v>1473</v>
      </c>
      <c r="E225">
        <v>0</v>
      </c>
    </row>
    <row r="226" spans="1:5" x14ac:dyDescent="0.15">
      <c r="A226" t="s">
        <v>2234</v>
      </c>
      <c r="B226">
        <v>2</v>
      </c>
      <c r="C226" t="s">
        <v>1534</v>
      </c>
      <c r="D226" t="s">
        <v>1473</v>
      </c>
      <c r="E226">
        <v>0</v>
      </c>
    </row>
    <row r="227" spans="1:5" x14ac:dyDescent="0.15">
      <c r="A227" t="s">
        <v>2235</v>
      </c>
      <c r="B227">
        <v>4</v>
      </c>
      <c r="C227" t="s">
        <v>1528</v>
      </c>
      <c r="D227" t="s">
        <v>1473</v>
      </c>
      <c r="E227">
        <v>0</v>
      </c>
    </row>
    <row r="228" spans="1:5" x14ac:dyDescent="0.15">
      <c r="A228" t="s">
        <v>2236</v>
      </c>
      <c r="B228">
        <v>2</v>
      </c>
      <c r="C228" t="s">
        <v>1526</v>
      </c>
      <c r="D228" t="s">
        <v>1473</v>
      </c>
      <c r="E228">
        <v>0</v>
      </c>
    </row>
    <row r="229" spans="1:5" x14ac:dyDescent="0.15">
      <c r="A229" t="s">
        <v>2237</v>
      </c>
      <c r="B229">
        <v>2</v>
      </c>
      <c r="C229" t="s">
        <v>1526</v>
      </c>
      <c r="D229" t="s">
        <v>1473</v>
      </c>
      <c r="E229">
        <v>0</v>
      </c>
    </row>
    <row r="230" spans="1:5" x14ac:dyDescent="0.15">
      <c r="A230" t="s">
        <v>2238</v>
      </c>
      <c r="B230">
        <v>2</v>
      </c>
      <c r="C230" t="s">
        <v>1530</v>
      </c>
      <c r="D230" t="s">
        <v>1473</v>
      </c>
      <c r="E230">
        <v>0</v>
      </c>
    </row>
    <row r="231" spans="1:5" x14ac:dyDescent="0.15">
      <c r="A231" t="s">
        <v>2239</v>
      </c>
      <c r="B231">
        <v>1</v>
      </c>
      <c r="C231" t="s">
        <v>1534</v>
      </c>
      <c r="D231" t="s">
        <v>1473</v>
      </c>
      <c r="E231">
        <v>0</v>
      </c>
    </row>
    <row r="232" spans="1:5" x14ac:dyDescent="0.15">
      <c r="A232" t="s">
        <v>2239</v>
      </c>
      <c r="B232">
        <v>1</v>
      </c>
      <c r="C232" t="s">
        <v>1534</v>
      </c>
      <c r="D232" t="s">
        <v>1473</v>
      </c>
      <c r="E232">
        <v>2</v>
      </c>
    </row>
    <row r="233" spans="1:5" x14ac:dyDescent="0.15">
      <c r="A233" t="s">
        <v>2240</v>
      </c>
      <c r="B233">
        <v>2</v>
      </c>
      <c r="C233" t="s">
        <v>1534</v>
      </c>
      <c r="D233" t="s">
        <v>1473</v>
      </c>
      <c r="E233">
        <v>0</v>
      </c>
    </row>
    <row r="234" spans="1:5" x14ac:dyDescent="0.15">
      <c r="A234" t="s">
        <v>2230</v>
      </c>
      <c r="B234">
        <v>1</v>
      </c>
      <c r="C234" t="s">
        <v>1534</v>
      </c>
      <c r="D234" t="s">
        <v>1473</v>
      </c>
      <c r="E234">
        <v>2</v>
      </c>
    </row>
    <row r="235" spans="1:5" x14ac:dyDescent="0.15">
      <c r="A235" t="s">
        <v>2239</v>
      </c>
      <c r="B235">
        <v>1</v>
      </c>
      <c r="C235" t="s">
        <v>1534</v>
      </c>
      <c r="D235" t="s">
        <v>1473</v>
      </c>
      <c r="E235">
        <v>4</v>
      </c>
    </row>
    <row r="236" spans="1:5" x14ac:dyDescent="0.15">
      <c r="A236" t="s">
        <v>2241</v>
      </c>
      <c r="B236">
        <v>1</v>
      </c>
      <c r="C236" t="s">
        <v>1528</v>
      </c>
      <c r="D236" t="s">
        <v>1473</v>
      </c>
      <c r="E236">
        <v>0</v>
      </c>
    </row>
    <row r="237" spans="1:5" x14ac:dyDescent="0.15">
      <c r="A237" t="s">
        <v>2242</v>
      </c>
      <c r="B237">
        <v>2</v>
      </c>
      <c r="C237" t="s">
        <v>1534</v>
      </c>
      <c r="D237" t="s">
        <v>1473</v>
      </c>
      <c r="E237">
        <v>0</v>
      </c>
    </row>
    <row r="238" spans="1:5" x14ac:dyDescent="0.15">
      <c r="A238" t="s">
        <v>2243</v>
      </c>
      <c r="B238">
        <v>2</v>
      </c>
      <c r="C238" t="s">
        <v>1534</v>
      </c>
      <c r="D238" t="s">
        <v>1473</v>
      </c>
      <c r="E238">
        <v>0</v>
      </c>
    </row>
    <row r="239" spans="1:5" x14ac:dyDescent="0.15">
      <c r="A239" t="s">
        <v>2244</v>
      </c>
      <c r="B239">
        <v>1</v>
      </c>
      <c r="C239" t="s">
        <v>1528</v>
      </c>
      <c r="D239" t="s">
        <v>1473</v>
      </c>
      <c r="E239">
        <v>0</v>
      </c>
    </row>
    <row r="240" spans="1:5" x14ac:dyDescent="0.15">
      <c r="A240" t="s">
        <v>2245</v>
      </c>
      <c r="B240">
        <v>4</v>
      </c>
      <c r="C240" t="s">
        <v>1530</v>
      </c>
      <c r="D240" t="s">
        <v>1473</v>
      </c>
      <c r="E240">
        <v>4</v>
      </c>
    </row>
    <row r="241" spans="1:5" x14ac:dyDescent="0.15">
      <c r="A241" t="s">
        <v>2246</v>
      </c>
      <c r="B241">
        <v>2</v>
      </c>
      <c r="C241" t="s">
        <v>1534</v>
      </c>
      <c r="D241" t="s">
        <v>1473</v>
      </c>
      <c r="E241">
        <v>0</v>
      </c>
    </row>
    <row r="242" spans="1:5" x14ac:dyDescent="0.15">
      <c r="A242" t="s">
        <v>2247</v>
      </c>
      <c r="B242">
        <v>4</v>
      </c>
      <c r="C242" t="s">
        <v>1534</v>
      </c>
      <c r="D242" t="s">
        <v>1473</v>
      </c>
      <c r="E242">
        <v>0</v>
      </c>
    </row>
    <row r="243" spans="1:5" x14ac:dyDescent="0.15">
      <c r="A243" t="s">
        <v>2248</v>
      </c>
      <c r="B243">
        <v>1</v>
      </c>
      <c r="C243" t="s">
        <v>1528</v>
      </c>
      <c r="D243" t="s">
        <v>1473</v>
      </c>
      <c r="E243">
        <v>0</v>
      </c>
    </row>
    <row r="244" spans="1:5" x14ac:dyDescent="0.15">
      <c r="A244" t="s">
        <v>2247</v>
      </c>
      <c r="B244">
        <v>4</v>
      </c>
      <c r="C244" t="s">
        <v>1534</v>
      </c>
      <c r="D244" t="s">
        <v>1473</v>
      </c>
      <c r="E244">
        <v>2</v>
      </c>
    </row>
    <row r="245" spans="1:5" x14ac:dyDescent="0.15">
      <c r="A245" t="s">
        <v>2249</v>
      </c>
      <c r="B245">
        <v>2</v>
      </c>
      <c r="C245" t="s">
        <v>1534</v>
      </c>
      <c r="D245" t="s">
        <v>1473</v>
      </c>
      <c r="E245">
        <v>0</v>
      </c>
    </row>
    <row r="246" spans="1:5" x14ac:dyDescent="0.15">
      <c r="A246" t="s">
        <v>2250</v>
      </c>
      <c r="B246">
        <v>2</v>
      </c>
      <c r="C246" t="s">
        <v>1530</v>
      </c>
      <c r="D246" t="s">
        <v>1473</v>
      </c>
      <c r="E246">
        <v>0</v>
      </c>
    </row>
    <row r="247" spans="1:5" x14ac:dyDescent="0.15">
      <c r="A247" t="s">
        <v>2232</v>
      </c>
      <c r="B247">
        <v>2</v>
      </c>
      <c r="C247" t="s">
        <v>1530</v>
      </c>
      <c r="D247" t="s">
        <v>1473</v>
      </c>
      <c r="E247">
        <v>0</v>
      </c>
    </row>
    <row r="248" spans="1:5" x14ac:dyDescent="0.15">
      <c r="A248" t="s">
        <v>2251</v>
      </c>
      <c r="B248">
        <v>1</v>
      </c>
      <c r="C248" t="s">
        <v>1530</v>
      </c>
      <c r="D248" t="s">
        <v>1473</v>
      </c>
      <c r="E248">
        <v>0</v>
      </c>
    </row>
    <row r="249" spans="1:5" x14ac:dyDescent="0.15">
      <c r="A249" t="s">
        <v>2252</v>
      </c>
      <c r="B249">
        <v>2</v>
      </c>
      <c r="C249" t="s">
        <v>1534</v>
      </c>
      <c r="D249" t="s">
        <v>1473</v>
      </c>
      <c r="E249">
        <v>0</v>
      </c>
    </row>
    <row r="250" spans="1:5" x14ac:dyDescent="0.15">
      <c r="A250" t="s">
        <v>2253</v>
      </c>
      <c r="B250">
        <v>4</v>
      </c>
      <c r="C250" t="s">
        <v>1536</v>
      </c>
      <c r="D250" t="s">
        <v>1473</v>
      </c>
      <c r="E250">
        <v>0</v>
      </c>
    </row>
    <row r="251" spans="1:5" x14ac:dyDescent="0.15">
      <c r="A251" t="s">
        <v>2254</v>
      </c>
      <c r="B251">
        <v>2</v>
      </c>
      <c r="C251" t="s">
        <v>1536</v>
      </c>
      <c r="D251" t="s">
        <v>1473</v>
      </c>
      <c r="E251">
        <v>0</v>
      </c>
    </row>
    <row r="252" spans="1:5" x14ac:dyDescent="0.15">
      <c r="A252" t="s">
        <v>2255</v>
      </c>
      <c r="B252">
        <v>2</v>
      </c>
      <c r="C252" t="s">
        <v>1534</v>
      </c>
      <c r="D252" t="s">
        <v>1473</v>
      </c>
      <c r="E252">
        <v>0</v>
      </c>
    </row>
    <row r="253" spans="1:5" x14ac:dyDescent="0.15">
      <c r="A253" t="s">
        <v>2256</v>
      </c>
      <c r="B253">
        <v>2</v>
      </c>
      <c r="C253" t="s">
        <v>1534</v>
      </c>
      <c r="D253" t="s">
        <v>1473</v>
      </c>
      <c r="E253">
        <v>0</v>
      </c>
    </row>
    <row r="254" spans="1:5" x14ac:dyDescent="0.15">
      <c r="A254" t="s">
        <v>2257</v>
      </c>
      <c r="B254">
        <v>2</v>
      </c>
      <c r="C254" t="s">
        <v>1534</v>
      </c>
      <c r="D254" t="s">
        <v>1473</v>
      </c>
      <c r="E254">
        <v>0</v>
      </c>
    </row>
    <row r="255" spans="1:5" x14ac:dyDescent="0.15">
      <c r="A255" t="s">
        <v>2258</v>
      </c>
      <c r="B255">
        <v>2</v>
      </c>
      <c r="C255" t="s">
        <v>1536</v>
      </c>
      <c r="D255" t="s">
        <v>1473</v>
      </c>
      <c r="E255">
        <v>0</v>
      </c>
    </row>
    <row r="256" spans="1:5" x14ac:dyDescent="0.15">
      <c r="A256" t="s">
        <v>2220</v>
      </c>
      <c r="B256">
        <v>2</v>
      </c>
      <c r="C256" t="s">
        <v>1536</v>
      </c>
      <c r="D256" t="s">
        <v>1473</v>
      </c>
      <c r="E256">
        <v>2</v>
      </c>
    </row>
    <row r="257" spans="1:5" x14ac:dyDescent="0.15">
      <c r="A257" t="s">
        <v>2259</v>
      </c>
      <c r="B257">
        <v>2</v>
      </c>
      <c r="C257" t="s">
        <v>1534</v>
      </c>
      <c r="D257" t="s">
        <v>1473</v>
      </c>
      <c r="E257">
        <v>0</v>
      </c>
    </row>
    <row r="258" spans="1:5" x14ac:dyDescent="0.15">
      <c r="A258" t="s">
        <v>2260</v>
      </c>
      <c r="B258">
        <v>2</v>
      </c>
      <c r="C258" t="s">
        <v>1526</v>
      </c>
      <c r="D258" t="s">
        <v>1473</v>
      </c>
      <c r="E258">
        <v>0</v>
      </c>
    </row>
    <row r="259" spans="1:5" x14ac:dyDescent="0.15">
      <c r="A259" t="s">
        <v>2261</v>
      </c>
      <c r="B259">
        <v>2</v>
      </c>
      <c r="C259" t="s">
        <v>1526</v>
      </c>
      <c r="D259" t="s">
        <v>1473</v>
      </c>
      <c r="E259">
        <v>2</v>
      </c>
    </row>
    <row r="260" spans="1:5" x14ac:dyDescent="0.15">
      <c r="A260" t="s">
        <v>2262</v>
      </c>
      <c r="B260">
        <v>2</v>
      </c>
      <c r="C260" t="s">
        <v>1526</v>
      </c>
      <c r="D260" t="s">
        <v>1473</v>
      </c>
      <c r="E260">
        <v>0</v>
      </c>
    </row>
    <row r="261" spans="1:5" x14ac:dyDescent="0.15">
      <c r="A261" t="s">
        <v>2263</v>
      </c>
      <c r="B261">
        <v>1</v>
      </c>
      <c r="C261" t="s">
        <v>1528</v>
      </c>
      <c r="D261" t="s">
        <v>1473</v>
      </c>
      <c r="E261">
        <v>0</v>
      </c>
    </row>
    <row r="262" spans="1:5" x14ac:dyDescent="0.15">
      <c r="A262" t="s">
        <v>2264</v>
      </c>
      <c r="B262">
        <v>2</v>
      </c>
      <c r="C262" t="s">
        <v>1530</v>
      </c>
      <c r="D262" t="s">
        <v>1473</v>
      </c>
      <c r="E262">
        <v>2</v>
      </c>
    </row>
    <row r="263" spans="1:5" x14ac:dyDescent="0.15">
      <c r="A263" t="s">
        <v>2265</v>
      </c>
      <c r="B263">
        <v>2</v>
      </c>
      <c r="C263" t="s">
        <v>1534</v>
      </c>
      <c r="D263" t="s">
        <v>1473</v>
      </c>
      <c r="E263">
        <v>0</v>
      </c>
    </row>
    <row r="264" spans="1:5" x14ac:dyDescent="0.15">
      <c r="A264" t="s">
        <v>2266</v>
      </c>
      <c r="B264">
        <v>4</v>
      </c>
      <c r="C264" t="s">
        <v>1532</v>
      </c>
      <c r="D264" t="s">
        <v>1473</v>
      </c>
      <c r="E264">
        <v>0</v>
      </c>
    </row>
    <row r="265" spans="1:5" x14ac:dyDescent="0.15">
      <c r="A265" t="s">
        <v>2267</v>
      </c>
      <c r="B265">
        <v>1</v>
      </c>
      <c r="C265" t="s">
        <v>1528</v>
      </c>
      <c r="D265" t="s">
        <v>1473</v>
      </c>
      <c r="E265">
        <v>0</v>
      </c>
    </row>
    <row r="266" spans="1:5" x14ac:dyDescent="0.15">
      <c r="A266" t="s">
        <v>2268</v>
      </c>
      <c r="B266">
        <v>2</v>
      </c>
      <c r="C266" t="s">
        <v>1526</v>
      </c>
      <c r="D266" t="s">
        <v>1473</v>
      </c>
      <c r="E266">
        <v>0</v>
      </c>
    </row>
    <row r="267" spans="1:5" x14ac:dyDescent="0.15">
      <c r="A267" t="s">
        <v>2269</v>
      </c>
      <c r="B267">
        <v>2</v>
      </c>
      <c r="C267" t="s">
        <v>1526</v>
      </c>
      <c r="D267" t="s">
        <v>1473</v>
      </c>
      <c r="E267">
        <v>0</v>
      </c>
    </row>
    <row r="268" spans="1:5" x14ac:dyDescent="0.15">
      <c r="A268" t="s">
        <v>2270</v>
      </c>
      <c r="B268">
        <v>1</v>
      </c>
      <c r="C268" t="s">
        <v>1530</v>
      </c>
      <c r="D268" t="s">
        <v>1473</v>
      </c>
      <c r="E268">
        <v>0</v>
      </c>
    </row>
    <row r="269" spans="1:5" x14ac:dyDescent="0.15">
      <c r="A269" t="s">
        <v>2271</v>
      </c>
      <c r="B269">
        <v>2</v>
      </c>
      <c r="C269" t="s">
        <v>1534</v>
      </c>
      <c r="D269" t="s">
        <v>1473</v>
      </c>
      <c r="E269">
        <v>0</v>
      </c>
    </row>
    <row r="270" spans="1:5" x14ac:dyDescent="0.15">
      <c r="A270" t="s">
        <v>2222</v>
      </c>
      <c r="B270">
        <v>2</v>
      </c>
      <c r="C270" t="s">
        <v>1534</v>
      </c>
      <c r="D270" t="s">
        <v>1473</v>
      </c>
      <c r="E270">
        <v>4</v>
      </c>
    </row>
    <row r="271" spans="1:5" x14ac:dyDescent="0.15">
      <c r="A271" t="s">
        <v>2272</v>
      </c>
      <c r="B271">
        <v>1</v>
      </c>
      <c r="C271" t="s">
        <v>1530</v>
      </c>
      <c r="D271" t="s">
        <v>1473</v>
      </c>
      <c r="E271">
        <v>4</v>
      </c>
    </row>
    <row r="272" spans="1:5" x14ac:dyDescent="0.15">
      <c r="A272" t="s">
        <v>2273</v>
      </c>
      <c r="B272">
        <v>1</v>
      </c>
      <c r="C272" t="s">
        <v>1538</v>
      </c>
      <c r="D272" t="s">
        <v>1473</v>
      </c>
      <c r="E272">
        <v>0</v>
      </c>
    </row>
    <row r="273" spans="1:5" x14ac:dyDescent="0.15">
      <c r="A273" t="s">
        <v>2274</v>
      </c>
      <c r="B273">
        <v>1</v>
      </c>
      <c r="C273" t="s">
        <v>1538</v>
      </c>
      <c r="D273" t="s">
        <v>1473</v>
      </c>
      <c r="E273">
        <v>0</v>
      </c>
    </row>
    <row r="274" spans="1:5" x14ac:dyDescent="0.15">
      <c r="A274" t="s">
        <v>2275</v>
      </c>
      <c r="B274">
        <v>2</v>
      </c>
      <c r="C274" t="s">
        <v>1526</v>
      </c>
      <c r="D274" t="s">
        <v>1473</v>
      </c>
      <c r="E274">
        <v>4</v>
      </c>
    </row>
    <row r="275" spans="1:5" x14ac:dyDescent="0.15">
      <c r="A275" t="s">
        <v>2275</v>
      </c>
      <c r="B275">
        <v>2</v>
      </c>
      <c r="C275" t="s">
        <v>1526</v>
      </c>
      <c r="D275" t="s">
        <v>1473</v>
      </c>
      <c r="E275">
        <v>0</v>
      </c>
    </row>
    <row r="276" spans="1:5" x14ac:dyDescent="0.15">
      <c r="A276" t="s">
        <v>2276</v>
      </c>
      <c r="B276">
        <v>4</v>
      </c>
      <c r="C276" t="s">
        <v>1538</v>
      </c>
      <c r="D276" t="s">
        <v>1473</v>
      </c>
      <c r="E276">
        <v>2</v>
      </c>
    </row>
    <row r="277" spans="1:5" x14ac:dyDescent="0.15">
      <c r="A277" t="s">
        <v>2276</v>
      </c>
      <c r="B277">
        <v>4</v>
      </c>
      <c r="C277" t="s">
        <v>1538</v>
      </c>
      <c r="D277" t="s">
        <v>1473</v>
      </c>
      <c r="E277">
        <v>0</v>
      </c>
    </row>
    <row r="278" spans="1:5" x14ac:dyDescent="0.15">
      <c r="A278" t="s">
        <v>2277</v>
      </c>
      <c r="B278">
        <v>2</v>
      </c>
      <c r="C278" t="s">
        <v>1534</v>
      </c>
      <c r="D278" t="s">
        <v>1473</v>
      </c>
      <c r="E278">
        <v>0</v>
      </c>
    </row>
    <row r="279" spans="1:5" x14ac:dyDescent="0.15">
      <c r="A279" t="s">
        <v>2278</v>
      </c>
      <c r="B279">
        <v>2</v>
      </c>
      <c r="C279" t="s">
        <v>1534</v>
      </c>
      <c r="D279" t="s">
        <v>1473</v>
      </c>
      <c r="E279">
        <v>0</v>
      </c>
    </row>
    <row r="280" spans="1:5" x14ac:dyDescent="0.15">
      <c r="A280" t="s">
        <v>2279</v>
      </c>
      <c r="B280">
        <v>4</v>
      </c>
      <c r="C280" t="s">
        <v>1534</v>
      </c>
      <c r="D280" t="s">
        <v>1473</v>
      </c>
      <c r="E280">
        <v>0</v>
      </c>
    </row>
    <row r="281" spans="1:5" x14ac:dyDescent="0.15">
      <c r="A281" t="s">
        <v>2280</v>
      </c>
      <c r="B281">
        <v>2</v>
      </c>
      <c r="C281" t="s">
        <v>1530</v>
      </c>
      <c r="D281" t="s">
        <v>1473</v>
      </c>
      <c r="E281">
        <v>0</v>
      </c>
    </row>
    <row r="282" spans="1:5" x14ac:dyDescent="0.15">
      <c r="A282" t="s">
        <v>2281</v>
      </c>
      <c r="B282">
        <v>2</v>
      </c>
      <c r="C282" t="s">
        <v>1526</v>
      </c>
      <c r="D282" t="s">
        <v>1473</v>
      </c>
      <c r="E282">
        <v>2</v>
      </c>
    </row>
    <row r="283" spans="1:5" x14ac:dyDescent="0.15">
      <c r="A283" t="s">
        <v>2282</v>
      </c>
      <c r="B283">
        <v>4</v>
      </c>
      <c r="C283" t="s">
        <v>1532</v>
      </c>
      <c r="D283" t="s">
        <v>1473</v>
      </c>
      <c r="E283">
        <v>0</v>
      </c>
    </row>
    <row r="284" spans="1:5" x14ac:dyDescent="0.15">
      <c r="A284" t="s">
        <v>2283</v>
      </c>
      <c r="B284">
        <v>4</v>
      </c>
      <c r="C284" t="s">
        <v>1532</v>
      </c>
      <c r="D284" t="s">
        <v>1473</v>
      </c>
      <c r="E284">
        <v>0</v>
      </c>
    </row>
    <row r="285" spans="1:5" x14ac:dyDescent="0.15">
      <c r="A285" t="s">
        <v>2284</v>
      </c>
      <c r="B285">
        <v>2</v>
      </c>
      <c r="C285" t="s">
        <v>1532</v>
      </c>
      <c r="D285" t="s">
        <v>1473</v>
      </c>
      <c r="E285">
        <v>0</v>
      </c>
    </row>
    <row r="286" spans="1:5" x14ac:dyDescent="0.15">
      <c r="A286" t="s">
        <v>2285</v>
      </c>
      <c r="B286">
        <v>2</v>
      </c>
      <c r="C286" t="s">
        <v>1526</v>
      </c>
      <c r="D286" t="s">
        <v>1473</v>
      </c>
      <c r="E286">
        <v>0</v>
      </c>
    </row>
    <row r="287" spans="1:5" x14ac:dyDescent="0.15">
      <c r="A287" t="s">
        <v>2286</v>
      </c>
      <c r="B287">
        <v>2</v>
      </c>
      <c r="C287" t="s">
        <v>1536</v>
      </c>
      <c r="D287" t="s">
        <v>1473</v>
      </c>
      <c r="E287">
        <v>0</v>
      </c>
    </row>
    <row r="288" spans="1:5" x14ac:dyDescent="0.15">
      <c r="A288" t="s">
        <v>2287</v>
      </c>
      <c r="B288">
        <v>2</v>
      </c>
      <c r="C288" t="s">
        <v>1536</v>
      </c>
      <c r="D288" t="s">
        <v>1473</v>
      </c>
      <c r="E288">
        <v>0</v>
      </c>
    </row>
    <row r="289" spans="1:5" x14ac:dyDescent="0.15">
      <c r="A289" t="s">
        <v>2288</v>
      </c>
      <c r="B289">
        <v>2</v>
      </c>
      <c r="C289" t="s">
        <v>1534</v>
      </c>
      <c r="D289" t="s">
        <v>1473</v>
      </c>
      <c r="E289">
        <v>0</v>
      </c>
    </row>
    <row r="290" spans="1:5" x14ac:dyDescent="0.15">
      <c r="A290" t="s">
        <v>2289</v>
      </c>
      <c r="B290">
        <v>2</v>
      </c>
      <c r="C290" t="s">
        <v>1534</v>
      </c>
      <c r="D290" t="s">
        <v>1473</v>
      </c>
      <c r="E290">
        <v>0</v>
      </c>
    </row>
    <row r="291" spans="1:5" x14ac:dyDescent="0.15">
      <c r="A291" t="s">
        <v>2290</v>
      </c>
      <c r="B291">
        <v>2</v>
      </c>
      <c r="C291" t="s">
        <v>1536</v>
      </c>
      <c r="D291" t="s">
        <v>1473</v>
      </c>
      <c r="E291">
        <v>0</v>
      </c>
    </row>
    <row r="292" spans="1:5" x14ac:dyDescent="0.15">
      <c r="A292" t="s">
        <v>2226</v>
      </c>
      <c r="B292">
        <v>1</v>
      </c>
      <c r="C292" t="s">
        <v>1530</v>
      </c>
      <c r="D292" t="s">
        <v>1473</v>
      </c>
      <c r="E292">
        <v>0</v>
      </c>
    </row>
    <row r="293" spans="1:5" x14ac:dyDescent="0.15">
      <c r="A293" t="s">
        <v>2291</v>
      </c>
      <c r="B293">
        <v>1</v>
      </c>
      <c r="C293" t="s">
        <v>1530</v>
      </c>
      <c r="D293" t="s">
        <v>1473</v>
      </c>
      <c r="E293">
        <v>4</v>
      </c>
    </row>
    <row r="294" spans="1:5" x14ac:dyDescent="0.15">
      <c r="A294" t="s">
        <v>2292</v>
      </c>
      <c r="B294">
        <v>1</v>
      </c>
      <c r="C294" t="s">
        <v>1528</v>
      </c>
      <c r="D294" t="s">
        <v>1473</v>
      </c>
      <c r="E294">
        <v>0</v>
      </c>
    </row>
    <row r="295" spans="1:5" x14ac:dyDescent="0.15">
      <c r="A295" t="s">
        <v>2292</v>
      </c>
      <c r="B295">
        <v>1</v>
      </c>
      <c r="C295" t="s">
        <v>1528</v>
      </c>
      <c r="D295" t="s">
        <v>1473</v>
      </c>
      <c r="E295">
        <v>2</v>
      </c>
    </row>
    <row r="296" spans="1:5" x14ac:dyDescent="0.15">
      <c r="A296" t="s">
        <v>2293</v>
      </c>
      <c r="B296">
        <v>1</v>
      </c>
      <c r="C296" t="s">
        <v>1528</v>
      </c>
      <c r="D296" t="s">
        <v>1473</v>
      </c>
      <c r="E296">
        <v>0</v>
      </c>
    </row>
    <row r="297" spans="1:5" x14ac:dyDescent="0.15">
      <c r="A297" t="s">
        <v>2293</v>
      </c>
      <c r="B297">
        <v>1</v>
      </c>
      <c r="C297" t="s">
        <v>1528</v>
      </c>
      <c r="D297" t="s">
        <v>1473</v>
      </c>
      <c r="E297">
        <v>2</v>
      </c>
    </row>
    <row r="298" spans="1:5" x14ac:dyDescent="0.15">
      <c r="A298" t="s">
        <v>2294</v>
      </c>
      <c r="B298">
        <v>2</v>
      </c>
      <c r="C298" t="s">
        <v>1534</v>
      </c>
      <c r="D298" t="s">
        <v>1473</v>
      </c>
      <c r="E298">
        <v>0</v>
      </c>
    </row>
    <row r="299" spans="1:5" x14ac:dyDescent="0.15">
      <c r="A299" t="s">
        <v>2295</v>
      </c>
      <c r="B299">
        <v>4</v>
      </c>
      <c r="C299" t="s">
        <v>1530</v>
      </c>
      <c r="D299" t="s">
        <v>1473</v>
      </c>
      <c r="E299">
        <v>0</v>
      </c>
    </row>
    <row r="300" spans="1:5" x14ac:dyDescent="0.15">
      <c r="A300" t="s">
        <v>2296</v>
      </c>
      <c r="B300">
        <v>1</v>
      </c>
      <c r="C300" t="s">
        <v>1526</v>
      </c>
      <c r="D300" t="s">
        <v>1473</v>
      </c>
      <c r="E300">
        <v>0</v>
      </c>
    </row>
    <row r="301" spans="1:5" x14ac:dyDescent="0.15">
      <c r="A301" t="s">
        <v>2297</v>
      </c>
      <c r="B301">
        <v>2</v>
      </c>
      <c r="C301" t="s">
        <v>1526</v>
      </c>
      <c r="D301" t="s">
        <v>1473</v>
      </c>
      <c r="E301">
        <v>0</v>
      </c>
    </row>
    <row r="302" spans="1:5" x14ac:dyDescent="0.15">
      <c r="A302" t="s">
        <v>2297</v>
      </c>
      <c r="B302">
        <v>2</v>
      </c>
      <c r="C302" t="s">
        <v>1526</v>
      </c>
      <c r="D302" t="s">
        <v>1473</v>
      </c>
      <c r="E302">
        <v>2</v>
      </c>
    </row>
    <row r="303" spans="1:5" x14ac:dyDescent="0.15">
      <c r="A303" t="s">
        <v>2298</v>
      </c>
      <c r="B303">
        <v>1</v>
      </c>
      <c r="C303" t="s">
        <v>1534</v>
      </c>
      <c r="D303" t="s">
        <v>1473</v>
      </c>
      <c r="E303">
        <v>0</v>
      </c>
    </row>
    <row r="304" spans="1:5" x14ac:dyDescent="0.15">
      <c r="A304" t="s">
        <v>2299</v>
      </c>
      <c r="B304">
        <v>2</v>
      </c>
      <c r="C304" t="s">
        <v>1534</v>
      </c>
      <c r="D304" t="s">
        <v>1473</v>
      </c>
      <c r="E304">
        <v>0</v>
      </c>
    </row>
    <row r="305" spans="1:5" x14ac:dyDescent="0.15">
      <c r="A305" t="s">
        <v>2300</v>
      </c>
      <c r="B305">
        <v>4</v>
      </c>
      <c r="C305" t="s">
        <v>1536</v>
      </c>
      <c r="D305" t="s">
        <v>1473</v>
      </c>
      <c r="E305">
        <v>0</v>
      </c>
    </row>
    <row r="306" spans="1:5" x14ac:dyDescent="0.15">
      <c r="A306" t="s">
        <v>2301</v>
      </c>
      <c r="B306">
        <v>1</v>
      </c>
      <c r="C306" t="s">
        <v>1526</v>
      </c>
      <c r="D306" t="s">
        <v>1473</v>
      </c>
      <c r="E306">
        <v>0</v>
      </c>
    </row>
    <row r="307" spans="1:5" x14ac:dyDescent="0.15">
      <c r="A307" t="s">
        <v>2302</v>
      </c>
      <c r="B307">
        <v>1</v>
      </c>
      <c r="C307" t="s">
        <v>1532</v>
      </c>
      <c r="D307" t="s">
        <v>1473</v>
      </c>
      <c r="E307">
        <v>0</v>
      </c>
    </row>
    <row r="308" spans="1:5" x14ac:dyDescent="0.15">
      <c r="A308" t="s">
        <v>2303</v>
      </c>
      <c r="B308">
        <v>2</v>
      </c>
      <c r="C308" t="s">
        <v>1526</v>
      </c>
      <c r="D308" t="s">
        <v>1473</v>
      </c>
      <c r="E308">
        <v>0</v>
      </c>
    </row>
    <row r="309" spans="1:5" x14ac:dyDescent="0.15">
      <c r="A309" t="s">
        <v>2304</v>
      </c>
      <c r="B309">
        <v>2</v>
      </c>
      <c r="C309" t="s">
        <v>1534</v>
      </c>
      <c r="D309" t="s">
        <v>1473</v>
      </c>
      <c r="E309">
        <v>2</v>
      </c>
    </row>
    <row r="310" spans="1:5" x14ac:dyDescent="0.15">
      <c r="A310" t="s">
        <v>2305</v>
      </c>
      <c r="B310">
        <v>4</v>
      </c>
      <c r="C310" t="s">
        <v>1530</v>
      </c>
      <c r="D310" t="s">
        <v>1473</v>
      </c>
      <c r="E310">
        <v>0</v>
      </c>
    </row>
    <row r="311" spans="1:5" x14ac:dyDescent="0.15">
      <c r="A311" t="s">
        <v>2305</v>
      </c>
      <c r="B311">
        <v>4</v>
      </c>
      <c r="C311" t="s">
        <v>1530</v>
      </c>
      <c r="D311" t="s">
        <v>1473</v>
      </c>
      <c r="E311">
        <v>2</v>
      </c>
    </row>
    <row r="312" spans="1:5" x14ac:dyDescent="0.15">
      <c r="A312" t="s">
        <v>2306</v>
      </c>
      <c r="B312">
        <v>2</v>
      </c>
      <c r="C312" t="s">
        <v>1534</v>
      </c>
      <c r="D312" t="s">
        <v>1473</v>
      </c>
      <c r="E312">
        <v>0</v>
      </c>
    </row>
    <row r="313" spans="1:5" x14ac:dyDescent="0.15">
      <c r="A313" t="s">
        <v>2307</v>
      </c>
      <c r="B313">
        <v>2</v>
      </c>
      <c r="C313" t="s">
        <v>1534</v>
      </c>
      <c r="D313" t="s">
        <v>1473</v>
      </c>
      <c r="E313">
        <v>0</v>
      </c>
    </row>
    <row r="314" spans="1:5" x14ac:dyDescent="0.15">
      <c r="A314" t="s">
        <v>2308</v>
      </c>
      <c r="B314">
        <v>2</v>
      </c>
      <c r="C314" t="s">
        <v>1536</v>
      </c>
      <c r="D314" t="s">
        <v>1473</v>
      </c>
      <c r="E314">
        <v>2</v>
      </c>
    </row>
    <row r="315" spans="1:5" x14ac:dyDescent="0.15">
      <c r="A315" t="s">
        <v>2227</v>
      </c>
      <c r="B315">
        <v>2</v>
      </c>
      <c r="C315" t="s">
        <v>1530</v>
      </c>
      <c r="D315" t="s">
        <v>1473</v>
      </c>
      <c r="E315">
        <v>2</v>
      </c>
    </row>
    <row r="316" spans="1:5" x14ac:dyDescent="0.15">
      <c r="A316" t="s">
        <v>2309</v>
      </c>
      <c r="B316">
        <v>2</v>
      </c>
      <c r="C316" t="s">
        <v>1530</v>
      </c>
      <c r="D316" t="s">
        <v>1473</v>
      </c>
      <c r="E316">
        <v>0</v>
      </c>
    </row>
    <row r="317" spans="1:5" x14ac:dyDescent="0.15">
      <c r="A317" t="s">
        <v>2310</v>
      </c>
      <c r="B317">
        <v>1</v>
      </c>
      <c r="C317" t="s">
        <v>1530</v>
      </c>
      <c r="D317" t="s">
        <v>1473</v>
      </c>
      <c r="E317">
        <v>0</v>
      </c>
    </row>
    <row r="318" spans="1:5" x14ac:dyDescent="0.15">
      <c r="A318" t="s">
        <v>2311</v>
      </c>
      <c r="B318">
        <v>2</v>
      </c>
      <c r="C318" t="s">
        <v>1526</v>
      </c>
      <c r="D318" t="s">
        <v>1473</v>
      </c>
      <c r="E318">
        <v>0</v>
      </c>
    </row>
    <row r="319" spans="1:5" x14ac:dyDescent="0.15">
      <c r="A319" t="s">
        <v>2312</v>
      </c>
      <c r="B319">
        <v>1</v>
      </c>
      <c r="C319" t="s">
        <v>1530</v>
      </c>
      <c r="D319" t="s">
        <v>1473</v>
      </c>
      <c r="E319">
        <v>0</v>
      </c>
    </row>
    <row r="320" spans="1:5" x14ac:dyDescent="0.15">
      <c r="A320" t="s">
        <v>2313</v>
      </c>
      <c r="B320">
        <v>2</v>
      </c>
      <c r="C320" t="s">
        <v>1526</v>
      </c>
      <c r="D320" t="s">
        <v>1473</v>
      </c>
      <c r="E320">
        <v>0</v>
      </c>
    </row>
    <row r="321" spans="1:5" x14ac:dyDescent="0.15">
      <c r="A321" t="s">
        <v>2314</v>
      </c>
      <c r="B321">
        <v>2</v>
      </c>
      <c r="C321" t="s">
        <v>1534</v>
      </c>
      <c r="D321" t="s">
        <v>1473</v>
      </c>
      <c r="E321">
        <v>0</v>
      </c>
    </row>
    <row r="322" spans="1:5" x14ac:dyDescent="0.15">
      <c r="A322" t="s">
        <v>2315</v>
      </c>
      <c r="B322">
        <v>1</v>
      </c>
      <c r="C322" t="s">
        <v>1538</v>
      </c>
      <c r="D322" t="s">
        <v>1473</v>
      </c>
      <c r="E322">
        <v>0</v>
      </c>
    </row>
    <row r="323" spans="1:5" x14ac:dyDescent="0.15">
      <c r="A323" t="s">
        <v>2214</v>
      </c>
      <c r="B323">
        <v>4</v>
      </c>
      <c r="C323" t="s">
        <v>1528</v>
      </c>
      <c r="D323" t="s">
        <v>1473</v>
      </c>
      <c r="E323">
        <v>0</v>
      </c>
    </row>
    <row r="324" spans="1:5" x14ac:dyDescent="0.15">
      <c r="A324" t="s">
        <v>2316</v>
      </c>
      <c r="B324">
        <v>2</v>
      </c>
      <c r="C324" t="s">
        <v>1534</v>
      </c>
      <c r="D324" t="s">
        <v>1473</v>
      </c>
      <c r="E324">
        <v>0</v>
      </c>
    </row>
    <row r="325" spans="1:5" x14ac:dyDescent="0.15">
      <c r="A325" t="s">
        <v>2317</v>
      </c>
      <c r="B325">
        <v>2</v>
      </c>
      <c r="C325" t="s">
        <v>1526</v>
      </c>
      <c r="D325" t="s">
        <v>1473</v>
      </c>
      <c r="E325">
        <v>0</v>
      </c>
    </row>
    <row r="326" spans="1:5" x14ac:dyDescent="0.15">
      <c r="A326" t="s">
        <v>2279</v>
      </c>
      <c r="B326">
        <v>4</v>
      </c>
      <c r="C326" t="s">
        <v>1534</v>
      </c>
      <c r="D326" t="s">
        <v>1473</v>
      </c>
      <c r="E326">
        <v>2</v>
      </c>
    </row>
    <row r="327" spans="1:5" x14ac:dyDescent="0.15">
      <c r="A327" t="s">
        <v>2279</v>
      </c>
      <c r="B327">
        <v>4</v>
      </c>
      <c r="C327" t="s">
        <v>1534</v>
      </c>
      <c r="D327" t="s">
        <v>1473</v>
      </c>
      <c r="E327">
        <v>4</v>
      </c>
    </row>
    <row r="328" spans="1:5" x14ac:dyDescent="0.15">
      <c r="A328" t="s">
        <v>2318</v>
      </c>
      <c r="B328">
        <v>2</v>
      </c>
      <c r="C328" t="s">
        <v>1538</v>
      </c>
      <c r="D328" t="s">
        <v>1473</v>
      </c>
      <c r="E328">
        <v>2</v>
      </c>
    </row>
    <row r="329" spans="1:5" x14ac:dyDescent="0.15">
      <c r="A329" t="s">
        <v>2319</v>
      </c>
      <c r="B329">
        <v>2</v>
      </c>
      <c r="C329" t="s">
        <v>1538</v>
      </c>
      <c r="D329" t="s">
        <v>1473</v>
      </c>
      <c r="E329">
        <v>0</v>
      </c>
    </row>
    <row r="330" spans="1:5" x14ac:dyDescent="0.15">
      <c r="A330" t="s">
        <v>2320</v>
      </c>
      <c r="B330">
        <v>2</v>
      </c>
      <c r="C330" t="s">
        <v>1534</v>
      </c>
      <c r="D330" t="s">
        <v>1473</v>
      </c>
      <c r="E330">
        <v>0</v>
      </c>
    </row>
    <row r="331" spans="1:5" x14ac:dyDescent="0.15">
      <c r="A331" t="s">
        <v>2312</v>
      </c>
      <c r="B331">
        <v>1</v>
      </c>
      <c r="C331" t="s">
        <v>1530</v>
      </c>
      <c r="D331" t="s">
        <v>1473</v>
      </c>
      <c r="E331">
        <v>2</v>
      </c>
    </row>
    <row r="332" spans="1:5" x14ac:dyDescent="0.15">
      <c r="A332" t="s">
        <v>2321</v>
      </c>
      <c r="B332">
        <v>2</v>
      </c>
      <c r="C332" t="s">
        <v>1526</v>
      </c>
      <c r="D332" t="s">
        <v>1473</v>
      </c>
      <c r="E332">
        <v>0</v>
      </c>
    </row>
    <row r="333" spans="1:5" x14ac:dyDescent="0.15">
      <c r="A333" t="s">
        <v>2322</v>
      </c>
      <c r="B333">
        <v>2</v>
      </c>
      <c r="C333" t="s">
        <v>1526</v>
      </c>
      <c r="D333" t="s">
        <v>1473</v>
      </c>
      <c r="E333">
        <v>0</v>
      </c>
    </row>
    <row r="334" spans="1:5" x14ac:dyDescent="0.15">
      <c r="A334" t="s">
        <v>2323</v>
      </c>
      <c r="B334">
        <v>1</v>
      </c>
      <c r="C334" t="s">
        <v>1538</v>
      </c>
      <c r="D334" t="s">
        <v>1473</v>
      </c>
      <c r="E334">
        <v>0</v>
      </c>
    </row>
    <row r="335" spans="1:5" x14ac:dyDescent="0.15">
      <c r="A335" t="s">
        <v>2324</v>
      </c>
      <c r="B335">
        <v>2</v>
      </c>
      <c r="C335" t="s">
        <v>1526</v>
      </c>
      <c r="D335" t="s">
        <v>1473</v>
      </c>
      <c r="E335">
        <v>0</v>
      </c>
    </row>
    <row r="336" spans="1:5" x14ac:dyDescent="0.15">
      <c r="A336" t="s">
        <v>2325</v>
      </c>
      <c r="B336">
        <v>2</v>
      </c>
      <c r="C336" t="s">
        <v>1534</v>
      </c>
      <c r="D336" t="s">
        <v>1473</v>
      </c>
      <c r="E336">
        <v>0</v>
      </c>
    </row>
    <row r="337" spans="1:5" x14ac:dyDescent="0.15">
      <c r="A337" t="s">
        <v>2326</v>
      </c>
      <c r="B337">
        <v>1</v>
      </c>
      <c r="C337" t="s">
        <v>1528</v>
      </c>
      <c r="D337" t="s">
        <v>1473</v>
      </c>
      <c r="E337">
        <v>4</v>
      </c>
    </row>
    <row r="338" spans="1:5" x14ac:dyDescent="0.15">
      <c r="A338" t="s">
        <v>2327</v>
      </c>
      <c r="B338">
        <v>3</v>
      </c>
      <c r="C338" t="s">
        <v>1536</v>
      </c>
      <c r="D338" t="s">
        <v>1473</v>
      </c>
      <c r="E338">
        <v>0</v>
      </c>
    </row>
    <row r="339" spans="1:5" x14ac:dyDescent="0.15">
      <c r="A339" t="s">
        <v>2328</v>
      </c>
      <c r="B339">
        <v>2</v>
      </c>
      <c r="C339" t="s">
        <v>1534</v>
      </c>
      <c r="D339" t="s">
        <v>1473</v>
      </c>
      <c r="E339">
        <v>0</v>
      </c>
    </row>
    <row r="340" spans="1:5" x14ac:dyDescent="0.15">
      <c r="A340" t="s">
        <v>2329</v>
      </c>
      <c r="B340">
        <v>2</v>
      </c>
      <c r="C340" t="s">
        <v>1534</v>
      </c>
      <c r="D340" t="s">
        <v>1473</v>
      </c>
      <c r="E340">
        <v>0</v>
      </c>
    </row>
    <row r="341" spans="1:5" x14ac:dyDescent="0.15">
      <c r="A341" t="s">
        <v>2330</v>
      </c>
      <c r="B341">
        <v>1</v>
      </c>
      <c r="C341" t="s">
        <v>1526</v>
      </c>
      <c r="D341" t="s">
        <v>1473</v>
      </c>
      <c r="E341">
        <v>0</v>
      </c>
    </row>
    <row r="342" spans="1:5" x14ac:dyDescent="0.15">
      <c r="A342" t="s">
        <v>2331</v>
      </c>
      <c r="B342">
        <v>1</v>
      </c>
      <c r="C342" t="s">
        <v>1526</v>
      </c>
      <c r="D342" t="s">
        <v>1473</v>
      </c>
      <c r="E342">
        <v>0</v>
      </c>
    </row>
    <row r="343" spans="1:5" x14ac:dyDescent="0.15">
      <c r="A343" t="s">
        <v>2331</v>
      </c>
      <c r="B343">
        <v>1</v>
      </c>
      <c r="C343" t="s">
        <v>1526</v>
      </c>
      <c r="D343" t="s">
        <v>1473</v>
      </c>
      <c r="E343">
        <v>4</v>
      </c>
    </row>
    <row r="344" spans="1:5" x14ac:dyDescent="0.15">
      <c r="A344" t="s">
        <v>2332</v>
      </c>
      <c r="B344">
        <v>1</v>
      </c>
      <c r="C344" t="s">
        <v>1530</v>
      </c>
      <c r="D344" t="s">
        <v>1473</v>
      </c>
      <c r="E344">
        <v>0</v>
      </c>
    </row>
    <row r="345" spans="1:5" x14ac:dyDescent="0.15">
      <c r="A345" t="s">
        <v>2333</v>
      </c>
      <c r="B345">
        <v>2</v>
      </c>
      <c r="C345" t="s">
        <v>1530</v>
      </c>
      <c r="D345" t="s">
        <v>1473</v>
      </c>
      <c r="E345">
        <v>0</v>
      </c>
    </row>
    <row r="346" spans="1:5" x14ac:dyDescent="0.15">
      <c r="A346" t="s">
        <v>2274</v>
      </c>
      <c r="B346">
        <v>1</v>
      </c>
      <c r="C346" t="s">
        <v>1538</v>
      </c>
      <c r="D346" t="s">
        <v>1473</v>
      </c>
      <c r="E346">
        <v>2</v>
      </c>
    </row>
    <row r="347" spans="1:5" x14ac:dyDescent="0.15">
      <c r="A347" t="s">
        <v>2247</v>
      </c>
      <c r="B347">
        <v>4</v>
      </c>
      <c r="C347" t="s">
        <v>1534</v>
      </c>
      <c r="D347" t="s">
        <v>1473</v>
      </c>
      <c r="E347">
        <v>4</v>
      </c>
    </row>
    <row r="348" spans="1:5" x14ac:dyDescent="0.15">
      <c r="A348" t="s">
        <v>2228</v>
      </c>
      <c r="B348">
        <v>2</v>
      </c>
      <c r="C348" t="s">
        <v>1530</v>
      </c>
      <c r="D348" t="s">
        <v>1473</v>
      </c>
      <c r="E348">
        <v>4</v>
      </c>
    </row>
    <row r="349" spans="1:5" x14ac:dyDescent="0.15">
      <c r="A349" t="s">
        <v>2244</v>
      </c>
      <c r="B349">
        <v>1</v>
      </c>
      <c r="C349" t="s">
        <v>1528</v>
      </c>
      <c r="D349" t="s">
        <v>1473</v>
      </c>
      <c r="E349">
        <v>4</v>
      </c>
    </row>
    <row r="350" spans="1:5" x14ac:dyDescent="0.15">
      <c r="A350" t="s">
        <v>2334</v>
      </c>
      <c r="B350">
        <v>1</v>
      </c>
      <c r="C350" t="s">
        <v>1538</v>
      </c>
      <c r="D350" t="s">
        <v>1473</v>
      </c>
      <c r="E350">
        <v>0</v>
      </c>
    </row>
    <row r="351" spans="1:5" x14ac:dyDescent="0.15">
      <c r="A351" t="s">
        <v>2272</v>
      </c>
      <c r="B351">
        <v>1</v>
      </c>
      <c r="C351" t="s">
        <v>1530</v>
      </c>
      <c r="D351" t="s">
        <v>1473</v>
      </c>
      <c r="E351">
        <v>0</v>
      </c>
    </row>
    <row r="352" spans="1:5" x14ac:dyDescent="0.15">
      <c r="A352" t="s">
        <v>2335</v>
      </c>
      <c r="B352">
        <v>2</v>
      </c>
      <c r="C352" t="s">
        <v>1538</v>
      </c>
      <c r="D352" t="s">
        <v>1473</v>
      </c>
      <c r="E352">
        <v>0</v>
      </c>
    </row>
    <row r="353" spans="1:5" x14ac:dyDescent="0.15">
      <c r="A353" t="s">
        <v>2336</v>
      </c>
      <c r="B353">
        <v>4</v>
      </c>
      <c r="C353" t="s">
        <v>1532</v>
      </c>
      <c r="D353" t="s">
        <v>1473</v>
      </c>
      <c r="E353">
        <v>0</v>
      </c>
    </row>
    <row r="354" spans="1:5" x14ac:dyDescent="0.15">
      <c r="A354" t="s">
        <v>2336</v>
      </c>
      <c r="B354">
        <v>4</v>
      </c>
      <c r="C354" t="s">
        <v>1532</v>
      </c>
      <c r="D354" t="s">
        <v>1473</v>
      </c>
      <c r="E354">
        <v>2</v>
      </c>
    </row>
    <row r="355" spans="1:5" x14ac:dyDescent="0.15">
      <c r="A355" t="s">
        <v>2337</v>
      </c>
      <c r="B355">
        <v>2</v>
      </c>
      <c r="C355" t="s">
        <v>1534</v>
      </c>
      <c r="D355" t="s">
        <v>1473</v>
      </c>
      <c r="E355">
        <v>0</v>
      </c>
    </row>
    <row r="356" spans="1:5" x14ac:dyDescent="0.15">
      <c r="A356" t="s">
        <v>2338</v>
      </c>
      <c r="B356">
        <v>1</v>
      </c>
      <c r="C356" t="s">
        <v>1532</v>
      </c>
      <c r="D356" t="s">
        <v>1473</v>
      </c>
      <c r="E356">
        <v>0</v>
      </c>
    </row>
    <row r="357" spans="1:5" x14ac:dyDescent="0.15">
      <c r="A357" t="s">
        <v>2339</v>
      </c>
      <c r="B357">
        <v>1</v>
      </c>
      <c r="C357" t="s">
        <v>1534</v>
      </c>
      <c r="D357" t="s">
        <v>1473</v>
      </c>
      <c r="E357">
        <v>0</v>
      </c>
    </row>
    <row r="358" spans="1:5" x14ac:dyDescent="0.15">
      <c r="A358" t="s">
        <v>2253</v>
      </c>
      <c r="B358">
        <v>4</v>
      </c>
      <c r="C358" t="s">
        <v>1536</v>
      </c>
      <c r="D358" t="s">
        <v>1473</v>
      </c>
      <c r="E358">
        <v>2</v>
      </c>
    </row>
    <row r="359" spans="1:5" x14ac:dyDescent="0.15">
      <c r="A359" t="s">
        <v>2340</v>
      </c>
      <c r="B359">
        <v>2</v>
      </c>
      <c r="C359" t="s">
        <v>1534</v>
      </c>
      <c r="D359" t="s">
        <v>1473</v>
      </c>
      <c r="E359">
        <v>4</v>
      </c>
    </row>
    <row r="360" spans="1:5" x14ac:dyDescent="0.15">
      <c r="A360" t="s">
        <v>2341</v>
      </c>
      <c r="B360">
        <v>2</v>
      </c>
      <c r="C360" t="s">
        <v>1534</v>
      </c>
      <c r="D360" t="s">
        <v>1473</v>
      </c>
      <c r="E360">
        <v>0</v>
      </c>
    </row>
    <row r="361" spans="1:5" x14ac:dyDescent="0.15">
      <c r="A361" t="s">
        <v>2342</v>
      </c>
      <c r="B361">
        <v>2</v>
      </c>
      <c r="C361" t="s">
        <v>1526</v>
      </c>
      <c r="D361" t="s">
        <v>1473</v>
      </c>
      <c r="E361">
        <v>0</v>
      </c>
    </row>
    <row r="362" spans="1:5" x14ac:dyDescent="0.15">
      <c r="A362" t="s">
        <v>2343</v>
      </c>
      <c r="B362">
        <v>2</v>
      </c>
      <c r="C362" t="s">
        <v>1534</v>
      </c>
      <c r="D362" t="s">
        <v>1473</v>
      </c>
      <c r="E362">
        <v>0</v>
      </c>
    </row>
    <row r="363" spans="1:5" x14ac:dyDescent="0.15">
      <c r="A363" t="s">
        <v>2344</v>
      </c>
      <c r="B363">
        <v>1</v>
      </c>
      <c r="C363" t="s">
        <v>1526</v>
      </c>
      <c r="D363" t="s">
        <v>1473</v>
      </c>
      <c r="E363">
        <v>0</v>
      </c>
    </row>
    <row r="364" spans="1:5" x14ac:dyDescent="0.15">
      <c r="A364" t="s">
        <v>2345</v>
      </c>
      <c r="B364">
        <v>1</v>
      </c>
      <c r="C364" t="s">
        <v>1534</v>
      </c>
      <c r="D364" t="s">
        <v>1473</v>
      </c>
      <c r="E364">
        <v>0</v>
      </c>
    </row>
    <row r="365" spans="1:5" x14ac:dyDescent="0.15">
      <c r="A365" t="s">
        <v>2346</v>
      </c>
      <c r="B365">
        <v>2</v>
      </c>
      <c r="C365" t="s">
        <v>1526</v>
      </c>
      <c r="D365" t="s">
        <v>1473</v>
      </c>
      <c r="E365">
        <v>0</v>
      </c>
    </row>
    <row r="366" spans="1:5" x14ac:dyDescent="0.15">
      <c r="A366" t="s">
        <v>2347</v>
      </c>
      <c r="B366">
        <v>2</v>
      </c>
      <c r="C366" t="s">
        <v>1526</v>
      </c>
      <c r="D366" t="s">
        <v>1473</v>
      </c>
      <c r="E366">
        <v>0</v>
      </c>
    </row>
    <row r="367" spans="1:5" x14ac:dyDescent="0.15">
      <c r="A367" t="s">
        <v>2348</v>
      </c>
      <c r="B367">
        <v>2</v>
      </c>
      <c r="C367" t="s">
        <v>1526</v>
      </c>
      <c r="D367" t="s">
        <v>1473</v>
      </c>
      <c r="E367">
        <v>4</v>
      </c>
    </row>
    <row r="368" spans="1:5" x14ac:dyDescent="0.15">
      <c r="A368" t="s">
        <v>2349</v>
      </c>
      <c r="B368">
        <v>2</v>
      </c>
      <c r="C368" t="s">
        <v>1526</v>
      </c>
      <c r="D368" t="s">
        <v>1473</v>
      </c>
      <c r="E368">
        <v>0</v>
      </c>
    </row>
    <row r="369" spans="1:5" x14ac:dyDescent="0.15">
      <c r="A369" t="s">
        <v>2227</v>
      </c>
      <c r="B369">
        <v>2</v>
      </c>
      <c r="C369" t="s">
        <v>1530</v>
      </c>
      <c r="D369" t="s">
        <v>1473</v>
      </c>
      <c r="E369">
        <v>4</v>
      </c>
    </row>
    <row r="370" spans="1:5" x14ac:dyDescent="0.15">
      <c r="A370" t="s">
        <v>2350</v>
      </c>
      <c r="B370">
        <v>2</v>
      </c>
      <c r="C370" t="s">
        <v>1526</v>
      </c>
      <c r="D370" t="s">
        <v>1473</v>
      </c>
      <c r="E370">
        <v>0</v>
      </c>
    </row>
    <row r="371" spans="1:5" x14ac:dyDescent="0.15">
      <c r="A371" t="s">
        <v>2351</v>
      </c>
      <c r="B371">
        <v>2</v>
      </c>
      <c r="C371" t="s">
        <v>1534</v>
      </c>
      <c r="D371" t="s">
        <v>1473</v>
      </c>
      <c r="E371">
        <v>0</v>
      </c>
    </row>
    <row r="372" spans="1:5" x14ac:dyDescent="0.15">
      <c r="A372" t="s">
        <v>2352</v>
      </c>
      <c r="B372">
        <v>2</v>
      </c>
      <c r="C372" t="s">
        <v>1534</v>
      </c>
      <c r="D372" t="s">
        <v>1473</v>
      </c>
      <c r="E372">
        <v>0</v>
      </c>
    </row>
    <row r="373" spans="1:5" x14ac:dyDescent="0.15">
      <c r="A373" t="s">
        <v>2352</v>
      </c>
      <c r="B373">
        <v>2</v>
      </c>
      <c r="C373" t="s">
        <v>1534</v>
      </c>
      <c r="D373" t="s">
        <v>1473</v>
      </c>
      <c r="E373">
        <v>2</v>
      </c>
    </row>
    <row r="374" spans="1:5" x14ac:dyDescent="0.15">
      <c r="A374" t="s">
        <v>2353</v>
      </c>
      <c r="B374">
        <v>4</v>
      </c>
      <c r="C374" t="s">
        <v>1530</v>
      </c>
      <c r="D374" t="s">
        <v>1473</v>
      </c>
      <c r="E374">
        <v>0</v>
      </c>
    </row>
    <row r="375" spans="1:5" x14ac:dyDescent="0.15">
      <c r="A375" t="s">
        <v>2354</v>
      </c>
      <c r="B375">
        <v>2</v>
      </c>
      <c r="C375" t="s">
        <v>1534</v>
      </c>
      <c r="D375" t="s">
        <v>1473</v>
      </c>
      <c r="E375">
        <v>0</v>
      </c>
    </row>
    <row r="376" spans="1:5" x14ac:dyDescent="0.15">
      <c r="A376" t="s">
        <v>2355</v>
      </c>
      <c r="B376">
        <v>2</v>
      </c>
      <c r="C376" t="s">
        <v>1530</v>
      </c>
      <c r="D376" t="s">
        <v>1473</v>
      </c>
      <c r="E376">
        <v>0</v>
      </c>
    </row>
    <row r="377" spans="1:5" x14ac:dyDescent="0.15">
      <c r="A377" t="s">
        <v>2356</v>
      </c>
      <c r="B377">
        <v>2</v>
      </c>
      <c r="C377" t="s">
        <v>1534</v>
      </c>
      <c r="D377" t="s">
        <v>1473</v>
      </c>
      <c r="E377">
        <v>0</v>
      </c>
    </row>
    <row r="378" spans="1:5" x14ac:dyDescent="0.15">
      <c r="A378" t="s">
        <v>2357</v>
      </c>
      <c r="B378">
        <v>2</v>
      </c>
      <c r="C378" t="s">
        <v>1526</v>
      </c>
      <c r="D378" t="s">
        <v>1473</v>
      </c>
      <c r="E378">
        <v>0</v>
      </c>
    </row>
    <row r="379" spans="1:5" x14ac:dyDescent="0.15">
      <c r="A379" t="s">
        <v>2358</v>
      </c>
      <c r="B379">
        <v>2</v>
      </c>
      <c r="C379" t="s">
        <v>1526</v>
      </c>
      <c r="D379" t="s">
        <v>1473</v>
      </c>
      <c r="E379">
        <v>0</v>
      </c>
    </row>
    <row r="380" spans="1:5" x14ac:dyDescent="0.15">
      <c r="A380" t="s">
        <v>2348</v>
      </c>
      <c r="B380">
        <v>2</v>
      </c>
      <c r="C380" t="s">
        <v>1526</v>
      </c>
      <c r="D380" t="s">
        <v>1473</v>
      </c>
      <c r="E380">
        <v>0</v>
      </c>
    </row>
    <row r="381" spans="1:5" x14ac:dyDescent="0.15">
      <c r="A381" t="s">
        <v>2194</v>
      </c>
      <c r="B381">
        <v>1</v>
      </c>
      <c r="C381" t="s">
        <v>1532</v>
      </c>
      <c r="D381" t="s">
        <v>1473</v>
      </c>
      <c r="E381">
        <v>4</v>
      </c>
    </row>
    <row r="382" spans="1:5" x14ac:dyDescent="0.15">
      <c r="A382" t="s">
        <v>2188</v>
      </c>
      <c r="B382">
        <v>2</v>
      </c>
      <c r="C382" t="s">
        <v>1534</v>
      </c>
      <c r="D382" t="s">
        <v>1473</v>
      </c>
      <c r="E382">
        <v>2</v>
      </c>
    </row>
    <row r="383" spans="1:5" x14ac:dyDescent="0.15">
      <c r="A383" t="s">
        <v>2359</v>
      </c>
      <c r="B383">
        <v>1</v>
      </c>
      <c r="C383" t="s">
        <v>1536</v>
      </c>
      <c r="D383" t="s">
        <v>1473</v>
      </c>
      <c r="E383">
        <v>0</v>
      </c>
    </row>
    <row r="384" spans="1:5" x14ac:dyDescent="0.15">
      <c r="A384" t="s">
        <v>2359</v>
      </c>
      <c r="B384">
        <v>1</v>
      </c>
      <c r="C384" t="s">
        <v>1536</v>
      </c>
      <c r="D384" t="s">
        <v>1473</v>
      </c>
      <c r="E384">
        <v>2</v>
      </c>
    </row>
    <row r="385" spans="1:5" x14ac:dyDescent="0.15">
      <c r="A385" t="s">
        <v>2197</v>
      </c>
      <c r="B385">
        <v>2</v>
      </c>
      <c r="C385" t="s">
        <v>1534</v>
      </c>
      <c r="D385" t="s">
        <v>1473</v>
      </c>
      <c r="E385">
        <v>4</v>
      </c>
    </row>
    <row r="386" spans="1:5" x14ac:dyDescent="0.15">
      <c r="A386" t="s">
        <v>2360</v>
      </c>
      <c r="B386">
        <v>2</v>
      </c>
      <c r="C386" t="s">
        <v>1534</v>
      </c>
      <c r="D386" t="s">
        <v>1473</v>
      </c>
      <c r="E386">
        <v>2</v>
      </c>
    </row>
    <row r="387" spans="1:5" x14ac:dyDescent="0.15">
      <c r="A387" t="s">
        <v>2361</v>
      </c>
      <c r="B387">
        <v>2</v>
      </c>
      <c r="C387" t="s">
        <v>1534</v>
      </c>
      <c r="D387" t="s">
        <v>1473</v>
      </c>
      <c r="E387">
        <v>0</v>
      </c>
    </row>
    <row r="388" spans="1:5" x14ac:dyDescent="0.15">
      <c r="A388" t="s">
        <v>2300</v>
      </c>
      <c r="B388">
        <v>4</v>
      </c>
      <c r="C388" t="s">
        <v>1536</v>
      </c>
      <c r="D388" t="s">
        <v>1473</v>
      </c>
      <c r="E388">
        <v>2</v>
      </c>
    </row>
    <row r="389" spans="1:5" x14ac:dyDescent="0.15">
      <c r="A389" t="s">
        <v>2362</v>
      </c>
      <c r="B389">
        <v>2</v>
      </c>
      <c r="C389" t="s">
        <v>1534</v>
      </c>
      <c r="D389" t="s">
        <v>1473</v>
      </c>
      <c r="E389">
        <v>0</v>
      </c>
    </row>
    <row r="390" spans="1:5" x14ac:dyDescent="0.15">
      <c r="A390" t="s">
        <v>2363</v>
      </c>
      <c r="B390">
        <v>1</v>
      </c>
      <c r="C390" t="s">
        <v>1526</v>
      </c>
      <c r="D390" t="s">
        <v>1473</v>
      </c>
      <c r="E390">
        <v>0</v>
      </c>
    </row>
    <row r="391" spans="1:5" x14ac:dyDescent="0.15">
      <c r="A391" t="s">
        <v>2230</v>
      </c>
      <c r="B391">
        <v>1</v>
      </c>
      <c r="C391" t="s">
        <v>1534</v>
      </c>
      <c r="D391" t="s">
        <v>1473</v>
      </c>
      <c r="E391">
        <v>4</v>
      </c>
    </row>
    <row r="392" spans="1:5" x14ac:dyDescent="0.15">
      <c r="A392" t="s">
        <v>2364</v>
      </c>
      <c r="B392">
        <v>2</v>
      </c>
      <c r="C392" t="s">
        <v>1526</v>
      </c>
      <c r="D392" t="s">
        <v>1473</v>
      </c>
      <c r="E392">
        <v>0</v>
      </c>
    </row>
    <row r="393" spans="1:5" x14ac:dyDescent="0.15">
      <c r="A393" t="s">
        <v>2202</v>
      </c>
      <c r="B393">
        <v>1</v>
      </c>
      <c r="C393" t="s">
        <v>1530</v>
      </c>
      <c r="D393" t="s">
        <v>1473</v>
      </c>
      <c r="E393">
        <v>2</v>
      </c>
    </row>
    <row r="394" spans="1:5" x14ac:dyDescent="0.15">
      <c r="A394" t="s">
        <v>2365</v>
      </c>
      <c r="B394">
        <v>1</v>
      </c>
      <c r="C394" t="s">
        <v>1528</v>
      </c>
      <c r="D394" t="s">
        <v>1473</v>
      </c>
      <c r="E394">
        <v>0</v>
      </c>
    </row>
    <row r="395" spans="1:5" x14ac:dyDescent="0.15">
      <c r="A395" t="s">
        <v>2366</v>
      </c>
      <c r="B395">
        <v>2</v>
      </c>
      <c r="C395" t="s">
        <v>1538</v>
      </c>
      <c r="D395" t="s">
        <v>1473</v>
      </c>
      <c r="E395">
        <v>4</v>
      </c>
    </row>
    <row r="396" spans="1:5" x14ac:dyDescent="0.15">
      <c r="A396" t="s">
        <v>2367</v>
      </c>
      <c r="B396">
        <v>4</v>
      </c>
      <c r="C396" t="s">
        <v>1526</v>
      </c>
      <c r="D396" t="s">
        <v>1473</v>
      </c>
      <c r="E396">
        <v>0</v>
      </c>
    </row>
    <row r="397" spans="1:5" x14ac:dyDescent="0.15">
      <c r="A397" t="s">
        <v>2368</v>
      </c>
      <c r="B397">
        <v>2</v>
      </c>
      <c r="C397" t="s">
        <v>1528</v>
      </c>
      <c r="D397" t="s">
        <v>1473</v>
      </c>
      <c r="E397">
        <v>0</v>
      </c>
    </row>
    <row r="398" spans="1:5" x14ac:dyDescent="0.15">
      <c r="A398" t="s">
        <v>2368</v>
      </c>
      <c r="B398">
        <v>2</v>
      </c>
      <c r="C398" t="s">
        <v>1528</v>
      </c>
      <c r="D398" t="s">
        <v>1473</v>
      </c>
      <c r="E398">
        <v>2</v>
      </c>
    </row>
    <row r="399" spans="1:5" x14ac:dyDescent="0.15">
      <c r="A399" t="s">
        <v>2368</v>
      </c>
      <c r="B399">
        <v>2</v>
      </c>
      <c r="C399" t="s">
        <v>1528</v>
      </c>
      <c r="D399" t="s">
        <v>1473</v>
      </c>
      <c r="E399">
        <v>4</v>
      </c>
    </row>
    <row r="400" spans="1:5" x14ac:dyDescent="0.15">
      <c r="A400" t="s">
        <v>2369</v>
      </c>
      <c r="B400">
        <v>2</v>
      </c>
      <c r="C400" t="s">
        <v>1534</v>
      </c>
      <c r="D400" t="s">
        <v>1473</v>
      </c>
      <c r="E400">
        <v>0</v>
      </c>
    </row>
    <row r="401" spans="1:5" x14ac:dyDescent="0.15">
      <c r="A401" t="s">
        <v>2286</v>
      </c>
      <c r="B401">
        <v>2</v>
      </c>
      <c r="C401" t="s">
        <v>1536</v>
      </c>
      <c r="D401" t="s">
        <v>1473</v>
      </c>
      <c r="E401">
        <v>2</v>
      </c>
    </row>
    <row r="402" spans="1:5" x14ac:dyDescent="0.15">
      <c r="A402" t="s">
        <v>2370</v>
      </c>
      <c r="B402">
        <v>1</v>
      </c>
      <c r="C402" t="s">
        <v>1530</v>
      </c>
      <c r="D402" t="s">
        <v>1473</v>
      </c>
      <c r="E402">
        <v>0</v>
      </c>
    </row>
    <row r="403" spans="1:5" x14ac:dyDescent="0.15">
      <c r="A403" t="s">
        <v>2371</v>
      </c>
      <c r="B403">
        <v>4</v>
      </c>
      <c r="C403" t="s">
        <v>1534</v>
      </c>
      <c r="D403" t="s">
        <v>1473</v>
      </c>
      <c r="E403">
        <v>0</v>
      </c>
    </row>
    <row r="404" spans="1:5" x14ac:dyDescent="0.15">
      <c r="A404" t="s">
        <v>2372</v>
      </c>
      <c r="B404">
        <v>4</v>
      </c>
      <c r="C404" t="s">
        <v>1530</v>
      </c>
      <c r="D404" t="s">
        <v>1473</v>
      </c>
      <c r="E404">
        <v>0</v>
      </c>
    </row>
    <row r="405" spans="1:5" x14ac:dyDescent="0.15">
      <c r="A405" t="s">
        <v>2373</v>
      </c>
      <c r="B405">
        <v>1</v>
      </c>
      <c r="C405" t="s">
        <v>1528</v>
      </c>
      <c r="D405" t="s">
        <v>1473</v>
      </c>
      <c r="E405">
        <v>0</v>
      </c>
    </row>
    <row r="406" spans="1:5" x14ac:dyDescent="0.15">
      <c r="A406" t="s">
        <v>2374</v>
      </c>
      <c r="B406">
        <v>2</v>
      </c>
      <c r="C406" t="s">
        <v>1526</v>
      </c>
      <c r="D406" t="s">
        <v>1473</v>
      </c>
      <c r="E406">
        <v>0</v>
      </c>
    </row>
    <row r="407" spans="1:5" x14ac:dyDescent="0.15">
      <c r="A407" t="s">
        <v>2375</v>
      </c>
      <c r="B407">
        <v>2</v>
      </c>
      <c r="C407" t="s">
        <v>1530</v>
      </c>
      <c r="D407" t="s">
        <v>1473</v>
      </c>
      <c r="E407">
        <v>0</v>
      </c>
    </row>
    <row r="408" spans="1:5" x14ac:dyDescent="0.15">
      <c r="A408" t="s">
        <v>2376</v>
      </c>
      <c r="B408">
        <v>4</v>
      </c>
      <c r="C408" t="s">
        <v>1526</v>
      </c>
      <c r="D408" t="s">
        <v>1473</v>
      </c>
      <c r="E408">
        <v>0</v>
      </c>
    </row>
    <row r="409" spans="1:5" x14ac:dyDescent="0.15">
      <c r="A409" t="s">
        <v>2377</v>
      </c>
      <c r="B409">
        <v>1</v>
      </c>
      <c r="C409" t="s">
        <v>1526</v>
      </c>
      <c r="D409" t="s">
        <v>1473</v>
      </c>
      <c r="E409">
        <v>0</v>
      </c>
    </row>
    <row r="410" spans="1:5" x14ac:dyDescent="0.15">
      <c r="A410" t="s">
        <v>2378</v>
      </c>
      <c r="B410">
        <v>1</v>
      </c>
      <c r="C410" t="s">
        <v>1526</v>
      </c>
      <c r="D410" t="s">
        <v>1473</v>
      </c>
      <c r="E410">
        <v>0</v>
      </c>
    </row>
    <row r="411" spans="1:5" x14ac:dyDescent="0.15">
      <c r="A411" t="s">
        <v>2379</v>
      </c>
      <c r="B411">
        <v>2</v>
      </c>
      <c r="C411" t="s">
        <v>1530</v>
      </c>
      <c r="D411" t="s">
        <v>1473</v>
      </c>
      <c r="E411">
        <v>0</v>
      </c>
    </row>
    <row r="412" spans="1:5" x14ac:dyDescent="0.15">
      <c r="A412" t="s">
        <v>2380</v>
      </c>
      <c r="B412">
        <v>2</v>
      </c>
      <c r="C412" t="s">
        <v>1534</v>
      </c>
      <c r="D412" t="s">
        <v>1473</v>
      </c>
      <c r="E412">
        <v>0</v>
      </c>
    </row>
    <row r="413" spans="1:5" x14ac:dyDescent="0.15">
      <c r="A413" t="s">
        <v>2381</v>
      </c>
      <c r="B413">
        <v>2</v>
      </c>
      <c r="C413" t="s">
        <v>1526</v>
      </c>
      <c r="D413" t="s">
        <v>1473</v>
      </c>
      <c r="E413">
        <v>0</v>
      </c>
    </row>
    <row r="414" spans="1:5" x14ac:dyDescent="0.15">
      <c r="A414" t="s">
        <v>2382</v>
      </c>
      <c r="B414">
        <v>4</v>
      </c>
      <c r="C414" t="s">
        <v>1538</v>
      </c>
      <c r="D414" t="s">
        <v>1473</v>
      </c>
      <c r="E414">
        <v>0</v>
      </c>
    </row>
    <row r="415" spans="1:5" x14ac:dyDescent="0.15">
      <c r="A415" t="s">
        <v>2383</v>
      </c>
      <c r="B415">
        <v>1</v>
      </c>
      <c r="C415" t="s">
        <v>1532</v>
      </c>
      <c r="D415" t="s">
        <v>1473</v>
      </c>
      <c r="E415">
        <v>0</v>
      </c>
    </row>
    <row r="416" spans="1:5" x14ac:dyDescent="0.15">
      <c r="A416" t="s">
        <v>2384</v>
      </c>
      <c r="B416">
        <v>2</v>
      </c>
      <c r="C416" t="s">
        <v>1526</v>
      </c>
      <c r="D416" t="s">
        <v>1473</v>
      </c>
      <c r="E416">
        <v>0</v>
      </c>
    </row>
    <row r="417" spans="1:5" x14ac:dyDescent="0.15">
      <c r="A417" t="s">
        <v>2385</v>
      </c>
      <c r="B417">
        <v>2</v>
      </c>
      <c r="C417" t="s">
        <v>1534</v>
      </c>
      <c r="D417" t="s">
        <v>1473</v>
      </c>
      <c r="E417">
        <v>0</v>
      </c>
    </row>
    <row r="418" spans="1:5" x14ac:dyDescent="0.15">
      <c r="A418" t="s">
        <v>2386</v>
      </c>
      <c r="B418">
        <v>2</v>
      </c>
      <c r="C418" t="s">
        <v>1534</v>
      </c>
      <c r="D418" t="s">
        <v>1473</v>
      </c>
      <c r="E418">
        <v>0</v>
      </c>
    </row>
    <row r="419" spans="1:5" x14ac:dyDescent="0.15">
      <c r="A419" t="s">
        <v>2213</v>
      </c>
      <c r="B419">
        <v>4</v>
      </c>
      <c r="C419" t="s">
        <v>1536</v>
      </c>
      <c r="D419" t="s">
        <v>1473</v>
      </c>
      <c r="E419">
        <v>2</v>
      </c>
    </row>
    <row r="420" spans="1:5" x14ac:dyDescent="0.15">
      <c r="A420" t="s">
        <v>2213</v>
      </c>
      <c r="B420">
        <v>4</v>
      </c>
      <c r="C420" t="s">
        <v>1536</v>
      </c>
      <c r="D420" t="s">
        <v>1473</v>
      </c>
      <c r="E420">
        <v>4</v>
      </c>
    </row>
    <row r="421" spans="1:5" x14ac:dyDescent="0.15">
      <c r="A421" t="s">
        <v>2258</v>
      </c>
      <c r="B421">
        <v>2</v>
      </c>
      <c r="C421" t="s">
        <v>1536</v>
      </c>
      <c r="D421" t="s">
        <v>1473</v>
      </c>
      <c r="E421">
        <v>2</v>
      </c>
    </row>
    <row r="422" spans="1:5" x14ac:dyDescent="0.15">
      <c r="A422" t="s">
        <v>2387</v>
      </c>
      <c r="B422">
        <v>1</v>
      </c>
      <c r="C422" t="s">
        <v>1528</v>
      </c>
      <c r="D422" t="s">
        <v>1473</v>
      </c>
      <c r="E422">
        <v>0</v>
      </c>
    </row>
    <row r="423" spans="1:5" x14ac:dyDescent="0.15">
      <c r="A423" t="s">
        <v>2388</v>
      </c>
      <c r="B423">
        <v>2</v>
      </c>
      <c r="C423" t="s">
        <v>1526</v>
      </c>
      <c r="D423" t="s">
        <v>1473</v>
      </c>
      <c r="E423">
        <v>0</v>
      </c>
    </row>
    <row r="424" spans="1:5" x14ac:dyDescent="0.15">
      <c r="A424" t="s">
        <v>2389</v>
      </c>
      <c r="B424">
        <v>4</v>
      </c>
      <c r="C424" t="s">
        <v>1526</v>
      </c>
      <c r="D424" t="s">
        <v>1473</v>
      </c>
      <c r="E424">
        <v>0</v>
      </c>
    </row>
    <row r="425" spans="1:5" x14ac:dyDescent="0.15">
      <c r="A425" t="s">
        <v>2390</v>
      </c>
      <c r="B425">
        <v>2</v>
      </c>
      <c r="C425" t="s">
        <v>1526</v>
      </c>
      <c r="D425" t="s">
        <v>1473</v>
      </c>
      <c r="E425">
        <v>0</v>
      </c>
    </row>
    <row r="426" spans="1:5" x14ac:dyDescent="0.15">
      <c r="A426" t="s">
        <v>2391</v>
      </c>
      <c r="B426">
        <v>4</v>
      </c>
      <c r="C426" t="s">
        <v>1526</v>
      </c>
      <c r="D426" t="s">
        <v>1473</v>
      </c>
      <c r="E426">
        <v>0</v>
      </c>
    </row>
    <row r="427" spans="1:5" x14ac:dyDescent="0.15">
      <c r="A427" t="s">
        <v>2392</v>
      </c>
      <c r="B427">
        <v>2</v>
      </c>
      <c r="C427" t="s">
        <v>1526</v>
      </c>
      <c r="D427" t="s">
        <v>1473</v>
      </c>
      <c r="E427">
        <v>0</v>
      </c>
    </row>
    <row r="428" spans="1:5" x14ac:dyDescent="0.15">
      <c r="A428" t="s">
        <v>2393</v>
      </c>
      <c r="B428">
        <v>2</v>
      </c>
      <c r="C428" t="s">
        <v>1530</v>
      </c>
      <c r="D428" t="s">
        <v>1473</v>
      </c>
      <c r="E428">
        <v>0</v>
      </c>
    </row>
    <row r="429" spans="1:5" x14ac:dyDescent="0.15">
      <c r="A429" t="s">
        <v>2394</v>
      </c>
      <c r="B429">
        <v>2</v>
      </c>
      <c r="C429" t="s">
        <v>1572</v>
      </c>
      <c r="E429">
        <v>0</v>
      </c>
    </row>
    <row r="430" spans="1:5" x14ac:dyDescent="0.15">
      <c r="A430" t="s">
        <v>2395</v>
      </c>
      <c r="B430">
        <v>4</v>
      </c>
      <c r="C430" t="s">
        <v>1538</v>
      </c>
      <c r="D430" t="s">
        <v>1473</v>
      </c>
      <c r="E430">
        <v>0</v>
      </c>
    </row>
    <row r="431" spans="1:5" x14ac:dyDescent="0.15">
      <c r="A431" t="s">
        <v>2396</v>
      </c>
      <c r="B431">
        <v>2</v>
      </c>
      <c r="C431" t="s">
        <v>1526</v>
      </c>
      <c r="D431" t="s">
        <v>1473</v>
      </c>
      <c r="E431">
        <v>0</v>
      </c>
    </row>
    <row r="432" spans="1:5" x14ac:dyDescent="0.15">
      <c r="A432" t="s">
        <v>2397</v>
      </c>
      <c r="B432">
        <v>1</v>
      </c>
      <c r="C432" t="s">
        <v>1526</v>
      </c>
      <c r="D432" t="s">
        <v>1473</v>
      </c>
      <c r="E432">
        <v>0</v>
      </c>
    </row>
    <row r="433" spans="1:5" x14ac:dyDescent="0.15">
      <c r="A433" t="s">
        <v>2398</v>
      </c>
      <c r="B433">
        <v>2</v>
      </c>
      <c r="C433" t="s">
        <v>1526</v>
      </c>
      <c r="D433" t="s">
        <v>1473</v>
      </c>
      <c r="E433">
        <v>0</v>
      </c>
    </row>
    <row r="434" spans="1:5" x14ac:dyDescent="0.15">
      <c r="A434" t="s">
        <v>2399</v>
      </c>
      <c r="B434">
        <v>1</v>
      </c>
      <c r="C434" t="s">
        <v>1801</v>
      </c>
      <c r="E434">
        <v>0</v>
      </c>
    </row>
    <row r="435" spans="1:5" x14ac:dyDescent="0.15">
      <c r="A435" t="s">
        <v>2400</v>
      </c>
      <c r="B435">
        <v>1</v>
      </c>
      <c r="C435" t="s">
        <v>1528</v>
      </c>
      <c r="D435" t="s">
        <v>1473</v>
      </c>
      <c r="E435">
        <v>0</v>
      </c>
    </row>
    <row r="436" spans="1:5" x14ac:dyDescent="0.15">
      <c r="A436" t="s">
        <v>2401</v>
      </c>
      <c r="B436">
        <v>1</v>
      </c>
      <c r="C436" t="s">
        <v>1528</v>
      </c>
      <c r="D436" t="s">
        <v>1473</v>
      </c>
      <c r="E436">
        <v>0</v>
      </c>
    </row>
    <row r="437" spans="1:5" x14ac:dyDescent="0.15">
      <c r="A437" t="s">
        <v>2402</v>
      </c>
      <c r="B437">
        <v>2</v>
      </c>
      <c r="C437" t="s">
        <v>1530</v>
      </c>
      <c r="D437" t="s">
        <v>1473</v>
      </c>
      <c r="E437">
        <v>0</v>
      </c>
    </row>
    <row r="438" spans="1:5" x14ac:dyDescent="0.15">
      <c r="A438" t="s">
        <v>2403</v>
      </c>
      <c r="B438">
        <v>2</v>
      </c>
      <c r="C438" t="s">
        <v>1526</v>
      </c>
      <c r="D438" t="s">
        <v>1473</v>
      </c>
      <c r="E438">
        <v>0</v>
      </c>
    </row>
    <row r="439" spans="1:5" x14ac:dyDescent="0.15">
      <c r="A439" t="s">
        <v>2404</v>
      </c>
      <c r="B439">
        <v>2</v>
      </c>
      <c r="C439" t="s">
        <v>1526</v>
      </c>
      <c r="D439" t="s">
        <v>1473</v>
      </c>
      <c r="E439">
        <v>0</v>
      </c>
    </row>
    <row r="440" spans="1:5" x14ac:dyDescent="0.15">
      <c r="A440" t="s">
        <v>2405</v>
      </c>
      <c r="B440">
        <v>1</v>
      </c>
      <c r="C440" t="s">
        <v>1528</v>
      </c>
      <c r="D440" t="s">
        <v>1473</v>
      </c>
      <c r="E440">
        <v>2</v>
      </c>
    </row>
    <row r="441" spans="1:5" x14ac:dyDescent="0.15">
      <c r="A441" t="s">
        <v>2406</v>
      </c>
      <c r="B441">
        <v>1</v>
      </c>
      <c r="C441" t="s">
        <v>1528</v>
      </c>
      <c r="D441" t="s">
        <v>1473</v>
      </c>
      <c r="E441">
        <v>0</v>
      </c>
    </row>
    <row r="442" spans="1:5" x14ac:dyDescent="0.15">
      <c r="A442" t="s">
        <v>2407</v>
      </c>
      <c r="B442">
        <v>2</v>
      </c>
      <c r="C442" t="s">
        <v>1526</v>
      </c>
      <c r="D442" t="s">
        <v>1473</v>
      </c>
      <c r="E442">
        <v>0</v>
      </c>
    </row>
    <row r="443" spans="1:5" x14ac:dyDescent="0.15">
      <c r="A443" t="s">
        <v>2408</v>
      </c>
      <c r="B443">
        <v>4</v>
      </c>
      <c r="C443" t="s">
        <v>1538</v>
      </c>
      <c r="D443" t="s">
        <v>1473</v>
      </c>
      <c r="E443">
        <v>0</v>
      </c>
    </row>
    <row r="444" spans="1:5" x14ac:dyDescent="0.15">
      <c r="A444" t="s">
        <v>2409</v>
      </c>
      <c r="B444">
        <v>2</v>
      </c>
      <c r="C444" t="s">
        <v>1538</v>
      </c>
      <c r="D444" t="s">
        <v>1473</v>
      </c>
      <c r="E444">
        <v>0</v>
      </c>
    </row>
    <row r="445" spans="1:5" x14ac:dyDescent="0.15">
      <c r="A445" t="s">
        <v>2410</v>
      </c>
      <c r="B445">
        <v>1</v>
      </c>
      <c r="C445" t="s">
        <v>1526</v>
      </c>
      <c r="D445" t="s">
        <v>1473</v>
      </c>
      <c r="E445">
        <v>0</v>
      </c>
    </row>
    <row r="446" spans="1:5" x14ac:dyDescent="0.15">
      <c r="A446" t="s">
        <v>2411</v>
      </c>
      <c r="B446">
        <v>1</v>
      </c>
      <c r="C446" t="s">
        <v>1568</v>
      </c>
      <c r="E446">
        <v>0</v>
      </c>
    </row>
    <row r="447" spans="1:5" x14ac:dyDescent="0.15">
      <c r="A447" t="s">
        <v>2412</v>
      </c>
      <c r="B447">
        <v>2</v>
      </c>
      <c r="C447" t="s">
        <v>1568</v>
      </c>
      <c r="E447">
        <v>0</v>
      </c>
    </row>
    <row r="448" spans="1:5" x14ac:dyDescent="0.15">
      <c r="A448" t="s">
        <v>2281</v>
      </c>
      <c r="B448">
        <v>2</v>
      </c>
      <c r="C448" t="s">
        <v>1526</v>
      </c>
      <c r="D448" t="s">
        <v>1473</v>
      </c>
      <c r="E448">
        <v>0</v>
      </c>
    </row>
    <row r="449" spans="1:5" x14ac:dyDescent="0.15">
      <c r="A449" t="s">
        <v>2413</v>
      </c>
      <c r="B449">
        <v>2</v>
      </c>
      <c r="C449" t="s">
        <v>1526</v>
      </c>
      <c r="D449" t="s">
        <v>1473</v>
      </c>
      <c r="E449">
        <v>0</v>
      </c>
    </row>
    <row r="450" spans="1:5" x14ac:dyDescent="0.15">
      <c r="A450" t="s">
        <v>2414</v>
      </c>
      <c r="B450">
        <v>2</v>
      </c>
      <c r="C450" t="s">
        <v>1528</v>
      </c>
      <c r="D450" t="s">
        <v>1473</v>
      </c>
      <c r="E450">
        <v>0</v>
      </c>
    </row>
    <row r="451" spans="1:5" x14ac:dyDescent="0.15">
      <c r="A451" t="s">
        <v>2415</v>
      </c>
      <c r="B451">
        <v>2</v>
      </c>
      <c r="C451" t="s">
        <v>1528</v>
      </c>
      <c r="D451" t="s">
        <v>1473</v>
      </c>
      <c r="E451">
        <v>0</v>
      </c>
    </row>
    <row r="452" spans="1:5" x14ac:dyDescent="0.15">
      <c r="A452" t="s">
        <v>2416</v>
      </c>
      <c r="B452">
        <v>2</v>
      </c>
      <c r="C452" t="s">
        <v>1526</v>
      </c>
      <c r="D452" t="s">
        <v>1473</v>
      </c>
      <c r="E452">
        <v>2</v>
      </c>
    </row>
    <row r="453" spans="1:5" x14ac:dyDescent="0.15">
      <c r="A453" t="s">
        <v>2417</v>
      </c>
      <c r="B453">
        <v>1</v>
      </c>
      <c r="C453" t="s">
        <v>1532</v>
      </c>
      <c r="D453" t="s">
        <v>1473</v>
      </c>
      <c r="E453">
        <v>0</v>
      </c>
    </row>
    <row r="454" spans="1:5" x14ac:dyDescent="0.15">
      <c r="A454" t="s">
        <v>2388</v>
      </c>
      <c r="B454">
        <v>2</v>
      </c>
      <c r="C454" t="s">
        <v>1526</v>
      </c>
      <c r="D454" t="s">
        <v>1473</v>
      </c>
      <c r="E454">
        <v>2</v>
      </c>
    </row>
    <row r="455" spans="1:5" x14ac:dyDescent="0.15">
      <c r="A455" t="s">
        <v>2418</v>
      </c>
      <c r="B455">
        <v>2</v>
      </c>
      <c r="C455" t="s">
        <v>1526</v>
      </c>
      <c r="D455" t="s">
        <v>1473</v>
      </c>
      <c r="E455">
        <v>0</v>
      </c>
    </row>
    <row r="456" spans="1:5" x14ac:dyDescent="0.15">
      <c r="A456" t="s">
        <v>2419</v>
      </c>
      <c r="B456">
        <v>2</v>
      </c>
      <c r="C456" t="s">
        <v>1528</v>
      </c>
      <c r="D456" t="s">
        <v>1473</v>
      </c>
      <c r="E456">
        <v>0</v>
      </c>
    </row>
    <row r="457" spans="1:5" x14ac:dyDescent="0.15">
      <c r="A457" t="s">
        <v>2420</v>
      </c>
      <c r="B457">
        <v>2</v>
      </c>
      <c r="C457" t="s">
        <v>1526</v>
      </c>
      <c r="D457" t="s">
        <v>1473</v>
      </c>
      <c r="E457">
        <v>0</v>
      </c>
    </row>
    <row r="458" spans="1:5" x14ac:dyDescent="0.15">
      <c r="A458" t="s">
        <v>2421</v>
      </c>
      <c r="B458">
        <v>2</v>
      </c>
      <c r="C458" t="s">
        <v>1526</v>
      </c>
      <c r="D458" t="s">
        <v>1473</v>
      </c>
      <c r="E458">
        <v>0</v>
      </c>
    </row>
    <row r="459" spans="1:5" x14ac:dyDescent="0.15">
      <c r="A459" t="s">
        <v>2422</v>
      </c>
      <c r="B459">
        <v>2</v>
      </c>
      <c r="C459" t="s">
        <v>1526</v>
      </c>
      <c r="D459" t="s">
        <v>1473</v>
      </c>
      <c r="E459">
        <v>0</v>
      </c>
    </row>
    <row r="460" spans="1:5" x14ac:dyDescent="0.15">
      <c r="A460" t="s">
        <v>2423</v>
      </c>
      <c r="B460">
        <v>4</v>
      </c>
      <c r="C460" t="s">
        <v>1538</v>
      </c>
      <c r="D460" t="s">
        <v>1473</v>
      </c>
      <c r="E460">
        <v>4</v>
      </c>
    </row>
    <row r="461" spans="1:5" x14ac:dyDescent="0.15">
      <c r="A461" t="s">
        <v>2424</v>
      </c>
      <c r="B461">
        <v>2</v>
      </c>
      <c r="C461" t="s">
        <v>1526</v>
      </c>
      <c r="D461" t="s">
        <v>1473</v>
      </c>
      <c r="E461">
        <v>0</v>
      </c>
    </row>
    <row r="462" spans="1:5" x14ac:dyDescent="0.15">
      <c r="A462" t="s">
        <v>2425</v>
      </c>
      <c r="B462">
        <v>1</v>
      </c>
      <c r="C462" t="s">
        <v>1526</v>
      </c>
      <c r="D462" t="s">
        <v>1473</v>
      </c>
      <c r="E462">
        <v>0</v>
      </c>
    </row>
    <row r="463" spans="1:5" x14ac:dyDescent="0.15">
      <c r="A463" t="s">
        <v>2426</v>
      </c>
      <c r="B463">
        <v>2</v>
      </c>
      <c r="C463" t="s">
        <v>1526</v>
      </c>
      <c r="D463" t="s">
        <v>1473</v>
      </c>
      <c r="E463">
        <v>0</v>
      </c>
    </row>
    <row r="464" spans="1:5" x14ac:dyDescent="0.15">
      <c r="A464" t="s">
        <v>2427</v>
      </c>
      <c r="B464">
        <v>2</v>
      </c>
      <c r="C464" t="s">
        <v>1528</v>
      </c>
      <c r="D464" t="s">
        <v>1473</v>
      </c>
      <c r="E464">
        <v>0</v>
      </c>
    </row>
    <row r="465" spans="1:5" x14ac:dyDescent="0.15">
      <c r="A465" t="s">
        <v>2187</v>
      </c>
      <c r="B465">
        <v>4</v>
      </c>
      <c r="C465" t="s">
        <v>1528</v>
      </c>
      <c r="D465" t="s">
        <v>1473</v>
      </c>
      <c r="E465">
        <v>4</v>
      </c>
    </row>
    <row r="466" spans="1:5" x14ac:dyDescent="0.15">
      <c r="A466" t="s">
        <v>2428</v>
      </c>
      <c r="B466">
        <v>1</v>
      </c>
      <c r="C466" t="s">
        <v>1532</v>
      </c>
      <c r="D466" t="s">
        <v>1473</v>
      </c>
      <c r="E466">
        <v>2</v>
      </c>
    </row>
    <row r="467" spans="1:5" x14ac:dyDescent="0.15">
      <c r="A467" t="s">
        <v>2429</v>
      </c>
      <c r="B467">
        <v>2</v>
      </c>
      <c r="C467" t="s">
        <v>1572</v>
      </c>
      <c r="E467">
        <v>0</v>
      </c>
    </row>
    <row r="468" spans="1:5" x14ac:dyDescent="0.15">
      <c r="A468" t="s">
        <v>2423</v>
      </c>
      <c r="B468">
        <v>4</v>
      </c>
      <c r="C468" t="s">
        <v>1538</v>
      </c>
      <c r="D468" t="s">
        <v>1473</v>
      </c>
      <c r="E468">
        <v>0</v>
      </c>
    </row>
    <row r="469" spans="1:5" x14ac:dyDescent="0.15">
      <c r="A469" t="s">
        <v>2430</v>
      </c>
      <c r="B469">
        <v>2</v>
      </c>
      <c r="C469" t="s">
        <v>1526</v>
      </c>
      <c r="D469" t="s">
        <v>1473</v>
      </c>
      <c r="E469">
        <v>0</v>
      </c>
    </row>
    <row r="470" spans="1:5" x14ac:dyDescent="0.15">
      <c r="A470" t="s">
        <v>2431</v>
      </c>
      <c r="B470">
        <v>2</v>
      </c>
      <c r="C470" t="s">
        <v>1526</v>
      </c>
      <c r="D470" t="s">
        <v>1473</v>
      </c>
      <c r="E470">
        <v>0</v>
      </c>
    </row>
    <row r="471" spans="1:5" x14ac:dyDescent="0.15">
      <c r="A471" t="s">
        <v>2393</v>
      </c>
      <c r="B471">
        <v>2</v>
      </c>
      <c r="C471" t="s">
        <v>1530</v>
      </c>
      <c r="D471" t="s">
        <v>1473</v>
      </c>
      <c r="E471">
        <v>2</v>
      </c>
    </row>
    <row r="472" spans="1:5" x14ac:dyDescent="0.15">
      <c r="A472" t="s">
        <v>2291</v>
      </c>
      <c r="B472">
        <v>1</v>
      </c>
      <c r="C472" t="s">
        <v>1530</v>
      </c>
      <c r="D472" t="s">
        <v>1473</v>
      </c>
      <c r="E472">
        <v>0</v>
      </c>
    </row>
    <row r="473" spans="1:5" x14ac:dyDescent="0.15">
      <c r="A473" t="s">
        <v>2432</v>
      </c>
      <c r="B473">
        <v>1</v>
      </c>
      <c r="C473" t="s">
        <v>1530</v>
      </c>
      <c r="D473" t="s">
        <v>1473</v>
      </c>
      <c r="E473">
        <v>0</v>
      </c>
    </row>
    <row r="474" spans="1:5" x14ac:dyDescent="0.15">
      <c r="A474" t="s">
        <v>2235</v>
      </c>
      <c r="B474">
        <v>4</v>
      </c>
      <c r="C474" t="s">
        <v>1528</v>
      </c>
      <c r="D474" t="s">
        <v>1473</v>
      </c>
      <c r="E474">
        <v>2</v>
      </c>
    </row>
    <row r="475" spans="1:5" x14ac:dyDescent="0.15">
      <c r="A475" t="s">
        <v>2433</v>
      </c>
      <c r="B475">
        <v>1</v>
      </c>
      <c r="C475" t="s">
        <v>1530</v>
      </c>
      <c r="D475" t="s">
        <v>1473</v>
      </c>
      <c r="E475">
        <v>0</v>
      </c>
    </row>
    <row r="476" spans="1:5" x14ac:dyDescent="0.15">
      <c r="A476" t="s">
        <v>2434</v>
      </c>
      <c r="B476">
        <v>1</v>
      </c>
      <c r="C476" t="s">
        <v>1526</v>
      </c>
      <c r="D476" t="s">
        <v>1473</v>
      </c>
      <c r="E476">
        <v>0</v>
      </c>
    </row>
    <row r="477" spans="1:5" x14ac:dyDescent="0.15">
      <c r="A477" t="s">
        <v>2435</v>
      </c>
      <c r="B477">
        <v>2</v>
      </c>
      <c r="C477" t="s">
        <v>1526</v>
      </c>
      <c r="D477" t="s">
        <v>1473</v>
      </c>
      <c r="E477">
        <v>0</v>
      </c>
    </row>
    <row r="478" spans="1:5" x14ac:dyDescent="0.15">
      <c r="A478" t="s">
        <v>2436</v>
      </c>
      <c r="B478">
        <v>1</v>
      </c>
      <c r="C478" t="s">
        <v>1532</v>
      </c>
      <c r="D478" t="s">
        <v>1473</v>
      </c>
      <c r="E478">
        <v>0</v>
      </c>
    </row>
    <row r="479" spans="1:5" x14ac:dyDescent="0.15">
      <c r="A479" t="s">
        <v>2437</v>
      </c>
      <c r="B479">
        <v>1</v>
      </c>
      <c r="C479" t="s">
        <v>1572</v>
      </c>
      <c r="E479">
        <v>0</v>
      </c>
    </row>
    <row r="480" spans="1:5" x14ac:dyDescent="0.15">
      <c r="A480" t="s">
        <v>2438</v>
      </c>
      <c r="B480">
        <v>2</v>
      </c>
      <c r="C480" t="s">
        <v>1526</v>
      </c>
      <c r="D480" t="s">
        <v>1473</v>
      </c>
      <c r="E480">
        <v>4</v>
      </c>
    </row>
    <row r="481" spans="1:5" x14ac:dyDescent="0.15">
      <c r="A481" t="s">
        <v>2438</v>
      </c>
      <c r="B481">
        <v>2</v>
      </c>
      <c r="C481" t="s">
        <v>1526</v>
      </c>
      <c r="D481" t="s">
        <v>1473</v>
      </c>
      <c r="E481">
        <v>0</v>
      </c>
    </row>
    <row r="482" spans="1:5" x14ac:dyDescent="0.15">
      <c r="A482" t="s">
        <v>2439</v>
      </c>
      <c r="B482">
        <v>1</v>
      </c>
      <c r="C482" t="s">
        <v>1526</v>
      </c>
      <c r="D482" t="s">
        <v>1473</v>
      </c>
      <c r="E482">
        <v>0</v>
      </c>
    </row>
    <row r="483" spans="1:5" x14ac:dyDescent="0.15">
      <c r="A483" t="s">
        <v>2440</v>
      </c>
      <c r="B483">
        <v>2</v>
      </c>
      <c r="C483" t="s">
        <v>1536</v>
      </c>
      <c r="D483" t="s">
        <v>1473</v>
      </c>
      <c r="E483">
        <v>0</v>
      </c>
    </row>
    <row r="484" spans="1:5" x14ac:dyDescent="0.15">
      <c r="A484" t="s">
        <v>2403</v>
      </c>
      <c r="B484">
        <v>2</v>
      </c>
      <c r="C484" t="s">
        <v>1526</v>
      </c>
      <c r="D484" t="s">
        <v>1473</v>
      </c>
      <c r="E484">
        <v>2</v>
      </c>
    </row>
    <row r="485" spans="1:5" x14ac:dyDescent="0.15">
      <c r="A485" t="s">
        <v>2441</v>
      </c>
      <c r="B485">
        <v>2</v>
      </c>
      <c r="C485" t="s">
        <v>1526</v>
      </c>
      <c r="D485" t="s">
        <v>1473</v>
      </c>
      <c r="E485">
        <v>2</v>
      </c>
    </row>
    <row r="486" spans="1:5" x14ac:dyDescent="0.15">
      <c r="A486" t="s">
        <v>2442</v>
      </c>
      <c r="B486">
        <v>2</v>
      </c>
      <c r="C486" t="s">
        <v>1526</v>
      </c>
      <c r="D486" t="s">
        <v>1473</v>
      </c>
      <c r="E486">
        <v>0</v>
      </c>
    </row>
    <row r="487" spans="1:5" x14ac:dyDescent="0.15">
      <c r="A487" t="s">
        <v>2401</v>
      </c>
      <c r="B487">
        <v>1</v>
      </c>
      <c r="C487" t="s">
        <v>1528</v>
      </c>
      <c r="D487" t="s">
        <v>1473</v>
      </c>
      <c r="E487">
        <v>4</v>
      </c>
    </row>
    <row r="488" spans="1:5" x14ac:dyDescent="0.15">
      <c r="A488" t="s">
        <v>2443</v>
      </c>
      <c r="B488">
        <v>2</v>
      </c>
      <c r="C488" t="s">
        <v>1532</v>
      </c>
      <c r="D488" t="s">
        <v>1473</v>
      </c>
      <c r="E488">
        <v>0</v>
      </c>
    </row>
    <row r="489" spans="1:5" x14ac:dyDescent="0.15">
      <c r="A489" t="s">
        <v>2444</v>
      </c>
      <c r="B489">
        <v>1</v>
      </c>
      <c r="C489" t="s">
        <v>1526</v>
      </c>
      <c r="D489" t="s">
        <v>1473</v>
      </c>
      <c r="E489">
        <v>0</v>
      </c>
    </row>
    <row r="490" spans="1:5" x14ac:dyDescent="0.15">
      <c r="A490" t="s">
        <v>2445</v>
      </c>
      <c r="B490">
        <v>1</v>
      </c>
      <c r="C490" t="s">
        <v>1532</v>
      </c>
      <c r="D490" t="s">
        <v>1473</v>
      </c>
      <c r="E490">
        <v>0</v>
      </c>
    </row>
    <row r="491" spans="1:5" x14ac:dyDescent="0.15">
      <c r="A491" t="s">
        <v>2446</v>
      </c>
      <c r="B491">
        <v>2</v>
      </c>
      <c r="C491" t="s">
        <v>1526</v>
      </c>
      <c r="D491" t="s">
        <v>1473</v>
      </c>
      <c r="E491">
        <v>0</v>
      </c>
    </row>
    <row r="492" spans="1:5" x14ac:dyDescent="0.15">
      <c r="A492" t="s">
        <v>2447</v>
      </c>
      <c r="B492">
        <v>2</v>
      </c>
      <c r="C492" t="s">
        <v>1526</v>
      </c>
      <c r="D492" t="s">
        <v>1473</v>
      </c>
      <c r="E492">
        <v>0</v>
      </c>
    </row>
    <row r="493" spans="1:5" x14ac:dyDescent="0.15">
      <c r="A493" t="s">
        <v>2423</v>
      </c>
      <c r="B493">
        <v>4</v>
      </c>
      <c r="C493" t="s">
        <v>1538</v>
      </c>
      <c r="D493" t="s">
        <v>1473</v>
      </c>
      <c r="E493">
        <v>2</v>
      </c>
    </row>
    <row r="494" spans="1:5" x14ac:dyDescent="0.15">
      <c r="A494" t="s">
        <v>2270</v>
      </c>
      <c r="B494">
        <v>1</v>
      </c>
      <c r="C494" t="s">
        <v>1530</v>
      </c>
      <c r="D494" t="s">
        <v>1473</v>
      </c>
      <c r="E494">
        <v>2</v>
      </c>
    </row>
    <row r="495" spans="1:5" x14ac:dyDescent="0.15">
      <c r="A495" t="s">
        <v>2448</v>
      </c>
      <c r="B495">
        <v>1</v>
      </c>
      <c r="C495" t="s">
        <v>1528</v>
      </c>
      <c r="D495" t="s">
        <v>1473</v>
      </c>
      <c r="E495">
        <v>0</v>
      </c>
    </row>
    <row r="496" spans="1:5" x14ac:dyDescent="0.15">
      <c r="A496" t="s">
        <v>2449</v>
      </c>
      <c r="B496">
        <v>2</v>
      </c>
      <c r="C496" t="s">
        <v>1526</v>
      </c>
      <c r="D496" t="s">
        <v>1473</v>
      </c>
      <c r="E496">
        <v>0</v>
      </c>
    </row>
    <row r="497" spans="1:5" x14ac:dyDescent="0.15">
      <c r="A497" t="s">
        <v>2450</v>
      </c>
      <c r="B497">
        <v>2</v>
      </c>
      <c r="C497" t="s">
        <v>1526</v>
      </c>
      <c r="D497" t="s">
        <v>1473</v>
      </c>
      <c r="E497">
        <v>0</v>
      </c>
    </row>
    <row r="498" spans="1:5" x14ac:dyDescent="0.15">
      <c r="A498" t="s">
        <v>2451</v>
      </c>
      <c r="B498">
        <v>2</v>
      </c>
      <c r="C498" t="s">
        <v>1534</v>
      </c>
      <c r="D498" t="s">
        <v>1473</v>
      </c>
      <c r="E498">
        <v>0</v>
      </c>
    </row>
    <row r="499" spans="1:5" x14ac:dyDescent="0.15">
      <c r="A499" t="s">
        <v>2452</v>
      </c>
      <c r="B499">
        <v>2</v>
      </c>
      <c r="C499" t="s">
        <v>1526</v>
      </c>
      <c r="D499" t="s">
        <v>1473</v>
      </c>
      <c r="E499">
        <v>2</v>
      </c>
    </row>
    <row r="500" spans="1:5" x14ac:dyDescent="0.15">
      <c r="A500" t="s">
        <v>2453</v>
      </c>
      <c r="B500">
        <v>2</v>
      </c>
      <c r="C500" t="s">
        <v>1526</v>
      </c>
      <c r="D500" t="s">
        <v>1473</v>
      </c>
      <c r="E500">
        <v>0</v>
      </c>
    </row>
    <row r="501" spans="1:5" x14ac:dyDescent="0.15">
      <c r="A501" t="s">
        <v>2454</v>
      </c>
      <c r="B501">
        <v>1</v>
      </c>
      <c r="C501" t="s">
        <v>1572</v>
      </c>
      <c r="E501">
        <v>0</v>
      </c>
    </row>
    <row r="502" spans="1:5" x14ac:dyDescent="0.15">
      <c r="A502" t="s">
        <v>2455</v>
      </c>
      <c r="B502">
        <v>2</v>
      </c>
      <c r="C502" t="s">
        <v>1530</v>
      </c>
      <c r="D502" t="s">
        <v>1473</v>
      </c>
      <c r="E502">
        <v>0</v>
      </c>
    </row>
    <row r="503" spans="1:5" x14ac:dyDescent="0.15">
      <c r="A503" t="s">
        <v>2456</v>
      </c>
      <c r="B503">
        <v>1</v>
      </c>
      <c r="C503" t="s">
        <v>1528</v>
      </c>
      <c r="D503" t="s">
        <v>1473</v>
      </c>
      <c r="E503">
        <v>0</v>
      </c>
    </row>
    <row r="504" spans="1:5" x14ac:dyDescent="0.15">
      <c r="A504" t="s">
        <v>2428</v>
      </c>
      <c r="B504">
        <v>1</v>
      </c>
      <c r="C504" t="s">
        <v>1532</v>
      </c>
      <c r="D504" t="s">
        <v>1473</v>
      </c>
      <c r="E504">
        <v>0</v>
      </c>
    </row>
    <row r="505" spans="1:5" x14ac:dyDescent="0.15">
      <c r="A505" t="s">
        <v>2457</v>
      </c>
      <c r="B505">
        <v>4</v>
      </c>
      <c r="C505" t="s">
        <v>1530</v>
      </c>
      <c r="D505" t="s">
        <v>1473</v>
      </c>
      <c r="E505">
        <v>0</v>
      </c>
    </row>
    <row r="506" spans="1:5" x14ac:dyDescent="0.15">
      <c r="A506" t="s">
        <v>2458</v>
      </c>
      <c r="B506">
        <v>4</v>
      </c>
      <c r="C506" t="s">
        <v>1536</v>
      </c>
      <c r="D506" t="s">
        <v>1473</v>
      </c>
      <c r="E506">
        <v>0</v>
      </c>
    </row>
    <row r="507" spans="1:5" x14ac:dyDescent="0.15">
      <c r="A507" t="s">
        <v>2459</v>
      </c>
      <c r="B507">
        <v>1</v>
      </c>
      <c r="C507" t="s">
        <v>1538</v>
      </c>
      <c r="D507" t="s">
        <v>1473</v>
      </c>
      <c r="E507">
        <v>0</v>
      </c>
    </row>
    <row r="508" spans="1:5" x14ac:dyDescent="0.15">
      <c r="A508" t="s">
        <v>2460</v>
      </c>
      <c r="B508">
        <v>1</v>
      </c>
      <c r="C508" t="s">
        <v>1538</v>
      </c>
      <c r="D508" t="s">
        <v>1473</v>
      </c>
      <c r="E508">
        <v>0</v>
      </c>
    </row>
    <row r="509" spans="1:5" x14ac:dyDescent="0.15">
      <c r="A509" t="s">
        <v>2461</v>
      </c>
      <c r="B509">
        <v>1</v>
      </c>
      <c r="C509" t="s">
        <v>1538</v>
      </c>
      <c r="D509" t="s">
        <v>1473</v>
      </c>
      <c r="E509">
        <v>4</v>
      </c>
    </row>
    <row r="510" spans="1:5" x14ac:dyDescent="0.15">
      <c r="A510" t="s">
        <v>2462</v>
      </c>
      <c r="B510">
        <v>1</v>
      </c>
      <c r="C510" t="s">
        <v>1538</v>
      </c>
      <c r="D510" t="s">
        <v>1473</v>
      </c>
      <c r="E510">
        <v>4</v>
      </c>
    </row>
    <row r="511" spans="1:5" x14ac:dyDescent="0.15">
      <c r="A511" t="s">
        <v>2463</v>
      </c>
      <c r="B511">
        <v>1</v>
      </c>
      <c r="C511" t="s">
        <v>1538</v>
      </c>
      <c r="D511" t="s">
        <v>1473</v>
      </c>
      <c r="E511">
        <v>4</v>
      </c>
    </row>
    <row r="512" spans="1:5" x14ac:dyDescent="0.15">
      <c r="A512" t="s">
        <v>2463</v>
      </c>
      <c r="B512">
        <v>1</v>
      </c>
      <c r="C512" t="s">
        <v>1538</v>
      </c>
      <c r="D512" t="s">
        <v>1473</v>
      </c>
      <c r="E512">
        <v>0</v>
      </c>
    </row>
    <row r="513" spans="1:5" x14ac:dyDescent="0.15">
      <c r="A513" t="s">
        <v>2464</v>
      </c>
      <c r="B513">
        <v>1</v>
      </c>
      <c r="C513" t="s">
        <v>1538</v>
      </c>
      <c r="D513" t="s">
        <v>1473</v>
      </c>
      <c r="E513">
        <v>0</v>
      </c>
    </row>
    <row r="514" spans="1:5" x14ac:dyDescent="0.15">
      <c r="A514" t="s">
        <v>2465</v>
      </c>
      <c r="B514">
        <v>1</v>
      </c>
      <c r="C514" t="s">
        <v>1538</v>
      </c>
      <c r="D514" t="s">
        <v>1473</v>
      </c>
      <c r="E514">
        <v>4</v>
      </c>
    </row>
    <row r="515" spans="1:5" x14ac:dyDescent="0.15">
      <c r="A515" t="s">
        <v>2465</v>
      </c>
      <c r="B515">
        <v>1</v>
      </c>
      <c r="C515" t="s">
        <v>1538</v>
      </c>
      <c r="D515" t="s">
        <v>1473</v>
      </c>
      <c r="E515">
        <v>0</v>
      </c>
    </row>
    <row r="516" spans="1:5" x14ac:dyDescent="0.15">
      <c r="A516" t="s">
        <v>2466</v>
      </c>
      <c r="B516">
        <v>1</v>
      </c>
      <c r="C516" t="s">
        <v>1538</v>
      </c>
      <c r="D516" t="s">
        <v>1473</v>
      </c>
      <c r="E516">
        <v>4</v>
      </c>
    </row>
    <row r="517" spans="1:5" x14ac:dyDescent="0.15">
      <c r="A517" t="s">
        <v>2466</v>
      </c>
      <c r="B517">
        <v>1</v>
      </c>
      <c r="C517" t="s">
        <v>1538</v>
      </c>
      <c r="D517" t="s">
        <v>1473</v>
      </c>
      <c r="E517">
        <v>0</v>
      </c>
    </row>
    <row r="518" spans="1:5" x14ac:dyDescent="0.15">
      <c r="A518" t="s">
        <v>2467</v>
      </c>
      <c r="B518">
        <v>1</v>
      </c>
      <c r="C518" t="s">
        <v>1538</v>
      </c>
      <c r="D518" t="s">
        <v>1473</v>
      </c>
      <c r="E518">
        <v>4</v>
      </c>
    </row>
    <row r="519" spans="1:5" x14ac:dyDescent="0.15">
      <c r="A519" t="s">
        <v>2468</v>
      </c>
      <c r="B519">
        <v>1</v>
      </c>
      <c r="C519" t="s">
        <v>1538</v>
      </c>
      <c r="D519" t="s">
        <v>1473</v>
      </c>
      <c r="E519">
        <v>4</v>
      </c>
    </row>
    <row r="520" spans="1:5" x14ac:dyDescent="0.15">
      <c r="A520" t="s">
        <v>2468</v>
      </c>
      <c r="B520">
        <v>1</v>
      </c>
      <c r="C520" t="s">
        <v>1538</v>
      </c>
      <c r="D520" t="s">
        <v>1473</v>
      </c>
      <c r="E520">
        <v>0</v>
      </c>
    </row>
    <row r="521" spans="1:5" x14ac:dyDescent="0.15">
      <c r="A521" t="s">
        <v>2459</v>
      </c>
      <c r="B521">
        <v>1</v>
      </c>
      <c r="C521" t="s">
        <v>1538</v>
      </c>
      <c r="D521" t="s">
        <v>1473</v>
      </c>
      <c r="E521">
        <v>4</v>
      </c>
    </row>
    <row r="522" spans="1:5" x14ac:dyDescent="0.15">
      <c r="A522" t="s">
        <v>2469</v>
      </c>
      <c r="B522">
        <v>1</v>
      </c>
      <c r="C522" t="s">
        <v>1538</v>
      </c>
      <c r="D522" t="s">
        <v>1473</v>
      </c>
      <c r="E522">
        <v>4</v>
      </c>
    </row>
    <row r="523" spans="1:5" x14ac:dyDescent="0.15">
      <c r="A523" t="s">
        <v>2470</v>
      </c>
      <c r="B523">
        <v>1</v>
      </c>
      <c r="C523" t="s">
        <v>1538</v>
      </c>
      <c r="D523" t="s">
        <v>1473</v>
      </c>
      <c r="E523">
        <v>0</v>
      </c>
    </row>
    <row r="524" spans="1:5" x14ac:dyDescent="0.15">
      <c r="A524" t="s">
        <v>2470</v>
      </c>
      <c r="B524">
        <v>1</v>
      </c>
      <c r="C524" t="s">
        <v>1538</v>
      </c>
      <c r="D524" t="s">
        <v>1473</v>
      </c>
      <c r="E524">
        <v>4</v>
      </c>
    </row>
    <row r="525" spans="1:5" x14ac:dyDescent="0.15">
      <c r="A525" t="s">
        <v>2471</v>
      </c>
      <c r="B525">
        <v>1</v>
      </c>
      <c r="C525" t="s">
        <v>1538</v>
      </c>
      <c r="D525" t="s">
        <v>1473</v>
      </c>
      <c r="E525">
        <v>4</v>
      </c>
    </row>
    <row r="526" spans="1:5" x14ac:dyDescent="0.15">
      <c r="A526" t="s">
        <v>2471</v>
      </c>
      <c r="B526">
        <v>1</v>
      </c>
      <c r="C526" t="s">
        <v>1538</v>
      </c>
      <c r="D526" t="s">
        <v>1473</v>
      </c>
      <c r="E526">
        <v>0</v>
      </c>
    </row>
    <row r="527" spans="1:5" x14ac:dyDescent="0.15">
      <c r="A527" t="s">
        <v>2472</v>
      </c>
      <c r="B527">
        <v>1</v>
      </c>
      <c r="C527" t="s">
        <v>1538</v>
      </c>
      <c r="D527" t="s">
        <v>1473</v>
      </c>
      <c r="E527">
        <v>4</v>
      </c>
    </row>
    <row r="528" spans="1:5" x14ac:dyDescent="0.15">
      <c r="A528" t="s">
        <v>2473</v>
      </c>
      <c r="B528">
        <v>1</v>
      </c>
      <c r="C528" t="s">
        <v>1538</v>
      </c>
      <c r="D528" t="s">
        <v>1473</v>
      </c>
      <c r="E528">
        <v>4</v>
      </c>
    </row>
    <row r="529" spans="1:5" x14ac:dyDescent="0.15">
      <c r="A529" t="s">
        <v>2474</v>
      </c>
      <c r="B529">
        <v>1</v>
      </c>
      <c r="C529" t="s">
        <v>1538</v>
      </c>
      <c r="D529" t="s">
        <v>1473</v>
      </c>
      <c r="E529">
        <v>4</v>
      </c>
    </row>
    <row r="530" spans="1:5" x14ac:dyDescent="0.15">
      <c r="A530" t="s">
        <v>2474</v>
      </c>
      <c r="B530">
        <v>1</v>
      </c>
      <c r="C530" t="s">
        <v>1538</v>
      </c>
      <c r="D530" t="s">
        <v>1473</v>
      </c>
      <c r="E530">
        <v>0</v>
      </c>
    </row>
    <row r="531" spans="1:5" x14ac:dyDescent="0.15">
      <c r="A531" t="s">
        <v>2475</v>
      </c>
      <c r="B531">
        <v>1</v>
      </c>
      <c r="C531" t="s">
        <v>1538</v>
      </c>
      <c r="D531" t="s">
        <v>1473</v>
      </c>
      <c r="E531">
        <v>0</v>
      </c>
    </row>
    <row r="532" spans="1:5" x14ac:dyDescent="0.15">
      <c r="A532" t="s">
        <v>2476</v>
      </c>
      <c r="B532">
        <v>1</v>
      </c>
      <c r="C532" t="s">
        <v>1538</v>
      </c>
      <c r="D532" t="s">
        <v>1473</v>
      </c>
      <c r="E532">
        <v>0</v>
      </c>
    </row>
    <row r="533" spans="1:5" x14ac:dyDescent="0.15">
      <c r="A533" t="s">
        <v>2477</v>
      </c>
      <c r="B533">
        <v>1</v>
      </c>
      <c r="C533" t="s">
        <v>1538</v>
      </c>
      <c r="D533" t="s">
        <v>1473</v>
      </c>
      <c r="E533">
        <v>4</v>
      </c>
    </row>
    <row r="534" spans="1:5" x14ac:dyDescent="0.15">
      <c r="A534" t="s">
        <v>2478</v>
      </c>
      <c r="B534">
        <v>1</v>
      </c>
      <c r="C534" t="s">
        <v>1538</v>
      </c>
      <c r="D534" t="s">
        <v>1473</v>
      </c>
      <c r="E534">
        <v>0</v>
      </c>
    </row>
    <row r="535" spans="1:5" x14ac:dyDescent="0.15">
      <c r="A535" t="s">
        <v>2479</v>
      </c>
      <c r="B535">
        <v>1</v>
      </c>
      <c r="C535" t="s">
        <v>1538</v>
      </c>
      <c r="D535" t="s">
        <v>1473</v>
      </c>
      <c r="E535">
        <v>4</v>
      </c>
    </row>
    <row r="536" spans="1:5" x14ac:dyDescent="0.15">
      <c r="A536" t="s">
        <v>2479</v>
      </c>
      <c r="B536">
        <v>1</v>
      </c>
      <c r="C536" t="s">
        <v>1538</v>
      </c>
      <c r="D536" t="s">
        <v>1473</v>
      </c>
      <c r="E536">
        <v>0</v>
      </c>
    </row>
    <row r="537" spans="1:5" x14ac:dyDescent="0.15">
      <c r="A537" t="s">
        <v>2480</v>
      </c>
      <c r="B537">
        <v>1</v>
      </c>
      <c r="C537" t="s">
        <v>1538</v>
      </c>
      <c r="D537" t="s">
        <v>1473</v>
      </c>
      <c r="E537">
        <v>2</v>
      </c>
    </row>
    <row r="538" spans="1:5" x14ac:dyDescent="0.15">
      <c r="A538" t="s">
        <v>2480</v>
      </c>
      <c r="B538">
        <v>1</v>
      </c>
      <c r="C538" t="s">
        <v>1538</v>
      </c>
      <c r="D538" t="s">
        <v>1473</v>
      </c>
      <c r="E538">
        <v>4</v>
      </c>
    </row>
    <row r="539" spans="1:5" x14ac:dyDescent="0.15">
      <c r="A539" t="s">
        <v>2481</v>
      </c>
      <c r="B539">
        <v>1</v>
      </c>
      <c r="C539" t="s">
        <v>1538</v>
      </c>
      <c r="D539" t="s">
        <v>1473</v>
      </c>
      <c r="E539">
        <v>4</v>
      </c>
    </row>
    <row r="540" spans="1:5" x14ac:dyDescent="0.15">
      <c r="A540" t="s">
        <v>2481</v>
      </c>
      <c r="B540">
        <v>1</v>
      </c>
      <c r="C540" t="s">
        <v>1538</v>
      </c>
      <c r="D540" t="s">
        <v>1473</v>
      </c>
      <c r="E540">
        <v>0</v>
      </c>
    </row>
    <row r="541" spans="1:5" x14ac:dyDescent="0.15">
      <c r="A541" t="s">
        <v>2482</v>
      </c>
      <c r="B541">
        <v>1</v>
      </c>
      <c r="C541" t="s">
        <v>1538</v>
      </c>
      <c r="D541" t="s">
        <v>1473</v>
      </c>
      <c r="E541">
        <v>2</v>
      </c>
    </row>
    <row r="542" spans="1:5" x14ac:dyDescent="0.15">
      <c r="A542" t="s">
        <v>2483</v>
      </c>
      <c r="B542">
        <v>1</v>
      </c>
      <c r="C542" t="s">
        <v>1538</v>
      </c>
      <c r="D542" t="s">
        <v>1473</v>
      </c>
      <c r="E542">
        <v>0</v>
      </c>
    </row>
    <row r="543" spans="1:5" x14ac:dyDescent="0.15">
      <c r="A543" t="s">
        <v>2484</v>
      </c>
      <c r="B543">
        <v>1</v>
      </c>
      <c r="C543" t="s">
        <v>1538</v>
      </c>
      <c r="D543" t="s">
        <v>1473</v>
      </c>
      <c r="E543">
        <v>0</v>
      </c>
    </row>
    <row r="544" spans="1:5" x14ac:dyDescent="0.15">
      <c r="A544" t="s">
        <v>2485</v>
      </c>
      <c r="B544">
        <v>1</v>
      </c>
      <c r="C544" t="s">
        <v>1538</v>
      </c>
      <c r="D544" t="s">
        <v>1473</v>
      </c>
      <c r="E544">
        <v>0</v>
      </c>
    </row>
    <row r="545" spans="1:5" x14ac:dyDescent="0.15">
      <c r="A545" t="s">
        <v>2485</v>
      </c>
      <c r="B545">
        <v>1</v>
      </c>
      <c r="C545" t="s">
        <v>1538</v>
      </c>
      <c r="D545" t="s">
        <v>1473</v>
      </c>
      <c r="E545">
        <v>4</v>
      </c>
    </row>
    <row r="546" spans="1:5" x14ac:dyDescent="0.15">
      <c r="A546" t="s">
        <v>2486</v>
      </c>
      <c r="B546">
        <v>1</v>
      </c>
      <c r="C546" t="s">
        <v>1538</v>
      </c>
      <c r="D546" t="s">
        <v>1473</v>
      </c>
      <c r="E546">
        <v>0</v>
      </c>
    </row>
    <row r="547" spans="1:5" x14ac:dyDescent="0.15">
      <c r="A547" t="s">
        <v>2486</v>
      </c>
      <c r="B547">
        <v>1</v>
      </c>
      <c r="C547" t="s">
        <v>1538</v>
      </c>
      <c r="D547" t="s">
        <v>1473</v>
      </c>
      <c r="E547">
        <v>4</v>
      </c>
    </row>
    <row r="548" spans="1:5" x14ac:dyDescent="0.15">
      <c r="A548" t="s">
        <v>2487</v>
      </c>
      <c r="B548">
        <v>1</v>
      </c>
      <c r="C548" t="s">
        <v>1538</v>
      </c>
      <c r="D548" t="s">
        <v>1473</v>
      </c>
      <c r="E548">
        <v>0</v>
      </c>
    </row>
    <row r="549" spans="1:5" x14ac:dyDescent="0.15">
      <c r="A549" t="s">
        <v>2488</v>
      </c>
      <c r="B549">
        <v>1</v>
      </c>
      <c r="C549" t="s">
        <v>1538</v>
      </c>
      <c r="D549" t="s">
        <v>1473</v>
      </c>
      <c r="E549">
        <v>0</v>
      </c>
    </row>
    <row r="550" spans="1:5" x14ac:dyDescent="0.15">
      <c r="A550" t="s">
        <v>2489</v>
      </c>
      <c r="B550">
        <v>1</v>
      </c>
      <c r="C550" t="s">
        <v>1538</v>
      </c>
      <c r="D550" t="s">
        <v>1473</v>
      </c>
      <c r="E550">
        <v>0</v>
      </c>
    </row>
    <row r="551" spans="1:5" x14ac:dyDescent="0.15">
      <c r="A551" t="s">
        <v>2490</v>
      </c>
      <c r="B551">
        <v>1</v>
      </c>
      <c r="C551" t="s">
        <v>1538</v>
      </c>
      <c r="D551" t="s">
        <v>1473</v>
      </c>
      <c r="E551">
        <v>0</v>
      </c>
    </row>
    <row r="552" spans="1:5" x14ac:dyDescent="0.15">
      <c r="A552" t="s">
        <v>2491</v>
      </c>
      <c r="B552">
        <v>1</v>
      </c>
      <c r="C552" t="s">
        <v>1538</v>
      </c>
      <c r="D552" t="s">
        <v>1473</v>
      </c>
      <c r="E552">
        <v>0</v>
      </c>
    </row>
    <row r="553" spans="1:5" x14ac:dyDescent="0.15">
      <c r="A553" t="s">
        <v>2459</v>
      </c>
      <c r="B553">
        <v>1</v>
      </c>
      <c r="C553" t="s">
        <v>1538</v>
      </c>
      <c r="D553" t="s">
        <v>1473</v>
      </c>
      <c r="E553">
        <v>2</v>
      </c>
    </row>
    <row r="554" spans="1:5" x14ac:dyDescent="0.15">
      <c r="A554" t="s">
        <v>2492</v>
      </c>
      <c r="B554">
        <v>1</v>
      </c>
      <c r="C554" t="s">
        <v>1526</v>
      </c>
      <c r="D554" t="s">
        <v>1473</v>
      </c>
      <c r="E554">
        <v>0</v>
      </c>
    </row>
    <row r="555" spans="1:5" x14ac:dyDescent="0.15">
      <c r="A555" t="s">
        <v>2492</v>
      </c>
      <c r="B555">
        <v>1</v>
      </c>
      <c r="C555" t="s">
        <v>1526</v>
      </c>
      <c r="D555" t="s">
        <v>1473</v>
      </c>
      <c r="E555">
        <v>4</v>
      </c>
    </row>
    <row r="556" spans="1:5" x14ac:dyDescent="0.15">
      <c r="A556" t="s">
        <v>2493</v>
      </c>
      <c r="B556">
        <v>1</v>
      </c>
      <c r="C556" t="s">
        <v>1526</v>
      </c>
      <c r="D556" t="s">
        <v>1473</v>
      </c>
      <c r="E556">
        <v>0</v>
      </c>
    </row>
    <row r="557" spans="1:5" x14ac:dyDescent="0.15">
      <c r="A557" t="s">
        <v>2494</v>
      </c>
      <c r="B557">
        <v>1</v>
      </c>
      <c r="C557" t="s">
        <v>1526</v>
      </c>
      <c r="D557" t="s">
        <v>1473</v>
      </c>
      <c r="E557">
        <v>4</v>
      </c>
    </row>
    <row r="558" spans="1:5" x14ac:dyDescent="0.15">
      <c r="A558" t="s">
        <v>2495</v>
      </c>
      <c r="B558">
        <v>1</v>
      </c>
      <c r="C558" t="s">
        <v>1526</v>
      </c>
      <c r="D558" t="s">
        <v>1473</v>
      </c>
      <c r="E558">
        <v>4</v>
      </c>
    </row>
    <row r="559" spans="1:5" x14ac:dyDescent="0.15">
      <c r="A559" t="s">
        <v>2495</v>
      </c>
      <c r="B559">
        <v>1</v>
      </c>
      <c r="C559" t="s">
        <v>1526</v>
      </c>
      <c r="D559" t="s">
        <v>1473</v>
      </c>
      <c r="E559">
        <v>0</v>
      </c>
    </row>
    <row r="560" spans="1:5" x14ac:dyDescent="0.15">
      <c r="A560" t="s">
        <v>2496</v>
      </c>
      <c r="B560">
        <v>1</v>
      </c>
      <c r="C560" t="s">
        <v>1538</v>
      </c>
      <c r="D560" t="s">
        <v>1473</v>
      </c>
      <c r="E560">
        <v>0</v>
      </c>
    </row>
    <row r="561" spans="1:5" x14ac:dyDescent="0.15">
      <c r="A561" t="s">
        <v>2469</v>
      </c>
      <c r="B561">
        <v>1</v>
      </c>
      <c r="C561" t="s">
        <v>1538</v>
      </c>
      <c r="D561" t="s">
        <v>1473</v>
      </c>
      <c r="E561">
        <v>0</v>
      </c>
    </row>
    <row r="562" spans="1:5" x14ac:dyDescent="0.15">
      <c r="A562" t="s">
        <v>2497</v>
      </c>
      <c r="B562">
        <v>1</v>
      </c>
      <c r="C562" t="s">
        <v>1538</v>
      </c>
      <c r="D562" t="s">
        <v>1473</v>
      </c>
      <c r="E562">
        <v>0</v>
      </c>
    </row>
    <row r="563" spans="1:5" x14ac:dyDescent="0.15">
      <c r="A563" t="s">
        <v>2476</v>
      </c>
      <c r="B563">
        <v>1</v>
      </c>
      <c r="C563" t="s">
        <v>1538</v>
      </c>
      <c r="D563" t="s">
        <v>1473</v>
      </c>
      <c r="E563">
        <v>4</v>
      </c>
    </row>
    <row r="564" spans="1:5" x14ac:dyDescent="0.15">
      <c r="A564" t="s">
        <v>2475</v>
      </c>
      <c r="B564">
        <v>1</v>
      </c>
      <c r="C564" t="s">
        <v>1538</v>
      </c>
      <c r="D564" t="s">
        <v>1473</v>
      </c>
      <c r="E564">
        <v>4</v>
      </c>
    </row>
    <row r="565" spans="1:5" x14ac:dyDescent="0.15">
      <c r="A565" t="s">
        <v>2498</v>
      </c>
      <c r="B565">
        <v>1</v>
      </c>
      <c r="C565" t="s">
        <v>1538</v>
      </c>
      <c r="D565" t="s">
        <v>1473</v>
      </c>
      <c r="E565">
        <v>4</v>
      </c>
    </row>
    <row r="566" spans="1:5" x14ac:dyDescent="0.15">
      <c r="A566" t="s">
        <v>2482</v>
      </c>
      <c r="B566">
        <v>1</v>
      </c>
      <c r="C566" t="s">
        <v>1538</v>
      </c>
      <c r="D566" t="s">
        <v>1473</v>
      </c>
      <c r="E566">
        <v>0</v>
      </c>
    </row>
    <row r="567" spans="1:5" x14ac:dyDescent="0.15">
      <c r="A567" t="s">
        <v>2499</v>
      </c>
      <c r="B567">
        <v>1</v>
      </c>
      <c r="C567" t="s">
        <v>1538</v>
      </c>
      <c r="D567" t="s">
        <v>1473</v>
      </c>
      <c r="E567">
        <v>2</v>
      </c>
    </row>
    <row r="568" spans="1:5" x14ac:dyDescent="0.15">
      <c r="A568" t="s">
        <v>2499</v>
      </c>
      <c r="B568">
        <v>1</v>
      </c>
      <c r="C568" t="s">
        <v>1538</v>
      </c>
      <c r="D568" t="s">
        <v>1473</v>
      </c>
      <c r="E568">
        <v>0</v>
      </c>
    </row>
    <row r="569" spans="1:5" x14ac:dyDescent="0.15">
      <c r="A569" t="s">
        <v>2499</v>
      </c>
      <c r="B569">
        <v>1</v>
      </c>
      <c r="C569" t="s">
        <v>1538</v>
      </c>
      <c r="D569" t="s">
        <v>1473</v>
      </c>
      <c r="E569">
        <v>4</v>
      </c>
    </row>
    <row r="570" spans="1:5" x14ac:dyDescent="0.15">
      <c r="A570" t="s">
        <v>2500</v>
      </c>
      <c r="B570">
        <v>1</v>
      </c>
      <c r="C570" t="s">
        <v>1538</v>
      </c>
      <c r="D570" t="s">
        <v>1473</v>
      </c>
      <c r="E570">
        <v>0</v>
      </c>
    </row>
    <row r="571" spans="1:5" x14ac:dyDescent="0.15">
      <c r="A571" t="s">
        <v>2483</v>
      </c>
      <c r="B571">
        <v>1</v>
      </c>
      <c r="C571" t="s">
        <v>1538</v>
      </c>
      <c r="D571" t="s">
        <v>1473</v>
      </c>
      <c r="E571">
        <v>2</v>
      </c>
    </row>
    <row r="572" spans="1:5" x14ac:dyDescent="0.15">
      <c r="A572" t="s">
        <v>2501</v>
      </c>
      <c r="B572">
        <v>1</v>
      </c>
      <c r="C572" t="s">
        <v>1538</v>
      </c>
      <c r="D572" t="s">
        <v>1473</v>
      </c>
      <c r="E572">
        <v>0</v>
      </c>
    </row>
    <row r="573" spans="1:5" x14ac:dyDescent="0.15">
      <c r="A573" t="s">
        <v>2489</v>
      </c>
      <c r="B573">
        <v>1</v>
      </c>
      <c r="C573" t="s">
        <v>1538</v>
      </c>
      <c r="D573" t="s">
        <v>1473</v>
      </c>
      <c r="E573">
        <v>2</v>
      </c>
    </row>
    <row r="574" spans="1:5" x14ac:dyDescent="0.15">
      <c r="A574" t="s">
        <v>2502</v>
      </c>
      <c r="B574">
        <v>1</v>
      </c>
      <c r="C574" t="s">
        <v>1538</v>
      </c>
      <c r="D574" t="s">
        <v>1473</v>
      </c>
      <c r="E574">
        <v>0</v>
      </c>
    </row>
    <row r="575" spans="1:5" x14ac:dyDescent="0.15">
      <c r="A575" t="s">
        <v>2503</v>
      </c>
      <c r="B575">
        <v>1</v>
      </c>
      <c r="C575" t="s">
        <v>1538</v>
      </c>
      <c r="D575" t="s">
        <v>1473</v>
      </c>
      <c r="E575">
        <v>0</v>
      </c>
    </row>
    <row r="576" spans="1:5" x14ac:dyDescent="0.15">
      <c r="A576" t="s">
        <v>2465</v>
      </c>
      <c r="B576">
        <v>1</v>
      </c>
      <c r="C576" t="s">
        <v>1538</v>
      </c>
      <c r="D576" t="s">
        <v>1473</v>
      </c>
      <c r="E576">
        <v>2</v>
      </c>
    </row>
    <row r="577" spans="1:5" x14ac:dyDescent="0.15">
      <c r="A577" t="s">
        <v>2498</v>
      </c>
      <c r="B577">
        <v>1</v>
      </c>
      <c r="C577" t="s">
        <v>1538</v>
      </c>
      <c r="D577" t="s">
        <v>1473</v>
      </c>
      <c r="E577">
        <v>0</v>
      </c>
    </row>
    <row r="578" spans="1:5" x14ac:dyDescent="0.15">
      <c r="A578" t="s">
        <v>2473</v>
      </c>
      <c r="B578">
        <v>1</v>
      </c>
      <c r="C578" t="s">
        <v>1538</v>
      </c>
      <c r="D578" t="s">
        <v>1473</v>
      </c>
      <c r="E578">
        <v>0</v>
      </c>
    </row>
    <row r="579" spans="1:5" x14ac:dyDescent="0.15">
      <c r="A579" t="s">
        <v>2472</v>
      </c>
      <c r="B579">
        <v>1</v>
      </c>
      <c r="C579" t="s">
        <v>1538</v>
      </c>
      <c r="D579" t="s">
        <v>1473</v>
      </c>
      <c r="E579">
        <v>0</v>
      </c>
    </row>
    <row r="580" spans="1:5" x14ac:dyDescent="0.15">
      <c r="A580" t="s">
        <v>2480</v>
      </c>
      <c r="B580">
        <v>1</v>
      </c>
      <c r="C580" t="s">
        <v>1538</v>
      </c>
      <c r="D580" t="s">
        <v>1473</v>
      </c>
      <c r="E580">
        <v>0</v>
      </c>
    </row>
    <row r="581" spans="1:5" x14ac:dyDescent="0.15">
      <c r="A581" t="s">
        <v>2504</v>
      </c>
      <c r="B581">
        <v>1</v>
      </c>
      <c r="C581" t="s">
        <v>1526</v>
      </c>
      <c r="D581" t="s">
        <v>1473</v>
      </c>
      <c r="E581">
        <v>0</v>
      </c>
    </row>
    <row r="582" spans="1:5" x14ac:dyDescent="0.15">
      <c r="A582" t="s">
        <v>2488</v>
      </c>
      <c r="B582">
        <v>1</v>
      </c>
      <c r="C582" t="s">
        <v>1538</v>
      </c>
      <c r="D582" t="s">
        <v>1473</v>
      </c>
      <c r="E582">
        <v>4</v>
      </c>
    </row>
    <row r="583" spans="1:5" x14ac:dyDescent="0.15">
      <c r="A583" t="s">
        <v>2505</v>
      </c>
      <c r="B583">
        <v>1</v>
      </c>
      <c r="C583" t="s">
        <v>1538</v>
      </c>
      <c r="D583" t="s">
        <v>1473</v>
      </c>
      <c r="E583">
        <v>0</v>
      </c>
    </row>
    <row r="584" spans="1:5" x14ac:dyDescent="0.15">
      <c r="A584" t="s">
        <v>2461</v>
      </c>
      <c r="B584">
        <v>1</v>
      </c>
      <c r="C584" t="s">
        <v>1538</v>
      </c>
      <c r="D584" t="s">
        <v>1473</v>
      </c>
      <c r="E584">
        <v>0</v>
      </c>
    </row>
    <row r="585" spans="1:5" x14ac:dyDescent="0.15">
      <c r="A585" t="s">
        <v>2506</v>
      </c>
      <c r="B585">
        <v>1</v>
      </c>
      <c r="C585" t="s">
        <v>1538</v>
      </c>
      <c r="D585" t="s">
        <v>1473</v>
      </c>
      <c r="E585">
        <v>0</v>
      </c>
    </row>
    <row r="586" spans="1:5" x14ac:dyDescent="0.15">
      <c r="A586" t="s">
        <v>2460</v>
      </c>
      <c r="B586">
        <v>1</v>
      </c>
      <c r="C586" t="s">
        <v>1538</v>
      </c>
      <c r="D586" t="s">
        <v>1473</v>
      </c>
      <c r="E586">
        <v>2</v>
      </c>
    </row>
    <row r="587" spans="1:5" x14ac:dyDescent="0.15">
      <c r="A587" t="s">
        <v>2467</v>
      </c>
      <c r="B587">
        <v>1</v>
      </c>
      <c r="C587" t="s">
        <v>1538</v>
      </c>
      <c r="D587" t="s">
        <v>1473</v>
      </c>
      <c r="E587">
        <v>0</v>
      </c>
    </row>
    <row r="588" spans="1:5" x14ac:dyDescent="0.15">
      <c r="A588" t="s">
        <v>2507</v>
      </c>
      <c r="B588">
        <v>1</v>
      </c>
      <c r="C588" t="s">
        <v>1538</v>
      </c>
      <c r="D588" t="s">
        <v>1473</v>
      </c>
      <c r="E588">
        <v>0</v>
      </c>
    </row>
    <row r="589" spans="1:5" x14ac:dyDescent="0.15">
      <c r="A589" t="s">
        <v>2508</v>
      </c>
      <c r="B589">
        <v>1</v>
      </c>
      <c r="C589" t="s">
        <v>1538</v>
      </c>
      <c r="D589" t="s">
        <v>1473</v>
      </c>
      <c r="E589">
        <v>0</v>
      </c>
    </row>
    <row r="590" spans="1:5" x14ac:dyDescent="0.15">
      <c r="A590" t="s">
        <v>2479</v>
      </c>
      <c r="B590">
        <v>1</v>
      </c>
      <c r="C590" t="s">
        <v>1538</v>
      </c>
      <c r="D590" t="s">
        <v>1473</v>
      </c>
      <c r="E590">
        <v>2</v>
      </c>
    </row>
    <row r="591" spans="1:5" x14ac:dyDescent="0.15">
      <c r="A591" t="s">
        <v>2460</v>
      </c>
      <c r="B591">
        <v>1</v>
      </c>
      <c r="C591" t="s">
        <v>1538</v>
      </c>
      <c r="D591" t="s">
        <v>1473</v>
      </c>
      <c r="E591">
        <v>4</v>
      </c>
    </row>
    <row r="592" spans="1:5" x14ac:dyDescent="0.15">
      <c r="A592" t="s">
        <v>2509</v>
      </c>
      <c r="B592">
        <v>1</v>
      </c>
      <c r="C592" t="s">
        <v>1538</v>
      </c>
      <c r="D592" t="s">
        <v>1473</v>
      </c>
      <c r="E592">
        <v>0</v>
      </c>
    </row>
    <row r="593" spans="1:5" x14ac:dyDescent="0.15">
      <c r="A593" t="s">
        <v>2510</v>
      </c>
      <c r="B593">
        <v>1</v>
      </c>
      <c r="C593" t="s">
        <v>1538</v>
      </c>
      <c r="D593" t="s">
        <v>1473</v>
      </c>
      <c r="E593">
        <v>0</v>
      </c>
    </row>
    <row r="594" spans="1:5" x14ac:dyDescent="0.15">
      <c r="A594" t="s">
        <v>2511</v>
      </c>
      <c r="B594">
        <v>1</v>
      </c>
      <c r="C594" t="s">
        <v>1526</v>
      </c>
      <c r="D594" t="s">
        <v>1473</v>
      </c>
      <c r="E594">
        <v>0</v>
      </c>
    </row>
    <row r="595" spans="1:5" x14ac:dyDescent="0.15">
      <c r="A595" t="s">
        <v>2495</v>
      </c>
      <c r="B595">
        <v>1</v>
      </c>
      <c r="C595" t="s">
        <v>1526</v>
      </c>
      <c r="D595" t="s">
        <v>1473</v>
      </c>
      <c r="E595">
        <v>2</v>
      </c>
    </row>
    <row r="596" spans="1:5" x14ac:dyDescent="0.15">
      <c r="A596" t="s">
        <v>2512</v>
      </c>
      <c r="B596">
        <v>1</v>
      </c>
      <c r="C596" t="s">
        <v>1538</v>
      </c>
      <c r="D596" t="s">
        <v>1473</v>
      </c>
      <c r="E596">
        <v>0</v>
      </c>
    </row>
    <row r="597" spans="1:5" x14ac:dyDescent="0.15">
      <c r="A597" t="s">
        <v>2462</v>
      </c>
      <c r="B597">
        <v>1</v>
      </c>
      <c r="C597" t="s">
        <v>1538</v>
      </c>
      <c r="D597" t="s">
        <v>1473</v>
      </c>
      <c r="E597">
        <v>0</v>
      </c>
    </row>
    <row r="598" spans="1:5" x14ac:dyDescent="0.15">
      <c r="A598" t="s">
        <v>2488</v>
      </c>
      <c r="B598">
        <v>1</v>
      </c>
      <c r="C598" t="s">
        <v>1538</v>
      </c>
      <c r="D598" t="s">
        <v>1473</v>
      </c>
      <c r="E598">
        <v>2</v>
      </c>
    </row>
    <row r="599" spans="1:5" x14ac:dyDescent="0.15">
      <c r="A599" t="s">
        <v>2477</v>
      </c>
      <c r="B599">
        <v>1</v>
      </c>
      <c r="C599" t="s">
        <v>1538</v>
      </c>
      <c r="D599" t="s">
        <v>1473</v>
      </c>
      <c r="E599">
        <v>0</v>
      </c>
    </row>
    <row r="600" spans="1:5" x14ac:dyDescent="0.15">
      <c r="A600" t="s">
        <v>2513</v>
      </c>
      <c r="B600">
        <v>1</v>
      </c>
      <c r="C600" t="s">
        <v>1538</v>
      </c>
      <c r="D600" t="s">
        <v>1473</v>
      </c>
      <c r="E600">
        <v>0</v>
      </c>
    </row>
    <row r="601" spans="1:5" x14ac:dyDescent="0.15">
      <c r="A601" t="s">
        <v>2489</v>
      </c>
      <c r="B601">
        <v>1</v>
      </c>
      <c r="C601" t="s">
        <v>1538</v>
      </c>
      <c r="D601" t="s">
        <v>1473</v>
      </c>
      <c r="E601">
        <v>4</v>
      </c>
    </row>
    <row r="602" spans="1:5" x14ac:dyDescent="0.15">
      <c r="A602" t="s">
        <v>2514</v>
      </c>
      <c r="B602">
        <v>1</v>
      </c>
      <c r="C602" t="s">
        <v>1526</v>
      </c>
      <c r="D602" t="s">
        <v>1473</v>
      </c>
      <c r="E602">
        <v>0</v>
      </c>
    </row>
    <row r="603" spans="1:5" x14ac:dyDescent="0.15">
      <c r="A603" t="s">
        <v>2494</v>
      </c>
      <c r="B603">
        <v>1</v>
      </c>
      <c r="C603" t="s">
        <v>1526</v>
      </c>
      <c r="D603" t="s">
        <v>1473</v>
      </c>
      <c r="E603">
        <v>0</v>
      </c>
    </row>
    <row r="604" spans="1:5" x14ac:dyDescent="0.15">
      <c r="A604" t="s">
        <v>2512</v>
      </c>
      <c r="B604">
        <v>1</v>
      </c>
      <c r="C604" t="s">
        <v>1538</v>
      </c>
      <c r="D604" t="s">
        <v>1473</v>
      </c>
      <c r="E604">
        <v>4</v>
      </c>
    </row>
    <row r="605" spans="1:5" x14ac:dyDescent="0.15">
      <c r="A605" t="s">
        <v>2462</v>
      </c>
      <c r="B605">
        <v>1</v>
      </c>
      <c r="C605" t="s">
        <v>1538</v>
      </c>
      <c r="D605" t="s">
        <v>1473</v>
      </c>
      <c r="E605">
        <v>2</v>
      </c>
    </row>
    <row r="606" spans="1:5" x14ac:dyDescent="0.15">
      <c r="A606" t="s">
        <v>2515</v>
      </c>
      <c r="B606">
        <v>1</v>
      </c>
      <c r="C606" t="s">
        <v>1526</v>
      </c>
      <c r="D606" t="s">
        <v>1473</v>
      </c>
      <c r="E606">
        <v>0</v>
      </c>
    </row>
    <row r="607" spans="1:5" x14ac:dyDescent="0.15">
      <c r="A607" t="s">
        <v>2467</v>
      </c>
      <c r="B607">
        <v>1</v>
      </c>
      <c r="C607" t="s">
        <v>1538</v>
      </c>
      <c r="D607" t="s">
        <v>1473</v>
      </c>
      <c r="E607">
        <v>2</v>
      </c>
    </row>
    <row r="608" spans="1:5" x14ac:dyDescent="0.15">
      <c r="A608" t="s">
        <v>2505</v>
      </c>
      <c r="B608">
        <v>1</v>
      </c>
      <c r="C608" t="s">
        <v>1538</v>
      </c>
      <c r="D608" t="s">
        <v>1473</v>
      </c>
      <c r="E608">
        <v>4</v>
      </c>
    </row>
    <row r="609" spans="1:5" x14ac:dyDescent="0.15">
      <c r="A609" t="s">
        <v>2515</v>
      </c>
      <c r="B609">
        <v>1</v>
      </c>
      <c r="C609" t="s">
        <v>1526</v>
      </c>
      <c r="D609" t="s">
        <v>1473</v>
      </c>
      <c r="E609">
        <v>4</v>
      </c>
    </row>
    <row r="610" spans="1:5" x14ac:dyDescent="0.15">
      <c r="A610" t="s">
        <v>2500</v>
      </c>
      <c r="B610">
        <v>1</v>
      </c>
      <c r="C610" t="s">
        <v>1538</v>
      </c>
      <c r="D610" t="s">
        <v>1473</v>
      </c>
      <c r="E610">
        <v>2</v>
      </c>
    </row>
    <row r="611" spans="1:5" x14ac:dyDescent="0.15">
      <c r="A611" t="s">
        <v>2507</v>
      </c>
      <c r="B611">
        <v>1</v>
      </c>
      <c r="C611" t="s">
        <v>1538</v>
      </c>
      <c r="D611" t="s">
        <v>1473</v>
      </c>
      <c r="E611">
        <v>4</v>
      </c>
    </row>
    <row r="612" spans="1:5" x14ac:dyDescent="0.15">
      <c r="A612" t="s">
        <v>2481</v>
      </c>
      <c r="B612">
        <v>1</v>
      </c>
      <c r="C612" t="s">
        <v>1538</v>
      </c>
      <c r="D612" t="s">
        <v>1473</v>
      </c>
      <c r="E612">
        <v>2</v>
      </c>
    </row>
    <row r="613" spans="1:5" x14ac:dyDescent="0.15">
      <c r="A613" t="s">
        <v>2516</v>
      </c>
      <c r="B613">
        <v>1</v>
      </c>
      <c r="C613" t="s">
        <v>1538</v>
      </c>
      <c r="D613" t="s">
        <v>1473</v>
      </c>
      <c r="E613">
        <v>0</v>
      </c>
    </row>
    <row r="614" spans="1:5" x14ac:dyDescent="0.15">
      <c r="A614" t="s">
        <v>2498</v>
      </c>
      <c r="B614">
        <v>1</v>
      </c>
      <c r="C614" t="s">
        <v>1538</v>
      </c>
      <c r="D614" t="s">
        <v>1473</v>
      </c>
      <c r="E614">
        <v>2</v>
      </c>
    </row>
    <row r="615" spans="1:5" x14ac:dyDescent="0.15">
      <c r="A615" t="s">
        <v>2503</v>
      </c>
      <c r="B615">
        <v>1</v>
      </c>
      <c r="C615" t="s">
        <v>1538</v>
      </c>
      <c r="D615" t="s">
        <v>1473</v>
      </c>
      <c r="E615">
        <v>4</v>
      </c>
    </row>
    <row r="616" spans="1:5" x14ac:dyDescent="0.15">
      <c r="A616" t="s">
        <v>2517</v>
      </c>
      <c r="B616">
        <v>1</v>
      </c>
      <c r="C616" t="s">
        <v>1538</v>
      </c>
      <c r="D616" t="s">
        <v>1473</v>
      </c>
      <c r="E616">
        <v>0</v>
      </c>
    </row>
    <row r="617" spans="1:5" x14ac:dyDescent="0.15">
      <c r="A617" t="s">
        <v>2464</v>
      </c>
      <c r="B617">
        <v>1</v>
      </c>
      <c r="C617" t="s">
        <v>1538</v>
      </c>
      <c r="D617" t="s">
        <v>1473</v>
      </c>
      <c r="E617">
        <v>4</v>
      </c>
    </row>
    <row r="618" spans="1:5" x14ac:dyDescent="0.15">
      <c r="A618" t="s">
        <v>2518</v>
      </c>
      <c r="B618">
        <v>2</v>
      </c>
      <c r="C618" t="s">
        <v>1547</v>
      </c>
      <c r="E618">
        <v>2</v>
      </c>
    </row>
    <row r="619" spans="1:5" x14ac:dyDescent="0.15">
      <c r="A619" t="s">
        <v>2519</v>
      </c>
      <c r="B619">
        <v>2</v>
      </c>
      <c r="C619" t="s">
        <v>1799</v>
      </c>
      <c r="E619">
        <v>2</v>
      </c>
    </row>
    <row r="620" spans="1:5" x14ac:dyDescent="0.15">
      <c r="A620" t="s">
        <v>2520</v>
      </c>
      <c r="B620">
        <v>0</v>
      </c>
      <c r="C620" t="s">
        <v>1589</v>
      </c>
      <c r="E620">
        <v>3</v>
      </c>
    </row>
    <row r="621" spans="1:5" x14ac:dyDescent="0.15">
      <c r="A621" t="s">
        <v>2521</v>
      </c>
      <c r="B621">
        <v>2</v>
      </c>
      <c r="C621" t="s">
        <v>1723</v>
      </c>
      <c r="E621">
        <v>2</v>
      </c>
    </row>
    <row r="622" spans="1:5" x14ac:dyDescent="0.15">
      <c r="A622" t="s">
        <v>2522</v>
      </c>
      <c r="B622">
        <v>2</v>
      </c>
      <c r="C622" t="s">
        <v>1596</v>
      </c>
      <c r="E622">
        <v>2</v>
      </c>
    </row>
    <row r="623" spans="1:5" x14ac:dyDescent="0.15">
      <c r="A623" t="s">
        <v>2523</v>
      </c>
      <c r="B623">
        <v>2</v>
      </c>
      <c r="C623" t="s">
        <v>1608</v>
      </c>
      <c r="E623">
        <v>2</v>
      </c>
    </row>
    <row r="624" spans="1:5" x14ac:dyDescent="0.15">
      <c r="A624" t="s">
        <v>2524</v>
      </c>
      <c r="B624">
        <v>2</v>
      </c>
      <c r="C624" t="s">
        <v>1600</v>
      </c>
      <c r="E624">
        <v>2</v>
      </c>
    </row>
    <row r="625" spans="1:5" x14ac:dyDescent="0.15">
      <c r="A625" t="s">
        <v>2525</v>
      </c>
      <c r="B625">
        <v>2</v>
      </c>
      <c r="C625" t="s">
        <v>1606</v>
      </c>
      <c r="E625">
        <v>2</v>
      </c>
    </row>
    <row r="626" spans="1:5" x14ac:dyDescent="0.15">
      <c r="A626" t="s">
        <v>2526</v>
      </c>
      <c r="B626">
        <v>2</v>
      </c>
      <c r="C626" t="s">
        <v>1598</v>
      </c>
      <c r="E626">
        <v>2</v>
      </c>
    </row>
    <row r="627" spans="1:5" x14ac:dyDescent="0.15">
      <c r="A627" t="s">
        <v>2527</v>
      </c>
      <c r="B627">
        <v>2</v>
      </c>
      <c r="C627" t="s">
        <v>1608</v>
      </c>
      <c r="E627">
        <v>2</v>
      </c>
    </row>
    <row r="628" spans="1:5" x14ac:dyDescent="0.15">
      <c r="A628" t="s">
        <v>2528</v>
      </c>
      <c r="B628">
        <v>2</v>
      </c>
      <c r="C628" t="s">
        <v>1602</v>
      </c>
      <c r="E628">
        <v>2</v>
      </c>
    </row>
    <row r="629" spans="1:5" x14ac:dyDescent="0.15">
      <c r="A629" t="s">
        <v>2529</v>
      </c>
      <c r="B629">
        <v>2</v>
      </c>
      <c r="C629" t="s">
        <v>1747</v>
      </c>
      <c r="E629">
        <v>2</v>
      </c>
    </row>
    <row r="630" spans="1:5" x14ac:dyDescent="0.15">
      <c r="A630" t="s">
        <v>2530</v>
      </c>
      <c r="B630">
        <v>2</v>
      </c>
      <c r="C630" t="s">
        <v>1543</v>
      </c>
      <c r="E630">
        <v>2</v>
      </c>
    </row>
    <row r="631" spans="1:5" x14ac:dyDescent="0.15">
      <c r="A631" t="s">
        <v>2531</v>
      </c>
      <c r="B631">
        <v>2</v>
      </c>
      <c r="C631" t="s">
        <v>1751</v>
      </c>
      <c r="E631">
        <v>2</v>
      </c>
    </row>
    <row r="632" spans="1:5" x14ac:dyDescent="0.15">
      <c r="A632" t="s">
        <v>2532</v>
      </c>
      <c r="B632">
        <v>2</v>
      </c>
      <c r="C632" t="s">
        <v>1547</v>
      </c>
      <c r="E632">
        <v>2</v>
      </c>
    </row>
    <row r="633" spans="1:5" x14ac:dyDescent="0.15">
      <c r="A633" t="s">
        <v>2533</v>
      </c>
      <c r="B633">
        <v>2</v>
      </c>
      <c r="C633" t="s">
        <v>1547</v>
      </c>
      <c r="E633">
        <v>2</v>
      </c>
    </row>
    <row r="634" spans="1:5" x14ac:dyDescent="0.15">
      <c r="A634" t="s">
        <v>2534</v>
      </c>
      <c r="B634">
        <v>2</v>
      </c>
      <c r="C634" t="s">
        <v>1598</v>
      </c>
      <c r="E634">
        <v>2</v>
      </c>
    </row>
    <row r="635" spans="1:5" x14ac:dyDescent="0.15">
      <c r="A635" t="s">
        <v>2535</v>
      </c>
      <c r="B635">
        <v>2</v>
      </c>
      <c r="C635" t="s">
        <v>1753</v>
      </c>
      <c r="E635">
        <v>2</v>
      </c>
    </row>
    <row r="636" spans="1:5" x14ac:dyDescent="0.15">
      <c r="A636" t="s">
        <v>2536</v>
      </c>
      <c r="B636">
        <v>2</v>
      </c>
      <c r="C636" t="s">
        <v>1604</v>
      </c>
      <c r="E636">
        <v>2</v>
      </c>
    </row>
    <row r="637" spans="1:5" x14ac:dyDescent="0.15">
      <c r="A637" t="s">
        <v>2537</v>
      </c>
      <c r="B637">
        <v>2</v>
      </c>
      <c r="C637" t="s">
        <v>1725</v>
      </c>
      <c r="E637">
        <v>2</v>
      </c>
    </row>
    <row r="638" spans="1:5" x14ac:dyDescent="0.15">
      <c r="A638" t="s">
        <v>2538</v>
      </c>
      <c r="B638">
        <v>2</v>
      </c>
      <c r="C638" t="s">
        <v>1543</v>
      </c>
      <c r="E638">
        <v>2</v>
      </c>
    </row>
    <row r="639" spans="1:5" x14ac:dyDescent="0.15">
      <c r="A639" t="s">
        <v>2539</v>
      </c>
      <c r="B639">
        <v>2</v>
      </c>
      <c r="C639" t="s">
        <v>1547</v>
      </c>
      <c r="E639">
        <v>2</v>
      </c>
    </row>
    <row r="640" spans="1:5" x14ac:dyDescent="0.15">
      <c r="A640" t="s">
        <v>2540</v>
      </c>
      <c r="B640">
        <v>2</v>
      </c>
      <c r="C640" t="s">
        <v>1553</v>
      </c>
      <c r="E640">
        <v>2</v>
      </c>
    </row>
    <row r="641" spans="1:5" x14ac:dyDescent="0.15">
      <c r="A641" t="s">
        <v>2541</v>
      </c>
      <c r="B641">
        <v>2</v>
      </c>
      <c r="C641" t="s">
        <v>1541</v>
      </c>
      <c r="E641">
        <v>2</v>
      </c>
    </row>
    <row r="642" spans="1:5" x14ac:dyDescent="0.15">
      <c r="A642" t="s">
        <v>2542</v>
      </c>
      <c r="B642">
        <v>2</v>
      </c>
      <c r="C642" t="s">
        <v>1725</v>
      </c>
      <c r="E642">
        <v>2</v>
      </c>
    </row>
    <row r="643" spans="1:5" x14ac:dyDescent="0.15">
      <c r="A643" t="s">
        <v>2543</v>
      </c>
      <c r="B643">
        <v>2</v>
      </c>
      <c r="C643" t="s">
        <v>1725</v>
      </c>
      <c r="E643">
        <v>2</v>
      </c>
    </row>
    <row r="644" spans="1:5" x14ac:dyDescent="0.15">
      <c r="A644" t="s">
        <v>2544</v>
      </c>
      <c r="B644">
        <v>2</v>
      </c>
      <c r="C644" t="s">
        <v>1559</v>
      </c>
      <c r="E644">
        <v>2</v>
      </c>
    </row>
    <row r="645" spans="1:5" x14ac:dyDescent="0.15">
      <c r="A645" t="s">
        <v>2545</v>
      </c>
      <c r="B645">
        <v>1</v>
      </c>
      <c r="C645" t="s">
        <v>1536</v>
      </c>
      <c r="D645" t="s">
        <v>1473</v>
      </c>
      <c r="E645">
        <v>0</v>
      </c>
    </row>
    <row r="646" spans="1:5" x14ac:dyDescent="0.15">
      <c r="A646" t="s">
        <v>2546</v>
      </c>
      <c r="B646">
        <v>1</v>
      </c>
      <c r="C646" t="s">
        <v>1536</v>
      </c>
      <c r="D646" t="s">
        <v>1473</v>
      </c>
      <c r="E646">
        <v>0</v>
      </c>
    </row>
    <row r="647" spans="1:5" x14ac:dyDescent="0.15">
      <c r="A647" t="s">
        <v>2547</v>
      </c>
      <c r="B647">
        <v>1</v>
      </c>
      <c r="C647" t="s">
        <v>1536</v>
      </c>
      <c r="D647" t="s">
        <v>1473</v>
      </c>
      <c r="E647">
        <v>0</v>
      </c>
    </row>
    <row r="648" spans="1:5" x14ac:dyDescent="0.15">
      <c r="A648" t="s">
        <v>2548</v>
      </c>
      <c r="B648">
        <v>1</v>
      </c>
      <c r="C648" t="s">
        <v>1536</v>
      </c>
      <c r="D648" t="s">
        <v>1473</v>
      </c>
      <c r="E648">
        <v>0</v>
      </c>
    </row>
    <row r="649" spans="1:5" x14ac:dyDescent="0.15">
      <c r="A649" t="s">
        <v>2549</v>
      </c>
      <c r="B649">
        <v>1</v>
      </c>
      <c r="C649" t="s">
        <v>1536</v>
      </c>
      <c r="D649" t="s">
        <v>1473</v>
      </c>
      <c r="E649">
        <v>0</v>
      </c>
    </row>
    <row r="650" spans="1:5" x14ac:dyDescent="0.15">
      <c r="A650" t="s">
        <v>2550</v>
      </c>
      <c r="B650">
        <v>1</v>
      </c>
      <c r="C650" t="s">
        <v>1536</v>
      </c>
      <c r="D650" t="s">
        <v>1473</v>
      </c>
      <c r="E650">
        <v>0</v>
      </c>
    </row>
    <row r="651" spans="1:5" x14ac:dyDescent="0.15">
      <c r="A651" t="s">
        <v>2551</v>
      </c>
      <c r="B651">
        <v>1</v>
      </c>
      <c r="C651" t="s">
        <v>1536</v>
      </c>
      <c r="D651" t="s">
        <v>1473</v>
      </c>
      <c r="E651">
        <v>0</v>
      </c>
    </row>
    <row r="652" spans="1:5" x14ac:dyDescent="0.15">
      <c r="A652" t="s">
        <v>2552</v>
      </c>
      <c r="B652">
        <v>1</v>
      </c>
      <c r="C652" t="s">
        <v>1536</v>
      </c>
      <c r="D652" t="s">
        <v>1473</v>
      </c>
      <c r="E652">
        <v>0</v>
      </c>
    </row>
    <row r="653" spans="1:5" x14ac:dyDescent="0.15">
      <c r="A653" t="s">
        <v>2553</v>
      </c>
      <c r="B653">
        <v>1</v>
      </c>
      <c r="C653" t="s">
        <v>1536</v>
      </c>
      <c r="D653" t="s">
        <v>1473</v>
      </c>
      <c r="E653">
        <v>0</v>
      </c>
    </row>
    <row r="654" spans="1:5" x14ac:dyDescent="0.15">
      <c r="A654" t="s">
        <v>2554</v>
      </c>
      <c r="B654">
        <v>1</v>
      </c>
      <c r="C654" t="s">
        <v>1536</v>
      </c>
      <c r="D654" t="s">
        <v>1473</v>
      </c>
      <c r="E654">
        <v>0</v>
      </c>
    </row>
    <row r="655" spans="1:5" x14ac:dyDescent="0.15">
      <c r="A655" t="s">
        <v>2555</v>
      </c>
      <c r="B655">
        <v>1</v>
      </c>
      <c r="C655" t="s">
        <v>1536</v>
      </c>
      <c r="D655" t="s">
        <v>1473</v>
      </c>
      <c r="E655">
        <v>0</v>
      </c>
    </row>
    <row r="656" spans="1:5" x14ac:dyDescent="0.15">
      <c r="A656" t="s">
        <v>2556</v>
      </c>
      <c r="B656">
        <v>1</v>
      </c>
      <c r="C656" t="s">
        <v>1536</v>
      </c>
      <c r="D656" t="s">
        <v>1473</v>
      </c>
      <c r="E656">
        <v>0</v>
      </c>
    </row>
    <row r="657" spans="1:5" x14ac:dyDescent="0.15">
      <c r="A657" t="s">
        <v>2557</v>
      </c>
      <c r="B657">
        <v>1</v>
      </c>
      <c r="C657" t="s">
        <v>1536</v>
      </c>
      <c r="D657" t="s">
        <v>1473</v>
      </c>
      <c r="E657">
        <v>0</v>
      </c>
    </row>
    <row r="658" spans="1:5" x14ac:dyDescent="0.15">
      <c r="A658" t="s">
        <v>2558</v>
      </c>
      <c r="B658">
        <v>1</v>
      </c>
      <c r="C658" t="s">
        <v>1536</v>
      </c>
      <c r="D658" t="s">
        <v>1473</v>
      </c>
      <c r="E658">
        <v>0</v>
      </c>
    </row>
    <row r="659" spans="1:5" x14ac:dyDescent="0.15">
      <c r="A659" t="s">
        <v>2559</v>
      </c>
      <c r="B659">
        <v>1</v>
      </c>
      <c r="C659" t="s">
        <v>1536</v>
      </c>
      <c r="D659" t="s">
        <v>1473</v>
      </c>
      <c r="E659">
        <v>0</v>
      </c>
    </row>
    <row r="660" spans="1:5" x14ac:dyDescent="0.15">
      <c r="A660" t="s">
        <v>2560</v>
      </c>
      <c r="B660">
        <v>1</v>
      </c>
      <c r="C660" t="s">
        <v>1536</v>
      </c>
      <c r="D660" t="s">
        <v>1473</v>
      </c>
      <c r="E660">
        <v>0</v>
      </c>
    </row>
    <row r="661" spans="1:5" x14ac:dyDescent="0.15">
      <c r="A661" t="s">
        <v>2561</v>
      </c>
      <c r="B661">
        <v>1</v>
      </c>
      <c r="C661" t="s">
        <v>1536</v>
      </c>
      <c r="D661" t="s">
        <v>1473</v>
      </c>
      <c r="E661">
        <v>0</v>
      </c>
    </row>
    <row r="662" spans="1:5" x14ac:dyDescent="0.15">
      <c r="A662" t="s">
        <v>2562</v>
      </c>
      <c r="B662">
        <v>1</v>
      </c>
      <c r="C662" t="s">
        <v>1536</v>
      </c>
      <c r="D662" t="s">
        <v>1473</v>
      </c>
      <c r="E662">
        <v>0</v>
      </c>
    </row>
    <row r="663" spans="1:5" x14ac:dyDescent="0.15">
      <c r="A663" t="s">
        <v>2563</v>
      </c>
      <c r="B663">
        <v>1</v>
      </c>
      <c r="C663" t="s">
        <v>1536</v>
      </c>
      <c r="D663" t="s">
        <v>1473</v>
      </c>
      <c r="E663">
        <v>0</v>
      </c>
    </row>
    <row r="664" spans="1:5" x14ac:dyDescent="0.15">
      <c r="A664" t="s">
        <v>2564</v>
      </c>
      <c r="B664">
        <v>1</v>
      </c>
      <c r="C664" t="s">
        <v>1536</v>
      </c>
      <c r="D664" t="s">
        <v>1473</v>
      </c>
      <c r="E664">
        <v>0</v>
      </c>
    </row>
    <row r="665" spans="1:5" x14ac:dyDescent="0.15">
      <c r="A665" t="s">
        <v>2565</v>
      </c>
      <c r="B665">
        <v>1</v>
      </c>
      <c r="C665" t="s">
        <v>1536</v>
      </c>
      <c r="D665" t="s">
        <v>1473</v>
      </c>
      <c r="E665">
        <v>0</v>
      </c>
    </row>
    <row r="666" spans="1:5" x14ac:dyDescent="0.15">
      <c r="A666" t="s">
        <v>2566</v>
      </c>
      <c r="B666">
        <v>1</v>
      </c>
      <c r="C666" t="s">
        <v>1536</v>
      </c>
      <c r="D666" t="s">
        <v>1473</v>
      </c>
      <c r="E666">
        <v>0</v>
      </c>
    </row>
    <row r="667" spans="1:5" x14ac:dyDescent="0.15">
      <c r="A667" t="s">
        <v>2567</v>
      </c>
      <c r="B667">
        <v>1</v>
      </c>
      <c r="C667" t="s">
        <v>1536</v>
      </c>
      <c r="D667" t="s">
        <v>1473</v>
      </c>
      <c r="E667">
        <v>0</v>
      </c>
    </row>
    <row r="668" spans="1:5" x14ac:dyDescent="0.15">
      <c r="A668" t="s">
        <v>2568</v>
      </c>
      <c r="B668">
        <v>1</v>
      </c>
      <c r="C668" t="s">
        <v>1536</v>
      </c>
      <c r="D668" t="s">
        <v>1473</v>
      </c>
      <c r="E668">
        <v>0</v>
      </c>
    </row>
    <row r="669" spans="1:5" x14ac:dyDescent="0.15">
      <c r="A669" t="s">
        <v>2553</v>
      </c>
      <c r="B669">
        <v>1</v>
      </c>
      <c r="C669" t="s">
        <v>1536</v>
      </c>
      <c r="D669" t="s">
        <v>1473</v>
      </c>
      <c r="E669">
        <v>2</v>
      </c>
    </row>
    <row r="670" spans="1:5" x14ac:dyDescent="0.15">
      <c r="A670" t="s">
        <v>2555</v>
      </c>
      <c r="B670">
        <v>1</v>
      </c>
      <c r="C670" t="s">
        <v>1536</v>
      </c>
      <c r="D670" t="s">
        <v>1473</v>
      </c>
      <c r="E670">
        <v>2</v>
      </c>
    </row>
    <row r="671" spans="1:5" x14ac:dyDescent="0.15">
      <c r="A671" t="s">
        <v>2548</v>
      </c>
      <c r="B671">
        <v>1</v>
      </c>
      <c r="C671" t="s">
        <v>1536</v>
      </c>
      <c r="D671" t="s">
        <v>1473</v>
      </c>
      <c r="E671">
        <v>2</v>
      </c>
    </row>
    <row r="672" spans="1:5" x14ac:dyDescent="0.15">
      <c r="A672" t="s">
        <v>2545</v>
      </c>
      <c r="B672">
        <v>1</v>
      </c>
      <c r="C672" t="s">
        <v>1536</v>
      </c>
      <c r="D672" t="s">
        <v>1473</v>
      </c>
      <c r="E672">
        <v>2</v>
      </c>
    </row>
    <row r="673" spans="1:5" x14ac:dyDescent="0.15">
      <c r="A673" t="s">
        <v>2568</v>
      </c>
      <c r="B673">
        <v>1</v>
      </c>
      <c r="C673" t="s">
        <v>1536</v>
      </c>
      <c r="D673" t="s">
        <v>1473</v>
      </c>
      <c r="E673">
        <v>2</v>
      </c>
    </row>
    <row r="674" spans="1:5" x14ac:dyDescent="0.15">
      <c r="A674" t="s">
        <v>204</v>
      </c>
      <c r="B674">
        <v>0</v>
      </c>
      <c r="C674" t="s">
        <v>1534</v>
      </c>
      <c r="D674" t="s">
        <v>1473</v>
      </c>
      <c r="E674">
        <v>3</v>
      </c>
    </row>
    <row r="675" spans="1:5" x14ac:dyDescent="0.15">
      <c r="A675" t="s">
        <v>2569</v>
      </c>
      <c r="B675">
        <v>2</v>
      </c>
      <c r="C675" t="s">
        <v>1526</v>
      </c>
      <c r="D675" t="s">
        <v>1473</v>
      </c>
      <c r="E675">
        <v>0</v>
      </c>
    </row>
    <row r="676" spans="1:5" x14ac:dyDescent="0.15">
      <c r="A676" t="s">
        <v>2570</v>
      </c>
      <c r="B676">
        <v>3</v>
      </c>
      <c r="C676" t="s">
        <v>1530</v>
      </c>
      <c r="D676" t="s">
        <v>1473</v>
      </c>
      <c r="E676">
        <v>2</v>
      </c>
    </row>
    <row r="677" spans="1:5" x14ac:dyDescent="0.15">
      <c r="A677" t="s">
        <v>2126</v>
      </c>
      <c r="B677">
        <v>2</v>
      </c>
      <c r="C677" t="s">
        <v>1538</v>
      </c>
      <c r="D677" t="s">
        <v>1473</v>
      </c>
      <c r="E677">
        <v>2</v>
      </c>
    </row>
    <row r="678" spans="1:5" x14ac:dyDescent="0.15">
      <c r="A678" t="s">
        <v>2571</v>
      </c>
      <c r="B678">
        <v>2</v>
      </c>
      <c r="C678" t="s">
        <v>1538</v>
      </c>
      <c r="D678" t="s">
        <v>1473</v>
      </c>
      <c r="E678">
        <v>0</v>
      </c>
    </row>
    <row r="679" spans="1:5" x14ac:dyDescent="0.15">
      <c r="A679" t="s">
        <v>2059</v>
      </c>
      <c r="B679">
        <v>1</v>
      </c>
      <c r="C679" t="s">
        <v>1538</v>
      </c>
      <c r="D679" t="s">
        <v>1473</v>
      </c>
      <c r="E679">
        <v>2</v>
      </c>
    </row>
    <row r="680" spans="1:5" x14ac:dyDescent="0.15">
      <c r="A680" t="s">
        <v>2058</v>
      </c>
      <c r="B680">
        <v>1</v>
      </c>
      <c r="C680" t="s">
        <v>1538</v>
      </c>
      <c r="D680" t="s">
        <v>1473</v>
      </c>
      <c r="E680">
        <v>2</v>
      </c>
    </row>
    <row r="681" spans="1:5" x14ac:dyDescent="0.15">
      <c r="A681" t="s">
        <v>2099</v>
      </c>
      <c r="B681">
        <v>1</v>
      </c>
      <c r="C681" t="s">
        <v>1538</v>
      </c>
      <c r="D681" t="s">
        <v>1473</v>
      </c>
      <c r="E681">
        <v>2</v>
      </c>
    </row>
    <row r="682" spans="1:5" x14ac:dyDescent="0.15">
      <c r="A682" t="s">
        <v>2572</v>
      </c>
      <c r="B682">
        <v>2</v>
      </c>
      <c r="C682" t="s">
        <v>1538</v>
      </c>
      <c r="D682" t="s">
        <v>1473</v>
      </c>
      <c r="E682">
        <v>0</v>
      </c>
    </row>
    <row r="683" spans="1:5" x14ac:dyDescent="0.15">
      <c r="A683" t="s">
        <v>2573</v>
      </c>
      <c r="B683">
        <v>2</v>
      </c>
      <c r="C683" t="s">
        <v>1538</v>
      </c>
      <c r="D683" t="s">
        <v>1473</v>
      </c>
      <c r="E683">
        <v>0</v>
      </c>
    </row>
    <row r="684" spans="1:5" x14ac:dyDescent="0.15">
      <c r="A684" t="s">
        <v>2087</v>
      </c>
      <c r="B684">
        <v>1</v>
      </c>
      <c r="C684" t="s">
        <v>1538</v>
      </c>
      <c r="D684" t="s">
        <v>1473</v>
      </c>
      <c r="E684">
        <v>4</v>
      </c>
    </row>
    <row r="685" spans="1:5" x14ac:dyDescent="0.15">
      <c r="A685" t="s">
        <v>2105</v>
      </c>
      <c r="B685">
        <v>1</v>
      </c>
      <c r="C685" t="s">
        <v>1538</v>
      </c>
      <c r="D685" t="s">
        <v>1473</v>
      </c>
      <c r="E685">
        <v>2</v>
      </c>
    </row>
    <row r="686" spans="1:5" x14ac:dyDescent="0.15">
      <c r="A686" t="s">
        <v>2086</v>
      </c>
      <c r="B686">
        <v>1</v>
      </c>
      <c r="C686" t="s">
        <v>1538</v>
      </c>
      <c r="D686" t="s">
        <v>1473</v>
      </c>
      <c r="E686">
        <v>4</v>
      </c>
    </row>
    <row r="687" spans="1:5" x14ac:dyDescent="0.15">
      <c r="A687" t="s">
        <v>2093</v>
      </c>
      <c r="B687">
        <v>1</v>
      </c>
      <c r="C687" t="s">
        <v>1538</v>
      </c>
      <c r="D687" t="s">
        <v>1473</v>
      </c>
      <c r="E687">
        <v>4</v>
      </c>
    </row>
    <row r="688" spans="1:5" x14ac:dyDescent="0.15">
      <c r="A688" t="s">
        <v>2063</v>
      </c>
      <c r="B688">
        <v>1</v>
      </c>
      <c r="C688" t="s">
        <v>1538</v>
      </c>
      <c r="D688" t="s">
        <v>1473</v>
      </c>
      <c r="E688">
        <v>2</v>
      </c>
    </row>
    <row r="689" spans="1:5" x14ac:dyDescent="0.15">
      <c r="A689" t="s">
        <v>2574</v>
      </c>
      <c r="B689">
        <v>2</v>
      </c>
      <c r="C689" t="s">
        <v>1538</v>
      </c>
      <c r="D689" t="s">
        <v>1473</v>
      </c>
      <c r="E689">
        <v>0</v>
      </c>
    </row>
    <row r="690" spans="1:5" x14ac:dyDescent="0.15">
      <c r="A690" t="s">
        <v>2575</v>
      </c>
      <c r="B690">
        <v>2</v>
      </c>
      <c r="C690" t="s">
        <v>1538</v>
      </c>
      <c r="D690" t="s">
        <v>1473</v>
      </c>
      <c r="E690">
        <v>0</v>
      </c>
    </row>
    <row r="691" spans="1:5" x14ac:dyDescent="0.15">
      <c r="A691" t="s">
        <v>2576</v>
      </c>
      <c r="B691">
        <v>1</v>
      </c>
      <c r="C691" t="s">
        <v>1538</v>
      </c>
      <c r="D691" t="s">
        <v>1473</v>
      </c>
      <c r="E691">
        <v>0</v>
      </c>
    </row>
    <row r="692" spans="1:5" x14ac:dyDescent="0.15">
      <c r="A692" t="s">
        <v>2576</v>
      </c>
      <c r="B692">
        <v>1</v>
      </c>
      <c r="C692" t="s">
        <v>1538</v>
      </c>
      <c r="D692" t="s">
        <v>1473</v>
      </c>
      <c r="E692">
        <v>2</v>
      </c>
    </row>
    <row r="693" spans="1:5" x14ac:dyDescent="0.15">
      <c r="A693" t="s">
        <v>2576</v>
      </c>
      <c r="B693">
        <v>1</v>
      </c>
      <c r="C693" t="s">
        <v>1538</v>
      </c>
      <c r="D693" t="s">
        <v>1473</v>
      </c>
      <c r="E693">
        <v>4</v>
      </c>
    </row>
    <row r="694" spans="1:5" x14ac:dyDescent="0.15">
      <c r="A694" t="s">
        <v>2577</v>
      </c>
      <c r="B694">
        <v>2</v>
      </c>
      <c r="C694" t="s">
        <v>1538</v>
      </c>
      <c r="D694" t="s">
        <v>1473</v>
      </c>
      <c r="E694">
        <v>0</v>
      </c>
    </row>
    <row r="695" spans="1:5" x14ac:dyDescent="0.15">
      <c r="A695" t="s">
        <v>2577</v>
      </c>
      <c r="B695">
        <v>2</v>
      </c>
      <c r="C695" t="s">
        <v>1538</v>
      </c>
      <c r="D695" t="s">
        <v>1473</v>
      </c>
      <c r="E695">
        <v>4</v>
      </c>
    </row>
    <row r="696" spans="1:5" x14ac:dyDescent="0.15">
      <c r="A696" t="s">
        <v>2096</v>
      </c>
      <c r="B696">
        <v>1</v>
      </c>
      <c r="C696" t="s">
        <v>1538</v>
      </c>
      <c r="D696" t="s">
        <v>1473</v>
      </c>
      <c r="E696">
        <v>4</v>
      </c>
    </row>
    <row r="697" spans="1:5" x14ac:dyDescent="0.15">
      <c r="A697" t="s">
        <v>2060</v>
      </c>
      <c r="B697">
        <v>1</v>
      </c>
      <c r="C697" t="s">
        <v>1538</v>
      </c>
      <c r="D697" t="s">
        <v>1473</v>
      </c>
      <c r="E697">
        <v>4</v>
      </c>
    </row>
    <row r="698" spans="1:5" x14ac:dyDescent="0.15">
      <c r="A698" t="s">
        <v>2578</v>
      </c>
      <c r="B698">
        <v>2</v>
      </c>
      <c r="C698" t="s">
        <v>1538</v>
      </c>
      <c r="D698" t="s">
        <v>1473</v>
      </c>
      <c r="E698">
        <v>0</v>
      </c>
    </row>
    <row r="699" spans="1:5" x14ac:dyDescent="0.15">
      <c r="A699" t="s">
        <v>2579</v>
      </c>
      <c r="B699">
        <v>2</v>
      </c>
      <c r="C699" t="s">
        <v>1530</v>
      </c>
      <c r="D699" t="s">
        <v>1473</v>
      </c>
      <c r="E699">
        <v>0</v>
      </c>
    </row>
    <row r="700" spans="1:5" x14ac:dyDescent="0.15">
      <c r="A700" t="s">
        <v>2074</v>
      </c>
      <c r="B700">
        <v>1</v>
      </c>
      <c r="C700" t="s">
        <v>1538</v>
      </c>
      <c r="D700" t="s">
        <v>1473</v>
      </c>
      <c r="E700">
        <v>2</v>
      </c>
    </row>
    <row r="701" spans="1:5" x14ac:dyDescent="0.15">
      <c r="A701" t="s">
        <v>2059</v>
      </c>
      <c r="B701">
        <v>1</v>
      </c>
      <c r="C701" t="s">
        <v>1538</v>
      </c>
      <c r="D701" t="s">
        <v>1473</v>
      </c>
      <c r="E701">
        <v>4</v>
      </c>
    </row>
    <row r="702" spans="1:5" x14ac:dyDescent="0.15">
      <c r="A702" t="s">
        <v>2580</v>
      </c>
      <c r="B702">
        <v>2</v>
      </c>
      <c r="C702" t="s">
        <v>1538</v>
      </c>
      <c r="D702" t="s">
        <v>1473</v>
      </c>
      <c r="E702">
        <v>2</v>
      </c>
    </row>
    <row r="703" spans="1:5" x14ac:dyDescent="0.15">
      <c r="A703" t="s">
        <v>2581</v>
      </c>
      <c r="B703">
        <v>2</v>
      </c>
      <c r="C703" t="s">
        <v>1538</v>
      </c>
      <c r="D703" t="s">
        <v>1473</v>
      </c>
      <c r="E703">
        <v>2</v>
      </c>
    </row>
    <row r="704" spans="1:5" x14ac:dyDescent="0.15">
      <c r="A704" t="s">
        <v>2582</v>
      </c>
      <c r="B704">
        <v>2</v>
      </c>
      <c r="C704" t="s">
        <v>1538</v>
      </c>
      <c r="D704" t="s">
        <v>1473</v>
      </c>
      <c r="E704">
        <v>2</v>
      </c>
    </row>
    <row r="705" spans="1:5" x14ac:dyDescent="0.15">
      <c r="A705" t="s">
        <v>2058</v>
      </c>
      <c r="B705">
        <v>1</v>
      </c>
      <c r="C705" t="s">
        <v>1538</v>
      </c>
      <c r="D705" t="s">
        <v>1473</v>
      </c>
      <c r="E705">
        <v>4</v>
      </c>
    </row>
    <row r="706" spans="1:5" x14ac:dyDescent="0.15">
      <c r="A706" t="s">
        <v>2079</v>
      </c>
      <c r="B706">
        <v>1</v>
      </c>
      <c r="C706" t="s">
        <v>1538</v>
      </c>
      <c r="D706" t="s">
        <v>1473</v>
      </c>
      <c r="E706">
        <v>2</v>
      </c>
    </row>
    <row r="707" spans="1:5" x14ac:dyDescent="0.15">
      <c r="A707" t="s">
        <v>2583</v>
      </c>
      <c r="B707">
        <v>3</v>
      </c>
      <c r="C707" t="s">
        <v>1526</v>
      </c>
      <c r="D707" t="s">
        <v>1473</v>
      </c>
      <c r="E707">
        <v>2</v>
      </c>
    </row>
    <row r="708" spans="1:5" x14ac:dyDescent="0.15">
      <c r="A708" t="s">
        <v>2584</v>
      </c>
      <c r="B708">
        <v>1</v>
      </c>
      <c r="C708" t="s">
        <v>1528</v>
      </c>
      <c r="D708" t="s">
        <v>1473</v>
      </c>
      <c r="E708">
        <v>0</v>
      </c>
    </row>
    <row r="709" spans="1:5" x14ac:dyDescent="0.15">
      <c r="A709" t="s">
        <v>2585</v>
      </c>
      <c r="B709">
        <v>2</v>
      </c>
      <c r="C709" t="s">
        <v>1530</v>
      </c>
      <c r="D709" t="s">
        <v>1473</v>
      </c>
      <c r="E709">
        <v>0</v>
      </c>
    </row>
    <row r="710" spans="1:5" x14ac:dyDescent="0.15">
      <c r="A710" t="s">
        <v>2586</v>
      </c>
      <c r="B710">
        <v>2</v>
      </c>
      <c r="C710" t="s">
        <v>1530</v>
      </c>
      <c r="D710" t="s">
        <v>1473</v>
      </c>
      <c r="E710">
        <v>0</v>
      </c>
    </row>
    <row r="711" spans="1:5" x14ac:dyDescent="0.15">
      <c r="A711" t="s">
        <v>2587</v>
      </c>
      <c r="B711">
        <v>2</v>
      </c>
      <c r="C711" t="s">
        <v>1526</v>
      </c>
      <c r="D711" t="s">
        <v>1473</v>
      </c>
      <c r="E711">
        <v>2</v>
      </c>
    </row>
    <row r="712" spans="1:5" x14ac:dyDescent="0.15">
      <c r="A712" t="s">
        <v>2588</v>
      </c>
      <c r="B712">
        <v>2</v>
      </c>
      <c r="C712" t="s">
        <v>1526</v>
      </c>
      <c r="D712" t="s">
        <v>1473</v>
      </c>
      <c r="E712">
        <v>0</v>
      </c>
    </row>
    <row r="713" spans="1:5" x14ac:dyDescent="0.15">
      <c r="A713" t="s">
        <v>2589</v>
      </c>
      <c r="B713">
        <v>1</v>
      </c>
      <c r="C713" t="s">
        <v>1572</v>
      </c>
      <c r="E713">
        <v>0</v>
      </c>
    </row>
    <row r="714" spans="1:5" x14ac:dyDescent="0.15">
      <c r="A714" t="s">
        <v>2590</v>
      </c>
      <c r="B714">
        <v>2</v>
      </c>
      <c r="C714" t="s">
        <v>1526</v>
      </c>
      <c r="D714" t="s">
        <v>1473</v>
      </c>
      <c r="E714">
        <v>4</v>
      </c>
    </row>
    <row r="715" spans="1:5" x14ac:dyDescent="0.15">
      <c r="A715" t="s">
        <v>2591</v>
      </c>
      <c r="B715">
        <v>1</v>
      </c>
      <c r="C715" t="s">
        <v>1530</v>
      </c>
      <c r="D715" t="s">
        <v>1473</v>
      </c>
      <c r="E715">
        <v>4</v>
      </c>
    </row>
    <row r="716" spans="1:5" x14ac:dyDescent="0.15">
      <c r="A716" t="s">
        <v>2592</v>
      </c>
      <c r="B716">
        <v>2</v>
      </c>
      <c r="C716" t="s">
        <v>1526</v>
      </c>
      <c r="D716" t="s">
        <v>1473</v>
      </c>
      <c r="E716">
        <v>0</v>
      </c>
    </row>
    <row r="717" spans="1:5" x14ac:dyDescent="0.15">
      <c r="A717" t="s">
        <v>2593</v>
      </c>
      <c r="B717">
        <v>4</v>
      </c>
      <c r="C717" t="s">
        <v>1526</v>
      </c>
      <c r="D717" t="s">
        <v>1473</v>
      </c>
      <c r="E717">
        <v>0</v>
      </c>
    </row>
    <row r="718" spans="1:5" x14ac:dyDescent="0.15">
      <c r="A718" t="s">
        <v>2594</v>
      </c>
      <c r="B718">
        <v>2</v>
      </c>
      <c r="C718" t="s">
        <v>1526</v>
      </c>
      <c r="D718" t="s">
        <v>1473</v>
      </c>
      <c r="E718">
        <v>0</v>
      </c>
    </row>
    <row r="719" spans="1:5" x14ac:dyDescent="0.15">
      <c r="A719" t="s">
        <v>2595</v>
      </c>
      <c r="B719">
        <v>2</v>
      </c>
      <c r="C719" t="s">
        <v>1526</v>
      </c>
      <c r="D719" t="s">
        <v>1473</v>
      </c>
      <c r="E719">
        <v>0</v>
      </c>
    </row>
    <row r="720" spans="1:5" x14ac:dyDescent="0.15">
      <c r="A720" t="s">
        <v>2596</v>
      </c>
      <c r="B720">
        <v>2</v>
      </c>
      <c r="C720" t="s">
        <v>1526</v>
      </c>
      <c r="D720" t="s">
        <v>1473</v>
      </c>
      <c r="E720">
        <v>0</v>
      </c>
    </row>
    <row r="721" spans="1:5" x14ac:dyDescent="0.15">
      <c r="A721" t="s">
        <v>2597</v>
      </c>
      <c r="B721">
        <v>2</v>
      </c>
      <c r="C721" t="s">
        <v>1526</v>
      </c>
      <c r="D721" t="s">
        <v>1473</v>
      </c>
      <c r="E721">
        <v>0</v>
      </c>
    </row>
    <row r="722" spans="1:5" x14ac:dyDescent="0.15">
      <c r="A722" t="s">
        <v>2598</v>
      </c>
      <c r="B722">
        <v>2</v>
      </c>
      <c r="C722" t="s">
        <v>1526</v>
      </c>
      <c r="D722" t="s">
        <v>1473</v>
      </c>
      <c r="E722">
        <v>0</v>
      </c>
    </row>
    <row r="723" spans="1:5" x14ac:dyDescent="0.15">
      <c r="A723" t="s">
        <v>2599</v>
      </c>
      <c r="B723">
        <v>2</v>
      </c>
      <c r="C723" t="s">
        <v>1526</v>
      </c>
      <c r="D723" t="s">
        <v>1473</v>
      </c>
      <c r="E723">
        <v>0</v>
      </c>
    </row>
    <row r="724" spans="1:5" x14ac:dyDescent="0.15">
      <c r="A724" t="s">
        <v>2351</v>
      </c>
      <c r="B724">
        <v>2</v>
      </c>
      <c r="C724" t="s">
        <v>1526</v>
      </c>
      <c r="D724" t="s">
        <v>1473</v>
      </c>
      <c r="E724">
        <v>0</v>
      </c>
    </row>
    <row r="725" spans="1:5" x14ac:dyDescent="0.15">
      <c r="A725" t="s">
        <v>2600</v>
      </c>
      <c r="B725">
        <v>2</v>
      </c>
      <c r="C725" t="s">
        <v>1526</v>
      </c>
      <c r="D725" t="s">
        <v>1473</v>
      </c>
      <c r="E725">
        <v>0</v>
      </c>
    </row>
    <row r="726" spans="1:5" x14ac:dyDescent="0.15">
      <c r="A726" t="s">
        <v>2601</v>
      </c>
      <c r="B726">
        <v>2</v>
      </c>
      <c r="C726" t="s">
        <v>1572</v>
      </c>
      <c r="E726">
        <v>0</v>
      </c>
    </row>
    <row r="727" spans="1:5" x14ac:dyDescent="0.15">
      <c r="A727" t="s">
        <v>2602</v>
      </c>
      <c r="B727">
        <v>2</v>
      </c>
      <c r="C727" t="s">
        <v>1526</v>
      </c>
      <c r="D727" t="s">
        <v>1473</v>
      </c>
      <c r="E727">
        <v>0</v>
      </c>
    </row>
    <row r="728" spans="1:5" x14ac:dyDescent="0.15">
      <c r="A728" t="s">
        <v>2603</v>
      </c>
      <c r="B728">
        <v>2</v>
      </c>
      <c r="C728" t="s">
        <v>1526</v>
      </c>
      <c r="D728" t="s">
        <v>1473</v>
      </c>
      <c r="E728">
        <v>0</v>
      </c>
    </row>
    <row r="729" spans="1:5" x14ac:dyDescent="0.15">
      <c r="A729" t="s">
        <v>2604</v>
      </c>
      <c r="E729">
        <v>0</v>
      </c>
    </row>
    <row r="730" spans="1:5" x14ac:dyDescent="0.15">
      <c r="A730" t="s">
        <v>2605</v>
      </c>
      <c r="B730">
        <v>2</v>
      </c>
      <c r="C730" t="s">
        <v>1526</v>
      </c>
      <c r="D730" t="s">
        <v>1473</v>
      </c>
      <c r="E730">
        <v>0</v>
      </c>
    </row>
    <row r="731" spans="1:5" x14ac:dyDescent="0.15">
      <c r="A731" t="s">
        <v>2606</v>
      </c>
      <c r="B731">
        <v>2</v>
      </c>
      <c r="C731" t="s">
        <v>1526</v>
      </c>
      <c r="D731" t="s">
        <v>1473</v>
      </c>
      <c r="E731">
        <v>2</v>
      </c>
    </row>
    <row r="732" spans="1:5" x14ac:dyDescent="0.15">
      <c r="A732" t="s">
        <v>2607</v>
      </c>
      <c r="B732">
        <v>2</v>
      </c>
      <c r="C732" t="s">
        <v>1526</v>
      </c>
      <c r="D732" t="s">
        <v>1473</v>
      </c>
      <c r="E732">
        <v>2</v>
      </c>
    </row>
    <row r="733" spans="1:5" x14ac:dyDescent="0.15">
      <c r="A733" t="s">
        <v>2608</v>
      </c>
      <c r="B733">
        <v>2</v>
      </c>
      <c r="C733" t="s">
        <v>1526</v>
      </c>
      <c r="D733" t="s">
        <v>1473</v>
      </c>
      <c r="E733">
        <v>0</v>
      </c>
    </row>
    <row r="734" spans="1:5" x14ac:dyDescent="0.15">
      <c r="A734" t="s">
        <v>2609</v>
      </c>
      <c r="B734">
        <v>2</v>
      </c>
      <c r="C734" t="s">
        <v>1526</v>
      </c>
      <c r="D734" t="s">
        <v>1473</v>
      </c>
      <c r="E734">
        <v>2</v>
      </c>
    </row>
    <row r="735" spans="1:5" x14ac:dyDescent="0.15">
      <c r="A735" t="s">
        <v>2610</v>
      </c>
      <c r="B735">
        <v>2</v>
      </c>
      <c r="C735" t="s">
        <v>1526</v>
      </c>
      <c r="D735" t="s">
        <v>1473</v>
      </c>
      <c r="E735">
        <v>0</v>
      </c>
    </row>
    <row r="736" spans="1:5" x14ac:dyDescent="0.15">
      <c r="A736" t="s">
        <v>2611</v>
      </c>
      <c r="B736">
        <v>2</v>
      </c>
      <c r="C736" t="s">
        <v>1526</v>
      </c>
      <c r="D736" t="s">
        <v>1473</v>
      </c>
      <c r="E736">
        <v>0</v>
      </c>
    </row>
    <row r="737" spans="1:5" x14ac:dyDescent="0.15">
      <c r="A737" t="s">
        <v>2612</v>
      </c>
      <c r="B737">
        <v>2</v>
      </c>
      <c r="C737" t="s">
        <v>1526</v>
      </c>
      <c r="D737" t="s">
        <v>1473</v>
      </c>
      <c r="E737">
        <v>0</v>
      </c>
    </row>
    <row r="738" spans="1:5" x14ac:dyDescent="0.15">
      <c r="A738" t="s">
        <v>2612</v>
      </c>
      <c r="B738">
        <v>2</v>
      </c>
      <c r="C738" t="s">
        <v>1526</v>
      </c>
      <c r="D738" t="s">
        <v>1473</v>
      </c>
      <c r="E738">
        <v>2</v>
      </c>
    </row>
    <row r="739" spans="1:5" x14ac:dyDescent="0.15">
      <c r="A739" t="s">
        <v>2613</v>
      </c>
      <c r="B739">
        <v>2</v>
      </c>
      <c r="C739" t="s">
        <v>1526</v>
      </c>
      <c r="D739" t="s">
        <v>1473</v>
      </c>
      <c r="E739">
        <v>0</v>
      </c>
    </row>
    <row r="740" spans="1:5" x14ac:dyDescent="0.15">
      <c r="A740" t="s">
        <v>2614</v>
      </c>
      <c r="B740">
        <v>2</v>
      </c>
      <c r="C740" t="s">
        <v>1526</v>
      </c>
      <c r="D740" t="s">
        <v>1473</v>
      </c>
      <c r="E740">
        <v>0</v>
      </c>
    </row>
    <row r="741" spans="1:5" x14ac:dyDescent="0.15">
      <c r="A741" t="s">
        <v>2615</v>
      </c>
      <c r="B741">
        <v>2</v>
      </c>
      <c r="C741" t="s">
        <v>1526</v>
      </c>
      <c r="D741" t="s">
        <v>1473</v>
      </c>
      <c r="E741">
        <v>0</v>
      </c>
    </row>
    <row r="742" spans="1:5" x14ac:dyDescent="0.15">
      <c r="A742" t="s">
        <v>2350</v>
      </c>
      <c r="B742">
        <v>2</v>
      </c>
      <c r="C742" t="s">
        <v>1526</v>
      </c>
      <c r="D742" t="s">
        <v>1473</v>
      </c>
      <c r="E742">
        <v>2</v>
      </c>
    </row>
    <row r="743" spans="1:5" x14ac:dyDescent="0.15">
      <c r="A743" t="s">
        <v>2616</v>
      </c>
      <c r="B743">
        <v>2</v>
      </c>
      <c r="C743" t="s">
        <v>1526</v>
      </c>
      <c r="D743" t="s">
        <v>1473</v>
      </c>
      <c r="E743">
        <v>0</v>
      </c>
    </row>
    <row r="744" spans="1:5" x14ac:dyDescent="0.15">
      <c r="A744" t="s">
        <v>2617</v>
      </c>
      <c r="B744">
        <v>1</v>
      </c>
      <c r="C744" t="s">
        <v>1534</v>
      </c>
      <c r="D744" t="s">
        <v>1473</v>
      </c>
      <c r="E744">
        <v>0</v>
      </c>
    </row>
    <row r="745" spans="1:5" x14ac:dyDescent="0.15">
      <c r="A745" t="s">
        <v>2604</v>
      </c>
      <c r="E745">
        <v>2</v>
      </c>
    </row>
    <row r="746" spans="1:5" x14ac:dyDescent="0.15">
      <c r="A746" t="s">
        <v>2618</v>
      </c>
      <c r="B746">
        <v>1</v>
      </c>
      <c r="C746" t="s">
        <v>1572</v>
      </c>
      <c r="E746">
        <v>0</v>
      </c>
    </row>
    <row r="747" spans="1:5" x14ac:dyDescent="0.15">
      <c r="A747" t="s">
        <v>2405</v>
      </c>
      <c r="B747">
        <v>1</v>
      </c>
      <c r="C747" t="s">
        <v>1528</v>
      </c>
      <c r="D747" t="s">
        <v>1473</v>
      </c>
      <c r="E747">
        <v>0</v>
      </c>
    </row>
    <row r="748" spans="1:5" x14ac:dyDescent="0.15">
      <c r="A748" t="s">
        <v>2619</v>
      </c>
      <c r="B748">
        <v>2</v>
      </c>
      <c r="C748" t="s">
        <v>1526</v>
      </c>
      <c r="D748" t="s">
        <v>1473</v>
      </c>
      <c r="E748">
        <v>0</v>
      </c>
    </row>
    <row r="749" spans="1:5" x14ac:dyDescent="0.15">
      <c r="A749" t="s">
        <v>2591</v>
      </c>
      <c r="B749">
        <v>1</v>
      </c>
      <c r="C749" t="s">
        <v>1530</v>
      </c>
      <c r="D749" t="s">
        <v>1473</v>
      </c>
      <c r="E749">
        <v>0</v>
      </c>
    </row>
    <row r="750" spans="1:5" x14ac:dyDescent="0.15">
      <c r="A750" t="s">
        <v>2281</v>
      </c>
      <c r="B750">
        <v>2</v>
      </c>
      <c r="C750" t="s">
        <v>1526</v>
      </c>
      <c r="D750" t="s">
        <v>1473</v>
      </c>
      <c r="E750">
        <v>4</v>
      </c>
    </row>
    <row r="751" spans="1:5" x14ac:dyDescent="0.15">
      <c r="A751" t="s">
        <v>2620</v>
      </c>
      <c r="B751">
        <v>2</v>
      </c>
      <c r="C751" t="s">
        <v>1526</v>
      </c>
      <c r="D751" t="s">
        <v>1473</v>
      </c>
      <c r="E751">
        <v>0</v>
      </c>
    </row>
    <row r="752" spans="1:5" x14ac:dyDescent="0.15">
      <c r="A752" t="s">
        <v>2621</v>
      </c>
      <c r="B752">
        <v>4</v>
      </c>
      <c r="C752" t="s">
        <v>1538</v>
      </c>
      <c r="D752" t="s">
        <v>1473</v>
      </c>
      <c r="E752">
        <v>2</v>
      </c>
    </row>
    <row r="753" spans="1:5" x14ac:dyDescent="0.15">
      <c r="A753" t="s">
        <v>2606</v>
      </c>
      <c r="B753">
        <v>2</v>
      </c>
      <c r="C753" t="s">
        <v>1526</v>
      </c>
      <c r="D753" t="s">
        <v>1473</v>
      </c>
      <c r="E753">
        <v>0</v>
      </c>
    </row>
    <row r="754" spans="1:5" x14ac:dyDescent="0.15">
      <c r="A754" t="s">
        <v>2425</v>
      </c>
      <c r="B754">
        <v>1</v>
      </c>
      <c r="C754" t="s">
        <v>1530</v>
      </c>
      <c r="D754" t="s">
        <v>1473</v>
      </c>
      <c r="E754">
        <v>0</v>
      </c>
    </row>
    <row r="755" spans="1:5" x14ac:dyDescent="0.15">
      <c r="A755" t="s">
        <v>2622</v>
      </c>
      <c r="B755">
        <v>1</v>
      </c>
      <c r="C755" t="s">
        <v>1530</v>
      </c>
      <c r="D755" t="s">
        <v>1473</v>
      </c>
      <c r="E755">
        <v>0</v>
      </c>
    </row>
    <row r="756" spans="1:5" x14ac:dyDescent="0.15">
      <c r="A756" t="s">
        <v>2623</v>
      </c>
      <c r="B756">
        <v>1</v>
      </c>
      <c r="C756" t="s">
        <v>1530</v>
      </c>
      <c r="D756" t="s">
        <v>1473</v>
      </c>
      <c r="E756">
        <v>2</v>
      </c>
    </row>
    <row r="757" spans="1:5" x14ac:dyDescent="0.15">
      <c r="A757" t="s">
        <v>2624</v>
      </c>
      <c r="B757">
        <v>2</v>
      </c>
      <c r="C757" t="s">
        <v>1526</v>
      </c>
      <c r="D757" t="s">
        <v>1473</v>
      </c>
      <c r="E757">
        <v>0</v>
      </c>
    </row>
    <row r="758" spans="1:5" x14ac:dyDescent="0.15">
      <c r="A758" t="s">
        <v>2625</v>
      </c>
      <c r="B758">
        <v>2</v>
      </c>
      <c r="C758" t="s">
        <v>1526</v>
      </c>
      <c r="D758" t="s">
        <v>1473</v>
      </c>
      <c r="E758">
        <v>0</v>
      </c>
    </row>
    <row r="759" spans="1:5" x14ac:dyDescent="0.15">
      <c r="A759" t="s">
        <v>2626</v>
      </c>
      <c r="B759">
        <v>2</v>
      </c>
      <c r="C759" t="s">
        <v>1534</v>
      </c>
      <c r="D759" t="s">
        <v>1473</v>
      </c>
      <c r="E759">
        <v>0</v>
      </c>
    </row>
    <row r="760" spans="1:5" x14ac:dyDescent="0.15">
      <c r="A760" t="s">
        <v>2627</v>
      </c>
      <c r="B760">
        <v>2</v>
      </c>
      <c r="C760" t="s">
        <v>1526</v>
      </c>
      <c r="D760" t="s">
        <v>1473</v>
      </c>
      <c r="E760">
        <v>0</v>
      </c>
    </row>
    <row r="761" spans="1:5" x14ac:dyDescent="0.15">
      <c r="A761" t="s">
        <v>2628</v>
      </c>
      <c r="B761">
        <v>2</v>
      </c>
      <c r="C761" t="s">
        <v>1526</v>
      </c>
      <c r="D761" t="s">
        <v>1473</v>
      </c>
      <c r="E761">
        <v>0</v>
      </c>
    </row>
    <row r="762" spans="1:5" x14ac:dyDescent="0.15">
      <c r="A762" t="s">
        <v>2629</v>
      </c>
      <c r="B762">
        <v>2</v>
      </c>
      <c r="C762" t="s">
        <v>1530</v>
      </c>
      <c r="D762" t="s">
        <v>1473</v>
      </c>
      <c r="E762">
        <v>0</v>
      </c>
    </row>
    <row r="763" spans="1:5" x14ac:dyDescent="0.15">
      <c r="A763" t="s">
        <v>2630</v>
      </c>
      <c r="B763">
        <v>2</v>
      </c>
      <c r="C763" t="s">
        <v>1532</v>
      </c>
      <c r="D763" t="s">
        <v>1473</v>
      </c>
      <c r="E763">
        <v>0</v>
      </c>
    </row>
    <row r="764" spans="1:5" x14ac:dyDescent="0.15">
      <c r="A764" t="s">
        <v>2630</v>
      </c>
      <c r="B764">
        <v>2</v>
      </c>
      <c r="C764" t="s">
        <v>1532</v>
      </c>
      <c r="D764" t="s">
        <v>1473</v>
      </c>
      <c r="E764">
        <v>2</v>
      </c>
    </row>
    <row r="765" spans="1:5" x14ac:dyDescent="0.15">
      <c r="A765" t="s">
        <v>2631</v>
      </c>
      <c r="B765">
        <v>1</v>
      </c>
      <c r="C765" t="s">
        <v>1532</v>
      </c>
      <c r="D765" t="s">
        <v>1473</v>
      </c>
      <c r="E765">
        <v>0</v>
      </c>
    </row>
    <row r="766" spans="1:5" x14ac:dyDescent="0.15">
      <c r="A766" t="s">
        <v>2631</v>
      </c>
      <c r="B766">
        <v>1</v>
      </c>
      <c r="C766" t="s">
        <v>1532</v>
      </c>
      <c r="D766" t="s">
        <v>1473</v>
      </c>
      <c r="E766">
        <v>2</v>
      </c>
    </row>
    <row r="767" spans="1:5" x14ac:dyDescent="0.15">
      <c r="A767" t="s">
        <v>2285</v>
      </c>
      <c r="B767">
        <v>2</v>
      </c>
      <c r="C767" t="s">
        <v>1526</v>
      </c>
      <c r="D767" t="s">
        <v>1473</v>
      </c>
      <c r="E767">
        <v>4</v>
      </c>
    </row>
    <row r="768" spans="1:5" x14ac:dyDescent="0.15">
      <c r="A768" t="s">
        <v>2632</v>
      </c>
      <c r="B768">
        <v>2</v>
      </c>
      <c r="C768" t="s">
        <v>1526</v>
      </c>
      <c r="D768" t="s">
        <v>1473</v>
      </c>
      <c r="E768">
        <v>4</v>
      </c>
    </row>
    <row r="769" spans="1:5" x14ac:dyDescent="0.15">
      <c r="A769" t="s">
        <v>2632</v>
      </c>
      <c r="B769">
        <v>2</v>
      </c>
      <c r="C769" t="s">
        <v>1526</v>
      </c>
      <c r="D769" t="s">
        <v>1473</v>
      </c>
      <c r="E769">
        <v>0</v>
      </c>
    </row>
    <row r="770" spans="1:5" x14ac:dyDescent="0.15">
      <c r="A770" t="s">
        <v>2633</v>
      </c>
      <c r="B770">
        <v>1</v>
      </c>
      <c r="C770" t="s">
        <v>1530</v>
      </c>
      <c r="D770" t="s">
        <v>1473</v>
      </c>
      <c r="E770">
        <v>0</v>
      </c>
    </row>
    <row r="771" spans="1:5" x14ac:dyDescent="0.15">
      <c r="A771" t="s">
        <v>2634</v>
      </c>
      <c r="B771">
        <v>1</v>
      </c>
      <c r="C771" t="s">
        <v>1526</v>
      </c>
      <c r="D771" t="s">
        <v>1473</v>
      </c>
      <c r="E771">
        <v>0</v>
      </c>
    </row>
    <row r="772" spans="1:5" x14ac:dyDescent="0.15">
      <c r="A772" t="s">
        <v>2635</v>
      </c>
      <c r="B772">
        <v>4</v>
      </c>
      <c r="C772" t="s">
        <v>1526</v>
      </c>
      <c r="D772" t="s">
        <v>1473</v>
      </c>
      <c r="E772">
        <v>0</v>
      </c>
    </row>
    <row r="773" spans="1:5" x14ac:dyDescent="0.15">
      <c r="A773" t="s">
        <v>2284</v>
      </c>
      <c r="B773">
        <v>2</v>
      </c>
      <c r="C773" t="s">
        <v>1526</v>
      </c>
      <c r="D773" t="s">
        <v>1473</v>
      </c>
      <c r="E773">
        <v>0</v>
      </c>
    </row>
    <row r="774" spans="1:5" x14ac:dyDescent="0.15">
      <c r="A774" t="s">
        <v>2636</v>
      </c>
      <c r="B774">
        <v>2</v>
      </c>
      <c r="C774" t="s">
        <v>1530</v>
      </c>
      <c r="D774" t="s">
        <v>1473</v>
      </c>
      <c r="E774">
        <v>0</v>
      </c>
    </row>
    <row r="775" spans="1:5" x14ac:dyDescent="0.15">
      <c r="A775" t="s">
        <v>2637</v>
      </c>
      <c r="B775">
        <v>2</v>
      </c>
      <c r="C775" t="s">
        <v>1534</v>
      </c>
      <c r="D775" t="s">
        <v>1473</v>
      </c>
      <c r="E775">
        <v>0</v>
      </c>
    </row>
    <row r="776" spans="1:5" x14ac:dyDescent="0.15">
      <c r="A776" t="s">
        <v>2219</v>
      </c>
      <c r="B776">
        <v>1</v>
      </c>
      <c r="C776" t="s">
        <v>1536</v>
      </c>
      <c r="D776" t="s">
        <v>1473</v>
      </c>
      <c r="E776">
        <v>4</v>
      </c>
    </row>
    <row r="777" spans="1:5" x14ac:dyDescent="0.15">
      <c r="A777" t="s">
        <v>2207</v>
      </c>
      <c r="B777">
        <v>2</v>
      </c>
      <c r="C777" t="s">
        <v>1534</v>
      </c>
      <c r="D777" t="s">
        <v>1473</v>
      </c>
      <c r="E777">
        <v>4</v>
      </c>
    </row>
    <row r="778" spans="1:5" x14ac:dyDescent="0.15">
      <c r="A778" t="s">
        <v>2340</v>
      </c>
      <c r="B778">
        <v>2</v>
      </c>
      <c r="C778" t="s">
        <v>1534</v>
      </c>
      <c r="D778" t="s">
        <v>1473</v>
      </c>
      <c r="E778">
        <v>0</v>
      </c>
    </row>
    <row r="779" spans="1:5" x14ac:dyDescent="0.15">
      <c r="A779" t="s">
        <v>2585</v>
      </c>
      <c r="B779">
        <v>2</v>
      </c>
      <c r="C779" t="s">
        <v>1530</v>
      </c>
      <c r="D779" t="s">
        <v>1473</v>
      </c>
      <c r="E779">
        <v>4</v>
      </c>
    </row>
    <row r="780" spans="1:5" x14ac:dyDescent="0.15">
      <c r="A780" t="s">
        <v>2266</v>
      </c>
      <c r="B780">
        <v>4</v>
      </c>
      <c r="C780" t="s">
        <v>1532</v>
      </c>
      <c r="D780" t="s">
        <v>1473</v>
      </c>
      <c r="E780">
        <v>2</v>
      </c>
    </row>
    <row r="781" spans="1:5" x14ac:dyDescent="0.15">
      <c r="A781" t="s">
        <v>2638</v>
      </c>
      <c r="B781">
        <v>2</v>
      </c>
      <c r="C781" t="s">
        <v>1530</v>
      </c>
      <c r="D781" t="s">
        <v>1473</v>
      </c>
      <c r="E781">
        <v>0</v>
      </c>
    </row>
    <row r="782" spans="1:5" x14ac:dyDescent="0.15">
      <c r="A782" t="s">
        <v>2639</v>
      </c>
      <c r="B782">
        <v>2</v>
      </c>
      <c r="C782" t="s">
        <v>1534</v>
      </c>
      <c r="D782" t="s">
        <v>1473</v>
      </c>
      <c r="E782">
        <v>0</v>
      </c>
    </row>
    <row r="783" spans="1:5" x14ac:dyDescent="0.15">
      <c r="A783" t="s">
        <v>2185</v>
      </c>
      <c r="B783">
        <v>2</v>
      </c>
      <c r="C783" t="s">
        <v>1534</v>
      </c>
      <c r="D783" t="s">
        <v>1473</v>
      </c>
      <c r="E783">
        <v>2</v>
      </c>
    </row>
    <row r="784" spans="1:5" x14ac:dyDescent="0.15">
      <c r="A784" t="s">
        <v>2640</v>
      </c>
      <c r="B784">
        <v>2</v>
      </c>
      <c r="C784" t="s">
        <v>1526</v>
      </c>
      <c r="D784" t="s">
        <v>1473</v>
      </c>
      <c r="E784">
        <v>0</v>
      </c>
    </row>
    <row r="785" spans="1:5" x14ac:dyDescent="0.15">
      <c r="A785" t="s">
        <v>2641</v>
      </c>
      <c r="B785">
        <v>1</v>
      </c>
      <c r="C785" t="s">
        <v>1526</v>
      </c>
      <c r="D785" t="s">
        <v>1473</v>
      </c>
      <c r="E785">
        <v>0</v>
      </c>
    </row>
    <row r="786" spans="1:5" x14ac:dyDescent="0.15">
      <c r="A786" t="s">
        <v>2403</v>
      </c>
      <c r="B786">
        <v>2</v>
      </c>
      <c r="C786" t="s">
        <v>1526</v>
      </c>
      <c r="D786" t="s">
        <v>1473</v>
      </c>
      <c r="E786">
        <v>4</v>
      </c>
    </row>
    <row r="787" spans="1:5" x14ac:dyDescent="0.15">
      <c r="A787" t="s">
        <v>2642</v>
      </c>
      <c r="B787">
        <v>1</v>
      </c>
      <c r="C787" t="s">
        <v>1538</v>
      </c>
      <c r="D787" t="s">
        <v>1473</v>
      </c>
      <c r="E787">
        <v>0</v>
      </c>
    </row>
    <row r="788" spans="1:5" x14ac:dyDescent="0.15">
      <c r="A788" t="s">
        <v>2643</v>
      </c>
      <c r="B788">
        <v>1</v>
      </c>
      <c r="C788" t="s">
        <v>1530</v>
      </c>
      <c r="D788" t="s">
        <v>1473</v>
      </c>
      <c r="E788">
        <v>0</v>
      </c>
    </row>
    <row r="789" spans="1:5" x14ac:dyDescent="0.15">
      <c r="A789" t="s">
        <v>2644</v>
      </c>
      <c r="B789">
        <v>2</v>
      </c>
      <c r="C789" t="s">
        <v>1534</v>
      </c>
      <c r="D789" t="s">
        <v>1473</v>
      </c>
      <c r="E789">
        <v>0</v>
      </c>
    </row>
    <row r="790" spans="1:5" x14ac:dyDescent="0.15">
      <c r="A790" t="s">
        <v>2645</v>
      </c>
      <c r="B790">
        <v>2</v>
      </c>
      <c r="C790" t="s">
        <v>1534</v>
      </c>
      <c r="D790" t="s">
        <v>1473</v>
      </c>
      <c r="E790">
        <v>0</v>
      </c>
    </row>
    <row r="791" spans="1:5" x14ac:dyDescent="0.15">
      <c r="A791" t="s">
        <v>2645</v>
      </c>
      <c r="B791">
        <v>2</v>
      </c>
      <c r="C791" t="s">
        <v>1534</v>
      </c>
      <c r="D791" t="s">
        <v>1473</v>
      </c>
      <c r="E791">
        <v>4</v>
      </c>
    </row>
    <row r="792" spans="1:5" x14ac:dyDescent="0.15">
      <c r="A792" t="s">
        <v>2283</v>
      </c>
      <c r="B792">
        <v>4</v>
      </c>
      <c r="C792" t="s">
        <v>1532</v>
      </c>
      <c r="D792" t="s">
        <v>1473</v>
      </c>
      <c r="E792">
        <v>4</v>
      </c>
    </row>
    <row r="793" spans="1:5" x14ac:dyDescent="0.15">
      <c r="A793" t="s">
        <v>2646</v>
      </c>
      <c r="B793">
        <v>2</v>
      </c>
      <c r="C793" t="s">
        <v>1526</v>
      </c>
      <c r="D793" t="s">
        <v>1473</v>
      </c>
      <c r="E793">
        <v>0</v>
      </c>
    </row>
    <row r="794" spans="1:5" x14ac:dyDescent="0.15">
      <c r="A794" t="s">
        <v>2647</v>
      </c>
      <c r="B794">
        <v>1</v>
      </c>
      <c r="C794" t="s">
        <v>1530</v>
      </c>
      <c r="D794" t="s">
        <v>1473</v>
      </c>
      <c r="E794">
        <v>0</v>
      </c>
    </row>
    <row r="795" spans="1:5" x14ac:dyDescent="0.15">
      <c r="A795" t="s">
        <v>2648</v>
      </c>
      <c r="B795">
        <v>2</v>
      </c>
      <c r="C795" t="s">
        <v>1536</v>
      </c>
      <c r="D795" t="s">
        <v>1473</v>
      </c>
      <c r="E795">
        <v>2</v>
      </c>
    </row>
    <row r="796" spans="1:5" x14ac:dyDescent="0.15">
      <c r="A796" t="s">
        <v>2649</v>
      </c>
      <c r="B796">
        <v>2</v>
      </c>
      <c r="C796" t="s">
        <v>1526</v>
      </c>
      <c r="D796" t="s">
        <v>1473</v>
      </c>
      <c r="E796">
        <v>0</v>
      </c>
    </row>
    <row r="797" spans="1:5" x14ac:dyDescent="0.15">
      <c r="A797" t="s">
        <v>2650</v>
      </c>
      <c r="B797">
        <v>2</v>
      </c>
      <c r="C797" t="s">
        <v>1530</v>
      </c>
      <c r="D797" t="s">
        <v>1473</v>
      </c>
      <c r="E797">
        <v>0</v>
      </c>
    </row>
    <row r="798" spans="1:5" x14ac:dyDescent="0.15">
      <c r="A798" t="s">
        <v>2585</v>
      </c>
      <c r="B798">
        <v>2</v>
      </c>
      <c r="C798" t="s">
        <v>1530</v>
      </c>
      <c r="D798" t="s">
        <v>1473</v>
      </c>
      <c r="E798">
        <v>2</v>
      </c>
    </row>
    <row r="799" spans="1:5" x14ac:dyDescent="0.15">
      <c r="A799" t="s">
        <v>2276</v>
      </c>
      <c r="B799">
        <v>4</v>
      </c>
      <c r="C799" t="s">
        <v>1538</v>
      </c>
      <c r="D799" t="s">
        <v>1473</v>
      </c>
      <c r="E799">
        <v>4</v>
      </c>
    </row>
    <row r="800" spans="1:5" x14ac:dyDescent="0.15">
      <c r="A800" t="s">
        <v>2651</v>
      </c>
      <c r="B800">
        <v>2</v>
      </c>
      <c r="C800" t="s">
        <v>1534</v>
      </c>
      <c r="D800" t="s">
        <v>1473</v>
      </c>
      <c r="E800">
        <v>0</v>
      </c>
    </row>
    <row r="801" spans="1:5" x14ac:dyDescent="0.15">
      <c r="A801" t="s">
        <v>2652</v>
      </c>
      <c r="B801">
        <v>2</v>
      </c>
      <c r="C801" t="s">
        <v>1536</v>
      </c>
      <c r="D801" t="s">
        <v>1473</v>
      </c>
      <c r="E801">
        <v>0</v>
      </c>
    </row>
    <row r="802" spans="1:5" x14ac:dyDescent="0.15">
      <c r="A802" t="s">
        <v>2653</v>
      </c>
      <c r="B802">
        <v>2</v>
      </c>
      <c r="C802" t="s">
        <v>1534</v>
      </c>
      <c r="D802" t="s">
        <v>1473</v>
      </c>
      <c r="E802">
        <v>0</v>
      </c>
    </row>
    <row r="803" spans="1:5" x14ac:dyDescent="0.15">
      <c r="A803" t="s">
        <v>2654</v>
      </c>
      <c r="B803">
        <v>2</v>
      </c>
      <c r="C803" t="s">
        <v>1534</v>
      </c>
      <c r="D803" t="s">
        <v>1473</v>
      </c>
      <c r="E803">
        <v>0</v>
      </c>
    </row>
    <row r="804" spans="1:5" x14ac:dyDescent="0.15">
      <c r="A804" t="s">
        <v>2655</v>
      </c>
      <c r="B804">
        <v>1</v>
      </c>
      <c r="C804" t="s">
        <v>1532</v>
      </c>
      <c r="D804" t="s">
        <v>1473</v>
      </c>
      <c r="E804">
        <v>4</v>
      </c>
    </row>
    <row r="805" spans="1:5" x14ac:dyDescent="0.15">
      <c r="A805" t="s">
        <v>2656</v>
      </c>
      <c r="B805">
        <v>2</v>
      </c>
      <c r="C805" t="s">
        <v>1534</v>
      </c>
      <c r="D805" t="s">
        <v>1473</v>
      </c>
      <c r="E805">
        <v>0</v>
      </c>
    </row>
    <row r="806" spans="1:5" x14ac:dyDescent="0.15">
      <c r="A806" t="s">
        <v>2615</v>
      </c>
      <c r="B806">
        <v>2</v>
      </c>
      <c r="C806" t="s">
        <v>1526</v>
      </c>
      <c r="D806" t="s">
        <v>1473</v>
      </c>
      <c r="E806">
        <v>4</v>
      </c>
    </row>
    <row r="807" spans="1:5" x14ac:dyDescent="0.15">
      <c r="A807" t="s">
        <v>2287</v>
      </c>
      <c r="B807">
        <v>2</v>
      </c>
      <c r="C807" t="s">
        <v>1536</v>
      </c>
      <c r="D807" t="s">
        <v>1473</v>
      </c>
      <c r="E807">
        <v>2</v>
      </c>
    </row>
    <row r="808" spans="1:5" x14ac:dyDescent="0.15">
      <c r="A808" t="s">
        <v>2360</v>
      </c>
      <c r="B808">
        <v>2</v>
      </c>
      <c r="C808" t="s">
        <v>1530</v>
      </c>
      <c r="D808" t="s">
        <v>1473</v>
      </c>
      <c r="E808">
        <v>2</v>
      </c>
    </row>
    <row r="809" spans="1:5" x14ac:dyDescent="0.15">
      <c r="A809" t="s">
        <v>2360</v>
      </c>
      <c r="B809">
        <v>2</v>
      </c>
      <c r="C809" t="s">
        <v>1530</v>
      </c>
      <c r="D809" t="s">
        <v>1473</v>
      </c>
      <c r="E809">
        <v>0</v>
      </c>
    </row>
    <row r="810" spans="1:5" x14ac:dyDescent="0.15">
      <c r="A810" t="s">
        <v>2657</v>
      </c>
      <c r="B810">
        <v>2</v>
      </c>
      <c r="C810" t="s">
        <v>1534</v>
      </c>
      <c r="D810" t="s">
        <v>1473</v>
      </c>
      <c r="E810">
        <v>0</v>
      </c>
    </row>
    <row r="811" spans="1:5" x14ac:dyDescent="0.15">
      <c r="A811" t="s">
        <v>2289</v>
      </c>
      <c r="B811">
        <v>2</v>
      </c>
      <c r="C811" t="s">
        <v>1530</v>
      </c>
      <c r="D811" t="s">
        <v>1473</v>
      </c>
      <c r="E811">
        <v>0</v>
      </c>
    </row>
    <row r="812" spans="1:5" x14ac:dyDescent="0.15">
      <c r="A812" t="s">
        <v>2658</v>
      </c>
      <c r="B812">
        <v>2</v>
      </c>
      <c r="C812" t="s">
        <v>1528</v>
      </c>
      <c r="D812" t="s">
        <v>1473</v>
      </c>
      <c r="E812">
        <v>0</v>
      </c>
    </row>
    <row r="813" spans="1:5" x14ac:dyDescent="0.15">
      <c r="A813" t="s">
        <v>2659</v>
      </c>
      <c r="B813">
        <v>2</v>
      </c>
      <c r="C813" t="s">
        <v>1530</v>
      </c>
      <c r="D813" t="s">
        <v>1473</v>
      </c>
      <c r="E813">
        <v>0</v>
      </c>
    </row>
    <row r="814" spans="1:5" x14ac:dyDescent="0.15">
      <c r="A814" t="s">
        <v>2660</v>
      </c>
      <c r="B814">
        <v>2</v>
      </c>
      <c r="C814" t="s">
        <v>1534</v>
      </c>
      <c r="D814" t="s">
        <v>1473</v>
      </c>
      <c r="E814">
        <v>0</v>
      </c>
    </row>
    <row r="815" spans="1:5" x14ac:dyDescent="0.15">
      <c r="A815" t="s">
        <v>2661</v>
      </c>
      <c r="B815">
        <v>2</v>
      </c>
      <c r="C815" t="s">
        <v>1534</v>
      </c>
      <c r="D815" t="s">
        <v>1473</v>
      </c>
      <c r="E815">
        <v>4</v>
      </c>
    </row>
    <row r="816" spans="1:5" x14ac:dyDescent="0.15">
      <c r="A816" t="s">
        <v>2661</v>
      </c>
      <c r="B816">
        <v>2</v>
      </c>
      <c r="C816" t="s">
        <v>1534</v>
      </c>
      <c r="D816" t="s">
        <v>1473</v>
      </c>
      <c r="E816">
        <v>2</v>
      </c>
    </row>
    <row r="817" spans="1:5" x14ac:dyDescent="0.15">
      <c r="A817" t="s">
        <v>2661</v>
      </c>
      <c r="B817">
        <v>2</v>
      </c>
      <c r="C817" t="s">
        <v>1534</v>
      </c>
      <c r="D817" t="s">
        <v>1473</v>
      </c>
      <c r="E817">
        <v>0</v>
      </c>
    </row>
    <row r="818" spans="1:5" x14ac:dyDescent="0.15">
      <c r="A818" t="s">
        <v>2267</v>
      </c>
      <c r="B818">
        <v>1</v>
      </c>
      <c r="C818" t="s">
        <v>1530</v>
      </c>
      <c r="D818" t="s">
        <v>1473</v>
      </c>
      <c r="E818">
        <v>0</v>
      </c>
    </row>
    <row r="819" spans="1:5" x14ac:dyDescent="0.15">
      <c r="A819" t="s">
        <v>2662</v>
      </c>
      <c r="B819">
        <v>2</v>
      </c>
      <c r="C819" t="s">
        <v>1534</v>
      </c>
      <c r="D819" t="s">
        <v>1473</v>
      </c>
      <c r="E819">
        <v>0</v>
      </c>
    </row>
    <row r="820" spans="1:5" x14ac:dyDescent="0.15">
      <c r="A820" t="s">
        <v>2648</v>
      </c>
      <c r="B820">
        <v>2</v>
      </c>
      <c r="C820" t="s">
        <v>1536</v>
      </c>
      <c r="D820" t="s">
        <v>1473</v>
      </c>
      <c r="E820">
        <v>0</v>
      </c>
    </row>
    <row r="821" spans="1:5" x14ac:dyDescent="0.15">
      <c r="A821" t="s">
        <v>2663</v>
      </c>
      <c r="B821">
        <v>2</v>
      </c>
      <c r="C821" t="s">
        <v>1526</v>
      </c>
      <c r="D821" t="s">
        <v>1473</v>
      </c>
      <c r="E821">
        <v>0</v>
      </c>
    </row>
    <row r="822" spans="1:5" x14ac:dyDescent="0.15">
      <c r="A822" t="s">
        <v>2664</v>
      </c>
      <c r="B822">
        <v>1</v>
      </c>
      <c r="C822" t="s">
        <v>1530</v>
      </c>
      <c r="D822" t="s">
        <v>1473</v>
      </c>
      <c r="E822">
        <v>0</v>
      </c>
    </row>
    <row r="823" spans="1:5" x14ac:dyDescent="0.15">
      <c r="A823" t="s">
        <v>2665</v>
      </c>
      <c r="B823">
        <v>2</v>
      </c>
      <c r="C823" t="s">
        <v>1530</v>
      </c>
      <c r="D823" t="s">
        <v>1473</v>
      </c>
      <c r="E823">
        <v>0</v>
      </c>
    </row>
    <row r="824" spans="1:5" x14ac:dyDescent="0.15">
      <c r="A824" t="s">
        <v>2636</v>
      </c>
      <c r="B824">
        <v>2</v>
      </c>
      <c r="C824" t="s">
        <v>1530</v>
      </c>
      <c r="D824" t="s">
        <v>1473</v>
      </c>
      <c r="E824">
        <v>2</v>
      </c>
    </row>
    <row r="825" spans="1:5" x14ac:dyDescent="0.15">
      <c r="A825" t="s">
        <v>2666</v>
      </c>
      <c r="B825">
        <v>2</v>
      </c>
      <c r="C825" t="s">
        <v>1532</v>
      </c>
      <c r="D825" t="s">
        <v>1473</v>
      </c>
      <c r="E825">
        <v>0</v>
      </c>
    </row>
    <row r="826" spans="1:5" x14ac:dyDescent="0.15">
      <c r="A826" t="s">
        <v>2667</v>
      </c>
      <c r="B826">
        <v>2</v>
      </c>
      <c r="C826" t="s">
        <v>1530</v>
      </c>
      <c r="D826" t="s">
        <v>1473</v>
      </c>
      <c r="E826">
        <v>0</v>
      </c>
    </row>
    <row r="827" spans="1:5" x14ac:dyDescent="0.15">
      <c r="A827" t="s">
        <v>2668</v>
      </c>
      <c r="B827">
        <v>2</v>
      </c>
      <c r="C827" t="s">
        <v>1534</v>
      </c>
      <c r="D827" t="s">
        <v>1473</v>
      </c>
      <c r="E827">
        <v>0</v>
      </c>
    </row>
    <row r="828" spans="1:5" x14ac:dyDescent="0.15">
      <c r="A828" t="s">
        <v>2331</v>
      </c>
      <c r="B828">
        <v>1</v>
      </c>
      <c r="C828" t="s">
        <v>1526</v>
      </c>
      <c r="D828" t="s">
        <v>1473</v>
      </c>
      <c r="E828">
        <v>2</v>
      </c>
    </row>
    <row r="829" spans="1:5" x14ac:dyDescent="0.15">
      <c r="A829" t="s">
        <v>2669</v>
      </c>
      <c r="B829">
        <v>1</v>
      </c>
      <c r="C829" t="s">
        <v>1526</v>
      </c>
      <c r="D829" t="s">
        <v>1473</v>
      </c>
      <c r="E829">
        <v>0</v>
      </c>
    </row>
    <row r="830" spans="1:5" x14ac:dyDescent="0.15">
      <c r="A830" t="s">
        <v>2224</v>
      </c>
      <c r="B830">
        <v>2</v>
      </c>
      <c r="C830" t="s">
        <v>1526</v>
      </c>
      <c r="D830" t="s">
        <v>1473</v>
      </c>
      <c r="E830">
        <v>4</v>
      </c>
    </row>
    <row r="831" spans="1:5" x14ac:dyDescent="0.15">
      <c r="A831" t="s">
        <v>2291</v>
      </c>
      <c r="B831">
        <v>1</v>
      </c>
      <c r="C831" t="s">
        <v>1530</v>
      </c>
      <c r="D831" t="s">
        <v>1473</v>
      </c>
      <c r="E831">
        <v>2</v>
      </c>
    </row>
    <row r="832" spans="1:5" x14ac:dyDescent="0.15">
      <c r="A832" t="s">
        <v>2347</v>
      </c>
      <c r="B832">
        <v>2</v>
      </c>
      <c r="C832" t="s">
        <v>1526</v>
      </c>
      <c r="D832" t="s">
        <v>1473</v>
      </c>
      <c r="E832">
        <v>2</v>
      </c>
    </row>
    <row r="833" spans="1:5" x14ac:dyDescent="0.15">
      <c r="A833" t="s">
        <v>2670</v>
      </c>
      <c r="B833">
        <v>1</v>
      </c>
      <c r="C833" t="s">
        <v>1526</v>
      </c>
      <c r="D833" t="s">
        <v>1473</v>
      </c>
      <c r="E833">
        <v>0</v>
      </c>
    </row>
    <row r="834" spans="1:5" x14ac:dyDescent="0.15">
      <c r="A834" t="s">
        <v>2263</v>
      </c>
      <c r="B834">
        <v>1</v>
      </c>
      <c r="C834" t="s">
        <v>1528</v>
      </c>
      <c r="D834" t="s">
        <v>1473</v>
      </c>
      <c r="E834">
        <v>2</v>
      </c>
    </row>
    <row r="835" spans="1:5" x14ac:dyDescent="0.15">
      <c r="A835" t="s">
        <v>2371</v>
      </c>
      <c r="B835">
        <v>4</v>
      </c>
      <c r="C835" t="s">
        <v>1534</v>
      </c>
      <c r="D835" t="s">
        <v>1473</v>
      </c>
      <c r="E835">
        <v>2</v>
      </c>
    </row>
    <row r="836" spans="1:5" x14ac:dyDescent="0.15">
      <c r="A836" t="s">
        <v>2391</v>
      </c>
      <c r="B836">
        <v>4</v>
      </c>
      <c r="C836" t="s">
        <v>1526</v>
      </c>
      <c r="D836" t="s">
        <v>1473</v>
      </c>
      <c r="E836">
        <v>2</v>
      </c>
    </row>
    <row r="837" spans="1:5" x14ac:dyDescent="0.15">
      <c r="A837" t="s">
        <v>2671</v>
      </c>
      <c r="B837">
        <v>2</v>
      </c>
      <c r="C837" t="s">
        <v>1526</v>
      </c>
      <c r="D837" t="s">
        <v>1473</v>
      </c>
      <c r="E837">
        <v>0</v>
      </c>
    </row>
    <row r="838" spans="1:5" x14ac:dyDescent="0.15">
      <c r="A838" t="s">
        <v>2250</v>
      </c>
      <c r="B838">
        <v>2</v>
      </c>
      <c r="C838" t="s">
        <v>1530</v>
      </c>
      <c r="D838" t="s">
        <v>1473</v>
      </c>
      <c r="E838">
        <v>2</v>
      </c>
    </row>
    <row r="839" spans="1:5" x14ac:dyDescent="0.15">
      <c r="A839" t="s">
        <v>2304</v>
      </c>
      <c r="B839">
        <v>2</v>
      </c>
      <c r="C839" t="s">
        <v>1534</v>
      </c>
      <c r="D839" t="s">
        <v>1473</v>
      </c>
      <c r="E839">
        <v>4</v>
      </c>
    </row>
    <row r="840" spans="1:5" x14ac:dyDescent="0.15">
      <c r="A840" t="s">
        <v>2672</v>
      </c>
      <c r="B840">
        <v>2</v>
      </c>
      <c r="C840" t="s">
        <v>1538</v>
      </c>
      <c r="D840" t="s">
        <v>1473</v>
      </c>
      <c r="E840">
        <v>4</v>
      </c>
    </row>
    <row r="841" spans="1:5" x14ac:dyDescent="0.15">
      <c r="A841" t="s">
        <v>2672</v>
      </c>
      <c r="B841">
        <v>2</v>
      </c>
      <c r="C841" t="s">
        <v>1538</v>
      </c>
      <c r="D841" t="s">
        <v>1473</v>
      </c>
      <c r="E841">
        <v>2</v>
      </c>
    </row>
    <row r="842" spans="1:5" x14ac:dyDescent="0.15">
      <c r="A842" t="s">
        <v>2673</v>
      </c>
      <c r="B842">
        <v>2</v>
      </c>
      <c r="C842" t="s">
        <v>1526</v>
      </c>
      <c r="D842" t="s">
        <v>1473</v>
      </c>
      <c r="E842">
        <v>4</v>
      </c>
    </row>
    <row r="843" spans="1:5" x14ac:dyDescent="0.15">
      <c r="A843" t="s">
        <v>2183</v>
      </c>
      <c r="B843">
        <v>4</v>
      </c>
      <c r="C843" t="s">
        <v>1538</v>
      </c>
      <c r="D843" t="s">
        <v>1473</v>
      </c>
      <c r="E843">
        <v>4</v>
      </c>
    </row>
    <row r="844" spans="1:5" x14ac:dyDescent="0.15">
      <c r="A844" t="s">
        <v>2674</v>
      </c>
      <c r="B844">
        <v>2</v>
      </c>
      <c r="C844" t="s">
        <v>1534</v>
      </c>
      <c r="D844" t="s">
        <v>1473</v>
      </c>
      <c r="E844">
        <v>0</v>
      </c>
    </row>
    <row r="845" spans="1:5" x14ac:dyDescent="0.15">
      <c r="A845" t="s">
        <v>2675</v>
      </c>
      <c r="B845">
        <v>2</v>
      </c>
      <c r="C845" t="s">
        <v>1534</v>
      </c>
      <c r="D845" t="s">
        <v>1473</v>
      </c>
      <c r="E845">
        <v>2</v>
      </c>
    </row>
    <row r="846" spans="1:5" x14ac:dyDescent="0.15">
      <c r="A846" t="s">
        <v>2676</v>
      </c>
      <c r="B846">
        <v>2</v>
      </c>
      <c r="C846" t="s">
        <v>1534</v>
      </c>
      <c r="D846" t="s">
        <v>1473</v>
      </c>
      <c r="E846">
        <v>0</v>
      </c>
    </row>
    <row r="847" spans="1:5" x14ac:dyDescent="0.15">
      <c r="A847" t="s">
        <v>2677</v>
      </c>
      <c r="B847">
        <v>2</v>
      </c>
      <c r="C847" t="s">
        <v>1534</v>
      </c>
      <c r="D847" t="s">
        <v>1473</v>
      </c>
      <c r="E847">
        <v>0</v>
      </c>
    </row>
    <row r="848" spans="1:5" x14ac:dyDescent="0.15">
      <c r="A848" t="s">
        <v>2496</v>
      </c>
      <c r="B848">
        <v>1</v>
      </c>
      <c r="C848" t="s">
        <v>1538</v>
      </c>
      <c r="D848" t="s">
        <v>1473</v>
      </c>
      <c r="E848">
        <v>4</v>
      </c>
    </row>
    <row r="849" spans="1:5" x14ac:dyDescent="0.15">
      <c r="A849" t="s">
        <v>2509</v>
      </c>
      <c r="B849">
        <v>1</v>
      </c>
      <c r="C849" t="s">
        <v>1538</v>
      </c>
      <c r="D849" t="s">
        <v>1473</v>
      </c>
      <c r="E849">
        <v>4</v>
      </c>
    </row>
    <row r="850" spans="1:5" x14ac:dyDescent="0.15">
      <c r="A850" t="s">
        <v>2678</v>
      </c>
      <c r="B850">
        <v>1</v>
      </c>
      <c r="C850" t="s">
        <v>1538</v>
      </c>
      <c r="D850" t="s">
        <v>1473</v>
      </c>
      <c r="E850">
        <v>0</v>
      </c>
    </row>
    <row r="851" spans="1:5" x14ac:dyDescent="0.15">
      <c r="A851" t="s">
        <v>2491</v>
      </c>
      <c r="B851">
        <v>1</v>
      </c>
      <c r="C851" t="s">
        <v>1538</v>
      </c>
      <c r="D851" t="s">
        <v>1473</v>
      </c>
      <c r="E851">
        <v>4</v>
      </c>
    </row>
    <row r="852" spans="1:5" x14ac:dyDescent="0.15">
      <c r="A852" t="s">
        <v>2508</v>
      </c>
      <c r="B852">
        <v>1</v>
      </c>
      <c r="C852" t="s">
        <v>1538</v>
      </c>
      <c r="D852" t="s">
        <v>1473</v>
      </c>
      <c r="E852">
        <v>4</v>
      </c>
    </row>
    <row r="853" spans="1:5" x14ac:dyDescent="0.15">
      <c r="A853" t="s">
        <v>2490</v>
      </c>
      <c r="B853">
        <v>1</v>
      </c>
      <c r="C853" t="s">
        <v>1538</v>
      </c>
      <c r="D853" t="s">
        <v>1473</v>
      </c>
      <c r="E853">
        <v>4</v>
      </c>
    </row>
    <row r="854" spans="1:5" x14ac:dyDescent="0.15">
      <c r="A854" t="s">
        <v>2501</v>
      </c>
      <c r="B854">
        <v>1</v>
      </c>
      <c r="C854" t="s">
        <v>1538</v>
      </c>
      <c r="D854" t="s">
        <v>1473</v>
      </c>
      <c r="E854">
        <v>4</v>
      </c>
    </row>
    <row r="855" spans="1:5" x14ac:dyDescent="0.15">
      <c r="A855" t="s">
        <v>2517</v>
      </c>
      <c r="B855">
        <v>1</v>
      </c>
      <c r="C855" t="s">
        <v>1538</v>
      </c>
      <c r="D855" t="s">
        <v>1473</v>
      </c>
      <c r="E855">
        <v>4</v>
      </c>
    </row>
    <row r="856" spans="1:5" x14ac:dyDescent="0.15">
      <c r="A856" t="s">
        <v>2514</v>
      </c>
      <c r="B856">
        <v>1</v>
      </c>
      <c r="C856" t="s">
        <v>1526</v>
      </c>
      <c r="D856" t="s">
        <v>1473</v>
      </c>
      <c r="E856">
        <v>4</v>
      </c>
    </row>
    <row r="857" spans="1:5" x14ac:dyDescent="0.15">
      <c r="A857" t="s">
        <v>2487</v>
      </c>
      <c r="B857">
        <v>1</v>
      </c>
      <c r="C857" t="s">
        <v>1538</v>
      </c>
      <c r="D857" t="s">
        <v>1473</v>
      </c>
      <c r="E857">
        <v>4</v>
      </c>
    </row>
    <row r="858" spans="1:5" x14ac:dyDescent="0.15">
      <c r="A858" t="s">
        <v>2478</v>
      </c>
      <c r="B858">
        <v>1</v>
      </c>
      <c r="C858" t="s">
        <v>1538</v>
      </c>
      <c r="D858" t="s">
        <v>1473</v>
      </c>
      <c r="E858">
        <v>4</v>
      </c>
    </row>
    <row r="859" spans="1:5" x14ac:dyDescent="0.15">
      <c r="A859" t="s">
        <v>2490</v>
      </c>
      <c r="B859">
        <v>1</v>
      </c>
      <c r="C859" t="s">
        <v>1538</v>
      </c>
      <c r="D859" t="s">
        <v>1473</v>
      </c>
      <c r="E859">
        <v>2</v>
      </c>
    </row>
    <row r="860" spans="1:5" x14ac:dyDescent="0.15">
      <c r="A860" t="s">
        <v>2476</v>
      </c>
      <c r="B860">
        <v>1</v>
      </c>
      <c r="C860" t="s">
        <v>1538</v>
      </c>
      <c r="D860" t="s">
        <v>1473</v>
      </c>
      <c r="E860">
        <v>2</v>
      </c>
    </row>
    <row r="861" spans="1:5" x14ac:dyDescent="0.15">
      <c r="A861" t="s">
        <v>2509</v>
      </c>
      <c r="B861">
        <v>1</v>
      </c>
      <c r="C861" t="s">
        <v>1538</v>
      </c>
      <c r="D861" t="s">
        <v>1473</v>
      </c>
      <c r="E861">
        <v>2</v>
      </c>
    </row>
    <row r="862" spans="1:5" x14ac:dyDescent="0.15">
      <c r="A862" t="s">
        <v>2473</v>
      </c>
      <c r="B862">
        <v>1</v>
      </c>
      <c r="C862" t="s">
        <v>1538</v>
      </c>
      <c r="D862" t="s">
        <v>1473</v>
      </c>
      <c r="E862">
        <v>2</v>
      </c>
    </row>
    <row r="863" spans="1:5" x14ac:dyDescent="0.15">
      <c r="A863" t="s">
        <v>2513</v>
      </c>
      <c r="B863">
        <v>1</v>
      </c>
      <c r="C863" t="s">
        <v>1538</v>
      </c>
      <c r="D863" t="s">
        <v>1473</v>
      </c>
      <c r="E863">
        <v>2</v>
      </c>
    </row>
    <row r="864" spans="1:5" x14ac:dyDescent="0.15">
      <c r="A864" t="s">
        <v>2485</v>
      </c>
      <c r="B864">
        <v>1</v>
      </c>
      <c r="C864" t="s">
        <v>1538</v>
      </c>
      <c r="D864" t="s">
        <v>1473</v>
      </c>
      <c r="E864">
        <v>2</v>
      </c>
    </row>
    <row r="865" spans="1:5" x14ac:dyDescent="0.15">
      <c r="A865" t="s">
        <v>2516</v>
      </c>
      <c r="B865">
        <v>1</v>
      </c>
      <c r="C865" t="s">
        <v>1538</v>
      </c>
      <c r="D865" t="s">
        <v>1473</v>
      </c>
      <c r="E865">
        <v>2</v>
      </c>
    </row>
    <row r="866" spans="1:5" x14ac:dyDescent="0.15">
      <c r="A866" t="s">
        <v>2513</v>
      </c>
      <c r="B866">
        <v>1</v>
      </c>
      <c r="C866" t="s">
        <v>1538</v>
      </c>
      <c r="D866" t="s">
        <v>1473</v>
      </c>
      <c r="E866">
        <v>4</v>
      </c>
    </row>
    <row r="867" spans="1:5" x14ac:dyDescent="0.15">
      <c r="A867" t="s">
        <v>2482</v>
      </c>
      <c r="B867">
        <v>1</v>
      </c>
      <c r="C867" t="s">
        <v>1538</v>
      </c>
      <c r="D867" t="s">
        <v>1473</v>
      </c>
      <c r="E867">
        <v>4</v>
      </c>
    </row>
    <row r="868" spans="1:5" x14ac:dyDescent="0.15">
      <c r="A868" t="s">
        <v>2679</v>
      </c>
      <c r="B868">
        <v>1</v>
      </c>
      <c r="C868" t="s">
        <v>1536</v>
      </c>
      <c r="D868" t="s">
        <v>1473</v>
      </c>
      <c r="E868">
        <v>0</v>
      </c>
    </row>
    <row r="869" spans="1:5" x14ac:dyDescent="0.15">
      <c r="A869" t="s">
        <v>2556</v>
      </c>
      <c r="B869">
        <v>1</v>
      </c>
      <c r="C869" t="s">
        <v>1536</v>
      </c>
      <c r="D869" t="s">
        <v>1473</v>
      </c>
      <c r="E869">
        <v>2</v>
      </c>
    </row>
    <row r="870" spans="1:5" x14ac:dyDescent="0.15">
      <c r="A870" t="s">
        <v>2557</v>
      </c>
      <c r="B870">
        <v>1</v>
      </c>
      <c r="C870" t="s">
        <v>1536</v>
      </c>
      <c r="D870" t="s">
        <v>1473</v>
      </c>
      <c r="E870">
        <v>2</v>
      </c>
    </row>
    <row r="871" spans="1:5" x14ac:dyDescent="0.15">
      <c r="A871" t="s">
        <v>2680</v>
      </c>
      <c r="B871">
        <v>2</v>
      </c>
      <c r="C871" t="s">
        <v>1526</v>
      </c>
      <c r="D871" t="s">
        <v>1473</v>
      </c>
      <c r="E871">
        <v>0</v>
      </c>
    </row>
    <row r="872" spans="1:5" x14ac:dyDescent="0.15">
      <c r="A872" t="s">
        <v>2681</v>
      </c>
      <c r="B872">
        <v>2</v>
      </c>
      <c r="C872" t="s">
        <v>1526</v>
      </c>
      <c r="D872" t="s">
        <v>1473</v>
      </c>
      <c r="E872">
        <v>0</v>
      </c>
    </row>
    <row r="873" spans="1:5" x14ac:dyDescent="0.15">
      <c r="A873" t="s">
        <v>2682</v>
      </c>
      <c r="B873">
        <v>1</v>
      </c>
      <c r="C873" t="s">
        <v>1538</v>
      </c>
      <c r="D873" t="s">
        <v>1473</v>
      </c>
      <c r="E873">
        <v>0</v>
      </c>
    </row>
    <row r="874" spans="1:5" x14ac:dyDescent="0.15">
      <c r="A874" t="s">
        <v>2683</v>
      </c>
      <c r="B874">
        <v>2</v>
      </c>
      <c r="C874" t="s">
        <v>1536</v>
      </c>
      <c r="D874" t="s">
        <v>1473</v>
      </c>
      <c r="E874">
        <v>2</v>
      </c>
    </row>
    <row r="875" spans="1:5" x14ac:dyDescent="0.15">
      <c r="A875" t="s">
        <v>2607</v>
      </c>
      <c r="B875">
        <v>2</v>
      </c>
      <c r="C875" t="s">
        <v>1526</v>
      </c>
      <c r="D875" t="s">
        <v>1473</v>
      </c>
      <c r="E875">
        <v>0</v>
      </c>
    </row>
    <row r="876" spans="1:5" x14ac:dyDescent="0.15">
      <c r="A876" t="s">
        <v>2423</v>
      </c>
      <c r="B876">
        <v>1</v>
      </c>
      <c r="C876" t="s">
        <v>1538</v>
      </c>
      <c r="D876" t="s">
        <v>1473</v>
      </c>
      <c r="E876">
        <v>4</v>
      </c>
    </row>
    <row r="877" spans="1:5" x14ac:dyDescent="0.15">
      <c r="A877" t="s">
        <v>2684</v>
      </c>
      <c r="B877">
        <v>2</v>
      </c>
      <c r="C877" t="s">
        <v>1526</v>
      </c>
      <c r="D877" t="s">
        <v>1473</v>
      </c>
      <c r="E877">
        <v>0</v>
      </c>
    </row>
    <row r="878" spans="1:5" x14ac:dyDescent="0.15">
      <c r="A878" t="s">
        <v>2685</v>
      </c>
      <c r="B878">
        <v>2</v>
      </c>
      <c r="C878" t="s">
        <v>1526</v>
      </c>
      <c r="D878" t="s">
        <v>1473</v>
      </c>
      <c r="E878">
        <v>0</v>
      </c>
    </row>
    <row r="879" spans="1:5" x14ac:dyDescent="0.15">
      <c r="A879" t="s">
        <v>2241</v>
      </c>
      <c r="B879">
        <v>1</v>
      </c>
      <c r="C879" t="s">
        <v>1528</v>
      </c>
      <c r="D879" t="s">
        <v>1473</v>
      </c>
      <c r="E879">
        <v>4</v>
      </c>
    </row>
    <row r="880" spans="1:5" x14ac:dyDescent="0.15">
      <c r="A880" t="s">
        <v>2686</v>
      </c>
      <c r="B880">
        <v>2</v>
      </c>
      <c r="C880" t="s">
        <v>1526</v>
      </c>
      <c r="D880" t="s">
        <v>1473</v>
      </c>
      <c r="E880">
        <v>0</v>
      </c>
    </row>
    <row r="881" spans="1:5" x14ac:dyDescent="0.15">
      <c r="A881" t="s">
        <v>2687</v>
      </c>
      <c r="B881">
        <v>2</v>
      </c>
      <c r="C881" t="s">
        <v>1536</v>
      </c>
      <c r="D881" t="s">
        <v>1473</v>
      </c>
      <c r="E881">
        <v>0</v>
      </c>
    </row>
    <row r="882" spans="1:5" x14ac:dyDescent="0.15">
      <c r="A882" t="s">
        <v>2688</v>
      </c>
      <c r="B882">
        <v>1</v>
      </c>
      <c r="C882" t="s">
        <v>1526</v>
      </c>
      <c r="D882" t="s">
        <v>1473</v>
      </c>
      <c r="E882">
        <v>0</v>
      </c>
    </row>
    <row r="883" spans="1:5" x14ac:dyDescent="0.15">
      <c r="A883" t="s">
        <v>2429</v>
      </c>
      <c r="B883">
        <v>2</v>
      </c>
      <c r="C883" t="s">
        <v>1572</v>
      </c>
      <c r="D883" t="s">
        <v>1473</v>
      </c>
      <c r="E883">
        <v>0</v>
      </c>
    </row>
    <row r="884" spans="1:5" x14ac:dyDescent="0.15">
      <c r="A884" t="s">
        <v>2423</v>
      </c>
      <c r="B884">
        <v>1</v>
      </c>
      <c r="C884" t="s">
        <v>1538</v>
      </c>
      <c r="D884" t="s">
        <v>1473</v>
      </c>
      <c r="E884">
        <v>0</v>
      </c>
    </row>
    <row r="885" spans="1:5" x14ac:dyDescent="0.15">
      <c r="A885" t="s">
        <v>2616</v>
      </c>
      <c r="B885">
        <v>2</v>
      </c>
      <c r="C885" t="s">
        <v>1526</v>
      </c>
      <c r="D885" t="s">
        <v>1473</v>
      </c>
      <c r="E885">
        <v>4</v>
      </c>
    </row>
    <row r="886" spans="1:5" x14ac:dyDescent="0.15">
      <c r="A886" t="s">
        <v>2689</v>
      </c>
      <c r="B886">
        <v>2</v>
      </c>
      <c r="C886" t="s">
        <v>1526</v>
      </c>
      <c r="D886" t="s">
        <v>1473</v>
      </c>
      <c r="E886">
        <v>0</v>
      </c>
    </row>
    <row r="887" spans="1:5" x14ac:dyDescent="0.15">
      <c r="A887" t="s">
        <v>2688</v>
      </c>
      <c r="B887">
        <v>1</v>
      </c>
      <c r="C887" t="s">
        <v>1526</v>
      </c>
      <c r="D887" t="s">
        <v>1473</v>
      </c>
      <c r="E887">
        <v>2</v>
      </c>
    </row>
    <row r="888" spans="1:5" x14ac:dyDescent="0.15">
      <c r="A888" t="s">
        <v>2690</v>
      </c>
      <c r="B888">
        <v>1</v>
      </c>
      <c r="C888" t="s">
        <v>1526</v>
      </c>
      <c r="D888" t="s">
        <v>1473</v>
      </c>
      <c r="E888">
        <v>0</v>
      </c>
    </row>
    <row r="889" spans="1:5" x14ac:dyDescent="0.15">
      <c r="A889" t="s">
        <v>2691</v>
      </c>
      <c r="B889">
        <v>2</v>
      </c>
      <c r="C889" t="s">
        <v>1526</v>
      </c>
      <c r="D889" t="s">
        <v>1473</v>
      </c>
      <c r="E889">
        <v>0</v>
      </c>
    </row>
    <row r="890" spans="1:5" x14ac:dyDescent="0.15">
      <c r="A890" t="s">
        <v>2692</v>
      </c>
      <c r="B890">
        <v>1</v>
      </c>
      <c r="C890" t="s">
        <v>1568</v>
      </c>
      <c r="D890" t="s">
        <v>1473</v>
      </c>
      <c r="E890">
        <v>0</v>
      </c>
    </row>
    <row r="891" spans="1:5" x14ac:dyDescent="0.15">
      <c r="A891" t="s">
        <v>2693</v>
      </c>
      <c r="B891">
        <v>2</v>
      </c>
      <c r="C891" t="s">
        <v>1526</v>
      </c>
      <c r="D891" t="s">
        <v>1473</v>
      </c>
      <c r="E891">
        <v>0</v>
      </c>
    </row>
    <row r="892" spans="1:5" x14ac:dyDescent="0.15">
      <c r="A892" t="s">
        <v>2694</v>
      </c>
      <c r="B892">
        <v>2</v>
      </c>
      <c r="C892" t="s">
        <v>1526</v>
      </c>
      <c r="D892" t="s">
        <v>1473</v>
      </c>
      <c r="E892">
        <v>0</v>
      </c>
    </row>
    <row r="893" spans="1:5" x14ac:dyDescent="0.15">
      <c r="A893" t="s">
        <v>2695</v>
      </c>
      <c r="B893">
        <v>2</v>
      </c>
      <c r="C893" t="s">
        <v>1526</v>
      </c>
      <c r="D893" t="s">
        <v>1473</v>
      </c>
      <c r="E893">
        <v>0</v>
      </c>
    </row>
    <row r="894" spans="1:5" x14ac:dyDescent="0.15">
      <c r="A894" t="s">
        <v>2604</v>
      </c>
      <c r="C894" t="s">
        <v>1801</v>
      </c>
      <c r="D894" t="s">
        <v>1473</v>
      </c>
      <c r="E894">
        <v>0</v>
      </c>
    </row>
    <row r="895" spans="1:5" x14ac:dyDescent="0.15">
      <c r="A895" t="s">
        <v>2696</v>
      </c>
      <c r="B895">
        <v>2</v>
      </c>
      <c r="C895" t="s">
        <v>1526</v>
      </c>
      <c r="D895" t="s">
        <v>1473</v>
      </c>
      <c r="E895">
        <v>0</v>
      </c>
    </row>
    <row r="896" spans="1:5" x14ac:dyDescent="0.15">
      <c r="A896" t="s">
        <v>2697</v>
      </c>
      <c r="B896">
        <v>2</v>
      </c>
      <c r="C896" t="s">
        <v>1526</v>
      </c>
      <c r="D896" t="s">
        <v>1473</v>
      </c>
      <c r="E896">
        <v>2</v>
      </c>
    </row>
    <row r="897" spans="1:5" x14ac:dyDescent="0.15">
      <c r="A897" t="s">
        <v>2419</v>
      </c>
      <c r="B897">
        <v>2</v>
      </c>
      <c r="C897" t="s">
        <v>1528</v>
      </c>
      <c r="D897" t="s">
        <v>1473</v>
      </c>
      <c r="E897">
        <v>2</v>
      </c>
    </row>
    <row r="898" spans="1:5" x14ac:dyDescent="0.15">
      <c r="A898" t="s">
        <v>2698</v>
      </c>
      <c r="B898">
        <v>2</v>
      </c>
      <c r="C898" t="s">
        <v>1526</v>
      </c>
      <c r="D898" t="s">
        <v>1473</v>
      </c>
      <c r="E898">
        <v>0</v>
      </c>
    </row>
    <row r="899" spans="1:5" x14ac:dyDescent="0.15">
      <c r="A899" t="s">
        <v>2601</v>
      </c>
      <c r="B899">
        <v>2</v>
      </c>
      <c r="C899" t="s">
        <v>1572</v>
      </c>
      <c r="D899" t="s">
        <v>1473</v>
      </c>
      <c r="E899">
        <v>0</v>
      </c>
    </row>
    <row r="900" spans="1:5" x14ac:dyDescent="0.15">
      <c r="A900" t="s">
        <v>2699</v>
      </c>
      <c r="B900">
        <v>4</v>
      </c>
      <c r="C900" t="s">
        <v>1526</v>
      </c>
      <c r="D900" t="s">
        <v>1473</v>
      </c>
      <c r="E900">
        <v>0</v>
      </c>
    </row>
    <row r="901" spans="1:5" x14ac:dyDescent="0.15">
      <c r="A901" t="s">
        <v>2589</v>
      </c>
      <c r="B901">
        <v>1</v>
      </c>
      <c r="C901" t="s">
        <v>1572</v>
      </c>
      <c r="D901" t="s">
        <v>1473</v>
      </c>
      <c r="E901">
        <v>0</v>
      </c>
    </row>
    <row r="902" spans="1:5" x14ac:dyDescent="0.15">
      <c r="A902" t="s">
        <v>2700</v>
      </c>
      <c r="B902">
        <v>2</v>
      </c>
      <c r="C902" t="s">
        <v>1536</v>
      </c>
      <c r="D902" t="s">
        <v>1473</v>
      </c>
      <c r="E902">
        <v>0</v>
      </c>
    </row>
    <row r="903" spans="1:5" x14ac:dyDescent="0.15">
      <c r="A903" t="s">
        <v>2701</v>
      </c>
      <c r="B903">
        <v>2</v>
      </c>
      <c r="C903" t="s">
        <v>1526</v>
      </c>
      <c r="D903" t="s">
        <v>1473</v>
      </c>
      <c r="E903">
        <v>0</v>
      </c>
    </row>
    <row r="904" spans="1:5" x14ac:dyDescent="0.15">
      <c r="A904" t="s">
        <v>2633</v>
      </c>
      <c r="B904">
        <v>1</v>
      </c>
      <c r="C904" t="s">
        <v>1530</v>
      </c>
      <c r="D904" t="s">
        <v>1473</v>
      </c>
      <c r="E904">
        <v>2</v>
      </c>
    </row>
    <row r="905" spans="1:5" x14ac:dyDescent="0.15">
      <c r="A905" t="s">
        <v>2702</v>
      </c>
      <c r="B905">
        <v>2</v>
      </c>
      <c r="C905" t="s">
        <v>1526</v>
      </c>
      <c r="D905" t="s">
        <v>1473</v>
      </c>
      <c r="E905">
        <v>0</v>
      </c>
    </row>
    <row r="906" spans="1:5" x14ac:dyDescent="0.15">
      <c r="A906" t="s">
        <v>2702</v>
      </c>
      <c r="B906">
        <v>2</v>
      </c>
      <c r="C906" t="s">
        <v>1526</v>
      </c>
      <c r="D906" t="s">
        <v>1473</v>
      </c>
      <c r="E906">
        <v>4</v>
      </c>
    </row>
    <row r="907" spans="1:5" x14ac:dyDescent="0.15">
      <c r="A907" t="s">
        <v>2703</v>
      </c>
      <c r="B907">
        <v>1</v>
      </c>
      <c r="C907" t="s">
        <v>1528</v>
      </c>
      <c r="D907" t="s">
        <v>1473</v>
      </c>
      <c r="E907">
        <v>0</v>
      </c>
    </row>
    <row r="908" spans="1:5" x14ac:dyDescent="0.15">
      <c r="A908" t="s">
        <v>2704</v>
      </c>
      <c r="B908">
        <v>2</v>
      </c>
      <c r="C908" t="s">
        <v>1526</v>
      </c>
      <c r="D908" t="s">
        <v>1473</v>
      </c>
      <c r="E908">
        <v>0</v>
      </c>
    </row>
    <row r="909" spans="1:5" x14ac:dyDescent="0.15">
      <c r="A909" t="s">
        <v>2705</v>
      </c>
      <c r="B909">
        <v>2</v>
      </c>
      <c r="C909" t="s">
        <v>1526</v>
      </c>
      <c r="D909" t="s">
        <v>1473</v>
      </c>
      <c r="E909">
        <v>0</v>
      </c>
    </row>
    <row r="910" spans="1:5" x14ac:dyDescent="0.15">
      <c r="A910" t="s">
        <v>2706</v>
      </c>
      <c r="B910">
        <v>1</v>
      </c>
      <c r="C910" t="s">
        <v>1528</v>
      </c>
      <c r="D910" t="s">
        <v>1473</v>
      </c>
      <c r="E910">
        <v>0</v>
      </c>
    </row>
    <row r="911" spans="1:5" x14ac:dyDescent="0.15">
      <c r="A911" t="s">
        <v>2707</v>
      </c>
      <c r="B911">
        <v>1</v>
      </c>
      <c r="C911" t="s">
        <v>1528</v>
      </c>
      <c r="D911" t="s">
        <v>1473</v>
      </c>
      <c r="E911">
        <v>0</v>
      </c>
    </row>
    <row r="912" spans="1:5" x14ac:dyDescent="0.15">
      <c r="A912" t="s">
        <v>2708</v>
      </c>
      <c r="B912">
        <v>1</v>
      </c>
      <c r="C912" t="s">
        <v>1528</v>
      </c>
      <c r="D912" t="s">
        <v>1473</v>
      </c>
      <c r="E912">
        <v>0</v>
      </c>
    </row>
    <row r="913" spans="1:5" x14ac:dyDescent="0.15">
      <c r="A913" t="s">
        <v>2709</v>
      </c>
      <c r="B913">
        <v>1</v>
      </c>
      <c r="C913" t="s">
        <v>1528</v>
      </c>
      <c r="D913" t="s">
        <v>1473</v>
      </c>
      <c r="E913">
        <v>0</v>
      </c>
    </row>
    <row r="914" spans="1:5" x14ac:dyDescent="0.15">
      <c r="A914" t="s">
        <v>2710</v>
      </c>
      <c r="B914">
        <v>1</v>
      </c>
      <c r="C914" t="s">
        <v>1528</v>
      </c>
      <c r="D914" t="s">
        <v>1473</v>
      </c>
      <c r="E914">
        <v>0</v>
      </c>
    </row>
    <row r="915" spans="1:5" x14ac:dyDescent="0.15">
      <c r="A915" t="s">
        <v>2711</v>
      </c>
      <c r="B915">
        <v>2</v>
      </c>
      <c r="C915" t="s">
        <v>1536</v>
      </c>
      <c r="D915" t="s">
        <v>1473</v>
      </c>
      <c r="E915">
        <v>0</v>
      </c>
    </row>
    <row r="916" spans="1:5" x14ac:dyDescent="0.15">
      <c r="A916" t="s">
        <v>2712</v>
      </c>
      <c r="B916">
        <v>1</v>
      </c>
      <c r="C916" t="s">
        <v>1801</v>
      </c>
      <c r="D916" t="s">
        <v>1473</v>
      </c>
      <c r="E916">
        <v>0</v>
      </c>
    </row>
    <row r="917" spans="1:5" x14ac:dyDescent="0.15">
      <c r="A917" t="s">
        <v>2713</v>
      </c>
      <c r="B917">
        <v>2</v>
      </c>
      <c r="C917" t="s">
        <v>1534</v>
      </c>
      <c r="D917" t="s">
        <v>1473</v>
      </c>
      <c r="E917">
        <v>4</v>
      </c>
    </row>
    <row r="918" spans="1:5" x14ac:dyDescent="0.15">
      <c r="A918" t="s">
        <v>2714</v>
      </c>
      <c r="B918">
        <v>2</v>
      </c>
      <c r="C918" t="s">
        <v>1526</v>
      </c>
      <c r="D918" t="s">
        <v>1473</v>
      </c>
      <c r="E918">
        <v>4</v>
      </c>
    </row>
    <row r="919" spans="1:5" x14ac:dyDescent="0.15">
      <c r="A919" t="s">
        <v>2417</v>
      </c>
      <c r="B919">
        <v>1</v>
      </c>
      <c r="C919" t="s">
        <v>1532</v>
      </c>
      <c r="D919" t="s">
        <v>1473</v>
      </c>
      <c r="E919">
        <v>4</v>
      </c>
    </row>
    <row r="920" spans="1:5" x14ac:dyDescent="0.15">
      <c r="A920" t="s">
        <v>2423</v>
      </c>
      <c r="B920">
        <v>1</v>
      </c>
      <c r="C920" t="s">
        <v>1538</v>
      </c>
      <c r="D920" t="s">
        <v>1473</v>
      </c>
      <c r="E920">
        <v>2</v>
      </c>
    </row>
    <row r="921" spans="1:5" x14ac:dyDescent="0.15">
      <c r="A921" t="s">
        <v>2350</v>
      </c>
      <c r="B921">
        <v>2</v>
      </c>
      <c r="C921" t="s">
        <v>1526</v>
      </c>
      <c r="D921" t="s">
        <v>1473</v>
      </c>
      <c r="E921">
        <v>4</v>
      </c>
    </row>
    <row r="922" spans="1:5" x14ac:dyDescent="0.15">
      <c r="A922" t="s">
        <v>2715</v>
      </c>
      <c r="B922">
        <v>2</v>
      </c>
      <c r="C922" t="s">
        <v>1534</v>
      </c>
      <c r="D922" t="s">
        <v>1473</v>
      </c>
      <c r="E922">
        <v>0</v>
      </c>
    </row>
    <row r="923" spans="1:5" x14ac:dyDescent="0.15">
      <c r="A923" t="s">
        <v>2595</v>
      </c>
      <c r="B923">
        <v>2</v>
      </c>
      <c r="C923" t="s">
        <v>1526</v>
      </c>
      <c r="D923" t="s">
        <v>1473</v>
      </c>
      <c r="E923">
        <v>4</v>
      </c>
    </row>
    <row r="924" spans="1:5" x14ac:dyDescent="0.15">
      <c r="A924" t="s">
        <v>2716</v>
      </c>
      <c r="B924">
        <v>4</v>
      </c>
      <c r="C924" t="s">
        <v>1526</v>
      </c>
      <c r="D924" t="s">
        <v>1473</v>
      </c>
      <c r="E924">
        <v>0</v>
      </c>
    </row>
    <row r="925" spans="1:5" x14ac:dyDescent="0.15">
      <c r="A925" t="s">
        <v>2717</v>
      </c>
      <c r="B925">
        <v>1</v>
      </c>
      <c r="C925" t="s">
        <v>1572</v>
      </c>
      <c r="D925" t="s">
        <v>1473</v>
      </c>
      <c r="E925">
        <v>0</v>
      </c>
    </row>
    <row r="926" spans="1:5" x14ac:dyDescent="0.15">
      <c r="A926" t="s">
        <v>2718</v>
      </c>
      <c r="B926">
        <v>2</v>
      </c>
      <c r="C926" t="s">
        <v>1534</v>
      </c>
      <c r="D926" t="s">
        <v>1473</v>
      </c>
      <c r="E926">
        <v>0</v>
      </c>
    </row>
    <row r="927" spans="1:5" x14ac:dyDescent="0.15">
      <c r="A927" t="s">
        <v>2719</v>
      </c>
      <c r="B927">
        <v>1</v>
      </c>
      <c r="C927" t="s">
        <v>1530</v>
      </c>
      <c r="D927" t="s">
        <v>1473</v>
      </c>
      <c r="E927">
        <v>0</v>
      </c>
    </row>
    <row r="928" spans="1:5" x14ac:dyDescent="0.15">
      <c r="A928" t="s">
        <v>2720</v>
      </c>
      <c r="B928">
        <v>2</v>
      </c>
      <c r="C928" t="s">
        <v>1534</v>
      </c>
      <c r="D928" t="s">
        <v>1473</v>
      </c>
      <c r="E928">
        <v>2</v>
      </c>
    </row>
    <row r="929" spans="1:5" x14ac:dyDescent="0.15">
      <c r="A929" t="s">
        <v>2238</v>
      </c>
      <c r="B929">
        <v>2</v>
      </c>
      <c r="C929" t="s">
        <v>1530</v>
      </c>
      <c r="D929" t="s">
        <v>1473</v>
      </c>
      <c r="E929">
        <v>2</v>
      </c>
    </row>
    <row r="930" spans="1:5" x14ac:dyDescent="0.15">
      <c r="A930" t="s">
        <v>2278</v>
      </c>
      <c r="B930">
        <v>2</v>
      </c>
      <c r="C930" t="s">
        <v>1534</v>
      </c>
      <c r="D930" t="s">
        <v>1473</v>
      </c>
      <c r="E930">
        <v>2</v>
      </c>
    </row>
    <row r="931" spans="1:5" x14ac:dyDescent="0.15">
      <c r="A931" t="s">
        <v>2721</v>
      </c>
      <c r="B931">
        <v>2</v>
      </c>
      <c r="C931" t="s">
        <v>1538</v>
      </c>
      <c r="D931" t="s">
        <v>1473</v>
      </c>
      <c r="E931">
        <v>0</v>
      </c>
    </row>
    <row r="932" spans="1:5" x14ac:dyDescent="0.15">
      <c r="A932" t="s">
        <v>2722</v>
      </c>
      <c r="B932">
        <v>2</v>
      </c>
      <c r="C932" t="s">
        <v>1530</v>
      </c>
      <c r="D932" t="s">
        <v>1473</v>
      </c>
      <c r="E932">
        <v>0</v>
      </c>
    </row>
    <row r="933" spans="1:5" x14ac:dyDescent="0.15">
      <c r="A933" t="s">
        <v>2723</v>
      </c>
      <c r="B933">
        <v>2</v>
      </c>
      <c r="C933" t="s">
        <v>1526</v>
      </c>
      <c r="D933" t="s">
        <v>1473</v>
      </c>
      <c r="E933">
        <v>0</v>
      </c>
    </row>
    <row r="934" spans="1:5" x14ac:dyDescent="0.15">
      <c r="A934" t="s">
        <v>2723</v>
      </c>
      <c r="B934">
        <v>2</v>
      </c>
      <c r="C934" t="s">
        <v>1526</v>
      </c>
      <c r="D934" t="s">
        <v>1473</v>
      </c>
      <c r="E934">
        <v>4</v>
      </c>
    </row>
    <row r="935" spans="1:5" x14ac:dyDescent="0.15">
      <c r="A935" t="s">
        <v>2724</v>
      </c>
      <c r="B935">
        <v>2</v>
      </c>
      <c r="C935" t="s">
        <v>1534</v>
      </c>
      <c r="D935" t="s">
        <v>1473</v>
      </c>
      <c r="E935">
        <v>0</v>
      </c>
    </row>
    <row r="936" spans="1:5" x14ac:dyDescent="0.15">
      <c r="A936" t="s">
        <v>2187</v>
      </c>
      <c r="B936">
        <v>4</v>
      </c>
      <c r="C936" t="s">
        <v>1528</v>
      </c>
      <c r="D936" t="s">
        <v>1473</v>
      </c>
      <c r="E936">
        <v>2</v>
      </c>
    </row>
    <row r="937" spans="1:5" x14ac:dyDescent="0.15">
      <c r="A937" t="s">
        <v>2725</v>
      </c>
      <c r="B937">
        <v>2</v>
      </c>
      <c r="C937" t="s">
        <v>1530</v>
      </c>
      <c r="D937" t="s">
        <v>1473</v>
      </c>
      <c r="E937">
        <v>0</v>
      </c>
    </row>
    <row r="938" spans="1:5" x14ac:dyDescent="0.15">
      <c r="A938" t="s">
        <v>2726</v>
      </c>
      <c r="B938">
        <v>2</v>
      </c>
      <c r="C938" t="s">
        <v>1528</v>
      </c>
      <c r="D938" t="s">
        <v>1473</v>
      </c>
      <c r="E938">
        <v>2</v>
      </c>
    </row>
    <row r="939" spans="1:5" x14ac:dyDescent="0.15">
      <c r="A939" t="s">
        <v>2727</v>
      </c>
      <c r="B939">
        <v>2</v>
      </c>
      <c r="C939" t="s">
        <v>1534</v>
      </c>
      <c r="D939" t="s">
        <v>1473</v>
      </c>
      <c r="E939">
        <v>0</v>
      </c>
    </row>
    <row r="940" spans="1:5" x14ac:dyDescent="0.15">
      <c r="A940" t="s">
        <v>2728</v>
      </c>
      <c r="B940">
        <v>2</v>
      </c>
      <c r="C940" t="s">
        <v>1534</v>
      </c>
      <c r="D940" t="s">
        <v>1473</v>
      </c>
      <c r="E940">
        <v>0</v>
      </c>
    </row>
    <row r="941" spans="1:5" x14ac:dyDescent="0.15">
      <c r="A941" t="s">
        <v>2729</v>
      </c>
      <c r="B941">
        <v>1</v>
      </c>
      <c r="C941" t="s">
        <v>1526</v>
      </c>
      <c r="D941" t="s">
        <v>1473</v>
      </c>
      <c r="E941">
        <v>0</v>
      </c>
    </row>
    <row r="942" spans="1:5" x14ac:dyDescent="0.15">
      <c r="A942" t="s">
        <v>2321</v>
      </c>
      <c r="B942">
        <v>2</v>
      </c>
      <c r="C942" t="s">
        <v>1526</v>
      </c>
      <c r="D942" t="s">
        <v>1473</v>
      </c>
      <c r="E942">
        <v>2</v>
      </c>
    </row>
    <row r="943" spans="1:5" x14ac:dyDescent="0.15">
      <c r="A943" t="s">
        <v>2730</v>
      </c>
      <c r="B943">
        <v>2</v>
      </c>
      <c r="C943" t="s">
        <v>1526</v>
      </c>
      <c r="D943" t="s">
        <v>1473</v>
      </c>
      <c r="E943">
        <v>0</v>
      </c>
    </row>
    <row r="944" spans="1:5" x14ac:dyDescent="0.15">
      <c r="A944" t="s">
        <v>2340</v>
      </c>
      <c r="B944">
        <v>2</v>
      </c>
      <c r="C944" t="s">
        <v>1534</v>
      </c>
      <c r="D944" t="s">
        <v>1473</v>
      </c>
      <c r="E944">
        <v>2</v>
      </c>
    </row>
    <row r="945" spans="1:5" x14ac:dyDescent="0.15">
      <c r="A945" t="s">
        <v>2731</v>
      </c>
      <c r="B945">
        <v>1</v>
      </c>
      <c r="C945" t="s">
        <v>1530</v>
      </c>
      <c r="D945" t="s">
        <v>1473</v>
      </c>
      <c r="E945">
        <v>0</v>
      </c>
    </row>
    <row r="946" spans="1:5" x14ac:dyDescent="0.15">
      <c r="A946" t="s">
        <v>2732</v>
      </c>
      <c r="B946">
        <v>2</v>
      </c>
      <c r="C946" t="s">
        <v>1530</v>
      </c>
      <c r="D946" t="s">
        <v>1473</v>
      </c>
      <c r="E946">
        <v>2</v>
      </c>
    </row>
    <row r="947" spans="1:5" x14ac:dyDescent="0.15">
      <c r="A947" t="s">
        <v>2655</v>
      </c>
      <c r="B947">
        <v>1</v>
      </c>
      <c r="C947" t="s">
        <v>1532</v>
      </c>
      <c r="D947" t="s">
        <v>1473</v>
      </c>
      <c r="E947">
        <v>0</v>
      </c>
    </row>
    <row r="948" spans="1:5" x14ac:dyDescent="0.15">
      <c r="A948" t="s">
        <v>2182</v>
      </c>
      <c r="B948">
        <v>1</v>
      </c>
      <c r="C948" t="s">
        <v>1526</v>
      </c>
      <c r="D948" t="s">
        <v>1473</v>
      </c>
      <c r="E948">
        <v>4</v>
      </c>
    </row>
    <row r="949" spans="1:5" x14ac:dyDescent="0.15">
      <c r="A949" t="s">
        <v>2185</v>
      </c>
      <c r="B949">
        <v>2</v>
      </c>
      <c r="C949" t="s">
        <v>1534</v>
      </c>
      <c r="D949" t="s">
        <v>1473</v>
      </c>
      <c r="E949">
        <v>4</v>
      </c>
    </row>
    <row r="950" spans="1:5" x14ac:dyDescent="0.15">
      <c r="A950" t="s">
        <v>2733</v>
      </c>
      <c r="B950">
        <v>2</v>
      </c>
      <c r="C950" t="s">
        <v>1536</v>
      </c>
      <c r="D950" t="s">
        <v>1473</v>
      </c>
      <c r="E950">
        <v>0</v>
      </c>
    </row>
    <row r="951" spans="1:5" x14ac:dyDescent="0.15">
      <c r="A951" t="s">
        <v>2734</v>
      </c>
      <c r="B951">
        <v>2</v>
      </c>
      <c r="C951" t="s">
        <v>1526</v>
      </c>
      <c r="D951" t="s">
        <v>1473</v>
      </c>
      <c r="E951">
        <v>0</v>
      </c>
    </row>
    <row r="952" spans="1:5" x14ac:dyDescent="0.15">
      <c r="A952" t="s">
        <v>2268</v>
      </c>
      <c r="B952">
        <v>2</v>
      </c>
      <c r="C952" t="s">
        <v>1526</v>
      </c>
      <c r="D952" t="s">
        <v>1473</v>
      </c>
      <c r="E952">
        <v>4</v>
      </c>
    </row>
    <row r="953" spans="1:5" x14ac:dyDescent="0.15">
      <c r="A953" t="s">
        <v>2735</v>
      </c>
      <c r="B953">
        <v>2</v>
      </c>
      <c r="C953" t="s">
        <v>1538</v>
      </c>
      <c r="D953" t="s">
        <v>1473</v>
      </c>
      <c r="E953">
        <v>4</v>
      </c>
    </row>
    <row r="954" spans="1:5" x14ac:dyDescent="0.15">
      <c r="A954" t="s">
        <v>2736</v>
      </c>
      <c r="B954">
        <v>1</v>
      </c>
      <c r="C954" t="s">
        <v>1530</v>
      </c>
      <c r="D954" t="s">
        <v>1473</v>
      </c>
      <c r="E954">
        <v>0</v>
      </c>
    </row>
    <row r="955" spans="1:5" x14ac:dyDescent="0.15">
      <c r="A955" t="s">
        <v>2319</v>
      </c>
      <c r="B955">
        <v>2</v>
      </c>
      <c r="C955" t="s">
        <v>1538</v>
      </c>
      <c r="D955" t="s">
        <v>1473</v>
      </c>
      <c r="E955">
        <v>2</v>
      </c>
    </row>
    <row r="956" spans="1:5" x14ac:dyDescent="0.15">
      <c r="A956" t="s">
        <v>2737</v>
      </c>
      <c r="B956">
        <v>2</v>
      </c>
      <c r="C956" t="s">
        <v>1534</v>
      </c>
      <c r="D956" t="s">
        <v>1473</v>
      </c>
      <c r="E956">
        <v>0</v>
      </c>
    </row>
    <row r="957" spans="1:5" x14ac:dyDescent="0.15">
      <c r="A957" t="s">
        <v>2245</v>
      </c>
      <c r="B957">
        <v>4</v>
      </c>
      <c r="C957" t="s">
        <v>1530</v>
      </c>
      <c r="D957" t="s">
        <v>1473</v>
      </c>
      <c r="E957">
        <v>0</v>
      </c>
    </row>
    <row r="958" spans="1:5" x14ac:dyDescent="0.15">
      <c r="A958" t="s">
        <v>2258</v>
      </c>
      <c r="B958">
        <v>2</v>
      </c>
      <c r="C958" t="s">
        <v>1536</v>
      </c>
      <c r="D958" t="s">
        <v>1473</v>
      </c>
      <c r="E958">
        <v>4</v>
      </c>
    </row>
    <row r="959" spans="1:5" x14ac:dyDescent="0.15">
      <c r="A959" t="s">
        <v>2649</v>
      </c>
      <c r="B959">
        <v>2</v>
      </c>
      <c r="C959" t="s">
        <v>1526</v>
      </c>
      <c r="D959" t="s">
        <v>1473</v>
      </c>
      <c r="E959">
        <v>2</v>
      </c>
    </row>
    <row r="960" spans="1:5" x14ac:dyDescent="0.15">
      <c r="A960" t="s">
        <v>2738</v>
      </c>
      <c r="B960">
        <v>1</v>
      </c>
      <c r="C960" t="s">
        <v>1526</v>
      </c>
      <c r="D960" t="s">
        <v>1473</v>
      </c>
      <c r="E960">
        <v>0</v>
      </c>
    </row>
    <row r="961" spans="1:5" x14ac:dyDescent="0.15">
      <c r="A961" t="s">
        <v>2363</v>
      </c>
      <c r="B961">
        <v>1</v>
      </c>
      <c r="C961" t="s">
        <v>1526</v>
      </c>
      <c r="D961" t="s">
        <v>1473</v>
      </c>
      <c r="E961">
        <v>4</v>
      </c>
    </row>
    <row r="962" spans="1:5" x14ac:dyDescent="0.15">
      <c r="A962" t="s">
        <v>2739</v>
      </c>
      <c r="B962">
        <v>2</v>
      </c>
      <c r="C962" t="s">
        <v>1534</v>
      </c>
      <c r="D962" t="s">
        <v>1473</v>
      </c>
      <c r="E962">
        <v>2</v>
      </c>
    </row>
    <row r="963" spans="1:5" x14ac:dyDescent="0.15">
      <c r="A963" t="s">
        <v>2740</v>
      </c>
      <c r="B963">
        <v>2</v>
      </c>
      <c r="C963" t="s">
        <v>1530</v>
      </c>
      <c r="D963" t="s">
        <v>1473</v>
      </c>
      <c r="E963">
        <v>0</v>
      </c>
    </row>
    <row r="964" spans="1:5" x14ac:dyDescent="0.15">
      <c r="A964" t="s">
        <v>2741</v>
      </c>
      <c r="B964">
        <v>2</v>
      </c>
      <c r="C964" t="s">
        <v>1538</v>
      </c>
      <c r="D964" t="s">
        <v>1473</v>
      </c>
      <c r="E964">
        <v>0</v>
      </c>
    </row>
    <row r="965" spans="1:5" x14ac:dyDescent="0.15">
      <c r="A965" t="s">
        <v>2742</v>
      </c>
      <c r="B965">
        <v>2</v>
      </c>
      <c r="C965" t="s">
        <v>1534</v>
      </c>
      <c r="D965" t="s">
        <v>1473</v>
      </c>
      <c r="E965">
        <v>0</v>
      </c>
    </row>
    <row r="966" spans="1:5" x14ac:dyDescent="0.15">
      <c r="A966" t="s">
        <v>2728</v>
      </c>
      <c r="B966">
        <v>2</v>
      </c>
      <c r="C966" t="s">
        <v>1534</v>
      </c>
      <c r="D966" t="s">
        <v>1473</v>
      </c>
      <c r="E966">
        <v>2</v>
      </c>
    </row>
    <row r="967" spans="1:5" x14ac:dyDescent="0.15">
      <c r="A967" t="s">
        <v>2743</v>
      </c>
      <c r="B967">
        <v>2</v>
      </c>
      <c r="C967" t="s">
        <v>1534</v>
      </c>
      <c r="D967" t="s">
        <v>1473</v>
      </c>
      <c r="E967">
        <v>0</v>
      </c>
    </row>
    <row r="968" spans="1:5" x14ac:dyDescent="0.15">
      <c r="A968" t="s">
        <v>2384</v>
      </c>
      <c r="B968">
        <v>2</v>
      </c>
      <c r="C968" t="s">
        <v>1526</v>
      </c>
      <c r="D968" t="s">
        <v>1473</v>
      </c>
      <c r="E968">
        <v>4</v>
      </c>
    </row>
    <row r="969" spans="1:5" x14ac:dyDescent="0.15">
      <c r="A969" t="s">
        <v>2744</v>
      </c>
      <c r="B969">
        <v>2</v>
      </c>
      <c r="C969" t="s">
        <v>1532</v>
      </c>
      <c r="D969" t="s">
        <v>1473</v>
      </c>
      <c r="E969">
        <v>2</v>
      </c>
    </row>
    <row r="970" spans="1:5" x14ac:dyDescent="0.15">
      <c r="A970" t="s">
        <v>2745</v>
      </c>
      <c r="B970">
        <v>1</v>
      </c>
      <c r="C970" t="s">
        <v>1532</v>
      </c>
      <c r="D970" t="s">
        <v>1473</v>
      </c>
      <c r="E970">
        <v>0</v>
      </c>
    </row>
    <row r="971" spans="1:5" x14ac:dyDescent="0.15">
      <c r="A971" t="s">
        <v>2746</v>
      </c>
      <c r="B971">
        <v>2</v>
      </c>
      <c r="C971" t="s">
        <v>1526</v>
      </c>
      <c r="D971" t="s">
        <v>1473</v>
      </c>
      <c r="E971">
        <v>0</v>
      </c>
    </row>
    <row r="972" spans="1:5" x14ac:dyDescent="0.15">
      <c r="A972" t="s">
        <v>2303</v>
      </c>
      <c r="B972">
        <v>2</v>
      </c>
      <c r="C972" t="s">
        <v>1526</v>
      </c>
      <c r="D972" t="s">
        <v>1473</v>
      </c>
      <c r="E972">
        <v>2</v>
      </c>
    </row>
    <row r="973" spans="1:5" x14ac:dyDescent="0.15">
      <c r="A973" t="s">
        <v>2290</v>
      </c>
      <c r="B973">
        <v>2</v>
      </c>
      <c r="C973" t="s">
        <v>1536</v>
      </c>
      <c r="D973" t="s">
        <v>1473</v>
      </c>
      <c r="E973">
        <v>2</v>
      </c>
    </row>
    <row r="974" spans="1:5" x14ac:dyDescent="0.15">
      <c r="A974" t="s">
        <v>2327</v>
      </c>
      <c r="B974">
        <v>3</v>
      </c>
      <c r="C974" t="s">
        <v>1536</v>
      </c>
      <c r="D974" t="s">
        <v>1473</v>
      </c>
      <c r="E974">
        <v>2</v>
      </c>
    </row>
    <row r="975" spans="1:5" x14ac:dyDescent="0.15">
      <c r="A975" t="s">
        <v>2747</v>
      </c>
      <c r="B975">
        <v>2</v>
      </c>
      <c r="C975" t="s">
        <v>1534</v>
      </c>
      <c r="D975" t="s">
        <v>1473</v>
      </c>
      <c r="E975">
        <v>0</v>
      </c>
    </row>
    <row r="976" spans="1:5" x14ac:dyDescent="0.15">
      <c r="A976" t="s">
        <v>2647</v>
      </c>
      <c r="B976">
        <v>1</v>
      </c>
      <c r="C976" t="s">
        <v>1530</v>
      </c>
      <c r="D976" t="s">
        <v>1473</v>
      </c>
      <c r="E976">
        <v>2</v>
      </c>
    </row>
    <row r="977" spans="1:5" x14ac:dyDescent="0.15">
      <c r="A977" t="s">
        <v>2748</v>
      </c>
      <c r="B977">
        <v>1</v>
      </c>
      <c r="C977" t="s">
        <v>1530</v>
      </c>
      <c r="D977" t="s">
        <v>1473</v>
      </c>
      <c r="E977">
        <v>0</v>
      </c>
    </row>
    <row r="978" spans="1:5" x14ac:dyDescent="0.15">
      <c r="A978" t="s">
        <v>2457</v>
      </c>
      <c r="B978">
        <v>4</v>
      </c>
      <c r="C978" t="s">
        <v>1530</v>
      </c>
      <c r="D978" t="s">
        <v>1473</v>
      </c>
      <c r="E978">
        <v>2</v>
      </c>
    </row>
    <row r="979" spans="1:5" x14ac:dyDescent="0.15">
      <c r="A979" t="s">
        <v>2749</v>
      </c>
      <c r="B979">
        <v>1</v>
      </c>
      <c r="C979" t="s">
        <v>1530</v>
      </c>
      <c r="D979" t="s">
        <v>1473</v>
      </c>
      <c r="E979">
        <v>0</v>
      </c>
    </row>
    <row r="980" spans="1:5" x14ac:dyDescent="0.15">
      <c r="A980" t="s">
        <v>2302</v>
      </c>
      <c r="B980">
        <v>1</v>
      </c>
      <c r="C980" t="s">
        <v>1532</v>
      </c>
      <c r="D980" t="s">
        <v>1473</v>
      </c>
      <c r="E980">
        <v>2</v>
      </c>
    </row>
    <row r="981" spans="1:5" x14ac:dyDescent="0.15">
      <c r="A981" t="s">
        <v>2750</v>
      </c>
      <c r="B981">
        <v>2</v>
      </c>
      <c r="C981" t="s">
        <v>1534</v>
      </c>
      <c r="D981" t="s">
        <v>1473</v>
      </c>
      <c r="E981">
        <v>0</v>
      </c>
    </row>
    <row r="982" spans="1:5" x14ac:dyDescent="0.15">
      <c r="A982" t="s">
        <v>2751</v>
      </c>
      <c r="B982">
        <v>1</v>
      </c>
      <c r="C982" t="s">
        <v>1530</v>
      </c>
      <c r="D982" t="s">
        <v>1473</v>
      </c>
      <c r="E982">
        <v>0</v>
      </c>
    </row>
    <row r="983" spans="1:5" x14ac:dyDescent="0.15">
      <c r="A983" t="s">
        <v>2751</v>
      </c>
      <c r="B983">
        <v>1</v>
      </c>
      <c r="C983" t="s">
        <v>1530</v>
      </c>
      <c r="D983" t="s">
        <v>1473</v>
      </c>
      <c r="E983">
        <v>2</v>
      </c>
    </row>
    <row r="984" spans="1:5" x14ac:dyDescent="0.15">
      <c r="A984" t="s">
        <v>2752</v>
      </c>
      <c r="B984">
        <v>2</v>
      </c>
      <c r="C984" t="s">
        <v>1526</v>
      </c>
      <c r="D984" t="s">
        <v>1473</v>
      </c>
      <c r="E984">
        <v>0</v>
      </c>
    </row>
    <row r="985" spans="1:5" x14ac:dyDescent="0.15">
      <c r="A985" t="s">
        <v>2226</v>
      </c>
      <c r="B985">
        <v>1</v>
      </c>
      <c r="C985" t="s">
        <v>1530</v>
      </c>
      <c r="D985" t="s">
        <v>1473</v>
      </c>
      <c r="E985">
        <v>4</v>
      </c>
    </row>
    <row r="986" spans="1:5" x14ac:dyDescent="0.15">
      <c r="A986" t="s">
        <v>2753</v>
      </c>
      <c r="B986">
        <v>2</v>
      </c>
      <c r="C986" t="s">
        <v>1530</v>
      </c>
      <c r="D986" t="s">
        <v>1473</v>
      </c>
      <c r="E986">
        <v>2</v>
      </c>
    </row>
    <row r="987" spans="1:5" x14ac:dyDescent="0.15">
      <c r="A987" t="s">
        <v>2754</v>
      </c>
      <c r="B987">
        <v>2</v>
      </c>
      <c r="C987" t="s">
        <v>1534</v>
      </c>
      <c r="D987" t="s">
        <v>1473</v>
      </c>
      <c r="E987">
        <v>0</v>
      </c>
    </row>
    <row r="988" spans="1:5" x14ac:dyDescent="0.15">
      <c r="A988" t="s">
        <v>2755</v>
      </c>
      <c r="B988">
        <v>2</v>
      </c>
      <c r="C988" t="s">
        <v>1534</v>
      </c>
      <c r="D988" t="s">
        <v>1473</v>
      </c>
      <c r="E988">
        <v>0</v>
      </c>
    </row>
    <row r="989" spans="1:5" x14ac:dyDescent="0.15">
      <c r="A989" t="s">
        <v>2756</v>
      </c>
      <c r="B989">
        <v>2</v>
      </c>
      <c r="C989" t="s">
        <v>1534</v>
      </c>
      <c r="D989" t="s">
        <v>1473</v>
      </c>
      <c r="E989">
        <v>2</v>
      </c>
    </row>
    <row r="990" spans="1:5" x14ac:dyDescent="0.15">
      <c r="A990" t="s">
        <v>2756</v>
      </c>
      <c r="B990">
        <v>2</v>
      </c>
      <c r="C990" t="s">
        <v>1534</v>
      </c>
      <c r="D990" t="s">
        <v>1473</v>
      </c>
      <c r="E990">
        <v>0</v>
      </c>
    </row>
    <row r="991" spans="1:5" x14ac:dyDescent="0.15">
      <c r="A991" t="s">
        <v>2757</v>
      </c>
      <c r="B991">
        <v>2</v>
      </c>
      <c r="C991" t="s">
        <v>1534</v>
      </c>
      <c r="D991" t="s">
        <v>1473</v>
      </c>
      <c r="E991">
        <v>0</v>
      </c>
    </row>
    <row r="992" spans="1:5" x14ac:dyDescent="0.15">
      <c r="A992" t="s">
        <v>2304</v>
      </c>
      <c r="B992">
        <v>2</v>
      </c>
      <c r="C992" t="s">
        <v>1534</v>
      </c>
      <c r="D992" t="s">
        <v>1473</v>
      </c>
      <c r="E992">
        <v>0</v>
      </c>
    </row>
    <row r="993" spans="1:5" x14ac:dyDescent="0.15">
      <c r="A993" t="s">
        <v>2201</v>
      </c>
      <c r="B993">
        <v>2</v>
      </c>
      <c r="C993" t="s">
        <v>1526</v>
      </c>
      <c r="D993" t="s">
        <v>1473</v>
      </c>
      <c r="E993">
        <v>4</v>
      </c>
    </row>
    <row r="994" spans="1:5" x14ac:dyDescent="0.15">
      <c r="A994" t="s">
        <v>2263</v>
      </c>
      <c r="B994">
        <v>1</v>
      </c>
      <c r="C994" t="s">
        <v>1528</v>
      </c>
      <c r="D994" t="s">
        <v>1473</v>
      </c>
      <c r="E994">
        <v>4</v>
      </c>
    </row>
    <row r="995" spans="1:5" x14ac:dyDescent="0.15">
      <c r="A995" t="s">
        <v>2269</v>
      </c>
      <c r="B995">
        <v>2</v>
      </c>
      <c r="C995" t="s">
        <v>1526</v>
      </c>
      <c r="D995" t="s">
        <v>1473</v>
      </c>
      <c r="E995">
        <v>4</v>
      </c>
    </row>
    <row r="996" spans="1:5" x14ac:dyDescent="0.15">
      <c r="A996" t="s">
        <v>2374</v>
      </c>
      <c r="B996">
        <v>2</v>
      </c>
      <c r="C996" t="s">
        <v>1526</v>
      </c>
      <c r="D996" t="s">
        <v>1473</v>
      </c>
      <c r="E996">
        <v>4</v>
      </c>
    </row>
    <row r="997" spans="1:5" x14ac:dyDescent="0.15">
      <c r="A997" t="s">
        <v>2229</v>
      </c>
      <c r="B997">
        <v>4</v>
      </c>
      <c r="C997" t="s">
        <v>1526</v>
      </c>
      <c r="D997" t="s">
        <v>1473</v>
      </c>
      <c r="E997">
        <v>4</v>
      </c>
    </row>
    <row r="998" spans="1:5" x14ac:dyDescent="0.15">
      <c r="A998" t="s">
        <v>2305</v>
      </c>
      <c r="B998">
        <v>4</v>
      </c>
      <c r="C998" t="s">
        <v>1530</v>
      </c>
      <c r="D998" t="s">
        <v>1473</v>
      </c>
      <c r="E998">
        <v>4</v>
      </c>
    </row>
    <row r="999" spans="1:5" x14ac:dyDescent="0.15">
      <c r="A999" t="s">
        <v>2456</v>
      </c>
      <c r="B999">
        <v>1</v>
      </c>
      <c r="C999" t="s">
        <v>1528</v>
      </c>
      <c r="D999" t="s">
        <v>1473</v>
      </c>
      <c r="E999">
        <v>4</v>
      </c>
    </row>
    <row r="1000" spans="1:5" x14ac:dyDescent="0.15">
      <c r="A1000" t="s">
        <v>2371</v>
      </c>
      <c r="B1000">
        <v>4</v>
      </c>
      <c r="C1000" t="s">
        <v>1534</v>
      </c>
      <c r="D1000" t="s">
        <v>1473</v>
      </c>
      <c r="E1000">
        <v>4</v>
      </c>
    </row>
    <row r="1001" spans="1:5" x14ac:dyDescent="0.15">
      <c r="A1001" t="s">
        <v>2367</v>
      </c>
      <c r="B1001">
        <v>4</v>
      </c>
      <c r="C1001" t="s">
        <v>1526</v>
      </c>
      <c r="D1001" t="s">
        <v>1473</v>
      </c>
      <c r="E1001">
        <v>4</v>
      </c>
    </row>
    <row r="1002" spans="1:5" x14ac:dyDescent="0.15">
      <c r="A1002" t="s">
        <v>2758</v>
      </c>
      <c r="B1002">
        <v>2</v>
      </c>
      <c r="C1002" t="s">
        <v>1526</v>
      </c>
      <c r="D1002" t="s">
        <v>1473</v>
      </c>
      <c r="E1002">
        <v>0</v>
      </c>
    </row>
    <row r="1003" spans="1:5" x14ac:dyDescent="0.15">
      <c r="A1003" t="s">
        <v>2759</v>
      </c>
      <c r="B1003">
        <v>2</v>
      </c>
      <c r="C1003" t="s">
        <v>1526</v>
      </c>
      <c r="D1003" t="s">
        <v>1473</v>
      </c>
      <c r="E1003">
        <v>0</v>
      </c>
    </row>
    <row r="1004" spans="1:5" x14ac:dyDescent="0.15">
      <c r="A1004" t="s">
        <v>2348</v>
      </c>
      <c r="B1004">
        <v>2</v>
      </c>
      <c r="C1004" t="s">
        <v>1526</v>
      </c>
      <c r="D1004" t="s">
        <v>1473</v>
      </c>
      <c r="E1004">
        <v>2</v>
      </c>
    </row>
    <row r="1005" spans="1:5" x14ac:dyDescent="0.15">
      <c r="A1005" t="s">
        <v>2623</v>
      </c>
      <c r="B1005">
        <v>1</v>
      </c>
      <c r="C1005" t="s">
        <v>1530</v>
      </c>
      <c r="D1005" t="s">
        <v>1473</v>
      </c>
      <c r="E1005">
        <v>0</v>
      </c>
    </row>
    <row r="1006" spans="1:5" x14ac:dyDescent="0.15">
      <c r="A1006" t="s">
        <v>2456</v>
      </c>
      <c r="B1006">
        <v>1</v>
      </c>
      <c r="C1006" t="s">
        <v>1528</v>
      </c>
      <c r="D1006" t="s">
        <v>1473</v>
      </c>
      <c r="E1006">
        <v>2</v>
      </c>
    </row>
    <row r="1007" spans="1:5" x14ac:dyDescent="0.15">
      <c r="A1007" t="s">
        <v>2241</v>
      </c>
      <c r="B1007">
        <v>1</v>
      </c>
      <c r="C1007" t="s">
        <v>1528</v>
      </c>
      <c r="D1007" t="s">
        <v>1473</v>
      </c>
      <c r="E1007">
        <v>2</v>
      </c>
    </row>
    <row r="1008" spans="1:5" x14ac:dyDescent="0.15">
      <c r="A1008" t="s">
        <v>2183</v>
      </c>
      <c r="B1008">
        <v>1</v>
      </c>
      <c r="C1008" t="s">
        <v>1538</v>
      </c>
      <c r="D1008" t="s">
        <v>1473</v>
      </c>
      <c r="E1008">
        <v>0</v>
      </c>
    </row>
    <row r="1009" spans="1:5" x14ac:dyDescent="0.15">
      <c r="A1009" t="s">
        <v>2760</v>
      </c>
      <c r="B1009">
        <v>1</v>
      </c>
      <c r="C1009" t="s">
        <v>1534</v>
      </c>
      <c r="D1009" t="s">
        <v>1473</v>
      </c>
      <c r="E1009">
        <v>0</v>
      </c>
    </row>
    <row r="1010" spans="1:5" x14ac:dyDescent="0.15">
      <c r="A1010" t="s">
        <v>2761</v>
      </c>
      <c r="B1010">
        <v>2</v>
      </c>
      <c r="C1010" t="s">
        <v>1536</v>
      </c>
      <c r="D1010" t="s">
        <v>1473</v>
      </c>
      <c r="E1010">
        <v>2</v>
      </c>
    </row>
    <row r="1011" spans="1:5" x14ac:dyDescent="0.15">
      <c r="A1011" t="s">
        <v>2762</v>
      </c>
      <c r="B1011">
        <v>2</v>
      </c>
      <c r="C1011" t="s">
        <v>1534</v>
      </c>
      <c r="D1011" t="s">
        <v>1473</v>
      </c>
      <c r="E1011">
        <v>0</v>
      </c>
    </row>
    <row r="1012" spans="1:5" x14ac:dyDescent="0.15">
      <c r="A1012" t="s">
        <v>2763</v>
      </c>
      <c r="B1012">
        <v>2</v>
      </c>
      <c r="C1012" t="s">
        <v>1530</v>
      </c>
      <c r="D1012" t="s">
        <v>1473</v>
      </c>
      <c r="E1012">
        <v>2</v>
      </c>
    </row>
    <row r="1013" spans="1:5" x14ac:dyDescent="0.15">
      <c r="A1013" t="s">
        <v>2764</v>
      </c>
      <c r="B1013">
        <v>2</v>
      </c>
      <c r="C1013" t="s">
        <v>1534</v>
      </c>
      <c r="D1013" t="s">
        <v>1473</v>
      </c>
      <c r="E1013">
        <v>0</v>
      </c>
    </row>
    <row r="1014" spans="1:5" x14ac:dyDescent="0.15">
      <c r="A1014" t="s">
        <v>2183</v>
      </c>
      <c r="B1014">
        <v>1</v>
      </c>
      <c r="C1014" t="s">
        <v>1538</v>
      </c>
      <c r="D1014" t="s">
        <v>1473</v>
      </c>
      <c r="E1014">
        <v>4</v>
      </c>
    </row>
    <row r="1015" spans="1:5" x14ac:dyDescent="0.15">
      <c r="A1015" t="s">
        <v>2318</v>
      </c>
      <c r="B1015">
        <v>2</v>
      </c>
      <c r="C1015" t="s">
        <v>1538</v>
      </c>
      <c r="D1015" t="s">
        <v>1473</v>
      </c>
      <c r="E1015">
        <v>4</v>
      </c>
    </row>
    <row r="1016" spans="1:5" x14ac:dyDescent="0.15">
      <c r="A1016" t="s">
        <v>2765</v>
      </c>
      <c r="B1016">
        <v>2</v>
      </c>
      <c r="C1016" t="s">
        <v>1534</v>
      </c>
      <c r="D1016" t="s">
        <v>1473</v>
      </c>
      <c r="E1016">
        <v>0</v>
      </c>
    </row>
    <row r="1017" spans="1:5" x14ac:dyDescent="0.15">
      <c r="A1017" t="s">
        <v>2766</v>
      </c>
      <c r="B1017">
        <v>1</v>
      </c>
      <c r="C1017" t="s">
        <v>1534</v>
      </c>
      <c r="D1017" t="s">
        <v>1473</v>
      </c>
      <c r="E1017">
        <v>0</v>
      </c>
    </row>
    <row r="1018" spans="1:5" x14ac:dyDescent="0.15">
      <c r="A1018" t="s">
        <v>2283</v>
      </c>
      <c r="B1018">
        <v>4</v>
      </c>
      <c r="C1018" t="s">
        <v>1532</v>
      </c>
      <c r="D1018" t="s">
        <v>1473</v>
      </c>
      <c r="E1018">
        <v>2</v>
      </c>
    </row>
    <row r="1019" spans="1:5" x14ac:dyDescent="0.15">
      <c r="A1019" t="s">
        <v>2767</v>
      </c>
      <c r="B1019">
        <v>2</v>
      </c>
      <c r="C1019" t="s">
        <v>1534</v>
      </c>
      <c r="D1019" t="s">
        <v>1473</v>
      </c>
      <c r="E1019">
        <v>0</v>
      </c>
    </row>
    <row r="1020" spans="1:5" x14ac:dyDescent="0.15">
      <c r="A1020" t="s">
        <v>2336</v>
      </c>
      <c r="B1020">
        <v>4</v>
      </c>
      <c r="C1020" t="s">
        <v>1532</v>
      </c>
      <c r="D1020" t="s">
        <v>1473</v>
      </c>
      <c r="E1020">
        <v>4</v>
      </c>
    </row>
    <row r="1021" spans="1:5" x14ac:dyDescent="0.15">
      <c r="A1021" t="s">
        <v>2282</v>
      </c>
      <c r="B1021">
        <v>4</v>
      </c>
      <c r="C1021" t="s">
        <v>1532</v>
      </c>
      <c r="D1021" t="s">
        <v>1473</v>
      </c>
      <c r="E1021">
        <v>4</v>
      </c>
    </row>
    <row r="1022" spans="1:5" x14ac:dyDescent="0.15">
      <c r="A1022" t="s">
        <v>2768</v>
      </c>
      <c r="B1022">
        <v>2</v>
      </c>
      <c r="C1022" t="s">
        <v>1534</v>
      </c>
      <c r="D1022" t="s">
        <v>1473</v>
      </c>
      <c r="E1022">
        <v>0</v>
      </c>
    </row>
    <row r="1023" spans="1:5" x14ac:dyDescent="0.15">
      <c r="A1023" t="s">
        <v>2769</v>
      </c>
      <c r="B1023">
        <v>2</v>
      </c>
      <c r="C1023" t="s">
        <v>1526</v>
      </c>
      <c r="D1023" t="s">
        <v>1473</v>
      </c>
      <c r="E1023">
        <v>2</v>
      </c>
    </row>
    <row r="1024" spans="1:5" x14ac:dyDescent="0.15">
      <c r="A1024" t="s">
        <v>2770</v>
      </c>
      <c r="B1024">
        <v>2</v>
      </c>
      <c r="C1024" t="s">
        <v>1530</v>
      </c>
      <c r="D1024" t="s">
        <v>1473</v>
      </c>
      <c r="E1024">
        <v>4</v>
      </c>
    </row>
    <row r="1025" spans="1:5" x14ac:dyDescent="0.15">
      <c r="A1025" t="s">
        <v>2338</v>
      </c>
      <c r="B1025">
        <v>1</v>
      </c>
      <c r="C1025" t="s">
        <v>1532</v>
      </c>
      <c r="D1025" t="s">
        <v>1473</v>
      </c>
      <c r="E1025">
        <v>2</v>
      </c>
    </row>
    <row r="1026" spans="1:5" x14ac:dyDescent="0.15">
      <c r="A1026" t="s">
        <v>2771</v>
      </c>
      <c r="B1026">
        <v>1</v>
      </c>
      <c r="C1026" t="s">
        <v>1532</v>
      </c>
      <c r="D1026" t="s">
        <v>1473</v>
      </c>
      <c r="E1026">
        <v>0</v>
      </c>
    </row>
    <row r="1027" spans="1:5" x14ac:dyDescent="0.15">
      <c r="A1027" t="s">
        <v>2354</v>
      </c>
      <c r="B1027">
        <v>2</v>
      </c>
      <c r="C1027" t="s">
        <v>1534</v>
      </c>
      <c r="D1027" t="s">
        <v>1473</v>
      </c>
      <c r="E1027">
        <v>2</v>
      </c>
    </row>
    <row r="1028" spans="1:5" x14ac:dyDescent="0.15">
      <c r="A1028" t="s">
        <v>2772</v>
      </c>
      <c r="B1028">
        <v>2</v>
      </c>
      <c r="C1028" t="s">
        <v>1532</v>
      </c>
      <c r="D1028" t="s">
        <v>1473</v>
      </c>
      <c r="E1028">
        <v>4</v>
      </c>
    </row>
    <row r="1029" spans="1:5" x14ac:dyDescent="0.15">
      <c r="A1029" t="s">
        <v>2077</v>
      </c>
      <c r="B1029">
        <v>1</v>
      </c>
      <c r="C1029" t="s">
        <v>1538</v>
      </c>
      <c r="D1029" t="s">
        <v>1473</v>
      </c>
      <c r="E1029">
        <v>1</v>
      </c>
    </row>
    <row r="1030" spans="1:5" x14ac:dyDescent="0.15">
      <c r="A1030" t="s">
        <v>2773</v>
      </c>
      <c r="B1030">
        <v>2</v>
      </c>
      <c r="C1030" t="s">
        <v>1538</v>
      </c>
      <c r="D1030" t="s">
        <v>1473</v>
      </c>
      <c r="E1030">
        <v>0</v>
      </c>
    </row>
    <row r="1031" spans="1:5" x14ac:dyDescent="0.15">
      <c r="A1031" t="s">
        <v>2774</v>
      </c>
      <c r="B1031">
        <v>2</v>
      </c>
      <c r="C1031" t="s">
        <v>1530</v>
      </c>
      <c r="D1031" t="s">
        <v>1473</v>
      </c>
      <c r="E1031">
        <v>0</v>
      </c>
    </row>
    <row r="1032" spans="1:5" x14ac:dyDescent="0.15">
      <c r="A1032" t="s">
        <v>2775</v>
      </c>
      <c r="B1032">
        <v>2</v>
      </c>
      <c r="C1032" t="s">
        <v>1538</v>
      </c>
      <c r="D1032" t="s">
        <v>1473</v>
      </c>
      <c r="E1032">
        <v>0</v>
      </c>
    </row>
    <row r="1033" spans="1:5" x14ac:dyDescent="0.15">
      <c r="A1033" t="s">
        <v>2053</v>
      </c>
      <c r="B1033">
        <v>1</v>
      </c>
      <c r="C1033" t="s">
        <v>1538</v>
      </c>
      <c r="D1033" t="s">
        <v>1473</v>
      </c>
      <c r="E1033">
        <v>1</v>
      </c>
    </row>
    <row r="1034" spans="1:5" x14ac:dyDescent="0.15">
      <c r="A1034" t="s">
        <v>2776</v>
      </c>
      <c r="B1034">
        <v>2</v>
      </c>
      <c r="C1034" t="s">
        <v>1538</v>
      </c>
      <c r="D1034" t="s">
        <v>1473</v>
      </c>
      <c r="E1034">
        <v>0</v>
      </c>
    </row>
    <row r="1035" spans="1:5" x14ac:dyDescent="0.15">
      <c r="A1035" t="s">
        <v>2087</v>
      </c>
      <c r="B1035">
        <v>1</v>
      </c>
      <c r="C1035" t="s">
        <v>1538</v>
      </c>
      <c r="D1035" t="s">
        <v>1473</v>
      </c>
      <c r="E1035">
        <v>2</v>
      </c>
    </row>
    <row r="1036" spans="1:5" x14ac:dyDescent="0.15">
      <c r="A1036" t="s">
        <v>2085</v>
      </c>
      <c r="B1036">
        <v>1</v>
      </c>
      <c r="C1036" t="s">
        <v>1538</v>
      </c>
      <c r="D1036" t="s">
        <v>1473</v>
      </c>
      <c r="E1036">
        <v>2</v>
      </c>
    </row>
    <row r="1037" spans="1:5" x14ac:dyDescent="0.15">
      <c r="A1037" t="s">
        <v>2777</v>
      </c>
      <c r="B1037">
        <v>2</v>
      </c>
      <c r="C1037" t="s">
        <v>1801</v>
      </c>
      <c r="D1037" t="s">
        <v>1473</v>
      </c>
      <c r="E1037">
        <v>0</v>
      </c>
    </row>
    <row r="1038" spans="1:5" x14ac:dyDescent="0.15">
      <c r="A1038" t="s">
        <v>2778</v>
      </c>
      <c r="B1038">
        <v>2</v>
      </c>
      <c r="C1038" t="s">
        <v>1538</v>
      </c>
      <c r="D1038" t="s">
        <v>1473</v>
      </c>
      <c r="E1038">
        <v>0</v>
      </c>
    </row>
    <row r="1039" spans="1:5" x14ac:dyDescent="0.15">
      <c r="A1039" t="s">
        <v>2079</v>
      </c>
      <c r="B1039">
        <v>1</v>
      </c>
      <c r="C1039" t="s">
        <v>1538</v>
      </c>
      <c r="D1039" t="s">
        <v>1473</v>
      </c>
      <c r="E1039">
        <v>4</v>
      </c>
    </row>
    <row r="1040" spans="1:5" x14ac:dyDescent="0.15">
      <c r="A1040" t="s">
        <v>2068</v>
      </c>
      <c r="B1040">
        <v>1</v>
      </c>
      <c r="C1040" t="s">
        <v>1538</v>
      </c>
      <c r="D1040" t="s">
        <v>1473</v>
      </c>
      <c r="E1040">
        <v>2</v>
      </c>
    </row>
    <row r="1041" spans="1:5" x14ac:dyDescent="0.15">
      <c r="A1041" t="s">
        <v>2053</v>
      </c>
      <c r="B1041">
        <v>1</v>
      </c>
      <c r="C1041" t="s">
        <v>1538</v>
      </c>
      <c r="D1041" t="s">
        <v>1473</v>
      </c>
      <c r="E1041">
        <v>4</v>
      </c>
    </row>
    <row r="1042" spans="1:5" x14ac:dyDescent="0.15">
      <c r="A1042" t="s">
        <v>2052</v>
      </c>
      <c r="B1042">
        <v>1</v>
      </c>
      <c r="C1042" t="s">
        <v>1538</v>
      </c>
      <c r="D1042" t="s">
        <v>1473</v>
      </c>
      <c r="E1042">
        <v>4</v>
      </c>
    </row>
    <row r="1043" spans="1:5" x14ac:dyDescent="0.15">
      <c r="A1043" t="s">
        <v>2094</v>
      </c>
      <c r="B1043">
        <v>1</v>
      </c>
      <c r="C1043" t="s">
        <v>1538</v>
      </c>
      <c r="D1043" t="s">
        <v>1473</v>
      </c>
      <c r="E1043">
        <v>4</v>
      </c>
    </row>
    <row r="1044" spans="1:5" x14ac:dyDescent="0.15">
      <c r="A1044" t="s">
        <v>2779</v>
      </c>
      <c r="B1044">
        <v>2</v>
      </c>
      <c r="C1044" t="s">
        <v>1538</v>
      </c>
      <c r="D1044" t="s">
        <v>1473</v>
      </c>
      <c r="E1044">
        <v>0</v>
      </c>
    </row>
    <row r="1045" spans="1:5" x14ac:dyDescent="0.15">
      <c r="A1045" t="s">
        <v>2780</v>
      </c>
      <c r="B1045">
        <v>2</v>
      </c>
      <c r="C1045" t="s">
        <v>1803</v>
      </c>
      <c r="D1045" t="s">
        <v>1473</v>
      </c>
      <c r="E1045">
        <v>0</v>
      </c>
    </row>
    <row r="1046" spans="1:5" x14ac:dyDescent="0.15">
      <c r="A1046" t="s">
        <v>2069</v>
      </c>
      <c r="B1046">
        <v>1</v>
      </c>
      <c r="C1046" t="s">
        <v>1538</v>
      </c>
      <c r="D1046" t="s">
        <v>1473</v>
      </c>
      <c r="E1046">
        <v>4</v>
      </c>
    </row>
    <row r="1047" spans="1:5" x14ac:dyDescent="0.15">
      <c r="A1047" t="s">
        <v>2091</v>
      </c>
      <c r="B1047">
        <v>1</v>
      </c>
      <c r="C1047" t="s">
        <v>1538</v>
      </c>
      <c r="D1047" t="s">
        <v>1473</v>
      </c>
      <c r="E1047">
        <v>4</v>
      </c>
    </row>
    <row r="1048" spans="1:5" x14ac:dyDescent="0.15">
      <c r="A1048" t="s">
        <v>2781</v>
      </c>
      <c r="C1048" t="s">
        <v>1801</v>
      </c>
      <c r="D1048" t="s">
        <v>1473</v>
      </c>
      <c r="E1048">
        <v>0</v>
      </c>
    </row>
    <row r="1049" spans="1:5" x14ac:dyDescent="0.15">
      <c r="A1049" t="s">
        <v>2782</v>
      </c>
      <c r="B1049">
        <v>2</v>
      </c>
      <c r="C1049" t="s">
        <v>1538</v>
      </c>
      <c r="D1049" t="s">
        <v>1473</v>
      </c>
      <c r="E1049">
        <v>0</v>
      </c>
    </row>
    <row r="1050" spans="1:5" x14ac:dyDescent="0.15">
      <c r="A1050" t="s">
        <v>2092</v>
      </c>
      <c r="B1050">
        <v>1</v>
      </c>
      <c r="C1050" t="s">
        <v>1538</v>
      </c>
      <c r="D1050" t="s">
        <v>1473</v>
      </c>
      <c r="E1050">
        <v>2</v>
      </c>
    </row>
    <row r="1051" spans="1:5" x14ac:dyDescent="0.15">
      <c r="A1051" t="s">
        <v>2783</v>
      </c>
      <c r="B1051">
        <v>2</v>
      </c>
      <c r="C1051" t="s">
        <v>1538</v>
      </c>
      <c r="D1051" t="s">
        <v>1473</v>
      </c>
      <c r="E1051">
        <v>0</v>
      </c>
    </row>
    <row r="1052" spans="1:5" x14ac:dyDescent="0.15">
      <c r="A1052" t="s">
        <v>2080</v>
      </c>
      <c r="B1052">
        <v>2</v>
      </c>
      <c r="C1052" t="s">
        <v>1538</v>
      </c>
      <c r="D1052" t="s">
        <v>1473</v>
      </c>
      <c r="E1052">
        <v>2</v>
      </c>
    </row>
    <row r="1053" spans="1:5" x14ac:dyDescent="0.15">
      <c r="A1053" t="s">
        <v>2078</v>
      </c>
      <c r="B1053">
        <v>4</v>
      </c>
      <c r="C1053" t="s">
        <v>1538</v>
      </c>
      <c r="D1053" t="s">
        <v>1473</v>
      </c>
      <c r="E1053">
        <v>2</v>
      </c>
    </row>
    <row r="1054" spans="1:5" x14ac:dyDescent="0.15">
      <c r="A1054" t="s">
        <v>2062</v>
      </c>
      <c r="B1054">
        <v>1</v>
      </c>
      <c r="C1054" t="s">
        <v>1538</v>
      </c>
      <c r="D1054" t="s">
        <v>1473</v>
      </c>
      <c r="E1054">
        <v>4</v>
      </c>
    </row>
    <row r="1055" spans="1:5" x14ac:dyDescent="0.15">
      <c r="A1055" t="s">
        <v>2074</v>
      </c>
      <c r="B1055">
        <v>1</v>
      </c>
      <c r="C1055" t="s">
        <v>1538</v>
      </c>
      <c r="D1055" t="s">
        <v>1473</v>
      </c>
      <c r="E1055">
        <v>4</v>
      </c>
    </row>
    <row r="1056" spans="1:5" x14ac:dyDescent="0.15">
      <c r="A1056" t="s">
        <v>2097</v>
      </c>
      <c r="B1056">
        <v>1</v>
      </c>
      <c r="C1056" t="s">
        <v>1538</v>
      </c>
      <c r="D1056" t="s">
        <v>1473</v>
      </c>
      <c r="E1056">
        <v>4</v>
      </c>
    </row>
    <row r="1057" spans="1:5" x14ac:dyDescent="0.15">
      <c r="A1057" t="s">
        <v>2067</v>
      </c>
      <c r="B1057">
        <v>1</v>
      </c>
      <c r="C1057" t="s">
        <v>1538</v>
      </c>
      <c r="D1057" t="s">
        <v>1473</v>
      </c>
      <c r="E1057">
        <v>4</v>
      </c>
    </row>
    <row r="1058" spans="1:5" x14ac:dyDescent="0.15">
      <c r="A1058" t="s">
        <v>2066</v>
      </c>
      <c r="B1058">
        <v>1</v>
      </c>
      <c r="C1058" t="s">
        <v>1538</v>
      </c>
      <c r="D1058" t="s">
        <v>1473</v>
      </c>
      <c r="E1058">
        <v>4</v>
      </c>
    </row>
    <row r="1059" spans="1:5" x14ac:dyDescent="0.15">
      <c r="A1059" t="s">
        <v>2103</v>
      </c>
      <c r="B1059">
        <v>1</v>
      </c>
      <c r="C1059" t="s">
        <v>1538</v>
      </c>
      <c r="D1059" t="s">
        <v>1473</v>
      </c>
      <c r="E1059">
        <v>4</v>
      </c>
    </row>
    <row r="1060" spans="1:5" x14ac:dyDescent="0.15">
      <c r="A1060" t="s">
        <v>2784</v>
      </c>
      <c r="B1060">
        <v>2</v>
      </c>
      <c r="C1060" t="s">
        <v>1538</v>
      </c>
      <c r="D1060" t="s">
        <v>1473</v>
      </c>
      <c r="E1060">
        <v>0</v>
      </c>
    </row>
    <row r="1061" spans="1:5" x14ac:dyDescent="0.15">
      <c r="A1061" t="s">
        <v>2785</v>
      </c>
      <c r="B1061">
        <v>2</v>
      </c>
      <c r="C1061" t="s">
        <v>1538</v>
      </c>
      <c r="D1061" t="s">
        <v>1473</v>
      </c>
      <c r="E1061">
        <v>2</v>
      </c>
    </row>
    <row r="1062" spans="1:5" x14ac:dyDescent="0.15">
      <c r="A1062" t="s">
        <v>2786</v>
      </c>
      <c r="B1062">
        <v>2</v>
      </c>
      <c r="C1062" t="s">
        <v>1538</v>
      </c>
      <c r="D1062" t="s">
        <v>1473</v>
      </c>
      <c r="E1062">
        <v>2</v>
      </c>
    </row>
    <row r="1063" spans="1:5" x14ac:dyDescent="0.15">
      <c r="A1063" t="s">
        <v>2787</v>
      </c>
      <c r="B1063">
        <v>2</v>
      </c>
      <c r="C1063" t="s">
        <v>1538</v>
      </c>
      <c r="D1063" t="s">
        <v>1473</v>
      </c>
      <c r="E1063">
        <v>0</v>
      </c>
    </row>
    <row r="1064" spans="1:5" x14ac:dyDescent="0.15">
      <c r="A1064" t="s">
        <v>2096</v>
      </c>
      <c r="B1064">
        <v>1</v>
      </c>
      <c r="C1064" t="s">
        <v>1538</v>
      </c>
      <c r="D1064" t="s">
        <v>1473</v>
      </c>
      <c r="E1064">
        <v>2</v>
      </c>
    </row>
    <row r="1065" spans="1:5" x14ac:dyDescent="0.15">
      <c r="A1065" t="s">
        <v>100</v>
      </c>
      <c r="B1065">
        <v>0</v>
      </c>
      <c r="C1065" t="s">
        <v>1598</v>
      </c>
      <c r="E1065">
        <v>3</v>
      </c>
    </row>
    <row r="1066" spans="1:5" x14ac:dyDescent="0.15">
      <c r="A1066" t="s">
        <v>2514</v>
      </c>
      <c r="B1066">
        <v>1</v>
      </c>
      <c r="C1066" t="s">
        <v>1526</v>
      </c>
      <c r="D1066" t="s">
        <v>1473</v>
      </c>
      <c r="E1066">
        <v>2</v>
      </c>
    </row>
    <row r="1067" spans="1:5" x14ac:dyDescent="0.15">
      <c r="A1067" t="s">
        <v>2493</v>
      </c>
      <c r="B1067">
        <v>1</v>
      </c>
      <c r="C1067" t="s">
        <v>1526</v>
      </c>
      <c r="D1067" t="s">
        <v>1473</v>
      </c>
      <c r="E1067">
        <v>4</v>
      </c>
    </row>
    <row r="1068" spans="1:5" x14ac:dyDescent="0.15">
      <c r="A1068" t="s">
        <v>2494</v>
      </c>
      <c r="B1068">
        <v>1</v>
      </c>
      <c r="C1068" t="s">
        <v>1526</v>
      </c>
      <c r="D1068" t="s">
        <v>1473</v>
      </c>
      <c r="E1068">
        <v>2</v>
      </c>
    </row>
    <row r="1069" spans="1:5" x14ac:dyDescent="0.15">
      <c r="A1069" t="s">
        <v>2486</v>
      </c>
      <c r="B1069">
        <v>1</v>
      </c>
      <c r="C1069" t="s">
        <v>1538</v>
      </c>
      <c r="D1069" t="s">
        <v>1473</v>
      </c>
      <c r="E1069">
        <v>2</v>
      </c>
    </row>
    <row r="1070" spans="1:5" x14ac:dyDescent="0.15">
      <c r="A1070" t="s">
        <v>2516</v>
      </c>
      <c r="B1070">
        <v>1</v>
      </c>
      <c r="C1070" t="s">
        <v>1538</v>
      </c>
      <c r="D1070" t="s">
        <v>1473</v>
      </c>
      <c r="E1070">
        <v>4</v>
      </c>
    </row>
    <row r="1071" spans="1:5" x14ac:dyDescent="0.15">
      <c r="A1071" t="s">
        <v>2502</v>
      </c>
      <c r="B1071">
        <v>1</v>
      </c>
      <c r="C1071" t="s">
        <v>1538</v>
      </c>
      <c r="D1071" t="s">
        <v>1473</v>
      </c>
      <c r="E1071">
        <v>4</v>
      </c>
    </row>
    <row r="1072" spans="1:5" x14ac:dyDescent="0.15">
      <c r="A1072" t="s">
        <v>2788</v>
      </c>
      <c r="B1072">
        <v>2</v>
      </c>
      <c r="C1072" t="s">
        <v>1555</v>
      </c>
      <c r="E1072">
        <v>2</v>
      </c>
    </row>
    <row r="1073" spans="1:5" x14ac:dyDescent="0.15">
      <c r="A1073" t="s">
        <v>2789</v>
      </c>
      <c r="B1073">
        <v>2</v>
      </c>
      <c r="C1073" t="s">
        <v>1753</v>
      </c>
      <c r="E1073">
        <v>2</v>
      </c>
    </row>
    <row r="1074" spans="1:5" x14ac:dyDescent="0.15">
      <c r="A1074" t="s">
        <v>2790</v>
      </c>
      <c r="B1074">
        <v>2</v>
      </c>
      <c r="C1074" t="s">
        <v>1753</v>
      </c>
      <c r="E1074">
        <v>2</v>
      </c>
    </row>
    <row r="1075" spans="1:5" x14ac:dyDescent="0.15">
      <c r="A1075" t="s">
        <v>2791</v>
      </c>
      <c r="B1075">
        <v>2</v>
      </c>
      <c r="C1075" t="s">
        <v>1555</v>
      </c>
      <c r="E1075">
        <v>2</v>
      </c>
    </row>
    <row r="1076" spans="1:5" x14ac:dyDescent="0.15">
      <c r="A1076" t="s">
        <v>2792</v>
      </c>
      <c r="B1076">
        <v>2</v>
      </c>
      <c r="C1076" t="s">
        <v>1551</v>
      </c>
      <c r="E1076">
        <v>2</v>
      </c>
    </row>
    <row r="1077" spans="1:5" x14ac:dyDescent="0.15">
      <c r="A1077" t="s">
        <v>2793</v>
      </c>
      <c r="B1077">
        <v>2</v>
      </c>
      <c r="C1077" t="s">
        <v>1553</v>
      </c>
      <c r="E1077">
        <v>2</v>
      </c>
    </row>
    <row r="1078" spans="1:5" x14ac:dyDescent="0.15">
      <c r="A1078" t="s">
        <v>2794</v>
      </c>
      <c r="B1078">
        <v>2</v>
      </c>
      <c r="C1078" t="s">
        <v>1555</v>
      </c>
      <c r="E1078">
        <v>2</v>
      </c>
    </row>
    <row r="1079" spans="1:5" x14ac:dyDescent="0.15">
      <c r="A1079" t="s">
        <v>2795</v>
      </c>
      <c r="B1079">
        <v>2</v>
      </c>
      <c r="C1079" t="s">
        <v>1604</v>
      </c>
      <c r="E1079">
        <v>2</v>
      </c>
    </row>
    <row r="1080" spans="1:5" x14ac:dyDescent="0.15">
      <c r="A1080" t="s">
        <v>2520</v>
      </c>
      <c r="B1080">
        <v>0</v>
      </c>
      <c r="C1080" t="s">
        <v>1583</v>
      </c>
      <c r="E1080">
        <v>3</v>
      </c>
    </row>
    <row r="1081" spans="1:5" x14ac:dyDescent="0.15">
      <c r="A1081" t="s">
        <v>2796</v>
      </c>
      <c r="B1081">
        <v>2</v>
      </c>
      <c r="C1081" t="s">
        <v>1596</v>
      </c>
      <c r="E1081">
        <v>2</v>
      </c>
    </row>
    <row r="1082" spans="1:5" x14ac:dyDescent="0.15">
      <c r="A1082" t="s">
        <v>2797</v>
      </c>
      <c r="B1082">
        <v>2</v>
      </c>
      <c r="C1082" t="s">
        <v>1555</v>
      </c>
      <c r="E1082">
        <v>2</v>
      </c>
    </row>
    <row r="1083" spans="1:5" x14ac:dyDescent="0.15">
      <c r="A1083" t="s">
        <v>2798</v>
      </c>
      <c r="B1083">
        <v>2</v>
      </c>
      <c r="C1083" t="s">
        <v>1757</v>
      </c>
      <c r="E1083">
        <v>2</v>
      </c>
    </row>
    <row r="1084" spans="1:5" x14ac:dyDescent="0.15">
      <c r="A1084" t="s">
        <v>2799</v>
      </c>
      <c r="B1084">
        <v>2</v>
      </c>
      <c r="C1084" t="s">
        <v>1757</v>
      </c>
      <c r="E1084">
        <v>2</v>
      </c>
    </row>
    <row r="1085" spans="1:5" x14ac:dyDescent="0.15">
      <c r="A1085" t="s">
        <v>2800</v>
      </c>
      <c r="B1085">
        <v>2</v>
      </c>
      <c r="C1085" t="s">
        <v>1547</v>
      </c>
      <c r="E1085">
        <v>2</v>
      </c>
    </row>
    <row r="1086" spans="1:5" x14ac:dyDescent="0.15">
      <c r="A1086" t="s">
        <v>2801</v>
      </c>
      <c r="B1086">
        <v>2</v>
      </c>
      <c r="C1086" t="s">
        <v>1553</v>
      </c>
      <c r="E1086">
        <v>2</v>
      </c>
    </row>
    <row r="1087" spans="1:5" x14ac:dyDescent="0.15">
      <c r="A1087" t="s">
        <v>2802</v>
      </c>
      <c r="B1087">
        <v>2</v>
      </c>
      <c r="C1087" t="s">
        <v>1757</v>
      </c>
      <c r="E1087">
        <v>2</v>
      </c>
    </row>
    <row r="1088" spans="1:5" x14ac:dyDescent="0.15">
      <c r="A1088" t="s">
        <v>2803</v>
      </c>
      <c r="B1088">
        <v>2</v>
      </c>
      <c r="C1088" t="s">
        <v>1757</v>
      </c>
      <c r="E1088">
        <v>2</v>
      </c>
    </row>
    <row r="1089" spans="1:5" x14ac:dyDescent="0.15">
      <c r="A1089" t="s">
        <v>2804</v>
      </c>
      <c r="B1089">
        <v>2</v>
      </c>
      <c r="C1089" t="s">
        <v>1757</v>
      </c>
      <c r="E1089">
        <v>2</v>
      </c>
    </row>
    <row r="1090" spans="1:5" x14ac:dyDescent="0.15">
      <c r="A1090" t="s">
        <v>2805</v>
      </c>
      <c r="B1090">
        <v>2</v>
      </c>
      <c r="C1090" t="s">
        <v>1596</v>
      </c>
      <c r="E1090">
        <v>2</v>
      </c>
    </row>
    <row r="1091" spans="1:5" x14ac:dyDescent="0.15">
      <c r="A1091" t="s">
        <v>2806</v>
      </c>
      <c r="B1091">
        <v>2</v>
      </c>
      <c r="C1091" t="s">
        <v>1596</v>
      </c>
      <c r="E1091">
        <v>2</v>
      </c>
    </row>
    <row r="1092" spans="1:5" x14ac:dyDescent="0.15">
      <c r="A1092" t="s">
        <v>2807</v>
      </c>
      <c r="B1092">
        <v>2</v>
      </c>
      <c r="C1092" t="s">
        <v>1541</v>
      </c>
      <c r="E1092">
        <v>2</v>
      </c>
    </row>
    <row r="1093" spans="1:5" x14ac:dyDescent="0.15">
      <c r="A1093" t="s">
        <v>2808</v>
      </c>
      <c r="B1093">
        <v>2</v>
      </c>
      <c r="C1093" t="s">
        <v>1600</v>
      </c>
      <c r="E1093">
        <v>2</v>
      </c>
    </row>
    <row r="1094" spans="1:5" x14ac:dyDescent="0.15">
      <c r="A1094" t="s">
        <v>2809</v>
      </c>
      <c r="B1094">
        <v>2</v>
      </c>
      <c r="C1094" t="s">
        <v>1600</v>
      </c>
      <c r="E1094">
        <v>2</v>
      </c>
    </row>
    <row r="1095" spans="1:5" x14ac:dyDescent="0.15">
      <c r="A1095" t="s">
        <v>2552</v>
      </c>
      <c r="B1095">
        <v>1</v>
      </c>
      <c r="C1095" t="s">
        <v>1536</v>
      </c>
      <c r="D1095" t="s">
        <v>1473</v>
      </c>
      <c r="E1095">
        <v>4</v>
      </c>
    </row>
    <row r="1096" spans="1:5" x14ac:dyDescent="0.15">
      <c r="A1096" t="s">
        <v>2553</v>
      </c>
      <c r="B1096">
        <v>1</v>
      </c>
      <c r="C1096" t="s">
        <v>1536</v>
      </c>
      <c r="D1096" t="s">
        <v>1473</v>
      </c>
      <c r="E1096">
        <v>4</v>
      </c>
    </row>
    <row r="1097" spans="1:5" x14ac:dyDescent="0.15">
      <c r="A1097" t="s">
        <v>2549</v>
      </c>
      <c r="B1097">
        <v>1</v>
      </c>
      <c r="C1097" t="s">
        <v>1536</v>
      </c>
      <c r="D1097" t="s">
        <v>1473</v>
      </c>
      <c r="E1097">
        <v>4</v>
      </c>
    </row>
    <row r="1098" spans="1:5" x14ac:dyDescent="0.15">
      <c r="A1098" t="s">
        <v>2810</v>
      </c>
      <c r="B1098">
        <v>1</v>
      </c>
      <c r="C1098" t="s">
        <v>1530</v>
      </c>
      <c r="D1098" t="s">
        <v>1473</v>
      </c>
      <c r="E1098">
        <v>0</v>
      </c>
    </row>
    <row r="1099" spans="1:5" x14ac:dyDescent="0.15">
      <c r="A1099" t="s">
        <v>2811</v>
      </c>
      <c r="B1099">
        <v>2</v>
      </c>
      <c r="C1099" t="s">
        <v>1526</v>
      </c>
      <c r="D1099" t="s">
        <v>1473</v>
      </c>
      <c r="E1099">
        <v>0</v>
      </c>
    </row>
    <row r="1100" spans="1:5" x14ac:dyDescent="0.15">
      <c r="A1100" t="s">
        <v>2812</v>
      </c>
      <c r="B1100">
        <v>2</v>
      </c>
      <c r="C1100" t="s">
        <v>1534</v>
      </c>
      <c r="D1100" t="s">
        <v>1473</v>
      </c>
      <c r="E1100">
        <v>0</v>
      </c>
    </row>
    <row r="1101" spans="1:5" x14ac:dyDescent="0.15">
      <c r="A1101" t="s">
        <v>2813</v>
      </c>
      <c r="B1101">
        <v>2</v>
      </c>
      <c r="C1101" t="s">
        <v>1530</v>
      </c>
      <c r="D1101" t="s">
        <v>1473</v>
      </c>
      <c r="E1101">
        <v>0</v>
      </c>
    </row>
    <row r="1102" spans="1:5" x14ac:dyDescent="0.15">
      <c r="A1102" t="s">
        <v>2814</v>
      </c>
      <c r="B1102">
        <v>2</v>
      </c>
      <c r="C1102" t="s">
        <v>1534</v>
      </c>
      <c r="D1102" t="s">
        <v>1473</v>
      </c>
      <c r="E1102">
        <v>0</v>
      </c>
    </row>
    <row r="1103" spans="1:5" x14ac:dyDescent="0.15">
      <c r="A1103" t="s">
        <v>2815</v>
      </c>
      <c r="B1103">
        <v>2</v>
      </c>
      <c r="C1103" t="s">
        <v>1526</v>
      </c>
      <c r="D1103" t="s">
        <v>1473</v>
      </c>
      <c r="E1103">
        <v>0</v>
      </c>
    </row>
    <row r="1104" spans="1:5" x14ac:dyDescent="0.15">
      <c r="A1104" t="s">
        <v>2816</v>
      </c>
      <c r="B1104">
        <v>2</v>
      </c>
      <c r="C1104" t="s">
        <v>1532</v>
      </c>
      <c r="D1104" t="s">
        <v>1473</v>
      </c>
      <c r="E1104">
        <v>0</v>
      </c>
    </row>
    <row r="1105" spans="1:5" x14ac:dyDescent="0.15">
      <c r="A1105" t="s">
        <v>2817</v>
      </c>
      <c r="B1105">
        <v>2</v>
      </c>
      <c r="C1105" t="s">
        <v>1532</v>
      </c>
      <c r="D1105" t="s">
        <v>1473</v>
      </c>
      <c r="E1105">
        <v>0</v>
      </c>
    </row>
    <row r="1106" spans="1:5" x14ac:dyDescent="0.15">
      <c r="A1106" t="s">
        <v>2727</v>
      </c>
      <c r="B1106">
        <v>2</v>
      </c>
      <c r="C1106" t="s">
        <v>1534</v>
      </c>
      <c r="D1106" t="s">
        <v>1473</v>
      </c>
      <c r="E1106">
        <v>2</v>
      </c>
    </row>
    <row r="1107" spans="1:5" x14ac:dyDescent="0.15">
      <c r="A1107" t="s">
        <v>2367</v>
      </c>
      <c r="B1107">
        <v>4</v>
      </c>
      <c r="C1107" t="s">
        <v>1526</v>
      </c>
      <c r="D1107" t="s">
        <v>1473</v>
      </c>
      <c r="E1107">
        <v>2</v>
      </c>
    </row>
    <row r="1108" spans="1:5" x14ac:dyDescent="0.15">
      <c r="A1108" t="s">
        <v>2229</v>
      </c>
      <c r="B1108">
        <v>4</v>
      </c>
      <c r="C1108" t="s">
        <v>1526</v>
      </c>
      <c r="D1108" t="s">
        <v>1473</v>
      </c>
      <c r="E1108">
        <v>2</v>
      </c>
    </row>
    <row r="1109" spans="1:5" x14ac:dyDescent="0.15">
      <c r="A1109" t="s">
        <v>2301</v>
      </c>
      <c r="B1109">
        <v>1</v>
      </c>
      <c r="C1109" t="s">
        <v>1526</v>
      </c>
      <c r="D1109" t="s">
        <v>1473</v>
      </c>
      <c r="E1109">
        <v>2</v>
      </c>
    </row>
    <row r="1110" spans="1:5" x14ac:dyDescent="0.15">
      <c r="A1110" t="s">
        <v>2811</v>
      </c>
      <c r="B1110">
        <v>2</v>
      </c>
      <c r="C1110" t="s">
        <v>1526</v>
      </c>
      <c r="D1110" t="s">
        <v>1473</v>
      </c>
      <c r="E1110">
        <v>2</v>
      </c>
    </row>
    <row r="1111" spans="1:5" x14ac:dyDescent="0.15">
      <c r="A1111" t="s">
        <v>2219</v>
      </c>
      <c r="B1111">
        <v>1</v>
      </c>
      <c r="C1111" t="s">
        <v>1536</v>
      </c>
      <c r="D1111" t="s">
        <v>1473</v>
      </c>
      <c r="E1111">
        <v>2</v>
      </c>
    </row>
    <row r="1112" spans="1:5" x14ac:dyDescent="0.15">
      <c r="A1112" t="s">
        <v>2733</v>
      </c>
      <c r="B1112">
        <v>2</v>
      </c>
      <c r="C1112" t="s">
        <v>1536</v>
      </c>
      <c r="D1112" t="s">
        <v>1473</v>
      </c>
      <c r="E1112">
        <v>2</v>
      </c>
    </row>
    <row r="1113" spans="1:5" x14ac:dyDescent="0.15">
      <c r="A1113" t="s">
        <v>2458</v>
      </c>
      <c r="B1113">
        <v>4</v>
      </c>
      <c r="C1113" t="s">
        <v>1536</v>
      </c>
      <c r="D1113" t="s">
        <v>1473</v>
      </c>
      <c r="E1113">
        <v>2</v>
      </c>
    </row>
    <row r="1114" spans="1:5" x14ac:dyDescent="0.15">
      <c r="A1114" t="s">
        <v>2254</v>
      </c>
      <c r="B1114">
        <v>2</v>
      </c>
      <c r="C1114" t="s">
        <v>1536</v>
      </c>
      <c r="D1114" t="s">
        <v>1473</v>
      </c>
      <c r="E1114">
        <v>2</v>
      </c>
    </row>
    <row r="1115" spans="1:5" x14ac:dyDescent="0.15">
      <c r="A1115" t="s">
        <v>2818</v>
      </c>
      <c r="B1115">
        <v>3</v>
      </c>
      <c r="C1115" t="s">
        <v>1534</v>
      </c>
      <c r="D1115" t="s">
        <v>1473</v>
      </c>
      <c r="E1115">
        <v>2</v>
      </c>
    </row>
    <row r="1116" spans="1:5" x14ac:dyDescent="0.15">
      <c r="A1116" t="s">
        <v>2313</v>
      </c>
      <c r="B1116">
        <v>2</v>
      </c>
      <c r="C1116" t="s">
        <v>1526</v>
      </c>
      <c r="D1116" t="s">
        <v>1473</v>
      </c>
      <c r="E1116">
        <v>2</v>
      </c>
    </row>
    <row r="1117" spans="1:5" x14ac:dyDescent="0.15">
      <c r="A1117" t="s">
        <v>2319</v>
      </c>
      <c r="B1117">
        <v>2</v>
      </c>
      <c r="C1117" t="s">
        <v>1538</v>
      </c>
      <c r="D1117" t="s">
        <v>1473</v>
      </c>
      <c r="E1117">
        <v>4</v>
      </c>
    </row>
    <row r="1118" spans="1:5" x14ac:dyDescent="0.15">
      <c r="A1118" t="s">
        <v>2819</v>
      </c>
      <c r="B1118">
        <v>2</v>
      </c>
      <c r="C1118" t="s">
        <v>1534</v>
      </c>
      <c r="D1118" t="s">
        <v>1473</v>
      </c>
      <c r="E1118">
        <v>0</v>
      </c>
    </row>
    <row r="1119" spans="1:5" x14ac:dyDescent="0.15">
      <c r="A1119" t="s">
        <v>2634</v>
      </c>
      <c r="B1119">
        <v>1</v>
      </c>
      <c r="C1119" t="s">
        <v>1526</v>
      </c>
      <c r="D1119" t="s">
        <v>1473</v>
      </c>
      <c r="E1119">
        <v>2</v>
      </c>
    </row>
    <row r="1120" spans="1:5" x14ac:dyDescent="0.15">
      <c r="A1120" t="s">
        <v>2820</v>
      </c>
      <c r="B1120">
        <v>2</v>
      </c>
      <c r="C1120" t="s">
        <v>1530</v>
      </c>
      <c r="D1120" t="s">
        <v>1473</v>
      </c>
      <c r="E1120">
        <v>0</v>
      </c>
    </row>
    <row r="1121" spans="1:5" x14ac:dyDescent="0.15">
      <c r="A1121" t="s">
        <v>2821</v>
      </c>
      <c r="B1121">
        <v>2</v>
      </c>
      <c r="C1121" t="s">
        <v>1534</v>
      </c>
      <c r="D1121" t="s">
        <v>1473</v>
      </c>
      <c r="E1121">
        <v>0</v>
      </c>
    </row>
    <row r="1122" spans="1:5" x14ac:dyDescent="0.15">
      <c r="A1122" t="s">
        <v>2188</v>
      </c>
      <c r="B1122">
        <v>2</v>
      </c>
      <c r="C1122" t="s">
        <v>1534</v>
      </c>
      <c r="D1122" t="s">
        <v>1473</v>
      </c>
      <c r="E1122">
        <v>4</v>
      </c>
    </row>
    <row r="1123" spans="1:5" x14ac:dyDescent="0.15">
      <c r="A1123" t="s">
        <v>2264</v>
      </c>
      <c r="B1123">
        <v>2</v>
      </c>
      <c r="C1123" t="s">
        <v>1530</v>
      </c>
      <c r="D1123" t="s">
        <v>1473</v>
      </c>
      <c r="E1123">
        <v>0</v>
      </c>
    </row>
    <row r="1124" spans="1:5" x14ac:dyDescent="0.15">
      <c r="A1124" t="s">
        <v>2702</v>
      </c>
      <c r="B1124">
        <v>2</v>
      </c>
      <c r="C1124" t="s">
        <v>1526</v>
      </c>
      <c r="D1124" t="s">
        <v>1473</v>
      </c>
      <c r="E1124">
        <v>2</v>
      </c>
    </row>
    <row r="1125" spans="1:5" x14ac:dyDescent="0.15">
      <c r="A1125" t="s">
        <v>2316</v>
      </c>
      <c r="B1125">
        <v>2</v>
      </c>
      <c r="C1125" t="s">
        <v>1534</v>
      </c>
      <c r="D1125" t="s">
        <v>1473</v>
      </c>
      <c r="E1125">
        <v>2</v>
      </c>
    </row>
    <row r="1126" spans="1:5" x14ac:dyDescent="0.15">
      <c r="A1126" t="s">
        <v>2822</v>
      </c>
      <c r="B1126">
        <v>2</v>
      </c>
      <c r="C1126" t="s">
        <v>1534</v>
      </c>
      <c r="D1126" t="s">
        <v>1473</v>
      </c>
      <c r="E1126">
        <v>2</v>
      </c>
    </row>
    <row r="1127" spans="1:5" x14ac:dyDescent="0.15">
      <c r="A1127" t="s">
        <v>2260</v>
      </c>
      <c r="B1127">
        <v>2</v>
      </c>
      <c r="C1127" t="s">
        <v>1526</v>
      </c>
      <c r="D1127" t="s">
        <v>1473</v>
      </c>
      <c r="E1127">
        <v>2</v>
      </c>
    </row>
    <row r="1128" spans="1:5" x14ac:dyDescent="0.15">
      <c r="A1128" t="s">
        <v>2592</v>
      </c>
      <c r="B1128">
        <v>2</v>
      </c>
      <c r="C1128" t="s">
        <v>1526</v>
      </c>
      <c r="D1128" t="s">
        <v>1473</v>
      </c>
      <c r="E1128">
        <v>4</v>
      </c>
    </row>
    <row r="1129" spans="1:5" x14ac:dyDescent="0.15">
      <c r="A1129" t="s">
        <v>2823</v>
      </c>
      <c r="B1129">
        <v>2</v>
      </c>
      <c r="C1129" t="s">
        <v>1538</v>
      </c>
      <c r="D1129" t="s">
        <v>1473</v>
      </c>
      <c r="E1129">
        <v>0</v>
      </c>
    </row>
    <row r="1130" spans="1:5" x14ac:dyDescent="0.15">
      <c r="A1130" t="s">
        <v>2824</v>
      </c>
      <c r="B1130">
        <v>2</v>
      </c>
      <c r="C1130" t="s">
        <v>1528</v>
      </c>
      <c r="D1130" t="s">
        <v>1473</v>
      </c>
      <c r="E1130">
        <v>0</v>
      </c>
    </row>
    <row r="1131" spans="1:5" x14ac:dyDescent="0.15">
      <c r="A1131" t="s">
        <v>2825</v>
      </c>
      <c r="B1131">
        <v>2</v>
      </c>
      <c r="C1131" t="s">
        <v>1801</v>
      </c>
      <c r="E1131">
        <v>0</v>
      </c>
    </row>
    <row r="1132" spans="1:5" x14ac:dyDescent="0.15">
      <c r="A1132" t="s">
        <v>2826</v>
      </c>
      <c r="B1132">
        <v>2</v>
      </c>
      <c r="C1132" t="s">
        <v>1538</v>
      </c>
      <c r="D1132" t="s">
        <v>1473</v>
      </c>
      <c r="E1132">
        <v>0</v>
      </c>
    </row>
    <row r="1133" spans="1:5" x14ac:dyDescent="0.15">
      <c r="A1133" t="s">
        <v>2056</v>
      </c>
      <c r="B1133">
        <v>1</v>
      </c>
      <c r="C1133" t="s">
        <v>1538</v>
      </c>
      <c r="D1133" t="s">
        <v>1473</v>
      </c>
      <c r="E1133">
        <v>4</v>
      </c>
    </row>
    <row r="1134" spans="1:5" x14ac:dyDescent="0.15">
      <c r="A1134" t="s">
        <v>2827</v>
      </c>
      <c r="B1134">
        <v>2</v>
      </c>
      <c r="C1134" t="s">
        <v>1538</v>
      </c>
      <c r="D1134" t="s">
        <v>1473</v>
      </c>
      <c r="E1134">
        <v>0</v>
      </c>
    </row>
    <row r="1135" spans="1:5" x14ac:dyDescent="0.15">
      <c r="A1135" t="s">
        <v>2057</v>
      </c>
      <c r="B1135">
        <v>1</v>
      </c>
      <c r="C1135" t="s">
        <v>1538</v>
      </c>
      <c r="D1135" t="s">
        <v>1473</v>
      </c>
      <c r="E1135">
        <v>4</v>
      </c>
    </row>
    <row r="1136" spans="1:5" x14ac:dyDescent="0.15">
      <c r="A1136" t="s">
        <v>2083</v>
      </c>
      <c r="B1136">
        <v>1</v>
      </c>
      <c r="C1136" t="s">
        <v>1538</v>
      </c>
      <c r="D1136" t="s">
        <v>1473</v>
      </c>
      <c r="E1136">
        <v>4</v>
      </c>
    </row>
    <row r="1137" spans="1:5" x14ac:dyDescent="0.15">
      <c r="A1137" t="s">
        <v>2828</v>
      </c>
      <c r="B1137">
        <v>2</v>
      </c>
      <c r="C1137" t="s">
        <v>1538</v>
      </c>
      <c r="D1137" t="s">
        <v>1473</v>
      </c>
      <c r="E1137">
        <v>0</v>
      </c>
    </row>
    <row r="1138" spans="1:5" x14ac:dyDescent="0.15">
      <c r="A1138" t="s">
        <v>2829</v>
      </c>
      <c r="B1138">
        <v>2</v>
      </c>
      <c r="C1138" t="s">
        <v>1538</v>
      </c>
      <c r="D1138" t="s">
        <v>1473</v>
      </c>
      <c r="E1138">
        <v>0</v>
      </c>
    </row>
    <row r="1139" spans="1:5" x14ac:dyDescent="0.15">
      <c r="A1139" t="s">
        <v>2830</v>
      </c>
      <c r="B1139">
        <v>2</v>
      </c>
      <c r="C1139" t="s">
        <v>1538</v>
      </c>
      <c r="D1139" t="s">
        <v>1473</v>
      </c>
      <c r="E1139">
        <v>0</v>
      </c>
    </row>
    <row r="1140" spans="1:5" x14ac:dyDescent="0.15">
      <c r="A1140" t="s">
        <v>2831</v>
      </c>
      <c r="B1140">
        <v>2</v>
      </c>
      <c r="C1140" t="s">
        <v>1538</v>
      </c>
      <c r="D1140" t="s">
        <v>1473</v>
      </c>
      <c r="E1140">
        <v>0</v>
      </c>
    </row>
    <row r="1141" spans="1:5" x14ac:dyDescent="0.15">
      <c r="A1141" t="s">
        <v>2832</v>
      </c>
      <c r="B1141">
        <v>2</v>
      </c>
      <c r="C1141" t="s">
        <v>1538</v>
      </c>
      <c r="D1141" t="s">
        <v>1473</v>
      </c>
      <c r="E1141">
        <v>0</v>
      </c>
    </row>
    <row r="1142" spans="1:5" x14ac:dyDescent="0.15">
      <c r="A1142" t="s">
        <v>2833</v>
      </c>
      <c r="B1142">
        <v>2</v>
      </c>
      <c r="C1142" t="s">
        <v>1538</v>
      </c>
      <c r="D1142" t="s">
        <v>1473</v>
      </c>
      <c r="E1142">
        <v>2</v>
      </c>
    </row>
    <row r="1143" spans="1:5" x14ac:dyDescent="0.15">
      <c r="A1143" t="s">
        <v>2834</v>
      </c>
      <c r="B1143">
        <v>2</v>
      </c>
      <c r="C1143" t="s">
        <v>1538</v>
      </c>
      <c r="D1143" t="s">
        <v>1473</v>
      </c>
      <c r="E1143">
        <v>2</v>
      </c>
    </row>
    <row r="1144" spans="1:5" x14ac:dyDescent="0.15">
      <c r="A1144" t="s">
        <v>2577</v>
      </c>
      <c r="B1144">
        <v>2</v>
      </c>
      <c r="C1144" t="s">
        <v>1538</v>
      </c>
      <c r="D1144" t="s">
        <v>1473</v>
      </c>
      <c r="E1144">
        <v>2</v>
      </c>
    </row>
    <row r="1145" spans="1:5" x14ac:dyDescent="0.15">
      <c r="A1145" t="s">
        <v>2835</v>
      </c>
      <c r="B1145">
        <v>2</v>
      </c>
      <c r="C1145" t="s">
        <v>1538</v>
      </c>
      <c r="D1145" t="s">
        <v>1473</v>
      </c>
      <c r="E1145">
        <v>0</v>
      </c>
    </row>
    <row r="1146" spans="1:5" x14ac:dyDescent="0.15">
      <c r="A1146" t="s">
        <v>2836</v>
      </c>
      <c r="B1146">
        <v>1</v>
      </c>
      <c r="C1146" t="s">
        <v>1530</v>
      </c>
      <c r="D1146" t="s">
        <v>1473</v>
      </c>
      <c r="E1146">
        <v>0</v>
      </c>
    </row>
    <row r="1147" spans="1:5" x14ac:dyDescent="0.15">
      <c r="A1147" t="s">
        <v>2613</v>
      </c>
      <c r="B1147">
        <v>2</v>
      </c>
      <c r="C1147" t="s">
        <v>1526</v>
      </c>
      <c r="D1147" t="s">
        <v>1473</v>
      </c>
      <c r="E1147">
        <v>4</v>
      </c>
    </row>
    <row r="1148" spans="1:5" x14ac:dyDescent="0.15">
      <c r="A1148" t="s">
        <v>2837</v>
      </c>
      <c r="B1148">
        <v>2</v>
      </c>
      <c r="C1148" t="s">
        <v>1526</v>
      </c>
      <c r="D1148" t="s">
        <v>1473</v>
      </c>
      <c r="E1148">
        <v>0</v>
      </c>
    </row>
    <row r="1149" spans="1:5" x14ac:dyDescent="0.15">
      <c r="A1149" t="s">
        <v>2838</v>
      </c>
      <c r="B1149">
        <v>2</v>
      </c>
      <c r="C1149" t="s">
        <v>1572</v>
      </c>
      <c r="E1149">
        <v>0</v>
      </c>
    </row>
    <row r="1150" spans="1:5" x14ac:dyDescent="0.15">
      <c r="A1150" t="s">
        <v>2839</v>
      </c>
      <c r="B1150">
        <v>2</v>
      </c>
      <c r="C1150" t="s">
        <v>1528</v>
      </c>
      <c r="D1150" t="s">
        <v>1473</v>
      </c>
      <c r="E1150">
        <v>0</v>
      </c>
    </row>
    <row r="1151" spans="1:5" x14ac:dyDescent="0.15">
      <c r="A1151" t="s">
        <v>2605</v>
      </c>
      <c r="B1151">
        <v>2</v>
      </c>
      <c r="C1151" t="s">
        <v>1526</v>
      </c>
      <c r="D1151" t="s">
        <v>1473</v>
      </c>
      <c r="E1151">
        <v>4</v>
      </c>
    </row>
    <row r="1152" spans="1:5" x14ac:dyDescent="0.15">
      <c r="A1152" t="s">
        <v>2604</v>
      </c>
      <c r="C1152" t="s">
        <v>1801</v>
      </c>
      <c r="E1152">
        <v>0</v>
      </c>
    </row>
    <row r="1153" spans="1:5" x14ac:dyDescent="0.15">
      <c r="A1153" t="s">
        <v>2712</v>
      </c>
      <c r="B1153">
        <v>1</v>
      </c>
      <c r="C1153" t="s">
        <v>1801</v>
      </c>
      <c r="E1153">
        <v>0</v>
      </c>
    </row>
    <row r="1154" spans="1:5" x14ac:dyDescent="0.15">
      <c r="A1154" t="s">
        <v>2840</v>
      </c>
      <c r="B1154">
        <v>2</v>
      </c>
      <c r="C1154" t="s">
        <v>1572</v>
      </c>
      <c r="E1154">
        <v>0</v>
      </c>
    </row>
    <row r="1155" spans="1:5" x14ac:dyDescent="0.15">
      <c r="A1155" t="s">
        <v>2841</v>
      </c>
      <c r="B1155">
        <v>2</v>
      </c>
      <c r="C1155" t="s">
        <v>1530</v>
      </c>
      <c r="D1155" t="s">
        <v>1473</v>
      </c>
      <c r="E1155">
        <v>0</v>
      </c>
    </row>
    <row r="1156" spans="1:5" x14ac:dyDescent="0.15">
      <c r="A1156" t="s">
        <v>2673</v>
      </c>
      <c r="B1156">
        <v>2</v>
      </c>
      <c r="C1156" t="s">
        <v>1526</v>
      </c>
      <c r="D1156" t="s">
        <v>1473</v>
      </c>
      <c r="E1156">
        <v>0</v>
      </c>
    </row>
    <row r="1157" spans="1:5" x14ac:dyDescent="0.15">
      <c r="A1157" t="s">
        <v>2842</v>
      </c>
      <c r="B1157">
        <v>2</v>
      </c>
      <c r="C1157" t="s">
        <v>1526</v>
      </c>
      <c r="D1157" t="s">
        <v>1473</v>
      </c>
      <c r="E1157">
        <v>0</v>
      </c>
    </row>
    <row r="1158" spans="1:5" x14ac:dyDescent="0.15">
      <c r="A1158" t="s">
        <v>2843</v>
      </c>
      <c r="B1158">
        <v>2</v>
      </c>
      <c r="C1158" t="s">
        <v>1538</v>
      </c>
      <c r="D1158" t="s">
        <v>1473</v>
      </c>
      <c r="E1158">
        <v>2</v>
      </c>
    </row>
    <row r="1159" spans="1:5" x14ac:dyDescent="0.15">
      <c r="A1159" t="s">
        <v>2844</v>
      </c>
      <c r="B1159">
        <v>2</v>
      </c>
      <c r="C1159" t="s">
        <v>1526</v>
      </c>
      <c r="D1159" t="s">
        <v>1473</v>
      </c>
      <c r="E1159">
        <v>0</v>
      </c>
    </row>
    <row r="1160" spans="1:5" x14ac:dyDescent="0.15">
      <c r="A1160" t="s">
        <v>2845</v>
      </c>
      <c r="B1160">
        <v>2</v>
      </c>
      <c r="C1160" t="s">
        <v>1526</v>
      </c>
      <c r="D1160" t="s">
        <v>1473</v>
      </c>
      <c r="E1160">
        <v>0</v>
      </c>
    </row>
    <row r="1161" spans="1:5" x14ac:dyDescent="0.15">
      <c r="A1161" t="s">
        <v>2846</v>
      </c>
      <c r="B1161">
        <v>3</v>
      </c>
      <c r="C1161" t="s">
        <v>1526</v>
      </c>
      <c r="D1161" t="s">
        <v>1473</v>
      </c>
      <c r="E1161">
        <v>2</v>
      </c>
    </row>
    <row r="1162" spans="1:5" x14ac:dyDescent="0.15">
      <c r="A1162" t="s">
        <v>2601</v>
      </c>
      <c r="B1162">
        <v>2</v>
      </c>
      <c r="C1162" t="s">
        <v>1572</v>
      </c>
      <c r="E1162">
        <v>4</v>
      </c>
    </row>
    <row r="1163" spans="1:5" x14ac:dyDescent="0.15">
      <c r="A1163" t="s">
        <v>2847</v>
      </c>
      <c r="B1163">
        <v>2</v>
      </c>
      <c r="C1163" t="s">
        <v>1739</v>
      </c>
      <c r="E1163">
        <v>2</v>
      </c>
    </row>
    <row r="1164" spans="1:5" x14ac:dyDescent="0.15">
      <c r="A1164" t="s">
        <v>2848</v>
      </c>
      <c r="B1164">
        <v>2</v>
      </c>
      <c r="C1164" t="s">
        <v>1543</v>
      </c>
      <c r="E1164">
        <v>2</v>
      </c>
    </row>
    <row r="1165" spans="1:5" x14ac:dyDescent="0.15">
      <c r="A1165" t="s">
        <v>2849</v>
      </c>
      <c r="B1165">
        <v>2</v>
      </c>
      <c r="C1165" t="s">
        <v>1543</v>
      </c>
      <c r="E1165">
        <v>2</v>
      </c>
    </row>
    <row r="1166" spans="1:5" x14ac:dyDescent="0.15">
      <c r="A1166" t="s">
        <v>2850</v>
      </c>
      <c r="B1166">
        <v>2</v>
      </c>
      <c r="C1166" t="s">
        <v>1739</v>
      </c>
      <c r="E1166">
        <v>2</v>
      </c>
    </row>
    <row r="1167" spans="1:5" x14ac:dyDescent="0.15">
      <c r="A1167" t="s">
        <v>2851</v>
      </c>
      <c r="B1167">
        <v>2</v>
      </c>
      <c r="C1167" t="s">
        <v>1596</v>
      </c>
      <c r="E1167">
        <v>2</v>
      </c>
    </row>
    <row r="1168" spans="1:5" x14ac:dyDescent="0.15">
      <c r="A1168" t="s">
        <v>2852</v>
      </c>
      <c r="B1168">
        <v>2</v>
      </c>
      <c r="C1168" t="s">
        <v>1543</v>
      </c>
      <c r="E1168">
        <v>2</v>
      </c>
    </row>
    <row r="1169" spans="1:5" x14ac:dyDescent="0.15">
      <c r="A1169" t="s">
        <v>2853</v>
      </c>
      <c r="B1169">
        <v>2</v>
      </c>
      <c r="C1169" t="s">
        <v>1549</v>
      </c>
      <c r="E1169">
        <v>2</v>
      </c>
    </row>
    <row r="1170" spans="1:5" x14ac:dyDescent="0.15">
      <c r="A1170" t="s">
        <v>2854</v>
      </c>
      <c r="B1170">
        <v>2</v>
      </c>
      <c r="C1170" t="s">
        <v>1553</v>
      </c>
      <c r="E1170">
        <v>2</v>
      </c>
    </row>
    <row r="1171" spans="1:5" x14ac:dyDescent="0.15">
      <c r="A1171" t="s">
        <v>2855</v>
      </c>
      <c r="B1171">
        <v>2</v>
      </c>
      <c r="C1171" t="s">
        <v>1543</v>
      </c>
      <c r="E1171">
        <v>2</v>
      </c>
    </row>
    <row r="1172" spans="1:5" x14ac:dyDescent="0.15">
      <c r="A1172" t="s">
        <v>2856</v>
      </c>
      <c r="B1172">
        <v>2</v>
      </c>
      <c r="C1172" t="s">
        <v>1547</v>
      </c>
      <c r="E1172">
        <v>2</v>
      </c>
    </row>
    <row r="1173" spans="1:5" x14ac:dyDescent="0.15">
      <c r="A1173" t="s">
        <v>2857</v>
      </c>
      <c r="B1173">
        <v>2</v>
      </c>
      <c r="C1173" t="s">
        <v>1547</v>
      </c>
      <c r="E1173">
        <v>2</v>
      </c>
    </row>
    <row r="1174" spans="1:5" x14ac:dyDescent="0.15">
      <c r="A1174" t="s">
        <v>2858</v>
      </c>
      <c r="B1174">
        <v>2</v>
      </c>
      <c r="C1174" t="s">
        <v>1547</v>
      </c>
      <c r="E1174">
        <v>2</v>
      </c>
    </row>
    <row r="1175" spans="1:5" x14ac:dyDescent="0.15">
      <c r="A1175" t="s">
        <v>2859</v>
      </c>
      <c r="B1175">
        <v>2</v>
      </c>
      <c r="C1175" t="s">
        <v>1547</v>
      </c>
      <c r="E1175">
        <v>2</v>
      </c>
    </row>
    <row r="1176" spans="1:5" x14ac:dyDescent="0.15">
      <c r="A1176" t="s">
        <v>2860</v>
      </c>
      <c r="B1176">
        <v>2</v>
      </c>
      <c r="C1176" t="s">
        <v>1725</v>
      </c>
      <c r="E1176">
        <v>2</v>
      </c>
    </row>
    <row r="1177" spans="1:5" x14ac:dyDescent="0.15">
      <c r="A1177" t="s">
        <v>2861</v>
      </c>
      <c r="B1177">
        <v>2</v>
      </c>
      <c r="C1177" t="s">
        <v>1725</v>
      </c>
      <c r="E1177">
        <v>2</v>
      </c>
    </row>
    <row r="1178" spans="1:5" x14ac:dyDescent="0.15">
      <c r="A1178" t="s">
        <v>2862</v>
      </c>
      <c r="B1178">
        <v>2</v>
      </c>
      <c r="C1178" t="s">
        <v>1547</v>
      </c>
      <c r="E1178">
        <v>2</v>
      </c>
    </row>
    <row r="1179" spans="1:5" x14ac:dyDescent="0.15">
      <c r="A1179" t="s">
        <v>2863</v>
      </c>
      <c r="B1179">
        <v>2</v>
      </c>
      <c r="C1179" t="s">
        <v>1725</v>
      </c>
      <c r="E1179">
        <v>2</v>
      </c>
    </row>
    <row r="1180" spans="1:5" x14ac:dyDescent="0.15">
      <c r="A1180" t="s">
        <v>2864</v>
      </c>
      <c r="B1180">
        <v>2</v>
      </c>
      <c r="C1180" t="s">
        <v>1555</v>
      </c>
      <c r="E1180">
        <v>2</v>
      </c>
    </row>
    <row r="1181" spans="1:5" x14ac:dyDescent="0.15">
      <c r="A1181" t="s">
        <v>2865</v>
      </c>
      <c r="B1181">
        <v>2</v>
      </c>
      <c r="C1181" t="s">
        <v>1547</v>
      </c>
      <c r="E1181">
        <v>2</v>
      </c>
    </row>
    <row r="1182" spans="1:5" x14ac:dyDescent="0.15">
      <c r="A1182" t="s">
        <v>2866</v>
      </c>
      <c r="B1182">
        <v>2</v>
      </c>
      <c r="C1182" t="s">
        <v>1547</v>
      </c>
      <c r="E1182">
        <v>2</v>
      </c>
    </row>
    <row r="1183" spans="1:5" x14ac:dyDescent="0.15">
      <c r="A1183" t="s">
        <v>2867</v>
      </c>
      <c r="B1183">
        <v>2</v>
      </c>
      <c r="C1183" t="s">
        <v>1594</v>
      </c>
      <c r="E1183">
        <v>2</v>
      </c>
    </row>
    <row r="1184" spans="1:5" x14ac:dyDescent="0.15">
      <c r="A1184" t="s">
        <v>2678</v>
      </c>
      <c r="B1184">
        <v>1</v>
      </c>
      <c r="C1184" t="s">
        <v>1538</v>
      </c>
      <c r="D1184" t="s">
        <v>1473</v>
      </c>
      <c r="E1184">
        <v>4</v>
      </c>
    </row>
    <row r="1185" spans="1:5" x14ac:dyDescent="0.15">
      <c r="A1185" t="s">
        <v>2461</v>
      </c>
      <c r="B1185">
        <v>1</v>
      </c>
      <c r="C1185" t="s">
        <v>1538</v>
      </c>
      <c r="D1185" t="s">
        <v>1473</v>
      </c>
      <c r="E1185">
        <v>2</v>
      </c>
    </row>
    <row r="1186" spans="1:5" x14ac:dyDescent="0.15">
      <c r="A1186" t="s">
        <v>2512</v>
      </c>
      <c r="B1186">
        <v>1</v>
      </c>
      <c r="C1186" t="s">
        <v>1538</v>
      </c>
      <c r="D1186" t="s">
        <v>1473</v>
      </c>
      <c r="E1186">
        <v>2</v>
      </c>
    </row>
    <row r="1187" spans="1:5" x14ac:dyDescent="0.15">
      <c r="A1187" t="s">
        <v>2464</v>
      </c>
      <c r="B1187">
        <v>1</v>
      </c>
      <c r="C1187" t="s">
        <v>1538</v>
      </c>
      <c r="D1187" t="s">
        <v>1473</v>
      </c>
      <c r="E1187">
        <v>2</v>
      </c>
    </row>
    <row r="1188" spans="1:5" x14ac:dyDescent="0.15">
      <c r="A1188" t="s">
        <v>2483</v>
      </c>
      <c r="B1188">
        <v>1</v>
      </c>
      <c r="C1188" t="s">
        <v>1538</v>
      </c>
      <c r="D1188" t="s">
        <v>1473</v>
      </c>
      <c r="E1188">
        <v>4</v>
      </c>
    </row>
    <row r="1189" spans="1:5" x14ac:dyDescent="0.15">
      <c r="A1189" t="s">
        <v>2559</v>
      </c>
      <c r="B1189">
        <v>1</v>
      </c>
      <c r="C1189" t="s">
        <v>1536</v>
      </c>
      <c r="D1189" t="s">
        <v>1473</v>
      </c>
      <c r="E1189">
        <v>2</v>
      </c>
    </row>
    <row r="1190" spans="1:5" x14ac:dyDescent="0.15">
      <c r="A1190" t="s">
        <v>2939</v>
      </c>
      <c r="B1190" s="1"/>
      <c r="C1190" s="1"/>
      <c r="D1190" s="1"/>
      <c r="E1190" s="1"/>
    </row>
    <row r="1191" spans="1:5" x14ac:dyDescent="0.15">
      <c r="A1191" t="s">
        <v>2940</v>
      </c>
      <c r="B1191" s="1"/>
      <c r="C1191" s="1"/>
      <c r="D1191" s="1"/>
      <c r="E1191" s="1"/>
    </row>
    <row r="1192" spans="1:5" x14ac:dyDescent="0.15">
      <c r="A1192" t="s">
        <v>2941</v>
      </c>
      <c r="B1192" s="1"/>
      <c r="C1192" s="1"/>
      <c r="D1192" s="1"/>
      <c r="E1192" s="1"/>
    </row>
    <row r="1193" spans="1:5" x14ac:dyDescent="0.15">
      <c r="A1193" t="s">
        <v>2942</v>
      </c>
      <c r="B1193" s="1"/>
      <c r="C1193" s="1"/>
      <c r="D1193" s="1"/>
      <c r="E1193" s="1"/>
    </row>
    <row r="1194" spans="1:5" x14ac:dyDescent="0.15">
      <c r="A1194" t="s">
        <v>2943</v>
      </c>
      <c r="B1194" s="1"/>
      <c r="C1194" s="1"/>
      <c r="D1194" s="1"/>
      <c r="E1194" s="1"/>
    </row>
    <row r="1195" spans="1:5" x14ac:dyDescent="0.15">
      <c r="A1195" t="s">
        <v>2944</v>
      </c>
      <c r="B1195" s="1"/>
      <c r="C1195" s="1"/>
      <c r="D1195" s="1"/>
      <c r="E1195" s="1"/>
    </row>
    <row r="1196" spans="1:5" x14ac:dyDescent="0.15">
      <c r="A1196" t="s">
        <v>2945</v>
      </c>
      <c r="B1196" s="1"/>
      <c r="C1196" s="1"/>
      <c r="D1196" s="1"/>
      <c r="E1196" s="1"/>
    </row>
    <row r="1197" spans="1:5" x14ac:dyDescent="0.15">
      <c r="A1197" t="s">
        <v>2946</v>
      </c>
      <c r="B1197" s="1"/>
      <c r="C1197" s="1"/>
      <c r="D1197" s="1"/>
      <c r="E1197" s="1"/>
    </row>
    <row r="1198" spans="1:5" x14ac:dyDescent="0.15">
      <c r="A1198" t="s">
        <v>2947</v>
      </c>
      <c r="B1198" s="1"/>
      <c r="C1198" s="1"/>
      <c r="D1198" s="1"/>
      <c r="E1198" s="1"/>
    </row>
    <row r="1199" spans="1:5" x14ac:dyDescent="0.15">
      <c r="A1199" t="s">
        <v>2948</v>
      </c>
      <c r="B1199" s="1"/>
      <c r="C1199" s="1"/>
      <c r="D1199" s="1"/>
      <c r="E1199" s="1"/>
    </row>
    <row r="1200" spans="1:5" x14ac:dyDescent="0.15">
      <c r="A1200" t="s">
        <v>2949</v>
      </c>
      <c r="B1200" s="1"/>
      <c r="C1200" s="1"/>
      <c r="D1200" s="1"/>
      <c r="E1200" s="1"/>
    </row>
    <row r="1201" spans="1:5" x14ac:dyDescent="0.15">
      <c r="A1201" t="s">
        <v>2950</v>
      </c>
      <c r="B1201" s="1"/>
      <c r="C1201" s="1"/>
      <c r="D1201" s="1"/>
      <c r="E1201" s="1"/>
    </row>
    <row r="1202" spans="1:5" x14ac:dyDescent="0.15">
      <c r="A1202" t="s">
        <v>2951</v>
      </c>
      <c r="B1202" s="1"/>
      <c r="C1202" s="1"/>
      <c r="D1202" s="1"/>
      <c r="E1202" s="1"/>
    </row>
    <row r="1203" spans="1:5" x14ac:dyDescent="0.15">
      <c r="A1203" t="s">
        <v>2952</v>
      </c>
      <c r="B1203" s="1"/>
      <c r="C1203" s="1"/>
      <c r="D1203" s="1"/>
      <c r="E1203" s="1"/>
    </row>
    <row r="1204" spans="1:5" x14ac:dyDescent="0.15">
      <c r="A1204" t="s">
        <v>2953</v>
      </c>
      <c r="B1204" s="1"/>
      <c r="C1204" s="1"/>
      <c r="D1204" s="1"/>
      <c r="E1204" s="1"/>
    </row>
    <row r="1205" spans="1:5" x14ac:dyDescent="0.15">
      <c r="A1205" t="s">
        <v>2954</v>
      </c>
      <c r="B1205" s="1"/>
      <c r="C1205" s="1"/>
      <c r="D1205" s="1"/>
      <c r="E1205" s="1"/>
    </row>
    <row r="1206" spans="1:5" x14ac:dyDescent="0.15">
      <c r="A1206" t="s">
        <v>2955</v>
      </c>
      <c r="B1206" s="1"/>
      <c r="C1206" s="1"/>
      <c r="D1206" s="1"/>
      <c r="E1206" s="1"/>
    </row>
    <row r="1207" spans="1:5" x14ac:dyDescent="0.15">
      <c r="A1207" t="s">
        <v>2956</v>
      </c>
      <c r="B1207" s="1"/>
      <c r="C1207" s="1"/>
      <c r="D1207" s="1"/>
      <c r="E1207" s="1"/>
    </row>
    <row r="1208" spans="1:5" x14ac:dyDescent="0.15">
      <c r="A1208" t="s">
        <v>2957</v>
      </c>
      <c r="B1208" s="1"/>
      <c r="C1208" s="1"/>
      <c r="D1208" s="1"/>
      <c r="E1208" s="1"/>
    </row>
    <row r="1209" spans="1:5" x14ac:dyDescent="0.15">
      <c r="A1209" t="s">
        <v>2958</v>
      </c>
      <c r="B1209" s="1"/>
      <c r="C1209" s="1"/>
      <c r="D1209" s="1"/>
      <c r="E1209" s="1"/>
    </row>
    <row r="1210" spans="1:5" x14ac:dyDescent="0.15">
      <c r="A1210" t="s">
        <v>2959</v>
      </c>
      <c r="B1210" s="1"/>
      <c r="C1210" s="1"/>
      <c r="D1210" s="1"/>
      <c r="E1210" s="1"/>
    </row>
    <row r="1211" spans="1:5" x14ac:dyDescent="0.15">
      <c r="A1211" t="s">
        <v>2960</v>
      </c>
      <c r="B1211" s="1"/>
      <c r="C1211" s="1"/>
      <c r="D1211" s="1"/>
      <c r="E1211" s="1"/>
    </row>
    <row r="1212" spans="1:5" x14ac:dyDescent="0.15">
      <c r="A1212" t="s">
        <v>2961</v>
      </c>
      <c r="B1212" s="1"/>
      <c r="C1212" s="1"/>
      <c r="D1212" s="1"/>
      <c r="E1212" s="1"/>
    </row>
    <row r="1213" spans="1:5" x14ac:dyDescent="0.15">
      <c r="A1213" t="s">
        <v>2962</v>
      </c>
      <c r="B1213" s="1"/>
      <c r="C1213" s="1"/>
      <c r="D1213" s="1"/>
      <c r="E1213" s="1"/>
    </row>
    <row r="1214" spans="1:5" x14ac:dyDescent="0.15">
      <c r="A1214" t="s">
        <v>2963</v>
      </c>
      <c r="B1214" s="1"/>
      <c r="C1214" s="1"/>
      <c r="D1214" s="1"/>
      <c r="E1214" s="1"/>
    </row>
    <row r="1215" spans="1:5" x14ac:dyDescent="0.15">
      <c r="A1215" t="s">
        <v>2964</v>
      </c>
      <c r="B1215" s="1"/>
      <c r="C1215" s="1"/>
      <c r="D1215" s="1"/>
      <c r="E1215" s="1"/>
    </row>
    <row r="1216" spans="1:5" x14ac:dyDescent="0.15">
      <c r="A1216" t="s">
        <v>2965</v>
      </c>
      <c r="B1216" s="1"/>
      <c r="C1216" s="1"/>
      <c r="D1216" s="1"/>
      <c r="E1216" s="1"/>
    </row>
    <row r="1217" spans="1:5" x14ac:dyDescent="0.15">
      <c r="A1217" t="s">
        <v>2966</v>
      </c>
      <c r="B1217" s="1"/>
      <c r="C1217" s="1"/>
      <c r="D1217" s="1"/>
      <c r="E1217" s="1"/>
    </row>
    <row r="1218" spans="1:5" x14ac:dyDescent="0.15">
      <c r="A1218" t="s">
        <v>2967</v>
      </c>
      <c r="B1218" s="1"/>
      <c r="C1218" s="1"/>
      <c r="D1218" s="1"/>
      <c r="E1218" s="1"/>
    </row>
    <row r="1219" spans="1:5" x14ac:dyDescent="0.15">
      <c r="A1219" t="s">
        <v>2968</v>
      </c>
      <c r="B1219" s="1"/>
      <c r="C1219" s="1"/>
      <c r="D1219" s="1"/>
      <c r="E1219" s="1"/>
    </row>
    <row r="1220" spans="1:5" x14ac:dyDescent="0.15">
      <c r="A1220" t="s">
        <v>2969</v>
      </c>
      <c r="B1220" s="1"/>
      <c r="C1220" s="1"/>
      <c r="D1220" s="1"/>
      <c r="E1220" s="1"/>
    </row>
    <row r="1221" spans="1:5" x14ac:dyDescent="0.15">
      <c r="A1221" t="s">
        <v>2970</v>
      </c>
      <c r="B1221" s="1"/>
      <c r="C1221" s="1"/>
      <c r="D1221" s="1"/>
      <c r="E1221" s="1"/>
    </row>
    <row r="1222" spans="1:5" x14ac:dyDescent="0.15">
      <c r="A1222" t="s">
        <v>2971</v>
      </c>
      <c r="B1222" s="1"/>
      <c r="C1222" s="1"/>
      <c r="D1222" s="1"/>
      <c r="E1222" s="1"/>
    </row>
    <row r="1223" spans="1:5" x14ac:dyDescent="0.15">
      <c r="A1223" t="s">
        <v>2972</v>
      </c>
      <c r="B1223" s="1"/>
      <c r="C1223" s="1"/>
      <c r="D1223" s="1"/>
      <c r="E1223" s="1"/>
    </row>
    <row r="1224" spans="1:5" x14ac:dyDescent="0.15">
      <c r="A1224" t="s">
        <v>96</v>
      </c>
      <c r="B1224" s="1"/>
      <c r="C1224" s="1"/>
      <c r="D1224" s="1"/>
      <c r="E1224" s="1"/>
    </row>
    <row r="1225" spans="1:5" x14ac:dyDescent="0.15">
      <c r="A1225" t="s">
        <v>2973</v>
      </c>
      <c r="B1225" s="1"/>
      <c r="C1225" s="1"/>
      <c r="D1225" s="1"/>
      <c r="E1225" s="1"/>
    </row>
    <row r="1226" spans="1:5" x14ac:dyDescent="0.15">
      <c r="A1226" t="s">
        <v>2974</v>
      </c>
      <c r="B1226" s="1"/>
      <c r="C1226" s="1"/>
      <c r="D1226" s="1"/>
      <c r="E1226" s="1"/>
    </row>
    <row r="1227" spans="1:5" x14ac:dyDescent="0.15">
      <c r="A1227" t="s">
        <v>2975</v>
      </c>
      <c r="B1227" s="1"/>
      <c r="C1227" s="1"/>
      <c r="D1227" s="1"/>
      <c r="E1227" s="1"/>
    </row>
    <row r="1228" spans="1:5" x14ac:dyDescent="0.15">
      <c r="A1228" t="s">
        <v>2976</v>
      </c>
      <c r="B1228" s="1"/>
      <c r="C1228" s="1"/>
      <c r="D1228" s="1"/>
      <c r="E1228" s="1"/>
    </row>
    <row r="1229" spans="1:5" x14ac:dyDescent="0.15">
      <c r="A1229" t="s">
        <v>2977</v>
      </c>
      <c r="B1229" s="1"/>
      <c r="C1229" s="1"/>
      <c r="D1229" s="1"/>
      <c r="E1229" s="1"/>
    </row>
    <row r="1230" spans="1:5" x14ac:dyDescent="0.15">
      <c r="A1230" t="s">
        <v>2978</v>
      </c>
      <c r="B1230" s="1"/>
      <c r="C1230" s="1"/>
      <c r="D1230" s="1"/>
      <c r="E1230" s="1"/>
    </row>
    <row r="1231" spans="1:5" x14ac:dyDescent="0.15">
      <c r="A1231" t="s">
        <v>2979</v>
      </c>
      <c r="B1231" s="1"/>
      <c r="C1231" s="1"/>
      <c r="D1231" s="1"/>
      <c r="E1231" s="1"/>
    </row>
    <row r="1232" spans="1:5" x14ac:dyDescent="0.15">
      <c r="A1232" t="s">
        <v>2980</v>
      </c>
      <c r="B1232" s="1"/>
      <c r="C1232" s="1"/>
      <c r="D1232" s="1"/>
      <c r="E1232" s="1"/>
    </row>
    <row r="1233" spans="1:5" x14ac:dyDescent="0.15">
      <c r="A1233" t="s">
        <v>2981</v>
      </c>
      <c r="B1233" s="1"/>
      <c r="C1233" s="1"/>
      <c r="D1233" s="1"/>
      <c r="E1233" s="1"/>
    </row>
    <row r="1234" spans="1:5" x14ac:dyDescent="0.15">
      <c r="A1234" t="s">
        <v>2982</v>
      </c>
      <c r="B1234" s="1"/>
      <c r="C1234" s="1"/>
      <c r="D1234" s="1"/>
      <c r="E1234" s="1"/>
    </row>
    <row r="1235" spans="1:5" x14ac:dyDescent="0.15">
      <c r="A1235" t="s">
        <v>2983</v>
      </c>
      <c r="B1235" s="1"/>
      <c r="C1235" s="1"/>
      <c r="D1235" s="1"/>
      <c r="E1235" s="1"/>
    </row>
    <row r="1236" spans="1:5" x14ac:dyDescent="0.15">
      <c r="A1236" t="s">
        <v>2984</v>
      </c>
      <c r="B1236" s="1"/>
      <c r="C1236" s="1"/>
      <c r="D1236" s="1"/>
      <c r="E1236" s="1"/>
    </row>
    <row r="1237" spans="1:5" x14ac:dyDescent="0.15">
      <c r="A1237" t="s">
        <v>2985</v>
      </c>
      <c r="B1237" s="1"/>
      <c r="C1237" s="1"/>
      <c r="D1237" s="1"/>
      <c r="E1237" s="1"/>
    </row>
    <row r="1238" spans="1:5" x14ac:dyDescent="0.15">
      <c r="A1238" t="s">
        <v>2986</v>
      </c>
      <c r="B1238" s="1"/>
      <c r="C1238" s="1"/>
      <c r="D1238" s="1"/>
      <c r="E1238" s="1"/>
    </row>
    <row r="1239" spans="1:5" x14ac:dyDescent="0.15">
      <c r="A1239" t="s">
        <v>2987</v>
      </c>
      <c r="B1239" s="1"/>
      <c r="C1239" s="1"/>
      <c r="D1239" s="1"/>
      <c r="E1239" s="1"/>
    </row>
    <row r="1240" spans="1:5" x14ac:dyDescent="0.15">
      <c r="A1240" t="s">
        <v>2988</v>
      </c>
      <c r="B1240" s="1"/>
      <c r="C1240" s="1"/>
      <c r="D1240" s="1"/>
      <c r="E1240" s="1"/>
    </row>
    <row r="1241" spans="1:5" x14ac:dyDescent="0.15">
      <c r="A1241" t="s">
        <v>2989</v>
      </c>
      <c r="B1241" s="1"/>
      <c r="C1241" s="1"/>
      <c r="D1241" s="1"/>
      <c r="E1241" s="1"/>
    </row>
    <row r="1242" spans="1:5" x14ac:dyDescent="0.15">
      <c r="A1242" t="s">
        <v>2990</v>
      </c>
      <c r="B1242" s="1"/>
      <c r="C1242" s="1"/>
      <c r="D1242" s="1"/>
      <c r="E1242" s="1"/>
    </row>
    <row r="1243" spans="1:5" x14ac:dyDescent="0.15">
      <c r="A1243" t="s">
        <v>2991</v>
      </c>
      <c r="B1243" s="1"/>
      <c r="C1243" s="1"/>
      <c r="D1243" s="1"/>
      <c r="E1243" s="1"/>
    </row>
    <row r="1244" spans="1:5" x14ac:dyDescent="0.15">
      <c r="A1244" t="s">
        <v>2992</v>
      </c>
      <c r="B1244" s="1"/>
      <c r="C1244" s="1"/>
      <c r="D1244" s="1"/>
      <c r="E1244" s="1"/>
    </row>
    <row r="1245" spans="1:5" x14ac:dyDescent="0.15">
      <c r="A1245" t="s">
        <v>2993</v>
      </c>
      <c r="B1245" s="1"/>
      <c r="C1245" s="1"/>
      <c r="D1245" s="1"/>
      <c r="E1245" s="1"/>
    </row>
    <row r="1246" spans="1:5" x14ac:dyDescent="0.15">
      <c r="A1246" t="s">
        <v>2994</v>
      </c>
      <c r="B1246" s="1"/>
      <c r="C1246" s="1"/>
      <c r="D1246" s="1"/>
      <c r="E1246" s="1"/>
    </row>
  </sheetData>
  <phoneticPr fontId="5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0D5E3-D148-4BB2-BA39-7F19AF417ED9}">
  <sheetPr codeName="Sheet6"/>
  <dimension ref="A1:D341"/>
  <sheetViews>
    <sheetView topLeftCell="A250" workbookViewId="0">
      <selection activeCell="C261" sqref="C261"/>
    </sheetView>
  </sheetViews>
  <sheetFormatPr defaultRowHeight="13.5" x14ac:dyDescent="0.15"/>
  <cols>
    <col min="1" max="1" width="20.5" bestFit="1" customWidth="1"/>
    <col min="2" max="2" width="37.125" bestFit="1" customWidth="1"/>
    <col min="3" max="3" width="22.375" bestFit="1" customWidth="1"/>
    <col min="4" max="4" width="15.125" bestFit="1" customWidth="1"/>
  </cols>
  <sheetData>
    <row r="1" spans="1:4" x14ac:dyDescent="0.15">
      <c r="A1" t="s">
        <v>2</v>
      </c>
      <c r="B1" t="s">
        <v>3</v>
      </c>
      <c r="C1" t="s">
        <v>4</v>
      </c>
      <c r="D1" s="13" t="s">
        <v>3793</v>
      </c>
    </row>
    <row r="2" spans="1:4" x14ac:dyDescent="0.15">
      <c r="A2" t="s">
        <v>550</v>
      </c>
      <c r="B2" t="s">
        <v>1833</v>
      </c>
      <c r="C2" t="s">
        <v>411</v>
      </c>
      <c r="D2" t="str">
        <f>B2&amp;C2</f>
        <v>葡萄糖酸钙口服溶液10ml*12支</v>
      </c>
    </row>
    <row r="3" spans="1:4" x14ac:dyDescent="0.15">
      <c r="A3" t="s">
        <v>552</v>
      </c>
      <c r="B3" t="s">
        <v>555</v>
      </c>
      <c r="C3" t="s">
        <v>411</v>
      </c>
      <c r="D3" t="str">
        <f t="shared" ref="D3:D66" si="0">B3&amp;C3</f>
        <v>葡萄糖酸锌口服液10ml*12支</v>
      </c>
    </row>
    <row r="4" spans="1:4" x14ac:dyDescent="0.15">
      <c r="A4" t="s">
        <v>542</v>
      </c>
      <c r="B4" t="s">
        <v>543</v>
      </c>
      <c r="C4" t="s">
        <v>1834</v>
      </c>
      <c r="D4" t="str">
        <f t="shared" si="0"/>
        <v>诺氟沙星胶囊0.1g*20粒</v>
      </c>
    </row>
    <row r="5" spans="1:4" x14ac:dyDescent="0.15">
      <c r="A5" t="s">
        <v>503</v>
      </c>
      <c r="B5" t="s">
        <v>1835</v>
      </c>
      <c r="C5" t="s">
        <v>1836</v>
      </c>
      <c r="D5" t="str">
        <f t="shared" si="0"/>
        <v>蒙脱石散3g*12袋</v>
      </c>
    </row>
    <row r="6" spans="1:4" x14ac:dyDescent="0.15">
      <c r="A6" t="s">
        <v>724</v>
      </c>
      <c r="B6" t="s">
        <v>1837</v>
      </c>
      <c r="C6" t="s">
        <v>1838</v>
      </c>
      <c r="D6" t="str">
        <f t="shared" si="0"/>
        <v>新盖中盖高钙片(成人)/盖中盖2.5g*36片</v>
      </c>
    </row>
    <row r="7" spans="1:4" x14ac:dyDescent="0.15">
      <c r="A7" t="s">
        <v>590</v>
      </c>
      <c r="B7" t="s">
        <v>591</v>
      </c>
      <c r="C7" t="s">
        <v>1839</v>
      </c>
      <c r="D7" t="str">
        <f t="shared" si="0"/>
        <v>乳酸菌素片0.4g*36片</v>
      </c>
    </row>
    <row r="8" spans="1:4" x14ac:dyDescent="0.15">
      <c r="A8" t="s">
        <v>496</v>
      </c>
      <c r="B8" t="s">
        <v>1840</v>
      </c>
      <c r="C8" t="s">
        <v>1841</v>
      </c>
      <c r="D8" t="str">
        <f t="shared" si="0"/>
        <v>罗红霉素分散片/小严迪50mg*12片</v>
      </c>
    </row>
    <row r="9" spans="1:4" x14ac:dyDescent="0.15">
      <c r="A9" t="s">
        <v>744</v>
      </c>
      <c r="B9" t="s">
        <v>745</v>
      </c>
      <c r="C9" t="s">
        <v>290</v>
      </c>
      <c r="D9" t="str">
        <f t="shared" si="0"/>
        <v>盐酸环丙沙星片0.25g*12片</v>
      </c>
    </row>
    <row r="10" spans="1:4" x14ac:dyDescent="0.15">
      <c r="A10" t="s">
        <v>558</v>
      </c>
      <c r="B10" t="s">
        <v>1842</v>
      </c>
      <c r="C10" t="s">
        <v>411</v>
      </c>
      <c r="D10" t="str">
        <f t="shared" si="0"/>
        <v>朴血乳酸亚铁口服液10ml*12支</v>
      </c>
    </row>
    <row r="11" spans="1:4" x14ac:dyDescent="0.15">
      <c r="A11" t="s">
        <v>767</v>
      </c>
      <c r="B11" t="s">
        <v>768</v>
      </c>
      <c r="C11" t="s">
        <v>1843</v>
      </c>
      <c r="D11" t="str">
        <f t="shared" si="0"/>
        <v>医用退热贴2贴</v>
      </c>
    </row>
    <row r="12" spans="1:4" x14ac:dyDescent="0.15">
      <c r="A12" t="s">
        <v>401</v>
      </c>
      <c r="B12" t="s">
        <v>1844</v>
      </c>
      <c r="C12" t="s">
        <v>411</v>
      </c>
      <c r="D12" t="str">
        <f t="shared" si="0"/>
        <v>哈药六牌钙加锌口服液10ml*12支</v>
      </c>
    </row>
    <row r="13" spans="1:4" x14ac:dyDescent="0.15">
      <c r="A13" t="s">
        <v>414</v>
      </c>
      <c r="B13" t="s">
        <v>1845</v>
      </c>
      <c r="C13" t="s">
        <v>1846</v>
      </c>
      <c r="D13" t="str">
        <f t="shared" si="0"/>
        <v>感冒解毒灵颗粒5g*10袋</v>
      </c>
    </row>
    <row r="14" spans="1:4" x14ac:dyDescent="0.15">
      <c r="A14" t="s">
        <v>319</v>
      </c>
      <c r="B14" t="s">
        <v>1847</v>
      </c>
      <c r="C14" t="s">
        <v>1848</v>
      </c>
      <c r="D14" t="str">
        <f t="shared" si="0"/>
        <v>布洛芬颗粒/小安瑞克0.2g*12袋</v>
      </c>
    </row>
    <row r="15" spans="1:4" x14ac:dyDescent="0.15">
      <c r="A15" t="s">
        <v>404</v>
      </c>
      <c r="B15" t="s">
        <v>1849</v>
      </c>
      <c r="C15" t="s">
        <v>1850</v>
      </c>
      <c r="D15" t="str">
        <f t="shared" si="0"/>
        <v>哈药牌钙铁锌口服液10ml*10支</v>
      </c>
    </row>
    <row r="16" spans="1:4" x14ac:dyDescent="0.15">
      <c r="A16" t="s">
        <v>707</v>
      </c>
      <c r="B16" t="s">
        <v>708</v>
      </c>
      <c r="C16" t="s">
        <v>1851</v>
      </c>
      <c r="D16" t="str">
        <f t="shared" si="0"/>
        <v>小儿百部止咳糖浆100ml</v>
      </c>
    </row>
    <row r="17" spans="1:4" x14ac:dyDescent="0.15">
      <c r="A17" t="s">
        <v>701</v>
      </c>
      <c r="B17" t="s">
        <v>1852</v>
      </c>
      <c r="C17" t="s">
        <v>1853</v>
      </c>
      <c r="D17" t="str">
        <f t="shared" si="0"/>
        <v>小儿氨酚黄那敏颗粒/护彤2g*12袋</v>
      </c>
    </row>
    <row r="18" spans="1:4" x14ac:dyDescent="0.15">
      <c r="A18" t="s">
        <v>278</v>
      </c>
      <c r="B18" t="s">
        <v>1854</v>
      </c>
      <c r="C18" t="s">
        <v>279</v>
      </c>
      <c r="D18" t="str">
        <f t="shared" si="0"/>
        <v>阿莫西林克拉维酸钾分散片/胜艾0.2285g*12片</v>
      </c>
    </row>
    <row r="19" spans="1:4" x14ac:dyDescent="0.15">
      <c r="A19" t="s">
        <v>387</v>
      </c>
      <c r="B19" t="s">
        <v>380</v>
      </c>
      <c r="C19" t="s">
        <v>381</v>
      </c>
      <c r="D19" t="str">
        <f t="shared" si="0"/>
        <v>复方氨酚烷胺片12片</v>
      </c>
    </row>
    <row r="20" spans="1:4" x14ac:dyDescent="0.15">
      <c r="A20" t="s">
        <v>348</v>
      </c>
      <c r="B20" t="s">
        <v>1855</v>
      </c>
      <c r="C20" t="s">
        <v>381</v>
      </c>
      <c r="D20" t="str">
        <f t="shared" si="0"/>
        <v>颠茄磺苄啶片12片</v>
      </c>
    </row>
    <row r="21" spans="1:4" x14ac:dyDescent="0.15">
      <c r="A21" t="s">
        <v>515</v>
      </c>
      <c r="B21" t="s">
        <v>516</v>
      </c>
      <c r="C21" t="s">
        <v>1856</v>
      </c>
      <c r="D21" t="str">
        <f t="shared" si="0"/>
        <v>尼莫地平片20mg*50片</v>
      </c>
    </row>
    <row r="22" spans="1:4" x14ac:dyDescent="0.15">
      <c r="A22" t="s">
        <v>371</v>
      </c>
      <c r="B22" t="s">
        <v>1857</v>
      </c>
      <c r="C22" t="s">
        <v>1858</v>
      </c>
      <c r="D22" t="str">
        <f t="shared" si="0"/>
        <v>妇宁栓1.6克*8粒</v>
      </c>
    </row>
    <row r="23" spans="1:4" x14ac:dyDescent="0.15">
      <c r="A23" t="s">
        <v>379</v>
      </c>
      <c r="B23" t="s">
        <v>380</v>
      </c>
      <c r="C23" t="s">
        <v>381</v>
      </c>
      <c r="D23" t="str">
        <f t="shared" si="0"/>
        <v>复方氨酚烷胺片12片</v>
      </c>
    </row>
    <row r="24" spans="1:4" x14ac:dyDescent="0.15">
      <c r="A24" t="s">
        <v>244</v>
      </c>
      <c r="B24" t="s">
        <v>1859</v>
      </c>
      <c r="C24" t="s">
        <v>246</v>
      </c>
      <c r="D24" t="str">
        <f t="shared" si="0"/>
        <v>阿莫西林胶囊/益萨林0.25g*20粒</v>
      </c>
    </row>
    <row r="25" spans="1:4" x14ac:dyDescent="0.15">
      <c r="A25" t="s">
        <v>580</v>
      </c>
      <c r="B25" t="s">
        <v>581</v>
      </c>
      <c r="C25" t="s">
        <v>1850</v>
      </c>
      <c r="D25" t="str">
        <f t="shared" si="0"/>
        <v>清热解毒口服液10ml*10支</v>
      </c>
    </row>
    <row r="26" spans="1:4" x14ac:dyDescent="0.15">
      <c r="A26" t="s">
        <v>640</v>
      </c>
      <c r="B26" t="s">
        <v>641</v>
      </c>
      <c r="C26" t="s">
        <v>434</v>
      </c>
      <c r="D26" t="str">
        <f t="shared" si="0"/>
        <v>头孢氨苄胶囊0.125g*20粒</v>
      </c>
    </row>
    <row r="27" spans="1:4" x14ac:dyDescent="0.15">
      <c r="A27" t="s">
        <v>577</v>
      </c>
      <c r="B27" t="s">
        <v>575</v>
      </c>
      <c r="C27" t="s">
        <v>1860</v>
      </c>
      <c r="D27" t="str">
        <f t="shared" si="0"/>
        <v>青霉素V钾片0.236g*24片</v>
      </c>
    </row>
    <row r="28" spans="1:4" x14ac:dyDescent="0.15">
      <c r="A28" t="s">
        <v>377</v>
      </c>
      <c r="B28" t="s">
        <v>1861</v>
      </c>
      <c r="C28" t="s">
        <v>444</v>
      </c>
      <c r="D28" t="str">
        <f t="shared" si="0"/>
        <v>附子理中丸9g*10丸</v>
      </c>
    </row>
    <row r="29" spans="1:4" x14ac:dyDescent="0.15">
      <c r="A29" t="s">
        <v>351</v>
      </c>
      <c r="B29" t="s">
        <v>1862</v>
      </c>
      <c r="C29" t="s">
        <v>1863</v>
      </c>
      <c r="D29" t="str">
        <f t="shared" si="0"/>
        <v>颠茄磺苄啶片/儿童0.122g*20片</v>
      </c>
    </row>
    <row r="30" spans="1:4" x14ac:dyDescent="0.15">
      <c r="A30" t="s">
        <v>253</v>
      </c>
      <c r="B30" t="s">
        <v>1859</v>
      </c>
      <c r="C30" t="s">
        <v>254</v>
      </c>
      <c r="D30" t="str">
        <f t="shared" si="0"/>
        <v>阿莫西林胶囊/益萨林0.5g*20粒</v>
      </c>
    </row>
    <row r="31" spans="1:4" x14ac:dyDescent="0.15">
      <c r="A31" t="s">
        <v>390</v>
      </c>
      <c r="B31" t="s">
        <v>1864</v>
      </c>
      <c r="C31" t="s">
        <v>339</v>
      </c>
      <c r="D31" t="str">
        <f t="shared" si="0"/>
        <v>复方金银花颗粒10g*10袋</v>
      </c>
    </row>
    <row r="32" spans="1:4" x14ac:dyDescent="0.15">
      <c r="A32" t="s">
        <v>1029</v>
      </c>
      <c r="B32" t="s">
        <v>1030</v>
      </c>
      <c r="C32" t="s">
        <v>1865</v>
      </c>
      <c r="D32" t="str">
        <f t="shared" si="0"/>
        <v>壮肾安神片45片</v>
      </c>
    </row>
    <row r="33" spans="1:4" x14ac:dyDescent="0.15">
      <c r="A33" t="s">
        <v>398</v>
      </c>
      <c r="B33" t="s">
        <v>399</v>
      </c>
      <c r="C33" t="s">
        <v>508</v>
      </c>
      <c r="D33" t="str">
        <f t="shared" si="0"/>
        <v>富马酸亚铁颗粒6袋</v>
      </c>
    </row>
    <row r="34" spans="1:4" x14ac:dyDescent="0.15">
      <c r="A34" t="s">
        <v>342</v>
      </c>
      <c r="B34" t="s">
        <v>338</v>
      </c>
      <c r="C34" t="s">
        <v>1866</v>
      </c>
      <c r="D34" t="str">
        <f t="shared" si="0"/>
        <v>丹佛胃尔康颗粒10g*6袋</v>
      </c>
    </row>
    <row r="35" spans="1:4" x14ac:dyDescent="0.15">
      <c r="A35" t="s">
        <v>714</v>
      </c>
      <c r="B35" t="s">
        <v>715</v>
      </c>
      <c r="C35" t="s">
        <v>1867</v>
      </c>
      <c r="D35" t="str">
        <f t="shared" si="0"/>
        <v>小活络丸3g*10丸</v>
      </c>
    </row>
    <row r="36" spans="1:4" x14ac:dyDescent="0.15">
      <c r="A36" t="s">
        <v>498</v>
      </c>
      <c r="B36" t="s">
        <v>1868</v>
      </c>
      <c r="C36" t="s">
        <v>1869</v>
      </c>
      <c r="D36" t="str">
        <f t="shared" si="0"/>
        <v>罗红霉素分散片/大严迪75mg*12片</v>
      </c>
    </row>
    <row r="37" spans="1:4" x14ac:dyDescent="0.15">
      <c r="A37" t="s">
        <v>396</v>
      </c>
      <c r="B37" t="s">
        <v>1870</v>
      </c>
      <c r="C37" t="s">
        <v>1871</v>
      </c>
      <c r="D37" t="str">
        <f t="shared" si="0"/>
        <v>复方铝酸铋片/新胃必治50片</v>
      </c>
    </row>
    <row r="38" spans="1:4" x14ac:dyDescent="0.15">
      <c r="A38" t="s">
        <v>478</v>
      </c>
      <c r="B38" t="s">
        <v>1872</v>
      </c>
      <c r="C38" t="s">
        <v>1873</v>
      </c>
      <c r="D38" t="str">
        <f t="shared" si="0"/>
        <v>拉西地平片/司乐平4mg*15片</v>
      </c>
    </row>
    <row r="39" spans="1:4" x14ac:dyDescent="0.15">
      <c r="A39" t="s">
        <v>305</v>
      </c>
      <c r="B39" t="s">
        <v>306</v>
      </c>
      <c r="C39" t="s">
        <v>1874</v>
      </c>
      <c r="D39" t="str">
        <f t="shared" si="0"/>
        <v>氨金黄敏颗粒6g*10袋</v>
      </c>
    </row>
    <row r="40" spans="1:4" x14ac:dyDescent="0.15">
      <c r="A40" t="s">
        <v>917</v>
      </c>
      <c r="B40" t="s">
        <v>911</v>
      </c>
      <c r="C40" t="s">
        <v>914</v>
      </c>
      <c r="D40" t="str">
        <f t="shared" si="0"/>
        <v>注射用乳糖酸阿奇霉素0.25g</v>
      </c>
    </row>
    <row r="41" spans="1:4" x14ac:dyDescent="0.15">
      <c r="A41" t="s">
        <v>772</v>
      </c>
      <c r="B41" t="s">
        <v>1875</v>
      </c>
      <c r="C41" t="s">
        <v>444</v>
      </c>
      <c r="D41" t="str">
        <f t="shared" si="0"/>
        <v>益母丸9g*10丸</v>
      </c>
    </row>
    <row r="42" spans="1:4" x14ac:dyDescent="0.15">
      <c r="A42" t="s">
        <v>631</v>
      </c>
      <c r="B42" t="s">
        <v>630</v>
      </c>
      <c r="C42" t="s">
        <v>1876</v>
      </c>
      <c r="D42" t="str">
        <f t="shared" si="0"/>
        <v>双黄连口服液10ml*10z</v>
      </c>
    </row>
    <row r="43" spans="1:4" x14ac:dyDescent="0.15">
      <c r="A43" t="s">
        <v>345</v>
      </c>
      <c r="B43" t="s">
        <v>1877</v>
      </c>
      <c r="C43" t="s">
        <v>1878</v>
      </c>
      <c r="D43" t="str">
        <f t="shared" si="0"/>
        <v xml:space="preserve">泻利停/颠茄磺苄啶片0.48g*10片 </v>
      </c>
    </row>
    <row r="44" spans="1:4" x14ac:dyDescent="0.15">
      <c r="A44" t="s">
        <v>521</v>
      </c>
      <c r="B44" t="s">
        <v>522</v>
      </c>
      <c r="C44" t="s">
        <v>1867</v>
      </c>
      <c r="D44" t="str">
        <f t="shared" si="0"/>
        <v>牛黄解毒丸3g*10丸</v>
      </c>
    </row>
    <row r="45" spans="1:4" x14ac:dyDescent="0.15">
      <c r="A45" t="s">
        <v>406</v>
      </c>
      <c r="B45" t="s">
        <v>1849</v>
      </c>
      <c r="C45" t="s">
        <v>411</v>
      </c>
      <c r="D45" t="str">
        <f t="shared" si="0"/>
        <v>哈药牌钙铁锌口服液10ml*12支</v>
      </c>
    </row>
    <row r="46" spans="1:4" x14ac:dyDescent="0.15">
      <c r="A46" t="s">
        <v>278</v>
      </c>
      <c r="B46" t="s">
        <v>1879</v>
      </c>
      <c r="C46" t="s">
        <v>279</v>
      </c>
      <c r="D46" t="str">
        <f t="shared" si="0"/>
        <v>阿莫西林克拉维酸钾7:1分散片（胜艾）0.2285g*12片</v>
      </c>
    </row>
    <row r="47" spans="1:4" x14ac:dyDescent="0.15">
      <c r="A47" t="s">
        <v>681</v>
      </c>
      <c r="B47" t="s">
        <v>1880</v>
      </c>
      <c r="C47" t="s">
        <v>1881</v>
      </c>
      <c r="D47" t="str">
        <f t="shared" si="0"/>
        <v>*维生素C咀嚼片/VC片0.1g*30片</v>
      </c>
    </row>
    <row r="48" spans="1:4" x14ac:dyDescent="0.15">
      <c r="A48" t="s">
        <v>676</v>
      </c>
      <c r="B48" t="s">
        <v>677</v>
      </c>
      <c r="C48" t="s">
        <v>1882</v>
      </c>
      <c r="D48" t="str">
        <f t="shared" si="0"/>
        <v>维D2磷酸氢钙片60片</v>
      </c>
    </row>
    <row r="49" spans="1:4" x14ac:dyDescent="0.15">
      <c r="A49" t="s">
        <v>593</v>
      </c>
      <c r="B49" t="s">
        <v>1883</v>
      </c>
      <c r="C49" t="s">
        <v>1839</v>
      </c>
      <c r="D49" t="str">
        <f t="shared" si="0"/>
        <v>“为消”牌乳酸菌素片0.4g*36片</v>
      </c>
    </row>
    <row r="50" spans="1:4" x14ac:dyDescent="0.15">
      <c r="A50" t="s">
        <v>577</v>
      </c>
      <c r="B50" t="s">
        <v>578</v>
      </c>
      <c r="C50" t="s">
        <v>1860</v>
      </c>
      <c r="D50" t="str">
        <f t="shared" si="0"/>
        <v>青霉素V钾片（仙芬）0.236g*24片</v>
      </c>
    </row>
    <row r="51" spans="1:4" x14ac:dyDescent="0.15">
      <c r="A51" t="s">
        <v>767</v>
      </c>
      <c r="B51" t="s">
        <v>672</v>
      </c>
      <c r="C51" t="s">
        <v>1884</v>
      </c>
      <c r="D51" t="str">
        <f t="shared" si="0"/>
        <v>退热贴40mm*110mm*2贴</v>
      </c>
    </row>
    <row r="52" spans="1:4" x14ac:dyDescent="0.15">
      <c r="A52" t="s">
        <v>724</v>
      </c>
      <c r="B52" t="s">
        <v>1885</v>
      </c>
      <c r="C52" t="s">
        <v>1886</v>
      </c>
      <c r="D52" t="str">
        <f t="shared" si="0"/>
        <v>新盖中盖高钙片2.5g*36P</v>
      </c>
    </row>
    <row r="53" spans="1:4" x14ac:dyDescent="0.15">
      <c r="A53" t="s">
        <v>407</v>
      </c>
      <c r="B53" t="s">
        <v>1849</v>
      </c>
      <c r="C53" t="s">
        <v>1887</v>
      </c>
      <c r="D53" t="str">
        <f t="shared" si="0"/>
        <v>哈药牌钙铁锌口服液10ml*15支</v>
      </c>
    </row>
    <row r="54" spans="1:4" x14ac:dyDescent="0.15">
      <c r="A54" t="s">
        <v>319</v>
      </c>
      <c r="B54" t="s">
        <v>317</v>
      </c>
      <c r="C54" t="s">
        <v>1848</v>
      </c>
      <c r="D54" t="str">
        <f t="shared" si="0"/>
        <v>布洛芬颗粒0.2g*12袋</v>
      </c>
    </row>
    <row r="55" spans="1:4" x14ac:dyDescent="0.15">
      <c r="A55" t="s">
        <v>550</v>
      </c>
      <c r="B55" t="s">
        <v>1888</v>
      </c>
      <c r="C55" t="s">
        <v>411</v>
      </c>
      <c r="D55" t="str">
        <f t="shared" si="0"/>
        <v>葡萄糖酸钙口服溶液（含糖）10ml*12支</v>
      </c>
    </row>
    <row r="56" spans="1:4" x14ac:dyDescent="0.15">
      <c r="A56" t="s">
        <v>633</v>
      </c>
      <c r="B56" t="s">
        <v>630</v>
      </c>
      <c r="C56" t="s">
        <v>634</v>
      </c>
      <c r="D56" t="str">
        <f t="shared" si="0"/>
        <v>双黄连口服液20ml*9支</v>
      </c>
    </row>
    <row r="57" spans="1:4" x14ac:dyDescent="0.15">
      <c r="A57" t="s">
        <v>631</v>
      </c>
      <c r="B57" t="s">
        <v>630</v>
      </c>
      <c r="C57" t="s">
        <v>1850</v>
      </c>
      <c r="D57" t="str">
        <f t="shared" si="0"/>
        <v>双黄连口服液10ml*10支</v>
      </c>
    </row>
    <row r="58" spans="1:4" x14ac:dyDescent="0.15">
      <c r="A58" t="s">
        <v>493</v>
      </c>
      <c r="B58" t="s">
        <v>1890</v>
      </c>
      <c r="C58" t="s">
        <v>1891</v>
      </c>
      <c r="D58" t="str">
        <f t="shared" si="0"/>
        <v>严迪/罗红霉素分散片150mg*12片</v>
      </c>
    </row>
    <row r="59" spans="1:4" x14ac:dyDescent="0.15">
      <c r="A59" t="s">
        <v>755</v>
      </c>
      <c r="B59" t="s">
        <v>1892</v>
      </c>
      <c r="C59" t="s">
        <v>756</v>
      </c>
      <c r="D59" t="str">
        <f t="shared" si="0"/>
        <v>盐酸依托必利胶囊50mg*20粒</v>
      </c>
    </row>
    <row r="60" spans="1:4" x14ac:dyDescent="0.15">
      <c r="A60" t="s">
        <v>371</v>
      </c>
      <c r="B60" t="s">
        <v>1857</v>
      </c>
      <c r="C60" t="s">
        <v>1893</v>
      </c>
      <c r="D60" t="str">
        <f t="shared" si="0"/>
        <v>妇宁栓1.6g*8枚</v>
      </c>
    </row>
    <row r="61" spans="1:4" x14ac:dyDescent="0.15">
      <c r="A61" t="s">
        <v>253</v>
      </c>
      <c r="B61" t="s">
        <v>245</v>
      </c>
      <c r="C61" t="s">
        <v>254</v>
      </c>
      <c r="D61" t="str">
        <f t="shared" si="0"/>
        <v>阿莫西林胶囊0.5g*20粒</v>
      </c>
    </row>
    <row r="62" spans="1:4" x14ac:dyDescent="0.15">
      <c r="A62" t="s">
        <v>742</v>
      </c>
      <c r="B62" t="s">
        <v>1894</v>
      </c>
      <c r="C62" t="s">
        <v>1895</v>
      </c>
      <c r="D62" t="str">
        <f t="shared" si="0"/>
        <v>盐酸氟桂利嗪片/孚瑞尔40片</v>
      </c>
    </row>
    <row r="63" spans="1:4" x14ac:dyDescent="0.15">
      <c r="A63" t="s">
        <v>368</v>
      </c>
      <c r="B63" t="s">
        <v>1857</v>
      </c>
      <c r="C63" t="s">
        <v>1896</v>
      </c>
      <c r="D63" t="str">
        <f t="shared" si="0"/>
        <v>妇宁栓1.6g×7枚</v>
      </c>
    </row>
    <row r="64" spans="1:4" x14ac:dyDescent="0.15">
      <c r="A64" t="s">
        <v>819</v>
      </c>
      <c r="B64" t="s">
        <v>1897</v>
      </c>
      <c r="C64" t="s">
        <v>1898</v>
      </c>
      <c r="D64" t="str">
        <f t="shared" si="0"/>
        <v>注射用阿莫西林针/益萨林1g*10z</v>
      </c>
    </row>
    <row r="65" spans="1:4" x14ac:dyDescent="0.15">
      <c r="A65" t="s">
        <v>498</v>
      </c>
      <c r="B65" t="s">
        <v>1899</v>
      </c>
      <c r="C65" t="s">
        <v>1869</v>
      </c>
      <c r="D65" t="str">
        <f t="shared" si="0"/>
        <v>大严迪片/罗红霉素分散片75mg*12片</v>
      </c>
    </row>
    <row r="66" spans="1:4" x14ac:dyDescent="0.15">
      <c r="A66" t="s">
        <v>588</v>
      </c>
      <c r="B66" t="s">
        <v>1900</v>
      </c>
      <c r="C66" t="s">
        <v>1901</v>
      </c>
      <c r="D66" t="str">
        <f t="shared" si="0"/>
        <v>人工牛黄甲硝唑胶囊/牙疼安10粒*3板</v>
      </c>
    </row>
    <row r="67" spans="1:4" x14ac:dyDescent="0.15">
      <c r="A67" t="s">
        <v>681</v>
      </c>
      <c r="B67" t="s">
        <v>1902</v>
      </c>
      <c r="C67" t="s">
        <v>1881</v>
      </c>
      <c r="D67" t="str">
        <f t="shared" ref="D67:D130" si="1">B67&amp;C67</f>
        <v>维生素C咀嚼片/VC片0.1g*30片</v>
      </c>
    </row>
    <row r="68" spans="1:4" x14ac:dyDescent="0.15">
      <c r="A68" t="s">
        <v>593</v>
      </c>
      <c r="B68" t="s">
        <v>1903</v>
      </c>
      <c r="C68" t="s">
        <v>1839</v>
      </c>
      <c r="D68" t="str">
        <f t="shared" si="1"/>
        <v>乳酸菌素片/为消0.4g*36片</v>
      </c>
    </row>
    <row r="69" spans="1:4" x14ac:dyDescent="0.15">
      <c r="A69" t="s">
        <v>478</v>
      </c>
      <c r="B69" t="s">
        <v>1904</v>
      </c>
      <c r="C69" t="s">
        <v>1873</v>
      </c>
      <c r="D69" t="str">
        <f t="shared" si="1"/>
        <v>拉西地平片/三精司乐平片4mg*15片</v>
      </c>
    </row>
    <row r="70" spans="1:4" x14ac:dyDescent="0.15">
      <c r="A70" t="s">
        <v>409</v>
      </c>
      <c r="B70" t="s">
        <v>1905</v>
      </c>
      <c r="C70" t="s">
        <v>411</v>
      </c>
      <c r="D70" t="str">
        <f t="shared" si="1"/>
        <v>哈药六钙锌口服液10ml*12支</v>
      </c>
    </row>
    <row r="71" spans="1:4" x14ac:dyDescent="0.15">
      <c r="A71" t="s">
        <v>558</v>
      </c>
      <c r="B71" t="s">
        <v>1906</v>
      </c>
      <c r="C71" t="s">
        <v>411</v>
      </c>
      <c r="D71" t="str">
        <f t="shared" si="1"/>
        <v>朴血/乳酸亚铁口服液10ml*12支</v>
      </c>
    </row>
    <row r="72" spans="1:4" x14ac:dyDescent="0.15">
      <c r="A72" t="s">
        <v>396</v>
      </c>
      <c r="B72" t="s">
        <v>1907</v>
      </c>
      <c r="C72" t="s">
        <v>1871</v>
      </c>
      <c r="D72" t="str">
        <f t="shared" si="1"/>
        <v>胃必治/复方铝酸铋片50片</v>
      </c>
    </row>
    <row r="73" spans="1:4" x14ac:dyDescent="0.15">
      <c r="A73" t="s">
        <v>704</v>
      </c>
      <c r="B73" t="s">
        <v>705</v>
      </c>
      <c r="C73" t="s">
        <v>1908</v>
      </c>
      <c r="D73" t="str">
        <f t="shared" si="1"/>
        <v>小儿氨酚黄那敏片0.125g*20片</v>
      </c>
    </row>
    <row r="74" spans="1:4" x14ac:dyDescent="0.15">
      <c r="A74" t="s">
        <v>721</v>
      </c>
      <c r="B74" t="s">
        <v>722</v>
      </c>
      <c r="C74" t="s">
        <v>1909</v>
      </c>
      <c r="D74" t="str">
        <f t="shared" si="1"/>
        <v>新盖中盖牌儿童钙片1.75g*36p</v>
      </c>
    </row>
    <row r="75" spans="1:4" x14ac:dyDescent="0.15">
      <c r="A75" t="s">
        <v>483</v>
      </c>
      <c r="B75" t="s">
        <v>484</v>
      </c>
      <c r="C75" t="s">
        <v>1910</v>
      </c>
      <c r="D75" t="str">
        <f t="shared" si="1"/>
        <v>羚羊感冒片24片</v>
      </c>
    </row>
    <row r="76" spans="1:4" x14ac:dyDescent="0.15">
      <c r="A76" t="s">
        <v>536</v>
      </c>
      <c r="B76" t="s">
        <v>537</v>
      </c>
      <c r="C76" t="s">
        <v>1911</v>
      </c>
      <c r="D76" t="str">
        <f t="shared" si="1"/>
        <v>牛黄消炎片30片</v>
      </c>
    </row>
    <row r="77" spans="1:4" x14ac:dyDescent="0.15">
      <c r="A77" t="s">
        <v>426</v>
      </c>
      <c r="B77" t="s">
        <v>427</v>
      </c>
      <c r="C77" t="s">
        <v>1912</v>
      </c>
      <c r="D77" t="str">
        <f t="shared" si="1"/>
        <v>冠心苏合丸1.2g*30丸</v>
      </c>
    </row>
    <row r="78" spans="1:4" x14ac:dyDescent="0.15">
      <c r="A78" t="s">
        <v>747</v>
      </c>
      <c r="B78" t="s">
        <v>1913</v>
      </c>
      <c r="C78" t="s">
        <v>749</v>
      </c>
      <c r="D78" t="str">
        <f t="shared" si="1"/>
        <v>盐酸特拉唑嗪胶囊2mg*10粒</v>
      </c>
    </row>
    <row r="79" spans="1:4" x14ac:dyDescent="0.15">
      <c r="A79" t="s">
        <v>585</v>
      </c>
      <c r="B79" t="s">
        <v>1900</v>
      </c>
      <c r="C79" t="s">
        <v>1914</v>
      </c>
      <c r="D79" t="str">
        <f t="shared" si="1"/>
        <v>人工牛黄甲硝唑胶囊/牙疼安10粒*2板</v>
      </c>
    </row>
    <row r="80" spans="1:4" x14ac:dyDescent="0.15">
      <c r="A80" t="s">
        <v>314</v>
      </c>
      <c r="B80" t="s">
        <v>1915</v>
      </c>
      <c r="C80" t="s">
        <v>444</v>
      </c>
      <c r="D80" t="str">
        <f t="shared" si="1"/>
        <v>保和丸9g*10丸</v>
      </c>
    </row>
    <row r="81" spans="1:4" x14ac:dyDescent="0.15">
      <c r="A81" t="s">
        <v>468</v>
      </c>
      <c r="B81" t="s">
        <v>469</v>
      </c>
      <c r="C81" t="s">
        <v>1916</v>
      </c>
      <c r="D81" t="str">
        <f t="shared" si="1"/>
        <v>克拉霉素分散片0.125g*12片</v>
      </c>
    </row>
    <row r="82" spans="1:4" x14ac:dyDescent="0.15">
      <c r="A82" t="s">
        <v>460</v>
      </c>
      <c r="B82" t="s">
        <v>461</v>
      </c>
      <c r="C82" t="s">
        <v>1917</v>
      </c>
      <c r="D82" t="str">
        <f t="shared" si="1"/>
        <v>菊梅利咽含片1.2g*18片</v>
      </c>
    </row>
    <row r="83" spans="1:4" x14ac:dyDescent="0.15">
      <c r="A83" t="s">
        <v>765</v>
      </c>
      <c r="B83" t="s">
        <v>766</v>
      </c>
      <c r="C83" t="s">
        <v>1918</v>
      </c>
      <c r="D83" t="str">
        <f t="shared" si="1"/>
        <v>羊肝明目片0.35g*24片</v>
      </c>
    </row>
    <row r="84" spans="1:4" x14ac:dyDescent="0.15">
      <c r="A84" t="s">
        <v>351</v>
      </c>
      <c r="B84" t="s">
        <v>1877</v>
      </c>
      <c r="C84" t="s">
        <v>1919</v>
      </c>
      <c r="D84" t="str">
        <f t="shared" si="1"/>
        <v xml:space="preserve">泻利停/颠茄磺苄啶片0.12g*20片 </v>
      </c>
    </row>
    <row r="85" spans="1:4" x14ac:dyDescent="0.15">
      <c r="A85" t="s">
        <v>496</v>
      </c>
      <c r="B85" t="s">
        <v>1920</v>
      </c>
      <c r="C85" t="s">
        <v>1841</v>
      </c>
      <c r="D85" t="str">
        <f t="shared" si="1"/>
        <v>小儿严迪片/罗红霉素分散片50mg*12片</v>
      </c>
    </row>
    <row r="86" spans="1:4" x14ac:dyDescent="0.15">
      <c r="A86" t="s">
        <v>917</v>
      </c>
      <c r="B86" t="s">
        <v>1921</v>
      </c>
      <c r="C86" t="s">
        <v>914</v>
      </c>
      <c r="D86" t="str">
        <f t="shared" si="1"/>
        <v>阿奇针/注射用乳糖酸阿奇霉素针0.25g</v>
      </c>
    </row>
    <row r="87" spans="1:4" x14ac:dyDescent="0.15">
      <c r="A87" t="s">
        <v>312</v>
      </c>
      <c r="B87" t="s">
        <v>313</v>
      </c>
      <c r="C87" t="s">
        <v>444</v>
      </c>
      <c r="D87" t="str">
        <f t="shared" si="1"/>
        <v>柏子养心丸9g*10丸</v>
      </c>
    </row>
    <row r="88" spans="1:4" x14ac:dyDescent="0.15">
      <c r="A88" t="s">
        <v>693</v>
      </c>
      <c r="B88" t="s">
        <v>692</v>
      </c>
      <c r="C88" t="s">
        <v>1874</v>
      </c>
      <c r="D88" t="str">
        <f t="shared" si="1"/>
        <v>逍遥丸6g*10袋</v>
      </c>
    </row>
    <row r="89" spans="1:4" x14ac:dyDescent="0.15">
      <c r="A89" t="s">
        <v>323</v>
      </c>
      <c r="B89" t="s">
        <v>324</v>
      </c>
      <c r="C89" t="s">
        <v>1851</v>
      </c>
      <c r="D89" t="str">
        <f t="shared" si="1"/>
        <v>刺五加脑灵液100ml</v>
      </c>
    </row>
    <row r="90" spans="1:4" x14ac:dyDescent="0.15">
      <c r="A90" t="s">
        <v>526</v>
      </c>
      <c r="B90" t="s">
        <v>527</v>
      </c>
      <c r="C90" t="s">
        <v>1922</v>
      </c>
      <c r="D90" t="str">
        <f t="shared" si="1"/>
        <v>牛黄清胃丸6g*10w</v>
      </c>
    </row>
    <row r="91" spans="1:4" x14ac:dyDescent="0.15">
      <c r="A91" t="s">
        <v>491</v>
      </c>
      <c r="B91" t="s">
        <v>1923</v>
      </c>
      <c r="C91" t="s">
        <v>1924</v>
      </c>
      <c r="D91" t="str">
        <f t="shared" si="1"/>
        <v>龙胆泻肝丸6g*10丸</v>
      </c>
    </row>
    <row r="92" spans="1:4" x14ac:dyDescent="0.15">
      <c r="A92" t="s">
        <v>442</v>
      </c>
      <c r="B92" t="s">
        <v>443</v>
      </c>
      <c r="C92" t="s">
        <v>444</v>
      </c>
      <c r="D92" t="str">
        <f t="shared" si="1"/>
        <v>健脾丸9g*10丸</v>
      </c>
    </row>
    <row r="93" spans="1:4" x14ac:dyDescent="0.15">
      <c r="A93" t="s">
        <v>435</v>
      </c>
      <c r="B93" t="s">
        <v>436</v>
      </c>
      <c r="C93" t="s">
        <v>1925</v>
      </c>
      <c r="D93" t="str">
        <f t="shared" si="1"/>
        <v>护肝片0.36g*100片</v>
      </c>
    </row>
    <row r="94" spans="1:4" x14ac:dyDescent="0.15">
      <c r="A94" t="s">
        <v>471</v>
      </c>
      <c r="B94" t="s">
        <v>1926</v>
      </c>
      <c r="C94" t="s">
        <v>1927</v>
      </c>
      <c r="D94" t="str">
        <f t="shared" si="1"/>
        <v>克拉霉素分散片/长迪0.125g*24粒</v>
      </c>
    </row>
    <row r="95" spans="1:4" x14ac:dyDescent="0.15">
      <c r="A95" t="s">
        <v>908</v>
      </c>
      <c r="B95" t="s">
        <v>902</v>
      </c>
      <c r="C95" t="s">
        <v>1928</v>
      </c>
      <c r="D95" t="str">
        <f t="shared" si="1"/>
        <v>注射用青霉素钠0.48g（80万单位）1g</v>
      </c>
    </row>
    <row r="96" spans="1:4" x14ac:dyDescent="0.15">
      <c r="A96" t="s">
        <v>297</v>
      </c>
      <c r="B96" t="s">
        <v>1929</v>
      </c>
      <c r="C96" t="s">
        <v>444</v>
      </c>
      <c r="D96" t="str">
        <f t="shared" si="1"/>
        <v>艾附暖宫丸9g*10丸</v>
      </c>
    </row>
    <row r="97" spans="1:4" x14ac:dyDescent="0.15">
      <c r="A97" t="s">
        <v>379</v>
      </c>
      <c r="B97" t="s">
        <v>1930</v>
      </c>
      <c r="C97" t="s">
        <v>381</v>
      </c>
      <c r="D97" t="str">
        <f t="shared" si="1"/>
        <v>新迪/复方氨酚烷胺片12片</v>
      </c>
    </row>
    <row r="98" spans="1:4" x14ac:dyDescent="0.15">
      <c r="A98" t="s">
        <v>650</v>
      </c>
      <c r="B98" t="s">
        <v>648</v>
      </c>
      <c r="C98" t="s">
        <v>1931</v>
      </c>
      <c r="D98" t="str">
        <f t="shared" si="1"/>
        <v>头孢氨苄片0.25g*30片</v>
      </c>
    </row>
    <row r="99" spans="1:4" x14ac:dyDescent="0.15">
      <c r="A99" t="s">
        <v>731</v>
      </c>
      <c r="B99" t="s">
        <v>1932</v>
      </c>
      <c r="C99" t="s">
        <v>444</v>
      </c>
      <c r="D99" t="str">
        <f t="shared" si="1"/>
        <v>血府逐淤丸9g*10丸</v>
      </c>
    </row>
    <row r="100" spans="1:4" x14ac:dyDescent="0.15">
      <c r="A100" t="s">
        <v>701</v>
      </c>
      <c r="B100" t="s">
        <v>1933</v>
      </c>
      <c r="C100" t="s">
        <v>1853</v>
      </c>
      <c r="D100" t="str">
        <f t="shared" si="1"/>
        <v>护彤冲剂/小儿氨酚黄那敏颗粒2g*12袋</v>
      </c>
    </row>
    <row r="101" spans="1:4" x14ac:dyDescent="0.15">
      <c r="A101" t="s">
        <v>244</v>
      </c>
      <c r="B101" t="s">
        <v>245</v>
      </c>
      <c r="C101" t="s">
        <v>1934</v>
      </c>
      <c r="D101" t="str">
        <f t="shared" si="1"/>
        <v>阿莫西林胶囊0.25g*20s</v>
      </c>
    </row>
    <row r="102" spans="1:4" x14ac:dyDescent="0.15">
      <c r="A102" t="s">
        <v>539</v>
      </c>
      <c r="B102" t="s">
        <v>537</v>
      </c>
      <c r="C102" t="s">
        <v>1935</v>
      </c>
      <c r="D102" t="str">
        <f t="shared" si="1"/>
        <v>牛黄消炎片0.12g*24片</v>
      </c>
    </row>
    <row r="103" spans="1:4" x14ac:dyDescent="0.15">
      <c r="A103" t="s">
        <v>278</v>
      </c>
      <c r="B103" t="s">
        <v>1936</v>
      </c>
      <c r="C103" t="s">
        <v>279</v>
      </c>
      <c r="D103" t="str">
        <f t="shared" si="1"/>
        <v>阿莫西林克拉维酸钾分散片0.2285g*12片</v>
      </c>
    </row>
    <row r="104" spans="1:4" x14ac:dyDescent="0.15">
      <c r="A104" t="s">
        <v>698</v>
      </c>
      <c r="B104" t="s">
        <v>699</v>
      </c>
      <c r="C104" t="s">
        <v>1937</v>
      </c>
      <c r="D104" t="str">
        <f t="shared" si="1"/>
        <v>小檗碱甲氧苄啶胶囊30粒</v>
      </c>
    </row>
    <row r="105" spans="1:4" x14ac:dyDescent="0.15">
      <c r="A105" t="s">
        <v>660</v>
      </c>
      <c r="B105" t="s">
        <v>655</v>
      </c>
      <c r="C105" t="s">
        <v>1938</v>
      </c>
      <c r="D105" t="str">
        <f t="shared" si="1"/>
        <v>头孢拉定胶囊0.25g*24粒</v>
      </c>
    </row>
    <row r="106" spans="1:4" x14ac:dyDescent="0.15">
      <c r="A106" t="s">
        <v>295</v>
      </c>
      <c r="B106" t="s">
        <v>292</v>
      </c>
      <c r="C106" t="s">
        <v>1939</v>
      </c>
      <c r="D106" t="str">
        <f t="shared" si="1"/>
        <v>阿奇霉素分散片0.25*6片</v>
      </c>
    </row>
    <row r="107" spans="1:4" x14ac:dyDescent="0.15">
      <c r="A107" t="s">
        <v>348</v>
      </c>
      <c r="B107" t="s">
        <v>1940</v>
      </c>
      <c r="C107" t="s">
        <v>1941</v>
      </c>
      <c r="D107" t="str">
        <f t="shared" si="1"/>
        <v>泻立停片/颠茄磺苄啶片0.4g：80mg：8mg*12片</v>
      </c>
    </row>
    <row r="108" spans="1:4" x14ac:dyDescent="0.15">
      <c r="A108" t="s">
        <v>272</v>
      </c>
      <c r="B108" t="s">
        <v>1942</v>
      </c>
      <c r="C108" t="s">
        <v>1943</v>
      </c>
      <c r="D108" t="str">
        <f t="shared" si="1"/>
        <v>阿莫西林颗粒0.125g*12袋</v>
      </c>
    </row>
    <row r="109" spans="1:4" x14ac:dyDescent="0.15">
      <c r="A109" t="s">
        <v>398</v>
      </c>
      <c r="B109" t="s">
        <v>399</v>
      </c>
      <c r="C109" t="s">
        <v>1944</v>
      </c>
      <c r="D109" t="str">
        <f t="shared" si="1"/>
        <v>富马酸亚铁颗粒2g*6袋</v>
      </c>
    </row>
    <row r="110" spans="1:4" x14ac:dyDescent="0.15">
      <c r="A110" t="s">
        <v>454</v>
      </c>
      <c r="B110" t="s">
        <v>452</v>
      </c>
      <c r="C110" t="s">
        <v>1945</v>
      </c>
      <c r="D110" t="str">
        <f t="shared" si="1"/>
        <v>金匮肾气丸72g</v>
      </c>
    </row>
    <row r="111" spans="1:4" x14ac:dyDescent="0.15">
      <c r="A111" t="s">
        <v>1040</v>
      </c>
      <c r="B111" t="s">
        <v>1041</v>
      </c>
      <c r="C111" t="s">
        <v>1946</v>
      </c>
      <c r="D111" t="str">
        <f t="shared" si="1"/>
        <v>左羟丙哌嗪分散片60mg*12片</v>
      </c>
    </row>
    <row r="112" spans="1:4" x14ac:dyDescent="0.15">
      <c r="A112" t="s">
        <v>420</v>
      </c>
      <c r="B112" t="s">
        <v>421</v>
      </c>
      <c r="C112" t="s">
        <v>1947</v>
      </c>
      <c r="D112" t="str">
        <f t="shared" si="1"/>
        <v>宫血停颗粒10g*12袋</v>
      </c>
    </row>
    <row r="113" spans="1:4" x14ac:dyDescent="0.15">
      <c r="A113" t="s">
        <v>593</v>
      </c>
      <c r="B113" t="s">
        <v>591</v>
      </c>
      <c r="C113" t="s">
        <v>1948</v>
      </c>
      <c r="D113" t="str">
        <f t="shared" si="1"/>
        <v>乳酸菌素片0.4g*36片/小包</v>
      </c>
    </row>
    <row r="114" spans="1:4" x14ac:dyDescent="0.15">
      <c r="A114" t="s">
        <v>552</v>
      </c>
      <c r="B114" t="s">
        <v>1949</v>
      </c>
      <c r="C114" t="s">
        <v>411</v>
      </c>
      <c r="D114" t="str">
        <f t="shared" si="1"/>
        <v>葡萄糖酸锌口服溶液10ml*12支</v>
      </c>
    </row>
    <row r="115" spans="1:4" x14ac:dyDescent="0.15">
      <c r="A115" t="s">
        <v>498</v>
      </c>
      <c r="B115" t="s">
        <v>1950</v>
      </c>
      <c r="C115" t="s">
        <v>1869</v>
      </c>
      <c r="D115" t="str">
        <f t="shared" si="1"/>
        <v>罗红霉素分散片75mg*12片</v>
      </c>
    </row>
    <row r="116" spans="1:4" x14ac:dyDescent="0.15">
      <c r="A116" t="s">
        <v>496</v>
      </c>
      <c r="B116" t="s">
        <v>1950</v>
      </c>
      <c r="C116" t="s">
        <v>1841</v>
      </c>
      <c r="D116" t="str">
        <f t="shared" si="1"/>
        <v>罗红霉素分散片50mg*12片</v>
      </c>
    </row>
    <row r="117" spans="1:4" x14ac:dyDescent="0.15">
      <c r="A117" t="s">
        <v>590</v>
      </c>
      <c r="B117" t="s">
        <v>591</v>
      </c>
      <c r="C117" t="s">
        <v>1951</v>
      </c>
      <c r="D117" t="str">
        <f t="shared" si="1"/>
        <v>乳酸菌素片0.4g*12片*3板</v>
      </c>
    </row>
    <row r="118" spans="1:4" x14ac:dyDescent="0.15">
      <c r="A118" t="s">
        <v>259</v>
      </c>
      <c r="B118" t="s">
        <v>245</v>
      </c>
      <c r="C118" t="s">
        <v>1952</v>
      </c>
      <c r="D118" t="str">
        <f t="shared" si="1"/>
        <v>阿莫西林胶囊0.5g*36粒</v>
      </c>
    </row>
    <row r="119" spans="1:4" x14ac:dyDescent="0.15">
      <c r="A119" t="s">
        <v>558</v>
      </c>
      <c r="B119" t="s">
        <v>557</v>
      </c>
      <c r="C119" t="s">
        <v>411</v>
      </c>
      <c r="D119" t="str">
        <f t="shared" si="1"/>
        <v>朴雪乳酸亚铁口服液10ml*12支</v>
      </c>
    </row>
    <row r="120" spans="1:4" x14ac:dyDescent="0.15">
      <c r="A120" t="s">
        <v>396</v>
      </c>
      <c r="B120" t="s">
        <v>394</v>
      </c>
      <c r="C120" t="s">
        <v>1871</v>
      </c>
      <c r="D120" t="str">
        <f t="shared" si="1"/>
        <v>复方铝酸铋片50片</v>
      </c>
    </row>
    <row r="121" spans="1:4" x14ac:dyDescent="0.15">
      <c r="A121" t="s">
        <v>701</v>
      </c>
      <c r="B121" t="s">
        <v>1953</v>
      </c>
      <c r="C121" t="s">
        <v>1954</v>
      </c>
      <c r="D121" t="str">
        <f t="shared" si="1"/>
        <v>小儿氨酚黄那敏颗粒12袋</v>
      </c>
    </row>
    <row r="122" spans="1:4" x14ac:dyDescent="0.15">
      <c r="A122" t="s">
        <v>724</v>
      </c>
      <c r="B122" t="s">
        <v>725</v>
      </c>
      <c r="C122" t="s">
        <v>1838</v>
      </c>
      <c r="D122" t="str">
        <f t="shared" si="1"/>
        <v>新盖中盖牌高钙片2.5g*36片</v>
      </c>
    </row>
    <row r="123" spans="1:4" x14ac:dyDescent="0.15">
      <c r="A123" t="s">
        <v>721</v>
      </c>
      <c r="B123" t="s">
        <v>722</v>
      </c>
      <c r="C123" t="s">
        <v>1955</v>
      </c>
      <c r="D123" t="str">
        <f t="shared" si="1"/>
        <v>新盖中盖牌儿童钙片36片</v>
      </c>
    </row>
    <row r="124" spans="1:4" x14ac:dyDescent="0.15">
      <c r="A124" t="s">
        <v>371</v>
      </c>
      <c r="B124" t="s">
        <v>1857</v>
      </c>
      <c r="C124" t="s">
        <v>1956</v>
      </c>
      <c r="D124" t="str">
        <f t="shared" si="1"/>
        <v>妇宁栓1.6g*8粒</v>
      </c>
    </row>
    <row r="125" spans="1:4" x14ac:dyDescent="0.15">
      <c r="A125" t="s">
        <v>686</v>
      </c>
      <c r="B125" t="s">
        <v>687</v>
      </c>
      <c r="C125" t="s">
        <v>1937</v>
      </c>
      <c r="D125" t="str">
        <f t="shared" si="1"/>
        <v>维生素E软胶囊30粒</v>
      </c>
    </row>
    <row r="126" spans="1:4" x14ac:dyDescent="0.15">
      <c r="A126" t="s">
        <v>345</v>
      </c>
      <c r="B126" t="s">
        <v>1855</v>
      </c>
      <c r="C126" t="s">
        <v>1957</v>
      </c>
      <c r="D126" t="str">
        <f t="shared" si="1"/>
        <v>颠茄磺苄啶片10片/瓶</v>
      </c>
    </row>
    <row r="127" spans="1:4" x14ac:dyDescent="0.15">
      <c r="A127" t="s">
        <v>493</v>
      </c>
      <c r="B127" t="s">
        <v>1950</v>
      </c>
      <c r="C127" t="s">
        <v>1891</v>
      </c>
      <c r="D127" t="str">
        <f t="shared" si="1"/>
        <v>罗红霉素分散片150mg*12片</v>
      </c>
    </row>
    <row r="128" spans="1:4" x14ac:dyDescent="0.15">
      <c r="A128" t="s">
        <v>244</v>
      </c>
      <c r="B128" t="s">
        <v>245</v>
      </c>
      <c r="C128" t="s">
        <v>246</v>
      </c>
      <c r="D128" t="str">
        <f t="shared" si="1"/>
        <v>阿莫西林胶囊0.25g*20粒</v>
      </c>
    </row>
    <row r="129" spans="1:4" x14ac:dyDescent="0.15">
      <c r="A129" t="s">
        <v>471</v>
      </c>
      <c r="B129" t="s">
        <v>469</v>
      </c>
      <c r="C129" t="s">
        <v>1958</v>
      </c>
      <c r="D129" t="str">
        <f t="shared" si="1"/>
        <v>克拉霉素分散片0.125g*24片</v>
      </c>
    </row>
    <row r="130" spans="1:4" x14ac:dyDescent="0.15">
      <c r="A130" t="s">
        <v>539</v>
      </c>
      <c r="B130" t="s">
        <v>537</v>
      </c>
      <c r="C130" t="s">
        <v>1910</v>
      </c>
      <c r="D130" t="str">
        <f t="shared" si="1"/>
        <v>牛黄消炎片24片</v>
      </c>
    </row>
    <row r="131" spans="1:4" x14ac:dyDescent="0.15">
      <c r="A131" t="s">
        <v>478</v>
      </c>
      <c r="B131" t="s">
        <v>474</v>
      </c>
      <c r="C131" t="s">
        <v>1873</v>
      </c>
      <c r="D131" t="str">
        <f t="shared" ref="D131:D194" si="2">B131&amp;C131</f>
        <v>拉西地平片4mg*15片</v>
      </c>
    </row>
    <row r="132" spans="1:4" x14ac:dyDescent="0.15">
      <c r="A132" t="s">
        <v>588</v>
      </c>
      <c r="B132" t="s">
        <v>586</v>
      </c>
      <c r="C132" t="s">
        <v>1937</v>
      </c>
      <c r="D132" t="str">
        <f t="shared" si="2"/>
        <v>人工牛黄甲硝唑胶囊30粒</v>
      </c>
    </row>
    <row r="133" spans="1:4" x14ac:dyDescent="0.15">
      <c r="A133" t="s">
        <v>731</v>
      </c>
      <c r="B133" t="s">
        <v>732</v>
      </c>
      <c r="C133" t="s">
        <v>444</v>
      </c>
      <c r="D133" t="str">
        <f t="shared" si="2"/>
        <v>血府逐瘀丸9g*10丸</v>
      </c>
    </row>
    <row r="134" spans="1:4" x14ac:dyDescent="0.15">
      <c r="A134" t="s">
        <v>295</v>
      </c>
      <c r="B134" t="s">
        <v>292</v>
      </c>
      <c r="C134" t="s">
        <v>1959</v>
      </c>
      <c r="D134" t="str">
        <f t="shared" si="2"/>
        <v>阿奇霉素分散片0.25g*6片</v>
      </c>
    </row>
    <row r="135" spans="1:4" x14ac:dyDescent="0.15">
      <c r="A135" t="s">
        <v>305</v>
      </c>
      <c r="B135" t="s">
        <v>306</v>
      </c>
      <c r="C135" t="s">
        <v>1960</v>
      </c>
      <c r="D135" t="str">
        <f t="shared" si="2"/>
        <v>氨金黄敏颗粒6g*10袋/盒</v>
      </c>
    </row>
    <row r="136" spans="1:4" x14ac:dyDescent="0.15">
      <c r="A136" t="s">
        <v>550</v>
      </c>
      <c r="B136" t="s">
        <v>1961</v>
      </c>
      <c r="C136" t="s">
        <v>1962</v>
      </c>
      <c r="D136" t="str">
        <f t="shared" si="2"/>
        <v>葡萄糖酸钙口服液12支/盒</v>
      </c>
    </row>
    <row r="137" spans="1:4" x14ac:dyDescent="0.15">
      <c r="A137" t="s">
        <v>585</v>
      </c>
      <c r="B137" t="s">
        <v>586</v>
      </c>
      <c r="C137" t="s">
        <v>311</v>
      </c>
      <c r="D137" t="str">
        <f t="shared" si="2"/>
        <v>人工牛黄甲硝唑胶囊20粒</v>
      </c>
    </row>
    <row r="138" spans="1:4" x14ac:dyDescent="0.15">
      <c r="A138" t="s">
        <v>406</v>
      </c>
      <c r="B138" t="s">
        <v>1963</v>
      </c>
      <c r="C138" t="s">
        <v>411</v>
      </c>
      <c r="D138" t="str">
        <f t="shared" si="2"/>
        <v>哈药*钙铁锌口服液10ml*12支</v>
      </c>
    </row>
    <row r="139" spans="1:4" x14ac:dyDescent="0.15">
      <c r="A139" t="s">
        <v>552</v>
      </c>
      <c r="B139" t="s">
        <v>555</v>
      </c>
      <c r="C139" t="s">
        <v>1962</v>
      </c>
      <c r="D139" t="str">
        <f t="shared" si="2"/>
        <v>葡萄糖酸锌口服液12支/盒</v>
      </c>
    </row>
    <row r="140" spans="1:4" x14ac:dyDescent="0.15">
      <c r="A140" t="s">
        <v>401</v>
      </c>
      <c r="B140" t="s">
        <v>402</v>
      </c>
      <c r="C140" t="s">
        <v>411</v>
      </c>
      <c r="D140" t="str">
        <f t="shared" si="2"/>
        <v>钙加锌口服液10ml*12支</v>
      </c>
    </row>
    <row r="141" spans="1:4" x14ac:dyDescent="0.15">
      <c r="A141" t="s">
        <v>348</v>
      </c>
      <c r="B141" t="s">
        <v>1964</v>
      </c>
      <c r="C141" t="s">
        <v>381</v>
      </c>
      <c r="D141" t="str">
        <f t="shared" si="2"/>
        <v>泻利停*颠茄磺苄啶片12片</v>
      </c>
    </row>
    <row r="142" spans="1:4" x14ac:dyDescent="0.15">
      <c r="A142" t="s">
        <v>278</v>
      </c>
      <c r="B142" t="s">
        <v>1965</v>
      </c>
      <c r="C142" t="s">
        <v>1966</v>
      </c>
      <c r="D142" t="str">
        <f t="shared" si="2"/>
        <v>胜艾*阿莫西林克拉维酸钾分散片0.2285g*12pian</v>
      </c>
    </row>
    <row r="143" spans="1:4" x14ac:dyDescent="0.15">
      <c r="A143" t="s">
        <v>498</v>
      </c>
      <c r="B143" t="s">
        <v>1967</v>
      </c>
      <c r="C143" t="s">
        <v>1968</v>
      </c>
      <c r="D143" t="str">
        <f t="shared" si="2"/>
        <v>严迪*罗红霉素分散片75mg*12</v>
      </c>
    </row>
    <row r="144" spans="1:4" x14ac:dyDescent="0.15">
      <c r="A144" t="s">
        <v>396</v>
      </c>
      <c r="B144" t="s">
        <v>1969</v>
      </c>
      <c r="C144" t="s">
        <v>1871</v>
      </c>
      <c r="D144" t="str">
        <f t="shared" si="2"/>
        <v>胃必治*复方铝酸铋片50片</v>
      </c>
    </row>
    <row r="145" spans="1:4" x14ac:dyDescent="0.15">
      <c r="A145" t="s">
        <v>724</v>
      </c>
      <c r="B145" t="s">
        <v>1970</v>
      </c>
      <c r="C145" t="s">
        <v>1955</v>
      </c>
      <c r="D145" t="str">
        <f t="shared" si="2"/>
        <v>高钙片36片</v>
      </c>
    </row>
    <row r="146" spans="1:4" x14ac:dyDescent="0.15">
      <c r="A146" t="s">
        <v>686</v>
      </c>
      <c r="B146" t="s">
        <v>687</v>
      </c>
      <c r="C146" t="s">
        <v>1971</v>
      </c>
      <c r="D146" t="str">
        <f t="shared" si="2"/>
        <v>维生素E软胶囊100mg*30粒</v>
      </c>
    </row>
    <row r="147" spans="1:4" x14ac:dyDescent="0.15">
      <c r="A147" t="s">
        <v>631</v>
      </c>
      <c r="B147" t="s">
        <v>630</v>
      </c>
      <c r="C147" t="s">
        <v>1972</v>
      </c>
      <c r="D147" t="str">
        <f t="shared" si="2"/>
        <v>双黄连口服液10ml*10</v>
      </c>
    </row>
    <row r="148" spans="1:4" x14ac:dyDescent="0.15">
      <c r="A148" t="s">
        <v>503</v>
      </c>
      <c r="B148" t="s">
        <v>1973</v>
      </c>
      <c r="C148" t="s">
        <v>1974</v>
      </c>
      <c r="D148" t="str">
        <f t="shared" si="2"/>
        <v>蒙脱石散*泻利停3克*12袋</v>
      </c>
    </row>
    <row r="149" spans="1:4" x14ac:dyDescent="0.15">
      <c r="A149" t="s">
        <v>496</v>
      </c>
      <c r="B149" t="s">
        <v>1975</v>
      </c>
      <c r="C149" t="s">
        <v>1976</v>
      </c>
      <c r="D149" t="str">
        <f t="shared" si="2"/>
        <v>罗红霉素分散片-小严迪12片/盒</v>
      </c>
    </row>
    <row r="150" spans="1:4" x14ac:dyDescent="0.15">
      <c r="A150" t="s">
        <v>574</v>
      </c>
      <c r="B150" t="s">
        <v>575</v>
      </c>
      <c r="C150" t="s">
        <v>1977</v>
      </c>
      <c r="D150" t="str">
        <f t="shared" si="2"/>
        <v>青霉素V钾片0.236g*12片</v>
      </c>
    </row>
    <row r="151" spans="1:4" x14ac:dyDescent="0.15">
      <c r="A151" t="s">
        <v>681</v>
      </c>
      <c r="B151" t="s">
        <v>1978</v>
      </c>
      <c r="C151" t="s">
        <v>1881</v>
      </c>
      <c r="D151" t="str">
        <f t="shared" si="2"/>
        <v>维生素c咀嚼片0.1g*30片</v>
      </c>
    </row>
    <row r="152" spans="1:4" x14ac:dyDescent="0.15">
      <c r="A152" t="s">
        <v>345</v>
      </c>
      <c r="B152" t="s">
        <v>1964</v>
      </c>
      <c r="C152" t="s">
        <v>1979</v>
      </c>
      <c r="D152" t="str">
        <f t="shared" si="2"/>
        <v>泻利停*颠茄磺苄啶片10片</v>
      </c>
    </row>
    <row r="153" spans="1:4" x14ac:dyDescent="0.15">
      <c r="A153" t="s">
        <v>701</v>
      </c>
      <c r="B153" t="s">
        <v>1980</v>
      </c>
      <c r="C153" t="s">
        <v>1954</v>
      </c>
      <c r="D153" t="str">
        <f t="shared" si="2"/>
        <v>护彤*小儿氨酚黄那敏颗粒12袋</v>
      </c>
    </row>
    <row r="154" spans="1:4" x14ac:dyDescent="0.15">
      <c r="A154" t="s">
        <v>468</v>
      </c>
      <c r="B154" t="s">
        <v>1981</v>
      </c>
      <c r="C154" t="s">
        <v>381</v>
      </c>
      <c r="D154" t="str">
        <f t="shared" si="2"/>
        <v>长迪*克拉霉素分散片12片</v>
      </c>
    </row>
    <row r="155" spans="1:4" x14ac:dyDescent="0.15">
      <c r="A155" t="s">
        <v>850</v>
      </c>
      <c r="B155" t="s">
        <v>851</v>
      </c>
      <c r="C155" t="s">
        <v>852</v>
      </c>
      <c r="D155" t="str">
        <f t="shared" si="2"/>
        <v>注射用奥美拉唑钠40mg</v>
      </c>
    </row>
    <row r="156" spans="1:4" x14ac:dyDescent="0.15">
      <c r="A156" t="s">
        <v>701</v>
      </c>
      <c r="B156" t="s">
        <v>1982</v>
      </c>
      <c r="C156" t="s">
        <v>1853</v>
      </c>
      <c r="D156" t="str">
        <f t="shared" si="2"/>
        <v>小儿氨酚黄那敏颗粒 护彤 2g*12袋</v>
      </c>
    </row>
    <row r="157" spans="1:4" x14ac:dyDescent="0.15">
      <c r="A157" t="s">
        <v>345</v>
      </c>
      <c r="B157" t="s">
        <v>1983</v>
      </c>
      <c r="C157" t="s">
        <v>1957</v>
      </c>
      <c r="D157" t="str">
        <f t="shared" si="2"/>
        <v>颠茄磺苄啶片   泻痢停10片/瓶</v>
      </c>
    </row>
    <row r="158" spans="1:4" x14ac:dyDescent="0.15">
      <c r="A158" t="s">
        <v>401</v>
      </c>
      <c r="B158" t="s">
        <v>402</v>
      </c>
      <c r="C158" t="s">
        <v>327</v>
      </c>
      <c r="D158" t="str">
        <f t="shared" si="2"/>
        <v>钙加锌口服液12支</v>
      </c>
    </row>
    <row r="159" spans="1:4" x14ac:dyDescent="0.15">
      <c r="A159" t="s">
        <v>396</v>
      </c>
      <c r="B159" t="s">
        <v>1984</v>
      </c>
      <c r="C159" t="s">
        <v>1871</v>
      </c>
      <c r="D159" t="str">
        <f t="shared" si="2"/>
        <v>复方铝酸铋片  123450片</v>
      </c>
    </row>
    <row r="160" spans="1:4" x14ac:dyDescent="0.15">
      <c r="A160" t="s">
        <v>498</v>
      </c>
      <c r="B160" t="s">
        <v>1985</v>
      </c>
      <c r="C160" t="s">
        <v>1869</v>
      </c>
      <c r="D160" t="str">
        <f t="shared" si="2"/>
        <v>罗红霉素分散片 严迪75mg*12片</v>
      </c>
    </row>
    <row r="161" spans="1:4" x14ac:dyDescent="0.15">
      <c r="A161" t="s">
        <v>724</v>
      </c>
      <c r="B161" t="s">
        <v>1885</v>
      </c>
      <c r="C161" t="s">
        <v>1955</v>
      </c>
      <c r="D161" t="str">
        <f t="shared" si="2"/>
        <v>新盖中盖高钙片36片</v>
      </c>
    </row>
    <row r="162" spans="1:4" x14ac:dyDescent="0.15">
      <c r="A162" t="s">
        <v>552</v>
      </c>
      <c r="B162" t="s">
        <v>1986</v>
      </c>
      <c r="C162" t="s">
        <v>327</v>
      </c>
      <c r="D162" t="str">
        <f t="shared" si="2"/>
        <v>葡萄糖酸锌口服液 三精12支</v>
      </c>
    </row>
    <row r="163" spans="1:4" x14ac:dyDescent="0.15">
      <c r="A163" t="s">
        <v>558</v>
      </c>
      <c r="B163" t="s">
        <v>1987</v>
      </c>
      <c r="C163" t="s">
        <v>327</v>
      </c>
      <c r="D163" t="str">
        <f t="shared" si="2"/>
        <v>乳酸亚铁口服液（朴雪）12支</v>
      </c>
    </row>
    <row r="164" spans="1:4" x14ac:dyDescent="0.15">
      <c r="A164" t="s">
        <v>404</v>
      </c>
      <c r="B164" t="s">
        <v>1988</v>
      </c>
      <c r="C164" t="s">
        <v>1850</v>
      </c>
      <c r="D164" t="str">
        <f t="shared" si="2"/>
        <v>哈药牌   钙铁锌口服液10ml*10支</v>
      </c>
    </row>
    <row r="165" spans="1:4" x14ac:dyDescent="0.15">
      <c r="A165" t="s">
        <v>348</v>
      </c>
      <c r="B165" t="s">
        <v>1989</v>
      </c>
      <c r="C165" t="s">
        <v>1990</v>
      </c>
      <c r="D165" t="str">
        <f t="shared" si="2"/>
        <v>颠茄磺苄啶片 泻痢停12p</v>
      </c>
    </row>
    <row r="166" spans="1:4" x14ac:dyDescent="0.15">
      <c r="A166" t="s">
        <v>319</v>
      </c>
      <c r="B166" t="s">
        <v>1991</v>
      </c>
      <c r="C166" t="s">
        <v>1848</v>
      </c>
      <c r="D166" t="str">
        <f t="shared" si="2"/>
        <v>布洛芬颗粒 小安瑞克0.2g*12袋</v>
      </c>
    </row>
    <row r="167" spans="1:4" x14ac:dyDescent="0.15">
      <c r="A167" t="s">
        <v>721</v>
      </c>
      <c r="B167" t="s">
        <v>1992</v>
      </c>
      <c r="C167" t="s">
        <v>1993</v>
      </c>
      <c r="D167" t="str">
        <f t="shared" si="2"/>
        <v>新盖中盖牌（儿童钙片）1.75g*36片</v>
      </c>
    </row>
    <row r="168" spans="1:4" x14ac:dyDescent="0.15">
      <c r="A168" t="s">
        <v>577</v>
      </c>
      <c r="B168" t="s">
        <v>575</v>
      </c>
      <c r="C168" t="s">
        <v>1994</v>
      </c>
      <c r="D168" t="str">
        <f t="shared" si="2"/>
        <v>青霉素V钾片0.236g*24p</v>
      </c>
    </row>
    <row r="169" spans="1:4" x14ac:dyDescent="0.15">
      <c r="A169" t="s">
        <v>278</v>
      </c>
      <c r="B169" t="s">
        <v>1936</v>
      </c>
      <c r="C169" t="s">
        <v>1995</v>
      </c>
      <c r="D169" t="str">
        <f t="shared" si="2"/>
        <v>阿莫西林克拉维酸钾分散片2285mg*12p</v>
      </c>
    </row>
    <row r="170" spans="1:4" x14ac:dyDescent="0.15">
      <c r="A170" t="s">
        <v>660</v>
      </c>
      <c r="B170" t="s">
        <v>655</v>
      </c>
      <c r="C170" t="s">
        <v>1996</v>
      </c>
      <c r="D170" t="str">
        <f t="shared" si="2"/>
        <v>头孢拉定胶囊0.25*24粒</v>
      </c>
    </row>
    <row r="171" spans="1:4" x14ac:dyDescent="0.15">
      <c r="A171" t="s">
        <v>600</v>
      </c>
      <c r="B171" t="s">
        <v>601</v>
      </c>
      <c r="C171" t="s">
        <v>1997</v>
      </c>
      <c r="D171" t="str">
        <f t="shared" si="2"/>
        <v>麝香接骨胶囊0.3g*40粒</v>
      </c>
    </row>
    <row r="172" spans="1:4" x14ac:dyDescent="0.15">
      <c r="A172" t="s">
        <v>451</v>
      </c>
      <c r="B172" t="s">
        <v>452</v>
      </c>
      <c r="C172" t="s">
        <v>1924</v>
      </c>
      <c r="D172" t="str">
        <f t="shared" si="2"/>
        <v>金匮肾气丸6g*10丸</v>
      </c>
    </row>
    <row r="173" spans="1:4" x14ac:dyDescent="0.15">
      <c r="A173" t="s">
        <v>251</v>
      </c>
      <c r="B173" t="s">
        <v>245</v>
      </c>
      <c r="C173" t="s">
        <v>1998</v>
      </c>
      <c r="D173" t="str">
        <f t="shared" si="2"/>
        <v>阿莫西林胶囊0.5g*20s</v>
      </c>
    </row>
    <row r="174" spans="1:4" x14ac:dyDescent="0.15">
      <c r="A174" t="s">
        <v>301</v>
      </c>
      <c r="B174" t="s">
        <v>302</v>
      </c>
      <c r="C174" t="s">
        <v>1999</v>
      </c>
      <c r="D174" t="str">
        <f t="shared" si="2"/>
        <v>安宫牛黄丸 3g*2丸</v>
      </c>
    </row>
    <row r="175" spans="1:4" x14ac:dyDescent="0.15">
      <c r="A175" t="s">
        <v>779</v>
      </c>
      <c r="B175" t="s">
        <v>2000</v>
      </c>
      <c r="C175" t="s">
        <v>444</v>
      </c>
      <c r="D175" t="str">
        <f t="shared" si="2"/>
        <v>知柏地黄丸9g*10丸</v>
      </c>
    </row>
    <row r="176" spans="1:4" x14ac:dyDescent="0.15">
      <c r="A176" t="s">
        <v>351</v>
      </c>
      <c r="B176" t="s">
        <v>1855</v>
      </c>
      <c r="C176" t="s">
        <v>1863</v>
      </c>
      <c r="D176" t="str">
        <f t="shared" si="2"/>
        <v>颠茄磺苄啶片0.122g*20片</v>
      </c>
    </row>
    <row r="177" spans="1:4" x14ac:dyDescent="0.15">
      <c r="A177" t="s">
        <v>442</v>
      </c>
      <c r="B177" t="s">
        <v>443</v>
      </c>
      <c r="C177" t="s">
        <v>2001</v>
      </c>
      <c r="D177" t="str">
        <f t="shared" si="2"/>
        <v>健脾丸9g*10丸/盒</v>
      </c>
    </row>
    <row r="178" spans="1:4" x14ac:dyDescent="0.15">
      <c r="A178" t="s">
        <v>348</v>
      </c>
      <c r="B178" t="s">
        <v>1855</v>
      </c>
      <c r="C178" t="s">
        <v>2002</v>
      </c>
      <c r="D178" t="str">
        <f t="shared" si="2"/>
        <v>颠茄磺苄啶片0.4g:80mg:8mg*12片</v>
      </c>
    </row>
    <row r="179" spans="1:4" x14ac:dyDescent="0.15">
      <c r="A179" t="s">
        <v>556</v>
      </c>
      <c r="B179" t="s">
        <v>557</v>
      </c>
      <c r="C179" t="s">
        <v>411</v>
      </c>
      <c r="D179" t="str">
        <f t="shared" si="2"/>
        <v>朴雪乳酸亚铁口服液10ml*12支</v>
      </c>
    </row>
    <row r="180" spans="1:4" x14ac:dyDescent="0.15">
      <c r="A180" t="s">
        <v>454</v>
      </c>
      <c r="B180" t="s">
        <v>452</v>
      </c>
      <c r="C180" t="s">
        <v>2003</v>
      </c>
      <c r="D180" t="str">
        <f t="shared" si="2"/>
        <v>金匮肾气丸72g/瓶</v>
      </c>
    </row>
    <row r="181" spans="1:4" x14ac:dyDescent="0.15">
      <c r="A181" t="s">
        <v>674</v>
      </c>
      <c r="B181" t="s">
        <v>672</v>
      </c>
      <c r="C181" t="s">
        <v>2004</v>
      </c>
      <c r="D181" t="str">
        <f t="shared" si="2"/>
        <v>退热贴40mmx110mmx2贴</v>
      </c>
    </row>
    <row r="182" spans="1:4" x14ac:dyDescent="0.15">
      <c r="A182" t="s">
        <v>486</v>
      </c>
      <c r="B182" t="s">
        <v>2005</v>
      </c>
      <c r="C182" t="s">
        <v>444</v>
      </c>
      <c r="D182" t="str">
        <f t="shared" si="2"/>
        <v>六味地黄丸9g*10丸</v>
      </c>
    </row>
    <row r="183" spans="1:4" x14ac:dyDescent="0.15">
      <c r="A183" t="s">
        <v>368</v>
      </c>
      <c r="B183" t="s">
        <v>1857</v>
      </c>
      <c r="C183" t="s">
        <v>2006</v>
      </c>
      <c r="D183" t="str">
        <f t="shared" si="2"/>
        <v>妇宁栓1.6g*7粒</v>
      </c>
    </row>
    <row r="184" spans="1:4" x14ac:dyDescent="0.15">
      <c r="A184" t="s">
        <v>1034</v>
      </c>
      <c r="B184" t="s">
        <v>1035</v>
      </c>
      <c r="C184" t="s">
        <v>2007</v>
      </c>
      <c r="D184" t="str">
        <f t="shared" si="2"/>
        <v>紫桔止咳糖浆100ml/瓶</v>
      </c>
    </row>
    <row r="185" spans="1:4" x14ac:dyDescent="0.15">
      <c r="A185" t="s">
        <v>345</v>
      </c>
      <c r="B185" t="s">
        <v>1855</v>
      </c>
      <c r="C185" t="s">
        <v>2008</v>
      </c>
      <c r="D185" t="str">
        <f t="shared" si="2"/>
        <v>颠茄磺苄啶片10*</v>
      </c>
    </row>
    <row r="186" spans="1:4" x14ac:dyDescent="0.15">
      <c r="A186" t="s">
        <v>312</v>
      </c>
      <c r="B186" t="s">
        <v>313</v>
      </c>
      <c r="C186" t="s">
        <v>2001</v>
      </c>
      <c r="D186" t="str">
        <f t="shared" si="2"/>
        <v>柏子养心丸9g*10丸/盒</v>
      </c>
    </row>
    <row r="187" spans="1:4" x14ac:dyDescent="0.15">
      <c r="A187" t="s">
        <v>647</v>
      </c>
      <c r="B187" t="s">
        <v>648</v>
      </c>
      <c r="C187" t="s">
        <v>649</v>
      </c>
      <c r="D187" t="str">
        <f t="shared" si="2"/>
        <v>头孢氨苄片0.125g*30片</v>
      </c>
    </row>
    <row r="188" spans="1:4" x14ac:dyDescent="0.15">
      <c r="A188" t="s">
        <v>562</v>
      </c>
      <c r="B188" t="s">
        <v>2009</v>
      </c>
      <c r="C188" t="s">
        <v>2010</v>
      </c>
      <c r="D188" t="str">
        <f t="shared" si="2"/>
        <v>启脾丸3g*10</v>
      </c>
    </row>
    <row r="189" spans="1:4" x14ac:dyDescent="0.15">
      <c r="A189" t="s">
        <v>550</v>
      </c>
      <c r="B189" t="s">
        <v>1833</v>
      </c>
      <c r="C189" t="s">
        <v>2011</v>
      </c>
      <c r="D189" t="str">
        <f t="shared" si="2"/>
        <v>葡萄糖酸钙口服溶液10ml*12(含糖型)</v>
      </c>
    </row>
    <row r="190" spans="1:4" x14ac:dyDescent="0.15">
      <c r="A190" t="s">
        <v>556</v>
      </c>
      <c r="B190" t="s">
        <v>1842</v>
      </c>
      <c r="C190" t="s">
        <v>411</v>
      </c>
      <c r="D190" t="str">
        <f t="shared" si="2"/>
        <v>朴血乳酸亚铁口服液10ml*12支</v>
      </c>
    </row>
    <row r="191" spans="1:4" x14ac:dyDescent="0.15">
      <c r="A191" t="s">
        <v>554</v>
      </c>
      <c r="B191" t="s">
        <v>555</v>
      </c>
      <c r="C191" t="s">
        <v>411</v>
      </c>
      <c r="D191" t="str">
        <f t="shared" si="2"/>
        <v>葡萄糖酸锌口服液10ml*12支</v>
      </c>
    </row>
    <row r="192" spans="1:4" x14ac:dyDescent="0.15">
      <c r="A192" t="s">
        <v>363</v>
      </c>
      <c r="B192" t="s">
        <v>361</v>
      </c>
      <c r="C192" t="s">
        <v>2012</v>
      </c>
      <c r="D192" t="str">
        <f t="shared" si="2"/>
        <v>厄贝沙坦胶囊0.075g*24粒</v>
      </c>
    </row>
    <row r="193" spans="1:4" x14ac:dyDescent="0.15">
      <c r="A193" t="s">
        <v>253</v>
      </c>
      <c r="B193" t="s">
        <v>245</v>
      </c>
      <c r="C193" t="s">
        <v>1998</v>
      </c>
      <c r="D193" t="str">
        <f t="shared" si="2"/>
        <v>阿莫西林胶囊0.5g*20s</v>
      </c>
    </row>
    <row r="194" spans="1:4" x14ac:dyDescent="0.15">
      <c r="A194" t="s">
        <v>414</v>
      </c>
      <c r="B194" t="s">
        <v>1845</v>
      </c>
      <c r="C194" t="s">
        <v>2013</v>
      </c>
      <c r="D194" t="str">
        <f t="shared" si="2"/>
        <v>感冒解毒灵颗粒5g*10袋/盒</v>
      </c>
    </row>
    <row r="195" spans="1:4" x14ac:dyDescent="0.15">
      <c r="A195" t="s">
        <v>489</v>
      </c>
      <c r="B195" t="s">
        <v>2005</v>
      </c>
      <c r="C195" t="s">
        <v>2014</v>
      </c>
      <c r="D195" t="str">
        <f t="shared" ref="D195:D257" si="3">B195&amp;C195</f>
        <v>六味地黄丸72g(水蜜丸)</v>
      </c>
    </row>
    <row r="196" spans="1:4" x14ac:dyDescent="0.15">
      <c r="A196" t="s">
        <v>460</v>
      </c>
      <c r="B196" t="s">
        <v>461</v>
      </c>
      <c r="C196" t="s">
        <v>2015</v>
      </c>
      <c r="D196" t="str">
        <f t="shared" si="3"/>
        <v>菊梅利咽含片每片重1.2g*6片*3板</v>
      </c>
    </row>
    <row r="197" spans="1:4" x14ac:dyDescent="0.15">
      <c r="A197" t="s">
        <v>721</v>
      </c>
      <c r="B197" t="s">
        <v>722</v>
      </c>
      <c r="C197" t="s">
        <v>1993</v>
      </c>
      <c r="D197" t="str">
        <f t="shared" si="3"/>
        <v>新盖中盖牌儿童钙片1.75g*36片</v>
      </c>
    </row>
    <row r="198" spans="1:4" x14ac:dyDescent="0.15">
      <c r="A198" t="s">
        <v>426</v>
      </c>
      <c r="B198" t="s">
        <v>427</v>
      </c>
      <c r="C198" t="s">
        <v>2016</v>
      </c>
      <c r="D198" t="str">
        <f t="shared" si="3"/>
        <v>冠心苏合丸30丸</v>
      </c>
    </row>
    <row r="199" spans="1:4" x14ac:dyDescent="0.15">
      <c r="A199" t="s">
        <v>560</v>
      </c>
      <c r="B199" t="s">
        <v>2017</v>
      </c>
      <c r="C199" t="s">
        <v>2001</v>
      </c>
      <c r="D199" t="str">
        <f t="shared" si="3"/>
        <v>杞菊地黄丸9g*10丸/盒</v>
      </c>
    </row>
    <row r="200" spans="1:4" x14ac:dyDescent="0.15">
      <c r="A200" t="s">
        <v>772</v>
      </c>
      <c r="B200" t="s">
        <v>1875</v>
      </c>
      <c r="C200" t="s">
        <v>2001</v>
      </c>
      <c r="D200" t="str">
        <f t="shared" si="3"/>
        <v>益母丸9g*10丸/盒</v>
      </c>
    </row>
    <row r="201" spans="1:4" x14ac:dyDescent="0.15">
      <c r="A201" t="s">
        <v>609</v>
      </c>
      <c r="B201" t="s">
        <v>2018</v>
      </c>
      <c r="C201" t="s">
        <v>2019</v>
      </c>
      <c r="D201" t="str">
        <f t="shared" si="3"/>
        <v xml:space="preserve">十全大补丸9g*10   </v>
      </c>
    </row>
    <row r="202" spans="1:4" x14ac:dyDescent="0.15">
      <c r="A202" t="s">
        <v>652</v>
      </c>
      <c r="B202" t="s">
        <v>648</v>
      </c>
      <c r="C202" t="s">
        <v>1931</v>
      </c>
      <c r="D202" t="str">
        <f t="shared" si="3"/>
        <v>头孢氨苄片0.25g*30片</v>
      </c>
    </row>
    <row r="203" spans="1:4" x14ac:dyDescent="0.15">
      <c r="A203" t="s">
        <v>742</v>
      </c>
      <c r="B203" t="s">
        <v>2020</v>
      </c>
      <c r="C203" t="s">
        <v>2021</v>
      </c>
      <c r="D203" t="str">
        <f t="shared" si="3"/>
        <v>盐酸氟桂利嗪片5mg*40片</v>
      </c>
    </row>
    <row r="204" spans="1:4" x14ac:dyDescent="0.15">
      <c r="A204" t="s">
        <v>528</v>
      </c>
      <c r="B204" t="s">
        <v>527</v>
      </c>
      <c r="C204" t="s">
        <v>2022</v>
      </c>
      <c r="D204" t="str">
        <f t="shared" si="3"/>
        <v>牛黄清胃丸70g</v>
      </c>
    </row>
    <row r="205" spans="1:4" x14ac:dyDescent="0.15">
      <c r="A205" t="s">
        <v>593</v>
      </c>
      <c r="B205" t="s">
        <v>591</v>
      </c>
      <c r="C205" t="s">
        <v>1839</v>
      </c>
      <c r="D205" t="str">
        <f t="shared" si="3"/>
        <v>乳酸菌素片0.4g*36片</v>
      </c>
    </row>
    <row r="206" spans="1:4" x14ac:dyDescent="0.15">
      <c r="A206" t="s">
        <v>593</v>
      </c>
      <c r="B206" t="s">
        <v>591</v>
      </c>
      <c r="C206" t="s">
        <v>1951</v>
      </c>
      <c r="D206" t="str">
        <f t="shared" si="3"/>
        <v>乳酸菌素片0.4g*12片*3板</v>
      </c>
    </row>
    <row r="207" spans="1:4" x14ac:dyDescent="0.15">
      <c r="A207" t="s">
        <v>554</v>
      </c>
      <c r="B207" t="s">
        <v>1949</v>
      </c>
      <c r="C207" t="s">
        <v>411</v>
      </c>
      <c r="D207" t="str">
        <f t="shared" si="3"/>
        <v>葡萄糖酸锌口服溶液10ml*12支</v>
      </c>
    </row>
    <row r="208" spans="1:4" x14ac:dyDescent="0.15">
      <c r="A208" t="s">
        <v>590</v>
      </c>
      <c r="B208" t="s">
        <v>591</v>
      </c>
      <c r="C208" t="s">
        <v>1948</v>
      </c>
      <c r="D208" t="str">
        <f t="shared" si="3"/>
        <v>乳酸菌素片0.4g*36片/小包</v>
      </c>
    </row>
    <row r="209" spans="1:4" x14ac:dyDescent="0.15">
      <c r="A209" t="s">
        <v>360</v>
      </c>
      <c r="B209" t="s">
        <v>361</v>
      </c>
      <c r="C209" t="s">
        <v>2023</v>
      </c>
      <c r="D209" t="str">
        <f t="shared" si="3"/>
        <v>厄贝沙坦胶囊0.075g*12粒</v>
      </c>
    </row>
    <row r="210" spans="1:4" x14ac:dyDescent="0.15">
      <c r="A210" t="s">
        <v>590</v>
      </c>
      <c r="B210" t="s">
        <v>1883</v>
      </c>
      <c r="C210" t="s">
        <v>1839</v>
      </c>
      <c r="D210" t="str">
        <f t="shared" si="3"/>
        <v>“为消”牌乳酸菌素片0.4g*36片</v>
      </c>
    </row>
    <row r="211" spans="1:4" x14ac:dyDescent="0.15">
      <c r="A211" t="s">
        <v>606</v>
      </c>
      <c r="B211" t="s">
        <v>607</v>
      </c>
      <c r="C211" t="s">
        <v>1850</v>
      </c>
      <c r="D211" t="str">
        <f t="shared" si="3"/>
        <v>生脉饮（党参方）10ml*10支</v>
      </c>
    </row>
    <row r="212" spans="1:4" x14ac:dyDescent="0.15">
      <c r="A212" t="s">
        <v>556</v>
      </c>
      <c r="B212" t="s">
        <v>1906</v>
      </c>
      <c r="C212" t="s">
        <v>411</v>
      </c>
      <c r="D212" t="str">
        <f t="shared" si="3"/>
        <v>朴血/乳酸亚铁口服液10ml*12支</v>
      </c>
    </row>
    <row r="213" spans="1:4" x14ac:dyDescent="0.15">
      <c r="A213" t="s">
        <v>363</v>
      </c>
      <c r="B213" t="s">
        <v>361</v>
      </c>
      <c r="C213" t="s">
        <v>2024</v>
      </c>
      <c r="D213" t="str">
        <f t="shared" si="3"/>
        <v>厄贝沙坦胶囊75mg*24粒</v>
      </c>
    </row>
    <row r="214" spans="1:4" x14ac:dyDescent="0.15">
      <c r="A214" t="s">
        <v>626</v>
      </c>
      <c r="B214" t="s">
        <v>2025</v>
      </c>
      <c r="C214" t="s">
        <v>1846</v>
      </c>
      <c r="D214" t="str">
        <f t="shared" si="3"/>
        <v>双黄连颗粒（无蔗糖）5g*10袋</v>
      </c>
    </row>
    <row r="215" spans="1:4" x14ac:dyDescent="0.15">
      <c r="A215" t="s">
        <v>885</v>
      </c>
      <c r="B215" t="s">
        <v>883</v>
      </c>
      <c r="C215" t="s">
        <v>2026</v>
      </c>
      <c r="D215" t="str">
        <f t="shared" si="3"/>
        <v>注射用磷霉素钠2g</v>
      </c>
    </row>
    <row r="216" spans="1:4" x14ac:dyDescent="0.15">
      <c r="A216" t="s">
        <v>295</v>
      </c>
      <c r="B216" t="s">
        <v>292</v>
      </c>
      <c r="C216" t="s">
        <v>2027</v>
      </c>
      <c r="D216" t="str">
        <f t="shared" si="3"/>
        <v>阿奇霉素分散片0.25*6</v>
      </c>
    </row>
    <row r="217" spans="1:4" x14ac:dyDescent="0.15">
      <c r="A217" t="s">
        <v>763</v>
      </c>
      <c r="B217" t="s">
        <v>761</v>
      </c>
      <c r="C217" t="s">
        <v>2028</v>
      </c>
      <c r="D217" t="str">
        <f t="shared" si="3"/>
        <v>盐酸左氧氟沙星片0.1g*24片</v>
      </c>
    </row>
    <row r="218" spans="1:4" x14ac:dyDescent="0.15">
      <c r="A218" t="s">
        <v>360</v>
      </c>
      <c r="B218" t="s">
        <v>361</v>
      </c>
      <c r="C218" t="s">
        <v>2029</v>
      </c>
      <c r="D218" t="str">
        <f t="shared" si="3"/>
        <v>厄贝沙坦胶囊75mg*12粒</v>
      </c>
    </row>
    <row r="219" spans="1:4" x14ac:dyDescent="0.15">
      <c r="A219" t="s">
        <v>554</v>
      </c>
      <c r="B219" t="s">
        <v>555</v>
      </c>
      <c r="C219" t="s">
        <v>1962</v>
      </c>
      <c r="D219" t="str">
        <f t="shared" si="3"/>
        <v>葡萄糖酸锌口服液12支/盒</v>
      </c>
    </row>
    <row r="220" spans="1:4" x14ac:dyDescent="0.15">
      <c r="A220" t="s">
        <v>295</v>
      </c>
      <c r="B220" t="s">
        <v>2030</v>
      </c>
      <c r="C220" t="s">
        <v>1959</v>
      </c>
      <c r="D220" t="str">
        <f t="shared" si="3"/>
        <v>阿奇霉素分散片 三精0.25g*6片</v>
      </c>
    </row>
    <row r="221" spans="1:4" x14ac:dyDescent="0.15">
      <c r="A221" t="s">
        <v>554</v>
      </c>
      <c r="B221" t="s">
        <v>1986</v>
      </c>
      <c r="C221" t="s">
        <v>327</v>
      </c>
      <c r="D221" t="str">
        <f t="shared" si="3"/>
        <v>葡萄糖酸锌口服液 三精12支</v>
      </c>
    </row>
    <row r="222" spans="1:4" x14ac:dyDescent="0.15">
      <c r="A222" t="s">
        <v>556</v>
      </c>
      <c r="B222" t="s">
        <v>1987</v>
      </c>
      <c r="C222" t="s">
        <v>327</v>
      </c>
      <c r="D222" t="str">
        <f t="shared" si="3"/>
        <v>乳酸亚铁口服液（朴雪）12支</v>
      </c>
    </row>
    <row r="223" spans="1:4" x14ac:dyDescent="0.15">
      <c r="A223" t="s">
        <v>613</v>
      </c>
      <c r="B223" t="s">
        <v>2031</v>
      </c>
      <c r="C223" t="s">
        <v>2032</v>
      </c>
      <c r="D223" t="str">
        <f t="shared" si="3"/>
        <v>双黄连粉针剂600mg</v>
      </c>
    </row>
    <row r="224" spans="1:4" x14ac:dyDescent="0.15">
      <c r="A224" t="s">
        <v>679</v>
      </c>
      <c r="B224" t="s">
        <v>677</v>
      </c>
      <c r="C224" t="s">
        <v>2033</v>
      </c>
      <c r="D224" t="str">
        <f t="shared" si="3"/>
        <v>维D2磷酸氢钙片80片</v>
      </c>
    </row>
    <row r="225" spans="1:4" x14ac:dyDescent="0.15">
      <c r="A225" t="s">
        <v>417</v>
      </c>
      <c r="B225" t="s">
        <v>418</v>
      </c>
      <c r="C225" t="s">
        <v>419</v>
      </c>
      <c r="D225" t="str">
        <f t="shared" si="3"/>
        <v>格列齐特片80mg*60片</v>
      </c>
    </row>
    <row r="226" spans="1:4" x14ac:dyDescent="0.15">
      <c r="A226" t="s">
        <v>850</v>
      </c>
      <c r="B226" t="s">
        <v>851</v>
      </c>
      <c r="C226" t="s">
        <v>2034</v>
      </c>
      <c r="D226" t="str">
        <f t="shared" si="3"/>
        <v>注射用奥美拉唑钠40mg*10z</v>
      </c>
    </row>
    <row r="227" spans="1:4" x14ac:dyDescent="0.15">
      <c r="A227" t="s">
        <v>739</v>
      </c>
      <c r="B227" t="s">
        <v>2020</v>
      </c>
      <c r="C227" t="s">
        <v>2035</v>
      </c>
      <c r="D227" t="str">
        <f t="shared" si="3"/>
        <v>盐酸氟桂利嗪片20片</v>
      </c>
    </row>
    <row r="228" spans="1:4" x14ac:dyDescent="0.15">
      <c r="A228" t="s">
        <v>821</v>
      </c>
      <c r="B228" t="s">
        <v>2036</v>
      </c>
      <c r="C228" t="s">
        <v>845</v>
      </c>
      <c r="D228" t="str">
        <f t="shared" si="3"/>
        <v>注射用阿莫西林钠/益萨林2.0g</v>
      </c>
    </row>
    <row r="229" spans="1:4" x14ac:dyDescent="0.15">
      <c r="A229" t="s">
        <v>868</v>
      </c>
      <c r="B229" t="s">
        <v>2037</v>
      </c>
      <c r="C229" t="s">
        <v>2038</v>
      </c>
      <c r="D229" t="str">
        <f t="shared" si="3"/>
        <v>注射用更昔洛韦针0.25G</v>
      </c>
    </row>
    <row r="230" spans="1:4" x14ac:dyDescent="0.15">
      <c r="A230" t="s">
        <v>915</v>
      </c>
      <c r="B230" t="s">
        <v>1921</v>
      </c>
      <c r="C230" t="s">
        <v>912</v>
      </c>
      <c r="D230" t="str">
        <f t="shared" si="3"/>
        <v>阿奇针/注射用乳糖酸阿奇霉素针0.125g</v>
      </c>
    </row>
    <row r="231" spans="1:4" x14ac:dyDescent="0.15">
      <c r="A231" t="s">
        <v>765</v>
      </c>
      <c r="B231" t="s">
        <v>2039</v>
      </c>
      <c r="C231" t="s">
        <v>1918</v>
      </c>
      <c r="D231" t="str">
        <f t="shared" si="3"/>
        <v>养肝明目片0.35g*24片</v>
      </c>
    </row>
    <row r="232" spans="1:4" x14ac:dyDescent="0.15">
      <c r="A232" t="s">
        <v>611</v>
      </c>
      <c r="B232" t="s">
        <v>2040</v>
      </c>
      <c r="C232" t="s">
        <v>1924</v>
      </c>
      <c r="D232" t="str">
        <f t="shared" si="3"/>
        <v>舒肝丸(大蜜丸)6g*10丸</v>
      </c>
    </row>
    <row r="233" spans="1:4" x14ac:dyDescent="0.15">
      <c r="A233" t="s">
        <v>819</v>
      </c>
      <c r="B233" t="s">
        <v>2036</v>
      </c>
      <c r="C233" t="s">
        <v>843</v>
      </c>
      <c r="D233" t="str">
        <f t="shared" si="3"/>
        <v>注射用阿莫西林钠/益萨林1.0g</v>
      </c>
    </row>
    <row r="234" spans="1:4" x14ac:dyDescent="0.15">
      <c r="A234" t="s">
        <v>1032</v>
      </c>
      <c r="B234" t="s">
        <v>1030</v>
      </c>
      <c r="C234" t="s">
        <v>1865</v>
      </c>
      <c r="D234" t="str">
        <f t="shared" si="3"/>
        <v>壮肾安神片45片</v>
      </c>
    </row>
    <row r="235" spans="1:4" x14ac:dyDescent="0.15">
      <c r="A235" t="s">
        <v>468</v>
      </c>
      <c r="B235" t="s">
        <v>2041</v>
      </c>
      <c r="C235" t="s">
        <v>1916</v>
      </c>
      <c r="D235" t="str">
        <f t="shared" si="3"/>
        <v>克拉霉素分散片 哈药0.125g*12片</v>
      </c>
    </row>
    <row r="236" spans="1:4" x14ac:dyDescent="0.15">
      <c r="A236" t="s">
        <v>556</v>
      </c>
      <c r="B236" t="s">
        <v>1906</v>
      </c>
      <c r="C236" t="s">
        <v>2042</v>
      </c>
      <c r="D236" t="str">
        <f t="shared" si="3"/>
        <v>朴血/乳酸亚铁口服液12支*10ml</v>
      </c>
    </row>
    <row r="237" spans="1:4" x14ac:dyDescent="0.15">
      <c r="A237" t="s">
        <v>496</v>
      </c>
      <c r="B237" t="s">
        <v>1920</v>
      </c>
      <c r="C237" t="s">
        <v>2043</v>
      </c>
      <c r="D237" t="str">
        <f t="shared" si="3"/>
        <v>小儿严迪片/罗红霉素分散片12片*50mg</v>
      </c>
    </row>
    <row r="238" spans="1:4" x14ac:dyDescent="0.15">
      <c r="A238" t="s">
        <v>493</v>
      </c>
      <c r="B238" t="s">
        <v>1890</v>
      </c>
      <c r="C238" t="s">
        <v>2044</v>
      </c>
      <c r="D238" t="str">
        <f t="shared" si="3"/>
        <v>严迪/罗红霉素分散片150mg*12p</v>
      </c>
    </row>
    <row r="239" spans="1:4" x14ac:dyDescent="0.15">
      <c r="A239" t="s">
        <v>721</v>
      </c>
      <c r="B239" t="s">
        <v>2045</v>
      </c>
      <c r="C239" t="s">
        <v>1909</v>
      </c>
      <c r="D239" t="str">
        <f t="shared" si="3"/>
        <v>小儿/新盖中盖牌儿童钙片1.75g*36p</v>
      </c>
    </row>
    <row r="240" spans="1:4" x14ac:dyDescent="0.15">
      <c r="A240" t="s">
        <v>1001</v>
      </c>
      <c r="B240" t="s">
        <v>2046</v>
      </c>
      <c r="C240" t="s">
        <v>2047</v>
      </c>
      <c r="D240" t="str">
        <f t="shared" si="3"/>
        <v>注射用炎琥宁粉针80MG*12支</v>
      </c>
    </row>
    <row r="241" spans="1:4" x14ac:dyDescent="0.15">
      <c r="A241" t="s">
        <v>478</v>
      </c>
      <c r="B241" t="s">
        <v>1904</v>
      </c>
      <c r="C241" t="s">
        <v>2048</v>
      </c>
      <c r="D241" t="str">
        <f t="shared" si="3"/>
        <v>拉西地平片/三精司乐平片4mg*15s</v>
      </c>
    </row>
    <row r="242" spans="1:4" x14ac:dyDescent="0.15">
      <c r="A242" t="s">
        <v>368</v>
      </c>
      <c r="B242" t="s">
        <v>1857</v>
      </c>
      <c r="C242" t="s">
        <v>2049</v>
      </c>
      <c r="D242" t="str">
        <f t="shared" si="3"/>
        <v>妇宁栓7粒*1.6克</v>
      </c>
    </row>
    <row r="243" spans="1:4" x14ac:dyDescent="0.15">
      <c r="A243" t="s">
        <v>348</v>
      </c>
      <c r="B243" t="s">
        <v>2050</v>
      </c>
      <c r="C243" t="s">
        <v>1941</v>
      </c>
      <c r="D243" t="str">
        <f t="shared" si="3"/>
        <v>泻立停片/颠茄磺苄啶0.4g：80mg：8mg*12片</v>
      </c>
    </row>
    <row r="244" spans="1:4" x14ac:dyDescent="0.15">
      <c r="A244" t="s">
        <v>640</v>
      </c>
      <c r="B244" t="s">
        <v>641</v>
      </c>
      <c r="C244" t="s">
        <v>2051</v>
      </c>
      <c r="D244" t="str">
        <f t="shared" si="3"/>
        <v>头孢氨苄胶囊0.125g*20s</v>
      </c>
    </row>
    <row r="245" spans="1:4" x14ac:dyDescent="0.15">
      <c r="A245" s="1"/>
      <c r="B245" t="s">
        <v>2923</v>
      </c>
      <c r="C245" t="s">
        <v>2929</v>
      </c>
      <c r="D245" t="str">
        <f t="shared" si="3"/>
        <v>葡萄糖酸钙口服溶液(有糖)10% 10ml*12支</v>
      </c>
    </row>
    <row r="246" spans="1:4" x14ac:dyDescent="0.15">
      <c r="A246" s="1"/>
      <c r="B246" t="s">
        <v>1949</v>
      </c>
      <c r="C246" t="s">
        <v>2930</v>
      </c>
      <c r="D246" t="str">
        <f t="shared" si="3"/>
        <v>葡萄糖酸锌口服溶液10ml:35mg*12支</v>
      </c>
    </row>
    <row r="247" spans="1:4" x14ac:dyDescent="0.15">
      <c r="A247" s="1"/>
      <c r="B247" t="s">
        <v>1855</v>
      </c>
      <c r="C247" t="s">
        <v>2931</v>
      </c>
      <c r="D247" t="str">
        <f t="shared" si="3"/>
        <v>颠茄磺苄啶片12s</v>
      </c>
    </row>
    <row r="248" spans="1:4" x14ac:dyDescent="0.15">
      <c r="A248" s="1"/>
      <c r="B248" t="s">
        <v>494</v>
      </c>
      <c r="C248" t="s">
        <v>2932</v>
      </c>
      <c r="D248" t="str">
        <f t="shared" si="3"/>
        <v>罗红霉素分散片(严迪)75mg*12s</v>
      </c>
    </row>
    <row r="249" spans="1:4" x14ac:dyDescent="0.15">
      <c r="A249" s="1"/>
      <c r="B249" t="s">
        <v>1885</v>
      </c>
      <c r="C249" t="s">
        <v>2933</v>
      </c>
      <c r="D249" t="str">
        <f t="shared" si="3"/>
        <v>新盖中盖高钙片2.5g*36s</v>
      </c>
    </row>
    <row r="250" spans="1:4" x14ac:dyDescent="0.15">
      <c r="A250" s="1"/>
      <c r="B250" t="s">
        <v>2924</v>
      </c>
      <c r="C250" t="s">
        <v>2934</v>
      </c>
      <c r="D250" t="str">
        <f t="shared" si="3"/>
        <v>罗红霉素分散片(严迪)(儿)50mg*12s</v>
      </c>
    </row>
    <row r="251" spans="1:4" x14ac:dyDescent="0.15">
      <c r="A251" s="1"/>
      <c r="B251" t="s">
        <v>2925</v>
      </c>
      <c r="C251" t="s">
        <v>914</v>
      </c>
      <c r="D251" t="str">
        <f t="shared" si="3"/>
        <v>注射用乳糖酸阿奇霉素(齐宏)(精)0.25g</v>
      </c>
    </row>
    <row r="252" spans="1:4" x14ac:dyDescent="0.15">
      <c r="A252" s="1"/>
      <c r="B252" t="s">
        <v>2926</v>
      </c>
      <c r="C252" t="s">
        <v>2935</v>
      </c>
      <c r="D252" t="str">
        <f t="shared" si="3"/>
        <v>新盖中盖儿童钙片1.75g*36s</v>
      </c>
    </row>
    <row r="253" spans="1:4" x14ac:dyDescent="0.15">
      <c r="A253" s="1"/>
      <c r="B253" t="s">
        <v>702</v>
      </c>
      <c r="C253" t="s">
        <v>1853</v>
      </c>
      <c r="D253" t="str">
        <f t="shared" si="3"/>
        <v>小儿氨酚黄那敏颗粒(护彤)2g*12袋</v>
      </c>
    </row>
    <row r="254" spans="1:4" x14ac:dyDescent="0.15">
      <c r="A254" s="1"/>
      <c r="B254" t="s">
        <v>2927</v>
      </c>
      <c r="C254" t="s">
        <v>785</v>
      </c>
      <c r="D254" t="str">
        <f t="shared" si="3"/>
        <v>重组人促红素注射液(CHO细胞)(雪达升)3000IU</v>
      </c>
    </row>
    <row r="255" spans="1:4" x14ac:dyDescent="0.15">
      <c r="A255" s="1"/>
      <c r="B255" t="s">
        <v>2928</v>
      </c>
      <c r="C255" t="s">
        <v>2936</v>
      </c>
      <c r="D255" t="str">
        <f t="shared" si="3"/>
        <v>注射用丹参(冻干)0.4g</v>
      </c>
    </row>
    <row r="256" spans="1:4" x14ac:dyDescent="0.15">
      <c r="A256" s="1"/>
      <c r="B256" t="s">
        <v>857</v>
      </c>
      <c r="C256" t="s">
        <v>861</v>
      </c>
      <c r="D256" t="str">
        <f t="shared" si="3"/>
        <v>注射用奥扎格雷钠80mg</v>
      </c>
    </row>
    <row r="257" spans="1:4" x14ac:dyDescent="0.15">
      <c r="A257" s="1"/>
      <c r="B257" t="s">
        <v>3031</v>
      </c>
      <c r="C257" t="s">
        <v>3033</v>
      </c>
      <c r="D257" t="str">
        <f t="shared" si="3"/>
        <v>宫血停颗粒（无糖）10g*6d*60h</v>
      </c>
    </row>
    <row r="258" spans="1:4" x14ac:dyDescent="0.15">
      <c r="A258" s="1"/>
      <c r="B258" t="s">
        <v>3032</v>
      </c>
      <c r="C258" t="s">
        <v>3034</v>
      </c>
      <c r="D258" t="str">
        <f t="shared" ref="D258:D321" si="4">B258&amp;C258</f>
        <v>注射用双黄连粉针(冻干)600mg*12z/盒</v>
      </c>
    </row>
    <row r="259" spans="1:4" x14ac:dyDescent="0.15">
      <c r="A259" s="1"/>
      <c r="B259" t="s">
        <v>310</v>
      </c>
      <c r="C259" t="s">
        <v>311</v>
      </c>
      <c r="D259" t="str">
        <f t="shared" si="4"/>
        <v>氨咖黄敏胶囊20粒</v>
      </c>
    </row>
    <row r="260" spans="1:4" x14ac:dyDescent="0.15">
      <c r="A260" s="1"/>
      <c r="B260" t="s">
        <v>543</v>
      </c>
      <c r="C260" t="s">
        <v>3035</v>
      </c>
      <c r="D260" t="str">
        <f t="shared" si="4"/>
        <v>诺氟沙星胶囊0.1g*20s</v>
      </c>
    </row>
    <row r="261" spans="1:4" x14ac:dyDescent="0.15">
      <c r="A261" s="1"/>
      <c r="B261" t="s">
        <v>1872</v>
      </c>
      <c r="C261" t="s">
        <v>3064</v>
      </c>
      <c r="D261" t="str">
        <f t="shared" si="4"/>
        <v>拉西地平片/司乐平4mg*30片</v>
      </c>
    </row>
    <row r="262" spans="1:4" x14ac:dyDescent="0.15">
      <c r="A262" s="1"/>
      <c r="B262" t="s">
        <v>911</v>
      </c>
      <c r="C262" t="s">
        <v>912</v>
      </c>
      <c r="D262" t="str">
        <f t="shared" si="4"/>
        <v>注射用乳糖酸阿奇霉素0.125g</v>
      </c>
    </row>
    <row r="263" spans="1:4" x14ac:dyDescent="0.15">
      <c r="A263" s="1"/>
      <c r="B263" t="s">
        <v>3062</v>
      </c>
      <c r="C263" t="s">
        <v>2035</v>
      </c>
      <c r="D263" t="str">
        <f t="shared" si="4"/>
        <v>颠茄磺苄啶片/泻痢停20片</v>
      </c>
    </row>
    <row r="264" spans="1:4" x14ac:dyDescent="0.15">
      <c r="A264" s="1"/>
      <c r="B264" t="s">
        <v>3063</v>
      </c>
      <c r="C264" t="s">
        <v>1869</v>
      </c>
      <c r="D264" t="str">
        <f t="shared" si="4"/>
        <v>罗红霉素分散片/严迪75mg*12片</v>
      </c>
    </row>
    <row r="265" spans="1:4" x14ac:dyDescent="0.15">
      <c r="A265" s="1"/>
      <c r="B265" t="s">
        <v>405</v>
      </c>
      <c r="C265" t="s">
        <v>1850</v>
      </c>
      <c r="D265" t="str">
        <f t="shared" si="4"/>
        <v>钙铁锌口服液10ml*10支</v>
      </c>
    </row>
    <row r="266" spans="1:4" x14ac:dyDescent="0.15">
      <c r="A266" s="1"/>
      <c r="B266" t="s">
        <v>1885</v>
      </c>
      <c r="C266" t="s">
        <v>1838</v>
      </c>
      <c r="D266" t="str">
        <f t="shared" si="4"/>
        <v>新盖中盖高钙片2.5g*36片</v>
      </c>
    </row>
    <row r="267" spans="1:4" x14ac:dyDescent="0.15">
      <c r="A267" s="1"/>
      <c r="B267" t="s">
        <v>1857</v>
      </c>
      <c r="C267" t="s">
        <v>3288</v>
      </c>
      <c r="D267" t="str">
        <f t="shared" si="4"/>
        <v>妇宁栓7粒</v>
      </c>
    </row>
    <row r="268" spans="1:4" x14ac:dyDescent="0.15">
      <c r="A268" s="1"/>
      <c r="B268" t="s">
        <v>306</v>
      </c>
      <c r="C268" t="s">
        <v>3289</v>
      </c>
      <c r="D268" t="str">
        <f t="shared" si="4"/>
        <v>氨金黄敏颗粒10袋</v>
      </c>
    </row>
    <row r="269" spans="1:4" x14ac:dyDescent="0.15">
      <c r="A269" s="1"/>
      <c r="B269" t="s">
        <v>2020</v>
      </c>
      <c r="C269" t="s">
        <v>3290</v>
      </c>
      <c r="D269" t="str">
        <f t="shared" si="4"/>
        <v>盐酸氟桂利嗪片5mg*20片</v>
      </c>
    </row>
    <row r="270" spans="1:4" x14ac:dyDescent="0.15">
      <c r="A270" s="1"/>
      <c r="B270" t="s">
        <v>317</v>
      </c>
      <c r="C270" t="s">
        <v>3291</v>
      </c>
      <c r="D270" t="str">
        <f t="shared" si="4"/>
        <v>布洛芬颗粒0.2g*12包</v>
      </c>
    </row>
    <row r="271" spans="1:4" x14ac:dyDescent="0.15">
      <c r="A271" s="1"/>
      <c r="B271" t="s">
        <v>705</v>
      </c>
      <c r="C271" t="s">
        <v>2035</v>
      </c>
      <c r="D271" t="str">
        <f t="shared" si="4"/>
        <v>小儿氨酚黄那敏片20片</v>
      </c>
    </row>
    <row r="272" spans="1:4" x14ac:dyDescent="0.15">
      <c r="A272" s="1"/>
      <c r="B272" t="s">
        <v>1987</v>
      </c>
      <c r="C272" t="s">
        <v>411</v>
      </c>
      <c r="D272" t="str">
        <f t="shared" si="4"/>
        <v>乳酸亚铁口服液（朴雪）10ml*12支</v>
      </c>
    </row>
    <row r="273" spans="1:4" x14ac:dyDescent="0.15">
      <c r="A273" s="1"/>
      <c r="B273" t="s">
        <v>3267</v>
      </c>
      <c r="C273" t="s">
        <v>1945</v>
      </c>
      <c r="D273" t="str">
        <f t="shared" si="4"/>
        <v>六味地黄丸(水蜜丸)72g</v>
      </c>
    </row>
    <row r="274" spans="1:4" x14ac:dyDescent="0.15">
      <c r="A274" s="1"/>
      <c r="B274" t="s">
        <v>1835</v>
      </c>
      <c r="C274" t="s">
        <v>1954</v>
      </c>
      <c r="D274" t="str">
        <f t="shared" si="4"/>
        <v>蒙脱石散12袋</v>
      </c>
    </row>
    <row r="275" spans="1:4" x14ac:dyDescent="0.15">
      <c r="A275" s="1"/>
      <c r="B275" t="s">
        <v>380</v>
      </c>
      <c r="C275" t="s">
        <v>3292</v>
      </c>
      <c r="D275" t="str">
        <f t="shared" si="4"/>
        <v>复方氨酚烷胺片12粒</v>
      </c>
    </row>
    <row r="276" spans="1:4" x14ac:dyDescent="0.15">
      <c r="A276" s="1"/>
      <c r="B276" t="s">
        <v>3268</v>
      </c>
      <c r="C276" t="s">
        <v>411</v>
      </c>
      <c r="D276" t="str">
        <f t="shared" si="4"/>
        <v>葡糖糖酸锌口服溶液10ml*12支</v>
      </c>
    </row>
    <row r="277" spans="1:4" x14ac:dyDescent="0.15">
      <c r="A277" s="1"/>
      <c r="B277" t="s">
        <v>3269</v>
      </c>
      <c r="C277" t="s">
        <v>1839</v>
      </c>
      <c r="D277" t="str">
        <f t="shared" si="4"/>
        <v>乳酸菌素片(精）0.4g*36片</v>
      </c>
    </row>
    <row r="278" spans="1:4" x14ac:dyDescent="0.15">
      <c r="A278" s="1"/>
      <c r="B278" t="s">
        <v>768</v>
      </c>
      <c r="C278" t="s">
        <v>3293</v>
      </c>
      <c r="D278" t="str">
        <f t="shared" si="4"/>
        <v>医用退热贴40*110mm*2贴</v>
      </c>
    </row>
    <row r="279" spans="1:4" x14ac:dyDescent="0.15">
      <c r="A279" s="1"/>
      <c r="B279" t="s">
        <v>338</v>
      </c>
      <c r="C279" t="s">
        <v>341</v>
      </c>
      <c r="D279" t="str">
        <f t="shared" si="4"/>
        <v>丹佛胃尔康颗粒10g*8袋</v>
      </c>
    </row>
    <row r="280" spans="1:4" x14ac:dyDescent="0.15">
      <c r="A280" s="1"/>
      <c r="B280" t="s">
        <v>672</v>
      </c>
      <c r="C280" t="s">
        <v>1843</v>
      </c>
      <c r="D280" t="str">
        <f t="shared" si="4"/>
        <v>退热贴2贴</v>
      </c>
    </row>
    <row r="281" spans="1:4" x14ac:dyDescent="0.15">
      <c r="A281" s="1"/>
      <c r="B281" t="s">
        <v>1845</v>
      </c>
      <c r="C281" t="s">
        <v>3294</v>
      </c>
      <c r="D281" t="str">
        <f t="shared" si="4"/>
        <v>感冒解毒灵颗粒5克*10袋</v>
      </c>
    </row>
    <row r="282" spans="1:4" x14ac:dyDescent="0.15">
      <c r="A282" s="1"/>
      <c r="B282" t="s">
        <v>682</v>
      </c>
      <c r="C282" t="s">
        <v>3295</v>
      </c>
      <c r="D282" t="str">
        <f t="shared" si="4"/>
        <v>维生素C咀嚼片100mg*30片</v>
      </c>
    </row>
    <row r="283" spans="1:4" x14ac:dyDescent="0.15">
      <c r="A283" s="1"/>
      <c r="B283" t="s">
        <v>3270</v>
      </c>
      <c r="C283" t="s">
        <v>3296</v>
      </c>
      <c r="D283" t="str">
        <f t="shared" si="4"/>
        <v>拉西地平片（司乐平）4mg*15粒</v>
      </c>
    </row>
    <row r="284" spans="1:4" x14ac:dyDescent="0.15">
      <c r="A284" s="1"/>
      <c r="B284" t="s">
        <v>3271</v>
      </c>
      <c r="C284" t="s">
        <v>3297</v>
      </c>
      <c r="D284" t="str">
        <f t="shared" si="4"/>
        <v>*新贝增盖牌硒加钙咀嚼片1.75g*30片</v>
      </c>
    </row>
    <row r="285" spans="1:4" x14ac:dyDescent="0.15">
      <c r="A285" s="1"/>
      <c r="B285" t="s">
        <v>3271</v>
      </c>
      <c r="C285" t="s">
        <v>3298</v>
      </c>
      <c r="D285" t="str">
        <f t="shared" si="4"/>
        <v>*新贝增盖牌硒加钙咀嚼片1.75g*60片</v>
      </c>
    </row>
    <row r="286" spans="1:4" x14ac:dyDescent="0.15">
      <c r="A286" s="1"/>
      <c r="B286" t="s">
        <v>3300</v>
      </c>
      <c r="C286" t="s">
        <v>3301</v>
      </c>
      <c r="D286" t="str">
        <f t="shared" si="4"/>
        <v>注射用丹参（冻干）400mg</v>
      </c>
    </row>
    <row r="287" spans="1:4" x14ac:dyDescent="0.15">
      <c r="A287" s="1"/>
      <c r="B287" t="s">
        <v>394</v>
      </c>
      <c r="C287" t="s">
        <v>3331</v>
      </c>
      <c r="D287" t="str">
        <f t="shared" si="4"/>
        <v>复方铝酸铋片10片*5板</v>
      </c>
    </row>
    <row r="288" spans="1:4" x14ac:dyDescent="0.15">
      <c r="A288" s="1"/>
      <c r="B288" t="s">
        <v>474</v>
      </c>
      <c r="C288" t="s">
        <v>3064</v>
      </c>
      <c r="D288" t="str">
        <f t="shared" si="4"/>
        <v>拉西地平片4mg*30片</v>
      </c>
    </row>
    <row r="289" spans="1:4" x14ac:dyDescent="0.15">
      <c r="A289" s="1"/>
      <c r="B289" t="s">
        <v>1833</v>
      </c>
      <c r="C289" t="s">
        <v>3332</v>
      </c>
      <c r="D289" t="str">
        <f t="shared" si="4"/>
        <v>葡萄糖酸钙口服溶液10毫升*12支（含糖型）</v>
      </c>
    </row>
    <row r="290" spans="1:4" x14ac:dyDescent="0.15">
      <c r="A290" s="1"/>
      <c r="B290" t="s">
        <v>768</v>
      </c>
      <c r="C290" t="s">
        <v>1884</v>
      </c>
      <c r="D290" t="str">
        <f t="shared" si="4"/>
        <v>医用退热贴40mm*110mm*2贴</v>
      </c>
    </row>
    <row r="291" spans="1:4" x14ac:dyDescent="0.15">
      <c r="A291" s="1"/>
      <c r="B291" t="s">
        <v>1953</v>
      </c>
      <c r="C291" t="s">
        <v>1853</v>
      </c>
      <c r="D291" t="str">
        <f t="shared" si="4"/>
        <v>小儿氨酚黄那敏颗粒2g*12袋</v>
      </c>
    </row>
    <row r="292" spans="1:4" x14ac:dyDescent="0.15">
      <c r="A292" s="1"/>
      <c r="B292" t="s">
        <v>586</v>
      </c>
      <c r="C292" t="s">
        <v>1901</v>
      </c>
      <c r="D292" t="str">
        <f t="shared" si="4"/>
        <v>人工牛黄甲硝唑胶囊10粒*3板</v>
      </c>
    </row>
    <row r="293" spans="1:4" x14ac:dyDescent="0.15">
      <c r="A293" s="1"/>
      <c r="B293" t="s">
        <v>1864</v>
      </c>
      <c r="C293" t="s">
        <v>3333</v>
      </c>
      <c r="D293" t="str">
        <f t="shared" si="4"/>
        <v>复方金银花颗粒10克*10袋</v>
      </c>
    </row>
    <row r="294" spans="1:4" x14ac:dyDescent="0.15">
      <c r="A294" s="1"/>
      <c r="B294" t="s">
        <v>3447</v>
      </c>
      <c r="C294" t="s">
        <v>1838</v>
      </c>
      <c r="D294" t="str">
        <f t="shared" si="4"/>
        <v>新盖中盖高钙片/成人2.5g*36片</v>
      </c>
    </row>
    <row r="295" spans="1:4" x14ac:dyDescent="0.15">
      <c r="A295" s="1"/>
      <c r="B295" t="s">
        <v>3448</v>
      </c>
      <c r="C295" t="s">
        <v>411</v>
      </c>
      <c r="D295" t="str">
        <f t="shared" si="4"/>
        <v>葡萄糖酸钙口服溶液（含糖型）10ml*12支</v>
      </c>
    </row>
    <row r="296" spans="1:4" x14ac:dyDescent="0.15">
      <c r="A296" s="1"/>
      <c r="B296" t="s">
        <v>3449</v>
      </c>
      <c r="C296" t="s">
        <v>3453</v>
      </c>
      <c r="D296" t="str">
        <f t="shared" si="4"/>
        <v>注射用乳糖酸阿奇霉素/齐宏0.25g*10支</v>
      </c>
    </row>
    <row r="297" spans="1:4" x14ac:dyDescent="0.15">
      <c r="A297" s="1"/>
      <c r="B297" t="s">
        <v>3450</v>
      </c>
      <c r="C297" t="s">
        <v>1871</v>
      </c>
      <c r="D297" t="str">
        <f t="shared" si="4"/>
        <v>复方铝酸铋片/胃必治50片</v>
      </c>
    </row>
    <row r="298" spans="1:4" x14ac:dyDescent="0.15">
      <c r="A298" s="1"/>
      <c r="B298" t="s">
        <v>1857</v>
      </c>
      <c r="C298" t="s">
        <v>3454</v>
      </c>
      <c r="D298" t="str">
        <f t="shared" si="4"/>
        <v>妇宁栓7枚</v>
      </c>
    </row>
    <row r="299" spans="1:4" x14ac:dyDescent="0.15">
      <c r="A299" s="1"/>
      <c r="B299" t="s">
        <v>3451</v>
      </c>
      <c r="C299" t="s">
        <v>381</v>
      </c>
      <c r="D299" t="str">
        <f t="shared" si="4"/>
        <v>颠茄磺苄啶片/泻利停12片</v>
      </c>
    </row>
    <row r="300" spans="1:4" x14ac:dyDescent="0.15">
      <c r="A300" s="1"/>
      <c r="B300" t="s">
        <v>3452</v>
      </c>
      <c r="C300" t="s">
        <v>3455</v>
      </c>
      <c r="D300" t="str">
        <f t="shared" si="4"/>
        <v>阿莫西林胶囊 益萨林0.5g*12粒*3板</v>
      </c>
    </row>
    <row r="301" spans="1:4" x14ac:dyDescent="0.15">
      <c r="A301" s="1"/>
      <c r="B301" t="s">
        <v>1936</v>
      </c>
      <c r="C301" t="s">
        <v>3456</v>
      </c>
      <c r="D301" t="str">
        <f t="shared" si="4"/>
        <v>阿莫西林克拉维酸钾分散片228.5mg*12片</v>
      </c>
    </row>
    <row r="302" spans="1:4" x14ac:dyDescent="0.15">
      <c r="A302" s="1"/>
      <c r="B302" t="s">
        <v>1857</v>
      </c>
      <c r="C302" t="s">
        <v>3457</v>
      </c>
      <c r="D302" t="str">
        <f t="shared" si="4"/>
        <v>妇宁栓8粒</v>
      </c>
    </row>
    <row r="303" spans="1:4" x14ac:dyDescent="0.15">
      <c r="A303" s="1"/>
      <c r="B303" t="s">
        <v>575</v>
      </c>
      <c r="C303" t="s">
        <v>1910</v>
      </c>
      <c r="D303" t="str">
        <f t="shared" si="4"/>
        <v>青霉素V钾片24片</v>
      </c>
    </row>
    <row r="304" spans="1:4" x14ac:dyDescent="0.15">
      <c r="A304" s="1"/>
      <c r="B304" t="s">
        <v>911</v>
      </c>
      <c r="C304" t="s">
        <v>3453</v>
      </c>
      <c r="D304" t="str">
        <f t="shared" si="4"/>
        <v>注射用乳糖酸阿奇霉素0.25g*10支</v>
      </c>
    </row>
    <row r="305" spans="1:4" x14ac:dyDescent="0.15">
      <c r="A305" s="1"/>
      <c r="B305" t="s">
        <v>630</v>
      </c>
      <c r="C305" t="s">
        <v>3521</v>
      </c>
      <c r="D305" t="str">
        <f t="shared" si="4"/>
        <v>双黄连口服液10ml*10支（1ml相当于1.5g）</v>
      </c>
    </row>
    <row r="306" spans="1:4" x14ac:dyDescent="0.15">
      <c r="A306" s="1"/>
      <c r="B306" t="s">
        <v>1833</v>
      </c>
      <c r="C306" t="s">
        <v>3522</v>
      </c>
      <c r="D306" t="str">
        <f t="shared" si="4"/>
        <v>葡萄糖酸钙口服溶液10ml*12支（含糖型）</v>
      </c>
    </row>
    <row r="307" spans="1:4" x14ac:dyDescent="0.15">
      <c r="A307" s="1"/>
      <c r="B307" t="s">
        <v>722</v>
      </c>
      <c r="C307" t="s">
        <v>3523</v>
      </c>
      <c r="D307" t="str">
        <f t="shared" si="4"/>
        <v>新盖中盖牌儿童钙片63g(1.75g*36片)</v>
      </c>
    </row>
    <row r="308" spans="1:4" x14ac:dyDescent="0.15">
      <c r="A308" s="1"/>
      <c r="B308" t="s">
        <v>3607</v>
      </c>
      <c r="C308" t="s">
        <v>3453</v>
      </c>
      <c r="D308" t="str">
        <f t="shared" si="4"/>
        <v>(精)注射用乳糖酸阿奇霉素0.25g*10支</v>
      </c>
    </row>
    <row r="309" spans="1:4" x14ac:dyDescent="0.15">
      <c r="A309" s="1"/>
      <c r="B309" t="s">
        <v>245</v>
      </c>
      <c r="C309" t="s">
        <v>3611</v>
      </c>
      <c r="D309" t="str">
        <f t="shared" si="4"/>
        <v>阿莫西林胶囊0.5g*10粒*2板</v>
      </c>
    </row>
    <row r="310" spans="1:4" x14ac:dyDescent="0.15">
      <c r="A310" s="1"/>
      <c r="B310" t="s">
        <v>3608</v>
      </c>
      <c r="C310" t="s">
        <v>381</v>
      </c>
      <c r="D310" t="str">
        <f t="shared" si="4"/>
        <v>颠茄磺苄啶片(泻利停)12片</v>
      </c>
    </row>
    <row r="311" spans="1:4" x14ac:dyDescent="0.15">
      <c r="A311" s="1"/>
      <c r="B311" t="s">
        <v>380</v>
      </c>
      <c r="C311" t="s">
        <v>3612</v>
      </c>
      <c r="D311" t="str">
        <f t="shared" si="4"/>
        <v>复方氨酚烷胺片12片*1板</v>
      </c>
    </row>
    <row r="312" spans="1:4" x14ac:dyDescent="0.15">
      <c r="A312" s="1"/>
      <c r="B312" t="s">
        <v>494</v>
      </c>
      <c r="C312" t="s">
        <v>1841</v>
      </c>
      <c r="D312" t="str">
        <f t="shared" si="4"/>
        <v>罗红霉素分散片(严迪)50mg*12片</v>
      </c>
    </row>
    <row r="313" spans="1:4" x14ac:dyDescent="0.15">
      <c r="A313" s="1"/>
      <c r="B313" t="s">
        <v>494</v>
      </c>
      <c r="C313" t="s">
        <v>1869</v>
      </c>
      <c r="D313" t="str">
        <f t="shared" si="4"/>
        <v>罗红霉素分散片(严迪)75mg*12片</v>
      </c>
    </row>
    <row r="314" spans="1:4" x14ac:dyDescent="0.15">
      <c r="A314" s="1"/>
      <c r="B314" t="s">
        <v>3609</v>
      </c>
      <c r="C314" t="s">
        <v>411</v>
      </c>
      <c r="D314" t="str">
        <f t="shared" si="4"/>
        <v>葡萄糖酸钙口服溶液10%10ml*12支</v>
      </c>
    </row>
    <row r="315" spans="1:4" x14ac:dyDescent="0.15">
      <c r="A315" s="1"/>
      <c r="B315" t="s">
        <v>586</v>
      </c>
      <c r="C315" t="s">
        <v>3613</v>
      </c>
      <c r="D315" t="str">
        <f t="shared" si="4"/>
        <v>人工牛黄甲硝唑胶囊0.2g*10粒*3板</v>
      </c>
    </row>
    <row r="316" spans="1:4" x14ac:dyDescent="0.15">
      <c r="A316" s="1"/>
      <c r="B316" t="s">
        <v>702</v>
      </c>
      <c r="C316" t="s">
        <v>1954</v>
      </c>
      <c r="D316" t="str">
        <f t="shared" si="4"/>
        <v>小儿氨酚黄那敏颗粒(护彤)12袋</v>
      </c>
    </row>
    <row r="317" spans="1:4" x14ac:dyDescent="0.15">
      <c r="A317" s="1"/>
      <c r="B317" t="s">
        <v>3610</v>
      </c>
      <c r="C317" t="s">
        <v>444</v>
      </c>
      <c r="D317" t="str">
        <f t="shared" si="4"/>
        <v>血府逐瘀丸(大蜜丸)9g*10丸</v>
      </c>
    </row>
    <row r="318" spans="1:4" x14ac:dyDescent="0.15">
      <c r="A318" s="1"/>
      <c r="B318" t="s">
        <v>911</v>
      </c>
      <c r="C318" t="s">
        <v>3614</v>
      </c>
      <c r="D318" t="str">
        <f t="shared" si="4"/>
        <v>注射用乳糖酸阿奇霉素0.125g*10支</v>
      </c>
    </row>
    <row r="319" spans="1:4" x14ac:dyDescent="0.15">
      <c r="A319" s="1"/>
      <c r="B319" t="s">
        <v>3739</v>
      </c>
      <c r="C319" t="s">
        <v>1910</v>
      </c>
      <c r="D319" t="str">
        <f t="shared" si="4"/>
        <v>牛黄消炎片 24片</v>
      </c>
    </row>
    <row r="320" spans="1:4" x14ac:dyDescent="0.15">
      <c r="A320" s="1"/>
      <c r="B320" t="s">
        <v>3740</v>
      </c>
      <c r="C320" t="s">
        <v>3751</v>
      </c>
      <c r="D320" t="str">
        <f t="shared" si="4"/>
        <v>逐瘀通脉胶囊0.2g*18粒</v>
      </c>
    </row>
    <row r="321" spans="1:4" x14ac:dyDescent="0.15">
      <c r="A321" s="1"/>
      <c r="B321" t="s">
        <v>3741</v>
      </c>
      <c r="C321" t="s">
        <v>3752</v>
      </c>
      <c r="D321" t="str">
        <f t="shared" si="4"/>
        <v>哈药痛可贴跌打损伤型4贴</v>
      </c>
    </row>
    <row r="322" spans="1:4" x14ac:dyDescent="0.15">
      <c r="A322" s="1"/>
      <c r="B322" t="s">
        <v>3742</v>
      </c>
      <c r="C322" t="s">
        <v>3752</v>
      </c>
      <c r="D322" t="str">
        <f t="shared" ref="D322:D341" si="5">B322&amp;C322</f>
        <v>哈药痛可贴骨质增生型4贴</v>
      </c>
    </row>
    <row r="323" spans="1:4" x14ac:dyDescent="0.15">
      <c r="A323" s="1"/>
      <c r="B323" t="s">
        <v>3743</v>
      </c>
      <c r="C323" t="s">
        <v>3752</v>
      </c>
      <c r="D323" t="str">
        <f t="shared" si="5"/>
        <v>哈药痛可贴颈椎型4贴</v>
      </c>
    </row>
    <row r="324" spans="1:4" x14ac:dyDescent="0.15">
      <c r="A324" s="1"/>
      <c r="B324" t="s">
        <v>3744</v>
      </c>
      <c r="C324" t="s">
        <v>3752</v>
      </c>
      <c r="D324" t="str">
        <f t="shared" si="5"/>
        <v>哈药痛可贴腰椎型4贴</v>
      </c>
    </row>
    <row r="325" spans="1:4" x14ac:dyDescent="0.15">
      <c r="A325" s="1"/>
      <c r="B325" t="s">
        <v>527</v>
      </c>
      <c r="C325" t="s">
        <v>1924</v>
      </c>
      <c r="D325" t="str">
        <f t="shared" si="5"/>
        <v>牛黄清胃丸6g*10丸</v>
      </c>
    </row>
    <row r="326" spans="1:4" x14ac:dyDescent="0.15">
      <c r="A326" s="1"/>
      <c r="B326" t="s">
        <v>3745</v>
      </c>
      <c r="C326" t="s">
        <v>1869</v>
      </c>
      <c r="D326" t="str">
        <f t="shared" si="5"/>
        <v>罗红霉素分散片（成人）75mg*12片</v>
      </c>
    </row>
    <row r="327" spans="1:4" x14ac:dyDescent="0.15">
      <c r="A327" s="1"/>
      <c r="B327" t="s">
        <v>3746</v>
      </c>
      <c r="C327" t="s">
        <v>1841</v>
      </c>
      <c r="D327" t="str">
        <f t="shared" si="5"/>
        <v>罗红霉素分散片（儿童）50mg*12片</v>
      </c>
    </row>
    <row r="328" spans="1:4" x14ac:dyDescent="0.15">
      <c r="A328" s="1"/>
      <c r="B328" t="s">
        <v>3747</v>
      </c>
      <c r="C328" t="s">
        <v>381</v>
      </c>
      <c r="D328" t="str">
        <f t="shared" si="5"/>
        <v>颠茄磺苄啶片（成人）12片</v>
      </c>
    </row>
    <row r="329" spans="1:4" x14ac:dyDescent="0.15">
      <c r="A329" s="1"/>
      <c r="B329" t="s">
        <v>245</v>
      </c>
      <c r="C329" t="s">
        <v>250</v>
      </c>
      <c r="D329" t="str">
        <f t="shared" si="5"/>
        <v>阿莫西林胶囊0.25g*50粒</v>
      </c>
    </row>
    <row r="330" spans="1:4" x14ac:dyDescent="0.15">
      <c r="A330" s="1"/>
      <c r="B330" t="s">
        <v>3748</v>
      </c>
      <c r="C330" t="s">
        <v>3752</v>
      </c>
      <c r="D330" t="str">
        <f t="shared" si="5"/>
        <v>哈药痛可贴关节炎型4贴</v>
      </c>
    </row>
    <row r="331" spans="1:4" x14ac:dyDescent="0.15">
      <c r="A331" s="1"/>
      <c r="B331" t="s">
        <v>3749</v>
      </c>
      <c r="C331" t="s">
        <v>3752</v>
      </c>
      <c r="D331" t="str">
        <f t="shared" si="5"/>
        <v>哈药痛可贴肩周型4贴</v>
      </c>
    </row>
    <row r="332" spans="1:4" x14ac:dyDescent="0.15">
      <c r="A332" s="1"/>
      <c r="B332" t="s">
        <v>2926</v>
      </c>
      <c r="C332" t="s">
        <v>1993</v>
      </c>
      <c r="D332" t="str">
        <f t="shared" si="5"/>
        <v>新盖中盖儿童钙片1.75g*36片</v>
      </c>
    </row>
    <row r="333" spans="1:4" x14ac:dyDescent="0.15">
      <c r="A333" s="1"/>
      <c r="B333" t="s">
        <v>3750</v>
      </c>
      <c r="C333" t="s">
        <v>2035</v>
      </c>
      <c r="D333" t="str">
        <f t="shared" si="5"/>
        <v>颠茄磺苄啶片（儿童型）20片</v>
      </c>
    </row>
    <row r="334" spans="1:4" x14ac:dyDescent="0.15">
      <c r="A334" s="1"/>
      <c r="B334" t="s">
        <v>2017</v>
      </c>
      <c r="C334" t="s">
        <v>444</v>
      </c>
      <c r="D334" t="str">
        <f t="shared" si="5"/>
        <v>杞菊地黄丸9g*10丸</v>
      </c>
    </row>
    <row r="335" spans="1:4" x14ac:dyDescent="0.15">
      <c r="A335" s="1"/>
      <c r="B335" t="s">
        <v>2009</v>
      </c>
      <c r="C335" t="s">
        <v>1867</v>
      </c>
      <c r="D335" t="str">
        <f t="shared" si="5"/>
        <v>启脾丸3g*10丸</v>
      </c>
    </row>
    <row r="336" spans="1:4" x14ac:dyDescent="0.15">
      <c r="A336" s="1"/>
      <c r="B336" t="s">
        <v>2005</v>
      </c>
      <c r="C336" t="s">
        <v>1945</v>
      </c>
      <c r="D336" t="str">
        <f t="shared" si="5"/>
        <v>六味地黄丸72g</v>
      </c>
    </row>
    <row r="337" spans="1:4" x14ac:dyDescent="0.15">
      <c r="A337" s="1"/>
      <c r="B337" t="s">
        <v>461</v>
      </c>
      <c r="C337" t="s">
        <v>3753</v>
      </c>
      <c r="D337" t="str">
        <f t="shared" si="5"/>
        <v xml:space="preserve">菊梅利咽含片1.2g*18片 </v>
      </c>
    </row>
    <row r="338" spans="1:4" x14ac:dyDescent="0.15">
      <c r="A338" s="1"/>
      <c r="B338" t="s">
        <v>3758</v>
      </c>
      <c r="D338" t="str">
        <f t="shared" si="5"/>
        <v>注射用丹参（冻干）400mg哈药集团中药二厂</v>
      </c>
    </row>
    <row r="339" spans="1:4" x14ac:dyDescent="0.15">
      <c r="A339" s="1"/>
      <c r="B339" t="s">
        <v>3759</v>
      </c>
      <c r="D339" t="str">
        <f t="shared" si="5"/>
        <v>注射用丹参400mg哈药集团中药二厂</v>
      </c>
    </row>
    <row r="340" spans="1:4" x14ac:dyDescent="0.15">
      <c r="A340" s="1"/>
      <c r="B340" t="s">
        <v>3760</v>
      </c>
      <c r="D340" t="str">
        <f t="shared" si="5"/>
        <v>注射用双黄连(冻干)600mg哈药集团中药二厂</v>
      </c>
    </row>
    <row r="341" spans="1:4" x14ac:dyDescent="0.15">
      <c r="A341" s="1"/>
      <c r="B341" t="s">
        <v>3761</v>
      </c>
      <c r="D341" t="str">
        <f t="shared" si="5"/>
        <v>注射用奥美拉唑钠40mg哈药集团生物工程</v>
      </c>
    </row>
  </sheetData>
  <phoneticPr fontId="5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F148-04E8-4D25-A99E-594FEBFE0100}">
  <sheetPr codeName="Sheet7"/>
  <dimension ref="A1:I18"/>
  <sheetViews>
    <sheetView workbookViewId="0">
      <selection activeCell="C11" sqref="C11"/>
    </sheetView>
  </sheetViews>
  <sheetFormatPr defaultRowHeight="13.5" x14ac:dyDescent="0.15"/>
  <cols>
    <col min="2" max="2" width="11" bestFit="1" customWidth="1"/>
    <col min="4" max="4" width="13" bestFit="1" customWidth="1"/>
    <col min="5" max="5" width="17.25" bestFit="1" customWidth="1"/>
    <col min="7" max="7" width="12.25" bestFit="1" customWidth="1"/>
    <col min="9" max="9" width="20.5" bestFit="1" customWidth="1"/>
  </cols>
  <sheetData>
    <row r="1" spans="1:9" x14ac:dyDescent="0.15">
      <c r="A1" t="s">
        <v>2870</v>
      </c>
      <c r="B1" t="s">
        <v>3</v>
      </c>
      <c r="C1" t="s">
        <v>4</v>
      </c>
      <c r="D1" t="s">
        <v>5</v>
      </c>
      <c r="E1" t="s">
        <v>8</v>
      </c>
      <c r="F1" t="s">
        <v>9</v>
      </c>
      <c r="G1" t="s">
        <v>10</v>
      </c>
      <c r="H1" t="s">
        <v>11</v>
      </c>
      <c r="I1" t="s">
        <v>13</v>
      </c>
    </row>
    <row r="2" spans="1:9" x14ac:dyDescent="0.15">
      <c r="A2" t="s">
        <v>2871</v>
      </c>
      <c r="B2" t="s">
        <v>2872</v>
      </c>
      <c r="C2" t="s">
        <v>4</v>
      </c>
      <c r="D2" t="s">
        <v>2873</v>
      </c>
      <c r="E2" t="s">
        <v>2874</v>
      </c>
      <c r="F2" t="s">
        <v>2875</v>
      </c>
      <c r="G2" t="s">
        <v>2876</v>
      </c>
      <c r="H2" t="s">
        <v>2877</v>
      </c>
      <c r="I2" t="s">
        <v>2878</v>
      </c>
    </row>
    <row r="3" spans="1:9" x14ac:dyDescent="0.15">
      <c r="A3" t="s">
        <v>2879</v>
      </c>
      <c r="B3" t="s">
        <v>2880</v>
      </c>
      <c r="C3" t="s">
        <v>4</v>
      </c>
      <c r="D3" t="s">
        <v>2873</v>
      </c>
      <c r="E3" t="s">
        <v>2881</v>
      </c>
      <c r="F3" t="s">
        <v>2882</v>
      </c>
      <c r="G3" t="s">
        <v>2883</v>
      </c>
      <c r="H3" t="s">
        <v>2884</v>
      </c>
      <c r="I3" t="s">
        <v>2885</v>
      </c>
    </row>
    <row r="4" spans="1:9" x14ac:dyDescent="0.15">
      <c r="A4" t="s">
        <v>2886</v>
      </c>
      <c r="B4" t="s">
        <v>2880</v>
      </c>
      <c r="C4" t="s">
        <v>2887</v>
      </c>
      <c r="D4" t="s">
        <v>2888</v>
      </c>
      <c r="E4" t="s">
        <v>2881</v>
      </c>
      <c r="F4" t="s">
        <v>2889</v>
      </c>
      <c r="G4" t="s">
        <v>2883</v>
      </c>
      <c r="H4" t="s">
        <v>2884</v>
      </c>
      <c r="I4" t="s">
        <v>2885</v>
      </c>
    </row>
    <row r="5" spans="1:9" x14ac:dyDescent="0.15">
      <c r="A5" t="s">
        <v>2890</v>
      </c>
      <c r="B5" t="s">
        <v>2880</v>
      </c>
      <c r="C5" t="s">
        <v>4</v>
      </c>
      <c r="D5" t="s">
        <v>5</v>
      </c>
      <c r="E5" t="s">
        <v>2891</v>
      </c>
      <c r="F5" t="s">
        <v>2882</v>
      </c>
      <c r="G5" t="s">
        <v>2892</v>
      </c>
      <c r="H5" t="s">
        <v>2884</v>
      </c>
      <c r="I5" t="s">
        <v>2885</v>
      </c>
    </row>
    <row r="6" spans="1:9" x14ac:dyDescent="0.15">
      <c r="A6" t="s">
        <v>2893</v>
      </c>
      <c r="B6" t="s">
        <v>2894</v>
      </c>
      <c r="C6" t="s">
        <v>4</v>
      </c>
      <c r="D6" t="s">
        <v>2895</v>
      </c>
      <c r="E6" t="s">
        <v>2896</v>
      </c>
      <c r="F6" t="s">
        <v>2882</v>
      </c>
      <c r="G6" t="s">
        <v>2897</v>
      </c>
      <c r="H6" t="s">
        <v>2884</v>
      </c>
      <c r="I6" t="s">
        <v>2885</v>
      </c>
    </row>
    <row r="7" spans="1:9" x14ac:dyDescent="0.15">
      <c r="A7" t="s">
        <v>2898</v>
      </c>
      <c r="B7" t="s">
        <v>2899</v>
      </c>
      <c r="C7" t="s">
        <v>4</v>
      </c>
      <c r="D7" t="s">
        <v>5</v>
      </c>
      <c r="E7" t="s">
        <v>2896</v>
      </c>
      <c r="F7" t="s">
        <v>2882</v>
      </c>
      <c r="G7" t="s">
        <v>2892</v>
      </c>
      <c r="H7" t="s">
        <v>2884</v>
      </c>
      <c r="I7" t="s">
        <v>2885</v>
      </c>
    </row>
    <row r="8" spans="1:9" x14ac:dyDescent="0.15">
      <c r="A8" t="s">
        <v>2900</v>
      </c>
      <c r="B8" t="s">
        <v>2899</v>
      </c>
      <c r="C8" t="s">
        <v>4</v>
      </c>
      <c r="D8" t="s">
        <v>5</v>
      </c>
      <c r="E8" t="s">
        <v>2896</v>
      </c>
      <c r="F8" t="s">
        <v>2882</v>
      </c>
      <c r="G8" t="s">
        <v>2892</v>
      </c>
      <c r="H8" t="s">
        <v>2884</v>
      </c>
      <c r="I8" t="s">
        <v>2885</v>
      </c>
    </row>
    <row r="9" spans="1:9" x14ac:dyDescent="0.15">
      <c r="A9" t="s">
        <v>2901</v>
      </c>
      <c r="B9" t="s">
        <v>2894</v>
      </c>
      <c r="C9" t="s">
        <v>4</v>
      </c>
      <c r="D9" t="s">
        <v>2902</v>
      </c>
      <c r="E9" t="s">
        <v>2896</v>
      </c>
      <c r="F9" t="s">
        <v>2882</v>
      </c>
      <c r="G9" t="s">
        <v>2903</v>
      </c>
      <c r="H9" t="s">
        <v>2884</v>
      </c>
      <c r="I9" t="s">
        <v>2885</v>
      </c>
    </row>
    <row r="10" spans="1:9" x14ac:dyDescent="0.15">
      <c r="A10" t="s">
        <v>2904</v>
      </c>
      <c r="B10" t="s">
        <v>2872</v>
      </c>
      <c r="C10" t="s">
        <v>4</v>
      </c>
      <c r="D10" t="s">
        <v>2903</v>
      </c>
      <c r="E10" t="s">
        <v>2905</v>
      </c>
      <c r="F10" t="s">
        <v>2882</v>
      </c>
      <c r="G10" t="s">
        <v>2903</v>
      </c>
      <c r="H10" s="13" t="s">
        <v>3794</v>
      </c>
      <c r="I10" t="s">
        <v>2878</v>
      </c>
    </row>
    <row r="11" spans="1:9" x14ac:dyDescent="0.15">
      <c r="A11" t="s">
        <v>2906</v>
      </c>
      <c r="B11" t="s">
        <v>2880</v>
      </c>
      <c r="C11" t="s">
        <v>2887</v>
      </c>
      <c r="D11" t="s">
        <v>2903</v>
      </c>
      <c r="E11" t="s">
        <v>2874</v>
      </c>
      <c r="F11" t="s">
        <v>2882</v>
      </c>
      <c r="G11" t="s">
        <v>2876</v>
      </c>
      <c r="H11" t="s">
        <v>2884</v>
      </c>
      <c r="I11" t="s">
        <v>2885</v>
      </c>
    </row>
    <row r="12" spans="1:9" x14ac:dyDescent="0.15">
      <c r="A12" t="s">
        <v>2907</v>
      </c>
      <c r="B12" t="s">
        <v>2872</v>
      </c>
      <c r="C12" t="s">
        <v>4</v>
      </c>
      <c r="D12" t="s">
        <v>2873</v>
      </c>
      <c r="E12" t="s">
        <v>2874</v>
      </c>
      <c r="F12" t="s">
        <v>2882</v>
      </c>
      <c r="G12" t="s">
        <v>2903</v>
      </c>
      <c r="H12" t="s">
        <v>2908</v>
      </c>
      <c r="I12" t="s">
        <v>2878</v>
      </c>
    </row>
    <row r="13" spans="1:9" x14ac:dyDescent="0.15">
      <c r="A13" t="s">
        <v>2909</v>
      </c>
      <c r="B13" t="s">
        <v>2910</v>
      </c>
      <c r="C13" t="s">
        <v>2887</v>
      </c>
      <c r="D13" t="s">
        <v>2873</v>
      </c>
      <c r="E13" t="s">
        <v>2911</v>
      </c>
      <c r="F13" t="s">
        <v>2882</v>
      </c>
      <c r="G13" t="s">
        <v>2883</v>
      </c>
      <c r="H13" t="s">
        <v>2884</v>
      </c>
      <c r="I13" t="s">
        <v>2878</v>
      </c>
    </row>
    <row r="14" spans="1:9" x14ac:dyDescent="0.15">
      <c r="A14" t="s">
        <v>2912</v>
      </c>
      <c r="B14" t="s">
        <v>2913</v>
      </c>
      <c r="C14" t="s">
        <v>2903</v>
      </c>
      <c r="D14" t="s">
        <v>2903</v>
      </c>
      <c r="E14" t="s">
        <v>2914</v>
      </c>
      <c r="F14" t="s">
        <v>2915</v>
      </c>
      <c r="G14" t="s">
        <v>2916</v>
      </c>
      <c r="H14" t="s">
        <v>2917</v>
      </c>
      <c r="I14" t="s">
        <v>2918</v>
      </c>
    </row>
    <row r="15" spans="1:9" x14ac:dyDescent="0.15">
      <c r="A15" t="s">
        <v>2919</v>
      </c>
      <c r="B15" t="s">
        <v>2872</v>
      </c>
      <c r="C15" t="s">
        <v>4</v>
      </c>
      <c r="D15" t="s">
        <v>2895</v>
      </c>
      <c r="E15" t="s">
        <v>2911</v>
      </c>
      <c r="F15" t="s">
        <v>2882</v>
      </c>
      <c r="G15" t="s">
        <v>2876</v>
      </c>
      <c r="H15" t="s">
        <v>2884</v>
      </c>
      <c r="I15" t="s">
        <v>2878</v>
      </c>
    </row>
    <row r="16" spans="1:9" x14ac:dyDescent="0.15">
      <c r="A16" t="s">
        <v>2920</v>
      </c>
      <c r="B16" t="s">
        <v>241</v>
      </c>
      <c r="C16" t="s">
        <v>4</v>
      </c>
      <c r="D16" t="s">
        <v>2903</v>
      </c>
      <c r="E16" t="s">
        <v>2874</v>
      </c>
      <c r="F16" t="s">
        <v>2882</v>
      </c>
      <c r="G16" t="s">
        <v>2903</v>
      </c>
      <c r="H16" t="s">
        <v>2884</v>
      </c>
      <c r="I16" t="s">
        <v>2885</v>
      </c>
    </row>
    <row r="17" spans="1:9" x14ac:dyDescent="0.15">
      <c r="A17" t="s">
        <v>2921</v>
      </c>
      <c r="B17" t="s">
        <v>2872</v>
      </c>
      <c r="C17" t="s">
        <v>4</v>
      </c>
      <c r="D17" t="s">
        <v>2895</v>
      </c>
      <c r="E17" t="s">
        <v>2874</v>
      </c>
      <c r="F17" t="s">
        <v>2875</v>
      </c>
      <c r="G17" t="s">
        <v>2903</v>
      </c>
      <c r="H17" t="s">
        <v>2884</v>
      </c>
      <c r="I17" t="s">
        <v>2878</v>
      </c>
    </row>
    <row r="18" spans="1:9" x14ac:dyDescent="0.15">
      <c r="A18" t="s">
        <v>2922</v>
      </c>
      <c r="B18" t="s">
        <v>2872</v>
      </c>
      <c r="C18" t="s">
        <v>4</v>
      </c>
      <c r="D18" t="s">
        <v>2895</v>
      </c>
      <c r="E18" t="s">
        <v>2874</v>
      </c>
      <c r="F18" t="s">
        <v>2875</v>
      </c>
      <c r="G18" t="s">
        <v>2903</v>
      </c>
      <c r="H18" t="s">
        <v>2884</v>
      </c>
      <c r="I18" t="s">
        <v>2878</v>
      </c>
    </row>
  </sheetData>
  <phoneticPr fontId="5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FD0CE-32DA-4208-8000-78EC6A58BA77}">
  <sheetPr codeName="Sheet3"/>
  <dimension ref="A1:Z330"/>
  <sheetViews>
    <sheetView topLeftCell="A22" workbookViewId="0">
      <selection activeCell="F2" sqref="F2"/>
    </sheetView>
  </sheetViews>
  <sheetFormatPr defaultRowHeight="13.5" x14ac:dyDescent="0.15"/>
  <cols>
    <col min="1" max="1" width="17.25" bestFit="1" customWidth="1"/>
    <col min="2" max="2" width="44.25" bestFit="1" customWidth="1"/>
    <col min="3" max="3" width="13" bestFit="1" customWidth="1"/>
    <col min="6" max="6" width="20.5" bestFit="1" customWidth="1"/>
    <col min="7" max="7" width="7.25" customWidth="1"/>
    <col min="8" max="8" width="6.75" customWidth="1"/>
    <col min="9" max="9" width="4.5" customWidth="1"/>
    <col min="10" max="10" width="15.375" customWidth="1"/>
    <col min="11" max="11" width="22.25" customWidth="1"/>
    <col min="12" max="12" width="18.875" customWidth="1"/>
    <col min="13" max="13" width="11.125" bestFit="1" customWidth="1"/>
    <col min="14" max="14" width="5.25" bestFit="1" customWidth="1"/>
  </cols>
  <sheetData>
    <row r="1" spans="1:26" ht="27" x14ac:dyDescent="0.15">
      <c r="A1" s="1" t="s">
        <v>21</v>
      </c>
      <c r="B1" s="1" t="s">
        <v>22</v>
      </c>
      <c r="C1" s="1" t="s">
        <v>21</v>
      </c>
      <c r="D1" s="1"/>
      <c r="F1" t="s">
        <v>240</v>
      </c>
      <c r="G1" t="s">
        <v>1816</v>
      </c>
      <c r="H1" t="s">
        <v>238</v>
      </c>
      <c r="I1" t="s">
        <v>239</v>
      </c>
      <c r="J1" t="s">
        <v>240</v>
      </c>
      <c r="K1" t="s">
        <v>241</v>
      </c>
      <c r="L1" t="s">
        <v>4</v>
      </c>
      <c r="M1" t="s">
        <v>5</v>
      </c>
      <c r="N1" t="s">
        <v>242</v>
      </c>
      <c r="O1" t="s">
        <v>243</v>
      </c>
      <c r="R1" s="3" t="s">
        <v>1043</v>
      </c>
      <c r="S1" s="3" t="s">
        <v>1044</v>
      </c>
      <c r="T1" s="3" t="s">
        <v>1045</v>
      </c>
      <c r="U1" s="3" t="s">
        <v>1044</v>
      </c>
      <c r="W1" s="4" t="s">
        <v>1519</v>
      </c>
      <c r="X1" s="4" t="s">
        <v>1520</v>
      </c>
      <c r="Y1" s="4" t="s">
        <v>1521</v>
      </c>
      <c r="Z1" s="4" t="s">
        <v>1522</v>
      </c>
    </row>
    <row r="2" spans="1:26" x14ac:dyDescent="0.15">
      <c r="A2" s="1" t="s">
        <v>23</v>
      </c>
      <c r="B2" s="1" t="s">
        <v>24</v>
      </c>
      <c r="C2" s="1" t="s">
        <v>23</v>
      </c>
      <c r="D2" s="2" t="s">
        <v>226</v>
      </c>
      <c r="F2" t="s">
        <v>244</v>
      </c>
      <c r="G2">
        <v>2.2000000000000002</v>
      </c>
      <c r="J2" t="s">
        <v>244</v>
      </c>
      <c r="K2" t="s">
        <v>245</v>
      </c>
      <c r="L2" t="s">
        <v>246</v>
      </c>
      <c r="M2" t="s">
        <v>247</v>
      </c>
      <c r="N2" t="s">
        <v>248</v>
      </c>
      <c r="O2">
        <v>800</v>
      </c>
      <c r="P2" t="str">
        <f>K2&amp;L2</f>
        <v>阿莫西林胶囊0.25g*20粒</v>
      </c>
      <c r="R2" s="3" t="s">
        <v>1046</v>
      </c>
      <c r="S2" s="3" t="s">
        <v>1047</v>
      </c>
      <c r="T2" s="3" t="s">
        <v>1048</v>
      </c>
      <c r="U2" s="3" t="s">
        <v>1047</v>
      </c>
      <c r="W2" s="5" t="s">
        <v>1523</v>
      </c>
      <c r="X2" s="5" t="s">
        <v>1524</v>
      </c>
      <c r="Y2" s="5" t="s">
        <v>1525</v>
      </c>
      <c r="Z2" s="5" t="s">
        <v>1526</v>
      </c>
    </row>
    <row r="3" spans="1:26" x14ac:dyDescent="0.15">
      <c r="A3" s="1" t="s">
        <v>25</v>
      </c>
      <c r="B3" s="1" t="s">
        <v>26</v>
      </c>
      <c r="C3" s="1" t="s">
        <v>25</v>
      </c>
      <c r="D3" s="1"/>
      <c r="F3" t="s">
        <v>249</v>
      </c>
      <c r="G3">
        <v>5.5</v>
      </c>
      <c r="J3" t="s">
        <v>249</v>
      </c>
      <c r="K3" t="s">
        <v>245</v>
      </c>
      <c r="L3" t="s">
        <v>250</v>
      </c>
      <c r="M3" t="s">
        <v>247</v>
      </c>
      <c r="N3" t="s">
        <v>248</v>
      </c>
      <c r="O3">
        <v>400</v>
      </c>
      <c r="P3" t="str">
        <f t="shared" ref="P3:P66" si="0">K3&amp;L3</f>
        <v>阿莫西林胶囊0.25g*50粒</v>
      </c>
      <c r="R3" s="3" t="s">
        <v>1046</v>
      </c>
      <c r="S3" s="3" t="s">
        <v>1049</v>
      </c>
      <c r="T3" s="3" t="s">
        <v>1050</v>
      </c>
      <c r="U3" s="3" t="s">
        <v>1049</v>
      </c>
      <c r="W3" s="5" t="s">
        <v>1523</v>
      </c>
      <c r="X3" s="5" t="s">
        <v>1524</v>
      </c>
      <c r="Y3" s="5" t="s">
        <v>1527</v>
      </c>
      <c r="Z3" s="5" t="s">
        <v>1528</v>
      </c>
    </row>
    <row r="4" spans="1:26" x14ac:dyDescent="0.15">
      <c r="A4" s="1" t="s">
        <v>27</v>
      </c>
      <c r="B4" s="1" t="s">
        <v>28</v>
      </c>
      <c r="C4" s="1" t="s">
        <v>27</v>
      </c>
      <c r="D4" s="2" t="s">
        <v>227</v>
      </c>
      <c r="F4" t="s">
        <v>251</v>
      </c>
      <c r="G4">
        <v>2.4500000000000002</v>
      </c>
      <c r="J4" t="s">
        <v>251</v>
      </c>
      <c r="K4" t="s">
        <v>245</v>
      </c>
      <c r="L4" t="s">
        <v>252</v>
      </c>
      <c r="M4" t="s">
        <v>247</v>
      </c>
      <c r="N4" t="s">
        <v>248</v>
      </c>
      <c r="O4">
        <v>500</v>
      </c>
      <c r="P4" t="str">
        <f t="shared" si="0"/>
        <v>阿莫西林胶囊0.5g*10粒</v>
      </c>
      <c r="R4" s="3" t="s">
        <v>1046</v>
      </c>
      <c r="S4" s="3" t="s">
        <v>1051</v>
      </c>
      <c r="T4" s="3" t="s">
        <v>1052</v>
      </c>
      <c r="U4" s="3" t="s">
        <v>1051</v>
      </c>
      <c r="W4" s="5" t="s">
        <v>1523</v>
      </c>
      <c r="X4" s="5" t="s">
        <v>1524</v>
      </c>
      <c r="Y4" s="5" t="s">
        <v>1529</v>
      </c>
      <c r="Z4" s="5" t="s">
        <v>1530</v>
      </c>
    </row>
    <row r="5" spans="1:26" x14ac:dyDescent="0.15">
      <c r="A5" s="1" t="s">
        <v>29</v>
      </c>
      <c r="B5" s="1" t="s">
        <v>30</v>
      </c>
      <c r="C5" s="1" t="s">
        <v>29</v>
      </c>
      <c r="D5" s="1"/>
      <c r="F5" t="s">
        <v>253</v>
      </c>
      <c r="G5">
        <v>5</v>
      </c>
      <c r="J5" t="s">
        <v>253</v>
      </c>
      <c r="K5" t="s">
        <v>245</v>
      </c>
      <c r="L5" t="s">
        <v>254</v>
      </c>
      <c r="M5" t="s">
        <v>247</v>
      </c>
      <c r="N5" t="s">
        <v>248</v>
      </c>
      <c r="O5">
        <v>500</v>
      </c>
      <c r="P5" t="str">
        <f t="shared" si="0"/>
        <v>阿莫西林胶囊0.5g*20粒</v>
      </c>
      <c r="R5" s="3" t="s">
        <v>1046</v>
      </c>
      <c r="S5" s="3" t="s">
        <v>1053</v>
      </c>
      <c r="T5" s="3" t="s">
        <v>1054</v>
      </c>
      <c r="U5" s="3" t="s">
        <v>1053</v>
      </c>
      <c r="W5" s="5" t="s">
        <v>1523</v>
      </c>
      <c r="X5" s="5" t="s">
        <v>1524</v>
      </c>
      <c r="Y5" s="5" t="s">
        <v>1531</v>
      </c>
      <c r="Z5" s="5" t="s">
        <v>1532</v>
      </c>
    </row>
    <row r="6" spans="1:26" x14ac:dyDescent="0.15">
      <c r="A6" s="1" t="s">
        <v>31</v>
      </c>
      <c r="B6" s="1" t="s">
        <v>32</v>
      </c>
      <c r="C6" s="1" t="s">
        <v>31</v>
      </c>
      <c r="D6" s="1"/>
      <c r="F6" t="s">
        <v>255</v>
      </c>
      <c r="G6">
        <v>5.0999999999999996</v>
      </c>
      <c r="J6" t="s">
        <v>255</v>
      </c>
      <c r="K6" t="s">
        <v>245</v>
      </c>
      <c r="L6" t="s">
        <v>256</v>
      </c>
      <c r="M6" t="s">
        <v>247</v>
      </c>
      <c r="N6" t="s">
        <v>248</v>
      </c>
      <c r="O6">
        <v>500</v>
      </c>
      <c r="P6" t="str">
        <f t="shared" si="0"/>
        <v>阿莫西林胶囊0.5g*24s*500盒</v>
      </c>
      <c r="R6" s="3" t="s">
        <v>1046</v>
      </c>
      <c r="S6" s="3" t="s">
        <v>1055</v>
      </c>
      <c r="T6" s="3" t="s">
        <v>1056</v>
      </c>
      <c r="U6" s="3" t="s">
        <v>1055</v>
      </c>
      <c r="W6" s="5" t="s">
        <v>1523</v>
      </c>
      <c r="X6" s="5" t="s">
        <v>1524</v>
      </c>
      <c r="Y6" s="5" t="s">
        <v>1533</v>
      </c>
      <c r="Z6" s="5" t="s">
        <v>1534</v>
      </c>
    </row>
    <row r="7" spans="1:26" x14ac:dyDescent="0.15">
      <c r="A7" s="1" t="s">
        <v>33</v>
      </c>
      <c r="B7" s="1" t="s">
        <v>34</v>
      </c>
      <c r="C7" s="1" t="s">
        <v>33</v>
      </c>
      <c r="D7" s="1"/>
      <c r="F7" t="s">
        <v>257</v>
      </c>
      <c r="G7">
        <v>7.4</v>
      </c>
      <c r="J7" t="s">
        <v>257</v>
      </c>
      <c r="K7" t="s">
        <v>245</v>
      </c>
      <c r="L7" t="s">
        <v>258</v>
      </c>
      <c r="M7" t="s">
        <v>247</v>
      </c>
      <c r="N7" t="s">
        <v>248</v>
      </c>
      <c r="O7">
        <v>300</v>
      </c>
      <c r="P7" t="str">
        <f t="shared" si="0"/>
        <v>阿莫西林胶囊0.5g*30s</v>
      </c>
      <c r="R7" s="3" t="s">
        <v>1046</v>
      </c>
      <c r="S7" s="3" t="s">
        <v>1057</v>
      </c>
      <c r="T7" s="3" t="s">
        <v>1058</v>
      </c>
      <c r="U7" s="3" t="s">
        <v>1057</v>
      </c>
      <c r="W7" s="5" t="s">
        <v>1523</v>
      </c>
      <c r="X7" s="5" t="s">
        <v>1524</v>
      </c>
      <c r="Y7" s="5" t="s">
        <v>1535</v>
      </c>
      <c r="Z7" s="5" t="s">
        <v>1536</v>
      </c>
    </row>
    <row r="8" spans="1:26" x14ac:dyDescent="0.15">
      <c r="A8" s="1" t="s">
        <v>35</v>
      </c>
      <c r="B8" s="1" t="s">
        <v>36</v>
      </c>
      <c r="C8" s="1" t="s">
        <v>35</v>
      </c>
      <c r="D8" s="2" t="s">
        <v>228</v>
      </c>
      <c r="F8" t="s">
        <v>259</v>
      </c>
      <c r="G8">
        <v>8.1</v>
      </c>
      <c r="J8" t="s">
        <v>259</v>
      </c>
      <c r="K8" t="s">
        <v>245</v>
      </c>
      <c r="L8" t="s">
        <v>260</v>
      </c>
      <c r="M8" t="s">
        <v>247</v>
      </c>
      <c r="N8" t="s">
        <v>248</v>
      </c>
      <c r="O8">
        <v>200</v>
      </c>
      <c r="P8" t="str">
        <f t="shared" si="0"/>
        <v>阿莫西林胶囊0.5g*36s</v>
      </c>
      <c r="R8" s="3" t="s">
        <v>1046</v>
      </c>
      <c r="S8" s="3" t="s">
        <v>1059</v>
      </c>
      <c r="T8" s="3" t="s">
        <v>1060</v>
      </c>
      <c r="U8" s="3" t="s">
        <v>1059</v>
      </c>
      <c r="W8" s="5" t="s">
        <v>1523</v>
      </c>
      <c r="X8" s="5" t="s">
        <v>1524</v>
      </c>
      <c r="Y8" s="5" t="s">
        <v>1537</v>
      </c>
      <c r="Z8" s="5" t="s">
        <v>1538</v>
      </c>
    </row>
    <row r="9" spans="1:26" x14ac:dyDescent="0.15">
      <c r="A9" s="1" t="s">
        <v>37</v>
      </c>
      <c r="B9" s="1" t="s">
        <v>38</v>
      </c>
      <c r="C9" s="1" t="s">
        <v>37</v>
      </c>
      <c r="D9" s="2" t="s">
        <v>1819</v>
      </c>
      <c r="F9" t="s">
        <v>261</v>
      </c>
      <c r="G9">
        <v>2</v>
      </c>
      <c r="J9" t="s">
        <v>261</v>
      </c>
      <c r="K9" t="s">
        <v>245</v>
      </c>
      <c r="L9" t="s">
        <v>262</v>
      </c>
      <c r="M9" t="s">
        <v>263</v>
      </c>
      <c r="N9" t="s">
        <v>264</v>
      </c>
      <c r="O9">
        <v>800</v>
      </c>
      <c r="P9" t="str">
        <f t="shared" si="0"/>
        <v>阿莫西林胶囊0.25*10*2</v>
      </c>
      <c r="R9" s="3" t="s">
        <v>1061</v>
      </c>
      <c r="S9" s="3" t="s">
        <v>1062</v>
      </c>
      <c r="T9" s="3" t="s">
        <v>1063</v>
      </c>
      <c r="U9" s="3" t="s">
        <v>1062</v>
      </c>
      <c r="W9" s="5" t="s">
        <v>1523</v>
      </c>
      <c r="X9" s="5" t="s">
        <v>1539</v>
      </c>
      <c r="Y9" s="5" t="s">
        <v>1540</v>
      </c>
      <c r="Z9" s="5" t="s">
        <v>1541</v>
      </c>
    </row>
    <row r="10" spans="1:26" x14ac:dyDescent="0.15">
      <c r="A10" s="1" t="s">
        <v>39</v>
      </c>
      <c r="B10" s="1" t="s">
        <v>40</v>
      </c>
      <c r="C10" s="1" t="s">
        <v>39</v>
      </c>
      <c r="D10" s="1"/>
      <c r="F10" t="s">
        <v>265</v>
      </c>
      <c r="G10">
        <v>4.9000000000000004</v>
      </c>
      <c r="J10" t="s">
        <v>265</v>
      </c>
      <c r="K10" t="s">
        <v>245</v>
      </c>
      <c r="L10" t="s">
        <v>266</v>
      </c>
      <c r="M10" t="s">
        <v>263</v>
      </c>
      <c r="N10" t="s">
        <v>248</v>
      </c>
      <c r="O10">
        <v>400</v>
      </c>
      <c r="P10" t="str">
        <f t="shared" si="0"/>
        <v>阿莫西林胶囊0.25g*50s</v>
      </c>
      <c r="R10" s="3" t="s">
        <v>1046</v>
      </c>
      <c r="S10" s="3" t="s">
        <v>1064</v>
      </c>
      <c r="T10" s="3" t="s">
        <v>1065</v>
      </c>
      <c r="U10" s="3" t="s">
        <v>1064</v>
      </c>
      <c r="W10" s="5" t="s">
        <v>1523</v>
      </c>
      <c r="X10" s="5" t="s">
        <v>1539</v>
      </c>
      <c r="Y10" s="5" t="s">
        <v>1542</v>
      </c>
      <c r="Z10" s="5" t="s">
        <v>1543</v>
      </c>
    </row>
    <row r="11" spans="1:26" x14ac:dyDescent="0.15">
      <c r="A11" s="1" t="s">
        <v>41</v>
      </c>
      <c r="B11" s="1" t="s">
        <v>42</v>
      </c>
      <c r="C11" s="1" t="s">
        <v>41</v>
      </c>
      <c r="D11" s="1"/>
      <c r="F11" t="s">
        <v>267</v>
      </c>
      <c r="G11">
        <v>2.9</v>
      </c>
      <c r="J11" t="s">
        <v>267</v>
      </c>
      <c r="K11" t="s">
        <v>268</v>
      </c>
      <c r="L11" t="s">
        <v>269</v>
      </c>
      <c r="M11" t="s">
        <v>263</v>
      </c>
      <c r="N11" t="s">
        <v>264</v>
      </c>
      <c r="O11">
        <v>480</v>
      </c>
      <c r="P11" t="str">
        <f t="shared" si="0"/>
        <v>阿莫西林胶囊0.25g×30粒×480盒0.25g×30粒×480盒</v>
      </c>
      <c r="R11" s="3" t="s">
        <v>1046</v>
      </c>
      <c r="S11" s="3" t="s">
        <v>1066</v>
      </c>
      <c r="T11" s="3" t="s">
        <v>1067</v>
      </c>
      <c r="U11" s="3" t="s">
        <v>1066</v>
      </c>
      <c r="W11" s="5" t="s">
        <v>1523</v>
      </c>
      <c r="X11" s="5" t="s">
        <v>1539</v>
      </c>
      <c r="Y11" s="5" t="s">
        <v>1544</v>
      </c>
      <c r="Z11" s="5" t="s">
        <v>1545</v>
      </c>
    </row>
    <row r="12" spans="1:26" x14ac:dyDescent="0.15">
      <c r="A12" s="1" t="s">
        <v>43</v>
      </c>
      <c r="B12" s="1" t="s">
        <v>44</v>
      </c>
      <c r="C12" s="1" t="s">
        <v>43</v>
      </c>
      <c r="D12" s="1"/>
      <c r="F12" t="s">
        <v>270</v>
      </c>
      <c r="G12">
        <v>2</v>
      </c>
      <c r="J12" t="s">
        <v>270</v>
      </c>
      <c r="K12" t="s">
        <v>271</v>
      </c>
      <c r="L12" t="s">
        <v>254</v>
      </c>
      <c r="M12" t="s">
        <v>263</v>
      </c>
      <c r="N12" t="s">
        <v>264</v>
      </c>
      <c r="O12">
        <v>400</v>
      </c>
      <c r="P12" t="str">
        <f t="shared" si="0"/>
        <v>阿莫西林胶囊20粒0.5g×10粒×2板×400盒/8000粒0.5g*20粒</v>
      </c>
      <c r="R12" s="3" t="s">
        <v>1046</v>
      </c>
      <c r="S12" s="3" t="s">
        <v>1068</v>
      </c>
      <c r="T12" s="3" t="s">
        <v>1069</v>
      </c>
      <c r="U12" s="3" t="s">
        <v>1068</v>
      </c>
      <c r="W12" s="5" t="s">
        <v>1523</v>
      </c>
      <c r="X12" s="5" t="s">
        <v>1539</v>
      </c>
      <c r="Y12" s="5" t="s">
        <v>1546</v>
      </c>
      <c r="Z12" s="5" t="s">
        <v>1547</v>
      </c>
    </row>
    <row r="13" spans="1:26" x14ac:dyDescent="0.15">
      <c r="A13" s="1" t="s">
        <v>45</v>
      </c>
      <c r="B13" s="1" t="s">
        <v>46</v>
      </c>
      <c r="C13" s="1" t="s">
        <v>45</v>
      </c>
      <c r="D13" s="1"/>
      <c r="F13" t="s">
        <v>272</v>
      </c>
      <c r="G13">
        <v>3.9</v>
      </c>
      <c r="J13" t="s">
        <v>272</v>
      </c>
      <c r="K13" t="s">
        <v>273</v>
      </c>
      <c r="L13" t="s">
        <v>274</v>
      </c>
      <c r="M13" t="s">
        <v>247</v>
      </c>
      <c r="N13" t="s">
        <v>248</v>
      </c>
      <c r="O13">
        <v>200</v>
      </c>
      <c r="P13" t="str">
        <f t="shared" si="0"/>
        <v>阿莫西林颗粒(益萨林)0.125g*12袋*200盒</v>
      </c>
      <c r="R13" s="3" t="s">
        <v>1061</v>
      </c>
      <c r="S13" s="3" t="s">
        <v>1070</v>
      </c>
      <c r="T13" s="3" t="s">
        <v>1071</v>
      </c>
      <c r="U13" s="3" t="s">
        <v>1070</v>
      </c>
      <c r="W13" s="5" t="s">
        <v>1523</v>
      </c>
      <c r="X13" s="5" t="s">
        <v>1539</v>
      </c>
      <c r="Y13" s="5" t="s">
        <v>1548</v>
      </c>
      <c r="Z13" s="5" t="s">
        <v>1549</v>
      </c>
    </row>
    <row r="14" spans="1:26" x14ac:dyDescent="0.15">
      <c r="A14" s="1" t="s">
        <v>47</v>
      </c>
      <c r="B14" s="1" t="s">
        <v>48</v>
      </c>
      <c r="C14" s="1" t="s">
        <v>47</v>
      </c>
      <c r="D14" s="1"/>
      <c r="F14" t="s">
        <v>275</v>
      </c>
      <c r="G14">
        <v>4.5</v>
      </c>
      <c r="J14" t="s">
        <v>275</v>
      </c>
      <c r="K14" t="s">
        <v>276</v>
      </c>
      <c r="L14" t="s">
        <v>277</v>
      </c>
      <c r="M14" t="s">
        <v>247</v>
      </c>
      <c r="N14" t="s">
        <v>248</v>
      </c>
      <c r="O14">
        <v>300</v>
      </c>
      <c r="P14" t="str">
        <f t="shared" si="0"/>
        <v>阿莫西林克拉维酸钾(7:1)分散片0.2285g*10片</v>
      </c>
      <c r="R14" s="3" t="s">
        <v>1046</v>
      </c>
      <c r="S14" s="3" t="s">
        <v>1072</v>
      </c>
      <c r="T14" s="3" t="s">
        <v>1073</v>
      </c>
      <c r="U14" s="3" t="s">
        <v>1072</v>
      </c>
      <c r="W14" s="5" t="s">
        <v>1523</v>
      </c>
      <c r="X14" s="5" t="s">
        <v>1539</v>
      </c>
      <c r="Y14" s="5" t="s">
        <v>1550</v>
      </c>
      <c r="Z14" s="5" t="s">
        <v>1551</v>
      </c>
    </row>
    <row r="15" spans="1:26" x14ac:dyDescent="0.15">
      <c r="A15" s="1" t="s">
        <v>49</v>
      </c>
      <c r="B15" s="1" t="s">
        <v>50</v>
      </c>
      <c r="C15" s="1" t="s">
        <v>49</v>
      </c>
      <c r="D15" s="1"/>
      <c r="F15" t="s">
        <v>278</v>
      </c>
      <c r="G15">
        <v>6</v>
      </c>
      <c r="J15" t="s">
        <v>278</v>
      </c>
      <c r="K15" t="s">
        <v>276</v>
      </c>
      <c r="L15" t="s">
        <v>279</v>
      </c>
      <c r="M15" t="s">
        <v>247</v>
      </c>
      <c r="N15" t="s">
        <v>248</v>
      </c>
      <c r="O15">
        <v>300</v>
      </c>
      <c r="P15" t="str">
        <f t="shared" si="0"/>
        <v>阿莫西林克拉维酸钾(7:1)分散片0.2285g*12片</v>
      </c>
      <c r="R15" s="3" t="s">
        <v>1046</v>
      </c>
      <c r="S15" s="3" t="s">
        <v>1074</v>
      </c>
      <c r="T15" s="3" t="s">
        <v>1075</v>
      </c>
      <c r="U15" s="3" t="s">
        <v>1074</v>
      </c>
      <c r="W15" s="5" t="s">
        <v>1523</v>
      </c>
      <c r="X15" s="5" t="s">
        <v>1539</v>
      </c>
      <c r="Y15" s="5" t="s">
        <v>1552</v>
      </c>
      <c r="Z15" s="5" t="s">
        <v>1553</v>
      </c>
    </row>
    <row r="16" spans="1:26" x14ac:dyDescent="0.15">
      <c r="A16" s="1" t="s">
        <v>51</v>
      </c>
      <c r="B16" s="1" t="s">
        <v>52</v>
      </c>
      <c r="C16" s="1" t="s">
        <v>51</v>
      </c>
      <c r="D16" s="1"/>
      <c r="F16" t="s">
        <v>280</v>
      </c>
      <c r="G16">
        <v>7</v>
      </c>
      <c r="J16" t="s">
        <v>280</v>
      </c>
      <c r="K16" t="s">
        <v>276</v>
      </c>
      <c r="L16" t="s">
        <v>281</v>
      </c>
      <c r="M16" t="s">
        <v>247</v>
      </c>
      <c r="N16" t="s">
        <v>248</v>
      </c>
      <c r="O16">
        <v>300</v>
      </c>
      <c r="P16" t="str">
        <f t="shared" si="0"/>
        <v>阿莫西林克拉维酸钾(7:1)分散片0.2285g*15片*300盒</v>
      </c>
      <c r="R16" s="3" t="s">
        <v>1046</v>
      </c>
      <c r="S16" s="3" t="s">
        <v>1076</v>
      </c>
      <c r="T16" s="3" t="s">
        <v>1077</v>
      </c>
      <c r="U16" s="3" t="s">
        <v>1076</v>
      </c>
      <c r="W16" s="5" t="s">
        <v>1523</v>
      </c>
      <c r="X16" s="5" t="s">
        <v>1539</v>
      </c>
      <c r="Y16" s="5" t="s">
        <v>1554</v>
      </c>
      <c r="Z16" s="5" t="s">
        <v>1555</v>
      </c>
    </row>
    <row r="17" spans="1:26" x14ac:dyDescent="0.15">
      <c r="A17" s="1" t="s">
        <v>53</v>
      </c>
      <c r="B17" s="1" t="s">
        <v>54</v>
      </c>
      <c r="C17" s="1" t="s">
        <v>53</v>
      </c>
      <c r="D17" s="2" t="s">
        <v>229</v>
      </c>
      <c r="F17" t="s">
        <v>282</v>
      </c>
      <c r="G17">
        <v>8</v>
      </c>
      <c r="J17" t="s">
        <v>282</v>
      </c>
      <c r="K17" t="s">
        <v>276</v>
      </c>
      <c r="L17" t="s">
        <v>283</v>
      </c>
      <c r="M17" t="s">
        <v>247</v>
      </c>
      <c r="N17" t="s">
        <v>248</v>
      </c>
      <c r="O17">
        <v>300</v>
      </c>
      <c r="P17" t="str">
        <f t="shared" si="0"/>
        <v>阿莫西林克拉维酸钾(7:1)分散片0.2285g*18片</v>
      </c>
      <c r="R17" s="3" t="s">
        <v>1046</v>
      </c>
      <c r="S17" s="3" t="s">
        <v>1078</v>
      </c>
      <c r="T17" s="3" t="s">
        <v>1079</v>
      </c>
      <c r="U17" s="3" t="s">
        <v>1078</v>
      </c>
      <c r="W17" s="5" t="s">
        <v>1523</v>
      </c>
      <c r="X17" s="5" t="s">
        <v>1539</v>
      </c>
      <c r="Y17" s="5" t="s">
        <v>1556</v>
      </c>
      <c r="Z17" s="5" t="s">
        <v>1557</v>
      </c>
    </row>
    <row r="18" spans="1:26" x14ac:dyDescent="0.15">
      <c r="A18" s="1" t="s">
        <v>55</v>
      </c>
      <c r="B18" s="1" t="s">
        <v>56</v>
      </c>
      <c r="C18" s="1" t="s">
        <v>55</v>
      </c>
      <c r="D18" s="1"/>
      <c r="F18" t="s">
        <v>284</v>
      </c>
      <c r="G18">
        <v>10.5</v>
      </c>
      <c r="J18" t="s">
        <v>284</v>
      </c>
      <c r="K18" t="s">
        <v>276</v>
      </c>
      <c r="L18" t="s">
        <v>285</v>
      </c>
      <c r="M18" t="s">
        <v>247</v>
      </c>
      <c r="N18" t="s">
        <v>248</v>
      </c>
      <c r="O18">
        <v>300</v>
      </c>
      <c r="P18" t="str">
        <f t="shared" si="0"/>
        <v>阿莫西林克拉维酸钾(7:1)分散片0.2285g*24片</v>
      </c>
      <c r="R18" s="3" t="s">
        <v>1046</v>
      </c>
      <c r="S18" s="3" t="s">
        <v>1080</v>
      </c>
      <c r="T18" s="3" t="s">
        <v>1081</v>
      </c>
      <c r="U18" s="3" t="s">
        <v>1080</v>
      </c>
      <c r="W18" s="5" t="s">
        <v>1523</v>
      </c>
      <c r="X18" s="5" t="s">
        <v>1539</v>
      </c>
      <c r="Y18" s="5" t="s">
        <v>1558</v>
      </c>
      <c r="Z18" s="5" t="s">
        <v>1559</v>
      </c>
    </row>
    <row r="19" spans="1:26" x14ac:dyDescent="0.15">
      <c r="A19" s="1" t="s">
        <v>57</v>
      </c>
      <c r="B19" s="1" t="s">
        <v>58</v>
      </c>
      <c r="C19" s="1" t="s">
        <v>57</v>
      </c>
      <c r="D19" s="1"/>
      <c r="F19" t="s">
        <v>286</v>
      </c>
      <c r="G19">
        <v>4</v>
      </c>
      <c r="J19" t="s">
        <v>286</v>
      </c>
      <c r="K19" t="s">
        <v>276</v>
      </c>
      <c r="L19" t="s">
        <v>287</v>
      </c>
      <c r="M19" t="s">
        <v>247</v>
      </c>
      <c r="N19" t="s">
        <v>248</v>
      </c>
      <c r="O19">
        <v>300</v>
      </c>
      <c r="P19" t="str">
        <f t="shared" si="0"/>
        <v>阿莫西林克拉维酸钾(7:1)分散片0.2285g*8片</v>
      </c>
      <c r="R19" s="3" t="s">
        <v>1061</v>
      </c>
      <c r="S19" s="3" t="s">
        <v>1082</v>
      </c>
      <c r="T19" s="3" t="s">
        <v>1083</v>
      </c>
      <c r="U19" s="3" t="s">
        <v>1082</v>
      </c>
      <c r="W19" s="5" t="s">
        <v>1523</v>
      </c>
      <c r="X19" s="5" t="s">
        <v>1539</v>
      </c>
      <c r="Y19" s="5" t="s">
        <v>1560</v>
      </c>
      <c r="Z19" s="5" t="s">
        <v>1561</v>
      </c>
    </row>
    <row r="20" spans="1:26" x14ac:dyDescent="0.15">
      <c r="A20" s="1" t="s">
        <v>59</v>
      </c>
      <c r="B20" s="1" t="s">
        <v>60</v>
      </c>
      <c r="C20" s="1" t="s">
        <v>59</v>
      </c>
      <c r="D20" s="2" t="s">
        <v>230</v>
      </c>
      <c r="F20" t="s">
        <v>288</v>
      </c>
      <c r="G20">
        <v>2.4</v>
      </c>
      <c r="J20" t="s">
        <v>288</v>
      </c>
      <c r="K20" t="s">
        <v>289</v>
      </c>
      <c r="L20" t="s">
        <v>290</v>
      </c>
      <c r="M20" t="s">
        <v>247</v>
      </c>
      <c r="N20" t="s">
        <v>248</v>
      </c>
      <c r="O20">
        <v>600</v>
      </c>
      <c r="P20" t="str">
        <f t="shared" si="0"/>
        <v>阿莫西林片(益萨林)0.25g*12片</v>
      </c>
      <c r="R20" s="3" t="s">
        <v>1046</v>
      </c>
      <c r="S20" s="3" t="s">
        <v>1084</v>
      </c>
      <c r="T20" s="3" t="s">
        <v>1085</v>
      </c>
      <c r="U20" s="3" t="s">
        <v>1084</v>
      </c>
      <c r="W20" s="5" t="s">
        <v>1523</v>
      </c>
      <c r="X20" s="5" t="s">
        <v>1562</v>
      </c>
      <c r="Y20" s="5" t="s">
        <v>1563</v>
      </c>
      <c r="Z20" s="5" t="s">
        <v>1564</v>
      </c>
    </row>
    <row r="21" spans="1:26" x14ac:dyDescent="0.15">
      <c r="A21" s="1" t="s">
        <v>61</v>
      </c>
      <c r="B21" s="1" t="s">
        <v>62</v>
      </c>
      <c r="C21" s="1" t="s">
        <v>61</v>
      </c>
      <c r="D21" s="1"/>
      <c r="F21" t="s">
        <v>291</v>
      </c>
      <c r="G21">
        <v>3.4</v>
      </c>
      <c r="J21" t="s">
        <v>291</v>
      </c>
      <c r="K21" t="s">
        <v>292</v>
      </c>
      <c r="L21" t="s">
        <v>293</v>
      </c>
      <c r="M21" t="s">
        <v>294</v>
      </c>
      <c r="N21" t="s">
        <v>264</v>
      </c>
      <c r="O21">
        <v>400</v>
      </c>
      <c r="P21" t="str">
        <f t="shared" si="0"/>
        <v>阿奇霉素分散片0.1g*6片</v>
      </c>
      <c r="R21" s="3" t="s">
        <v>1046</v>
      </c>
      <c r="S21" s="3" t="s">
        <v>1086</v>
      </c>
      <c r="T21" s="3" t="s">
        <v>1087</v>
      </c>
      <c r="U21" s="3" t="s">
        <v>1086</v>
      </c>
      <c r="W21" s="5" t="s">
        <v>1523</v>
      </c>
      <c r="X21" s="5" t="s">
        <v>1562</v>
      </c>
      <c r="Y21" s="5" t="s">
        <v>1565</v>
      </c>
      <c r="Z21" s="5" t="s">
        <v>1566</v>
      </c>
    </row>
    <row r="22" spans="1:26" x14ac:dyDescent="0.15">
      <c r="A22" s="1" t="s">
        <v>63</v>
      </c>
      <c r="B22" s="1" t="s">
        <v>64</v>
      </c>
      <c r="C22" s="1" t="s">
        <v>63</v>
      </c>
      <c r="D22" s="1"/>
      <c r="F22" t="s">
        <v>295</v>
      </c>
      <c r="G22">
        <v>3.8</v>
      </c>
      <c r="J22" t="s">
        <v>295</v>
      </c>
      <c r="K22" t="s">
        <v>292</v>
      </c>
      <c r="L22" t="s">
        <v>296</v>
      </c>
      <c r="M22" t="s">
        <v>294</v>
      </c>
      <c r="N22" t="s">
        <v>248</v>
      </c>
      <c r="O22">
        <v>400</v>
      </c>
      <c r="P22" t="str">
        <f t="shared" si="0"/>
        <v>阿奇霉素分散片0.25g×6片×400盒</v>
      </c>
      <c r="R22" s="3" t="s">
        <v>1088</v>
      </c>
      <c r="S22" s="3" t="s">
        <v>1089</v>
      </c>
      <c r="T22" s="3" t="s">
        <v>1090</v>
      </c>
      <c r="U22" s="3" t="s">
        <v>1089</v>
      </c>
      <c r="W22" s="5" t="s">
        <v>1523</v>
      </c>
      <c r="X22" s="5" t="s">
        <v>1562</v>
      </c>
      <c r="Y22" s="5" t="s">
        <v>1567</v>
      </c>
      <c r="Z22" s="5" t="s">
        <v>1568</v>
      </c>
    </row>
    <row r="23" spans="1:26" x14ac:dyDescent="0.15">
      <c r="A23" s="1" t="s">
        <v>65</v>
      </c>
      <c r="B23" s="1" t="s">
        <v>66</v>
      </c>
      <c r="C23" s="1" t="s">
        <v>65</v>
      </c>
      <c r="D23" s="1"/>
      <c r="F23" t="s">
        <v>297</v>
      </c>
      <c r="G23">
        <v>6.8</v>
      </c>
      <c r="J23" t="s">
        <v>297</v>
      </c>
      <c r="K23" t="s">
        <v>298</v>
      </c>
      <c r="L23" t="s">
        <v>299</v>
      </c>
      <c r="M23" t="s">
        <v>300</v>
      </c>
      <c r="N23" t="s">
        <v>264</v>
      </c>
      <c r="O23">
        <v>100</v>
      </c>
      <c r="P23" t="str">
        <f t="shared" si="0"/>
        <v>艾附暖宫丸（OTC）9g×10丸×100盒</v>
      </c>
      <c r="R23" s="3" t="s">
        <v>1088</v>
      </c>
      <c r="S23" s="3" t="s">
        <v>1091</v>
      </c>
      <c r="T23" s="3" t="s">
        <v>1092</v>
      </c>
      <c r="U23" s="3" t="s">
        <v>1091</v>
      </c>
      <c r="W23" s="5" t="s">
        <v>1523</v>
      </c>
      <c r="X23" s="5" t="s">
        <v>1562</v>
      </c>
      <c r="Y23" s="5" t="s">
        <v>1569</v>
      </c>
      <c r="Z23" s="5" t="s">
        <v>1570</v>
      </c>
    </row>
    <row r="24" spans="1:26" x14ac:dyDescent="0.15">
      <c r="A24" s="1" t="s">
        <v>67</v>
      </c>
      <c r="B24" s="1" t="s">
        <v>68</v>
      </c>
      <c r="C24" s="1" t="s">
        <v>67</v>
      </c>
      <c r="D24" s="1"/>
      <c r="F24" t="s">
        <v>301</v>
      </c>
      <c r="G24">
        <v>108</v>
      </c>
      <c r="J24" t="s">
        <v>301</v>
      </c>
      <c r="K24" t="s">
        <v>302</v>
      </c>
      <c r="L24" t="s">
        <v>303</v>
      </c>
      <c r="M24" t="s">
        <v>300</v>
      </c>
      <c r="N24" t="s">
        <v>304</v>
      </c>
      <c r="O24">
        <v>80</v>
      </c>
      <c r="P24" t="str">
        <f t="shared" si="0"/>
        <v>安宫牛黄丸3g×2丸×40盒</v>
      </c>
      <c r="R24" s="3" t="s">
        <v>1093</v>
      </c>
      <c r="S24" s="3" t="s">
        <v>1094</v>
      </c>
      <c r="T24" s="3" t="s">
        <v>1095</v>
      </c>
      <c r="U24" s="3" t="s">
        <v>1094</v>
      </c>
      <c r="W24" s="5" t="s">
        <v>1523</v>
      </c>
      <c r="X24" s="5" t="s">
        <v>1562</v>
      </c>
      <c r="Y24" s="5" t="s">
        <v>1571</v>
      </c>
      <c r="Z24" s="5" t="s">
        <v>1572</v>
      </c>
    </row>
    <row r="25" spans="1:26" x14ac:dyDescent="0.15">
      <c r="A25" s="1" t="s">
        <v>69</v>
      </c>
      <c r="B25" s="1" t="s">
        <v>70</v>
      </c>
      <c r="C25" s="1" t="s">
        <v>69</v>
      </c>
      <c r="D25" s="1"/>
      <c r="F25" t="s">
        <v>305</v>
      </c>
      <c r="G25">
        <v>5.15</v>
      </c>
      <c r="J25" t="s">
        <v>305</v>
      </c>
      <c r="K25" t="s">
        <v>306</v>
      </c>
      <c r="L25" t="s">
        <v>307</v>
      </c>
      <c r="M25" t="s">
        <v>308</v>
      </c>
      <c r="N25" t="s">
        <v>248</v>
      </c>
      <c r="O25">
        <v>160</v>
      </c>
      <c r="P25" t="str">
        <f t="shared" si="0"/>
        <v>氨金黄敏颗粒6g×10袋×160盒</v>
      </c>
      <c r="R25" s="3" t="s">
        <v>1046</v>
      </c>
      <c r="S25" s="3" t="s">
        <v>1096</v>
      </c>
      <c r="T25" s="3" t="s">
        <v>1097</v>
      </c>
      <c r="U25" s="3" t="s">
        <v>1096</v>
      </c>
      <c r="W25" s="5" t="s">
        <v>1523</v>
      </c>
      <c r="X25" s="5" t="s">
        <v>1573</v>
      </c>
      <c r="Y25" s="5" t="s">
        <v>1574</v>
      </c>
      <c r="Z25" s="5" t="s">
        <v>1575</v>
      </c>
    </row>
    <row r="26" spans="1:26" x14ac:dyDescent="0.15">
      <c r="A26" s="1" t="s">
        <v>71</v>
      </c>
      <c r="B26" s="1" t="s">
        <v>72</v>
      </c>
      <c r="C26" s="1" t="s">
        <v>71</v>
      </c>
      <c r="D26" s="1"/>
      <c r="F26" t="s">
        <v>309</v>
      </c>
      <c r="G26">
        <v>1.65</v>
      </c>
      <c r="J26" t="s">
        <v>309</v>
      </c>
      <c r="K26" t="s">
        <v>310</v>
      </c>
      <c r="L26" t="s">
        <v>311</v>
      </c>
      <c r="M26" t="s">
        <v>294</v>
      </c>
      <c r="N26" t="s">
        <v>264</v>
      </c>
      <c r="O26">
        <v>400</v>
      </c>
      <c r="P26" t="str">
        <f t="shared" si="0"/>
        <v>氨咖黄敏胶囊20粒</v>
      </c>
      <c r="R26" s="3" t="s">
        <v>1046</v>
      </c>
      <c r="S26" s="3" t="s">
        <v>1098</v>
      </c>
      <c r="T26" s="3" t="s">
        <v>1099</v>
      </c>
      <c r="U26" s="3" t="s">
        <v>1098</v>
      </c>
      <c r="W26" s="5" t="s">
        <v>1523</v>
      </c>
      <c r="X26" s="5" t="s">
        <v>1573</v>
      </c>
      <c r="Y26" s="5" t="s">
        <v>1576</v>
      </c>
      <c r="Z26" s="5" t="s">
        <v>1577</v>
      </c>
    </row>
    <row r="27" spans="1:26" x14ac:dyDescent="0.15">
      <c r="A27" s="1" t="s">
        <v>73</v>
      </c>
      <c r="B27" s="1" t="s">
        <v>74</v>
      </c>
      <c r="C27" s="1" t="s">
        <v>73</v>
      </c>
      <c r="D27" s="1"/>
      <c r="F27" t="s">
        <v>312</v>
      </c>
      <c r="G27">
        <v>9.5</v>
      </c>
      <c r="J27" t="s">
        <v>312</v>
      </c>
      <c r="K27" t="s">
        <v>313</v>
      </c>
      <c r="L27" t="s">
        <v>299</v>
      </c>
      <c r="M27" t="s">
        <v>300</v>
      </c>
      <c r="N27" t="s">
        <v>264</v>
      </c>
      <c r="O27">
        <v>100</v>
      </c>
      <c r="P27" t="str">
        <f t="shared" si="0"/>
        <v>柏子养心丸9g×10丸×100盒</v>
      </c>
      <c r="R27" s="3" t="s">
        <v>1061</v>
      </c>
      <c r="S27" s="3" t="s">
        <v>1100</v>
      </c>
      <c r="T27" s="3" t="s">
        <v>1101</v>
      </c>
      <c r="U27" s="3" t="s">
        <v>1100</v>
      </c>
      <c r="W27" s="5" t="s">
        <v>1523</v>
      </c>
      <c r="X27" s="5" t="s">
        <v>1573</v>
      </c>
      <c r="Y27" s="5" t="s">
        <v>1578</v>
      </c>
      <c r="Z27" s="5" t="s">
        <v>1579</v>
      </c>
    </row>
    <row r="28" spans="1:26" x14ac:dyDescent="0.15">
      <c r="A28" s="1" t="s">
        <v>75</v>
      </c>
      <c r="B28" s="1" t="s">
        <v>76</v>
      </c>
      <c r="C28" s="1" t="s">
        <v>75</v>
      </c>
      <c r="D28" s="1"/>
      <c r="F28" t="s">
        <v>314</v>
      </c>
      <c r="G28">
        <v>5.29</v>
      </c>
      <c r="J28" t="s">
        <v>314</v>
      </c>
      <c r="K28" t="s">
        <v>315</v>
      </c>
      <c r="L28" t="s">
        <v>299</v>
      </c>
      <c r="M28" t="s">
        <v>300</v>
      </c>
      <c r="N28" t="s">
        <v>264</v>
      </c>
      <c r="O28">
        <v>100</v>
      </c>
      <c r="P28" t="str">
        <f t="shared" si="0"/>
        <v>保和丸(OTC)9g×10丸×100盒</v>
      </c>
      <c r="R28" s="3" t="s">
        <v>1088</v>
      </c>
      <c r="S28" s="3" t="s">
        <v>1102</v>
      </c>
      <c r="T28" s="3" t="s">
        <v>1103</v>
      </c>
      <c r="U28" s="3" t="s">
        <v>1102</v>
      </c>
      <c r="W28" s="5" t="s">
        <v>1523</v>
      </c>
      <c r="X28" s="5" t="s">
        <v>1573</v>
      </c>
      <c r="Y28" s="5" t="s">
        <v>1580</v>
      </c>
      <c r="Z28" s="5" t="s">
        <v>1581</v>
      </c>
    </row>
    <row r="29" spans="1:26" x14ac:dyDescent="0.15">
      <c r="A29" s="1" t="s">
        <v>77</v>
      </c>
      <c r="B29" s="1" t="s">
        <v>78</v>
      </c>
      <c r="C29" s="1" t="s">
        <v>77</v>
      </c>
      <c r="D29" s="1"/>
      <c r="F29" t="s">
        <v>316</v>
      </c>
      <c r="G29">
        <v>8.8000000000000007</v>
      </c>
      <c r="J29" t="s">
        <v>316</v>
      </c>
      <c r="K29" t="s">
        <v>317</v>
      </c>
      <c r="L29" t="s">
        <v>318</v>
      </c>
      <c r="M29" t="s">
        <v>300</v>
      </c>
      <c r="N29" t="s">
        <v>264</v>
      </c>
      <c r="O29">
        <v>300</v>
      </c>
      <c r="P29" t="str">
        <f t="shared" si="0"/>
        <v>布洛芬颗粒0.2*10袋*300盒</v>
      </c>
      <c r="R29" s="3" t="s">
        <v>1046</v>
      </c>
      <c r="S29" s="3" t="s">
        <v>1104</v>
      </c>
      <c r="T29" s="3" t="s">
        <v>1105</v>
      </c>
      <c r="U29" s="3" t="s">
        <v>1104</v>
      </c>
      <c r="W29" s="5" t="s">
        <v>1523</v>
      </c>
      <c r="X29" s="5" t="s">
        <v>1573</v>
      </c>
      <c r="Y29" s="5" t="s">
        <v>1582</v>
      </c>
      <c r="Z29" s="5" t="s">
        <v>1583</v>
      </c>
    </row>
    <row r="30" spans="1:26" x14ac:dyDescent="0.15">
      <c r="A30" s="1" t="s">
        <v>79</v>
      </c>
      <c r="B30" s="1" t="s">
        <v>80</v>
      </c>
      <c r="C30" s="1" t="s">
        <v>79</v>
      </c>
      <c r="D30" s="1"/>
      <c r="F30" t="s">
        <v>319</v>
      </c>
      <c r="G30">
        <v>9.1999999999999993</v>
      </c>
      <c r="J30" t="s">
        <v>319</v>
      </c>
      <c r="K30" t="s">
        <v>317</v>
      </c>
      <c r="L30" t="s">
        <v>320</v>
      </c>
      <c r="M30" t="s">
        <v>300</v>
      </c>
      <c r="N30" t="s">
        <v>264</v>
      </c>
      <c r="O30">
        <v>300</v>
      </c>
      <c r="P30" t="str">
        <f t="shared" si="0"/>
        <v>布洛芬颗粒0.2*12袋*300盒</v>
      </c>
      <c r="R30" s="3" t="s">
        <v>1061</v>
      </c>
      <c r="S30" s="3" t="s">
        <v>1106</v>
      </c>
      <c r="T30" s="3" t="s">
        <v>1107</v>
      </c>
      <c r="U30" s="3" t="s">
        <v>1106</v>
      </c>
      <c r="W30" s="5" t="s">
        <v>1523</v>
      </c>
      <c r="X30" s="5" t="s">
        <v>1573</v>
      </c>
      <c r="Y30" s="5" t="s">
        <v>1584</v>
      </c>
      <c r="Z30" s="5" t="s">
        <v>1585</v>
      </c>
    </row>
    <row r="31" spans="1:26" x14ac:dyDescent="0.15">
      <c r="A31" s="1" t="s">
        <v>81</v>
      </c>
      <c r="B31" s="1" t="s">
        <v>82</v>
      </c>
      <c r="C31" s="1" t="s">
        <v>81</v>
      </c>
      <c r="D31" s="1"/>
      <c r="F31" t="s">
        <v>321</v>
      </c>
      <c r="G31">
        <v>11.4</v>
      </c>
      <c r="J31" t="s">
        <v>321</v>
      </c>
      <c r="K31" t="s">
        <v>317</v>
      </c>
      <c r="L31" t="s">
        <v>322</v>
      </c>
      <c r="M31" t="s">
        <v>300</v>
      </c>
      <c r="N31" t="s">
        <v>264</v>
      </c>
      <c r="O31">
        <v>300</v>
      </c>
      <c r="P31" t="str">
        <f t="shared" si="0"/>
        <v>布洛芬颗粒0.2*20袋*300盒</v>
      </c>
      <c r="R31" s="3" t="s">
        <v>1046</v>
      </c>
      <c r="S31" s="3" t="s">
        <v>1108</v>
      </c>
      <c r="T31" s="3" t="s">
        <v>1109</v>
      </c>
      <c r="U31" s="3" t="s">
        <v>1108</v>
      </c>
      <c r="W31" s="5" t="s">
        <v>1523</v>
      </c>
      <c r="X31" s="5" t="s">
        <v>1573</v>
      </c>
      <c r="Y31" s="5" t="s">
        <v>1586</v>
      </c>
      <c r="Z31" s="5" t="s">
        <v>1587</v>
      </c>
    </row>
    <row r="32" spans="1:26" x14ac:dyDescent="0.15">
      <c r="A32" s="1" t="s">
        <v>83</v>
      </c>
      <c r="B32" s="1" t="s">
        <v>84</v>
      </c>
      <c r="C32" s="1" t="s">
        <v>83</v>
      </c>
      <c r="D32" s="1"/>
      <c r="F32" t="s">
        <v>323</v>
      </c>
      <c r="G32">
        <v>10.5</v>
      </c>
      <c r="J32" t="s">
        <v>323</v>
      </c>
      <c r="K32" t="s">
        <v>324</v>
      </c>
      <c r="L32" t="s">
        <v>325</v>
      </c>
      <c r="M32" t="s">
        <v>326</v>
      </c>
      <c r="N32" t="s">
        <v>248</v>
      </c>
      <c r="O32">
        <v>60</v>
      </c>
      <c r="P32" t="str">
        <f t="shared" si="0"/>
        <v>刺五加脑灵液100ml×60瓶</v>
      </c>
      <c r="R32" s="3" t="s">
        <v>1046</v>
      </c>
      <c r="S32" s="3" t="s">
        <v>1110</v>
      </c>
      <c r="T32" s="3" t="s">
        <v>1111</v>
      </c>
      <c r="U32" s="3" t="s">
        <v>1110</v>
      </c>
      <c r="W32" s="5" t="s">
        <v>1523</v>
      </c>
      <c r="X32" s="5" t="s">
        <v>1573</v>
      </c>
      <c r="Y32" s="5" t="s">
        <v>1588</v>
      </c>
      <c r="Z32" s="5" t="s">
        <v>1589</v>
      </c>
    </row>
    <row r="33" spans="1:26" x14ac:dyDescent="0.15">
      <c r="A33" s="1" t="s">
        <v>85</v>
      </c>
      <c r="B33" s="1" t="s">
        <v>86</v>
      </c>
      <c r="C33" s="1" t="s">
        <v>85</v>
      </c>
      <c r="D33" s="1"/>
      <c r="G33">
        <v>10.5</v>
      </c>
      <c r="K33" t="s">
        <v>324</v>
      </c>
      <c r="L33" t="s">
        <v>327</v>
      </c>
      <c r="M33" t="s">
        <v>326</v>
      </c>
      <c r="N33" t="s">
        <v>264</v>
      </c>
      <c r="P33" t="str">
        <f t="shared" si="0"/>
        <v>刺五加脑灵液12支</v>
      </c>
      <c r="R33" s="3" t="s">
        <v>1046</v>
      </c>
      <c r="S33" s="3" t="s">
        <v>1112</v>
      </c>
      <c r="T33" s="3" t="s">
        <v>1113</v>
      </c>
      <c r="U33" s="3" t="s">
        <v>1112</v>
      </c>
      <c r="W33" s="5" t="s">
        <v>1523</v>
      </c>
      <c r="X33" s="5" t="s">
        <v>1573</v>
      </c>
      <c r="Y33" s="5" t="s">
        <v>1590</v>
      </c>
      <c r="Z33" s="5" t="s">
        <v>1591</v>
      </c>
    </row>
    <row r="34" spans="1:26" x14ac:dyDescent="0.15">
      <c r="A34" s="1" t="s">
        <v>87</v>
      </c>
      <c r="B34" s="1" t="s">
        <v>88</v>
      </c>
      <c r="C34" s="1" t="s">
        <v>87</v>
      </c>
      <c r="D34" s="1"/>
      <c r="F34" t="s">
        <v>328</v>
      </c>
      <c r="G34">
        <v>8</v>
      </c>
      <c r="J34" t="s">
        <v>328</v>
      </c>
      <c r="K34" t="s">
        <v>329</v>
      </c>
      <c r="L34" t="s">
        <v>330</v>
      </c>
      <c r="M34" t="s">
        <v>326</v>
      </c>
      <c r="N34" t="s">
        <v>264</v>
      </c>
      <c r="O34">
        <v>80</v>
      </c>
      <c r="P34" t="str">
        <f t="shared" si="0"/>
        <v>刺五加脑灵液（10ml）10ml×10支×80盒</v>
      </c>
      <c r="R34" s="3" t="s">
        <v>1046</v>
      </c>
      <c r="S34" s="3" t="s">
        <v>1114</v>
      </c>
      <c r="T34" s="3" t="s">
        <v>1115</v>
      </c>
      <c r="U34" s="3" t="s">
        <v>1114</v>
      </c>
      <c r="W34" s="5" t="s">
        <v>1523</v>
      </c>
      <c r="X34" s="5" t="s">
        <v>1592</v>
      </c>
      <c r="Y34" s="5" t="s">
        <v>1593</v>
      </c>
      <c r="Z34" s="5" t="s">
        <v>1594</v>
      </c>
    </row>
    <row r="35" spans="1:26" x14ac:dyDescent="0.15">
      <c r="A35" s="1" t="s">
        <v>89</v>
      </c>
      <c r="B35" s="1" t="s">
        <v>90</v>
      </c>
      <c r="C35" s="1" t="s">
        <v>89</v>
      </c>
      <c r="D35" s="1"/>
      <c r="F35" t="s">
        <v>331</v>
      </c>
      <c r="G35">
        <v>24.5</v>
      </c>
      <c r="H35">
        <v>27.2</v>
      </c>
      <c r="I35">
        <v>68</v>
      </c>
      <c r="J35" t="s">
        <v>331</v>
      </c>
      <c r="K35" t="s">
        <v>332</v>
      </c>
      <c r="L35" t="s">
        <v>333</v>
      </c>
      <c r="M35" t="s">
        <v>334</v>
      </c>
      <c r="N35" t="s">
        <v>264</v>
      </c>
      <c r="O35">
        <v>60</v>
      </c>
      <c r="P35" t="str">
        <f t="shared" si="0"/>
        <v>刺五加王浆口服液10ml×12支×60盒</v>
      </c>
      <c r="R35" s="3" t="s">
        <v>1088</v>
      </c>
      <c r="S35" s="3" t="s">
        <v>1116</v>
      </c>
      <c r="T35" s="3" t="s">
        <v>1117</v>
      </c>
      <c r="U35" s="3" t="s">
        <v>1116</v>
      </c>
      <c r="W35" s="5" t="s">
        <v>1523</v>
      </c>
      <c r="X35" s="5" t="s">
        <v>1592</v>
      </c>
      <c r="Y35" s="5" t="s">
        <v>1595</v>
      </c>
      <c r="Z35" s="5" t="s">
        <v>1596</v>
      </c>
    </row>
    <row r="36" spans="1:26" x14ac:dyDescent="0.15">
      <c r="A36" s="1" t="s">
        <v>91</v>
      </c>
      <c r="B36" s="1" t="s">
        <v>92</v>
      </c>
      <c r="C36" s="1" t="s">
        <v>91</v>
      </c>
      <c r="D36" s="1"/>
      <c r="F36" t="s">
        <v>335</v>
      </c>
      <c r="G36">
        <v>3.51</v>
      </c>
      <c r="J36" t="s">
        <v>335</v>
      </c>
      <c r="K36" t="s">
        <v>336</v>
      </c>
      <c r="L36" t="s">
        <v>299</v>
      </c>
      <c r="M36" t="s">
        <v>300</v>
      </c>
      <c r="N36" t="s">
        <v>264</v>
      </c>
      <c r="O36">
        <v>100</v>
      </c>
      <c r="P36" t="str">
        <f t="shared" si="0"/>
        <v>大山楂丸(OTC)9g×10丸×100盒</v>
      </c>
      <c r="R36" s="3" t="s">
        <v>1061</v>
      </c>
      <c r="S36" s="3" t="s">
        <v>1118</v>
      </c>
      <c r="T36" s="3" t="s">
        <v>1119</v>
      </c>
      <c r="U36" s="3" t="s">
        <v>1118</v>
      </c>
      <c r="W36" s="5" t="s">
        <v>1523</v>
      </c>
      <c r="X36" s="5" t="s">
        <v>1592</v>
      </c>
      <c r="Y36" s="5" t="s">
        <v>1597</v>
      </c>
      <c r="Z36" s="5" t="s">
        <v>1598</v>
      </c>
    </row>
    <row r="37" spans="1:26" x14ac:dyDescent="0.15">
      <c r="A37" s="1" t="s">
        <v>93</v>
      </c>
      <c r="B37" s="1" t="s">
        <v>94</v>
      </c>
      <c r="C37" s="1" t="s">
        <v>93</v>
      </c>
      <c r="D37" s="1"/>
      <c r="F37" t="s">
        <v>337</v>
      </c>
      <c r="G37">
        <v>16.43</v>
      </c>
      <c r="J37" t="s">
        <v>337</v>
      </c>
      <c r="K37" t="s">
        <v>338</v>
      </c>
      <c r="L37" t="s">
        <v>339</v>
      </c>
      <c r="M37" t="s">
        <v>300</v>
      </c>
      <c r="N37" t="s">
        <v>264</v>
      </c>
      <c r="O37">
        <v>60</v>
      </c>
      <c r="P37" t="str">
        <f t="shared" si="0"/>
        <v>丹佛胃尔康颗粒10g*10袋</v>
      </c>
      <c r="R37" s="3" t="s">
        <v>1061</v>
      </c>
      <c r="S37" s="3" t="s">
        <v>1120</v>
      </c>
      <c r="T37" s="3" t="s">
        <v>1121</v>
      </c>
      <c r="U37" s="3" t="s">
        <v>1120</v>
      </c>
      <c r="W37" s="5" t="s">
        <v>1523</v>
      </c>
      <c r="X37" s="5" t="s">
        <v>1592</v>
      </c>
      <c r="Y37" s="5" t="s">
        <v>1599</v>
      </c>
      <c r="Z37" s="5" t="s">
        <v>1600</v>
      </c>
    </row>
    <row r="38" spans="1:26" x14ac:dyDescent="0.15">
      <c r="A38" s="1" t="s">
        <v>95</v>
      </c>
      <c r="B38" s="1" t="s">
        <v>96</v>
      </c>
      <c r="C38" s="1" t="s">
        <v>95</v>
      </c>
      <c r="D38" s="1"/>
      <c r="F38" t="s">
        <v>340</v>
      </c>
      <c r="G38">
        <v>14.5</v>
      </c>
      <c r="J38" t="s">
        <v>340</v>
      </c>
      <c r="K38" t="s">
        <v>338</v>
      </c>
      <c r="L38" t="s">
        <v>341</v>
      </c>
      <c r="M38" t="s">
        <v>300</v>
      </c>
      <c r="N38" t="s">
        <v>264</v>
      </c>
      <c r="O38">
        <v>60</v>
      </c>
      <c r="P38" t="str">
        <f t="shared" si="0"/>
        <v>丹佛胃尔康颗粒10g*8袋</v>
      </c>
      <c r="R38" s="3" t="s">
        <v>1046</v>
      </c>
      <c r="S38" s="3" t="s">
        <v>1122</v>
      </c>
      <c r="T38" s="3" t="s">
        <v>1123</v>
      </c>
      <c r="U38" s="3" t="s">
        <v>1122</v>
      </c>
      <c r="W38" s="5" t="s">
        <v>1523</v>
      </c>
      <c r="X38" s="5" t="s">
        <v>1592</v>
      </c>
      <c r="Y38" s="5" t="s">
        <v>1601</v>
      </c>
      <c r="Z38" s="5" t="s">
        <v>1602</v>
      </c>
    </row>
    <row r="39" spans="1:26" x14ac:dyDescent="0.15">
      <c r="A39" s="1" t="s">
        <v>97</v>
      </c>
      <c r="B39" s="1" t="s">
        <v>98</v>
      </c>
      <c r="C39" s="1" t="s">
        <v>97</v>
      </c>
      <c r="D39" s="1"/>
      <c r="F39" t="s">
        <v>342</v>
      </c>
      <c r="G39">
        <v>16.600000000000001</v>
      </c>
      <c r="J39" t="s">
        <v>342</v>
      </c>
      <c r="K39" t="s">
        <v>343</v>
      </c>
      <c r="L39" t="s">
        <v>344</v>
      </c>
      <c r="M39" t="s">
        <v>300</v>
      </c>
      <c r="N39" t="s">
        <v>264</v>
      </c>
      <c r="O39">
        <v>120</v>
      </c>
      <c r="P39" t="str">
        <f t="shared" si="0"/>
        <v>丹佛胃尔康颗粒(6袋)6袋×10g6袋×10g</v>
      </c>
      <c r="R39" s="3" t="s">
        <v>1046</v>
      </c>
      <c r="S39" s="3" t="s">
        <v>1124</v>
      </c>
      <c r="T39" s="3" t="s">
        <v>1125</v>
      </c>
      <c r="U39" s="3" t="s">
        <v>1124</v>
      </c>
      <c r="W39" s="5" t="s">
        <v>1523</v>
      </c>
      <c r="X39" s="5" t="s">
        <v>1592</v>
      </c>
      <c r="Y39" s="5" t="s">
        <v>1603</v>
      </c>
      <c r="Z39" s="5" t="s">
        <v>1604</v>
      </c>
    </row>
    <row r="40" spans="1:26" x14ac:dyDescent="0.15">
      <c r="A40" s="1" t="s">
        <v>99</v>
      </c>
      <c r="B40" s="1" t="s">
        <v>100</v>
      </c>
      <c r="C40" s="1" t="s">
        <v>99</v>
      </c>
      <c r="D40" s="2" t="s">
        <v>1820</v>
      </c>
      <c r="F40" t="s">
        <v>345</v>
      </c>
      <c r="G40">
        <v>3</v>
      </c>
      <c r="J40" t="s">
        <v>345</v>
      </c>
      <c r="K40" t="s">
        <v>346</v>
      </c>
      <c r="L40" t="s">
        <v>347</v>
      </c>
      <c r="M40" t="s">
        <v>294</v>
      </c>
      <c r="N40" t="s">
        <v>248</v>
      </c>
      <c r="O40">
        <v>600</v>
      </c>
      <c r="P40" t="str">
        <f t="shared" si="0"/>
        <v>颠茄磺苄啶片（成人10片）0.48g×10片×600盒</v>
      </c>
      <c r="R40" s="3" t="s">
        <v>1046</v>
      </c>
      <c r="S40" s="3" t="s">
        <v>1126</v>
      </c>
      <c r="T40" s="3" t="s">
        <v>1127</v>
      </c>
      <c r="U40" s="3" t="s">
        <v>1126</v>
      </c>
      <c r="W40" s="5" t="s">
        <v>1523</v>
      </c>
      <c r="X40" s="5" t="s">
        <v>1592</v>
      </c>
      <c r="Y40" s="5" t="s">
        <v>1605</v>
      </c>
      <c r="Z40" s="5" t="s">
        <v>1606</v>
      </c>
    </row>
    <row r="41" spans="1:26" x14ac:dyDescent="0.15">
      <c r="A41" s="1" t="s">
        <v>101</v>
      </c>
      <c r="B41" s="1" t="s">
        <v>102</v>
      </c>
      <c r="C41" s="1" t="s">
        <v>101</v>
      </c>
      <c r="D41" s="1"/>
      <c r="F41" t="s">
        <v>348</v>
      </c>
      <c r="G41">
        <v>3.5</v>
      </c>
      <c r="J41" t="s">
        <v>348</v>
      </c>
      <c r="K41" t="s">
        <v>349</v>
      </c>
      <c r="L41" t="s">
        <v>350</v>
      </c>
      <c r="M41" t="s">
        <v>294</v>
      </c>
      <c r="N41" t="s">
        <v>248</v>
      </c>
      <c r="O41">
        <v>400</v>
      </c>
      <c r="P41" t="str">
        <f t="shared" si="0"/>
        <v>颠茄磺苄啶片(成人12片盒装)0.48g×12片×400盒</v>
      </c>
      <c r="R41" s="3" t="s">
        <v>1046</v>
      </c>
      <c r="S41" s="3" t="s">
        <v>1128</v>
      </c>
      <c r="T41" s="3" t="s">
        <v>1129</v>
      </c>
      <c r="U41" s="3" t="s">
        <v>1128</v>
      </c>
      <c r="W41" s="5" t="s">
        <v>1523</v>
      </c>
      <c r="X41" s="5" t="s">
        <v>1592</v>
      </c>
      <c r="Y41" s="5" t="s">
        <v>1607</v>
      </c>
      <c r="Z41" s="5" t="s">
        <v>1608</v>
      </c>
    </row>
    <row r="42" spans="1:26" x14ac:dyDescent="0.15">
      <c r="A42" s="1" t="s">
        <v>103</v>
      </c>
      <c r="B42" s="1" t="s">
        <v>104</v>
      </c>
      <c r="C42" s="1" t="s">
        <v>103</v>
      </c>
      <c r="D42" s="1"/>
      <c r="F42" t="s">
        <v>351</v>
      </c>
      <c r="G42">
        <v>1.96</v>
      </c>
      <c r="J42" t="s">
        <v>351</v>
      </c>
      <c r="K42" t="s">
        <v>352</v>
      </c>
      <c r="L42" t="s">
        <v>353</v>
      </c>
      <c r="M42" t="s">
        <v>294</v>
      </c>
      <c r="N42" t="s">
        <v>248</v>
      </c>
      <c r="O42">
        <v>600</v>
      </c>
      <c r="P42" t="str">
        <f t="shared" si="0"/>
        <v>颠茄磺苄啶片(小儿)0.12g×20片×600盒</v>
      </c>
      <c r="R42" s="3" t="s">
        <v>1061</v>
      </c>
      <c r="S42" s="3" t="s">
        <v>1130</v>
      </c>
      <c r="T42" s="3" t="s">
        <v>1131</v>
      </c>
      <c r="U42" s="3" t="s">
        <v>1130</v>
      </c>
      <c r="W42" s="5" t="s">
        <v>1523</v>
      </c>
      <c r="X42" s="5" t="s">
        <v>1592</v>
      </c>
      <c r="Y42" s="5" t="s">
        <v>1609</v>
      </c>
      <c r="Z42" s="5" t="s">
        <v>1610</v>
      </c>
    </row>
    <row r="43" spans="1:26" x14ac:dyDescent="0.15">
      <c r="A43" s="1" t="s">
        <v>105</v>
      </c>
      <c r="B43" s="1" t="s">
        <v>106</v>
      </c>
      <c r="C43" s="1" t="s">
        <v>105</v>
      </c>
      <c r="D43" s="1"/>
      <c r="F43" t="s">
        <v>354</v>
      </c>
      <c r="G43">
        <v>6.07</v>
      </c>
      <c r="J43" t="s">
        <v>354</v>
      </c>
      <c r="K43" t="s">
        <v>355</v>
      </c>
      <c r="L43" t="s">
        <v>356</v>
      </c>
      <c r="M43" t="s">
        <v>300</v>
      </c>
      <c r="N43" t="s">
        <v>264</v>
      </c>
      <c r="O43">
        <v>100</v>
      </c>
      <c r="P43" t="str">
        <f t="shared" si="0"/>
        <v>跌打丸（OTC）3g×10丸×100盒</v>
      </c>
      <c r="R43" s="3" t="s">
        <v>1046</v>
      </c>
      <c r="S43" s="3" t="s">
        <v>1132</v>
      </c>
      <c r="T43" s="3" t="s">
        <v>1133</v>
      </c>
      <c r="U43" s="3" t="s">
        <v>1132</v>
      </c>
      <c r="W43" s="5" t="s">
        <v>1523</v>
      </c>
      <c r="X43" s="5" t="s">
        <v>1592</v>
      </c>
      <c r="Y43" s="5" t="s">
        <v>1611</v>
      </c>
      <c r="Z43" s="5" t="s">
        <v>1612</v>
      </c>
    </row>
    <row r="44" spans="1:26" x14ac:dyDescent="0.15">
      <c r="A44" s="1" t="s">
        <v>107</v>
      </c>
      <c r="B44" s="1" t="s">
        <v>108</v>
      </c>
      <c r="C44" s="1" t="s">
        <v>107</v>
      </c>
      <c r="D44" s="1"/>
      <c r="F44" t="s">
        <v>357</v>
      </c>
      <c r="G44">
        <v>29</v>
      </c>
      <c r="J44" t="s">
        <v>357</v>
      </c>
      <c r="K44" t="s">
        <v>358</v>
      </c>
      <c r="L44" t="s">
        <v>359</v>
      </c>
      <c r="M44" t="s">
        <v>300</v>
      </c>
      <c r="N44" t="s">
        <v>264</v>
      </c>
      <c r="O44">
        <v>80</v>
      </c>
      <c r="P44" t="str">
        <f t="shared" si="0"/>
        <v>定坤丸12g×10丸×80盒</v>
      </c>
      <c r="R44" s="3" t="s">
        <v>1088</v>
      </c>
      <c r="S44" s="3" t="s">
        <v>1134</v>
      </c>
      <c r="T44" s="3" t="s">
        <v>1135</v>
      </c>
      <c r="U44" s="3" t="s">
        <v>1134</v>
      </c>
      <c r="W44" s="5" t="s">
        <v>1523</v>
      </c>
      <c r="X44" s="5" t="s">
        <v>1613</v>
      </c>
      <c r="Y44" s="5" t="s">
        <v>1614</v>
      </c>
      <c r="Z44" s="5" t="s">
        <v>1615</v>
      </c>
    </row>
    <row r="45" spans="1:26" x14ac:dyDescent="0.15">
      <c r="A45" s="1" t="s">
        <v>109</v>
      </c>
      <c r="B45" s="1" t="s">
        <v>110</v>
      </c>
      <c r="C45" s="1" t="s">
        <v>109</v>
      </c>
      <c r="D45" s="1"/>
      <c r="F45" t="s">
        <v>360</v>
      </c>
      <c r="G45">
        <v>4</v>
      </c>
      <c r="J45" t="s">
        <v>360</v>
      </c>
      <c r="K45" t="s">
        <v>361</v>
      </c>
      <c r="L45" t="s">
        <v>362</v>
      </c>
      <c r="M45" t="s">
        <v>294</v>
      </c>
      <c r="N45" t="s">
        <v>248</v>
      </c>
      <c r="O45">
        <v>300</v>
      </c>
      <c r="P45" t="str">
        <f t="shared" si="0"/>
        <v>厄贝沙坦胶囊75mg×12粒×300盒</v>
      </c>
      <c r="R45" s="3" t="s">
        <v>1046</v>
      </c>
      <c r="S45" s="3" t="s">
        <v>1136</v>
      </c>
      <c r="T45" s="3" t="s">
        <v>1137</v>
      </c>
      <c r="U45" s="3" t="s">
        <v>1136</v>
      </c>
      <c r="W45" s="5" t="s">
        <v>1523</v>
      </c>
      <c r="X45" s="5" t="s">
        <v>1613</v>
      </c>
      <c r="Y45" s="5" t="s">
        <v>1616</v>
      </c>
      <c r="Z45" s="5" t="s">
        <v>1617</v>
      </c>
    </row>
    <row r="46" spans="1:26" x14ac:dyDescent="0.15">
      <c r="A46" s="1" t="s">
        <v>111</v>
      </c>
      <c r="B46" s="1" t="s">
        <v>112</v>
      </c>
      <c r="C46" s="1" t="s">
        <v>111</v>
      </c>
      <c r="D46" s="1"/>
      <c r="F46" t="s">
        <v>363</v>
      </c>
      <c r="G46">
        <v>6</v>
      </c>
      <c r="J46" t="s">
        <v>363</v>
      </c>
      <c r="K46" t="s">
        <v>361</v>
      </c>
      <c r="L46" t="s">
        <v>364</v>
      </c>
      <c r="M46" t="s">
        <v>294</v>
      </c>
      <c r="N46" t="s">
        <v>248</v>
      </c>
      <c r="O46">
        <v>300</v>
      </c>
      <c r="P46" t="str">
        <f t="shared" si="0"/>
        <v>厄贝沙坦胶囊75mg×24粒×300盒</v>
      </c>
      <c r="R46" s="3" t="s">
        <v>1046</v>
      </c>
      <c r="S46" s="3" t="s">
        <v>1138</v>
      </c>
      <c r="T46" s="3" t="s">
        <v>1139</v>
      </c>
      <c r="U46" s="3" t="s">
        <v>1138</v>
      </c>
      <c r="W46" s="5" t="s">
        <v>1523</v>
      </c>
      <c r="X46" s="5" t="s">
        <v>1613</v>
      </c>
      <c r="Y46" s="5" t="s">
        <v>1618</v>
      </c>
      <c r="Z46" s="5" t="s">
        <v>1619</v>
      </c>
    </row>
    <row r="47" spans="1:26" x14ac:dyDescent="0.15">
      <c r="A47" s="1" t="s">
        <v>113</v>
      </c>
      <c r="B47" s="1" t="s">
        <v>114</v>
      </c>
      <c r="C47" s="1" t="s">
        <v>113</v>
      </c>
      <c r="D47" s="1"/>
      <c r="F47" t="s">
        <v>365</v>
      </c>
      <c r="G47">
        <v>6.18</v>
      </c>
      <c r="J47" t="s">
        <v>365</v>
      </c>
      <c r="K47" t="s">
        <v>366</v>
      </c>
      <c r="L47" t="s">
        <v>367</v>
      </c>
      <c r="M47" t="s">
        <v>300</v>
      </c>
      <c r="N47" t="s">
        <v>264</v>
      </c>
      <c r="O47">
        <v>100</v>
      </c>
      <c r="P47" t="str">
        <f t="shared" si="0"/>
        <v>妇宁栓(4粒)1.6g×4枚×100盒</v>
      </c>
      <c r="R47" s="3" t="s">
        <v>1046</v>
      </c>
      <c r="S47" s="3" t="s">
        <v>1140</v>
      </c>
      <c r="T47" s="3" t="s">
        <v>1141</v>
      </c>
      <c r="U47" s="3" t="s">
        <v>1140</v>
      </c>
      <c r="W47" s="5" t="s">
        <v>1523</v>
      </c>
      <c r="X47" s="5" t="s">
        <v>1613</v>
      </c>
      <c r="Y47" s="5" t="s">
        <v>1620</v>
      </c>
      <c r="Z47" s="5" t="s">
        <v>1621</v>
      </c>
    </row>
    <row r="48" spans="1:26" x14ac:dyDescent="0.15">
      <c r="A48" s="1" t="s">
        <v>115</v>
      </c>
      <c r="B48" s="1" t="s">
        <v>116</v>
      </c>
      <c r="C48" s="1" t="s">
        <v>115</v>
      </c>
      <c r="D48" s="1"/>
      <c r="F48" t="s">
        <v>368</v>
      </c>
      <c r="G48">
        <v>10.3</v>
      </c>
      <c r="J48" t="s">
        <v>368</v>
      </c>
      <c r="K48" t="s">
        <v>369</v>
      </c>
      <c r="L48" t="s">
        <v>370</v>
      </c>
      <c r="M48" t="s">
        <v>300</v>
      </c>
      <c r="N48" t="s">
        <v>264</v>
      </c>
      <c r="O48">
        <v>100</v>
      </c>
      <c r="P48" t="str">
        <f t="shared" si="0"/>
        <v>妇宁栓(7粒)1.6g×7枚×100盒</v>
      </c>
      <c r="R48" s="3" t="s">
        <v>1061</v>
      </c>
      <c r="S48" s="3" t="s">
        <v>1142</v>
      </c>
      <c r="T48" s="3" t="s">
        <v>1143</v>
      </c>
      <c r="U48" s="3" t="s">
        <v>1142</v>
      </c>
      <c r="W48" s="5" t="s">
        <v>1523</v>
      </c>
      <c r="X48" s="5" t="s">
        <v>1613</v>
      </c>
      <c r="Y48" s="5" t="s">
        <v>1622</v>
      </c>
      <c r="Z48" s="5" t="s">
        <v>1623</v>
      </c>
    </row>
    <row r="49" spans="1:26" x14ac:dyDescent="0.15">
      <c r="A49" s="1" t="s">
        <v>117</v>
      </c>
      <c r="B49" s="1" t="s">
        <v>118</v>
      </c>
      <c r="C49" s="1" t="s">
        <v>117</v>
      </c>
      <c r="D49" s="1"/>
      <c r="F49" t="s">
        <v>371</v>
      </c>
      <c r="G49">
        <v>11.3</v>
      </c>
      <c r="J49" t="s">
        <v>371</v>
      </c>
      <c r="K49" t="s">
        <v>372</v>
      </c>
      <c r="L49" t="s">
        <v>373</v>
      </c>
      <c r="M49" t="s">
        <v>300</v>
      </c>
      <c r="N49" t="s">
        <v>264</v>
      </c>
      <c r="O49">
        <v>100</v>
      </c>
      <c r="P49" t="str">
        <f t="shared" si="0"/>
        <v>妇宁栓(8粒)1.6g×8枚×100盒</v>
      </c>
      <c r="R49" s="3" t="s">
        <v>1061</v>
      </c>
      <c r="S49" s="3" t="s">
        <v>1144</v>
      </c>
      <c r="T49" s="3" t="s">
        <v>1145</v>
      </c>
      <c r="U49" s="3" t="s">
        <v>1144</v>
      </c>
      <c r="W49" s="5" t="s">
        <v>1523</v>
      </c>
      <c r="X49" s="5" t="s">
        <v>1613</v>
      </c>
      <c r="Y49" s="5" t="s">
        <v>1624</v>
      </c>
      <c r="Z49" s="5" t="s">
        <v>1625</v>
      </c>
    </row>
    <row r="50" spans="1:26" x14ac:dyDescent="0.15">
      <c r="A50" s="1" t="s">
        <v>119</v>
      </c>
      <c r="B50" s="1" t="s">
        <v>120</v>
      </c>
      <c r="C50" s="1" t="s">
        <v>119</v>
      </c>
      <c r="D50" s="1"/>
      <c r="F50" t="s">
        <v>374</v>
      </c>
      <c r="G50">
        <v>11.89</v>
      </c>
      <c r="J50" t="s">
        <v>374</v>
      </c>
      <c r="K50" t="s">
        <v>375</v>
      </c>
      <c r="L50" t="s">
        <v>376</v>
      </c>
      <c r="M50" t="s">
        <v>300</v>
      </c>
      <c r="N50" t="s">
        <v>264</v>
      </c>
      <c r="O50">
        <v>180</v>
      </c>
      <c r="P50" t="str">
        <f t="shared" si="0"/>
        <v>附桂骨痛胶囊0.33g×48粒×180盒</v>
      </c>
      <c r="R50" s="3" t="s">
        <v>1046</v>
      </c>
      <c r="S50" s="3" t="s">
        <v>1146</v>
      </c>
      <c r="T50" s="3" t="s">
        <v>1147</v>
      </c>
      <c r="U50" s="3" t="s">
        <v>1146</v>
      </c>
      <c r="W50" s="5" t="s">
        <v>1523</v>
      </c>
      <c r="X50" s="5" t="s">
        <v>1613</v>
      </c>
      <c r="Y50" s="5" t="s">
        <v>1626</v>
      </c>
      <c r="Z50" s="5" t="s">
        <v>1627</v>
      </c>
    </row>
    <row r="51" spans="1:26" x14ac:dyDescent="0.15">
      <c r="A51" s="1" t="s">
        <v>121</v>
      </c>
      <c r="B51" s="1" t="s">
        <v>122</v>
      </c>
      <c r="C51" s="1" t="s">
        <v>121</v>
      </c>
      <c r="D51" s="1"/>
      <c r="F51" t="s">
        <v>377</v>
      </c>
      <c r="G51">
        <v>9.1999999999999993</v>
      </c>
      <c r="J51" t="s">
        <v>377</v>
      </c>
      <c r="K51" t="s">
        <v>378</v>
      </c>
      <c r="L51" t="s">
        <v>299</v>
      </c>
      <c r="M51" t="s">
        <v>300</v>
      </c>
      <c r="N51" t="s">
        <v>264</v>
      </c>
      <c r="O51">
        <v>100</v>
      </c>
      <c r="P51" t="str">
        <f t="shared" si="0"/>
        <v>附子理中丸(OTC)9g×10丸×100盒</v>
      </c>
      <c r="R51" s="3" t="s">
        <v>1046</v>
      </c>
      <c r="S51" s="3" t="s">
        <v>1148</v>
      </c>
      <c r="T51" s="3" t="s">
        <v>1149</v>
      </c>
      <c r="U51" s="3" t="s">
        <v>1148</v>
      </c>
      <c r="W51" s="5" t="s">
        <v>1523</v>
      </c>
      <c r="X51" s="5" t="s">
        <v>1613</v>
      </c>
      <c r="Y51" s="5" t="s">
        <v>1628</v>
      </c>
      <c r="Z51" s="5" t="s">
        <v>1629</v>
      </c>
    </row>
    <row r="52" spans="1:26" x14ac:dyDescent="0.15">
      <c r="A52" s="1" t="s">
        <v>123</v>
      </c>
      <c r="B52" s="1" t="s">
        <v>124</v>
      </c>
      <c r="C52" s="1" t="s">
        <v>123</v>
      </c>
      <c r="D52" s="1"/>
      <c r="F52" t="s">
        <v>379</v>
      </c>
      <c r="G52">
        <v>2.4</v>
      </c>
      <c r="J52" t="s">
        <v>379</v>
      </c>
      <c r="K52" t="s">
        <v>380</v>
      </c>
      <c r="L52" t="s">
        <v>381</v>
      </c>
      <c r="M52" t="s">
        <v>294</v>
      </c>
      <c r="N52" t="s">
        <v>264</v>
      </c>
      <c r="O52">
        <v>400</v>
      </c>
      <c r="P52" t="str">
        <f t="shared" si="0"/>
        <v>复方氨酚烷胺片12片</v>
      </c>
      <c r="R52" s="3" t="s">
        <v>1046</v>
      </c>
      <c r="S52" s="3" t="s">
        <v>1150</v>
      </c>
      <c r="T52" s="3" t="s">
        <v>1151</v>
      </c>
      <c r="U52" s="3" t="s">
        <v>1150</v>
      </c>
      <c r="W52" s="5" t="s">
        <v>1523</v>
      </c>
      <c r="X52" s="5" t="s">
        <v>1613</v>
      </c>
      <c r="Y52" s="5" t="s">
        <v>1630</v>
      </c>
      <c r="Z52" s="5" t="s">
        <v>1631</v>
      </c>
    </row>
    <row r="53" spans="1:26" x14ac:dyDescent="0.15">
      <c r="A53" s="1" t="s">
        <v>125</v>
      </c>
      <c r="B53" s="1" t="s">
        <v>126</v>
      </c>
      <c r="C53" s="1" t="s">
        <v>125</v>
      </c>
      <c r="D53" s="1"/>
      <c r="F53" t="s">
        <v>382</v>
      </c>
      <c r="G53">
        <v>2</v>
      </c>
      <c r="J53" t="s">
        <v>382</v>
      </c>
      <c r="K53" t="s">
        <v>380</v>
      </c>
      <c r="L53" t="s">
        <v>383</v>
      </c>
      <c r="M53" t="s">
        <v>247</v>
      </c>
      <c r="N53" t="s">
        <v>248</v>
      </c>
      <c r="O53">
        <v>400</v>
      </c>
      <c r="P53" t="str">
        <f t="shared" si="0"/>
        <v>复方氨酚烷胺片12片×400盒</v>
      </c>
      <c r="R53" s="3" t="s">
        <v>1061</v>
      </c>
      <c r="S53" s="3" t="s">
        <v>1152</v>
      </c>
      <c r="T53" s="3" t="s">
        <v>1153</v>
      </c>
      <c r="U53" s="3" t="s">
        <v>1152</v>
      </c>
      <c r="W53" s="5" t="s">
        <v>1523</v>
      </c>
      <c r="X53" s="5" t="s">
        <v>1613</v>
      </c>
      <c r="Y53" s="5" t="s">
        <v>1632</v>
      </c>
      <c r="Z53" s="5" t="s">
        <v>1633</v>
      </c>
    </row>
    <row r="54" spans="1:26" x14ac:dyDescent="0.15">
      <c r="A54" s="1" t="s">
        <v>127</v>
      </c>
      <c r="B54" s="1" t="s">
        <v>128</v>
      </c>
      <c r="C54" s="1" t="s">
        <v>127</v>
      </c>
      <c r="D54" s="1"/>
      <c r="F54" t="s">
        <v>384</v>
      </c>
      <c r="G54">
        <v>1.71</v>
      </c>
      <c r="J54" t="s">
        <v>384</v>
      </c>
      <c r="K54" t="s">
        <v>380</v>
      </c>
      <c r="L54" t="s">
        <v>385</v>
      </c>
      <c r="M54" t="s">
        <v>386</v>
      </c>
      <c r="N54" t="s">
        <v>264</v>
      </c>
      <c r="O54">
        <v>400</v>
      </c>
      <c r="P54" t="str">
        <f t="shared" si="0"/>
        <v>复方氨酚烷胺片12*</v>
      </c>
      <c r="R54" s="3" t="s">
        <v>1046</v>
      </c>
      <c r="S54" s="3" t="s">
        <v>1154</v>
      </c>
      <c r="T54" s="3" t="s">
        <v>1155</v>
      </c>
      <c r="U54" s="3" t="s">
        <v>1154</v>
      </c>
      <c r="W54" s="5" t="s">
        <v>1523</v>
      </c>
      <c r="X54" s="5" t="s">
        <v>1613</v>
      </c>
      <c r="Y54" s="5" t="s">
        <v>1634</v>
      </c>
      <c r="Z54" s="5" t="s">
        <v>1635</v>
      </c>
    </row>
    <row r="55" spans="1:26" x14ac:dyDescent="0.15">
      <c r="A55" s="1" t="s">
        <v>129</v>
      </c>
      <c r="B55" s="1" t="s">
        <v>130</v>
      </c>
      <c r="C55" s="1" t="s">
        <v>129</v>
      </c>
      <c r="D55" s="1"/>
      <c r="F55" t="s">
        <v>387</v>
      </c>
      <c r="G55">
        <v>2.4</v>
      </c>
      <c r="J55" t="s">
        <v>387</v>
      </c>
      <c r="K55" t="s">
        <v>380</v>
      </c>
      <c r="L55" t="s">
        <v>388</v>
      </c>
      <c r="M55" t="s">
        <v>389</v>
      </c>
      <c r="N55" t="s">
        <v>248</v>
      </c>
      <c r="O55">
        <v>300</v>
      </c>
      <c r="P55" t="str">
        <f t="shared" si="0"/>
        <v>复方氨酚烷胺片12片×300盒</v>
      </c>
      <c r="R55" s="3" t="s">
        <v>1088</v>
      </c>
      <c r="S55" s="3" t="s">
        <v>1156</v>
      </c>
      <c r="T55" s="3" t="s">
        <v>1157</v>
      </c>
      <c r="U55" s="3" t="s">
        <v>1156</v>
      </c>
      <c r="W55" s="5" t="s">
        <v>1523</v>
      </c>
      <c r="X55" s="5" t="s">
        <v>1636</v>
      </c>
      <c r="Y55" s="5" t="s">
        <v>1637</v>
      </c>
      <c r="Z55" s="5" t="s">
        <v>1638</v>
      </c>
    </row>
    <row r="56" spans="1:26" x14ac:dyDescent="0.15">
      <c r="A56" s="1" t="s">
        <v>131</v>
      </c>
      <c r="B56" s="1" t="s">
        <v>132</v>
      </c>
      <c r="C56" s="1" t="s">
        <v>131</v>
      </c>
      <c r="D56" s="1"/>
      <c r="F56" t="s">
        <v>390</v>
      </c>
      <c r="G56">
        <v>13</v>
      </c>
      <c r="J56" t="s">
        <v>390</v>
      </c>
      <c r="K56" t="s">
        <v>391</v>
      </c>
      <c r="L56" t="s">
        <v>392</v>
      </c>
      <c r="M56" t="s">
        <v>300</v>
      </c>
      <c r="N56" t="s">
        <v>264</v>
      </c>
      <c r="O56">
        <v>60</v>
      </c>
      <c r="P56" t="str">
        <f t="shared" si="0"/>
        <v>复方金银花颗粒（OTC）10g×10袋×60盒</v>
      </c>
      <c r="R56" s="3" t="s">
        <v>1088</v>
      </c>
      <c r="S56" s="3" t="s">
        <v>1158</v>
      </c>
      <c r="T56" s="3" t="s">
        <v>1159</v>
      </c>
      <c r="U56" s="3" t="s">
        <v>1158</v>
      </c>
      <c r="W56" s="5" t="s">
        <v>1523</v>
      </c>
      <c r="X56" s="5" t="s">
        <v>1636</v>
      </c>
      <c r="Y56" s="5" t="s">
        <v>1639</v>
      </c>
      <c r="Z56" s="5" t="s">
        <v>1640</v>
      </c>
    </row>
    <row r="57" spans="1:26" x14ac:dyDescent="0.15">
      <c r="A57" s="1" t="s">
        <v>133</v>
      </c>
      <c r="B57" s="1" t="s">
        <v>134</v>
      </c>
      <c r="C57" s="1" t="s">
        <v>133</v>
      </c>
      <c r="D57" s="1"/>
      <c r="F57" t="s">
        <v>393</v>
      </c>
      <c r="G57">
        <v>5.3</v>
      </c>
      <c r="J57" t="s">
        <v>393</v>
      </c>
      <c r="K57" t="s">
        <v>394</v>
      </c>
      <c r="L57" t="s">
        <v>395</v>
      </c>
      <c r="M57" t="s">
        <v>389</v>
      </c>
      <c r="N57" t="s">
        <v>264</v>
      </c>
      <c r="O57">
        <v>300</v>
      </c>
      <c r="P57" t="str">
        <f t="shared" si="0"/>
        <v>复方铝酸铋片30片×300盒</v>
      </c>
      <c r="R57" s="3" t="s">
        <v>1046</v>
      </c>
      <c r="S57" s="3" t="s">
        <v>1160</v>
      </c>
      <c r="T57" s="3" t="s">
        <v>1161</v>
      </c>
      <c r="U57" s="3" t="s">
        <v>1160</v>
      </c>
      <c r="W57" s="5" t="s">
        <v>1523</v>
      </c>
      <c r="X57" s="5" t="s">
        <v>1641</v>
      </c>
      <c r="Y57" s="5" t="s">
        <v>1642</v>
      </c>
      <c r="Z57" s="5" t="s">
        <v>1643</v>
      </c>
    </row>
    <row r="58" spans="1:26" x14ac:dyDescent="0.15">
      <c r="A58" s="1" t="s">
        <v>135</v>
      </c>
      <c r="B58" s="1" t="s">
        <v>136</v>
      </c>
      <c r="C58" s="1" t="s">
        <v>135</v>
      </c>
      <c r="D58" s="1"/>
      <c r="F58" t="s">
        <v>396</v>
      </c>
      <c r="G58">
        <v>8.3000000000000007</v>
      </c>
      <c r="J58" t="s">
        <v>396</v>
      </c>
      <c r="K58" t="s">
        <v>394</v>
      </c>
      <c r="L58" t="s">
        <v>397</v>
      </c>
      <c r="M58" t="s">
        <v>389</v>
      </c>
      <c r="N58" t="s">
        <v>248</v>
      </c>
      <c r="O58">
        <v>300</v>
      </c>
      <c r="P58" t="str">
        <f t="shared" si="0"/>
        <v>复方铝酸铋片50片×300盒</v>
      </c>
      <c r="R58" s="3" t="s">
        <v>1046</v>
      </c>
      <c r="S58" s="3" t="s">
        <v>1162</v>
      </c>
      <c r="T58" s="3" t="s">
        <v>1163</v>
      </c>
      <c r="U58" s="3" t="s">
        <v>1162</v>
      </c>
      <c r="W58" s="5" t="s">
        <v>1523</v>
      </c>
      <c r="X58" s="5" t="s">
        <v>1641</v>
      </c>
      <c r="Y58" s="5" t="s">
        <v>1644</v>
      </c>
      <c r="Z58" s="5" t="s">
        <v>1645</v>
      </c>
    </row>
    <row r="59" spans="1:26" x14ac:dyDescent="0.15">
      <c r="A59" s="1" t="s">
        <v>137</v>
      </c>
      <c r="B59" s="1" t="s">
        <v>138</v>
      </c>
      <c r="C59" s="1" t="s">
        <v>137</v>
      </c>
      <c r="D59" s="1"/>
      <c r="F59" t="s">
        <v>398</v>
      </c>
      <c r="G59">
        <v>3</v>
      </c>
      <c r="J59" t="s">
        <v>398</v>
      </c>
      <c r="K59" t="s">
        <v>399</v>
      </c>
      <c r="L59" t="s">
        <v>400</v>
      </c>
      <c r="M59" t="s">
        <v>247</v>
      </c>
      <c r="N59" t="s">
        <v>264</v>
      </c>
      <c r="O59">
        <v>200</v>
      </c>
      <c r="P59" t="str">
        <f t="shared" si="0"/>
        <v>富马酸亚铁颗粒2g*0.2g*6袋</v>
      </c>
      <c r="R59" s="3" t="s">
        <v>1046</v>
      </c>
      <c r="S59" s="3" t="s">
        <v>1164</v>
      </c>
      <c r="T59" s="3" t="s">
        <v>1165</v>
      </c>
      <c r="U59" s="3" t="s">
        <v>1164</v>
      </c>
      <c r="W59" s="5" t="s">
        <v>1523</v>
      </c>
      <c r="X59" s="5" t="s">
        <v>1641</v>
      </c>
      <c r="Y59" s="5" t="s">
        <v>1646</v>
      </c>
      <c r="Z59" s="5" t="s">
        <v>1647</v>
      </c>
    </row>
    <row r="60" spans="1:26" x14ac:dyDescent="0.15">
      <c r="A60" s="1" t="s">
        <v>139</v>
      </c>
      <c r="B60" s="1" t="s">
        <v>140</v>
      </c>
      <c r="C60" s="1" t="s">
        <v>139</v>
      </c>
      <c r="D60" s="1"/>
      <c r="F60" t="s">
        <v>401</v>
      </c>
      <c r="G60">
        <v>14</v>
      </c>
      <c r="I60">
        <v>25.8</v>
      </c>
      <c r="J60" t="s">
        <v>401</v>
      </c>
      <c r="K60" t="s">
        <v>402</v>
      </c>
      <c r="L60" t="s">
        <v>403</v>
      </c>
      <c r="M60" t="s">
        <v>294</v>
      </c>
      <c r="N60" t="s">
        <v>248</v>
      </c>
      <c r="O60">
        <v>80</v>
      </c>
      <c r="P60" t="str">
        <f t="shared" si="0"/>
        <v>钙加锌口服液10ml×12支×80盒</v>
      </c>
      <c r="R60" s="3" t="s">
        <v>1046</v>
      </c>
      <c r="S60" s="3" t="s">
        <v>1166</v>
      </c>
      <c r="T60" s="3" t="s">
        <v>1167</v>
      </c>
      <c r="U60" s="3" t="s">
        <v>1166</v>
      </c>
      <c r="W60" s="5" t="s">
        <v>1523</v>
      </c>
      <c r="X60" s="5" t="s">
        <v>1641</v>
      </c>
      <c r="Y60" s="5" t="s">
        <v>1648</v>
      </c>
      <c r="Z60" s="5" t="s">
        <v>1649</v>
      </c>
    </row>
    <row r="61" spans="1:26" x14ac:dyDescent="0.15">
      <c r="A61" s="1" t="s">
        <v>141</v>
      </c>
      <c r="B61" s="1" t="s">
        <v>142</v>
      </c>
      <c r="C61" s="1" t="s">
        <v>141</v>
      </c>
      <c r="D61" s="1"/>
      <c r="F61" t="s">
        <v>404</v>
      </c>
      <c r="G61">
        <v>10.5</v>
      </c>
      <c r="J61" t="s">
        <v>404</v>
      </c>
      <c r="K61" t="s">
        <v>405</v>
      </c>
      <c r="L61" t="s">
        <v>330</v>
      </c>
      <c r="M61" t="s">
        <v>247</v>
      </c>
      <c r="N61" t="s">
        <v>248</v>
      </c>
      <c r="O61">
        <v>80</v>
      </c>
      <c r="P61" t="str">
        <f t="shared" si="0"/>
        <v>钙铁锌口服液10ml×10支×80盒</v>
      </c>
      <c r="R61" s="3" t="s">
        <v>1046</v>
      </c>
      <c r="S61" s="3" t="s">
        <v>1168</v>
      </c>
      <c r="T61" s="3" t="s">
        <v>1169</v>
      </c>
      <c r="U61" s="3" t="s">
        <v>1168</v>
      </c>
      <c r="W61" s="5" t="s">
        <v>1523</v>
      </c>
      <c r="X61" s="5" t="s">
        <v>1641</v>
      </c>
      <c r="Y61" s="5" t="s">
        <v>1650</v>
      </c>
      <c r="Z61" s="5" t="s">
        <v>1651</v>
      </c>
    </row>
    <row r="62" spans="1:26" x14ac:dyDescent="0.15">
      <c r="A62" s="1" t="s">
        <v>143</v>
      </c>
      <c r="B62" s="1" t="s">
        <v>144</v>
      </c>
      <c r="C62" s="1" t="s">
        <v>143</v>
      </c>
      <c r="D62" s="1"/>
      <c r="F62" t="s">
        <v>406</v>
      </c>
      <c r="G62">
        <v>12</v>
      </c>
      <c r="J62" t="s">
        <v>406</v>
      </c>
      <c r="K62" t="s">
        <v>405</v>
      </c>
      <c r="L62" t="s">
        <v>333</v>
      </c>
      <c r="M62" t="s">
        <v>247</v>
      </c>
      <c r="N62" t="s">
        <v>248</v>
      </c>
      <c r="O62">
        <v>60</v>
      </c>
      <c r="P62" t="str">
        <f t="shared" si="0"/>
        <v>钙铁锌口服液10ml×12支×60盒</v>
      </c>
      <c r="R62" s="3" t="s">
        <v>1046</v>
      </c>
      <c r="S62" s="3" t="s">
        <v>1170</v>
      </c>
      <c r="T62" s="3" t="s">
        <v>1171</v>
      </c>
      <c r="U62" s="3" t="s">
        <v>1170</v>
      </c>
      <c r="W62" s="5" t="s">
        <v>1523</v>
      </c>
      <c r="X62" s="5" t="s">
        <v>1641</v>
      </c>
      <c r="Y62" s="5" t="s">
        <v>1652</v>
      </c>
      <c r="Z62" s="5" t="s">
        <v>1653</v>
      </c>
    </row>
    <row r="63" spans="1:26" x14ac:dyDescent="0.15">
      <c r="A63" s="1" t="s">
        <v>145</v>
      </c>
      <c r="B63" s="1" t="s">
        <v>146</v>
      </c>
      <c r="C63" s="1" t="s">
        <v>145</v>
      </c>
      <c r="D63" s="1"/>
      <c r="F63" t="s">
        <v>407</v>
      </c>
      <c r="G63">
        <v>14.5</v>
      </c>
      <c r="J63" t="s">
        <v>407</v>
      </c>
      <c r="K63" t="s">
        <v>405</v>
      </c>
      <c r="L63" t="s">
        <v>408</v>
      </c>
      <c r="M63" t="s">
        <v>247</v>
      </c>
      <c r="N63" t="s">
        <v>248</v>
      </c>
      <c r="O63">
        <v>48</v>
      </c>
      <c r="P63" t="str">
        <f t="shared" si="0"/>
        <v>钙铁锌口服液10ml×15支×48盒</v>
      </c>
      <c r="R63" s="3" t="s">
        <v>1061</v>
      </c>
      <c r="S63" s="3" t="s">
        <v>1172</v>
      </c>
      <c r="T63" s="3" t="s">
        <v>1173</v>
      </c>
      <c r="U63" s="3" t="s">
        <v>1172</v>
      </c>
      <c r="W63" s="5" t="s">
        <v>1523</v>
      </c>
      <c r="X63" s="5" t="s">
        <v>1641</v>
      </c>
      <c r="Y63" s="5" t="s">
        <v>1654</v>
      </c>
      <c r="Z63" s="5" t="s">
        <v>1655</v>
      </c>
    </row>
    <row r="64" spans="1:26" x14ac:dyDescent="0.15">
      <c r="A64" s="1" t="s">
        <v>147</v>
      </c>
      <c r="B64" s="1" t="s">
        <v>148</v>
      </c>
      <c r="C64" s="1" t="s">
        <v>147</v>
      </c>
      <c r="D64" s="1"/>
      <c r="F64" t="s">
        <v>409</v>
      </c>
      <c r="G64">
        <v>14</v>
      </c>
      <c r="J64" t="s">
        <v>409</v>
      </c>
      <c r="K64" t="s">
        <v>410</v>
      </c>
      <c r="L64" t="s">
        <v>411</v>
      </c>
      <c r="M64" t="s">
        <v>294</v>
      </c>
      <c r="N64" t="s">
        <v>264</v>
      </c>
      <c r="O64">
        <v>80</v>
      </c>
      <c r="P64" t="str">
        <f t="shared" si="0"/>
        <v>钙锌口服液10ml*12支</v>
      </c>
      <c r="R64" s="3" t="s">
        <v>1088</v>
      </c>
      <c r="S64" s="3" t="s">
        <v>1174</v>
      </c>
      <c r="T64" s="3" t="s">
        <v>1175</v>
      </c>
      <c r="U64" s="3" t="s">
        <v>1174</v>
      </c>
      <c r="W64" s="5" t="s">
        <v>1523</v>
      </c>
      <c r="X64" s="5" t="s">
        <v>1641</v>
      </c>
      <c r="Y64" s="5" t="s">
        <v>1656</v>
      </c>
      <c r="Z64" s="5" t="s">
        <v>1657</v>
      </c>
    </row>
    <row r="65" spans="1:26" x14ac:dyDescent="0.15">
      <c r="A65" s="1" t="s">
        <v>149</v>
      </c>
      <c r="B65" s="1" t="s">
        <v>150</v>
      </c>
      <c r="C65" s="1" t="s">
        <v>149</v>
      </c>
      <c r="D65" s="1"/>
      <c r="F65" t="s">
        <v>412</v>
      </c>
      <c r="G65">
        <v>24</v>
      </c>
      <c r="J65" t="s">
        <v>412</v>
      </c>
      <c r="K65" t="s">
        <v>410</v>
      </c>
      <c r="L65" t="s">
        <v>413</v>
      </c>
      <c r="M65" t="s">
        <v>294</v>
      </c>
      <c r="N65" t="s">
        <v>264</v>
      </c>
      <c r="O65">
        <v>24</v>
      </c>
      <c r="P65" t="str">
        <f t="shared" si="0"/>
        <v>钙锌口服液10ml*24支</v>
      </c>
      <c r="R65" s="3" t="s">
        <v>1046</v>
      </c>
      <c r="S65" s="3" t="s">
        <v>1176</v>
      </c>
      <c r="T65" s="3" t="s">
        <v>1177</v>
      </c>
      <c r="U65" s="3" t="s">
        <v>1176</v>
      </c>
      <c r="W65" s="5" t="s">
        <v>1523</v>
      </c>
      <c r="X65" s="5" t="s">
        <v>1658</v>
      </c>
      <c r="Y65" s="5" t="s">
        <v>1659</v>
      </c>
      <c r="Z65" s="5" t="s">
        <v>1660</v>
      </c>
    </row>
    <row r="66" spans="1:26" x14ac:dyDescent="0.15">
      <c r="A66" s="1" t="s">
        <v>151</v>
      </c>
      <c r="B66" s="1" t="s">
        <v>152</v>
      </c>
      <c r="C66" s="1" t="s">
        <v>151</v>
      </c>
      <c r="D66" s="2" t="s">
        <v>1821</v>
      </c>
      <c r="F66" t="s">
        <v>414</v>
      </c>
      <c r="G66">
        <v>10.199999999999999</v>
      </c>
      <c r="J66" t="s">
        <v>414</v>
      </c>
      <c r="K66" t="s">
        <v>415</v>
      </c>
      <c r="L66" t="s">
        <v>416</v>
      </c>
      <c r="M66" t="s">
        <v>326</v>
      </c>
      <c r="N66" t="s">
        <v>248</v>
      </c>
      <c r="O66">
        <v>120</v>
      </c>
      <c r="P66" t="str">
        <f t="shared" si="0"/>
        <v>感冒解毒灵颗粒（10袋）5g×10袋×120盒</v>
      </c>
      <c r="R66" s="3" t="s">
        <v>1046</v>
      </c>
      <c r="S66" s="3" t="s">
        <v>1178</v>
      </c>
      <c r="T66" s="3" t="s">
        <v>1179</v>
      </c>
      <c r="U66" s="3" t="s">
        <v>1178</v>
      </c>
      <c r="W66" s="5" t="s">
        <v>1523</v>
      </c>
      <c r="X66" s="5" t="s">
        <v>1658</v>
      </c>
      <c r="Y66" s="5" t="s">
        <v>1661</v>
      </c>
      <c r="Z66" s="5" t="s">
        <v>1662</v>
      </c>
    </row>
    <row r="67" spans="1:26" x14ac:dyDescent="0.15">
      <c r="A67" s="1" t="s">
        <v>153</v>
      </c>
      <c r="B67" s="1" t="s">
        <v>154</v>
      </c>
      <c r="C67" s="1" t="s">
        <v>153</v>
      </c>
      <c r="D67" s="1"/>
      <c r="F67" t="s">
        <v>417</v>
      </c>
      <c r="G67">
        <v>10</v>
      </c>
      <c r="J67" t="s">
        <v>417</v>
      </c>
      <c r="K67" t="s">
        <v>418</v>
      </c>
      <c r="L67" t="s">
        <v>419</v>
      </c>
      <c r="M67" t="s">
        <v>247</v>
      </c>
      <c r="N67" t="s">
        <v>248</v>
      </c>
      <c r="O67">
        <v>400</v>
      </c>
      <c r="P67" t="str">
        <f t="shared" ref="P67:P130" si="1">K67&amp;L67</f>
        <v>格列齐特片80mg*60片</v>
      </c>
      <c r="R67" s="3" t="s">
        <v>1046</v>
      </c>
      <c r="S67" s="3" t="s">
        <v>1180</v>
      </c>
      <c r="T67" s="3" t="s">
        <v>1181</v>
      </c>
      <c r="U67" s="3" t="s">
        <v>1180</v>
      </c>
      <c r="W67" s="5" t="s">
        <v>1523</v>
      </c>
      <c r="X67" s="5" t="s">
        <v>1658</v>
      </c>
      <c r="Y67" s="5" t="s">
        <v>1663</v>
      </c>
      <c r="Z67" s="5" t="s">
        <v>1664</v>
      </c>
    </row>
    <row r="68" spans="1:26" x14ac:dyDescent="0.15">
      <c r="A68" s="1" t="s">
        <v>155</v>
      </c>
      <c r="B68" s="1" t="s">
        <v>156</v>
      </c>
      <c r="C68" s="1" t="s">
        <v>155</v>
      </c>
      <c r="D68" s="1"/>
      <c r="F68" t="s">
        <v>420</v>
      </c>
      <c r="G68">
        <v>15.5</v>
      </c>
      <c r="J68" t="s">
        <v>420</v>
      </c>
      <c r="K68" t="s">
        <v>421</v>
      </c>
      <c r="L68" t="s">
        <v>422</v>
      </c>
      <c r="M68" t="s">
        <v>300</v>
      </c>
      <c r="N68" t="s">
        <v>264</v>
      </c>
      <c r="O68">
        <v>60</v>
      </c>
      <c r="P68" t="str">
        <f t="shared" si="1"/>
        <v>宫血停颗粒10g×12袋×60盒</v>
      </c>
      <c r="R68" s="3" t="s">
        <v>1046</v>
      </c>
      <c r="S68" s="3" t="s">
        <v>1182</v>
      </c>
      <c r="T68" s="3" t="s">
        <v>1183</v>
      </c>
      <c r="U68" s="3" t="s">
        <v>1182</v>
      </c>
      <c r="W68" s="5" t="s">
        <v>1523</v>
      </c>
      <c r="X68" s="5" t="s">
        <v>1658</v>
      </c>
      <c r="Y68" s="5" t="s">
        <v>1665</v>
      </c>
      <c r="Z68" s="5" t="s">
        <v>1666</v>
      </c>
    </row>
    <row r="69" spans="1:26" x14ac:dyDescent="0.15">
      <c r="A69" s="1" t="s">
        <v>157</v>
      </c>
      <c r="B69" s="1" t="s">
        <v>158</v>
      </c>
      <c r="C69" s="1" t="s">
        <v>157</v>
      </c>
      <c r="D69" s="1"/>
      <c r="F69" t="s">
        <v>423</v>
      </c>
      <c r="G69">
        <v>11.12</v>
      </c>
      <c r="J69" t="s">
        <v>423</v>
      </c>
      <c r="K69" t="s">
        <v>424</v>
      </c>
      <c r="L69" t="s">
        <v>425</v>
      </c>
      <c r="M69" t="s">
        <v>300</v>
      </c>
      <c r="N69" t="s">
        <v>264</v>
      </c>
      <c r="O69">
        <v>60</v>
      </c>
      <c r="P69" t="str">
        <f t="shared" si="1"/>
        <v>宫血停颗粒(无糖型)6袋×10g10g×6袋×60盒</v>
      </c>
      <c r="R69" s="3" t="s">
        <v>1046</v>
      </c>
      <c r="S69" s="3" t="s">
        <v>1184</v>
      </c>
      <c r="T69" s="3" t="s">
        <v>1185</v>
      </c>
      <c r="U69" s="3" t="s">
        <v>1184</v>
      </c>
      <c r="W69" s="5" t="s">
        <v>1523</v>
      </c>
      <c r="X69" s="5" t="s">
        <v>1658</v>
      </c>
      <c r="Y69" s="5" t="s">
        <v>1667</v>
      </c>
      <c r="Z69" s="5" t="s">
        <v>1668</v>
      </c>
    </row>
    <row r="70" spans="1:26" x14ac:dyDescent="0.15">
      <c r="A70" s="1" t="s">
        <v>159</v>
      </c>
      <c r="B70" s="1" t="s">
        <v>160</v>
      </c>
      <c r="C70" s="1" t="s">
        <v>159</v>
      </c>
      <c r="D70" s="1"/>
      <c r="F70" t="s">
        <v>426</v>
      </c>
      <c r="G70">
        <v>13.8</v>
      </c>
      <c r="J70" t="s">
        <v>426</v>
      </c>
      <c r="K70" t="s">
        <v>427</v>
      </c>
      <c r="L70" t="s">
        <v>428</v>
      </c>
      <c r="M70" t="s">
        <v>300</v>
      </c>
      <c r="N70" t="s">
        <v>264</v>
      </c>
      <c r="O70">
        <v>180</v>
      </c>
      <c r="P70" t="str">
        <f t="shared" si="1"/>
        <v>冠心苏合丸1.2g×30丸×180盒</v>
      </c>
      <c r="R70" s="3" t="s">
        <v>1046</v>
      </c>
      <c r="S70" s="3" t="s">
        <v>1186</v>
      </c>
      <c r="T70" s="3" t="s">
        <v>1187</v>
      </c>
      <c r="U70" s="3" t="s">
        <v>1186</v>
      </c>
      <c r="W70" s="5" t="s">
        <v>1523</v>
      </c>
      <c r="X70" s="5" t="s">
        <v>1658</v>
      </c>
      <c r="Y70" s="5" t="s">
        <v>1669</v>
      </c>
      <c r="Z70" s="5" t="s">
        <v>1670</v>
      </c>
    </row>
    <row r="71" spans="1:26" x14ac:dyDescent="0.15">
      <c r="A71" s="1" t="s">
        <v>161</v>
      </c>
      <c r="B71" s="1" t="s">
        <v>162</v>
      </c>
      <c r="C71" s="1" t="s">
        <v>161</v>
      </c>
      <c r="D71" s="1"/>
      <c r="F71" t="s">
        <v>429</v>
      </c>
      <c r="G71">
        <v>10</v>
      </c>
      <c r="J71" t="s">
        <v>429</v>
      </c>
      <c r="K71" t="s">
        <v>430</v>
      </c>
      <c r="L71" t="s">
        <v>431</v>
      </c>
      <c r="M71" t="s">
        <v>300</v>
      </c>
      <c r="N71" t="s">
        <v>264</v>
      </c>
      <c r="O71">
        <v>180</v>
      </c>
      <c r="P71" t="str">
        <f t="shared" si="1"/>
        <v>冠心泰丸6g×6袋×180小盒</v>
      </c>
      <c r="R71" s="3" t="s">
        <v>1046</v>
      </c>
      <c r="S71" s="3" t="s">
        <v>1188</v>
      </c>
      <c r="T71" s="3" t="s">
        <v>1189</v>
      </c>
      <c r="U71" s="3" t="s">
        <v>1188</v>
      </c>
      <c r="W71" s="5" t="s">
        <v>1523</v>
      </c>
      <c r="X71" s="5" t="s">
        <v>1658</v>
      </c>
      <c r="Y71" s="5" t="s">
        <v>1671</v>
      </c>
      <c r="Z71" s="5" t="s">
        <v>1672</v>
      </c>
    </row>
    <row r="72" spans="1:26" x14ac:dyDescent="0.15">
      <c r="A72" s="1" t="s">
        <v>163</v>
      </c>
      <c r="B72" s="1" t="s">
        <v>164</v>
      </c>
      <c r="C72" s="1" t="s">
        <v>163</v>
      </c>
      <c r="D72" s="1"/>
      <c r="F72" t="s">
        <v>432</v>
      </c>
      <c r="G72">
        <v>5.5</v>
      </c>
      <c r="J72" t="s">
        <v>432</v>
      </c>
      <c r="K72" t="s">
        <v>433</v>
      </c>
      <c r="L72" t="s">
        <v>434</v>
      </c>
      <c r="M72" t="s">
        <v>247</v>
      </c>
      <c r="N72" t="s">
        <v>248</v>
      </c>
      <c r="O72">
        <v>300</v>
      </c>
      <c r="P72" t="str">
        <f t="shared" si="1"/>
        <v>红霉素肠溶胶囊（尚宏）0.125g*20粒</v>
      </c>
      <c r="R72" s="3" t="s">
        <v>1046</v>
      </c>
      <c r="S72" s="3" t="s">
        <v>1190</v>
      </c>
      <c r="T72" s="3" t="s">
        <v>1191</v>
      </c>
      <c r="U72" s="3" t="s">
        <v>1190</v>
      </c>
      <c r="W72" s="5" t="s">
        <v>1523</v>
      </c>
      <c r="X72" s="5" t="s">
        <v>1658</v>
      </c>
      <c r="Y72" s="5" t="s">
        <v>1673</v>
      </c>
      <c r="Z72" s="5" t="s">
        <v>1674</v>
      </c>
    </row>
    <row r="73" spans="1:26" x14ac:dyDescent="0.15">
      <c r="A73" s="1" t="s">
        <v>165</v>
      </c>
      <c r="B73" s="1" t="s">
        <v>166</v>
      </c>
      <c r="C73" s="1" t="s">
        <v>165</v>
      </c>
      <c r="D73" s="1"/>
      <c r="F73" t="s">
        <v>435</v>
      </c>
      <c r="G73">
        <v>17</v>
      </c>
      <c r="J73" t="s">
        <v>435</v>
      </c>
      <c r="K73" t="s">
        <v>436</v>
      </c>
      <c r="L73" t="s">
        <v>437</v>
      </c>
      <c r="M73" t="s">
        <v>389</v>
      </c>
      <c r="N73" t="s">
        <v>264</v>
      </c>
      <c r="O73">
        <v>300</v>
      </c>
      <c r="P73" t="str">
        <f t="shared" si="1"/>
        <v>护肝片100片×300盒</v>
      </c>
      <c r="R73" s="3" t="s">
        <v>1046</v>
      </c>
      <c r="S73" s="3" t="s">
        <v>1192</v>
      </c>
      <c r="T73" s="3" t="s">
        <v>1193</v>
      </c>
      <c r="U73" s="3" t="s">
        <v>1192</v>
      </c>
      <c r="W73" s="5" t="s">
        <v>1523</v>
      </c>
      <c r="X73" s="5" t="s">
        <v>1658</v>
      </c>
      <c r="Y73" s="5" t="s">
        <v>1675</v>
      </c>
      <c r="Z73" s="5" t="s">
        <v>1676</v>
      </c>
    </row>
    <row r="74" spans="1:26" x14ac:dyDescent="0.15">
      <c r="A74" s="1" t="s">
        <v>167</v>
      </c>
      <c r="B74" s="1" t="s">
        <v>168</v>
      </c>
      <c r="C74" s="1" t="s">
        <v>167</v>
      </c>
      <c r="D74" s="2" t="s">
        <v>231</v>
      </c>
      <c r="G74">
        <v>29</v>
      </c>
      <c r="K74" t="s">
        <v>436</v>
      </c>
      <c r="L74" t="s">
        <v>438</v>
      </c>
      <c r="N74" t="s">
        <v>264</v>
      </c>
      <c r="P74" t="str">
        <f t="shared" si="1"/>
        <v>护肝片180片</v>
      </c>
      <c r="R74" s="3" t="s">
        <v>1046</v>
      </c>
      <c r="S74" s="3" t="s">
        <v>1194</v>
      </c>
      <c r="T74" s="3" t="s">
        <v>1195</v>
      </c>
      <c r="U74" s="3" t="s">
        <v>1194</v>
      </c>
      <c r="W74" s="5" t="s">
        <v>1523</v>
      </c>
      <c r="X74" s="5" t="s">
        <v>1658</v>
      </c>
      <c r="Y74" s="5" t="s">
        <v>1677</v>
      </c>
      <c r="Z74" s="5" t="s">
        <v>1678</v>
      </c>
    </row>
    <row r="75" spans="1:26" x14ac:dyDescent="0.15">
      <c r="A75" s="1" t="s">
        <v>169</v>
      </c>
      <c r="B75" s="1" t="s">
        <v>170</v>
      </c>
      <c r="C75" s="1" t="s">
        <v>169</v>
      </c>
      <c r="D75" s="1"/>
      <c r="F75" t="s">
        <v>439</v>
      </c>
      <c r="G75">
        <v>7</v>
      </c>
      <c r="J75" t="s">
        <v>439</v>
      </c>
      <c r="K75" t="s">
        <v>440</v>
      </c>
      <c r="L75" t="s">
        <v>441</v>
      </c>
      <c r="M75" t="s">
        <v>247</v>
      </c>
      <c r="N75" t="s">
        <v>248</v>
      </c>
      <c r="O75">
        <v>200</v>
      </c>
      <c r="P75" t="str">
        <f t="shared" si="1"/>
        <v>吉非罗齐胶囊0.3g*20粒</v>
      </c>
      <c r="R75" s="3" t="s">
        <v>1046</v>
      </c>
      <c r="S75" s="3" t="s">
        <v>1196</v>
      </c>
      <c r="T75" s="3" t="s">
        <v>1197</v>
      </c>
      <c r="U75" s="3" t="s">
        <v>1196</v>
      </c>
      <c r="W75" s="5" t="s">
        <v>1523</v>
      </c>
      <c r="X75" s="5" t="s">
        <v>1658</v>
      </c>
      <c r="Y75" s="5" t="s">
        <v>1679</v>
      </c>
      <c r="Z75" s="5" t="s">
        <v>1680</v>
      </c>
    </row>
    <row r="76" spans="1:26" x14ac:dyDescent="0.15">
      <c r="A76" s="1" t="s">
        <v>171</v>
      </c>
      <c r="B76" s="1" t="s">
        <v>172</v>
      </c>
      <c r="C76" s="1" t="s">
        <v>171</v>
      </c>
      <c r="D76" s="1"/>
      <c r="F76" t="s">
        <v>442</v>
      </c>
      <c r="G76">
        <v>7.3</v>
      </c>
      <c r="J76" t="s">
        <v>442</v>
      </c>
      <c r="K76" t="s">
        <v>443</v>
      </c>
      <c r="L76" t="s">
        <v>444</v>
      </c>
      <c r="M76" t="s">
        <v>300</v>
      </c>
      <c r="N76" t="s">
        <v>264</v>
      </c>
      <c r="O76">
        <v>100</v>
      </c>
      <c r="P76" t="str">
        <f t="shared" si="1"/>
        <v>健脾丸9g*10丸</v>
      </c>
      <c r="R76" s="3" t="s">
        <v>1046</v>
      </c>
      <c r="S76" s="3" t="s">
        <v>1198</v>
      </c>
      <c r="T76" s="3" t="s">
        <v>1199</v>
      </c>
      <c r="U76" s="3" t="s">
        <v>1198</v>
      </c>
      <c r="W76" s="5" t="s">
        <v>1523</v>
      </c>
      <c r="X76" s="5" t="s">
        <v>1658</v>
      </c>
      <c r="Y76" s="5" t="s">
        <v>1681</v>
      </c>
      <c r="Z76" s="5" t="s">
        <v>1682</v>
      </c>
    </row>
    <row r="77" spans="1:26" x14ac:dyDescent="0.15">
      <c r="A77" s="1" t="s">
        <v>173</v>
      </c>
      <c r="B77" s="1" t="s">
        <v>174</v>
      </c>
      <c r="C77" s="1" t="s">
        <v>173</v>
      </c>
      <c r="D77" s="1"/>
      <c r="F77" t="s">
        <v>445</v>
      </c>
      <c r="G77">
        <v>3.78</v>
      </c>
      <c r="I77">
        <v>19.8</v>
      </c>
      <c r="J77" t="s">
        <v>445</v>
      </c>
      <c r="K77" t="s">
        <v>446</v>
      </c>
      <c r="L77" t="s">
        <v>447</v>
      </c>
      <c r="M77" t="s">
        <v>263</v>
      </c>
      <c r="N77" t="s">
        <v>264</v>
      </c>
      <c r="O77">
        <v>480</v>
      </c>
      <c r="P77" t="str">
        <f t="shared" si="1"/>
        <v>胶体果胶铋胶囊50mg*24粒*480盒50mg*12粒*2板*480盒</v>
      </c>
      <c r="R77" s="3" t="s">
        <v>1046</v>
      </c>
      <c r="S77" s="3" t="s">
        <v>1200</v>
      </c>
      <c r="T77" s="3" t="s">
        <v>1201</v>
      </c>
      <c r="U77" s="3" t="s">
        <v>1200</v>
      </c>
      <c r="W77" s="5" t="s">
        <v>1523</v>
      </c>
      <c r="X77" s="5" t="s">
        <v>1683</v>
      </c>
      <c r="Y77" s="5" t="s">
        <v>1684</v>
      </c>
      <c r="Z77" s="5" t="s">
        <v>1685</v>
      </c>
    </row>
    <row r="78" spans="1:26" x14ac:dyDescent="0.15">
      <c r="A78" s="1" t="s">
        <v>175</v>
      </c>
      <c r="B78" s="1" t="s">
        <v>176</v>
      </c>
      <c r="C78" s="1" t="s">
        <v>175</v>
      </c>
      <c r="D78" s="1"/>
      <c r="F78" t="s">
        <v>448</v>
      </c>
      <c r="G78">
        <v>5.51</v>
      </c>
      <c r="I78">
        <v>29.8</v>
      </c>
      <c r="J78" t="s">
        <v>448</v>
      </c>
      <c r="K78" t="s">
        <v>449</v>
      </c>
      <c r="L78" t="s">
        <v>450</v>
      </c>
      <c r="M78" t="s">
        <v>263</v>
      </c>
      <c r="N78" t="s">
        <v>264</v>
      </c>
      <c r="O78">
        <v>480</v>
      </c>
      <c r="P78" t="str">
        <f t="shared" si="1"/>
        <v>胶体果胶铋胶囊50mg*36粒*480盒50mg*12粒*3板*480盒</v>
      </c>
      <c r="R78" s="3" t="s">
        <v>1046</v>
      </c>
      <c r="S78" s="3" t="s">
        <v>1202</v>
      </c>
      <c r="T78" s="3" t="s">
        <v>1203</v>
      </c>
      <c r="U78" s="3" t="s">
        <v>1202</v>
      </c>
      <c r="W78" s="5" t="s">
        <v>1523</v>
      </c>
      <c r="X78" s="5" t="s">
        <v>1683</v>
      </c>
      <c r="Y78" s="5" t="s">
        <v>1686</v>
      </c>
      <c r="Z78" s="5" t="s">
        <v>1687</v>
      </c>
    </row>
    <row r="79" spans="1:26" x14ac:dyDescent="0.15">
      <c r="A79" s="1" t="s">
        <v>177</v>
      </c>
      <c r="B79" s="1" t="s">
        <v>178</v>
      </c>
      <c r="C79" s="1" t="s">
        <v>177</v>
      </c>
      <c r="D79" s="1"/>
      <c r="F79" t="s">
        <v>451</v>
      </c>
      <c r="G79">
        <v>8.6</v>
      </c>
      <c r="J79" t="s">
        <v>451</v>
      </c>
      <c r="K79" t="s">
        <v>452</v>
      </c>
      <c r="L79" t="s">
        <v>453</v>
      </c>
      <c r="M79" t="s">
        <v>300</v>
      </c>
      <c r="N79" t="s">
        <v>264</v>
      </c>
      <c r="O79">
        <v>100</v>
      </c>
      <c r="P79" t="str">
        <f t="shared" si="1"/>
        <v>金匮肾气丸6g×10丸×100中盒</v>
      </c>
      <c r="R79" s="3" t="s">
        <v>1046</v>
      </c>
      <c r="S79" s="3" t="s">
        <v>1204</v>
      </c>
      <c r="T79" s="3" t="s">
        <v>1205</v>
      </c>
      <c r="U79" s="3" t="s">
        <v>1204</v>
      </c>
      <c r="W79" s="5" t="s">
        <v>1523</v>
      </c>
      <c r="X79" s="5" t="s">
        <v>1683</v>
      </c>
      <c r="Y79" s="5" t="s">
        <v>1688</v>
      </c>
      <c r="Z79" s="5" t="s">
        <v>1689</v>
      </c>
    </row>
    <row r="80" spans="1:26" x14ac:dyDescent="0.15">
      <c r="A80" s="1" t="s">
        <v>179</v>
      </c>
      <c r="B80" s="1" t="s">
        <v>180</v>
      </c>
      <c r="C80" s="1" t="s">
        <v>179</v>
      </c>
      <c r="D80" s="1"/>
      <c r="F80" t="s">
        <v>454</v>
      </c>
      <c r="G80">
        <v>9.3000000000000007</v>
      </c>
      <c r="J80" t="s">
        <v>454</v>
      </c>
      <c r="K80" t="s">
        <v>455</v>
      </c>
      <c r="L80" t="s">
        <v>456</v>
      </c>
      <c r="M80" t="s">
        <v>300</v>
      </c>
      <c r="N80" t="s">
        <v>264</v>
      </c>
      <c r="O80">
        <v>120</v>
      </c>
      <c r="P80" t="str">
        <f t="shared" si="1"/>
        <v>金匮肾气丸(水蜜丸)72g72g×120盒</v>
      </c>
      <c r="R80" s="3" t="s">
        <v>1046</v>
      </c>
      <c r="S80" s="3" t="s">
        <v>1206</v>
      </c>
      <c r="T80" s="3" t="s">
        <v>1207</v>
      </c>
      <c r="U80" s="3" t="s">
        <v>1206</v>
      </c>
      <c r="W80" s="5" t="s">
        <v>1523</v>
      </c>
      <c r="X80" s="5" t="s">
        <v>1683</v>
      </c>
      <c r="Y80" s="5" t="s">
        <v>1690</v>
      </c>
      <c r="Z80" s="5" t="s">
        <v>1691</v>
      </c>
    </row>
    <row r="81" spans="1:26" x14ac:dyDescent="0.15">
      <c r="A81" s="1" t="s">
        <v>181</v>
      </c>
      <c r="B81" s="1" t="s">
        <v>182</v>
      </c>
      <c r="C81" s="1" t="s">
        <v>181</v>
      </c>
      <c r="D81" s="1"/>
      <c r="F81" t="s">
        <v>457</v>
      </c>
      <c r="G81">
        <v>1.08</v>
      </c>
      <c r="J81" t="s">
        <v>457</v>
      </c>
      <c r="K81" t="s">
        <v>458</v>
      </c>
      <c r="L81" t="s">
        <v>459</v>
      </c>
      <c r="M81" t="s">
        <v>294</v>
      </c>
      <c r="N81" t="s">
        <v>264</v>
      </c>
      <c r="O81">
        <v>40</v>
      </c>
      <c r="P81" t="str">
        <f t="shared" si="1"/>
        <v>精制狗皮膏7*10cm*4</v>
      </c>
      <c r="R81" s="3" t="s">
        <v>1046</v>
      </c>
      <c r="S81" s="3" t="s">
        <v>1208</v>
      </c>
      <c r="T81" s="3" t="s">
        <v>1209</v>
      </c>
      <c r="U81" s="3" t="s">
        <v>1208</v>
      </c>
      <c r="W81" s="5" t="s">
        <v>1523</v>
      </c>
      <c r="X81" s="5" t="s">
        <v>1683</v>
      </c>
      <c r="Y81" s="5" t="s">
        <v>1692</v>
      </c>
      <c r="Z81" s="5" t="s">
        <v>1693</v>
      </c>
    </row>
    <row r="82" spans="1:26" x14ac:dyDescent="0.15">
      <c r="A82" s="1" t="s">
        <v>183</v>
      </c>
      <c r="B82" s="2" t="s">
        <v>232</v>
      </c>
      <c r="C82" s="1" t="s">
        <v>183</v>
      </c>
      <c r="D82" s="2" t="s">
        <v>233</v>
      </c>
      <c r="F82" t="s">
        <v>460</v>
      </c>
      <c r="G82">
        <v>7.5</v>
      </c>
      <c r="J82" t="s">
        <v>460</v>
      </c>
      <c r="K82" t="s">
        <v>461</v>
      </c>
      <c r="L82" t="s">
        <v>462</v>
      </c>
      <c r="M82" t="s">
        <v>389</v>
      </c>
      <c r="N82" t="s">
        <v>248</v>
      </c>
      <c r="O82">
        <v>300</v>
      </c>
      <c r="P82" t="str">
        <f t="shared" si="1"/>
        <v>菊梅利咽含片18片×300盒</v>
      </c>
      <c r="R82" s="3" t="s">
        <v>1046</v>
      </c>
      <c r="S82" s="3" t="s">
        <v>1210</v>
      </c>
      <c r="T82" s="3" t="s">
        <v>1211</v>
      </c>
      <c r="U82" s="3" t="s">
        <v>1210</v>
      </c>
      <c r="W82" s="5" t="s">
        <v>1523</v>
      </c>
      <c r="X82" s="5" t="s">
        <v>1683</v>
      </c>
      <c r="Y82" s="5" t="s">
        <v>1694</v>
      </c>
      <c r="Z82" s="5" t="s">
        <v>1695</v>
      </c>
    </row>
    <row r="83" spans="1:26" x14ac:dyDescent="0.15">
      <c r="A83" s="1" t="s">
        <v>185</v>
      </c>
      <c r="B83" s="1" t="s">
        <v>186</v>
      </c>
      <c r="C83" s="1" t="s">
        <v>185</v>
      </c>
      <c r="D83" s="1"/>
      <c r="F83" t="s">
        <v>463</v>
      </c>
      <c r="G83">
        <v>5.22</v>
      </c>
      <c r="J83" t="s">
        <v>463</v>
      </c>
      <c r="K83" t="s">
        <v>464</v>
      </c>
      <c r="L83" t="s">
        <v>465</v>
      </c>
      <c r="M83" t="s">
        <v>300</v>
      </c>
      <c r="N83" t="s">
        <v>264</v>
      </c>
      <c r="O83">
        <v>100</v>
      </c>
      <c r="P83" t="str">
        <f t="shared" si="1"/>
        <v>橘红丸(OTC)6g×10丸×100盒</v>
      </c>
      <c r="R83" s="3" t="s">
        <v>1046</v>
      </c>
      <c r="S83" s="3" t="s">
        <v>1212</v>
      </c>
      <c r="T83" s="3" t="s">
        <v>1213</v>
      </c>
      <c r="U83" s="3" t="s">
        <v>1212</v>
      </c>
      <c r="W83" s="5" t="s">
        <v>1523</v>
      </c>
      <c r="X83" s="5" t="s">
        <v>1683</v>
      </c>
      <c r="Y83" s="5" t="s">
        <v>1696</v>
      </c>
      <c r="Z83" s="5" t="s">
        <v>1697</v>
      </c>
    </row>
    <row r="84" spans="1:26" x14ac:dyDescent="0.15">
      <c r="A84" s="1" t="s">
        <v>187</v>
      </c>
      <c r="B84" s="1" t="s">
        <v>188</v>
      </c>
      <c r="C84" s="1" t="s">
        <v>187</v>
      </c>
      <c r="D84" s="1"/>
      <c r="F84" t="s">
        <v>466</v>
      </c>
      <c r="G84">
        <v>5.77</v>
      </c>
      <c r="J84" t="s">
        <v>466</v>
      </c>
      <c r="K84" t="s">
        <v>467</v>
      </c>
      <c r="L84" t="s">
        <v>299</v>
      </c>
      <c r="M84" t="s">
        <v>300</v>
      </c>
      <c r="N84" t="s">
        <v>264</v>
      </c>
      <c r="O84">
        <v>100</v>
      </c>
      <c r="P84" t="str">
        <f t="shared" si="1"/>
        <v>开郁老蔻丸(OTC)9g×10丸×100盒</v>
      </c>
      <c r="R84" s="3" t="s">
        <v>1046</v>
      </c>
      <c r="S84" s="3" t="s">
        <v>1214</v>
      </c>
      <c r="T84" s="3" t="s">
        <v>1215</v>
      </c>
      <c r="U84" s="3" t="s">
        <v>1214</v>
      </c>
      <c r="W84" s="5" t="s">
        <v>1523</v>
      </c>
      <c r="X84" s="5" t="s">
        <v>1683</v>
      </c>
      <c r="Y84" s="5" t="s">
        <v>1698</v>
      </c>
      <c r="Z84" s="5" t="s">
        <v>1699</v>
      </c>
    </row>
    <row r="85" spans="1:26" x14ac:dyDescent="0.15">
      <c r="A85" s="1" t="s">
        <v>189</v>
      </c>
      <c r="B85" s="1" t="s">
        <v>190</v>
      </c>
      <c r="C85" s="1" t="s">
        <v>189</v>
      </c>
      <c r="D85" s="1"/>
      <c r="F85" t="s">
        <v>468</v>
      </c>
      <c r="G85">
        <v>4.4000000000000004</v>
      </c>
      <c r="J85" t="s">
        <v>468</v>
      </c>
      <c r="K85" t="s">
        <v>469</v>
      </c>
      <c r="L85" t="s">
        <v>470</v>
      </c>
      <c r="M85" t="s">
        <v>294</v>
      </c>
      <c r="N85" t="s">
        <v>248</v>
      </c>
      <c r="O85">
        <v>400</v>
      </c>
      <c r="P85" t="str">
        <f t="shared" si="1"/>
        <v>克拉霉素分散片0.125g×12片×400盒</v>
      </c>
      <c r="R85" s="3" t="s">
        <v>1046</v>
      </c>
      <c r="S85" s="3" t="s">
        <v>1216</v>
      </c>
      <c r="T85" s="3" t="s">
        <v>1217</v>
      </c>
      <c r="U85" s="3" t="s">
        <v>1216</v>
      </c>
      <c r="W85" s="5" t="s">
        <v>1523</v>
      </c>
      <c r="X85" s="5" t="s">
        <v>1683</v>
      </c>
      <c r="Y85" s="5" t="s">
        <v>1700</v>
      </c>
      <c r="Z85" s="5" t="s">
        <v>1701</v>
      </c>
    </row>
    <row r="86" spans="1:26" x14ac:dyDescent="0.15">
      <c r="A86" s="1" t="s">
        <v>191</v>
      </c>
      <c r="B86" s="1" t="s">
        <v>192</v>
      </c>
      <c r="C86" s="1" t="s">
        <v>191</v>
      </c>
      <c r="D86" s="1"/>
      <c r="F86" t="s">
        <v>471</v>
      </c>
      <c r="G86">
        <v>7</v>
      </c>
      <c r="J86" t="s">
        <v>471</v>
      </c>
      <c r="K86" t="s">
        <v>469</v>
      </c>
      <c r="L86" t="s">
        <v>472</v>
      </c>
      <c r="M86" t="s">
        <v>294</v>
      </c>
      <c r="N86" t="s">
        <v>248</v>
      </c>
      <c r="O86">
        <v>300</v>
      </c>
      <c r="P86" t="str">
        <f t="shared" si="1"/>
        <v>克拉霉素分散片0.125g×24片×300盒</v>
      </c>
      <c r="R86" s="3" t="s">
        <v>1046</v>
      </c>
      <c r="S86" s="3" t="s">
        <v>1218</v>
      </c>
      <c r="T86" s="3" t="s">
        <v>1219</v>
      </c>
      <c r="U86" s="3" t="s">
        <v>1218</v>
      </c>
      <c r="W86" s="5" t="s">
        <v>1523</v>
      </c>
      <c r="X86" s="5" t="s">
        <v>1683</v>
      </c>
      <c r="Y86" s="5" t="s">
        <v>1702</v>
      </c>
      <c r="Z86" s="5" t="s">
        <v>1703</v>
      </c>
    </row>
    <row r="87" spans="1:26" x14ac:dyDescent="0.15">
      <c r="A87" s="1" t="s">
        <v>193</v>
      </c>
      <c r="B87" s="1" t="s">
        <v>194</v>
      </c>
      <c r="C87" s="1" t="s">
        <v>193</v>
      </c>
      <c r="D87" s="1"/>
      <c r="F87" t="s">
        <v>473</v>
      </c>
      <c r="G87">
        <v>23</v>
      </c>
      <c r="J87" t="s">
        <v>473</v>
      </c>
      <c r="K87" t="s">
        <v>474</v>
      </c>
      <c r="L87" t="s">
        <v>475</v>
      </c>
      <c r="M87" t="s">
        <v>263</v>
      </c>
      <c r="N87" t="s">
        <v>264</v>
      </c>
      <c r="O87">
        <v>120</v>
      </c>
      <c r="P87" t="str">
        <f t="shared" si="1"/>
        <v>拉西地平片4mg*21片*120盒</v>
      </c>
      <c r="R87" s="3" t="s">
        <v>1046</v>
      </c>
      <c r="S87" s="3" t="s">
        <v>1220</v>
      </c>
      <c r="T87" s="3" t="s">
        <v>1221</v>
      </c>
      <c r="U87" s="3" t="s">
        <v>1220</v>
      </c>
      <c r="W87" s="5" t="s">
        <v>1523</v>
      </c>
      <c r="X87" s="5" t="s">
        <v>1704</v>
      </c>
      <c r="Y87" s="5" t="s">
        <v>1705</v>
      </c>
      <c r="Z87" s="5" t="s">
        <v>1706</v>
      </c>
    </row>
    <row r="88" spans="1:26" x14ac:dyDescent="0.15">
      <c r="A88" s="1" t="s">
        <v>195</v>
      </c>
      <c r="B88" s="1" t="s">
        <v>196</v>
      </c>
      <c r="C88" s="1" t="s">
        <v>195</v>
      </c>
      <c r="D88" s="1"/>
      <c r="F88" t="s">
        <v>476</v>
      </c>
      <c r="G88">
        <v>25</v>
      </c>
      <c r="J88" t="s">
        <v>476</v>
      </c>
      <c r="K88" t="s">
        <v>474</v>
      </c>
      <c r="L88" t="s">
        <v>477</v>
      </c>
      <c r="M88" t="s">
        <v>263</v>
      </c>
      <c r="N88" t="s">
        <v>248</v>
      </c>
      <c r="O88">
        <v>160</v>
      </c>
      <c r="P88" t="str">
        <f t="shared" si="1"/>
        <v>拉西地平片4mg*30片*160盒</v>
      </c>
      <c r="R88" s="3" t="s">
        <v>1046</v>
      </c>
      <c r="S88" s="3" t="s">
        <v>1222</v>
      </c>
      <c r="T88" s="3" t="s">
        <v>1223</v>
      </c>
      <c r="U88" s="3" t="s">
        <v>1222</v>
      </c>
      <c r="W88" s="5" t="s">
        <v>1523</v>
      </c>
      <c r="X88" s="5" t="s">
        <v>1704</v>
      </c>
      <c r="Y88" s="5" t="s">
        <v>1707</v>
      </c>
      <c r="Z88" s="5" t="s">
        <v>1708</v>
      </c>
    </row>
    <row r="89" spans="1:26" x14ac:dyDescent="0.15">
      <c r="A89" s="1" t="s">
        <v>197</v>
      </c>
      <c r="B89" s="1" t="s">
        <v>198</v>
      </c>
      <c r="C89" s="1" t="s">
        <v>197</v>
      </c>
      <c r="D89" s="1"/>
      <c r="F89" t="s">
        <v>478</v>
      </c>
      <c r="G89">
        <v>21.5</v>
      </c>
      <c r="J89" t="s">
        <v>478</v>
      </c>
      <c r="K89" t="s">
        <v>474</v>
      </c>
      <c r="L89" t="s">
        <v>479</v>
      </c>
      <c r="M89" t="s">
        <v>263</v>
      </c>
      <c r="N89" t="s">
        <v>248</v>
      </c>
      <c r="O89">
        <v>160</v>
      </c>
      <c r="P89" t="str">
        <f t="shared" si="1"/>
        <v>拉西地平片4mg×15片×160盒</v>
      </c>
      <c r="R89" s="3" t="s">
        <v>1046</v>
      </c>
      <c r="S89" s="3" t="s">
        <v>1224</v>
      </c>
      <c r="T89" s="3" t="s">
        <v>1225</v>
      </c>
      <c r="U89" s="3" t="s">
        <v>1224</v>
      </c>
      <c r="W89" s="5" t="s">
        <v>1523</v>
      </c>
      <c r="X89" s="5" t="s">
        <v>1704</v>
      </c>
      <c r="Y89" s="5" t="s">
        <v>1709</v>
      </c>
      <c r="Z89" s="5" t="s">
        <v>1710</v>
      </c>
    </row>
    <row r="90" spans="1:26" x14ac:dyDescent="0.15">
      <c r="A90" s="1" t="s">
        <v>199</v>
      </c>
      <c r="B90" s="1" t="s">
        <v>200</v>
      </c>
      <c r="C90" s="1" t="s">
        <v>199</v>
      </c>
      <c r="D90" s="1"/>
      <c r="F90" t="s">
        <v>480</v>
      </c>
      <c r="G90">
        <v>16</v>
      </c>
      <c r="J90" t="s">
        <v>480</v>
      </c>
      <c r="K90" t="s">
        <v>481</v>
      </c>
      <c r="L90" t="s">
        <v>482</v>
      </c>
      <c r="M90" t="s">
        <v>247</v>
      </c>
      <c r="N90" t="s">
        <v>248</v>
      </c>
      <c r="O90">
        <v>200</v>
      </c>
      <c r="P90" t="str">
        <f t="shared" si="1"/>
        <v>利福平胶囊0.15g*100粒</v>
      </c>
      <c r="R90" s="3" t="s">
        <v>1061</v>
      </c>
      <c r="S90" s="3" t="s">
        <v>1226</v>
      </c>
      <c r="T90" s="3" t="s">
        <v>1227</v>
      </c>
      <c r="U90" s="3" t="s">
        <v>1226</v>
      </c>
      <c r="W90" s="5" t="s">
        <v>1523</v>
      </c>
      <c r="X90" s="5" t="s">
        <v>1704</v>
      </c>
      <c r="Y90" s="5" t="s">
        <v>1711</v>
      </c>
      <c r="Z90" s="5" t="s">
        <v>1712</v>
      </c>
    </row>
    <row r="91" spans="1:26" x14ac:dyDescent="0.15">
      <c r="A91" s="1" t="s">
        <v>201</v>
      </c>
      <c r="B91" s="1" t="s">
        <v>202</v>
      </c>
      <c r="C91" s="1" t="s">
        <v>201</v>
      </c>
      <c r="D91" s="1"/>
      <c r="F91" t="s">
        <v>483</v>
      </c>
      <c r="G91">
        <v>3.6</v>
      </c>
      <c r="J91" t="s">
        <v>483</v>
      </c>
      <c r="K91" t="s">
        <v>484</v>
      </c>
      <c r="L91" t="s">
        <v>485</v>
      </c>
      <c r="M91" t="s">
        <v>300</v>
      </c>
      <c r="N91" t="s">
        <v>264</v>
      </c>
      <c r="O91">
        <v>300</v>
      </c>
      <c r="P91" t="str">
        <f t="shared" si="1"/>
        <v>羚羊感冒片12片*2板</v>
      </c>
      <c r="R91" s="3" t="s">
        <v>1046</v>
      </c>
      <c r="S91" s="3" t="s">
        <v>1228</v>
      </c>
      <c r="T91" s="3" t="s">
        <v>1229</v>
      </c>
      <c r="U91" s="3" t="s">
        <v>1228</v>
      </c>
      <c r="W91" s="5" t="s">
        <v>1523</v>
      </c>
      <c r="X91" s="5" t="s">
        <v>1713</v>
      </c>
      <c r="Y91" s="5" t="s">
        <v>1714</v>
      </c>
      <c r="Z91" s="5" t="s">
        <v>1715</v>
      </c>
    </row>
    <row r="92" spans="1:26" x14ac:dyDescent="0.15">
      <c r="A92" s="1" t="s">
        <v>203</v>
      </c>
      <c r="B92" s="1" t="s">
        <v>204</v>
      </c>
      <c r="C92" s="1" t="s">
        <v>203</v>
      </c>
      <c r="D92" s="2" t="s">
        <v>234</v>
      </c>
      <c r="F92" t="s">
        <v>486</v>
      </c>
      <c r="G92">
        <v>10</v>
      </c>
      <c r="J92" t="s">
        <v>486</v>
      </c>
      <c r="K92" t="s">
        <v>487</v>
      </c>
      <c r="L92" t="s">
        <v>488</v>
      </c>
      <c r="M92" t="s">
        <v>300</v>
      </c>
      <c r="N92" t="s">
        <v>264</v>
      </c>
      <c r="O92">
        <v>120</v>
      </c>
      <c r="P92" t="str">
        <f t="shared" si="1"/>
        <v>六味地黄丸（OTC）9g×10丸×120中盒</v>
      </c>
      <c r="R92" s="3" t="s">
        <v>1061</v>
      </c>
      <c r="S92" s="3" t="s">
        <v>1230</v>
      </c>
      <c r="T92" s="3" t="s">
        <v>1231</v>
      </c>
      <c r="U92" s="3" t="s">
        <v>1230</v>
      </c>
      <c r="W92" s="5" t="s">
        <v>1523</v>
      </c>
      <c r="X92" s="5" t="s">
        <v>1713</v>
      </c>
      <c r="Y92" s="5" t="s">
        <v>1716</v>
      </c>
      <c r="Z92" s="5" t="s">
        <v>1717</v>
      </c>
    </row>
    <row r="93" spans="1:26" x14ac:dyDescent="0.15">
      <c r="A93" s="1" t="s">
        <v>205</v>
      </c>
      <c r="B93" s="1" t="s">
        <v>206</v>
      </c>
      <c r="C93" s="1" t="s">
        <v>205</v>
      </c>
      <c r="D93" s="1"/>
      <c r="F93" t="s">
        <v>489</v>
      </c>
      <c r="G93">
        <v>10.199999999999999</v>
      </c>
      <c r="J93" t="s">
        <v>489</v>
      </c>
      <c r="K93" t="s">
        <v>490</v>
      </c>
      <c r="L93" t="s">
        <v>456</v>
      </c>
      <c r="M93" t="s">
        <v>300</v>
      </c>
      <c r="N93" t="s">
        <v>264</v>
      </c>
      <c r="O93">
        <v>120</v>
      </c>
      <c r="P93" t="str">
        <f t="shared" si="1"/>
        <v>六味地黄丸(水蜜丸72gOTC)72g×120盒</v>
      </c>
      <c r="R93" s="3" t="s">
        <v>1046</v>
      </c>
      <c r="S93" s="3" t="s">
        <v>1232</v>
      </c>
      <c r="T93" s="3" t="s">
        <v>1233</v>
      </c>
      <c r="U93" s="3" t="s">
        <v>1232</v>
      </c>
      <c r="W93" s="5" t="s">
        <v>1523</v>
      </c>
      <c r="X93" s="5" t="s">
        <v>1713</v>
      </c>
      <c r="Y93" s="5" t="s">
        <v>1718</v>
      </c>
      <c r="Z93" s="5" t="s">
        <v>1719</v>
      </c>
    </row>
    <row r="94" spans="1:26" x14ac:dyDescent="0.15">
      <c r="A94" s="1" t="s">
        <v>207</v>
      </c>
      <c r="B94" s="1" t="s">
        <v>208</v>
      </c>
      <c r="C94" s="1" t="s">
        <v>207</v>
      </c>
      <c r="D94" s="1"/>
      <c r="F94" t="s">
        <v>491</v>
      </c>
      <c r="G94">
        <v>5.6</v>
      </c>
      <c r="J94" t="s">
        <v>491</v>
      </c>
      <c r="K94" t="s">
        <v>492</v>
      </c>
      <c r="L94" t="s">
        <v>465</v>
      </c>
      <c r="M94" t="s">
        <v>300</v>
      </c>
      <c r="N94" t="s">
        <v>264</v>
      </c>
      <c r="O94">
        <v>100</v>
      </c>
      <c r="P94" t="str">
        <f t="shared" si="1"/>
        <v>龙胆泻肝丸(OTC)6g×10丸×100盒</v>
      </c>
      <c r="R94" s="3" t="s">
        <v>1046</v>
      </c>
      <c r="S94" s="3" t="s">
        <v>1234</v>
      </c>
      <c r="T94" s="3" t="s">
        <v>1235</v>
      </c>
      <c r="U94" s="3" t="s">
        <v>1234</v>
      </c>
      <c r="W94" s="5" t="s">
        <v>1523</v>
      </c>
      <c r="X94" s="5" t="s">
        <v>1713</v>
      </c>
      <c r="Y94" s="5" t="s">
        <v>1720</v>
      </c>
      <c r="Z94" s="5" t="s">
        <v>1721</v>
      </c>
    </row>
    <row r="95" spans="1:26" x14ac:dyDescent="0.15">
      <c r="A95" s="1" t="s">
        <v>209</v>
      </c>
      <c r="B95" s="1" t="s">
        <v>210</v>
      </c>
      <c r="C95" s="1" t="s">
        <v>209</v>
      </c>
      <c r="D95" s="1"/>
      <c r="F95" t="s">
        <v>493</v>
      </c>
      <c r="G95">
        <v>10.8</v>
      </c>
      <c r="J95" t="s">
        <v>493</v>
      </c>
      <c r="K95" t="s">
        <v>494</v>
      </c>
      <c r="L95" t="s">
        <v>495</v>
      </c>
      <c r="M95" t="s">
        <v>294</v>
      </c>
      <c r="N95" t="s">
        <v>248</v>
      </c>
      <c r="O95">
        <v>400</v>
      </c>
      <c r="P95" t="str">
        <f t="shared" si="1"/>
        <v>罗红霉素分散片(严迪)150mg×12片×400盒</v>
      </c>
      <c r="R95" s="3" t="s">
        <v>1046</v>
      </c>
      <c r="S95" s="3" t="s">
        <v>1236</v>
      </c>
      <c r="T95" s="3" t="s">
        <v>1237</v>
      </c>
      <c r="U95" s="3" t="s">
        <v>1236</v>
      </c>
      <c r="W95" s="5" t="s">
        <v>1523</v>
      </c>
      <c r="X95" s="5" t="s">
        <v>1713</v>
      </c>
      <c r="Y95" s="5" t="s">
        <v>1722</v>
      </c>
      <c r="Z95" s="5" t="s">
        <v>1723</v>
      </c>
    </row>
    <row r="96" spans="1:26" x14ac:dyDescent="0.15">
      <c r="A96" s="1" t="s">
        <v>211</v>
      </c>
      <c r="B96" s="1" t="s">
        <v>212</v>
      </c>
      <c r="C96" s="1" t="s">
        <v>211</v>
      </c>
      <c r="D96" s="2" t="s">
        <v>1822</v>
      </c>
      <c r="F96" t="s">
        <v>496</v>
      </c>
      <c r="G96">
        <v>3.1</v>
      </c>
      <c r="J96" t="s">
        <v>496</v>
      </c>
      <c r="K96" t="s">
        <v>494</v>
      </c>
      <c r="L96" t="s">
        <v>497</v>
      </c>
      <c r="M96" t="s">
        <v>294</v>
      </c>
      <c r="N96" t="s">
        <v>248</v>
      </c>
      <c r="O96">
        <v>400</v>
      </c>
      <c r="P96" t="str">
        <f t="shared" si="1"/>
        <v>罗红霉素分散片(严迪)50mg×12片×400盒</v>
      </c>
      <c r="R96" s="3" t="s">
        <v>1046</v>
      </c>
      <c r="S96" s="3" t="s">
        <v>1238</v>
      </c>
      <c r="T96" s="3" t="s">
        <v>1239</v>
      </c>
      <c r="U96" s="3" t="s">
        <v>1238</v>
      </c>
      <c r="W96" s="5" t="s">
        <v>1523</v>
      </c>
      <c r="X96" s="5" t="s">
        <v>1713</v>
      </c>
      <c r="Y96" s="5" t="s">
        <v>1724</v>
      </c>
      <c r="Z96" s="5" t="s">
        <v>1725</v>
      </c>
    </row>
    <row r="97" spans="1:26" x14ac:dyDescent="0.15">
      <c r="A97" s="1" t="s">
        <v>213</v>
      </c>
      <c r="B97" s="1" t="s">
        <v>214</v>
      </c>
      <c r="C97" s="1" t="s">
        <v>213</v>
      </c>
      <c r="D97" s="1"/>
      <c r="F97" t="s">
        <v>498</v>
      </c>
      <c r="G97">
        <v>6.3</v>
      </c>
      <c r="J97" t="s">
        <v>498</v>
      </c>
      <c r="K97" t="s">
        <v>494</v>
      </c>
      <c r="L97" t="s">
        <v>499</v>
      </c>
      <c r="M97" t="s">
        <v>294</v>
      </c>
      <c r="N97" t="s">
        <v>248</v>
      </c>
      <c r="O97">
        <v>400</v>
      </c>
      <c r="P97" t="str">
        <f t="shared" si="1"/>
        <v>罗红霉素分散片(严迪)75mg×12片×400盒</v>
      </c>
      <c r="R97" s="3" t="s">
        <v>1046</v>
      </c>
      <c r="S97" s="3" t="s">
        <v>1240</v>
      </c>
      <c r="T97" s="3" t="s">
        <v>1241</v>
      </c>
      <c r="U97" s="3" t="s">
        <v>1240</v>
      </c>
      <c r="W97" s="5" t="s">
        <v>1523</v>
      </c>
      <c r="X97" s="5" t="s">
        <v>1726</v>
      </c>
      <c r="Y97" s="5" t="s">
        <v>1727</v>
      </c>
      <c r="Z97" s="5" t="s">
        <v>1728</v>
      </c>
    </row>
    <row r="98" spans="1:26" x14ac:dyDescent="0.15">
      <c r="A98" s="1" t="s">
        <v>215</v>
      </c>
      <c r="B98" s="1" t="s">
        <v>216</v>
      </c>
      <c r="C98" s="1" t="s">
        <v>215</v>
      </c>
      <c r="D98" s="1"/>
      <c r="F98" t="s">
        <v>500</v>
      </c>
      <c r="G98">
        <v>2.2999999999999998</v>
      </c>
      <c r="J98" t="s">
        <v>500</v>
      </c>
      <c r="K98" t="s">
        <v>501</v>
      </c>
      <c r="L98" t="s">
        <v>502</v>
      </c>
      <c r="M98" t="s">
        <v>247</v>
      </c>
      <c r="N98" t="s">
        <v>248</v>
      </c>
      <c r="O98">
        <v>400</v>
      </c>
      <c r="P98" t="str">
        <f t="shared" si="1"/>
        <v>罗红霉素颗粒50mg*10袋</v>
      </c>
      <c r="R98" s="3" t="s">
        <v>1046</v>
      </c>
      <c r="S98" s="3" t="s">
        <v>1242</v>
      </c>
      <c r="T98" s="3" t="s">
        <v>1243</v>
      </c>
      <c r="U98" s="3" t="s">
        <v>1242</v>
      </c>
      <c r="W98" s="5" t="s">
        <v>1523</v>
      </c>
      <c r="X98" s="5" t="s">
        <v>1726</v>
      </c>
      <c r="Y98" s="5" t="s">
        <v>1729</v>
      </c>
      <c r="Z98" s="5" t="s">
        <v>1730</v>
      </c>
    </row>
    <row r="99" spans="1:26" x14ac:dyDescent="0.15">
      <c r="A99" s="1" t="s">
        <v>183</v>
      </c>
      <c r="B99" s="1" t="s">
        <v>184</v>
      </c>
      <c r="C99" s="1" t="s">
        <v>183</v>
      </c>
      <c r="D99" s="2" t="s">
        <v>235</v>
      </c>
      <c r="F99" t="s">
        <v>503</v>
      </c>
      <c r="G99">
        <v>10.199999999999999</v>
      </c>
      <c r="J99" t="s">
        <v>503</v>
      </c>
      <c r="K99" t="s">
        <v>504</v>
      </c>
      <c r="L99" t="s">
        <v>505</v>
      </c>
      <c r="M99" t="s">
        <v>326</v>
      </c>
      <c r="N99" t="s">
        <v>248</v>
      </c>
      <c r="O99">
        <v>150</v>
      </c>
      <c r="P99" t="str">
        <f t="shared" si="1"/>
        <v>蒙脱石散(12袋)3g×12袋×150盒</v>
      </c>
      <c r="R99" s="3" t="s">
        <v>1046</v>
      </c>
      <c r="S99" s="3" t="s">
        <v>1244</v>
      </c>
      <c r="T99" s="3" t="s">
        <v>1245</v>
      </c>
      <c r="U99" s="3" t="s">
        <v>1244</v>
      </c>
      <c r="W99" s="5" t="s">
        <v>1523</v>
      </c>
      <c r="X99" s="5" t="s">
        <v>1726</v>
      </c>
      <c r="Y99" s="5" t="s">
        <v>1731</v>
      </c>
      <c r="Z99" s="5" t="s">
        <v>1732</v>
      </c>
    </row>
    <row r="100" spans="1:26" x14ac:dyDescent="0.15">
      <c r="A100" s="1" t="s">
        <v>217</v>
      </c>
      <c r="B100" s="1" t="s">
        <v>218</v>
      </c>
      <c r="C100" s="1" t="s">
        <v>217</v>
      </c>
      <c r="D100" s="1"/>
      <c r="F100" t="s">
        <v>506</v>
      </c>
      <c r="G100">
        <v>6.8</v>
      </c>
      <c r="H100">
        <v>7.6</v>
      </c>
      <c r="I100">
        <v>19</v>
      </c>
      <c r="J100" t="s">
        <v>506</v>
      </c>
      <c r="K100" t="s">
        <v>507</v>
      </c>
      <c r="L100" t="s">
        <v>508</v>
      </c>
      <c r="M100" t="s">
        <v>326</v>
      </c>
      <c r="N100" t="s">
        <v>264</v>
      </c>
      <c r="O100">
        <v>300</v>
      </c>
      <c r="P100" t="str">
        <f t="shared" si="1"/>
        <v>蒙脱石散(6袋)6袋</v>
      </c>
      <c r="R100" s="3" t="s">
        <v>1046</v>
      </c>
      <c r="S100" s="3" t="s">
        <v>1246</v>
      </c>
      <c r="T100" s="3" t="s">
        <v>1247</v>
      </c>
      <c r="U100" s="3" t="s">
        <v>1246</v>
      </c>
      <c r="W100" s="5" t="s">
        <v>1523</v>
      </c>
      <c r="X100" s="5" t="s">
        <v>1726</v>
      </c>
      <c r="Y100" s="5" t="s">
        <v>1733</v>
      </c>
      <c r="Z100" s="5" t="s">
        <v>1734</v>
      </c>
    </row>
    <row r="101" spans="1:26" x14ac:dyDescent="0.15">
      <c r="A101" s="1" t="s">
        <v>219</v>
      </c>
      <c r="B101" s="1" t="s">
        <v>220</v>
      </c>
      <c r="C101" s="1" t="s">
        <v>219</v>
      </c>
      <c r="D101" s="1"/>
      <c r="F101" t="s">
        <v>509</v>
      </c>
      <c r="G101">
        <v>15</v>
      </c>
      <c r="J101" t="s">
        <v>509</v>
      </c>
      <c r="K101" t="s">
        <v>510</v>
      </c>
      <c r="L101" t="s">
        <v>511</v>
      </c>
      <c r="M101" t="s">
        <v>300</v>
      </c>
      <c r="N101" t="s">
        <v>248</v>
      </c>
      <c r="O101">
        <v>100</v>
      </c>
      <c r="P101" t="str">
        <f t="shared" si="1"/>
        <v>明目羊肝丸9g×10丸×100中盒</v>
      </c>
      <c r="R101" s="3" t="s">
        <v>1046</v>
      </c>
      <c r="S101" s="3" t="s">
        <v>1248</v>
      </c>
      <c r="T101" s="3" t="s">
        <v>1249</v>
      </c>
      <c r="U101" s="3" t="s">
        <v>1248</v>
      </c>
      <c r="W101" s="5" t="s">
        <v>1523</v>
      </c>
      <c r="X101" s="5" t="s">
        <v>1735</v>
      </c>
      <c r="Y101" s="5" t="s">
        <v>1736</v>
      </c>
      <c r="Z101" s="5" t="s">
        <v>1737</v>
      </c>
    </row>
    <row r="102" spans="1:26" x14ac:dyDescent="0.15">
      <c r="A102" s="1" t="s">
        <v>221</v>
      </c>
      <c r="B102" s="1" t="s">
        <v>222</v>
      </c>
      <c r="C102" s="1" t="s">
        <v>221</v>
      </c>
      <c r="D102" s="2" t="s">
        <v>1823</v>
      </c>
      <c r="F102" t="s">
        <v>512</v>
      </c>
      <c r="G102">
        <v>11.86</v>
      </c>
      <c r="J102" t="s">
        <v>512</v>
      </c>
      <c r="K102" t="s">
        <v>513</v>
      </c>
      <c r="L102" t="s">
        <v>514</v>
      </c>
      <c r="M102" t="s">
        <v>389</v>
      </c>
      <c r="N102" t="s">
        <v>248</v>
      </c>
      <c r="O102">
        <v>300</v>
      </c>
      <c r="P102" t="str">
        <f t="shared" si="1"/>
        <v>脑安片0.53g*24片*300盒</v>
      </c>
      <c r="R102" s="3" t="s">
        <v>1061</v>
      </c>
      <c r="S102" s="3" t="s">
        <v>1250</v>
      </c>
      <c r="T102" s="3" t="s">
        <v>1251</v>
      </c>
      <c r="U102" s="3" t="s">
        <v>1250</v>
      </c>
      <c r="W102" s="5" t="s">
        <v>1523</v>
      </c>
      <c r="X102" s="5" t="s">
        <v>1735</v>
      </c>
      <c r="Y102" s="5" t="s">
        <v>1738</v>
      </c>
      <c r="Z102" s="5" t="s">
        <v>1739</v>
      </c>
    </row>
    <row r="103" spans="1:26" x14ac:dyDescent="0.15">
      <c r="A103" s="1" t="s">
        <v>223</v>
      </c>
      <c r="B103" s="1" t="s">
        <v>224</v>
      </c>
      <c r="C103" s="1" t="s">
        <v>223</v>
      </c>
      <c r="D103" s="2" t="s">
        <v>1824</v>
      </c>
      <c r="F103" t="s">
        <v>515</v>
      </c>
      <c r="G103">
        <v>1.32</v>
      </c>
      <c r="J103" t="s">
        <v>515</v>
      </c>
      <c r="K103" t="s">
        <v>516</v>
      </c>
      <c r="L103" t="s">
        <v>517</v>
      </c>
      <c r="M103" t="s">
        <v>263</v>
      </c>
      <c r="N103" t="s">
        <v>264</v>
      </c>
      <c r="O103">
        <v>600</v>
      </c>
      <c r="P103" t="str">
        <f t="shared" si="1"/>
        <v>尼莫地平片20mg*50片素片</v>
      </c>
      <c r="R103" s="3" t="s">
        <v>1046</v>
      </c>
      <c r="S103" s="3" t="s">
        <v>1252</v>
      </c>
      <c r="T103" s="3" t="s">
        <v>1253</v>
      </c>
      <c r="U103" s="3" t="s">
        <v>1252</v>
      </c>
      <c r="W103" s="5" t="s">
        <v>1523</v>
      </c>
      <c r="X103" s="5" t="s">
        <v>1735</v>
      </c>
      <c r="Y103" s="5" t="s">
        <v>1740</v>
      </c>
      <c r="Z103" s="5" t="s">
        <v>1741</v>
      </c>
    </row>
    <row r="104" spans="1:26" x14ac:dyDescent="0.15">
      <c r="A104" s="1" t="s">
        <v>217</v>
      </c>
      <c r="B104" s="1" t="s">
        <v>225</v>
      </c>
      <c r="C104" s="1" t="s">
        <v>217</v>
      </c>
      <c r="D104" s="1"/>
      <c r="F104" t="s">
        <v>518</v>
      </c>
      <c r="G104">
        <v>7.6</v>
      </c>
      <c r="J104" t="s">
        <v>518</v>
      </c>
      <c r="K104" t="s">
        <v>519</v>
      </c>
      <c r="L104" t="s">
        <v>520</v>
      </c>
      <c r="M104" t="s">
        <v>300</v>
      </c>
      <c r="N104" t="s">
        <v>264</v>
      </c>
      <c r="O104">
        <v>200</v>
      </c>
      <c r="P104" t="str">
        <f t="shared" si="1"/>
        <v>牛黄降压片(200盒)20片×200盒</v>
      </c>
      <c r="R104" s="3" t="s">
        <v>1046</v>
      </c>
      <c r="S104" s="3" t="s">
        <v>1254</v>
      </c>
      <c r="T104" s="3" t="s">
        <v>1255</v>
      </c>
      <c r="U104" s="3" t="s">
        <v>1254</v>
      </c>
      <c r="W104" s="5" t="s">
        <v>1523</v>
      </c>
      <c r="X104" s="5" t="s">
        <v>1735</v>
      </c>
      <c r="Y104" s="5" t="s">
        <v>1742</v>
      </c>
      <c r="Z104" s="5" t="s">
        <v>1743</v>
      </c>
    </row>
    <row r="105" spans="1:26" x14ac:dyDescent="0.15">
      <c r="A105" s="1" t="s">
        <v>167</v>
      </c>
      <c r="B105" s="1" t="s">
        <v>1814</v>
      </c>
      <c r="C105" s="1" t="s">
        <v>167</v>
      </c>
      <c r="D105" s="2" t="s">
        <v>236</v>
      </c>
      <c r="F105" t="s">
        <v>521</v>
      </c>
      <c r="G105">
        <v>4.5999999999999996</v>
      </c>
      <c r="J105" t="s">
        <v>521</v>
      </c>
      <c r="K105" t="s">
        <v>522</v>
      </c>
      <c r="L105" t="s">
        <v>356</v>
      </c>
      <c r="M105" t="s">
        <v>300</v>
      </c>
      <c r="N105" t="s">
        <v>264</v>
      </c>
      <c r="O105">
        <v>100</v>
      </c>
      <c r="P105" t="str">
        <f t="shared" si="1"/>
        <v>牛黄解毒丸3g×10丸×100盒</v>
      </c>
      <c r="R105" s="3" t="s">
        <v>1061</v>
      </c>
      <c r="S105" s="3" t="s">
        <v>1256</v>
      </c>
      <c r="T105" s="3" t="s">
        <v>1257</v>
      </c>
      <c r="U105" s="3" t="s">
        <v>1256</v>
      </c>
      <c r="W105" s="5" t="s">
        <v>1523</v>
      </c>
      <c r="X105" s="5" t="s">
        <v>1735</v>
      </c>
      <c r="Y105" s="5" t="s">
        <v>1744</v>
      </c>
      <c r="Z105" s="5" t="s">
        <v>1745</v>
      </c>
    </row>
    <row r="106" spans="1:26" x14ac:dyDescent="0.15">
      <c r="A106" s="1" t="s">
        <v>35</v>
      </c>
      <c r="B106" s="1" t="s">
        <v>1815</v>
      </c>
      <c r="C106" s="1" t="s">
        <v>35</v>
      </c>
      <c r="D106" s="2" t="s">
        <v>237</v>
      </c>
      <c r="F106" t="s">
        <v>523</v>
      </c>
      <c r="G106">
        <v>4.3499999999999996</v>
      </c>
      <c r="J106" t="s">
        <v>523</v>
      </c>
      <c r="K106" t="s">
        <v>524</v>
      </c>
      <c r="L106" t="s">
        <v>525</v>
      </c>
      <c r="M106" t="s">
        <v>300</v>
      </c>
      <c r="N106" t="s">
        <v>264</v>
      </c>
      <c r="O106">
        <v>100</v>
      </c>
      <c r="P106" t="str">
        <f t="shared" si="1"/>
        <v>牛黄清火丸3g×10丸×100中盒</v>
      </c>
      <c r="R106" s="3" t="s">
        <v>1046</v>
      </c>
      <c r="S106" s="3" t="s">
        <v>1258</v>
      </c>
      <c r="T106" s="3" t="s">
        <v>1259</v>
      </c>
      <c r="U106" s="3" t="s">
        <v>1258</v>
      </c>
      <c r="W106" s="5" t="s">
        <v>1523</v>
      </c>
      <c r="X106" s="5" t="s">
        <v>1735</v>
      </c>
      <c r="Y106" s="5" t="s">
        <v>1746</v>
      </c>
      <c r="Z106" s="5" t="s">
        <v>1747</v>
      </c>
    </row>
    <row r="107" spans="1:26" x14ac:dyDescent="0.15">
      <c r="A107" t="s">
        <v>1825</v>
      </c>
      <c r="B107" t="s">
        <v>1826</v>
      </c>
      <c r="C107" t="s">
        <v>1825</v>
      </c>
      <c r="D107" s="13" t="s">
        <v>1827</v>
      </c>
      <c r="F107" t="s">
        <v>526</v>
      </c>
      <c r="G107">
        <v>5.0999999999999996</v>
      </c>
      <c r="J107" t="s">
        <v>526</v>
      </c>
      <c r="K107" t="s">
        <v>527</v>
      </c>
      <c r="L107" t="s">
        <v>453</v>
      </c>
      <c r="M107" t="s">
        <v>300</v>
      </c>
      <c r="N107" t="s">
        <v>264</v>
      </c>
      <c r="O107">
        <v>100</v>
      </c>
      <c r="P107" t="str">
        <f t="shared" si="1"/>
        <v>牛黄清胃丸6g×10丸×100中盒</v>
      </c>
      <c r="R107" s="3" t="s">
        <v>1061</v>
      </c>
      <c r="S107" s="3" t="s">
        <v>1260</v>
      </c>
      <c r="T107" s="3" t="s">
        <v>1261</v>
      </c>
      <c r="U107" s="3" t="s">
        <v>1260</v>
      </c>
      <c r="W107" s="5" t="s">
        <v>1523</v>
      </c>
      <c r="X107" s="5" t="s">
        <v>1735</v>
      </c>
      <c r="Y107" s="5" t="s">
        <v>1748</v>
      </c>
      <c r="Z107" s="5" t="s">
        <v>1749</v>
      </c>
    </row>
    <row r="108" spans="1:26" x14ac:dyDescent="0.15">
      <c r="A108" t="s">
        <v>219</v>
      </c>
      <c r="B108" t="s">
        <v>220</v>
      </c>
      <c r="C108" t="s">
        <v>219</v>
      </c>
      <c r="D108" s="2" t="s">
        <v>1828</v>
      </c>
      <c r="F108" t="s">
        <v>528</v>
      </c>
      <c r="G108">
        <v>8.8000000000000007</v>
      </c>
      <c r="J108" t="s">
        <v>528</v>
      </c>
      <c r="K108" t="s">
        <v>529</v>
      </c>
      <c r="L108" t="s">
        <v>530</v>
      </c>
      <c r="M108" t="s">
        <v>300</v>
      </c>
      <c r="N108" t="s">
        <v>264</v>
      </c>
      <c r="O108">
        <v>120</v>
      </c>
      <c r="P108" t="str">
        <f t="shared" si="1"/>
        <v>牛黄清胃丸（水蜜丸）70g×120盒</v>
      </c>
      <c r="R108" s="3" t="s">
        <v>1046</v>
      </c>
      <c r="S108" s="3" t="s">
        <v>1262</v>
      </c>
      <c r="T108" s="3" t="s">
        <v>1263</v>
      </c>
      <c r="U108" s="3" t="s">
        <v>1262</v>
      </c>
      <c r="W108" s="5" t="s">
        <v>1523</v>
      </c>
      <c r="X108" s="5" t="s">
        <v>1735</v>
      </c>
      <c r="Y108" s="5" t="s">
        <v>1750</v>
      </c>
      <c r="Z108" s="5" t="s">
        <v>1751</v>
      </c>
    </row>
    <row r="109" spans="1:26" x14ac:dyDescent="0.15">
      <c r="B109" s="14" t="s">
        <v>1829</v>
      </c>
      <c r="D109" s="2" t="s">
        <v>1830</v>
      </c>
      <c r="F109" t="s">
        <v>531</v>
      </c>
      <c r="G109">
        <v>28.8</v>
      </c>
      <c r="J109" t="s">
        <v>531</v>
      </c>
      <c r="K109" t="s">
        <v>532</v>
      </c>
      <c r="L109" t="s">
        <v>533</v>
      </c>
      <c r="M109" t="s">
        <v>300</v>
      </c>
      <c r="N109" t="s">
        <v>264</v>
      </c>
      <c r="O109">
        <v>80</v>
      </c>
      <c r="P109" t="str">
        <f t="shared" si="1"/>
        <v>牛黄清心丸3g×6丸×80盒</v>
      </c>
      <c r="R109" s="3" t="s">
        <v>1046</v>
      </c>
      <c r="S109" s="3" t="s">
        <v>1264</v>
      </c>
      <c r="T109" s="3" t="s">
        <v>1265</v>
      </c>
      <c r="U109" s="3" t="s">
        <v>1264</v>
      </c>
      <c r="W109" s="5" t="s">
        <v>1523</v>
      </c>
      <c r="X109" s="5" t="s">
        <v>1735</v>
      </c>
      <c r="Y109" s="5" t="s">
        <v>1752</v>
      </c>
      <c r="Z109" s="5" t="s">
        <v>1753</v>
      </c>
    </row>
    <row r="110" spans="1:26" x14ac:dyDescent="0.15">
      <c r="B110" s="14" t="s">
        <v>1831</v>
      </c>
      <c r="D110" s="2" t="s">
        <v>1832</v>
      </c>
      <c r="F110" t="s">
        <v>534</v>
      </c>
      <c r="G110">
        <v>6.45</v>
      </c>
      <c r="J110" t="s">
        <v>534</v>
      </c>
      <c r="K110" t="s">
        <v>535</v>
      </c>
      <c r="L110" t="s">
        <v>465</v>
      </c>
      <c r="M110" t="s">
        <v>300</v>
      </c>
      <c r="N110" t="s">
        <v>264</v>
      </c>
      <c r="O110">
        <v>100</v>
      </c>
      <c r="P110" t="str">
        <f t="shared" si="1"/>
        <v>牛黄上清丸(OTC)6g×10丸×100盒</v>
      </c>
      <c r="R110" s="3" t="s">
        <v>1046</v>
      </c>
      <c r="S110" s="3" t="s">
        <v>1266</v>
      </c>
      <c r="T110" s="3" t="s">
        <v>1267</v>
      </c>
      <c r="U110" s="3" t="s">
        <v>1266</v>
      </c>
      <c r="W110" s="5" t="s">
        <v>1523</v>
      </c>
      <c r="X110" s="5" t="s">
        <v>1735</v>
      </c>
      <c r="Y110" s="5" t="s">
        <v>1754</v>
      </c>
      <c r="Z110" s="5" t="s">
        <v>1755</v>
      </c>
    </row>
    <row r="111" spans="1:26" x14ac:dyDescent="0.15">
      <c r="F111" t="s">
        <v>536</v>
      </c>
      <c r="G111">
        <v>4.95</v>
      </c>
      <c r="J111" t="s">
        <v>536</v>
      </c>
      <c r="K111" t="s">
        <v>537</v>
      </c>
      <c r="L111" t="s">
        <v>538</v>
      </c>
      <c r="M111" t="s">
        <v>300</v>
      </c>
      <c r="N111" t="s">
        <v>264</v>
      </c>
      <c r="O111">
        <v>400</v>
      </c>
      <c r="P111" t="str">
        <f t="shared" si="1"/>
        <v>牛黄消炎片0.05g*30</v>
      </c>
      <c r="R111" s="3" t="s">
        <v>1046</v>
      </c>
      <c r="S111" s="3" t="s">
        <v>1268</v>
      </c>
      <c r="T111" s="3" t="s">
        <v>1269</v>
      </c>
      <c r="U111" s="3" t="s">
        <v>1268</v>
      </c>
      <c r="W111" s="5" t="s">
        <v>1523</v>
      </c>
      <c r="X111" s="5" t="s">
        <v>1735</v>
      </c>
      <c r="Y111" s="5" t="s">
        <v>1756</v>
      </c>
      <c r="Z111" s="5" t="s">
        <v>1757</v>
      </c>
    </row>
    <row r="112" spans="1:26" x14ac:dyDescent="0.15">
      <c r="F112" t="s">
        <v>539</v>
      </c>
      <c r="G112">
        <v>5.6</v>
      </c>
      <c r="J112" t="s">
        <v>539</v>
      </c>
      <c r="K112" t="s">
        <v>540</v>
      </c>
      <c r="L112" t="s">
        <v>541</v>
      </c>
      <c r="M112" t="s">
        <v>300</v>
      </c>
      <c r="N112" t="s">
        <v>264</v>
      </c>
      <c r="O112">
        <v>400</v>
      </c>
      <c r="P112" t="str">
        <f t="shared" si="1"/>
        <v>牛黄消炎片（24片）24片×400盒</v>
      </c>
      <c r="R112" s="3" t="s">
        <v>1046</v>
      </c>
      <c r="S112" s="3" t="s">
        <v>1270</v>
      </c>
      <c r="T112" s="3" t="s">
        <v>1271</v>
      </c>
      <c r="U112" s="3" t="s">
        <v>1270</v>
      </c>
      <c r="W112" s="5" t="s">
        <v>1523</v>
      </c>
      <c r="X112" s="5" t="s">
        <v>1735</v>
      </c>
      <c r="Y112" s="5" t="s">
        <v>1758</v>
      </c>
      <c r="Z112" s="5" t="s">
        <v>1759</v>
      </c>
    </row>
    <row r="113" spans="6:26" x14ac:dyDescent="0.15">
      <c r="F113" t="s">
        <v>542</v>
      </c>
      <c r="G113">
        <v>1.5</v>
      </c>
      <c r="J113" t="s">
        <v>542</v>
      </c>
      <c r="K113" t="s">
        <v>543</v>
      </c>
      <c r="L113" t="s">
        <v>544</v>
      </c>
      <c r="M113" t="s">
        <v>247</v>
      </c>
      <c r="N113" t="s">
        <v>248</v>
      </c>
      <c r="O113">
        <v>800</v>
      </c>
      <c r="P113" t="str">
        <f t="shared" si="1"/>
        <v>诺氟沙星胶囊0.1g*20s*800盒</v>
      </c>
      <c r="R113" s="3" t="s">
        <v>1046</v>
      </c>
      <c r="S113" s="3" t="s">
        <v>1272</v>
      </c>
      <c r="T113" s="3" t="s">
        <v>1273</v>
      </c>
      <c r="U113" s="3" t="s">
        <v>1272</v>
      </c>
      <c r="W113" s="5" t="s">
        <v>1523</v>
      </c>
      <c r="X113" s="5" t="s">
        <v>1760</v>
      </c>
      <c r="Y113" s="5" t="s">
        <v>1761</v>
      </c>
      <c r="Z113" s="5" t="s">
        <v>1762</v>
      </c>
    </row>
    <row r="114" spans="6:26" x14ac:dyDescent="0.15">
      <c r="F114" t="s">
        <v>545</v>
      </c>
      <c r="G114">
        <v>2.1</v>
      </c>
      <c r="J114" t="s">
        <v>545</v>
      </c>
      <c r="K114" t="s">
        <v>543</v>
      </c>
      <c r="L114" t="s">
        <v>546</v>
      </c>
      <c r="M114" t="s">
        <v>247</v>
      </c>
      <c r="N114" t="s">
        <v>248</v>
      </c>
      <c r="O114">
        <v>500</v>
      </c>
      <c r="P114" t="str">
        <f t="shared" si="1"/>
        <v>诺氟沙星胶囊0.1g*30粒</v>
      </c>
      <c r="R114" s="3" t="s">
        <v>1274</v>
      </c>
      <c r="S114" s="3" t="s">
        <v>1275</v>
      </c>
      <c r="T114" s="3" t="s">
        <v>1276</v>
      </c>
      <c r="U114" s="3" t="s">
        <v>1275</v>
      </c>
      <c r="W114" s="5" t="s">
        <v>1523</v>
      </c>
      <c r="X114" s="5" t="s">
        <v>1760</v>
      </c>
      <c r="Y114" s="5" t="s">
        <v>1763</v>
      </c>
      <c r="Z114" s="5" t="s">
        <v>1764</v>
      </c>
    </row>
    <row r="115" spans="6:26" x14ac:dyDescent="0.15">
      <c r="F115" t="s">
        <v>547</v>
      </c>
      <c r="G115">
        <v>2.6</v>
      </c>
      <c r="J115" t="s">
        <v>547</v>
      </c>
      <c r="K115" t="s">
        <v>548</v>
      </c>
      <c r="L115" t="s">
        <v>549</v>
      </c>
      <c r="M115" t="s">
        <v>294</v>
      </c>
      <c r="N115" t="s">
        <v>264</v>
      </c>
      <c r="O115">
        <v>200</v>
      </c>
      <c r="P115" t="str">
        <f t="shared" si="1"/>
        <v>诺氟沙星胶囊(委托)0.1g×48粒×200盒</v>
      </c>
      <c r="R115" s="3" t="s">
        <v>1046</v>
      </c>
      <c r="S115" s="3" t="s">
        <v>1277</v>
      </c>
      <c r="T115" s="3" t="s">
        <v>1278</v>
      </c>
      <c r="U115" s="3" t="s">
        <v>1277</v>
      </c>
      <c r="W115" s="5" t="s">
        <v>1523</v>
      </c>
      <c r="X115" s="5" t="s">
        <v>1760</v>
      </c>
      <c r="Y115" s="5" t="s">
        <v>1765</v>
      </c>
      <c r="Z115" s="5" t="s">
        <v>1766</v>
      </c>
    </row>
    <row r="116" spans="6:26" x14ac:dyDescent="0.15">
      <c r="F116" t="s">
        <v>550</v>
      </c>
      <c r="G116">
        <v>16.600000000000001</v>
      </c>
      <c r="J116" t="s">
        <v>550</v>
      </c>
      <c r="K116" t="s">
        <v>551</v>
      </c>
      <c r="L116" t="s">
        <v>403</v>
      </c>
      <c r="M116" t="s">
        <v>334</v>
      </c>
      <c r="N116" t="s">
        <v>248</v>
      </c>
      <c r="O116">
        <v>80</v>
      </c>
      <c r="P116" t="str">
        <f t="shared" si="1"/>
        <v>葡萄糖酸钙口服溶液（有糖）10ml×12支×80盒</v>
      </c>
      <c r="R116" s="3" t="s">
        <v>1046</v>
      </c>
      <c r="S116" s="3" t="s">
        <v>1279</v>
      </c>
      <c r="T116" s="3" t="s">
        <v>1280</v>
      </c>
      <c r="U116" s="3" t="s">
        <v>1279</v>
      </c>
      <c r="W116" s="5" t="s">
        <v>1523</v>
      </c>
      <c r="X116" s="5" t="s">
        <v>1760</v>
      </c>
      <c r="Y116" s="5" t="s">
        <v>1767</v>
      </c>
      <c r="Z116" s="5" t="s">
        <v>1768</v>
      </c>
    </row>
    <row r="117" spans="6:26" x14ac:dyDescent="0.15">
      <c r="F117" t="s">
        <v>552</v>
      </c>
      <c r="G117">
        <v>17.3</v>
      </c>
      <c r="J117" t="s">
        <v>552</v>
      </c>
      <c r="K117" t="s">
        <v>553</v>
      </c>
      <c r="L117" t="s">
        <v>403</v>
      </c>
      <c r="M117" t="s">
        <v>334</v>
      </c>
      <c r="N117" t="s">
        <v>264</v>
      </c>
      <c r="O117">
        <v>80</v>
      </c>
      <c r="P117" t="str">
        <f t="shared" si="1"/>
        <v>葡萄糖酸锌口服溶液（药字号）10ml×12支×80盒</v>
      </c>
      <c r="R117" s="3" t="s">
        <v>1046</v>
      </c>
      <c r="S117" s="3" t="s">
        <v>1281</v>
      </c>
      <c r="T117" s="3" t="s">
        <v>1282</v>
      </c>
      <c r="U117" s="3" t="s">
        <v>1281</v>
      </c>
      <c r="W117" s="5" t="s">
        <v>1523</v>
      </c>
      <c r="X117" s="5" t="s">
        <v>1760</v>
      </c>
      <c r="Y117" s="5" t="s">
        <v>1769</v>
      </c>
      <c r="Z117" s="5" t="s">
        <v>1770</v>
      </c>
    </row>
    <row r="118" spans="6:26" x14ac:dyDescent="0.15">
      <c r="F118" t="s">
        <v>554</v>
      </c>
      <c r="G118">
        <v>17.3</v>
      </c>
      <c r="J118" t="s">
        <v>554</v>
      </c>
      <c r="K118" t="s">
        <v>555</v>
      </c>
      <c r="L118" t="s">
        <v>403</v>
      </c>
      <c r="M118" t="s">
        <v>334</v>
      </c>
      <c r="N118" t="s">
        <v>248</v>
      </c>
      <c r="O118">
        <v>80</v>
      </c>
      <c r="P118" t="str">
        <f t="shared" si="1"/>
        <v>葡萄糖酸锌口服液10ml×12支×80盒</v>
      </c>
      <c r="R118" s="3" t="s">
        <v>1046</v>
      </c>
      <c r="S118" s="3" t="s">
        <v>1283</v>
      </c>
      <c r="T118" s="3" t="s">
        <v>1284</v>
      </c>
      <c r="U118" s="3" t="s">
        <v>1283</v>
      </c>
      <c r="W118" s="5" t="s">
        <v>1523</v>
      </c>
      <c r="X118" s="5" t="s">
        <v>1760</v>
      </c>
      <c r="Y118" s="5" t="s">
        <v>1771</v>
      </c>
      <c r="Z118" s="5" t="s">
        <v>1772</v>
      </c>
    </row>
    <row r="119" spans="6:26" x14ac:dyDescent="0.15">
      <c r="F119" t="s">
        <v>556</v>
      </c>
      <c r="G119">
        <v>12.6</v>
      </c>
      <c r="J119" t="s">
        <v>556</v>
      </c>
      <c r="K119" t="s">
        <v>557</v>
      </c>
      <c r="L119" t="s">
        <v>403</v>
      </c>
      <c r="M119" t="s">
        <v>294</v>
      </c>
      <c r="N119" t="s">
        <v>248</v>
      </c>
      <c r="O119">
        <v>80</v>
      </c>
      <c r="P119" t="str">
        <f t="shared" si="1"/>
        <v>朴雪乳酸亚铁口服液10ml×12支×80盒</v>
      </c>
      <c r="R119" s="3" t="s">
        <v>1046</v>
      </c>
      <c r="S119" s="3" t="s">
        <v>1285</v>
      </c>
      <c r="T119" s="3" t="s">
        <v>1286</v>
      </c>
      <c r="U119" s="3" t="s">
        <v>1285</v>
      </c>
      <c r="W119" s="5" t="s">
        <v>1523</v>
      </c>
      <c r="X119" s="5" t="s">
        <v>1760</v>
      </c>
      <c r="Y119" s="5" t="s">
        <v>1773</v>
      </c>
      <c r="Z119" s="5" t="s">
        <v>1774</v>
      </c>
    </row>
    <row r="120" spans="6:26" x14ac:dyDescent="0.15">
      <c r="F120" t="s">
        <v>558</v>
      </c>
      <c r="G120">
        <v>20.2</v>
      </c>
      <c r="J120" t="s">
        <v>558</v>
      </c>
      <c r="K120" t="s">
        <v>557</v>
      </c>
      <c r="L120" t="s">
        <v>559</v>
      </c>
      <c r="M120" t="s">
        <v>294</v>
      </c>
      <c r="N120" t="s">
        <v>248</v>
      </c>
      <c r="O120">
        <v>30</v>
      </c>
      <c r="P120" t="str">
        <f t="shared" si="1"/>
        <v>朴雪乳酸亚铁口服液20ml×10支×30盒</v>
      </c>
      <c r="R120" s="3" t="s">
        <v>1046</v>
      </c>
      <c r="S120" s="3" t="s">
        <v>1287</v>
      </c>
      <c r="T120" s="3" t="s">
        <v>1288</v>
      </c>
      <c r="U120" s="3" t="s">
        <v>1287</v>
      </c>
      <c r="W120" s="5" t="s">
        <v>1523</v>
      </c>
      <c r="X120" s="5" t="s">
        <v>1760</v>
      </c>
      <c r="Y120" s="5" t="s">
        <v>1775</v>
      </c>
      <c r="Z120" s="5" t="s">
        <v>1776</v>
      </c>
    </row>
    <row r="121" spans="6:26" x14ac:dyDescent="0.15">
      <c r="F121" t="s">
        <v>560</v>
      </c>
      <c r="G121">
        <v>7</v>
      </c>
      <c r="J121" t="s">
        <v>560</v>
      </c>
      <c r="K121" t="s">
        <v>561</v>
      </c>
      <c r="L121" t="s">
        <v>299</v>
      </c>
      <c r="M121" t="s">
        <v>300</v>
      </c>
      <c r="N121" t="s">
        <v>264</v>
      </c>
      <c r="O121">
        <v>100</v>
      </c>
      <c r="P121" t="str">
        <f t="shared" si="1"/>
        <v>杞菊地黄丸(OTC)9g×10丸×100盒</v>
      </c>
      <c r="R121" s="3" t="s">
        <v>1046</v>
      </c>
      <c r="S121" s="3" t="s">
        <v>1289</v>
      </c>
      <c r="T121" s="3" t="s">
        <v>1290</v>
      </c>
      <c r="U121" s="3" t="s">
        <v>1289</v>
      </c>
      <c r="W121" s="5" t="s">
        <v>1523</v>
      </c>
      <c r="X121" s="5" t="s">
        <v>1760</v>
      </c>
      <c r="Y121" s="5" t="s">
        <v>1777</v>
      </c>
      <c r="Z121" s="5" t="s">
        <v>1778</v>
      </c>
    </row>
    <row r="122" spans="6:26" x14ac:dyDescent="0.15">
      <c r="F122" t="s">
        <v>562</v>
      </c>
      <c r="G122">
        <v>4.54</v>
      </c>
      <c r="J122" t="s">
        <v>562</v>
      </c>
      <c r="K122" t="s">
        <v>563</v>
      </c>
      <c r="L122" t="s">
        <v>356</v>
      </c>
      <c r="M122" t="s">
        <v>300</v>
      </c>
      <c r="N122" t="s">
        <v>264</v>
      </c>
      <c r="O122">
        <v>100</v>
      </c>
      <c r="P122" t="str">
        <f t="shared" si="1"/>
        <v>启脾丸（OTC）3g×10丸×100盒</v>
      </c>
      <c r="R122" s="3" t="s">
        <v>1046</v>
      </c>
      <c r="S122" s="3" t="s">
        <v>1291</v>
      </c>
      <c r="T122" s="3" t="s">
        <v>1292</v>
      </c>
      <c r="U122" s="3" t="s">
        <v>1291</v>
      </c>
      <c r="W122" s="5" t="s">
        <v>1523</v>
      </c>
      <c r="X122" s="5" t="s">
        <v>1760</v>
      </c>
      <c r="Y122" s="5" t="s">
        <v>1779</v>
      </c>
      <c r="Z122" s="5" t="s">
        <v>1780</v>
      </c>
    </row>
    <row r="123" spans="6:26" x14ac:dyDescent="0.15">
      <c r="F123" t="s">
        <v>564</v>
      </c>
      <c r="G123">
        <v>11</v>
      </c>
      <c r="J123" t="s">
        <v>564</v>
      </c>
      <c r="K123" t="s">
        <v>565</v>
      </c>
      <c r="L123" t="s">
        <v>566</v>
      </c>
      <c r="M123" t="s">
        <v>567</v>
      </c>
      <c r="N123" t="s">
        <v>568</v>
      </c>
      <c r="O123">
        <v>300</v>
      </c>
      <c r="P123" t="str">
        <f t="shared" si="1"/>
        <v>前列地尔注射液1ml：5ug</v>
      </c>
      <c r="R123" s="3" t="s">
        <v>1046</v>
      </c>
      <c r="S123" s="3" t="s">
        <v>1293</v>
      </c>
      <c r="T123" s="3" t="s">
        <v>1294</v>
      </c>
      <c r="U123" s="3" t="s">
        <v>1293</v>
      </c>
      <c r="W123" s="5" t="s">
        <v>1523</v>
      </c>
      <c r="X123" s="5" t="s">
        <v>1760</v>
      </c>
      <c r="Y123" s="5" t="s">
        <v>1781</v>
      </c>
      <c r="Z123" s="5" t="s">
        <v>1782</v>
      </c>
    </row>
    <row r="124" spans="6:26" x14ac:dyDescent="0.15">
      <c r="F124" t="s">
        <v>569</v>
      </c>
      <c r="G124">
        <v>21</v>
      </c>
      <c r="J124" t="s">
        <v>569</v>
      </c>
      <c r="K124" t="s">
        <v>565</v>
      </c>
      <c r="L124" t="s">
        <v>570</v>
      </c>
      <c r="M124" t="s">
        <v>567</v>
      </c>
      <c r="N124" t="s">
        <v>568</v>
      </c>
      <c r="O124">
        <v>300</v>
      </c>
      <c r="P124" t="str">
        <f t="shared" si="1"/>
        <v>前列地尔注射液2ml：10ug</v>
      </c>
      <c r="R124" s="3" t="s">
        <v>1046</v>
      </c>
      <c r="S124" s="3" t="s">
        <v>1295</v>
      </c>
      <c r="T124" s="3" t="s">
        <v>1296</v>
      </c>
      <c r="U124" s="3" t="s">
        <v>1295</v>
      </c>
      <c r="W124" s="5" t="s">
        <v>1523</v>
      </c>
      <c r="X124" s="5" t="s">
        <v>1760</v>
      </c>
      <c r="Y124" s="5" t="s">
        <v>1783</v>
      </c>
      <c r="Z124" s="5" t="s">
        <v>1784</v>
      </c>
    </row>
    <row r="125" spans="6:26" x14ac:dyDescent="0.15">
      <c r="F125" t="s">
        <v>571</v>
      </c>
      <c r="G125">
        <v>9.5</v>
      </c>
      <c r="J125" t="s">
        <v>571</v>
      </c>
      <c r="K125" t="s">
        <v>572</v>
      </c>
      <c r="L125" t="s">
        <v>573</v>
      </c>
      <c r="M125" t="s">
        <v>389</v>
      </c>
      <c r="N125" t="s">
        <v>248</v>
      </c>
      <c r="O125">
        <v>180</v>
      </c>
      <c r="P125" t="str">
        <f t="shared" si="1"/>
        <v>强力脑清素片60片*180盒</v>
      </c>
      <c r="R125" s="3" t="s">
        <v>1046</v>
      </c>
      <c r="S125" s="3" t="s">
        <v>1297</v>
      </c>
      <c r="T125" s="3" t="s">
        <v>1298</v>
      </c>
      <c r="U125" s="3" t="s">
        <v>1297</v>
      </c>
      <c r="W125" s="5" t="s">
        <v>1523</v>
      </c>
      <c r="X125" s="5" t="s">
        <v>1785</v>
      </c>
      <c r="Y125" s="5" t="s">
        <v>1786</v>
      </c>
      <c r="Z125" s="5" t="s">
        <v>1787</v>
      </c>
    </row>
    <row r="126" spans="6:26" x14ac:dyDescent="0.15">
      <c r="F126" t="s">
        <v>574</v>
      </c>
      <c r="G126">
        <v>1.65</v>
      </c>
      <c r="J126" t="s">
        <v>574</v>
      </c>
      <c r="K126" t="s">
        <v>575</v>
      </c>
      <c r="L126" t="s">
        <v>576</v>
      </c>
      <c r="M126" t="s">
        <v>247</v>
      </c>
      <c r="N126" t="s">
        <v>248</v>
      </c>
      <c r="O126">
        <v>600</v>
      </c>
      <c r="P126" t="str">
        <f t="shared" si="1"/>
        <v>青霉素V钾片0.236g*12t*600盒</v>
      </c>
      <c r="R126" s="3" t="s">
        <v>1046</v>
      </c>
      <c r="S126" s="3" t="s">
        <v>1299</v>
      </c>
      <c r="T126" s="3" t="s">
        <v>1300</v>
      </c>
      <c r="U126" s="3" t="s">
        <v>1299</v>
      </c>
      <c r="W126" s="5" t="s">
        <v>1523</v>
      </c>
      <c r="X126" s="5" t="s">
        <v>1785</v>
      </c>
      <c r="Y126" s="5" t="s">
        <v>1605</v>
      </c>
      <c r="Z126" s="5" t="s">
        <v>1788</v>
      </c>
    </row>
    <row r="127" spans="6:26" x14ac:dyDescent="0.15">
      <c r="F127" t="s">
        <v>577</v>
      </c>
      <c r="G127">
        <v>2.6</v>
      </c>
      <c r="J127" t="s">
        <v>577</v>
      </c>
      <c r="K127" t="s">
        <v>578</v>
      </c>
      <c r="L127" t="s">
        <v>579</v>
      </c>
      <c r="M127" t="s">
        <v>247</v>
      </c>
      <c r="N127" t="s">
        <v>248</v>
      </c>
      <c r="O127">
        <v>600</v>
      </c>
      <c r="P127" t="str">
        <f t="shared" si="1"/>
        <v>青霉素V钾片（仙芬）0.236g*24t*600盒</v>
      </c>
      <c r="R127" s="3" t="s">
        <v>1046</v>
      </c>
      <c r="S127" s="3" t="s">
        <v>1301</v>
      </c>
      <c r="T127" s="3" t="s">
        <v>1302</v>
      </c>
      <c r="U127" s="3" t="s">
        <v>1301</v>
      </c>
      <c r="W127" s="5" t="s">
        <v>1523</v>
      </c>
      <c r="X127" s="5" t="s">
        <v>1785</v>
      </c>
      <c r="Y127" s="5" t="s">
        <v>1789</v>
      </c>
      <c r="Z127" s="5" t="s">
        <v>1790</v>
      </c>
    </row>
    <row r="128" spans="6:26" x14ac:dyDescent="0.15">
      <c r="F128" t="s">
        <v>580</v>
      </c>
      <c r="G128">
        <v>11.3</v>
      </c>
      <c r="J128" t="s">
        <v>580</v>
      </c>
      <c r="K128" t="s">
        <v>581</v>
      </c>
      <c r="L128" t="s">
        <v>330</v>
      </c>
      <c r="M128" t="s">
        <v>326</v>
      </c>
      <c r="N128" t="s">
        <v>248</v>
      </c>
      <c r="O128">
        <v>80</v>
      </c>
      <c r="P128" t="str">
        <f t="shared" si="1"/>
        <v>清热解毒口服液10ml×10支×80盒</v>
      </c>
      <c r="R128" s="3" t="s">
        <v>1046</v>
      </c>
      <c r="S128" s="3" t="s">
        <v>1303</v>
      </c>
      <c r="T128" s="3" t="s">
        <v>1304</v>
      </c>
      <c r="U128" s="3" t="s">
        <v>1303</v>
      </c>
      <c r="W128" s="5" t="s">
        <v>1523</v>
      </c>
      <c r="X128" s="5" t="s">
        <v>1785</v>
      </c>
      <c r="Y128" s="5" t="s">
        <v>1791</v>
      </c>
      <c r="Z128" s="5" t="s">
        <v>1792</v>
      </c>
    </row>
    <row r="129" spans="6:26" x14ac:dyDescent="0.15">
      <c r="F129" t="s">
        <v>582</v>
      </c>
      <c r="G129">
        <v>24.5</v>
      </c>
      <c r="H129">
        <v>27.2</v>
      </c>
      <c r="I129">
        <v>68</v>
      </c>
      <c r="J129" t="s">
        <v>582</v>
      </c>
      <c r="K129" t="s">
        <v>583</v>
      </c>
      <c r="L129" t="s">
        <v>584</v>
      </c>
      <c r="M129" t="s">
        <v>334</v>
      </c>
      <c r="N129" t="s">
        <v>264</v>
      </c>
      <c r="O129">
        <v>60</v>
      </c>
      <c r="P129" t="str">
        <f t="shared" si="1"/>
        <v>人参蜂王浆口服液12支*60盒</v>
      </c>
      <c r="R129" s="3" t="s">
        <v>1046</v>
      </c>
      <c r="S129" s="3" t="s">
        <v>1305</v>
      </c>
      <c r="T129" s="3" t="s">
        <v>1306</v>
      </c>
      <c r="U129" s="3" t="s">
        <v>1305</v>
      </c>
      <c r="W129" s="5" t="s">
        <v>1523</v>
      </c>
      <c r="X129" s="5" t="s">
        <v>1785</v>
      </c>
      <c r="Y129" s="5" t="s">
        <v>1793</v>
      </c>
      <c r="Z129" s="5" t="s">
        <v>1794</v>
      </c>
    </row>
    <row r="130" spans="6:26" x14ac:dyDescent="0.15">
      <c r="F130" t="s">
        <v>585</v>
      </c>
      <c r="G130">
        <v>1.76</v>
      </c>
      <c r="J130" t="s">
        <v>585</v>
      </c>
      <c r="K130" t="s">
        <v>586</v>
      </c>
      <c r="L130" t="s">
        <v>587</v>
      </c>
      <c r="M130" t="s">
        <v>263</v>
      </c>
      <c r="N130" t="s">
        <v>248</v>
      </c>
      <c r="O130">
        <v>480</v>
      </c>
      <c r="P130" t="str">
        <f t="shared" si="1"/>
        <v>人工牛黄甲硝唑胶囊10粒×2板×480盒</v>
      </c>
      <c r="R130" s="3" t="s">
        <v>1046</v>
      </c>
      <c r="S130" s="3" t="s">
        <v>1307</v>
      </c>
      <c r="T130" s="3" t="s">
        <v>1308</v>
      </c>
      <c r="U130" s="3" t="s">
        <v>1307</v>
      </c>
      <c r="W130" s="5" t="s">
        <v>1523</v>
      </c>
      <c r="X130" s="5" t="s">
        <v>1785</v>
      </c>
      <c r="Y130" s="5" t="s">
        <v>1795</v>
      </c>
      <c r="Z130" s="5" t="s">
        <v>1796</v>
      </c>
    </row>
    <row r="131" spans="6:26" x14ac:dyDescent="0.15">
      <c r="F131" t="s">
        <v>588</v>
      </c>
      <c r="G131">
        <v>2.63</v>
      </c>
      <c r="J131" t="s">
        <v>588</v>
      </c>
      <c r="K131" t="s">
        <v>586</v>
      </c>
      <c r="L131" t="s">
        <v>589</v>
      </c>
      <c r="M131" t="s">
        <v>263</v>
      </c>
      <c r="N131" t="s">
        <v>248</v>
      </c>
      <c r="O131">
        <v>480</v>
      </c>
      <c r="P131" t="str">
        <f t="shared" ref="P131:P194" si="2">K131&amp;L131</f>
        <v>人工牛黄甲硝唑胶囊10粒×3板×480盒</v>
      </c>
      <c r="R131" s="3" t="s">
        <v>1046</v>
      </c>
      <c r="S131" s="3" t="s">
        <v>1309</v>
      </c>
      <c r="T131" s="3" t="s">
        <v>1310</v>
      </c>
      <c r="U131" s="3" t="s">
        <v>1309</v>
      </c>
      <c r="W131" s="5" t="s">
        <v>1523</v>
      </c>
      <c r="X131" s="5" t="s">
        <v>1797</v>
      </c>
      <c r="Y131" s="5" t="s">
        <v>1798</v>
      </c>
      <c r="Z131" s="5" t="s">
        <v>1799</v>
      </c>
    </row>
    <row r="132" spans="6:26" x14ac:dyDescent="0.15">
      <c r="F132" t="s">
        <v>590</v>
      </c>
      <c r="G132">
        <v>3.2</v>
      </c>
      <c r="J132" t="s">
        <v>590</v>
      </c>
      <c r="K132" t="s">
        <v>591</v>
      </c>
      <c r="L132" t="s">
        <v>592</v>
      </c>
      <c r="M132" t="s">
        <v>294</v>
      </c>
      <c r="N132" t="s">
        <v>248</v>
      </c>
      <c r="O132">
        <v>400</v>
      </c>
      <c r="P132" t="str">
        <f t="shared" si="2"/>
        <v>乳酸菌素片0.4g×36片×10袋×40中盒</v>
      </c>
      <c r="R132" s="3" t="s">
        <v>1046</v>
      </c>
      <c r="S132" s="3" t="s">
        <v>1311</v>
      </c>
      <c r="T132" s="3" t="s">
        <v>1312</v>
      </c>
      <c r="U132" s="3" t="s">
        <v>1311</v>
      </c>
      <c r="W132" s="5" t="s">
        <v>1523</v>
      </c>
      <c r="X132" s="5" t="s">
        <v>1797</v>
      </c>
      <c r="Y132" s="5" t="s">
        <v>1800</v>
      </c>
      <c r="Z132" s="5" t="s">
        <v>1801</v>
      </c>
    </row>
    <row r="133" spans="6:26" x14ac:dyDescent="0.15">
      <c r="F133" t="s">
        <v>593</v>
      </c>
      <c r="G133">
        <v>5.5</v>
      </c>
      <c r="J133" t="s">
        <v>593</v>
      </c>
      <c r="K133" t="s">
        <v>594</v>
      </c>
      <c r="L133" t="s">
        <v>595</v>
      </c>
      <c r="M133" t="s">
        <v>294</v>
      </c>
      <c r="N133" t="s">
        <v>248</v>
      </c>
      <c r="O133">
        <v>200</v>
      </c>
      <c r="P133" t="str">
        <f t="shared" si="2"/>
        <v>乳酸菌素片“为消”牌0.4g×36片×200盒</v>
      </c>
      <c r="R133" s="3" t="s">
        <v>1046</v>
      </c>
      <c r="S133" s="3" t="s">
        <v>1313</v>
      </c>
      <c r="T133" s="3" t="s">
        <v>1314</v>
      </c>
      <c r="U133" s="3" t="s">
        <v>1313</v>
      </c>
      <c r="W133" s="5" t="s">
        <v>1523</v>
      </c>
      <c r="X133" s="5" t="s">
        <v>1797</v>
      </c>
      <c r="Y133" s="5" t="s">
        <v>1802</v>
      </c>
      <c r="Z133" s="5" t="s">
        <v>1803</v>
      </c>
    </row>
    <row r="134" spans="6:26" x14ac:dyDescent="0.15">
      <c r="F134" t="s">
        <v>596</v>
      </c>
      <c r="G134">
        <v>6</v>
      </c>
      <c r="H134">
        <v>6.6</v>
      </c>
      <c r="I134">
        <v>14.8</v>
      </c>
      <c r="J134" t="s">
        <v>596</v>
      </c>
      <c r="K134" t="s">
        <v>597</v>
      </c>
      <c r="L134" t="s">
        <v>598</v>
      </c>
      <c r="M134" t="s">
        <v>599</v>
      </c>
      <c r="N134" t="s">
        <v>264</v>
      </c>
      <c r="O134">
        <v>48</v>
      </c>
      <c r="P134" t="str">
        <f t="shared" si="2"/>
        <v>三精双黄连植物精华皂102×48块102g*48盒</v>
      </c>
      <c r="R134" s="3" t="s">
        <v>1046</v>
      </c>
      <c r="S134" s="3" t="s">
        <v>1315</v>
      </c>
      <c r="T134" s="3" t="s">
        <v>1316</v>
      </c>
      <c r="U134" s="3" t="s">
        <v>1315</v>
      </c>
      <c r="W134" s="5" t="s">
        <v>1523</v>
      </c>
      <c r="X134" s="5" t="s">
        <v>1797</v>
      </c>
      <c r="Y134" s="5" t="s">
        <v>1804</v>
      </c>
      <c r="Z134" s="5" t="s">
        <v>1805</v>
      </c>
    </row>
    <row r="135" spans="6:26" x14ac:dyDescent="0.15">
      <c r="F135" t="s">
        <v>600</v>
      </c>
      <c r="G135">
        <v>9.8000000000000007</v>
      </c>
      <c r="J135" t="s">
        <v>600</v>
      </c>
      <c r="K135" t="s">
        <v>601</v>
      </c>
      <c r="L135" t="s">
        <v>602</v>
      </c>
      <c r="M135" t="s">
        <v>300</v>
      </c>
      <c r="N135" t="s">
        <v>264</v>
      </c>
      <c r="O135">
        <v>120</v>
      </c>
      <c r="P135" t="str">
        <f t="shared" si="2"/>
        <v>麝香接骨胶囊0.3g×40粒×120盒</v>
      </c>
      <c r="R135" s="3" t="s">
        <v>1046</v>
      </c>
      <c r="S135" s="3" t="s">
        <v>1317</v>
      </c>
      <c r="T135" s="3" t="s">
        <v>1318</v>
      </c>
      <c r="U135" s="3" t="s">
        <v>1317</v>
      </c>
      <c r="W135" s="5" t="s">
        <v>1523</v>
      </c>
      <c r="X135" s="5" t="s">
        <v>1797</v>
      </c>
      <c r="Y135" s="5" t="s">
        <v>1806</v>
      </c>
      <c r="Z135" s="5" t="s">
        <v>1807</v>
      </c>
    </row>
    <row r="136" spans="6:26" x14ac:dyDescent="0.15">
      <c r="F136" t="s">
        <v>603</v>
      </c>
      <c r="G136">
        <v>4.2</v>
      </c>
      <c r="J136" t="s">
        <v>603</v>
      </c>
      <c r="K136" t="s">
        <v>604</v>
      </c>
      <c r="L136" t="s">
        <v>605</v>
      </c>
      <c r="M136" t="s">
        <v>294</v>
      </c>
      <c r="N136" t="s">
        <v>264</v>
      </c>
      <c r="O136">
        <v>300</v>
      </c>
      <c r="P136" t="str">
        <f t="shared" si="2"/>
        <v>麝香壮骨膏2袋*6贴</v>
      </c>
      <c r="R136" s="3" t="s">
        <v>1046</v>
      </c>
      <c r="S136" s="3" t="s">
        <v>1319</v>
      </c>
      <c r="T136" s="3" t="s">
        <v>1320</v>
      </c>
      <c r="U136" s="3" t="s">
        <v>1319</v>
      </c>
      <c r="W136" s="5" t="s">
        <v>1523</v>
      </c>
      <c r="X136" s="5" t="s">
        <v>1797</v>
      </c>
      <c r="Y136" s="5" t="s">
        <v>1808</v>
      </c>
      <c r="Z136" s="5" t="s">
        <v>1809</v>
      </c>
    </row>
    <row r="137" spans="6:26" x14ac:dyDescent="0.15">
      <c r="F137" t="s">
        <v>606</v>
      </c>
      <c r="G137">
        <v>11.8</v>
      </c>
      <c r="J137" t="s">
        <v>606</v>
      </c>
      <c r="K137" t="s">
        <v>607</v>
      </c>
      <c r="L137" t="s">
        <v>608</v>
      </c>
      <c r="M137" t="s">
        <v>326</v>
      </c>
      <c r="N137" t="s">
        <v>248</v>
      </c>
      <c r="O137">
        <v>60</v>
      </c>
      <c r="P137" t="str">
        <f t="shared" si="2"/>
        <v>生脉饮（党参方）10ml×10支×60盒</v>
      </c>
      <c r="R137" s="3" t="s">
        <v>1046</v>
      </c>
      <c r="S137" s="3" t="s">
        <v>1321</v>
      </c>
      <c r="T137" s="3" t="s">
        <v>1322</v>
      </c>
      <c r="U137" s="3" t="s">
        <v>1321</v>
      </c>
      <c r="W137" s="5" t="s">
        <v>1523</v>
      </c>
      <c r="X137" s="5" t="s">
        <v>1797</v>
      </c>
      <c r="Y137" s="5" t="s">
        <v>1810</v>
      </c>
      <c r="Z137" s="5" t="s">
        <v>1811</v>
      </c>
    </row>
    <row r="138" spans="6:26" x14ac:dyDescent="0.15">
      <c r="F138" t="s">
        <v>609</v>
      </c>
      <c r="G138">
        <v>6.1</v>
      </c>
      <c r="J138" t="s">
        <v>609</v>
      </c>
      <c r="K138" t="s">
        <v>610</v>
      </c>
      <c r="L138" t="s">
        <v>299</v>
      </c>
      <c r="M138" t="s">
        <v>300</v>
      </c>
      <c r="N138" t="s">
        <v>264</v>
      </c>
      <c r="O138">
        <v>100</v>
      </c>
      <c r="P138" t="str">
        <f t="shared" si="2"/>
        <v>十全大补丸(OTC)9g×10丸×100盒</v>
      </c>
      <c r="R138" s="3" t="s">
        <v>1046</v>
      </c>
      <c r="S138" s="3" t="s">
        <v>1323</v>
      </c>
      <c r="T138" s="3" t="s">
        <v>1324</v>
      </c>
      <c r="U138" s="3" t="s">
        <v>1323</v>
      </c>
      <c r="W138" s="5" t="s">
        <v>1523</v>
      </c>
      <c r="X138" s="5" t="s">
        <v>1797</v>
      </c>
      <c r="Y138" s="5" t="s">
        <v>1812</v>
      </c>
      <c r="Z138" s="5" t="s">
        <v>1813</v>
      </c>
    </row>
    <row r="139" spans="6:26" x14ac:dyDescent="0.15">
      <c r="F139" t="s">
        <v>611</v>
      </c>
      <c r="G139">
        <v>8.5</v>
      </c>
      <c r="J139" t="s">
        <v>611</v>
      </c>
      <c r="K139" t="s">
        <v>612</v>
      </c>
      <c r="L139" t="s">
        <v>465</v>
      </c>
      <c r="M139" t="s">
        <v>300</v>
      </c>
      <c r="N139" t="s">
        <v>264</v>
      </c>
      <c r="O139">
        <v>100</v>
      </c>
      <c r="P139" t="str">
        <f t="shared" si="2"/>
        <v>舒肝丸6g×10丸×100盒</v>
      </c>
      <c r="R139" s="3" t="s">
        <v>1046</v>
      </c>
      <c r="S139" s="3" t="s">
        <v>1325</v>
      </c>
      <c r="T139" s="3" t="s">
        <v>1326</v>
      </c>
      <c r="U139" s="3" t="s">
        <v>1325</v>
      </c>
    </row>
    <row r="140" spans="6:26" x14ac:dyDescent="0.15">
      <c r="F140" t="s">
        <v>613</v>
      </c>
      <c r="G140">
        <v>5.3</v>
      </c>
      <c r="J140" t="s">
        <v>613</v>
      </c>
      <c r="K140" t="s">
        <v>614</v>
      </c>
      <c r="L140" t="s">
        <v>615</v>
      </c>
      <c r="M140" t="s">
        <v>326</v>
      </c>
      <c r="N140" t="s">
        <v>616</v>
      </c>
      <c r="O140">
        <v>960</v>
      </c>
      <c r="P140" t="str">
        <f t="shared" si="2"/>
        <v>双黄连粉针（80盒）600mg×12支×80盒</v>
      </c>
      <c r="R140" s="3" t="s">
        <v>1046</v>
      </c>
      <c r="S140" s="3" t="s">
        <v>1327</v>
      </c>
      <c r="T140" s="3" t="s">
        <v>1328</v>
      </c>
      <c r="U140" s="3" t="s">
        <v>1327</v>
      </c>
    </row>
    <row r="141" spans="6:26" x14ac:dyDescent="0.15">
      <c r="F141" t="s">
        <v>617</v>
      </c>
      <c r="G141">
        <v>5.3</v>
      </c>
      <c r="J141" t="s">
        <v>617</v>
      </c>
      <c r="K141" t="s">
        <v>618</v>
      </c>
      <c r="L141" t="s">
        <v>619</v>
      </c>
      <c r="M141" t="s">
        <v>326</v>
      </c>
      <c r="N141" t="s">
        <v>568</v>
      </c>
      <c r="O141">
        <v>720</v>
      </c>
      <c r="P141" t="str">
        <f t="shared" si="2"/>
        <v>双黄连粉针剂（120盒）600mg×6支×120盒</v>
      </c>
      <c r="R141" s="3" t="s">
        <v>1046</v>
      </c>
      <c r="S141" s="3" t="s">
        <v>1329</v>
      </c>
      <c r="T141" s="3" t="s">
        <v>1330</v>
      </c>
      <c r="U141" s="3" t="s">
        <v>1329</v>
      </c>
    </row>
    <row r="142" spans="6:26" x14ac:dyDescent="0.15">
      <c r="F142" t="s">
        <v>620</v>
      </c>
      <c r="G142">
        <v>8.1</v>
      </c>
      <c r="J142" t="s">
        <v>620</v>
      </c>
      <c r="K142" t="s">
        <v>621</v>
      </c>
      <c r="L142" t="s">
        <v>622</v>
      </c>
      <c r="M142" t="s">
        <v>326</v>
      </c>
      <c r="N142" t="s">
        <v>264</v>
      </c>
      <c r="O142">
        <v>100</v>
      </c>
      <c r="P142" t="str">
        <f t="shared" si="2"/>
        <v>双黄连颗粒5gx12袋</v>
      </c>
      <c r="R142" s="3" t="s">
        <v>1046</v>
      </c>
      <c r="S142" s="3" t="s">
        <v>1331</v>
      </c>
      <c r="T142" s="3" t="s">
        <v>1332</v>
      </c>
      <c r="U142" s="3" t="s">
        <v>1331</v>
      </c>
    </row>
    <row r="143" spans="6:26" x14ac:dyDescent="0.15">
      <c r="F143" t="s">
        <v>623</v>
      </c>
      <c r="G143">
        <v>12</v>
      </c>
      <c r="J143" t="s">
        <v>623</v>
      </c>
      <c r="K143" t="s">
        <v>624</v>
      </c>
      <c r="L143" t="s">
        <v>625</v>
      </c>
      <c r="M143" t="s">
        <v>326</v>
      </c>
      <c r="N143" t="s">
        <v>264</v>
      </c>
      <c r="O143">
        <v>100</v>
      </c>
      <c r="P143" t="str">
        <f t="shared" si="2"/>
        <v>双黄连颗粒（10袋）5g×10袋×100盒</v>
      </c>
      <c r="R143" s="3" t="s">
        <v>1046</v>
      </c>
      <c r="S143" s="3" t="s">
        <v>1333</v>
      </c>
      <c r="T143" s="3" t="s">
        <v>1334</v>
      </c>
      <c r="U143" s="3" t="s">
        <v>1333</v>
      </c>
    </row>
    <row r="144" spans="6:26" x14ac:dyDescent="0.15">
      <c r="F144" t="s">
        <v>626</v>
      </c>
      <c r="G144">
        <v>22.5</v>
      </c>
      <c r="J144" t="s">
        <v>626</v>
      </c>
      <c r="K144" t="s">
        <v>627</v>
      </c>
      <c r="L144" t="s">
        <v>628</v>
      </c>
      <c r="M144" t="s">
        <v>326</v>
      </c>
      <c r="N144" t="s">
        <v>264</v>
      </c>
      <c r="O144">
        <v>100</v>
      </c>
      <c r="P144" t="str">
        <f t="shared" si="2"/>
        <v>双黄连颗粒(无蔗糖)5g*10</v>
      </c>
      <c r="R144" s="3" t="s">
        <v>1046</v>
      </c>
      <c r="S144" s="3" t="s">
        <v>1335</v>
      </c>
      <c r="T144" s="3" t="s">
        <v>1336</v>
      </c>
      <c r="U144" s="3" t="s">
        <v>1335</v>
      </c>
    </row>
    <row r="145" spans="6:21" x14ac:dyDescent="0.15">
      <c r="F145" t="s">
        <v>629</v>
      </c>
      <c r="G145">
        <v>15.5</v>
      </c>
      <c r="H145">
        <v>17.2</v>
      </c>
      <c r="I145">
        <v>28</v>
      </c>
      <c r="J145" t="s">
        <v>629</v>
      </c>
      <c r="K145" t="s">
        <v>630</v>
      </c>
      <c r="L145" t="s">
        <v>411</v>
      </c>
      <c r="M145" t="s">
        <v>334</v>
      </c>
      <c r="N145" t="s">
        <v>264</v>
      </c>
      <c r="O145">
        <v>80</v>
      </c>
      <c r="P145" t="str">
        <f t="shared" si="2"/>
        <v>双黄连口服液10ml*12支</v>
      </c>
      <c r="R145" s="3" t="s">
        <v>1046</v>
      </c>
      <c r="S145" s="3" t="s">
        <v>1337</v>
      </c>
      <c r="T145" s="3" t="s">
        <v>1338</v>
      </c>
      <c r="U145" s="3" t="s">
        <v>1337</v>
      </c>
    </row>
    <row r="146" spans="6:21" x14ac:dyDescent="0.15">
      <c r="F146" t="s">
        <v>631</v>
      </c>
      <c r="G146">
        <v>12.8</v>
      </c>
      <c r="H146">
        <v>13.5</v>
      </c>
      <c r="I146">
        <v>19.8</v>
      </c>
      <c r="J146" t="s">
        <v>631</v>
      </c>
      <c r="K146" t="s">
        <v>630</v>
      </c>
      <c r="L146" t="s">
        <v>632</v>
      </c>
      <c r="M146" t="s">
        <v>334</v>
      </c>
      <c r="N146" t="s">
        <v>248</v>
      </c>
      <c r="O146">
        <v>90</v>
      </c>
      <c r="P146" t="str">
        <f t="shared" si="2"/>
        <v>双黄连口服液10ml×10支×90盒</v>
      </c>
      <c r="R146" s="3" t="s">
        <v>1046</v>
      </c>
      <c r="S146" s="3" t="s">
        <v>1339</v>
      </c>
      <c r="T146" s="3" t="s">
        <v>1340</v>
      </c>
      <c r="U146" s="3" t="s">
        <v>1339</v>
      </c>
    </row>
    <row r="147" spans="6:21" x14ac:dyDescent="0.15">
      <c r="F147" t="s">
        <v>633</v>
      </c>
      <c r="G147">
        <v>20.2</v>
      </c>
      <c r="H147">
        <v>22.5</v>
      </c>
      <c r="I147">
        <v>38</v>
      </c>
      <c r="J147" t="s">
        <v>633</v>
      </c>
      <c r="K147" t="s">
        <v>630</v>
      </c>
      <c r="L147" t="s">
        <v>634</v>
      </c>
      <c r="M147" t="s">
        <v>334</v>
      </c>
      <c r="N147" t="s">
        <v>264</v>
      </c>
      <c r="O147">
        <v>40</v>
      </c>
      <c r="P147" t="str">
        <f t="shared" si="2"/>
        <v>双黄连口服液20ml*9支</v>
      </c>
      <c r="R147" s="3" t="s">
        <v>1046</v>
      </c>
      <c r="S147" s="3" t="s">
        <v>1341</v>
      </c>
      <c r="T147" s="3" t="s">
        <v>1342</v>
      </c>
      <c r="U147" s="3" t="s">
        <v>1341</v>
      </c>
    </row>
    <row r="148" spans="6:21" x14ac:dyDescent="0.15">
      <c r="F148" t="s">
        <v>635</v>
      </c>
      <c r="G148">
        <v>10</v>
      </c>
      <c r="H148">
        <v>11</v>
      </c>
      <c r="I148">
        <v>28</v>
      </c>
      <c r="J148" t="s">
        <v>635</v>
      </c>
      <c r="K148" t="s">
        <v>636</v>
      </c>
      <c r="L148" t="s">
        <v>637</v>
      </c>
      <c r="M148" t="s">
        <v>599</v>
      </c>
      <c r="N148" t="s">
        <v>264</v>
      </c>
      <c r="O148">
        <v>54</v>
      </c>
      <c r="P148" t="str">
        <f t="shared" si="2"/>
        <v>双黄连牙膏（留兰香）150g×54支</v>
      </c>
      <c r="R148" s="3" t="s">
        <v>1046</v>
      </c>
      <c r="S148" s="3" t="s">
        <v>1343</v>
      </c>
      <c r="T148" s="3" t="s">
        <v>1344</v>
      </c>
      <c r="U148" s="3" t="s">
        <v>1343</v>
      </c>
    </row>
    <row r="149" spans="6:21" x14ac:dyDescent="0.15">
      <c r="F149" t="s">
        <v>638</v>
      </c>
      <c r="G149">
        <v>10.6</v>
      </c>
      <c r="J149" t="s">
        <v>638</v>
      </c>
      <c r="K149" t="s">
        <v>639</v>
      </c>
      <c r="L149" t="s">
        <v>299</v>
      </c>
      <c r="M149" t="s">
        <v>300</v>
      </c>
      <c r="N149" t="s">
        <v>264</v>
      </c>
      <c r="O149">
        <v>100</v>
      </c>
      <c r="P149" t="str">
        <f t="shared" si="2"/>
        <v>天王补心丸9g×10丸×100盒</v>
      </c>
      <c r="R149" s="3" t="s">
        <v>1046</v>
      </c>
      <c r="S149" s="3" t="s">
        <v>1345</v>
      </c>
      <c r="T149" s="3" t="s">
        <v>1346</v>
      </c>
      <c r="U149" s="3" t="s">
        <v>1345</v>
      </c>
    </row>
    <row r="150" spans="6:21" x14ac:dyDescent="0.15">
      <c r="F150" t="s">
        <v>640</v>
      </c>
      <c r="G150">
        <v>2.2999999999999998</v>
      </c>
      <c r="J150" t="s">
        <v>640</v>
      </c>
      <c r="K150" t="s">
        <v>641</v>
      </c>
      <c r="L150" t="s">
        <v>642</v>
      </c>
      <c r="M150" t="s">
        <v>247</v>
      </c>
      <c r="N150" t="s">
        <v>248</v>
      </c>
      <c r="O150">
        <v>600</v>
      </c>
      <c r="P150" t="str">
        <f t="shared" si="2"/>
        <v>头孢氨苄胶囊0.125g*20s*600盒</v>
      </c>
      <c r="R150" s="3" t="s">
        <v>1046</v>
      </c>
      <c r="S150" s="3" t="s">
        <v>1347</v>
      </c>
      <c r="T150" s="3" t="s">
        <v>1348</v>
      </c>
      <c r="U150" s="3" t="s">
        <v>1347</v>
      </c>
    </row>
    <row r="151" spans="6:21" x14ac:dyDescent="0.15">
      <c r="F151" t="s">
        <v>643</v>
      </c>
      <c r="G151">
        <v>2.1</v>
      </c>
      <c r="J151" t="s">
        <v>643</v>
      </c>
      <c r="K151" t="s">
        <v>641</v>
      </c>
      <c r="L151" t="s">
        <v>434</v>
      </c>
      <c r="M151" t="s">
        <v>263</v>
      </c>
      <c r="N151" t="s">
        <v>264</v>
      </c>
      <c r="O151">
        <v>480</v>
      </c>
      <c r="P151" t="str">
        <f t="shared" si="2"/>
        <v>头孢氨苄胶囊0.125g*20粒</v>
      </c>
      <c r="R151" s="3" t="s">
        <v>1046</v>
      </c>
      <c r="S151" s="3" t="s">
        <v>1349</v>
      </c>
      <c r="T151" s="3" t="s">
        <v>1350</v>
      </c>
      <c r="U151" s="3" t="s">
        <v>1349</v>
      </c>
    </row>
    <row r="152" spans="6:21" x14ac:dyDescent="0.15">
      <c r="F152" t="s">
        <v>644</v>
      </c>
      <c r="G152">
        <v>2.4</v>
      </c>
      <c r="J152" t="s">
        <v>644</v>
      </c>
      <c r="K152" t="s">
        <v>645</v>
      </c>
      <c r="L152" t="s">
        <v>646</v>
      </c>
      <c r="M152" t="s">
        <v>247</v>
      </c>
      <c r="N152" t="s">
        <v>248</v>
      </c>
      <c r="O152">
        <v>400</v>
      </c>
      <c r="P152" t="str">
        <f t="shared" si="2"/>
        <v>头孢氨苄颗粒125mg*12袋*400盒</v>
      </c>
      <c r="R152" s="3" t="s">
        <v>1046</v>
      </c>
      <c r="S152" s="3" t="s">
        <v>1351</v>
      </c>
      <c r="T152" s="3" t="s">
        <v>1352</v>
      </c>
      <c r="U152" s="3" t="s">
        <v>1351</v>
      </c>
    </row>
    <row r="153" spans="6:21" x14ac:dyDescent="0.15">
      <c r="F153" t="s">
        <v>647</v>
      </c>
      <c r="G153">
        <v>2.4500000000000002</v>
      </c>
      <c r="J153" t="s">
        <v>647</v>
      </c>
      <c r="K153" t="s">
        <v>648</v>
      </c>
      <c r="L153" t="s">
        <v>649</v>
      </c>
      <c r="M153" t="s">
        <v>247</v>
      </c>
      <c r="N153" t="s">
        <v>248</v>
      </c>
      <c r="O153">
        <v>400</v>
      </c>
      <c r="P153" t="str">
        <f t="shared" si="2"/>
        <v>头孢氨苄片0.125g*30片</v>
      </c>
      <c r="R153" s="3" t="s">
        <v>1046</v>
      </c>
      <c r="S153" s="3" t="s">
        <v>1353</v>
      </c>
      <c r="T153" s="3" t="s">
        <v>1354</v>
      </c>
      <c r="U153" s="3" t="s">
        <v>1353</v>
      </c>
    </row>
    <row r="154" spans="6:21" x14ac:dyDescent="0.15">
      <c r="F154" t="s">
        <v>650</v>
      </c>
      <c r="G154">
        <v>5.2</v>
      </c>
      <c r="J154" t="s">
        <v>650</v>
      </c>
      <c r="K154" t="s">
        <v>648</v>
      </c>
      <c r="L154" t="s">
        <v>651</v>
      </c>
      <c r="M154" t="s">
        <v>247</v>
      </c>
      <c r="N154" t="s">
        <v>248</v>
      </c>
      <c r="O154">
        <v>600</v>
      </c>
      <c r="P154" t="str">
        <f t="shared" si="2"/>
        <v>头孢氨苄片0.25g*30t*600盒</v>
      </c>
      <c r="R154" s="3" t="s">
        <v>1046</v>
      </c>
      <c r="S154" s="3" t="s">
        <v>1355</v>
      </c>
      <c r="T154" s="3" t="s">
        <v>1356</v>
      </c>
      <c r="U154" s="3" t="s">
        <v>1355</v>
      </c>
    </row>
    <row r="155" spans="6:21" x14ac:dyDescent="0.15">
      <c r="F155" t="s">
        <v>652</v>
      </c>
      <c r="G155">
        <v>5.7</v>
      </c>
      <c r="J155" t="s">
        <v>652</v>
      </c>
      <c r="K155" t="s">
        <v>648</v>
      </c>
      <c r="L155" t="s">
        <v>653</v>
      </c>
      <c r="M155" t="s">
        <v>247</v>
      </c>
      <c r="N155" t="s">
        <v>248</v>
      </c>
      <c r="O155">
        <v>300</v>
      </c>
      <c r="P155" t="str">
        <f t="shared" si="2"/>
        <v>头孢氨苄片0.25g*30片*300瓶</v>
      </c>
      <c r="R155" s="3" t="s">
        <v>1046</v>
      </c>
      <c r="S155" s="3" t="s">
        <v>1357</v>
      </c>
      <c r="T155" s="3" t="s">
        <v>1358</v>
      </c>
      <c r="U155" s="3" t="s">
        <v>1357</v>
      </c>
    </row>
    <row r="156" spans="6:21" x14ac:dyDescent="0.15">
      <c r="F156" t="s">
        <v>654</v>
      </c>
      <c r="G156">
        <v>3.7</v>
      </c>
      <c r="J156" t="s">
        <v>654</v>
      </c>
      <c r="K156" t="s">
        <v>655</v>
      </c>
      <c r="L156" t="s">
        <v>656</v>
      </c>
      <c r="M156" t="s">
        <v>657</v>
      </c>
      <c r="N156" t="s">
        <v>264</v>
      </c>
      <c r="O156">
        <v>400</v>
      </c>
      <c r="P156" t="str">
        <f t="shared" si="2"/>
        <v>头孢拉定胶囊0.25g*12粒*2板*400盒</v>
      </c>
      <c r="R156" s="3" t="s">
        <v>1046</v>
      </c>
      <c r="S156" s="3" t="s">
        <v>1359</v>
      </c>
      <c r="T156" s="3" t="s">
        <v>1360</v>
      </c>
      <c r="U156" s="3" t="s">
        <v>1359</v>
      </c>
    </row>
    <row r="157" spans="6:21" x14ac:dyDescent="0.15">
      <c r="F157" t="s">
        <v>658</v>
      </c>
      <c r="G157">
        <v>4.2</v>
      </c>
      <c r="J157" t="s">
        <v>658</v>
      </c>
      <c r="K157" t="s">
        <v>655</v>
      </c>
      <c r="L157" t="s">
        <v>659</v>
      </c>
      <c r="M157" t="s">
        <v>247</v>
      </c>
      <c r="N157" t="s">
        <v>248</v>
      </c>
      <c r="O157">
        <v>400</v>
      </c>
      <c r="P157" t="str">
        <f t="shared" si="2"/>
        <v>头孢拉定胶囊0.25g*20粒*10小盒*40包</v>
      </c>
      <c r="R157" s="3" t="s">
        <v>1046</v>
      </c>
      <c r="S157" s="3" t="s">
        <v>1361</v>
      </c>
      <c r="T157" s="3" t="s">
        <v>1362</v>
      </c>
      <c r="U157" s="3" t="s">
        <v>1361</v>
      </c>
    </row>
    <row r="158" spans="6:21" x14ac:dyDescent="0.15">
      <c r="F158" t="s">
        <v>660</v>
      </c>
      <c r="G158">
        <v>4.8</v>
      </c>
      <c r="J158" t="s">
        <v>660</v>
      </c>
      <c r="K158" t="s">
        <v>655</v>
      </c>
      <c r="L158" t="s">
        <v>661</v>
      </c>
      <c r="M158" t="s">
        <v>247</v>
      </c>
      <c r="N158" t="s">
        <v>248</v>
      </c>
      <c r="O158">
        <v>400</v>
      </c>
      <c r="P158" t="str">
        <f t="shared" si="2"/>
        <v>头孢拉定胶囊0.25g*24粒*400盒</v>
      </c>
      <c r="R158" s="3" t="s">
        <v>1046</v>
      </c>
      <c r="S158" s="3" t="s">
        <v>1363</v>
      </c>
      <c r="T158" s="3" t="s">
        <v>1364</v>
      </c>
      <c r="U158" s="3" t="s">
        <v>1363</v>
      </c>
    </row>
    <row r="159" spans="6:21" x14ac:dyDescent="0.15">
      <c r="F159" t="s">
        <v>662</v>
      </c>
      <c r="G159">
        <v>3.7</v>
      </c>
      <c r="J159" t="s">
        <v>662</v>
      </c>
      <c r="K159" t="s">
        <v>655</v>
      </c>
      <c r="L159" t="s">
        <v>663</v>
      </c>
      <c r="M159" t="s">
        <v>263</v>
      </c>
      <c r="N159" t="s">
        <v>248</v>
      </c>
      <c r="O159">
        <v>480</v>
      </c>
      <c r="P159" t="str">
        <f t="shared" si="2"/>
        <v>头孢拉定胶囊0.25g*24粒*480盒</v>
      </c>
      <c r="R159" s="3" t="s">
        <v>1046</v>
      </c>
      <c r="S159" s="3" t="s">
        <v>1365</v>
      </c>
      <c r="T159" s="3" t="s">
        <v>1366</v>
      </c>
      <c r="U159" s="3" t="s">
        <v>1365</v>
      </c>
    </row>
    <row r="160" spans="6:21" x14ac:dyDescent="0.15">
      <c r="F160" t="s">
        <v>664</v>
      </c>
      <c r="G160">
        <v>4.5999999999999996</v>
      </c>
      <c r="J160" t="s">
        <v>664</v>
      </c>
      <c r="K160" t="s">
        <v>655</v>
      </c>
      <c r="L160" t="s">
        <v>665</v>
      </c>
      <c r="M160" t="s">
        <v>263</v>
      </c>
      <c r="N160" t="s">
        <v>264</v>
      </c>
      <c r="O160">
        <v>480</v>
      </c>
      <c r="P160" t="str">
        <f t="shared" si="2"/>
        <v>头孢拉定胶囊0.25g×20粒×480盒</v>
      </c>
      <c r="R160" s="3" t="s">
        <v>1046</v>
      </c>
      <c r="S160" s="3" t="s">
        <v>1367</v>
      </c>
      <c r="T160" s="3" t="s">
        <v>1368</v>
      </c>
      <c r="U160" s="3" t="s">
        <v>1367</v>
      </c>
    </row>
    <row r="161" spans="6:21" x14ac:dyDescent="0.15">
      <c r="F161" t="s">
        <v>666</v>
      </c>
      <c r="G161">
        <v>3.7</v>
      </c>
      <c r="J161" t="s">
        <v>666</v>
      </c>
      <c r="K161" t="s">
        <v>667</v>
      </c>
      <c r="L161" t="s">
        <v>668</v>
      </c>
      <c r="M161" t="s">
        <v>247</v>
      </c>
      <c r="N161" t="s">
        <v>248</v>
      </c>
      <c r="O161">
        <v>600</v>
      </c>
      <c r="P161" t="str">
        <f t="shared" si="2"/>
        <v>头孢羟氨苄胶囊0.25g×12粒×600盒</v>
      </c>
      <c r="R161" s="3" t="s">
        <v>1046</v>
      </c>
      <c r="S161" s="3" t="s">
        <v>1369</v>
      </c>
      <c r="T161" s="3" t="s">
        <v>1370</v>
      </c>
      <c r="U161" s="3" t="s">
        <v>1369</v>
      </c>
    </row>
    <row r="162" spans="6:21" x14ac:dyDescent="0.15">
      <c r="F162" t="s">
        <v>669</v>
      </c>
      <c r="G162">
        <v>6</v>
      </c>
      <c r="J162" t="s">
        <v>669</v>
      </c>
      <c r="K162" t="s">
        <v>667</v>
      </c>
      <c r="L162" t="s">
        <v>670</v>
      </c>
      <c r="M162" t="s">
        <v>247</v>
      </c>
      <c r="N162" t="s">
        <v>248</v>
      </c>
      <c r="O162">
        <v>400</v>
      </c>
      <c r="P162" t="str">
        <f t="shared" si="2"/>
        <v>头孢羟氨苄胶囊0.25g×24粒×400盒</v>
      </c>
      <c r="R162" s="3" t="s">
        <v>1046</v>
      </c>
      <c r="S162" s="3" t="s">
        <v>1371</v>
      </c>
      <c r="T162" s="3" t="s">
        <v>1372</v>
      </c>
      <c r="U162" s="3" t="s">
        <v>1371</v>
      </c>
    </row>
    <row r="163" spans="6:21" x14ac:dyDescent="0.15">
      <c r="F163" t="s">
        <v>671</v>
      </c>
      <c r="G163">
        <v>5.5</v>
      </c>
      <c r="J163" t="s">
        <v>671</v>
      </c>
      <c r="K163" t="s">
        <v>672</v>
      </c>
      <c r="L163" t="s">
        <v>673</v>
      </c>
      <c r="M163" t="s">
        <v>294</v>
      </c>
      <c r="N163" t="s">
        <v>248</v>
      </c>
      <c r="O163">
        <v>200</v>
      </c>
      <c r="P163" t="str">
        <f t="shared" si="2"/>
        <v>退热贴1贴×3袋×200盒</v>
      </c>
      <c r="R163" s="3" t="s">
        <v>1046</v>
      </c>
      <c r="S163" s="3" t="s">
        <v>1373</v>
      </c>
      <c r="T163" s="3" t="s">
        <v>1374</v>
      </c>
      <c r="U163" s="3" t="s">
        <v>1373</v>
      </c>
    </row>
    <row r="164" spans="6:21" x14ac:dyDescent="0.15">
      <c r="F164" t="s">
        <v>674</v>
      </c>
      <c r="G164">
        <v>4</v>
      </c>
      <c r="J164" t="s">
        <v>674</v>
      </c>
      <c r="K164" t="s">
        <v>672</v>
      </c>
      <c r="L164" t="s">
        <v>675</v>
      </c>
      <c r="M164" t="s">
        <v>294</v>
      </c>
      <c r="N164" t="s">
        <v>248</v>
      </c>
      <c r="O164">
        <v>200</v>
      </c>
      <c r="P164" t="str">
        <f t="shared" si="2"/>
        <v>退热贴2贴×200盒</v>
      </c>
      <c r="R164" s="3" t="s">
        <v>1046</v>
      </c>
      <c r="S164" s="3" t="s">
        <v>1375</v>
      </c>
      <c r="T164" s="3" t="s">
        <v>1376</v>
      </c>
      <c r="U164" s="3" t="s">
        <v>1375</v>
      </c>
    </row>
    <row r="165" spans="6:21" x14ac:dyDescent="0.15">
      <c r="F165" t="s">
        <v>676</v>
      </c>
      <c r="G165">
        <v>3.3</v>
      </c>
      <c r="J165" t="s">
        <v>676</v>
      </c>
      <c r="K165" t="s">
        <v>677</v>
      </c>
      <c r="L165" t="s">
        <v>678</v>
      </c>
      <c r="M165" t="s">
        <v>389</v>
      </c>
      <c r="N165" t="s">
        <v>248</v>
      </c>
      <c r="O165">
        <v>300</v>
      </c>
      <c r="P165" t="str">
        <f t="shared" si="2"/>
        <v>维D2磷酸氢钙片60片×300盒</v>
      </c>
      <c r="R165" s="3" t="s">
        <v>1046</v>
      </c>
      <c r="S165" s="3" t="s">
        <v>1377</v>
      </c>
      <c r="T165" s="3" t="s">
        <v>1378</v>
      </c>
      <c r="U165" s="3" t="s">
        <v>1377</v>
      </c>
    </row>
    <row r="166" spans="6:21" x14ac:dyDescent="0.15">
      <c r="F166" t="s">
        <v>679</v>
      </c>
      <c r="G166">
        <v>4.5</v>
      </c>
      <c r="J166" t="s">
        <v>679</v>
      </c>
      <c r="K166" t="s">
        <v>677</v>
      </c>
      <c r="L166" t="s">
        <v>680</v>
      </c>
      <c r="M166" t="s">
        <v>389</v>
      </c>
      <c r="N166" t="s">
        <v>248</v>
      </c>
      <c r="O166">
        <v>300</v>
      </c>
      <c r="P166" t="str">
        <f t="shared" si="2"/>
        <v>维D2磷酸氢钙片80片×300盒</v>
      </c>
      <c r="R166" s="3" t="s">
        <v>1046</v>
      </c>
      <c r="S166" s="3" t="s">
        <v>1379</v>
      </c>
      <c r="T166" s="3" t="s">
        <v>1380</v>
      </c>
      <c r="U166" s="3" t="s">
        <v>1379</v>
      </c>
    </row>
    <row r="167" spans="6:21" x14ac:dyDescent="0.15">
      <c r="F167" t="s">
        <v>681</v>
      </c>
      <c r="G167">
        <v>5.9</v>
      </c>
      <c r="J167" t="s">
        <v>681</v>
      </c>
      <c r="K167" t="s">
        <v>682</v>
      </c>
      <c r="L167" t="s">
        <v>683</v>
      </c>
      <c r="M167" t="s">
        <v>247</v>
      </c>
      <c r="N167" t="s">
        <v>248</v>
      </c>
      <c r="O167">
        <v>200</v>
      </c>
      <c r="P167" t="str">
        <f t="shared" si="2"/>
        <v>维生素C咀嚼片100mg×30片</v>
      </c>
      <c r="R167" s="3" t="s">
        <v>1046</v>
      </c>
      <c r="S167" s="3" t="s">
        <v>1381</v>
      </c>
      <c r="T167" s="3" t="s">
        <v>1382</v>
      </c>
      <c r="U167" s="3" t="s">
        <v>1381</v>
      </c>
    </row>
    <row r="168" spans="6:21" x14ac:dyDescent="0.15">
      <c r="F168" t="s">
        <v>684</v>
      </c>
      <c r="G168">
        <v>7.8</v>
      </c>
      <c r="J168" t="s">
        <v>684</v>
      </c>
      <c r="K168" t="s">
        <v>682</v>
      </c>
      <c r="L168" t="s">
        <v>685</v>
      </c>
      <c r="M168" t="s">
        <v>247</v>
      </c>
      <c r="N168" t="s">
        <v>248</v>
      </c>
      <c r="O168">
        <v>200</v>
      </c>
      <c r="P168" t="str">
        <f t="shared" si="2"/>
        <v>维生素C咀嚼片100mg×60片×200盒</v>
      </c>
      <c r="R168" s="3" t="s">
        <v>1046</v>
      </c>
      <c r="S168" s="3" t="s">
        <v>1383</v>
      </c>
      <c r="T168" s="3" t="s">
        <v>1384</v>
      </c>
      <c r="U168" s="3" t="s">
        <v>1383</v>
      </c>
    </row>
    <row r="169" spans="6:21" x14ac:dyDescent="0.15">
      <c r="F169" t="s">
        <v>686</v>
      </c>
      <c r="G169">
        <v>4.8</v>
      </c>
      <c r="J169" t="s">
        <v>686</v>
      </c>
      <c r="K169" t="s">
        <v>687</v>
      </c>
      <c r="L169" t="s">
        <v>688</v>
      </c>
      <c r="M169" t="s">
        <v>247</v>
      </c>
      <c r="N169" t="s">
        <v>248</v>
      </c>
      <c r="O169">
        <v>200</v>
      </c>
      <c r="P169" t="str">
        <f t="shared" si="2"/>
        <v>维生素E软胶囊30粒×200盒</v>
      </c>
      <c r="R169" s="3" t="s">
        <v>1046</v>
      </c>
      <c r="S169" s="3" t="s">
        <v>1385</v>
      </c>
      <c r="T169" s="3" t="s">
        <v>1386</v>
      </c>
      <c r="U169" s="3" t="s">
        <v>1385</v>
      </c>
    </row>
    <row r="170" spans="6:21" x14ac:dyDescent="0.15">
      <c r="F170" t="s">
        <v>689</v>
      </c>
      <c r="G170">
        <v>6.8</v>
      </c>
      <c r="J170" t="s">
        <v>689</v>
      </c>
      <c r="K170" t="s">
        <v>687</v>
      </c>
      <c r="L170" t="s">
        <v>690</v>
      </c>
      <c r="M170" t="s">
        <v>247</v>
      </c>
      <c r="N170" t="s">
        <v>248</v>
      </c>
      <c r="O170">
        <v>200</v>
      </c>
      <c r="P170" t="str">
        <f t="shared" si="2"/>
        <v>维生素E软胶囊60粒×200盒</v>
      </c>
      <c r="R170" s="3" t="s">
        <v>1046</v>
      </c>
      <c r="S170" s="3" t="s">
        <v>1387</v>
      </c>
      <c r="T170" s="3" t="s">
        <v>1388</v>
      </c>
      <c r="U170" s="3" t="s">
        <v>1387</v>
      </c>
    </row>
    <row r="171" spans="6:21" x14ac:dyDescent="0.15">
      <c r="F171" t="s">
        <v>691</v>
      </c>
      <c r="G171">
        <v>5.54</v>
      </c>
      <c r="J171" t="s">
        <v>691</v>
      </c>
      <c r="K171" t="s">
        <v>692</v>
      </c>
      <c r="L171" t="s">
        <v>299</v>
      </c>
      <c r="M171" t="s">
        <v>300</v>
      </c>
      <c r="N171" t="s">
        <v>264</v>
      </c>
      <c r="O171">
        <v>100</v>
      </c>
      <c r="P171" t="str">
        <f t="shared" si="2"/>
        <v>逍遥丸9g×10丸×100盒</v>
      </c>
      <c r="R171" s="3" t="s">
        <v>1046</v>
      </c>
      <c r="S171" s="3" t="s">
        <v>1389</v>
      </c>
      <c r="T171" s="3" t="s">
        <v>1390</v>
      </c>
      <c r="U171" s="3" t="s">
        <v>1389</v>
      </c>
    </row>
    <row r="172" spans="6:21" x14ac:dyDescent="0.15">
      <c r="F172" t="s">
        <v>693</v>
      </c>
      <c r="G172">
        <v>8.6999999999999993</v>
      </c>
      <c r="J172" t="s">
        <v>693</v>
      </c>
      <c r="K172" t="s">
        <v>694</v>
      </c>
      <c r="L172" t="s">
        <v>307</v>
      </c>
      <c r="M172" t="s">
        <v>300</v>
      </c>
      <c r="N172" t="s">
        <v>264</v>
      </c>
      <c r="O172">
        <v>160</v>
      </c>
      <c r="P172" t="str">
        <f t="shared" si="2"/>
        <v>逍遥丸（水丸）6g×10袋×160盒</v>
      </c>
      <c r="R172" s="3" t="s">
        <v>1046</v>
      </c>
      <c r="S172" s="3" t="s">
        <v>1391</v>
      </c>
      <c r="T172" s="3" t="s">
        <v>1392</v>
      </c>
      <c r="U172" s="3" t="s">
        <v>1391</v>
      </c>
    </row>
    <row r="173" spans="6:21" x14ac:dyDescent="0.15">
      <c r="F173" t="s">
        <v>695</v>
      </c>
      <c r="G173">
        <v>5.8</v>
      </c>
      <c r="J173" t="s">
        <v>695</v>
      </c>
      <c r="K173" t="s">
        <v>696</v>
      </c>
      <c r="L173" t="s">
        <v>697</v>
      </c>
      <c r="M173" t="s">
        <v>326</v>
      </c>
      <c r="N173" t="s">
        <v>248</v>
      </c>
      <c r="O173">
        <v>100</v>
      </c>
      <c r="P173" t="str">
        <f t="shared" si="2"/>
        <v>消咳喘糖浆100ml×100盒</v>
      </c>
      <c r="R173" s="3" t="s">
        <v>1046</v>
      </c>
      <c r="S173" s="3" t="s">
        <v>1393</v>
      </c>
      <c r="T173" s="3" t="s">
        <v>1394</v>
      </c>
      <c r="U173" s="3" t="s">
        <v>1393</v>
      </c>
    </row>
    <row r="174" spans="6:21" x14ac:dyDescent="0.15">
      <c r="F174" t="s">
        <v>698</v>
      </c>
      <c r="G174">
        <v>5.5</v>
      </c>
      <c r="J174" t="s">
        <v>698</v>
      </c>
      <c r="K174" t="s">
        <v>699</v>
      </c>
      <c r="L174" t="s">
        <v>700</v>
      </c>
      <c r="M174" t="s">
        <v>247</v>
      </c>
      <c r="N174" t="s">
        <v>248</v>
      </c>
      <c r="O174">
        <v>300</v>
      </c>
      <c r="P174" t="str">
        <f t="shared" si="2"/>
        <v>小檗碱甲氧苄啶胶囊30粒*10盒*30中盒</v>
      </c>
      <c r="R174" s="3" t="s">
        <v>1046</v>
      </c>
      <c r="S174" s="3" t="s">
        <v>1395</v>
      </c>
      <c r="T174" s="3" t="s">
        <v>1396</v>
      </c>
      <c r="U174" s="3" t="s">
        <v>1395</v>
      </c>
    </row>
    <row r="175" spans="6:21" x14ac:dyDescent="0.15">
      <c r="F175" t="s">
        <v>701</v>
      </c>
      <c r="G175">
        <v>6.7</v>
      </c>
      <c r="J175" t="s">
        <v>701</v>
      </c>
      <c r="K175" t="s">
        <v>702</v>
      </c>
      <c r="L175" t="s">
        <v>703</v>
      </c>
      <c r="M175" t="s">
        <v>294</v>
      </c>
      <c r="N175" t="s">
        <v>248</v>
      </c>
      <c r="O175">
        <v>200</v>
      </c>
      <c r="P175" t="str">
        <f t="shared" si="2"/>
        <v>小儿氨酚黄那敏颗粒(护彤)2g×12袋×200盒</v>
      </c>
      <c r="R175" s="3" t="s">
        <v>1046</v>
      </c>
      <c r="S175" s="3" t="s">
        <v>1397</v>
      </c>
      <c r="T175" s="3" t="s">
        <v>1398</v>
      </c>
      <c r="U175" s="3" t="s">
        <v>1397</v>
      </c>
    </row>
    <row r="176" spans="6:21" x14ac:dyDescent="0.15">
      <c r="F176" t="s">
        <v>704</v>
      </c>
      <c r="G176">
        <v>1.8</v>
      </c>
      <c r="J176" t="s">
        <v>704</v>
      </c>
      <c r="K176" t="s">
        <v>705</v>
      </c>
      <c r="L176" t="s">
        <v>706</v>
      </c>
      <c r="M176" t="s">
        <v>294</v>
      </c>
      <c r="N176" t="s">
        <v>264</v>
      </c>
      <c r="O176">
        <v>400</v>
      </c>
      <c r="P176" t="str">
        <f t="shared" si="2"/>
        <v>小儿氨酚黄那敏片0.125g×20片×400盒</v>
      </c>
      <c r="R176" s="3" t="s">
        <v>1046</v>
      </c>
      <c r="S176" s="3" t="s">
        <v>1399</v>
      </c>
      <c r="T176" s="3" t="s">
        <v>1400</v>
      </c>
      <c r="U176" s="3" t="s">
        <v>1399</v>
      </c>
    </row>
    <row r="177" spans="6:21" x14ac:dyDescent="0.15">
      <c r="F177" t="s">
        <v>707</v>
      </c>
      <c r="G177">
        <v>8.8000000000000007</v>
      </c>
      <c r="J177" t="s">
        <v>707</v>
      </c>
      <c r="K177" t="s">
        <v>708</v>
      </c>
      <c r="L177" t="s">
        <v>697</v>
      </c>
      <c r="M177" t="s">
        <v>326</v>
      </c>
      <c r="N177" t="s">
        <v>248</v>
      </c>
      <c r="O177">
        <v>100</v>
      </c>
      <c r="P177" t="str">
        <f t="shared" si="2"/>
        <v>小儿百部止咳糖浆100ml×100盒</v>
      </c>
      <c r="R177" s="3" t="s">
        <v>1046</v>
      </c>
      <c r="S177" s="3" t="s">
        <v>1401</v>
      </c>
      <c r="T177" s="3" t="s">
        <v>1402</v>
      </c>
      <c r="U177" s="3" t="s">
        <v>1401</v>
      </c>
    </row>
    <row r="178" spans="6:21" x14ac:dyDescent="0.15">
      <c r="F178" t="s">
        <v>709</v>
      </c>
      <c r="G178">
        <v>9</v>
      </c>
      <c r="J178" t="s">
        <v>709</v>
      </c>
      <c r="K178" t="s">
        <v>710</v>
      </c>
      <c r="L178" t="s">
        <v>397</v>
      </c>
      <c r="M178" t="s">
        <v>389</v>
      </c>
      <c r="N178" t="s">
        <v>248</v>
      </c>
      <c r="O178">
        <v>300</v>
      </c>
      <c r="P178" t="str">
        <f t="shared" si="2"/>
        <v>小儿葡磷泛三钙片50片×300盒</v>
      </c>
      <c r="R178" s="3" t="s">
        <v>1046</v>
      </c>
      <c r="S178" s="3" t="s">
        <v>1403</v>
      </c>
      <c r="T178" s="3" t="s">
        <v>1404</v>
      </c>
      <c r="U178" s="3" t="s">
        <v>1403</v>
      </c>
    </row>
    <row r="179" spans="6:21" x14ac:dyDescent="0.15">
      <c r="F179" t="s">
        <v>711</v>
      </c>
      <c r="G179">
        <v>7.42</v>
      </c>
      <c r="J179" t="s">
        <v>711</v>
      </c>
      <c r="K179" t="s">
        <v>712</v>
      </c>
      <c r="L179" t="s">
        <v>713</v>
      </c>
      <c r="M179" t="s">
        <v>300</v>
      </c>
      <c r="N179" t="s">
        <v>264</v>
      </c>
      <c r="O179">
        <v>200</v>
      </c>
      <c r="P179" t="str">
        <f t="shared" si="2"/>
        <v>小儿吐泻宁3g×10袋×200盒</v>
      </c>
      <c r="R179" s="3" t="s">
        <v>1046</v>
      </c>
      <c r="S179" s="3" t="s">
        <v>1405</v>
      </c>
      <c r="T179" s="3" t="s">
        <v>1406</v>
      </c>
      <c r="U179" s="3" t="s">
        <v>1405</v>
      </c>
    </row>
    <row r="180" spans="6:21" x14ac:dyDescent="0.15">
      <c r="F180" t="s">
        <v>714</v>
      </c>
      <c r="G180">
        <v>4.42</v>
      </c>
      <c r="J180" t="s">
        <v>714</v>
      </c>
      <c r="K180" t="s">
        <v>715</v>
      </c>
      <c r="L180" t="s">
        <v>356</v>
      </c>
      <c r="M180" t="s">
        <v>300</v>
      </c>
      <c r="N180" t="s">
        <v>264</v>
      </c>
      <c r="O180">
        <v>100</v>
      </c>
      <c r="P180" t="str">
        <f t="shared" si="2"/>
        <v>小活络丸3g×10丸×100盒</v>
      </c>
      <c r="R180" s="3" t="s">
        <v>1046</v>
      </c>
      <c r="S180" s="3" t="s">
        <v>1407</v>
      </c>
      <c r="T180" s="3" t="s">
        <v>1408</v>
      </c>
      <c r="U180" s="3" t="s">
        <v>1407</v>
      </c>
    </row>
    <row r="181" spans="6:21" x14ac:dyDescent="0.15">
      <c r="F181" t="s">
        <v>716</v>
      </c>
      <c r="G181">
        <v>5</v>
      </c>
      <c r="J181" t="s">
        <v>716</v>
      </c>
      <c r="K181" t="s">
        <v>717</v>
      </c>
      <c r="L181" t="s">
        <v>718</v>
      </c>
      <c r="M181" t="s">
        <v>263</v>
      </c>
      <c r="N181" t="s">
        <v>248</v>
      </c>
      <c r="O181">
        <v>160</v>
      </c>
      <c r="P181" t="str">
        <f t="shared" si="2"/>
        <v>辛伐他汀片10mg×10片×160盒</v>
      </c>
      <c r="R181" s="3" t="s">
        <v>1046</v>
      </c>
      <c r="S181" s="3" t="s">
        <v>1409</v>
      </c>
      <c r="T181" s="3" t="s">
        <v>1410</v>
      </c>
      <c r="U181" s="3" t="s">
        <v>1409</v>
      </c>
    </row>
    <row r="182" spans="6:21" x14ac:dyDescent="0.15">
      <c r="F182" t="s">
        <v>719</v>
      </c>
      <c r="G182">
        <v>7.21</v>
      </c>
      <c r="J182" t="s">
        <v>719</v>
      </c>
      <c r="K182" t="s">
        <v>717</v>
      </c>
      <c r="L182" t="s">
        <v>720</v>
      </c>
      <c r="M182" t="s">
        <v>263</v>
      </c>
      <c r="N182" t="s">
        <v>248</v>
      </c>
      <c r="O182">
        <v>160</v>
      </c>
      <c r="P182" t="str">
        <f t="shared" si="2"/>
        <v>辛伐他汀片10mg×15片×160盒</v>
      </c>
      <c r="R182" s="3" t="s">
        <v>1046</v>
      </c>
      <c r="S182" s="3" t="s">
        <v>1411</v>
      </c>
      <c r="T182" s="3" t="s">
        <v>1412</v>
      </c>
      <c r="U182" s="3" t="s">
        <v>1411</v>
      </c>
    </row>
    <row r="183" spans="6:21" x14ac:dyDescent="0.15">
      <c r="F183" t="s">
        <v>721</v>
      </c>
      <c r="G183">
        <v>16.2</v>
      </c>
      <c r="J183" t="s">
        <v>721</v>
      </c>
      <c r="K183" t="s">
        <v>722</v>
      </c>
      <c r="L183" t="s">
        <v>723</v>
      </c>
      <c r="M183" t="s">
        <v>294</v>
      </c>
      <c r="N183" t="s">
        <v>248</v>
      </c>
      <c r="O183">
        <v>120</v>
      </c>
      <c r="P183" t="str">
        <f t="shared" si="2"/>
        <v>新盖中盖牌儿童钙片1.75g×36片×120盒</v>
      </c>
      <c r="R183" s="3" t="s">
        <v>1046</v>
      </c>
      <c r="S183" s="3" t="s">
        <v>1413</v>
      </c>
      <c r="T183" s="3" t="s">
        <v>1414</v>
      </c>
      <c r="U183" s="3" t="s">
        <v>1413</v>
      </c>
    </row>
    <row r="184" spans="6:21" x14ac:dyDescent="0.15">
      <c r="F184" t="s">
        <v>724</v>
      </c>
      <c r="G184">
        <v>18</v>
      </c>
      <c r="J184" t="s">
        <v>724</v>
      </c>
      <c r="K184" t="s">
        <v>725</v>
      </c>
      <c r="L184" t="s">
        <v>726</v>
      </c>
      <c r="M184" t="s">
        <v>294</v>
      </c>
      <c r="N184" t="s">
        <v>248</v>
      </c>
      <c r="O184">
        <v>120</v>
      </c>
      <c r="P184" t="str">
        <f t="shared" si="2"/>
        <v>新盖中盖牌高钙片2.5g×36片×120盒</v>
      </c>
      <c r="R184" s="3" t="s">
        <v>1046</v>
      </c>
      <c r="S184" s="3" t="s">
        <v>1415</v>
      </c>
      <c r="T184" s="3" t="s">
        <v>1416</v>
      </c>
      <c r="U184" s="3" t="s">
        <v>1415</v>
      </c>
    </row>
    <row r="185" spans="6:21" x14ac:dyDescent="0.15">
      <c r="F185" t="s">
        <v>727</v>
      </c>
      <c r="G185">
        <v>27</v>
      </c>
      <c r="J185" t="s">
        <v>727</v>
      </c>
      <c r="K185" t="s">
        <v>725</v>
      </c>
      <c r="L185" t="s">
        <v>728</v>
      </c>
      <c r="M185" t="s">
        <v>294</v>
      </c>
      <c r="N185" t="s">
        <v>248</v>
      </c>
      <c r="O185">
        <v>80</v>
      </c>
      <c r="P185" t="str">
        <f t="shared" si="2"/>
        <v>新盖中盖牌高钙片2.5g×60片×80盒</v>
      </c>
      <c r="R185" s="3" t="s">
        <v>1046</v>
      </c>
      <c r="S185" s="3" t="s">
        <v>1417</v>
      </c>
      <c r="T185" s="3" t="s">
        <v>1418</v>
      </c>
      <c r="U185" s="3" t="s">
        <v>1417</v>
      </c>
    </row>
    <row r="186" spans="6:21" x14ac:dyDescent="0.15">
      <c r="F186" t="s">
        <v>729</v>
      </c>
      <c r="G186">
        <v>9.42</v>
      </c>
      <c r="J186" t="s">
        <v>729</v>
      </c>
      <c r="K186" t="s">
        <v>730</v>
      </c>
      <c r="L186" t="s">
        <v>299</v>
      </c>
      <c r="M186" t="s">
        <v>300</v>
      </c>
      <c r="N186" t="s">
        <v>264</v>
      </c>
      <c r="O186">
        <v>100</v>
      </c>
      <c r="P186" t="str">
        <f t="shared" si="2"/>
        <v>醒脑再造丸9g×10丸×100盒</v>
      </c>
      <c r="R186" s="3" t="s">
        <v>1046</v>
      </c>
      <c r="S186" s="3" t="s">
        <v>1419</v>
      </c>
      <c r="T186" s="3" t="s">
        <v>1420</v>
      </c>
      <c r="U186" s="3" t="s">
        <v>1419</v>
      </c>
    </row>
    <row r="187" spans="6:21" x14ac:dyDescent="0.15">
      <c r="F187" t="s">
        <v>731</v>
      </c>
      <c r="G187">
        <v>7.5</v>
      </c>
      <c r="J187" t="s">
        <v>731</v>
      </c>
      <c r="K187" t="s">
        <v>732</v>
      </c>
      <c r="L187" t="s">
        <v>299</v>
      </c>
      <c r="M187" t="s">
        <v>300</v>
      </c>
      <c r="N187" t="s">
        <v>264</v>
      </c>
      <c r="O187">
        <v>100</v>
      </c>
      <c r="P187" t="str">
        <f t="shared" si="2"/>
        <v>血府逐瘀丸9g×10丸×100盒</v>
      </c>
      <c r="R187" s="3" t="s">
        <v>1046</v>
      </c>
      <c r="S187" s="3" t="s">
        <v>1421</v>
      </c>
      <c r="T187" s="3" t="s">
        <v>1422</v>
      </c>
      <c r="U187" s="3" t="s">
        <v>1421</v>
      </c>
    </row>
    <row r="188" spans="6:21" x14ac:dyDescent="0.15">
      <c r="F188" t="s">
        <v>733</v>
      </c>
      <c r="G188">
        <v>15.8</v>
      </c>
      <c r="J188" t="s">
        <v>733</v>
      </c>
      <c r="K188" t="s">
        <v>734</v>
      </c>
      <c r="L188" t="s">
        <v>735</v>
      </c>
      <c r="M188" t="s">
        <v>300</v>
      </c>
      <c r="N188" t="s">
        <v>264</v>
      </c>
      <c r="O188">
        <v>60</v>
      </c>
      <c r="P188" t="str">
        <f t="shared" si="2"/>
        <v>血府逐瘀丸30袋4g×30袋×60盒</v>
      </c>
      <c r="R188" s="3" t="s">
        <v>1046</v>
      </c>
      <c r="S188" s="3" t="s">
        <v>1423</v>
      </c>
      <c r="T188" s="3" t="s">
        <v>1424</v>
      </c>
      <c r="U188" s="3" t="s">
        <v>1423</v>
      </c>
    </row>
    <row r="189" spans="6:21" x14ac:dyDescent="0.15">
      <c r="F189" t="s">
        <v>736</v>
      </c>
      <c r="G189">
        <v>3</v>
      </c>
      <c r="J189" t="s">
        <v>736</v>
      </c>
      <c r="K189" t="s">
        <v>737</v>
      </c>
      <c r="L189" t="s">
        <v>738</v>
      </c>
      <c r="M189" t="s">
        <v>247</v>
      </c>
      <c r="N189" t="s">
        <v>248</v>
      </c>
      <c r="O189">
        <v>400</v>
      </c>
      <c r="P189" t="str">
        <f t="shared" si="2"/>
        <v>盐酸氟桂利嗪胶囊5mg*20粒*400盒</v>
      </c>
      <c r="R189" s="3" t="s">
        <v>1046</v>
      </c>
      <c r="S189" s="3" t="s">
        <v>1425</v>
      </c>
      <c r="T189" s="3" t="s">
        <v>1426</v>
      </c>
      <c r="U189" s="3" t="s">
        <v>1425</v>
      </c>
    </row>
    <row r="190" spans="6:21" x14ac:dyDescent="0.15">
      <c r="F190" t="s">
        <v>739</v>
      </c>
      <c r="G190">
        <v>1.7</v>
      </c>
      <c r="J190" t="s">
        <v>739</v>
      </c>
      <c r="K190" t="s">
        <v>740</v>
      </c>
      <c r="L190" t="s">
        <v>741</v>
      </c>
      <c r="M190" t="s">
        <v>294</v>
      </c>
      <c r="N190" t="s">
        <v>248</v>
      </c>
      <c r="O190">
        <v>300</v>
      </c>
      <c r="P190" t="str">
        <f t="shared" si="2"/>
        <v>盐酸氟桂利嗪片（孚瑞尔）20片×300盒</v>
      </c>
      <c r="R190" s="3" t="s">
        <v>1046</v>
      </c>
      <c r="S190" s="3" t="s">
        <v>1427</v>
      </c>
      <c r="T190" s="3" t="s">
        <v>1428</v>
      </c>
      <c r="U190" s="3" t="s">
        <v>1427</v>
      </c>
    </row>
    <row r="191" spans="6:21" x14ac:dyDescent="0.15">
      <c r="F191" t="s">
        <v>742</v>
      </c>
      <c r="G191">
        <v>2.2000000000000002</v>
      </c>
      <c r="J191" t="s">
        <v>742</v>
      </c>
      <c r="K191" t="s">
        <v>740</v>
      </c>
      <c r="L191" t="s">
        <v>743</v>
      </c>
      <c r="M191" t="s">
        <v>294</v>
      </c>
      <c r="N191" t="s">
        <v>248</v>
      </c>
      <c r="O191">
        <v>300</v>
      </c>
      <c r="P191" t="str">
        <f t="shared" si="2"/>
        <v>盐酸氟桂利嗪片（孚瑞尔）40片×300盒</v>
      </c>
      <c r="R191" s="3" t="s">
        <v>1046</v>
      </c>
      <c r="S191" s="3" t="s">
        <v>1429</v>
      </c>
      <c r="T191" s="3" t="s">
        <v>1430</v>
      </c>
      <c r="U191" s="3" t="s">
        <v>1429</v>
      </c>
    </row>
    <row r="192" spans="6:21" x14ac:dyDescent="0.15">
      <c r="F192" t="s">
        <v>744</v>
      </c>
      <c r="G192">
        <v>1.76</v>
      </c>
      <c r="J192" t="s">
        <v>744</v>
      </c>
      <c r="K192" t="s">
        <v>745</v>
      </c>
      <c r="L192" t="s">
        <v>746</v>
      </c>
      <c r="M192" t="s">
        <v>247</v>
      </c>
      <c r="N192" t="s">
        <v>248</v>
      </c>
      <c r="O192">
        <v>600</v>
      </c>
      <c r="P192" t="str">
        <f t="shared" si="2"/>
        <v>盐酸环丙沙星片0.25g×12片×600盒</v>
      </c>
      <c r="R192" s="3" t="s">
        <v>1046</v>
      </c>
      <c r="S192" s="3" t="s">
        <v>1431</v>
      </c>
      <c r="T192" s="3" t="s">
        <v>1432</v>
      </c>
      <c r="U192" s="3" t="s">
        <v>1431</v>
      </c>
    </row>
    <row r="193" spans="6:21" x14ac:dyDescent="0.15">
      <c r="F193" t="s">
        <v>747</v>
      </c>
      <c r="G193">
        <v>4.3</v>
      </c>
      <c r="J193" t="s">
        <v>747</v>
      </c>
      <c r="K193" t="s">
        <v>748</v>
      </c>
      <c r="L193" t="s">
        <v>749</v>
      </c>
      <c r="M193" t="s">
        <v>247</v>
      </c>
      <c r="N193" t="s">
        <v>248</v>
      </c>
      <c r="O193">
        <v>300</v>
      </c>
      <c r="P193" t="str">
        <f t="shared" si="2"/>
        <v>盐酸特拉唑嗪胶囊（阿美利特）2mg*10粒</v>
      </c>
      <c r="R193" s="3" t="s">
        <v>1046</v>
      </c>
      <c r="S193" s="3" t="s">
        <v>1433</v>
      </c>
      <c r="T193" s="3" t="s">
        <v>1434</v>
      </c>
      <c r="U193" s="3" t="s">
        <v>1433</v>
      </c>
    </row>
    <row r="194" spans="6:21" x14ac:dyDescent="0.15">
      <c r="F194" t="s">
        <v>750</v>
      </c>
      <c r="G194">
        <v>3.85</v>
      </c>
      <c r="J194" t="s">
        <v>750</v>
      </c>
      <c r="K194" t="s">
        <v>751</v>
      </c>
      <c r="L194" t="s">
        <v>752</v>
      </c>
      <c r="M194" t="s">
        <v>247</v>
      </c>
      <c r="N194" t="s">
        <v>248</v>
      </c>
      <c r="O194">
        <v>200</v>
      </c>
      <c r="P194" t="str">
        <f t="shared" si="2"/>
        <v>盐酸伊托必利胶囊(代林)50mg*10粒*10小盒*20中盒</v>
      </c>
      <c r="R194" s="3" t="s">
        <v>1046</v>
      </c>
      <c r="S194" s="3" t="s">
        <v>1435</v>
      </c>
      <c r="T194" s="3" t="s">
        <v>1436</v>
      </c>
      <c r="U194" s="3" t="s">
        <v>1435</v>
      </c>
    </row>
    <row r="195" spans="6:21" x14ac:dyDescent="0.15">
      <c r="F195" t="s">
        <v>753</v>
      </c>
      <c r="G195">
        <v>2.5</v>
      </c>
      <c r="J195" t="s">
        <v>753</v>
      </c>
      <c r="K195" t="s">
        <v>751</v>
      </c>
      <c r="L195" t="s">
        <v>754</v>
      </c>
      <c r="M195" t="s">
        <v>247</v>
      </c>
      <c r="N195" t="s">
        <v>264</v>
      </c>
      <c r="O195">
        <v>200</v>
      </c>
      <c r="P195" t="str">
        <f t="shared" ref="P195:P258" si="3">K195&amp;L195</f>
        <v>盐酸伊托必利胶囊(代林)50mg*10粒*200盒</v>
      </c>
      <c r="R195" s="3" t="s">
        <v>1046</v>
      </c>
      <c r="S195" s="3" t="s">
        <v>1437</v>
      </c>
      <c r="T195" s="3" t="s">
        <v>1438</v>
      </c>
      <c r="U195" s="3" t="s">
        <v>1437</v>
      </c>
    </row>
    <row r="196" spans="6:21" x14ac:dyDescent="0.15">
      <c r="F196" t="s">
        <v>755</v>
      </c>
      <c r="G196">
        <v>4.5</v>
      </c>
      <c r="J196" t="s">
        <v>755</v>
      </c>
      <c r="K196" t="s">
        <v>751</v>
      </c>
      <c r="L196" t="s">
        <v>756</v>
      </c>
      <c r="M196" t="s">
        <v>247</v>
      </c>
      <c r="N196" t="s">
        <v>248</v>
      </c>
      <c r="O196">
        <v>200</v>
      </c>
      <c r="P196" t="str">
        <f t="shared" si="3"/>
        <v>盐酸伊托必利胶囊(代林)50mg*20粒</v>
      </c>
      <c r="R196" s="3" t="s">
        <v>1046</v>
      </c>
      <c r="S196" s="3" t="s">
        <v>1439</v>
      </c>
      <c r="T196" s="3" t="s">
        <v>1440</v>
      </c>
      <c r="U196" s="3" t="s">
        <v>1439</v>
      </c>
    </row>
    <row r="197" spans="6:21" x14ac:dyDescent="0.15">
      <c r="F197" t="s">
        <v>757</v>
      </c>
      <c r="G197">
        <v>2.81</v>
      </c>
      <c r="J197" t="s">
        <v>757</v>
      </c>
      <c r="K197" t="s">
        <v>758</v>
      </c>
      <c r="L197" t="s">
        <v>759</v>
      </c>
      <c r="M197" t="s">
        <v>294</v>
      </c>
      <c r="N197" t="s">
        <v>248</v>
      </c>
      <c r="O197">
        <v>300</v>
      </c>
      <c r="P197" t="str">
        <f t="shared" si="3"/>
        <v>盐酸伊托必利片50mg*12片*300</v>
      </c>
      <c r="R197" s="3" t="s">
        <v>1046</v>
      </c>
      <c r="S197" s="3" t="s">
        <v>1441</v>
      </c>
      <c r="T197" s="3" t="s">
        <v>1442</v>
      </c>
      <c r="U197" s="3" t="s">
        <v>1441</v>
      </c>
    </row>
    <row r="198" spans="6:21" x14ac:dyDescent="0.15">
      <c r="F198" t="s">
        <v>760</v>
      </c>
      <c r="G198">
        <v>1.95</v>
      </c>
      <c r="J198" t="s">
        <v>760</v>
      </c>
      <c r="K198" t="s">
        <v>761</v>
      </c>
      <c r="L198" t="s">
        <v>762</v>
      </c>
      <c r="M198" t="s">
        <v>247</v>
      </c>
      <c r="N198" t="s">
        <v>248</v>
      </c>
      <c r="O198">
        <v>600</v>
      </c>
      <c r="P198" t="str">
        <f t="shared" si="3"/>
        <v>盐酸左氧氟沙星片0.1g×12片×10盒×60包</v>
      </c>
      <c r="R198" s="3" t="s">
        <v>1046</v>
      </c>
      <c r="S198" s="3" t="s">
        <v>1443</v>
      </c>
      <c r="T198" s="3" t="s">
        <v>1444</v>
      </c>
      <c r="U198" s="3" t="s">
        <v>1443</v>
      </c>
    </row>
    <row r="199" spans="6:21" x14ac:dyDescent="0.15">
      <c r="F199" t="s">
        <v>763</v>
      </c>
      <c r="G199">
        <v>3</v>
      </c>
      <c r="J199" t="s">
        <v>763</v>
      </c>
      <c r="K199" t="s">
        <v>761</v>
      </c>
      <c r="L199" t="s">
        <v>764</v>
      </c>
      <c r="M199" t="s">
        <v>247</v>
      </c>
      <c r="N199" t="s">
        <v>264</v>
      </c>
      <c r="O199">
        <v>300</v>
      </c>
      <c r="P199" t="str">
        <f t="shared" si="3"/>
        <v>盐酸左氧氟沙星片0.1g×24片×300盒</v>
      </c>
      <c r="R199" s="3" t="s">
        <v>1046</v>
      </c>
      <c r="S199" s="3" t="s">
        <v>1445</v>
      </c>
      <c r="T199" s="3" t="s">
        <v>1446</v>
      </c>
      <c r="U199" s="3" t="s">
        <v>1445</v>
      </c>
    </row>
    <row r="200" spans="6:21" x14ac:dyDescent="0.15">
      <c r="F200" t="s">
        <v>765</v>
      </c>
      <c r="G200">
        <v>7.8</v>
      </c>
      <c r="J200" t="s">
        <v>765</v>
      </c>
      <c r="K200" t="s">
        <v>766</v>
      </c>
      <c r="L200" t="s">
        <v>541</v>
      </c>
      <c r="M200" t="s">
        <v>389</v>
      </c>
      <c r="N200" t="s">
        <v>248</v>
      </c>
      <c r="O200">
        <v>400</v>
      </c>
      <c r="P200" t="str">
        <f t="shared" si="3"/>
        <v>羊肝明目片24片×400盒</v>
      </c>
      <c r="R200" s="3" t="s">
        <v>1046</v>
      </c>
      <c r="S200" s="3" t="s">
        <v>1447</v>
      </c>
      <c r="T200" s="3" t="s">
        <v>1448</v>
      </c>
      <c r="U200" s="3" t="s">
        <v>1447</v>
      </c>
    </row>
    <row r="201" spans="6:21" x14ac:dyDescent="0.15">
      <c r="F201" t="s">
        <v>767</v>
      </c>
      <c r="G201">
        <v>4</v>
      </c>
      <c r="H201">
        <v>4.4400000000000004</v>
      </c>
      <c r="I201">
        <v>15</v>
      </c>
      <c r="J201" t="s">
        <v>767</v>
      </c>
      <c r="K201" t="s">
        <v>768</v>
      </c>
      <c r="L201" t="s">
        <v>769</v>
      </c>
      <c r="M201" t="s">
        <v>294</v>
      </c>
      <c r="N201" t="s">
        <v>264</v>
      </c>
      <c r="O201">
        <v>200</v>
      </c>
      <c r="P201" t="str">
        <f t="shared" si="3"/>
        <v>医用退热贴2贴/袋×10盒×20中包</v>
      </c>
      <c r="R201" s="3" t="s">
        <v>1046</v>
      </c>
      <c r="S201" s="3" t="s">
        <v>1449</v>
      </c>
      <c r="T201" s="3" t="s">
        <v>1450</v>
      </c>
      <c r="U201" s="3" t="s">
        <v>1449</v>
      </c>
    </row>
    <row r="202" spans="6:21" x14ac:dyDescent="0.15">
      <c r="F202" t="s">
        <v>770</v>
      </c>
      <c r="G202">
        <v>4</v>
      </c>
      <c r="H202">
        <v>4.4400000000000004</v>
      </c>
      <c r="I202">
        <v>15</v>
      </c>
      <c r="J202" t="s">
        <v>770</v>
      </c>
      <c r="K202" t="s">
        <v>768</v>
      </c>
      <c r="L202" t="s">
        <v>771</v>
      </c>
      <c r="M202" t="s">
        <v>308</v>
      </c>
      <c r="N202" t="s">
        <v>264</v>
      </c>
      <c r="O202">
        <v>240</v>
      </c>
      <c r="P202" t="str">
        <f t="shared" si="3"/>
        <v>医用退热贴2贴×240盒</v>
      </c>
      <c r="R202" s="3" t="s">
        <v>1046</v>
      </c>
      <c r="S202" s="3" t="s">
        <v>1451</v>
      </c>
      <c r="T202" s="3" t="s">
        <v>1452</v>
      </c>
      <c r="U202" s="3" t="s">
        <v>1451</v>
      </c>
    </row>
    <row r="203" spans="6:21" x14ac:dyDescent="0.15">
      <c r="F203" t="s">
        <v>772</v>
      </c>
      <c r="G203">
        <v>5.35</v>
      </c>
      <c r="J203" t="s">
        <v>772</v>
      </c>
      <c r="K203" t="s">
        <v>773</v>
      </c>
      <c r="L203" t="s">
        <v>299</v>
      </c>
      <c r="M203" t="s">
        <v>300</v>
      </c>
      <c r="N203" t="s">
        <v>264</v>
      </c>
      <c r="O203">
        <v>100</v>
      </c>
      <c r="P203" t="str">
        <f t="shared" si="3"/>
        <v>益母丸(OTC)9g×10丸×100盒</v>
      </c>
      <c r="R203" s="3" t="s">
        <v>1046</v>
      </c>
      <c r="S203" s="3" t="s">
        <v>1453</v>
      </c>
      <c r="T203" s="3" t="s">
        <v>1454</v>
      </c>
      <c r="U203" s="3" t="s">
        <v>1453</v>
      </c>
    </row>
    <row r="204" spans="6:21" x14ac:dyDescent="0.15">
      <c r="F204" t="s">
        <v>774</v>
      </c>
      <c r="G204">
        <v>5.7</v>
      </c>
      <c r="J204" t="s">
        <v>774</v>
      </c>
      <c r="K204" t="s">
        <v>775</v>
      </c>
      <c r="L204" t="s">
        <v>356</v>
      </c>
      <c r="M204" t="s">
        <v>300</v>
      </c>
      <c r="N204" t="s">
        <v>264</v>
      </c>
      <c r="O204">
        <v>100</v>
      </c>
      <c r="P204" t="str">
        <f t="shared" si="3"/>
        <v>银翘解毒丸（OTC）3g×10丸×100盒</v>
      </c>
      <c r="R204" s="3" t="s">
        <v>1046</v>
      </c>
      <c r="S204" s="3" t="s">
        <v>1455</v>
      </c>
      <c r="T204" s="3" t="s">
        <v>1456</v>
      </c>
      <c r="U204" s="3" t="s">
        <v>1455</v>
      </c>
    </row>
    <row r="205" spans="6:21" x14ac:dyDescent="0.15">
      <c r="F205" t="s">
        <v>776</v>
      </c>
      <c r="G205">
        <v>9.1999999999999993</v>
      </c>
      <c r="I205">
        <v>28</v>
      </c>
      <c r="J205" t="s">
        <v>776</v>
      </c>
      <c r="K205" t="s">
        <v>777</v>
      </c>
      <c r="L205" t="s">
        <v>778</v>
      </c>
      <c r="M205" t="s">
        <v>300</v>
      </c>
      <c r="N205" t="s">
        <v>264</v>
      </c>
      <c r="O205">
        <v>400</v>
      </c>
      <c r="P205" t="str">
        <f t="shared" si="3"/>
        <v>银杏叶分散片0.15g×36片×400盒</v>
      </c>
      <c r="R205" s="3" t="s">
        <v>1046</v>
      </c>
      <c r="S205" s="3" t="s">
        <v>1457</v>
      </c>
      <c r="T205" s="3" t="s">
        <v>1458</v>
      </c>
      <c r="U205" s="3" t="s">
        <v>1457</v>
      </c>
    </row>
    <row r="206" spans="6:21" x14ac:dyDescent="0.15">
      <c r="F206" t="s">
        <v>779</v>
      </c>
      <c r="G206">
        <v>6.51</v>
      </c>
      <c r="J206" t="s">
        <v>779</v>
      </c>
      <c r="K206" t="s">
        <v>780</v>
      </c>
      <c r="L206" t="s">
        <v>299</v>
      </c>
      <c r="M206" t="s">
        <v>300</v>
      </c>
      <c r="N206" t="s">
        <v>264</v>
      </c>
      <c r="O206">
        <v>100</v>
      </c>
      <c r="P206" t="str">
        <f t="shared" si="3"/>
        <v>知柏地黄丸(OTC)9g×10丸×100盒</v>
      </c>
      <c r="R206" s="3" t="s">
        <v>1046</v>
      </c>
      <c r="S206" s="3" t="s">
        <v>1459</v>
      </c>
      <c r="T206" s="3" t="s">
        <v>1460</v>
      </c>
      <c r="U206" s="3" t="s">
        <v>1459</v>
      </c>
    </row>
    <row r="207" spans="6:21" x14ac:dyDescent="0.15">
      <c r="F207" t="s">
        <v>781</v>
      </c>
      <c r="G207">
        <v>13</v>
      </c>
      <c r="J207" t="s">
        <v>781</v>
      </c>
      <c r="K207" t="s">
        <v>782</v>
      </c>
      <c r="L207" t="s">
        <v>783</v>
      </c>
      <c r="M207" t="s">
        <v>567</v>
      </c>
      <c r="N207" t="s">
        <v>568</v>
      </c>
      <c r="O207">
        <v>200</v>
      </c>
      <c r="P207" t="str">
        <f t="shared" si="3"/>
        <v>重组人促红素注射液（CHO细胞）2000IU预充式</v>
      </c>
      <c r="R207" s="3" t="s">
        <v>1046</v>
      </c>
      <c r="S207" s="3" t="s">
        <v>1461</v>
      </c>
      <c r="T207" s="3" t="s">
        <v>1462</v>
      </c>
      <c r="U207" s="3" t="s">
        <v>1461</v>
      </c>
    </row>
    <row r="208" spans="6:21" x14ac:dyDescent="0.15">
      <c r="F208" t="s">
        <v>784</v>
      </c>
      <c r="G208">
        <v>8.5</v>
      </c>
      <c r="J208" t="s">
        <v>784</v>
      </c>
      <c r="K208" t="s">
        <v>782</v>
      </c>
      <c r="L208" t="s">
        <v>785</v>
      </c>
      <c r="M208" t="s">
        <v>567</v>
      </c>
      <c r="N208" t="s">
        <v>568</v>
      </c>
      <c r="O208">
        <v>300</v>
      </c>
      <c r="P208" t="str">
        <f t="shared" si="3"/>
        <v>重组人促红素注射液（CHO细胞）3000IU</v>
      </c>
      <c r="R208" s="3" t="s">
        <v>1046</v>
      </c>
      <c r="S208" s="3" t="s">
        <v>1463</v>
      </c>
      <c r="T208" s="3" t="s">
        <v>1464</v>
      </c>
      <c r="U208" s="3" t="s">
        <v>1463</v>
      </c>
    </row>
    <row r="209" spans="6:21" x14ac:dyDescent="0.15">
      <c r="F209" t="s">
        <v>786</v>
      </c>
      <c r="G209">
        <v>12</v>
      </c>
      <c r="J209" t="s">
        <v>786</v>
      </c>
      <c r="K209" t="s">
        <v>782</v>
      </c>
      <c r="L209" t="s">
        <v>787</v>
      </c>
      <c r="M209" t="s">
        <v>567</v>
      </c>
      <c r="N209" t="s">
        <v>568</v>
      </c>
      <c r="O209">
        <v>200</v>
      </c>
      <c r="P209" t="str">
        <f t="shared" si="3"/>
        <v>重组人促红素注射液（CHO细胞）3000IU预充式</v>
      </c>
      <c r="R209" s="3" t="s">
        <v>1046</v>
      </c>
      <c r="S209" s="3" t="s">
        <v>1465</v>
      </c>
      <c r="T209" s="3" t="s">
        <v>1466</v>
      </c>
      <c r="U209" s="3" t="s">
        <v>1465</v>
      </c>
    </row>
    <row r="210" spans="6:21" x14ac:dyDescent="0.15">
      <c r="F210" t="s">
        <v>788</v>
      </c>
      <c r="G210">
        <v>16</v>
      </c>
      <c r="J210" t="s">
        <v>788</v>
      </c>
      <c r="K210" t="s">
        <v>782</v>
      </c>
      <c r="L210" t="s">
        <v>789</v>
      </c>
      <c r="M210" t="s">
        <v>567</v>
      </c>
      <c r="N210" t="s">
        <v>568</v>
      </c>
      <c r="O210">
        <v>300</v>
      </c>
      <c r="P210" t="str">
        <f t="shared" si="3"/>
        <v>重组人促红素注射液（CHO细胞）4000IU</v>
      </c>
      <c r="R210" s="3" t="s">
        <v>1046</v>
      </c>
      <c r="S210" s="3" t="s">
        <v>1467</v>
      </c>
      <c r="T210" s="3" t="s">
        <v>1468</v>
      </c>
      <c r="U210" s="3" t="s">
        <v>1467</v>
      </c>
    </row>
    <row r="211" spans="6:21" x14ac:dyDescent="0.15">
      <c r="F211" t="s">
        <v>790</v>
      </c>
      <c r="G211">
        <v>14</v>
      </c>
      <c r="J211" t="s">
        <v>790</v>
      </c>
      <c r="K211" t="s">
        <v>782</v>
      </c>
      <c r="L211" t="s">
        <v>791</v>
      </c>
      <c r="M211" t="s">
        <v>567</v>
      </c>
      <c r="N211" t="s">
        <v>568</v>
      </c>
      <c r="O211">
        <v>200</v>
      </c>
      <c r="P211" t="str">
        <f t="shared" si="3"/>
        <v>重组人促红素注射液（CHO细胞）4000IU预充式</v>
      </c>
      <c r="R211" s="3" t="s">
        <v>1046</v>
      </c>
      <c r="S211" s="3" t="s">
        <v>1469</v>
      </c>
      <c r="T211" s="3" t="s">
        <v>1470</v>
      </c>
      <c r="U211" s="3" t="s">
        <v>1469</v>
      </c>
    </row>
    <row r="212" spans="6:21" x14ac:dyDescent="0.15">
      <c r="F212" t="s">
        <v>792</v>
      </c>
      <c r="G212">
        <v>17</v>
      </c>
      <c r="J212" t="s">
        <v>792</v>
      </c>
      <c r="K212" t="s">
        <v>782</v>
      </c>
      <c r="L212" t="s">
        <v>793</v>
      </c>
      <c r="M212" t="s">
        <v>567</v>
      </c>
      <c r="N212" t="s">
        <v>568</v>
      </c>
      <c r="O212">
        <v>300</v>
      </c>
      <c r="P212" t="str">
        <f t="shared" si="3"/>
        <v>重组人促红素注射液（CHO细胞）5000IU</v>
      </c>
      <c r="R212" s="3" t="s">
        <v>1046</v>
      </c>
      <c r="S212" s="3" t="s">
        <v>1471</v>
      </c>
      <c r="T212" s="3" t="s">
        <v>1472</v>
      </c>
      <c r="U212" s="3" t="s">
        <v>1471</v>
      </c>
    </row>
    <row r="213" spans="6:21" x14ac:dyDescent="0.15">
      <c r="F213" t="s">
        <v>794</v>
      </c>
      <c r="G213">
        <v>19</v>
      </c>
      <c r="J213" t="s">
        <v>794</v>
      </c>
      <c r="K213" t="s">
        <v>782</v>
      </c>
      <c r="L213" t="s">
        <v>795</v>
      </c>
      <c r="M213" t="s">
        <v>567</v>
      </c>
      <c r="N213" t="s">
        <v>568</v>
      </c>
      <c r="O213">
        <v>200</v>
      </c>
      <c r="P213" t="str">
        <f t="shared" si="3"/>
        <v>重组人促红素注射液（CHO细胞）5000IU预充式</v>
      </c>
      <c r="R213" s="3" t="s">
        <v>1046</v>
      </c>
      <c r="S213" s="3" t="s">
        <v>1473</v>
      </c>
      <c r="T213" s="3" t="s">
        <v>1474</v>
      </c>
      <c r="U213" s="3" t="s">
        <v>1473</v>
      </c>
    </row>
    <row r="214" spans="6:21" x14ac:dyDescent="0.15">
      <c r="F214" t="s">
        <v>796</v>
      </c>
      <c r="G214">
        <v>18</v>
      </c>
      <c r="J214" t="s">
        <v>796</v>
      </c>
      <c r="K214" t="s">
        <v>782</v>
      </c>
      <c r="L214" t="s">
        <v>797</v>
      </c>
      <c r="M214" t="s">
        <v>567</v>
      </c>
      <c r="N214" t="s">
        <v>568</v>
      </c>
      <c r="O214">
        <v>300</v>
      </c>
      <c r="P214" t="str">
        <f t="shared" si="3"/>
        <v>重组人促红素注射液（CHO细胞）6000IU</v>
      </c>
      <c r="R214" s="3" t="s">
        <v>1046</v>
      </c>
      <c r="S214" s="3" t="s">
        <v>1475</v>
      </c>
      <c r="T214" s="3" t="s">
        <v>1476</v>
      </c>
      <c r="U214" s="3" t="s">
        <v>1475</v>
      </c>
    </row>
    <row r="215" spans="6:21" x14ac:dyDescent="0.15">
      <c r="F215" t="s">
        <v>798</v>
      </c>
      <c r="G215">
        <v>17</v>
      </c>
      <c r="J215" t="s">
        <v>798</v>
      </c>
      <c r="K215" t="s">
        <v>782</v>
      </c>
      <c r="L215" t="s">
        <v>799</v>
      </c>
      <c r="M215" t="s">
        <v>567</v>
      </c>
      <c r="N215" t="s">
        <v>568</v>
      </c>
      <c r="O215">
        <v>200</v>
      </c>
      <c r="P215" t="str">
        <f t="shared" si="3"/>
        <v>重组人促红素注射液（CHO细胞）6000IU预充式</v>
      </c>
      <c r="R215" s="3" t="s">
        <v>1046</v>
      </c>
      <c r="S215" s="3" t="s">
        <v>1477</v>
      </c>
      <c r="T215" s="3" t="s">
        <v>1478</v>
      </c>
      <c r="U215" s="3" t="s">
        <v>1477</v>
      </c>
    </row>
    <row r="216" spans="6:21" x14ac:dyDescent="0.15">
      <c r="F216" t="s">
        <v>800</v>
      </c>
      <c r="G216">
        <v>8.1999999999999993</v>
      </c>
      <c r="J216" t="s">
        <v>800</v>
      </c>
      <c r="K216" t="s">
        <v>801</v>
      </c>
      <c r="L216" t="s">
        <v>802</v>
      </c>
      <c r="M216" t="s">
        <v>567</v>
      </c>
      <c r="N216" t="s">
        <v>568</v>
      </c>
      <c r="O216">
        <v>200</v>
      </c>
      <c r="P216" t="str">
        <f t="shared" si="3"/>
        <v>重组人干扰素α2b软膏（假单胞菌）10g</v>
      </c>
      <c r="R216" s="3" t="s">
        <v>1046</v>
      </c>
      <c r="S216" s="3" t="s">
        <v>1479</v>
      </c>
      <c r="T216" s="3" t="s">
        <v>1480</v>
      </c>
      <c r="U216" s="3" t="s">
        <v>1479</v>
      </c>
    </row>
    <row r="217" spans="6:21" x14ac:dyDescent="0.15">
      <c r="F217" t="s">
        <v>803</v>
      </c>
      <c r="G217">
        <v>5.73</v>
      </c>
      <c r="J217" t="s">
        <v>803</v>
      </c>
      <c r="K217" t="s">
        <v>801</v>
      </c>
      <c r="L217" t="s">
        <v>804</v>
      </c>
      <c r="M217" t="s">
        <v>567</v>
      </c>
      <c r="N217" t="s">
        <v>568</v>
      </c>
      <c r="O217">
        <v>200</v>
      </c>
      <c r="P217" t="str">
        <f t="shared" si="3"/>
        <v>重组人干扰素α2b软膏（假单胞菌）5g</v>
      </c>
      <c r="R217" s="3" t="s">
        <v>1046</v>
      </c>
      <c r="S217" s="3" t="s">
        <v>1481</v>
      </c>
      <c r="T217" s="3" t="s">
        <v>1482</v>
      </c>
      <c r="U217" s="3" t="s">
        <v>1481</v>
      </c>
    </row>
    <row r="218" spans="6:21" x14ac:dyDescent="0.15">
      <c r="F218" t="s">
        <v>805</v>
      </c>
      <c r="G218">
        <v>20</v>
      </c>
      <c r="J218" t="s">
        <v>805</v>
      </c>
      <c r="K218" t="s">
        <v>806</v>
      </c>
      <c r="L218" t="s">
        <v>807</v>
      </c>
      <c r="M218" t="s">
        <v>567</v>
      </c>
      <c r="N218" t="s">
        <v>568</v>
      </c>
      <c r="O218">
        <v>200</v>
      </c>
      <c r="P218" t="str">
        <f t="shared" si="3"/>
        <v>重组人粒细胞刺激因子注射液100ug预充式</v>
      </c>
      <c r="R218" s="3" t="s">
        <v>1046</v>
      </c>
      <c r="S218" s="3" t="s">
        <v>1483</v>
      </c>
      <c r="T218" s="3" t="s">
        <v>1484</v>
      </c>
      <c r="U218" s="3" t="s">
        <v>1483</v>
      </c>
    </row>
    <row r="219" spans="6:21" x14ac:dyDescent="0.15">
      <c r="F219" t="s">
        <v>808</v>
      </c>
      <c r="G219">
        <v>20</v>
      </c>
      <c r="J219" t="s">
        <v>808</v>
      </c>
      <c r="K219" t="s">
        <v>806</v>
      </c>
      <c r="L219" t="s">
        <v>809</v>
      </c>
      <c r="M219" t="s">
        <v>567</v>
      </c>
      <c r="N219" t="s">
        <v>568</v>
      </c>
      <c r="O219">
        <v>300</v>
      </c>
      <c r="P219" t="str">
        <f t="shared" si="3"/>
        <v>重组人粒细胞刺激因子注射液150ug</v>
      </c>
      <c r="R219" s="3" t="s">
        <v>1046</v>
      </c>
      <c r="S219" s="3" t="s">
        <v>1485</v>
      </c>
      <c r="T219" s="3" t="s">
        <v>1486</v>
      </c>
      <c r="U219" s="3" t="s">
        <v>1485</v>
      </c>
    </row>
    <row r="220" spans="6:21" x14ac:dyDescent="0.15">
      <c r="F220" t="s">
        <v>810</v>
      </c>
      <c r="G220">
        <v>24</v>
      </c>
      <c r="J220" t="s">
        <v>810</v>
      </c>
      <c r="K220" t="s">
        <v>806</v>
      </c>
      <c r="L220" t="s">
        <v>811</v>
      </c>
      <c r="M220" t="s">
        <v>567</v>
      </c>
      <c r="N220" t="s">
        <v>568</v>
      </c>
      <c r="O220">
        <v>200</v>
      </c>
      <c r="P220" t="str">
        <f t="shared" si="3"/>
        <v>重组人粒细胞刺激因子注射液150ug预充式</v>
      </c>
      <c r="R220" s="3" t="s">
        <v>1046</v>
      </c>
      <c r="S220" s="3" t="s">
        <v>1487</v>
      </c>
      <c r="T220" s="3" t="s">
        <v>1488</v>
      </c>
      <c r="U220" s="3" t="s">
        <v>1487</v>
      </c>
    </row>
    <row r="221" spans="6:21" x14ac:dyDescent="0.15">
      <c r="F221" t="s">
        <v>812</v>
      </c>
      <c r="G221">
        <v>28</v>
      </c>
      <c r="J221" t="s">
        <v>812</v>
      </c>
      <c r="K221" t="s">
        <v>806</v>
      </c>
      <c r="L221" t="s">
        <v>813</v>
      </c>
      <c r="M221" t="s">
        <v>567</v>
      </c>
      <c r="N221" t="s">
        <v>568</v>
      </c>
      <c r="O221">
        <v>200</v>
      </c>
      <c r="P221" t="str">
        <f t="shared" si="3"/>
        <v>重组人粒细胞刺激因子注射液200ug预充式</v>
      </c>
      <c r="R221" s="3" t="s">
        <v>1046</v>
      </c>
      <c r="S221" s="3" t="s">
        <v>1489</v>
      </c>
      <c r="T221" s="3" t="s">
        <v>1490</v>
      </c>
      <c r="U221" s="3" t="s">
        <v>1489</v>
      </c>
    </row>
    <row r="222" spans="6:21" x14ac:dyDescent="0.15">
      <c r="F222" t="s">
        <v>814</v>
      </c>
      <c r="G222">
        <v>31</v>
      </c>
      <c r="J222" t="s">
        <v>814</v>
      </c>
      <c r="K222" t="s">
        <v>806</v>
      </c>
      <c r="L222" t="s">
        <v>815</v>
      </c>
      <c r="M222" t="s">
        <v>567</v>
      </c>
      <c r="N222" t="s">
        <v>568</v>
      </c>
      <c r="O222">
        <v>200</v>
      </c>
      <c r="P222" t="str">
        <f t="shared" si="3"/>
        <v>重组人粒细胞刺激因子注射液300ug预充式</v>
      </c>
      <c r="R222" s="3" t="s">
        <v>1046</v>
      </c>
      <c r="S222" s="3" t="s">
        <v>1491</v>
      </c>
      <c r="T222" s="3" t="s">
        <v>1492</v>
      </c>
      <c r="U222" s="3" t="s">
        <v>1491</v>
      </c>
    </row>
    <row r="223" spans="6:21" x14ac:dyDescent="0.15">
      <c r="F223" t="s">
        <v>816</v>
      </c>
      <c r="G223">
        <v>1.6</v>
      </c>
      <c r="J223" t="s">
        <v>816</v>
      </c>
      <c r="K223" t="s">
        <v>817</v>
      </c>
      <c r="L223" t="s">
        <v>818</v>
      </c>
      <c r="M223" t="s">
        <v>247</v>
      </c>
      <c r="N223" t="s">
        <v>616</v>
      </c>
      <c r="O223">
        <v>1000</v>
      </c>
      <c r="P223" t="str">
        <f t="shared" si="3"/>
        <v>注射用阿莫西林钠(益萨林)0.5g*10支*100盒</v>
      </c>
      <c r="R223" s="3" t="s">
        <v>1046</v>
      </c>
      <c r="S223" s="3" t="s">
        <v>1493</v>
      </c>
      <c r="T223" s="3" t="s">
        <v>1494</v>
      </c>
      <c r="U223" s="3" t="s">
        <v>1493</v>
      </c>
    </row>
    <row r="224" spans="6:21" x14ac:dyDescent="0.15">
      <c r="F224" t="s">
        <v>819</v>
      </c>
      <c r="G224">
        <v>2.2999999999999998</v>
      </c>
      <c r="J224" t="s">
        <v>819</v>
      </c>
      <c r="K224" t="s">
        <v>817</v>
      </c>
      <c r="L224" t="s">
        <v>820</v>
      </c>
      <c r="M224" t="s">
        <v>247</v>
      </c>
      <c r="N224" t="s">
        <v>616</v>
      </c>
      <c r="O224">
        <v>1000</v>
      </c>
      <c r="P224" t="str">
        <f t="shared" si="3"/>
        <v>注射用阿莫西林钠(益萨林)1g*10支*100盒</v>
      </c>
      <c r="R224" s="3" t="s">
        <v>1046</v>
      </c>
      <c r="S224" s="3" t="s">
        <v>1495</v>
      </c>
      <c r="T224" s="3" t="s">
        <v>1496</v>
      </c>
      <c r="U224" s="3" t="s">
        <v>1495</v>
      </c>
    </row>
    <row r="225" spans="6:21" x14ac:dyDescent="0.15">
      <c r="F225" t="s">
        <v>821</v>
      </c>
      <c r="G225">
        <v>2.5</v>
      </c>
      <c r="J225" t="s">
        <v>821</v>
      </c>
      <c r="K225" t="s">
        <v>817</v>
      </c>
      <c r="L225" t="s">
        <v>822</v>
      </c>
      <c r="M225" t="s">
        <v>247</v>
      </c>
      <c r="N225" t="s">
        <v>616</v>
      </c>
      <c r="O225">
        <v>600</v>
      </c>
      <c r="P225" t="str">
        <f t="shared" si="3"/>
        <v>注射用阿莫西林钠(益萨林)2g*10支*60盒</v>
      </c>
      <c r="R225" s="3" t="s">
        <v>1046</v>
      </c>
      <c r="S225" s="3" t="s">
        <v>1497</v>
      </c>
      <c r="T225" s="3" t="s">
        <v>1498</v>
      </c>
      <c r="U225" s="3" t="s">
        <v>1497</v>
      </c>
    </row>
    <row r="226" spans="6:21" x14ac:dyDescent="0.15">
      <c r="F226" t="s">
        <v>823</v>
      </c>
      <c r="G226">
        <v>1.5</v>
      </c>
      <c r="J226" t="s">
        <v>823</v>
      </c>
      <c r="K226" t="s">
        <v>824</v>
      </c>
      <c r="L226" t="s">
        <v>825</v>
      </c>
      <c r="M226" t="s">
        <v>247</v>
      </c>
      <c r="N226" t="s">
        <v>616</v>
      </c>
      <c r="O226">
        <v>600</v>
      </c>
      <c r="P226" t="str">
        <f t="shared" si="3"/>
        <v>注射用阿莫西林钠克拉维酸钾(崇美)0.3g</v>
      </c>
      <c r="R226" s="3" t="s">
        <v>1046</v>
      </c>
      <c r="S226" s="3" t="s">
        <v>1499</v>
      </c>
      <c r="T226" s="3" t="s">
        <v>1500</v>
      </c>
      <c r="U226" s="3" t="s">
        <v>1499</v>
      </c>
    </row>
    <row r="227" spans="6:21" x14ac:dyDescent="0.15">
      <c r="F227" t="s">
        <v>826</v>
      </c>
      <c r="G227">
        <v>3.4</v>
      </c>
      <c r="J227" t="s">
        <v>826</v>
      </c>
      <c r="K227" t="s">
        <v>827</v>
      </c>
      <c r="L227" t="s">
        <v>828</v>
      </c>
      <c r="M227" t="s">
        <v>247</v>
      </c>
      <c r="N227" t="s">
        <v>616</v>
      </c>
      <c r="O227">
        <v>600</v>
      </c>
      <c r="P227" t="str">
        <f t="shared" si="3"/>
        <v>注射用阿莫西林钠克拉维酸钾（胜艾）1.2g</v>
      </c>
      <c r="R227" s="3" t="s">
        <v>1046</v>
      </c>
      <c r="S227" s="3" t="s">
        <v>1501</v>
      </c>
      <c r="T227" s="3" t="s">
        <v>1502</v>
      </c>
      <c r="U227" s="3" t="s">
        <v>1501</v>
      </c>
    </row>
    <row r="228" spans="6:21" x14ac:dyDescent="0.15">
      <c r="F228" t="s">
        <v>829</v>
      </c>
      <c r="G228">
        <v>2</v>
      </c>
      <c r="J228" t="s">
        <v>829</v>
      </c>
      <c r="K228" t="s">
        <v>830</v>
      </c>
      <c r="L228" t="s">
        <v>831</v>
      </c>
      <c r="M228" t="s">
        <v>247</v>
      </c>
      <c r="N228" t="s">
        <v>616</v>
      </c>
      <c r="O228">
        <v>600</v>
      </c>
      <c r="P228" t="str">
        <f t="shared" si="3"/>
        <v>注射用阿莫西林钠克拉维酸钾（组能）0.6g</v>
      </c>
      <c r="R228" s="3" t="s">
        <v>1046</v>
      </c>
      <c r="S228" s="3" t="s">
        <v>1503</v>
      </c>
      <c r="T228" s="3" t="s">
        <v>1504</v>
      </c>
      <c r="U228" s="3" t="s">
        <v>1503</v>
      </c>
    </row>
    <row r="229" spans="6:21" x14ac:dyDescent="0.15">
      <c r="F229" t="s">
        <v>832</v>
      </c>
      <c r="G229">
        <v>2.2999999999999998</v>
      </c>
      <c r="J229" t="s">
        <v>832</v>
      </c>
      <c r="K229" t="s">
        <v>833</v>
      </c>
      <c r="L229" t="s">
        <v>834</v>
      </c>
      <c r="M229" t="s">
        <v>247</v>
      </c>
      <c r="N229" t="s">
        <v>616</v>
      </c>
      <c r="O229">
        <v>600</v>
      </c>
      <c r="P229" t="str">
        <f t="shared" si="3"/>
        <v>注射用阿莫西林钠舒巴坦钠0.75g</v>
      </c>
      <c r="R229" s="3" t="s">
        <v>1046</v>
      </c>
      <c r="S229" s="3" t="s">
        <v>1505</v>
      </c>
      <c r="T229" s="3" t="s">
        <v>1506</v>
      </c>
      <c r="U229" s="3" t="s">
        <v>1505</v>
      </c>
    </row>
    <row r="230" spans="6:21" x14ac:dyDescent="0.15">
      <c r="F230" t="s">
        <v>835</v>
      </c>
      <c r="G230">
        <v>3.3</v>
      </c>
      <c r="J230" t="s">
        <v>835</v>
      </c>
      <c r="K230" t="s">
        <v>833</v>
      </c>
      <c r="L230" t="s">
        <v>836</v>
      </c>
      <c r="M230" t="s">
        <v>247</v>
      </c>
      <c r="N230" t="s">
        <v>616</v>
      </c>
      <c r="O230">
        <v>600</v>
      </c>
      <c r="P230" t="str">
        <f t="shared" si="3"/>
        <v>注射用阿莫西林钠舒巴坦钠1.5g</v>
      </c>
      <c r="R230" s="3" t="s">
        <v>1046</v>
      </c>
      <c r="S230" s="3" t="s">
        <v>1507</v>
      </c>
      <c r="T230" s="3" t="s">
        <v>1508</v>
      </c>
      <c r="U230" s="3" t="s">
        <v>1507</v>
      </c>
    </row>
    <row r="231" spans="6:21" x14ac:dyDescent="0.15">
      <c r="F231" t="s">
        <v>837</v>
      </c>
      <c r="G231">
        <v>4.5</v>
      </c>
      <c r="J231" t="s">
        <v>837</v>
      </c>
      <c r="K231" t="s">
        <v>833</v>
      </c>
      <c r="L231" t="s">
        <v>838</v>
      </c>
      <c r="M231" t="s">
        <v>247</v>
      </c>
      <c r="N231" t="s">
        <v>616</v>
      </c>
      <c r="O231">
        <v>600</v>
      </c>
      <c r="P231" t="str">
        <f t="shared" si="3"/>
        <v>注射用阿莫西林钠舒巴坦钠3.0g</v>
      </c>
      <c r="R231" s="3" t="s">
        <v>1046</v>
      </c>
      <c r="S231" s="3" t="s">
        <v>1509</v>
      </c>
      <c r="T231" s="3" t="s">
        <v>1510</v>
      </c>
      <c r="U231" s="3" t="s">
        <v>1509</v>
      </c>
    </row>
    <row r="232" spans="6:21" x14ac:dyDescent="0.15">
      <c r="F232" t="s">
        <v>839</v>
      </c>
      <c r="G232">
        <v>0.61</v>
      </c>
      <c r="J232" t="s">
        <v>839</v>
      </c>
      <c r="K232" t="s">
        <v>840</v>
      </c>
      <c r="L232" t="s">
        <v>841</v>
      </c>
      <c r="M232" t="s">
        <v>247</v>
      </c>
      <c r="N232" t="s">
        <v>616</v>
      </c>
      <c r="O232">
        <v>1000</v>
      </c>
      <c r="P232" t="str">
        <f t="shared" si="3"/>
        <v>注射用氨苄西林钠溶媒法0.5g</v>
      </c>
      <c r="R232" s="3" t="s">
        <v>1046</v>
      </c>
      <c r="S232" s="3" t="s">
        <v>1511</v>
      </c>
      <c r="T232" s="3" t="s">
        <v>1512</v>
      </c>
      <c r="U232" s="3" t="s">
        <v>1511</v>
      </c>
    </row>
    <row r="233" spans="6:21" x14ac:dyDescent="0.15">
      <c r="F233" t="s">
        <v>842</v>
      </c>
      <c r="G233">
        <v>0.94</v>
      </c>
      <c r="J233" t="s">
        <v>842</v>
      </c>
      <c r="K233" t="s">
        <v>840</v>
      </c>
      <c r="L233" t="s">
        <v>843</v>
      </c>
      <c r="M233" t="s">
        <v>247</v>
      </c>
      <c r="N233" t="s">
        <v>616</v>
      </c>
      <c r="O233">
        <v>1000</v>
      </c>
      <c r="P233" t="str">
        <f t="shared" si="3"/>
        <v>注射用氨苄西林钠溶媒法1.0g</v>
      </c>
      <c r="R233" s="3" t="s">
        <v>1046</v>
      </c>
      <c r="S233" s="3" t="s">
        <v>1513</v>
      </c>
      <c r="T233" s="3" t="s">
        <v>1514</v>
      </c>
      <c r="U233" s="3" t="s">
        <v>1513</v>
      </c>
    </row>
    <row r="234" spans="6:21" x14ac:dyDescent="0.15">
      <c r="F234" t="s">
        <v>844</v>
      </c>
      <c r="G234">
        <v>1.8</v>
      </c>
      <c r="J234" t="s">
        <v>844</v>
      </c>
      <c r="K234" t="s">
        <v>840</v>
      </c>
      <c r="L234" t="s">
        <v>845</v>
      </c>
      <c r="M234" t="s">
        <v>247</v>
      </c>
      <c r="N234" t="s">
        <v>616</v>
      </c>
      <c r="O234">
        <v>600</v>
      </c>
      <c r="P234" t="str">
        <f t="shared" si="3"/>
        <v>注射用氨苄西林钠溶媒法2.0g</v>
      </c>
      <c r="R234" s="3" t="s">
        <v>1046</v>
      </c>
      <c r="S234" s="3" t="s">
        <v>1515</v>
      </c>
      <c r="T234" s="3" t="s">
        <v>1516</v>
      </c>
      <c r="U234" s="3" t="s">
        <v>1515</v>
      </c>
    </row>
    <row r="235" spans="6:21" x14ac:dyDescent="0.15">
      <c r="F235" t="s">
        <v>846</v>
      </c>
      <c r="G235">
        <v>2.5</v>
      </c>
      <c r="J235" t="s">
        <v>846</v>
      </c>
      <c r="K235" t="s">
        <v>847</v>
      </c>
      <c r="L235" t="s">
        <v>848</v>
      </c>
      <c r="M235" t="s">
        <v>247</v>
      </c>
      <c r="N235" t="s">
        <v>616</v>
      </c>
      <c r="O235">
        <v>400</v>
      </c>
      <c r="P235" t="str">
        <f t="shared" si="3"/>
        <v>注射用氨苄西林钠舒巴坦钠（凯兰欣）3g*400支3g*400支</v>
      </c>
      <c r="R235" s="3" t="s">
        <v>1046</v>
      </c>
      <c r="S235" s="3" t="s">
        <v>1517</v>
      </c>
      <c r="T235" s="3" t="s">
        <v>1518</v>
      </c>
      <c r="U235" s="3" t="s">
        <v>1517</v>
      </c>
    </row>
    <row r="236" spans="6:21" x14ac:dyDescent="0.15">
      <c r="F236" t="s">
        <v>849</v>
      </c>
      <c r="G236">
        <v>2.5</v>
      </c>
      <c r="J236" t="s">
        <v>849</v>
      </c>
      <c r="K236" t="s">
        <v>847</v>
      </c>
      <c r="L236" t="s">
        <v>848</v>
      </c>
      <c r="M236" t="s">
        <v>247</v>
      </c>
      <c r="N236" t="s">
        <v>616</v>
      </c>
      <c r="O236">
        <v>400</v>
      </c>
      <c r="P236" t="str">
        <f t="shared" si="3"/>
        <v>注射用氨苄西林钠舒巴坦钠（凯兰欣）3g*400支3g*400支</v>
      </c>
    </row>
    <row r="237" spans="6:21" x14ac:dyDescent="0.15">
      <c r="F237" t="s">
        <v>850</v>
      </c>
      <c r="G237">
        <v>1.9</v>
      </c>
      <c r="J237" t="s">
        <v>850</v>
      </c>
      <c r="K237" t="s">
        <v>851</v>
      </c>
      <c r="L237" t="s">
        <v>852</v>
      </c>
      <c r="M237" t="s">
        <v>567</v>
      </c>
      <c r="N237" t="s">
        <v>568</v>
      </c>
      <c r="O237">
        <v>720</v>
      </c>
      <c r="P237" t="str">
        <f t="shared" si="3"/>
        <v>注射用奥美拉唑钠40mg</v>
      </c>
    </row>
    <row r="238" spans="6:21" x14ac:dyDescent="0.15">
      <c r="F238" t="s">
        <v>853</v>
      </c>
      <c r="G238">
        <v>27.79</v>
      </c>
      <c r="J238" t="s">
        <v>853</v>
      </c>
      <c r="K238" t="s">
        <v>854</v>
      </c>
      <c r="L238" t="s">
        <v>855</v>
      </c>
      <c r="M238" t="s">
        <v>567</v>
      </c>
      <c r="N238" t="s">
        <v>568</v>
      </c>
      <c r="O238">
        <v>60</v>
      </c>
      <c r="P238" t="str">
        <f t="shared" si="3"/>
        <v>注射用奥沙利铂50mg</v>
      </c>
    </row>
    <row r="239" spans="6:21" x14ac:dyDescent="0.15">
      <c r="F239" t="s">
        <v>856</v>
      </c>
      <c r="G239">
        <v>1.75</v>
      </c>
      <c r="J239" t="s">
        <v>856</v>
      </c>
      <c r="K239" t="s">
        <v>857</v>
      </c>
      <c r="L239" t="s">
        <v>858</v>
      </c>
      <c r="M239" t="s">
        <v>567</v>
      </c>
      <c r="N239" t="s">
        <v>568</v>
      </c>
      <c r="O239">
        <v>720</v>
      </c>
      <c r="P239" t="str">
        <f t="shared" si="3"/>
        <v>注射用奥扎格雷钠20mg</v>
      </c>
    </row>
    <row r="240" spans="6:21" x14ac:dyDescent="0.15">
      <c r="F240" t="s">
        <v>859</v>
      </c>
      <c r="G240">
        <v>2.5099999999999998</v>
      </c>
      <c r="J240" t="s">
        <v>859</v>
      </c>
      <c r="K240" t="s">
        <v>857</v>
      </c>
      <c r="L240" t="s">
        <v>852</v>
      </c>
      <c r="M240" t="s">
        <v>567</v>
      </c>
      <c r="N240" t="s">
        <v>568</v>
      </c>
      <c r="O240">
        <v>720</v>
      </c>
      <c r="P240" t="str">
        <f t="shared" si="3"/>
        <v>注射用奥扎格雷钠40mg</v>
      </c>
    </row>
    <row r="241" spans="6:16" x14ac:dyDescent="0.15">
      <c r="F241" t="s">
        <v>860</v>
      </c>
      <c r="G241">
        <v>2.7</v>
      </c>
      <c r="J241" t="s">
        <v>860</v>
      </c>
      <c r="K241" t="s">
        <v>857</v>
      </c>
      <c r="L241" t="s">
        <v>861</v>
      </c>
      <c r="M241" t="s">
        <v>567</v>
      </c>
      <c r="N241" t="s">
        <v>568</v>
      </c>
      <c r="O241">
        <v>720</v>
      </c>
      <c r="P241" t="str">
        <f t="shared" si="3"/>
        <v>注射用奥扎格雷钠80mg</v>
      </c>
    </row>
    <row r="242" spans="6:16" x14ac:dyDescent="0.15">
      <c r="F242" t="s">
        <v>862</v>
      </c>
      <c r="G242">
        <v>7</v>
      </c>
      <c r="J242" t="s">
        <v>862</v>
      </c>
      <c r="K242" t="s">
        <v>863</v>
      </c>
      <c r="L242" t="s">
        <v>864</v>
      </c>
      <c r="M242" t="s">
        <v>326</v>
      </c>
      <c r="N242" t="s">
        <v>568</v>
      </c>
      <c r="O242">
        <v>600</v>
      </c>
      <c r="P242" t="str">
        <f t="shared" si="3"/>
        <v>注射用丹参(冻干)-60盒400mg×10支×60盒</v>
      </c>
    </row>
    <row r="243" spans="6:16" x14ac:dyDescent="0.15">
      <c r="F243" t="s">
        <v>865</v>
      </c>
      <c r="G243">
        <v>3.9</v>
      </c>
      <c r="J243" t="s">
        <v>865</v>
      </c>
      <c r="K243" t="s">
        <v>866</v>
      </c>
      <c r="L243" t="s">
        <v>867</v>
      </c>
      <c r="M243" t="s">
        <v>247</v>
      </c>
      <c r="N243" t="s">
        <v>616</v>
      </c>
      <c r="O243">
        <v>1000</v>
      </c>
      <c r="P243" t="str">
        <f t="shared" si="3"/>
        <v>注射用对氨基水杨酸钠2g*50支*20盒</v>
      </c>
    </row>
    <row r="244" spans="6:16" x14ac:dyDescent="0.15">
      <c r="F244" t="s">
        <v>865</v>
      </c>
      <c r="G244">
        <v>3.9</v>
      </c>
      <c r="J244" t="s">
        <v>865</v>
      </c>
      <c r="K244" t="s">
        <v>866</v>
      </c>
      <c r="L244" t="s">
        <v>867</v>
      </c>
      <c r="M244" t="s">
        <v>247</v>
      </c>
      <c r="N244" t="s">
        <v>616</v>
      </c>
      <c r="O244">
        <v>1000</v>
      </c>
      <c r="P244" t="str">
        <f t="shared" si="3"/>
        <v>注射用对氨基水杨酸钠2g*50支*20盒</v>
      </c>
    </row>
    <row r="245" spans="6:16" x14ac:dyDescent="0.15">
      <c r="F245" t="s">
        <v>868</v>
      </c>
      <c r="G245">
        <v>2.5</v>
      </c>
      <c r="J245" t="s">
        <v>868</v>
      </c>
      <c r="K245" t="s">
        <v>869</v>
      </c>
      <c r="L245" t="s">
        <v>870</v>
      </c>
      <c r="M245" t="s">
        <v>567</v>
      </c>
      <c r="N245" t="s">
        <v>568</v>
      </c>
      <c r="O245">
        <v>720</v>
      </c>
      <c r="P245" t="str">
        <f t="shared" si="3"/>
        <v>注射用更昔洛韦0.25g*1支</v>
      </c>
    </row>
    <row r="246" spans="6:16" x14ac:dyDescent="0.15">
      <c r="F246" t="s">
        <v>871</v>
      </c>
      <c r="G246">
        <v>2.97</v>
      </c>
      <c r="J246" t="s">
        <v>871</v>
      </c>
      <c r="K246" t="s">
        <v>872</v>
      </c>
      <c r="L246" t="s">
        <v>873</v>
      </c>
      <c r="M246" t="s">
        <v>567</v>
      </c>
      <c r="N246" t="s">
        <v>568</v>
      </c>
      <c r="O246">
        <v>720</v>
      </c>
      <c r="P246" t="str">
        <f t="shared" si="3"/>
        <v>注射用甲硫氨酸维B1100mg:10mg</v>
      </c>
    </row>
    <row r="247" spans="6:16" x14ac:dyDescent="0.15">
      <c r="F247" t="s">
        <v>874</v>
      </c>
      <c r="G247">
        <v>2.2000000000000002</v>
      </c>
      <c r="J247" t="s">
        <v>874</v>
      </c>
      <c r="K247" t="s">
        <v>872</v>
      </c>
      <c r="L247" t="s">
        <v>875</v>
      </c>
      <c r="M247" t="s">
        <v>567</v>
      </c>
      <c r="N247" t="s">
        <v>568</v>
      </c>
      <c r="O247">
        <v>720</v>
      </c>
      <c r="P247" t="str">
        <f t="shared" si="3"/>
        <v>注射用甲硫氨酸维B140mg:4mg</v>
      </c>
    </row>
    <row r="248" spans="6:16" x14ac:dyDescent="0.15">
      <c r="F248" t="s">
        <v>876</v>
      </c>
      <c r="G248">
        <v>0.57999999999999996</v>
      </c>
      <c r="J248" t="s">
        <v>876</v>
      </c>
      <c r="K248" t="s">
        <v>877</v>
      </c>
      <c r="L248" t="s">
        <v>878</v>
      </c>
      <c r="M248" t="s">
        <v>247</v>
      </c>
      <c r="N248" t="s">
        <v>616</v>
      </c>
      <c r="O248">
        <v>1000</v>
      </c>
      <c r="P248" t="str">
        <f t="shared" si="3"/>
        <v>注射用酒石酸吉他霉素20万*50支*20盒</v>
      </c>
    </row>
    <row r="249" spans="6:16" x14ac:dyDescent="0.15">
      <c r="F249" t="s">
        <v>879</v>
      </c>
      <c r="G249">
        <v>2.4</v>
      </c>
      <c r="J249" t="s">
        <v>879</v>
      </c>
      <c r="K249" t="s">
        <v>880</v>
      </c>
      <c r="L249" t="s">
        <v>881</v>
      </c>
      <c r="M249" t="s">
        <v>247</v>
      </c>
      <c r="N249" t="s">
        <v>616</v>
      </c>
      <c r="O249">
        <v>400</v>
      </c>
      <c r="P249" t="str">
        <f t="shared" si="3"/>
        <v>注射用赖氨匹林(益彼兴)0.9g*10支*40盒</v>
      </c>
    </row>
    <row r="250" spans="6:16" x14ac:dyDescent="0.15">
      <c r="F250" t="s">
        <v>882</v>
      </c>
      <c r="G250">
        <v>1.65</v>
      </c>
      <c r="J250" t="s">
        <v>882</v>
      </c>
      <c r="K250" t="s">
        <v>883</v>
      </c>
      <c r="L250" t="s">
        <v>884</v>
      </c>
      <c r="M250" t="s">
        <v>247</v>
      </c>
      <c r="N250" t="s">
        <v>616</v>
      </c>
      <c r="O250">
        <v>1000</v>
      </c>
      <c r="P250" t="str">
        <f t="shared" si="3"/>
        <v>注射用磷霉素钠1g</v>
      </c>
    </row>
    <row r="251" spans="6:16" x14ac:dyDescent="0.15">
      <c r="F251" t="s">
        <v>885</v>
      </c>
      <c r="G251">
        <v>3.1</v>
      </c>
      <c r="J251" t="s">
        <v>885</v>
      </c>
      <c r="K251" t="s">
        <v>883</v>
      </c>
      <c r="L251" t="s">
        <v>845</v>
      </c>
      <c r="M251" t="s">
        <v>247</v>
      </c>
      <c r="N251" t="s">
        <v>616</v>
      </c>
      <c r="O251">
        <v>600</v>
      </c>
      <c r="P251" t="str">
        <f t="shared" si="3"/>
        <v>注射用磷霉素钠2.0g</v>
      </c>
    </row>
    <row r="252" spans="6:16" x14ac:dyDescent="0.15">
      <c r="F252" t="s">
        <v>886</v>
      </c>
      <c r="G252">
        <v>15.5</v>
      </c>
      <c r="J252" t="s">
        <v>886</v>
      </c>
      <c r="K252" t="s">
        <v>883</v>
      </c>
      <c r="L252" t="s">
        <v>887</v>
      </c>
      <c r="M252" t="s">
        <v>263</v>
      </c>
      <c r="N252" t="s">
        <v>616</v>
      </c>
      <c r="O252">
        <v>1200</v>
      </c>
      <c r="P252" t="str">
        <f t="shared" si="3"/>
        <v>注射用磷霉素钠1g×10支×120盒</v>
      </c>
    </row>
    <row r="253" spans="6:16" x14ac:dyDescent="0.15">
      <c r="F253" t="s">
        <v>888</v>
      </c>
      <c r="G253">
        <v>29.5</v>
      </c>
      <c r="J253" t="s">
        <v>888</v>
      </c>
      <c r="K253" t="s">
        <v>883</v>
      </c>
      <c r="L253" t="s">
        <v>889</v>
      </c>
      <c r="M253" t="s">
        <v>263</v>
      </c>
      <c r="N253" t="s">
        <v>616</v>
      </c>
      <c r="O253">
        <v>1000</v>
      </c>
      <c r="P253" t="str">
        <f t="shared" si="3"/>
        <v>注射用磷霉素钠2g×10支×100盒</v>
      </c>
    </row>
    <row r="254" spans="6:16" x14ac:dyDescent="0.15">
      <c r="F254" t="s">
        <v>890</v>
      </c>
      <c r="G254">
        <v>11</v>
      </c>
      <c r="J254" t="s">
        <v>890</v>
      </c>
      <c r="K254" t="s">
        <v>883</v>
      </c>
      <c r="L254" t="s">
        <v>891</v>
      </c>
      <c r="M254" t="s">
        <v>263</v>
      </c>
      <c r="N254" t="s">
        <v>616</v>
      </c>
      <c r="O254">
        <v>200</v>
      </c>
      <c r="P254" t="str">
        <f t="shared" si="3"/>
        <v>注射用磷霉素钠4.0g*2支*5盒*20条/箱</v>
      </c>
    </row>
    <row r="255" spans="6:16" x14ac:dyDescent="0.15">
      <c r="F255" t="s">
        <v>892</v>
      </c>
      <c r="G255">
        <v>3.5</v>
      </c>
      <c r="J255" t="s">
        <v>892</v>
      </c>
      <c r="K255" t="s">
        <v>893</v>
      </c>
      <c r="L255" t="s">
        <v>894</v>
      </c>
      <c r="M255" t="s">
        <v>247</v>
      </c>
      <c r="N255" t="s">
        <v>616</v>
      </c>
      <c r="O255">
        <v>600</v>
      </c>
      <c r="P255" t="str">
        <f t="shared" si="3"/>
        <v>注射用哌拉西林钠舒巴坦钠(4:1)1.25g*600支</v>
      </c>
    </row>
    <row r="256" spans="6:16" x14ac:dyDescent="0.15">
      <c r="F256" t="s">
        <v>895</v>
      </c>
      <c r="G256">
        <v>6.5</v>
      </c>
      <c r="J256" t="s">
        <v>895</v>
      </c>
      <c r="K256" t="s">
        <v>893</v>
      </c>
      <c r="L256" t="s">
        <v>896</v>
      </c>
      <c r="M256" t="s">
        <v>247</v>
      </c>
      <c r="N256" t="s">
        <v>616</v>
      </c>
      <c r="O256">
        <v>600</v>
      </c>
      <c r="P256" t="str">
        <f t="shared" si="3"/>
        <v>注射用哌拉西林钠舒巴坦钠(4:1)2.5g*600支</v>
      </c>
    </row>
    <row r="257" spans="6:16" x14ac:dyDescent="0.15">
      <c r="F257" t="s">
        <v>897</v>
      </c>
      <c r="G257">
        <v>3.5</v>
      </c>
      <c r="J257" t="s">
        <v>897</v>
      </c>
      <c r="K257" t="s">
        <v>898</v>
      </c>
      <c r="L257" t="s">
        <v>899</v>
      </c>
      <c r="M257" t="s">
        <v>900</v>
      </c>
      <c r="N257" t="s">
        <v>616</v>
      </c>
      <c r="O257">
        <v>600</v>
      </c>
      <c r="P257" t="str">
        <f t="shared" si="3"/>
        <v>注射用泮托拉唑钠60mgx10支</v>
      </c>
    </row>
    <row r="258" spans="6:16" x14ac:dyDescent="0.15">
      <c r="F258" t="s">
        <v>901</v>
      </c>
      <c r="G258">
        <v>0.52</v>
      </c>
      <c r="J258" t="s">
        <v>901</v>
      </c>
      <c r="K258" t="s">
        <v>902</v>
      </c>
      <c r="L258" t="s">
        <v>903</v>
      </c>
      <c r="M258" t="s">
        <v>247</v>
      </c>
      <c r="N258" t="s">
        <v>616</v>
      </c>
      <c r="O258">
        <v>1000</v>
      </c>
      <c r="P258" t="str">
        <f t="shared" si="3"/>
        <v>注射用青霉素钠160万</v>
      </c>
    </row>
    <row r="259" spans="6:16" x14ac:dyDescent="0.15">
      <c r="F259" t="s">
        <v>904</v>
      </c>
      <c r="G259">
        <v>1.4</v>
      </c>
      <c r="J259" t="s">
        <v>904</v>
      </c>
      <c r="K259" t="s">
        <v>902</v>
      </c>
      <c r="L259" t="s">
        <v>905</v>
      </c>
      <c r="M259" t="s">
        <v>247</v>
      </c>
      <c r="N259" t="s">
        <v>616</v>
      </c>
      <c r="O259">
        <v>600</v>
      </c>
      <c r="P259" t="str">
        <f t="shared" ref="P259:P322" si="4">K259&amp;L259</f>
        <v>注射用青霉素钠400万/600支</v>
      </c>
    </row>
    <row r="260" spans="6:16" x14ac:dyDescent="0.15">
      <c r="F260" t="s">
        <v>906</v>
      </c>
      <c r="G260">
        <v>2.1</v>
      </c>
      <c r="J260" t="s">
        <v>906</v>
      </c>
      <c r="K260" t="s">
        <v>902</v>
      </c>
      <c r="L260" t="s">
        <v>907</v>
      </c>
      <c r="M260" t="s">
        <v>247</v>
      </c>
      <c r="N260" t="s">
        <v>616</v>
      </c>
      <c r="O260">
        <v>400</v>
      </c>
      <c r="P260" t="str">
        <f t="shared" si="4"/>
        <v>注射用青霉素钠800万</v>
      </c>
    </row>
    <row r="261" spans="6:16" x14ac:dyDescent="0.15">
      <c r="F261" t="s">
        <v>908</v>
      </c>
      <c r="G261">
        <v>0.35</v>
      </c>
      <c r="J261" t="s">
        <v>908</v>
      </c>
      <c r="K261" t="s">
        <v>902</v>
      </c>
      <c r="L261" t="s">
        <v>909</v>
      </c>
      <c r="M261" t="s">
        <v>247</v>
      </c>
      <c r="N261" t="s">
        <v>616</v>
      </c>
      <c r="O261">
        <v>1000</v>
      </c>
      <c r="P261" t="str">
        <f t="shared" si="4"/>
        <v>注射用青霉素钠80万</v>
      </c>
    </row>
    <row r="262" spans="6:16" x14ac:dyDescent="0.15">
      <c r="F262" t="s">
        <v>910</v>
      </c>
      <c r="G262">
        <v>1.4</v>
      </c>
      <c r="J262" t="s">
        <v>910</v>
      </c>
      <c r="K262" t="s">
        <v>911</v>
      </c>
      <c r="L262" t="s">
        <v>912</v>
      </c>
      <c r="M262" t="s">
        <v>247</v>
      </c>
      <c r="N262" t="s">
        <v>616</v>
      </c>
      <c r="O262">
        <v>1000</v>
      </c>
      <c r="P262" t="str">
        <f t="shared" si="4"/>
        <v>注射用乳糖酸阿奇霉素0.125g</v>
      </c>
    </row>
    <row r="263" spans="6:16" x14ac:dyDescent="0.15">
      <c r="F263" t="s">
        <v>913</v>
      </c>
      <c r="G263">
        <v>2.2000000000000002</v>
      </c>
      <c r="J263" t="s">
        <v>913</v>
      </c>
      <c r="K263" t="s">
        <v>911</v>
      </c>
      <c r="L263" t="s">
        <v>914</v>
      </c>
      <c r="M263" t="s">
        <v>247</v>
      </c>
      <c r="N263" t="s">
        <v>616</v>
      </c>
      <c r="O263">
        <v>600</v>
      </c>
      <c r="P263" t="str">
        <f t="shared" si="4"/>
        <v>注射用乳糖酸阿奇霉素0.25g</v>
      </c>
    </row>
    <row r="264" spans="6:16" x14ac:dyDescent="0.15">
      <c r="F264" t="s">
        <v>915</v>
      </c>
      <c r="G264">
        <v>1.4</v>
      </c>
      <c r="J264" t="s">
        <v>915</v>
      </c>
      <c r="K264" t="s">
        <v>916</v>
      </c>
      <c r="L264" t="s">
        <v>912</v>
      </c>
      <c r="M264" t="s">
        <v>247</v>
      </c>
      <c r="N264" t="s">
        <v>616</v>
      </c>
      <c r="O264">
        <v>600</v>
      </c>
      <c r="P264" t="str">
        <f t="shared" si="4"/>
        <v>注射用乳糖酸阿奇霉素（齐宏）0.125g</v>
      </c>
    </row>
    <row r="265" spans="6:16" x14ac:dyDescent="0.15">
      <c r="F265" t="s">
        <v>917</v>
      </c>
      <c r="G265">
        <v>2.2000000000000002</v>
      </c>
      <c r="J265" t="s">
        <v>917</v>
      </c>
      <c r="K265" t="s">
        <v>916</v>
      </c>
      <c r="L265" t="s">
        <v>914</v>
      </c>
      <c r="M265" t="s">
        <v>247</v>
      </c>
      <c r="N265" t="s">
        <v>616</v>
      </c>
      <c r="O265">
        <v>600</v>
      </c>
      <c r="P265" t="str">
        <f t="shared" si="4"/>
        <v>注射用乳糖酸阿奇霉素（齐宏）0.25g</v>
      </c>
    </row>
    <row r="266" spans="6:16" x14ac:dyDescent="0.15">
      <c r="F266" t="s">
        <v>918</v>
      </c>
      <c r="G266">
        <v>3</v>
      </c>
      <c r="J266" t="s">
        <v>918</v>
      </c>
      <c r="K266" t="s">
        <v>916</v>
      </c>
      <c r="L266" t="s">
        <v>841</v>
      </c>
      <c r="M266" t="s">
        <v>247</v>
      </c>
      <c r="N266" t="s">
        <v>616</v>
      </c>
      <c r="O266">
        <v>600</v>
      </c>
      <c r="P266" t="str">
        <f t="shared" si="4"/>
        <v>注射用乳糖酸阿奇霉素（齐宏）0.5g</v>
      </c>
    </row>
    <row r="267" spans="6:16" x14ac:dyDescent="0.15">
      <c r="F267" t="s">
        <v>919</v>
      </c>
      <c r="G267">
        <v>6</v>
      </c>
      <c r="J267" t="s">
        <v>919</v>
      </c>
      <c r="K267" t="s">
        <v>920</v>
      </c>
      <c r="L267" t="s">
        <v>921</v>
      </c>
      <c r="M267" t="s">
        <v>326</v>
      </c>
      <c r="N267" t="s">
        <v>568</v>
      </c>
      <c r="O267">
        <v>600</v>
      </c>
      <c r="P267" t="str">
        <f t="shared" si="4"/>
        <v>注射用双黄连（冻干）1.2g×10支×60盒1.2g×10支×60盒</v>
      </c>
    </row>
    <row r="268" spans="6:16" x14ac:dyDescent="0.15">
      <c r="F268" t="s">
        <v>922</v>
      </c>
      <c r="G268">
        <v>4</v>
      </c>
      <c r="J268" t="s">
        <v>922</v>
      </c>
      <c r="K268" t="s">
        <v>923</v>
      </c>
      <c r="L268" t="s">
        <v>615</v>
      </c>
      <c r="M268" t="s">
        <v>326</v>
      </c>
      <c r="N268" t="s">
        <v>568</v>
      </c>
      <c r="O268">
        <v>960</v>
      </c>
      <c r="P268" t="str">
        <f t="shared" si="4"/>
        <v>注射用双黄连（冻干）600mg600mg×12支×80盒</v>
      </c>
    </row>
    <row r="269" spans="6:16" x14ac:dyDescent="0.15">
      <c r="F269" t="s">
        <v>924</v>
      </c>
      <c r="G269">
        <v>1.9</v>
      </c>
      <c r="J269" t="s">
        <v>924</v>
      </c>
      <c r="K269" t="s">
        <v>925</v>
      </c>
      <c r="L269" t="s">
        <v>834</v>
      </c>
      <c r="M269" t="s">
        <v>247</v>
      </c>
      <c r="N269" t="s">
        <v>616</v>
      </c>
      <c r="O269">
        <v>600</v>
      </c>
      <c r="P269" t="str">
        <f t="shared" si="4"/>
        <v>注射用头孢呋辛钠（特兰欣）0.75g</v>
      </c>
    </row>
    <row r="270" spans="6:16" x14ac:dyDescent="0.15">
      <c r="F270" t="s">
        <v>926</v>
      </c>
      <c r="G270">
        <v>3.4</v>
      </c>
      <c r="J270" t="s">
        <v>926</v>
      </c>
      <c r="K270" t="s">
        <v>925</v>
      </c>
      <c r="L270" t="s">
        <v>836</v>
      </c>
      <c r="M270" t="s">
        <v>247</v>
      </c>
      <c r="N270" t="s">
        <v>616</v>
      </c>
      <c r="O270">
        <v>600</v>
      </c>
      <c r="P270" t="str">
        <f t="shared" si="4"/>
        <v>注射用头孢呋辛钠（特兰欣）1.5g</v>
      </c>
    </row>
    <row r="271" spans="6:16" x14ac:dyDescent="0.15">
      <c r="F271" t="s">
        <v>927</v>
      </c>
      <c r="G271">
        <v>0.8</v>
      </c>
      <c r="J271" t="s">
        <v>927</v>
      </c>
      <c r="K271" t="s">
        <v>928</v>
      </c>
      <c r="L271" t="s">
        <v>818</v>
      </c>
      <c r="M271" t="s">
        <v>247</v>
      </c>
      <c r="N271" t="s">
        <v>616</v>
      </c>
      <c r="O271">
        <v>1000</v>
      </c>
      <c r="P271" t="str">
        <f t="shared" si="4"/>
        <v>注射用头孢拉定0.5g*10支*100盒</v>
      </c>
    </row>
    <row r="272" spans="6:16" x14ac:dyDescent="0.15">
      <c r="F272" t="s">
        <v>929</v>
      </c>
      <c r="G272">
        <v>1.48</v>
      </c>
      <c r="J272" t="s">
        <v>929</v>
      </c>
      <c r="K272" t="s">
        <v>928</v>
      </c>
      <c r="L272" t="s">
        <v>930</v>
      </c>
      <c r="M272" t="s">
        <v>247</v>
      </c>
      <c r="N272" t="s">
        <v>616</v>
      </c>
      <c r="O272">
        <v>600</v>
      </c>
      <c r="P272" t="str">
        <f t="shared" si="4"/>
        <v>注射用头孢拉定1g*10支*60盒</v>
      </c>
    </row>
    <row r="273" spans="6:16" x14ac:dyDescent="0.15">
      <c r="F273" t="s">
        <v>931</v>
      </c>
      <c r="G273">
        <v>5.5</v>
      </c>
      <c r="J273" t="s">
        <v>931</v>
      </c>
      <c r="K273" t="s">
        <v>932</v>
      </c>
      <c r="L273" t="s">
        <v>933</v>
      </c>
      <c r="M273" t="s">
        <v>247</v>
      </c>
      <c r="N273" t="s">
        <v>568</v>
      </c>
      <c r="O273">
        <v>400</v>
      </c>
      <c r="P273" t="str">
        <f t="shared" si="4"/>
        <v>注射用头孢美唑钠0.5g*400支</v>
      </c>
    </row>
    <row r="274" spans="6:16" x14ac:dyDescent="0.15">
      <c r="F274" t="s">
        <v>934</v>
      </c>
      <c r="G274">
        <v>5.5</v>
      </c>
      <c r="J274" t="s">
        <v>934</v>
      </c>
      <c r="K274" t="s">
        <v>932</v>
      </c>
      <c r="L274" t="s">
        <v>933</v>
      </c>
      <c r="M274" t="s">
        <v>247</v>
      </c>
      <c r="N274" t="s">
        <v>568</v>
      </c>
      <c r="O274">
        <v>400</v>
      </c>
      <c r="P274" t="str">
        <f t="shared" si="4"/>
        <v>注射用头孢美唑钠0.5g*400支</v>
      </c>
    </row>
    <row r="275" spans="6:16" x14ac:dyDescent="0.15">
      <c r="F275" t="s">
        <v>935</v>
      </c>
      <c r="G275">
        <v>10</v>
      </c>
      <c r="J275" t="s">
        <v>935</v>
      </c>
      <c r="K275" t="s">
        <v>932</v>
      </c>
      <c r="L275" t="s">
        <v>936</v>
      </c>
      <c r="M275" t="s">
        <v>247</v>
      </c>
      <c r="N275" t="s">
        <v>568</v>
      </c>
      <c r="O275">
        <v>400</v>
      </c>
      <c r="P275" t="str">
        <f t="shared" si="4"/>
        <v>注射用头孢美唑钠1g*400支</v>
      </c>
    </row>
    <row r="276" spans="6:16" x14ac:dyDescent="0.15">
      <c r="F276" t="s">
        <v>937</v>
      </c>
      <c r="G276">
        <v>10</v>
      </c>
      <c r="J276" t="s">
        <v>937</v>
      </c>
      <c r="K276" t="s">
        <v>932</v>
      </c>
      <c r="L276" t="s">
        <v>936</v>
      </c>
      <c r="M276" t="s">
        <v>247</v>
      </c>
      <c r="N276" t="s">
        <v>568</v>
      </c>
      <c r="O276">
        <v>400</v>
      </c>
      <c r="P276" t="str">
        <f t="shared" si="4"/>
        <v>注射用头孢美唑钠1g*400支</v>
      </c>
    </row>
    <row r="277" spans="6:16" x14ac:dyDescent="0.15">
      <c r="F277" t="s">
        <v>938</v>
      </c>
      <c r="G277">
        <v>2.5</v>
      </c>
      <c r="J277" t="s">
        <v>938</v>
      </c>
      <c r="K277" t="s">
        <v>939</v>
      </c>
      <c r="L277" t="s">
        <v>940</v>
      </c>
      <c r="M277" t="s">
        <v>247</v>
      </c>
      <c r="N277" t="s">
        <v>616</v>
      </c>
      <c r="O277">
        <v>600</v>
      </c>
      <c r="P277" t="str">
        <f t="shared" si="4"/>
        <v>注射用头孢哌酮钠舒巴坦钠(铃兰欣)1.0g*10支*600盒</v>
      </c>
    </row>
    <row r="278" spans="6:16" x14ac:dyDescent="0.15">
      <c r="F278" t="s">
        <v>941</v>
      </c>
      <c r="G278">
        <v>2.5</v>
      </c>
      <c r="J278" t="s">
        <v>941</v>
      </c>
      <c r="K278" t="s">
        <v>939</v>
      </c>
      <c r="L278" t="s">
        <v>940</v>
      </c>
      <c r="M278" t="s">
        <v>247</v>
      </c>
      <c r="N278" t="s">
        <v>616</v>
      </c>
      <c r="O278">
        <v>600</v>
      </c>
      <c r="P278" t="str">
        <f t="shared" si="4"/>
        <v>注射用头孢哌酮钠舒巴坦钠(铃兰欣)1.0g*10支*600盒</v>
      </c>
    </row>
    <row r="279" spans="6:16" x14ac:dyDescent="0.15">
      <c r="F279" t="s">
        <v>942</v>
      </c>
      <c r="G279">
        <v>1.7</v>
      </c>
      <c r="J279" t="s">
        <v>942</v>
      </c>
      <c r="K279" t="s">
        <v>943</v>
      </c>
      <c r="L279" t="s">
        <v>841</v>
      </c>
      <c r="M279" t="s">
        <v>247</v>
      </c>
      <c r="N279" t="s">
        <v>616</v>
      </c>
      <c r="O279">
        <v>600</v>
      </c>
      <c r="P279" t="str">
        <f t="shared" si="4"/>
        <v>注射用头孢哌酮钠舒巴坦钠（铃兰欣）0.5g</v>
      </c>
    </row>
    <row r="280" spans="6:16" x14ac:dyDescent="0.15">
      <c r="F280" t="s">
        <v>944</v>
      </c>
      <c r="G280">
        <v>3.7</v>
      </c>
      <c r="J280" t="s">
        <v>944</v>
      </c>
      <c r="K280" t="s">
        <v>943</v>
      </c>
      <c r="L280" t="s">
        <v>845</v>
      </c>
      <c r="M280" t="s">
        <v>247</v>
      </c>
      <c r="N280" t="s">
        <v>616</v>
      </c>
      <c r="O280">
        <v>400</v>
      </c>
      <c r="P280" t="str">
        <f t="shared" si="4"/>
        <v>注射用头孢哌酮钠舒巴坦钠（铃兰欣）2.0g</v>
      </c>
    </row>
    <row r="281" spans="6:16" x14ac:dyDescent="0.15">
      <c r="F281" t="s">
        <v>945</v>
      </c>
      <c r="G281">
        <v>3.7</v>
      </c>
      <c r="J281" t="s">
        <v>945</v>
      </c>
      <c r="K281" t="s">
        <v>943</v>
      </c>
      <c r="L281" t="s">
        <v>845</v>
      </c>
      <c r="M281" t="s">
        <v>247</v>
      </c>
      <c r="N281" t="s">
        <v>616</v>
      </c>
      <c r="O281">
        <v>400</v>
      </c>
      <c r="P281" t="str">
        <f t="shared" si="4"/>
        <v>注射用头孢哌酮钠舒巴坦钠（铃兰欣）2.0g</v>
      </c>
    </row>
    <row r="282" spans="6:16" x14ac:dyDescent="0.15">
      <c r="F282" t="s">
        <v>946</v>
      </c>
      <c r="G282">
        <v>2.9</v>
      </c>
      <c r="J282" t="s">
        <v>946</v>
      </c>
      <c r="K282" t="s">
        <v>947</v>
      </c>
      <c r="L282" t="s">
        <v>948</v>
      </c>
      <c r="M282" t="s">
        <v>247</v>
      </c>
      <c r="N282" t="s">
        <v>616</v>
      </c>
      <c r="O282">
        <v>600</v>
      </c>
      <c r="P282" t="str">
        <f t="shared" si="4"/>
        <v>注射用头孢哌酮钠舒巴坦钠（铃兰欣）1.5g*600支1.5g*600支</v>
      </c>
    </row>
    <row r="283" spans="6:16" x14ac:dyDescent="0.15">
      <c r="F283" t="s">
        <v>949</v>
      </c>
      <c r="G283">
        <v>2.9</v>
      </c>
      <c r="J283" t="s">
        <v>949</v>
      </c>
      <c r="K283" t="s">
        <v>947</v>
      </c>
      <c r="L283" t="s">
        <v>948</v>
      </c>
      <c r="M283" t="s">
        <v>247</v>
      </c>
      <c r="N283" t="s">
        <v>616</v>
      </c>
      <c r="O283">
        <v>600</v>
      </c>
      <c r="P283" t="str">
        <f t="shared" si="4"/>
        <v>注射用头孢哌酮钠舒巴坦钠（铃兰欣）1.5g*600支1.5g*600支</v>
      </c>
    </row>
    <row r="284" spans="6:16" x14ac:dyDescent="0.15">
      <c r="F284" t="s">
        <v>950</v>
      </c>
      <c r="G284">
        <v>3</v>
      </c>
      <c r="J284" t="s">
        <v>950</v>
      </c>
      <c r="K284" t="s">
        <v>951</v>
      </c>
      <c r="L284" t="s">
        <v>836</v>
      </c>
      <c r="M284" t="s">
        <v>247</v>
      </c>
      <c r="N284" t="s">
        <v>616</v>
      </c>
      <c r="O284">
        <v>400</v>
      </c>
      <c r="P284" t="str">
        <f t="shared" si="4"/>
        <v>注射用头孢哌酮钠舒巴坦钠2：1（1.5g*10支*40盒）（特拉欣）1.5g</v>
      </c>
    </row>
    <row r="285" spans="6:16" x14ac:dyDescent="0.15">
      <c r="F285" t="s">
        <v>952</v>
      </c>
      <c r="G285">
        <v>3</v>
      </c>
      <c r="J285" t="s">
        <v>952</v>
      </c>
      <c r="K285" t="s">
        <v>953</v>
      </c>
      <c r="L285" t="s">
        <v>836</v>
      </c>
      <c r="M285" t="s">
        <v>247</v>
      </c>
      <c r="N285" t="s">
        <v>616</v>
      </c>
      <c r="O285">
        <v>400</v>
      </c>
      <c r="P285" t="str">
        <f t="shared" si="4"/>
        <v>注射用头孢哌酮钠舒巴坦钠2：1（特拉欣）1.5g</v>
      </c>
    </row>
    <row r="286" spans="6:16" x14ac:dyDescent="0.15">
      <c r="F286" t="s">
        <v>954</v>
      </c>
      <c r="G286">
        <v>0.83</v>
      </c>
      <c r="J286" t="s">
        <v>954</v>
      </c>
      <c r="K286" t="s">
        <v>955</v>
      </c>
      <c r="L286" t="s">
        <v>818</v>
      </c>
      <c r="M286" t="s">
        <v>247</v>
      </c>
      <c r="N286" t="s">
        <v>616</v>
      </c>
      <c r="O286">
        <v>1000</v>
      </c>
      <c r="P286" t="str">
        <f t="shared" si="4"/>
        <v>注射用头孢曲松钠0.5g*10支*100盒</v>
      </c>
    </row>
    <row r="287" spans="6:16" x14ac:dyDescent="0.15">
      <c r="F287" t="s">
        <v>956</v>
      </c>
      <c r="G287">
        <v>1.47</v>
      </c>
      <c r="J287" t="s">
        <v>956</v>
      </c>
      <c r="K287" t="s">
        <v>955</v>
      </c>
      <c r="L287" t="s">
        <v>957</v>
      </c>
      <c r="M287" t="s">
        <v>247</v>
      </c>
      <c r="N287" t="s">
        <v>616</v>
      </c>
      <c r="O287">
        <v>1000</v>
      </c>
      <c r="P287" t="str">
        <f t="shared" si="4"/>
        <v>注射用头孢曲松钠1.0g*10支*100盒</v>
      </c>
    </row>
    <row r="288" spans="6:16" x14ac:dyDescent="0.15">
      <c r="F288" t="s">
        <v>958</v>
      </c>
      <c r="G288">
        <v>2.6</v>
      </c>
      <c r="J288" t="s">
        <v>958</v>
      </c>
      <c r="K288" t="s">
        <v>959</v>
      </c>
      <c r="L288" t="s">
        <v>960</v>
      </c>
      <c r="M288" t="s">
        <v>247</v>
      </c>
      <c r="N288" t="s">
        <v>616</v>
      </c>
      <c r="O288">
        <v>600</v>
      </c>
      <c r="P288" t="str">
        <f t="shared" si="4"/>
        <v>注射用头孢曲松钠（凯塞欣）2.0g*10支*60盒</v>
      </c>
    </row>
    <row r="289" spans="6:16" x14ac:dyDescent="0.15">
      <c r="F289" t="s">
        <v>961</v>
      </c>
      <c r="G289">
        <v>0.88</v>
      </c>
      <c r="J289" t="s">
        <v>961</v>
      </c>
      <c r="K289" t="s">
        <v>962</v>
      </c>
      <c r="L289" t="s">
        <v>818</v>
      </c>
      <c r="M289" t="s">
        <v>247</v>
      </c>
      <c r="N289" t="s">
        <v>616</v>
      </c>
      <c r="O289">
        <v>1000</v>
      </c>
      <c r="P289" t="str">
        <f t="shared" si="4"/>
        <v>注射用头孢噻肟钠0.5g*10支*100盒</v>
      </c>
    </row>
    <row r="290" spans="6:16" x14ac:dyDescent="0.15">
      <c r="F290" t="s">
        <v>963</v>
      </c>
      <c r="G290">
        <v>1.5</v>
      </c>
      <c r="J290" t="s">
        <v>963</v>
      </c>
      <c r="K290" t="s">
        <v>962</v>
      </c>
      <c r="L290" t="s">
        <v>820</v>
      </c>
      <c r="M290" t="s">
        <v>247</v>
      </c>
      <c r="N290" t="s">
        <v>616</v>
      </c>
      <c r="O290">
        <v>1000</v>
      </c>
      <c r="P290" t="str">
        <f t="shared" si="4"/>
        <v>注射用头孢噻肟钠1g*10支*100盒</v>
      </c>
    </row>
    <row r="291" spans="6:16" x14ac:dyDescent="0.15">
      <c r="F291" t="s">
        <v>964</v>
      </c>
      <c r="G291">
        <v>3.1</v>
      </c>
      <c r="J291" t="s">
        <v>964</v>
      </c>
      <c r="K291" t="s">
        <v>965</v>
      </c>
      <c r="L291" t="s">
        <v>966</v>
      </c>
      <c r="M291" t="s">
        <v>247</v>
      </c>
      <c r="N291" t="s">
        <v>616</v>
      </c>
      <c r="O291">
        <v>600</v>
      </c>
      <c r="P291" t="str">
        <f t="shared" si="4"/>
        <v>注射用头孢他啶1g*600支</v>
      </c>
    </row>
    <row r="292" spans="6:16" x14ac:dyDescent="0.15">
      <c r="F292" t="s">
        <v>967</v>
      </c>
      <c r="G292">
        <v>4</v>
      </c>
      <c r="J292" t="s">
        <v>967</v>
      </c>
      <c r="K292" t="s">
        <v>968</v>
      </c>
      <c r="L292" t="s">
        <v>948</v>
      </c>
      <c r="M292" t="s">
        <v>247</v>
      </c>
      <c r="N292" t="s">
        <v>616</v>
      </c>
      <c r="O292">
        <v>600</v>
      </c>
      <c r="P292" t="str">
        <f t="shared" si="4"/>
        <v>注射用头孢他啶(含精氨酸)(倍欧)1.5g*600支1.5g*600支</v>
      </c>
    </row>
    <row r="293" spans="6:16" x14ac:dyDescent="0.15">
      <c r="F293" t="s">
        <v>969</v>
      </c>
      <c r="G293">
        <v>4</v>
      </c>
      <c r="J293" t="s">
        <v>969</v>
      </c>
      <c r="K293" t="s">
        <v>968</v>
      </c>
      <c r="L293" t="s">
        <v>948</v>
      </c>
      <c r="M293" t="s">
        <v>247</v>
      </c>
      <c r="N293" t="s">
        <v>616</v>
      </c>
      <c r="O293">
        <v>600</v>
      </c>
      <c r="P293" t="str">
        <f t="shared" si="4"/>
        <v>注射用头孢他啶(含精氨酸)(倍欧)1.5g*600支1.5g*600支</v>
      </c>
    </row>
    <row r="294" spans="6:16" x14ac:dyDescent="0.15">
      <c r="F294" t="s">
        <v>970</v>
      </c>
      <c r="G294">
        <v>1.7</v>
      </c>
      <c r="J294" t="s">
        <v>970</v>
      </c>
      <c r="K294" t="s">
        <v>971</v>
      </c>
      <c r="L294" t="s">
        <v>972</v>
      </c>
      <c r="M294" t="s">
        <v>247</v>
      </c>
      <c r="N294" t="s">
        <v>568</v>
      </c>
      <c r="O294">
        <v>600</v>
      </c>
      <c r="P294" t="str">
        <f t="shared" si="4"/>
        <v>注射用头孢他啶(益他欣)0.5g*1支*600盒</v>
      </c>
    </row>
    <row r="295" spans="6:16" x14ac:dyDescent="0.15">
      <c r="F295" t="s">
        <v>973</v>
      </c>
      <c r="G295">
        <v>4</v>
      </c>
      <c r="J295" t="s">
        <v>973</v>
      </c>
      <c r="K295" t="s">
        <v>974</v>
      </c>
      <c r="L295" t="s">
        <v>975</v>
      </c>
      <c r="M295" t="s">
        <v>247</v>
      </c>
      <c r="N295" t="s">
        <v>616</v>
      </c>
      <c r="O295">
        <v>600</v>
      </c>
      <c r="P295" t="str">
        <f t="shared" si="4"/>
        <v>注射用头孢替唑钠1.0g*600支</v>
      </c>
    </row>
    <row r="296" spans="6:16" x14ac:dyDescent="0.15">
      <c r="F296" t="s">
        <v>976</v>
      </c>
      <c r="G296">
        <v>4</v>
      </c>
      <c r="J296" t="s">
        <v>976</v>
      </c>
      <c r="K296" t="s">
        <v>974</v>
      </c>
      <c r="L296" t="s">
        <v>975</v>
      </c>
      <c r="M296" t="s">
        <v>247</v>
      </c>
      <c r="N296" t="s">
        <v>616</v>
      </c>
      <c r="O296">
        <v>600</v>
      </c>
      <c r="P296" t="str">
        <f t="shared" si="4"/>
        <v>注射用头孢替唑钠1.0g*600支</v>
      </c>
    </row>
    <row r="297" spans="6:16" x14ac:dyDescent="0.15">
      <c r="F297" t="s">
        <v>977</v>
      </c>
      <c r="G297">
        <v>0.86</v>
      </c>
      <c r="J297" t="s">
        <v>977</v>
      </c>
      <c r="K297" t="s">
        <v>978</v>
      </c>
      <c r="L297" t="s">
        <v>818</v>
      </c>
      <c r="M297" t="s">
        <v>247</v>
      </c>
      <c r="N297" t="s">
        <v>616</v>
      </c>
      <c r="O297">
        <v>1000</v>
      </c>
      <c r="P297" t="str">
        <f t="shared" si="4"/>
        <v>注射用头孢唑林钠0.5g*10支*100盒</v>
      </c>
    </row>
    <row r="298" spans="6:16" x14ac:dyDescent="0.15">
      <c r="F298" t="s">
        <v>979</v>
      </c>
      <c r="G298">
        <v>1.56</v>
      </c>
      <c r="J298" t="s">
        <v>979</v>
      </c>
      <c r="K298" t="s">
        <v>978</v>
      </c>
      <c r="L298" t="s">
        <v>930</v>
      </c>
      <c r="M298" t="s">
        <v>247</v>
      </c>
      <c r="N298" t="s">
        <v>616</v>
      </c>
      <c r="O298">
        <v>600</v>
      </c>
      <c r="P298" t="str">
        <f t="shared" si="4"/>
        <v>注射用头孢唑林钠1g*10支*60盒</v>
      </c>
    </row>
    <row r="299" spans="6:16" x14ac:dyDescent="0.15">
      <c r="F299" t="s">
        <v>980</v>
      </c>
      <c r="G299">
        <v>2.6</v>
      </c>
      <c r="J299" t="s">
        <v>980</v>
      </c>
      <c r="K299" t="s">
        <v>978</v>
      </c>
      <c r="L299" t="s">
        <v>981</v>
      </c>
      <c r="M299" t="s">
        <v>247</v>
      </c>
      <c r="N299" t="s">
        <v>616</v>
      </c>
      <c r="O299">
        <v>600</v>
      </c>
      <c r="P299" t="str">
        <f t="shared" si="4"/>
        <v>注射用头孢唑林钠2.0g*600支</v>
      </c>
    </row>
    <row r="300" spans="6:16" x14ac:dyDescent="0.15">
      <c r="F300" t="s">
        <v>982</v>
      </c>
      <c r="G300">
        <v>5.5</v>
      </c>
      <c r="J300" t="s">
        <v>982</v>
      </c>
      <c r="K300" t="s">
        <v>983</v>
      </c>
      <c r="L300" t="s">
        <v>984</v>
      </c>
      <c r="M300" t="s">
        <v>247</v>
      </c>
      <c r="N300" t="s">
        <v>616</v>
      </c>
      <c r="O300">
        <v>600</v>
      </c>
      <c r="P300" t="str">
        <f t="shared" si="4"/>
        <v>注射用头孢唑肟钠0.75g*600支</v>
      </c>
    </row>
    <row r="301" spans="6:16" x14ac:dyDescent="0.15">
      <c r="F301" t="s">
        <v>985</v>
      </c>
      <c r="G301">
        <v>5.5</v>
      </c>
      <c r="J301" t="s">
        <v>985</v>
      </c>
      <c r="K301" t="s">
        <v>983</v>
      </c>
      <c r="L301" t="s">
        <v>984</v>
      </c>
      <c r="M301" t="s">
        <v>247</v>
      </c>
      <c r="N301" t="s">
        <v>616</v>
      </c>
      <c r="O301">
        <v>600</v>
      </c>
      <c r="P301" t="str">
        <f t="shared" si="4"/>
        <v>注射用头孢唑肟钠0.75g*600支</v>
      </c>
    </row>
    <row r="302" spans="6:16" x14ac:dyDescent="0.15">
      <c r="F302" t="s">
        <v>986</v>
      </c>
      <c r="G302">
        <v>10.5</v>
      </c>
      <c r="J302" t="s">
        <v>986</v>
      </c>
      <c r="K302" t="s">
        <v>983</v>
      </c>
      <c r="L302" t="s">
        <v>987</v>
      </c>
      <c r="M302" t="s">
        <v>247</v>
      </c>
      <c r="N302" t="s">
        <v>616</v>
      </c>
      <c r="O302">
        <v>400</v>
      </c>
      <c r="P302" t="str">
        <f t="shared" si="4"/>
        <v>注射用头孢唑肟钠1.5g*400支</v>
      </c>
    </row>
    <row r="303" spans="6:16" x14ac:dyDescent="0.15">
      <c r="F303" t="s">
        <v>988</v>
      </c>
      <c r="G303">
        <v>10.5</v>
      </c>
      <c r="J303" t="s">
        <v>988</v>
      </c>
      <c r="K303" t="s">
        <v>983</v>
      </c>
      <c r="L303" t="s">
        <v>987</v>
      </c>
      <c r="M303" t="s">
        <v>247</v>
      </c>
      <c r="N303" t="s">
        <v>616</v>
      </c>
      <c r="O303">
        <v>400</v>
      </c>
      <c r="P303" t="str">
        <f t="shared" si="4"/>
        <v>注射用头孢唑肟钠1.5g*400支</v>
      </c>
    </row>
    <row r="304" spans="6:16" x14ac:dyDescent="0.15">
      <c r="F304" t="s">
        <v>989</v>
      </c>
      <c r="G304">
        <v>7</v>
      </c>
      <c r="J304" t="s">
        <v>989</v>
      </c>
      <c r="K304" t="s">
        <v>983</v>
      </c>
      <c r="L304" t="s">
        <v>966</v>
      </c>
      <c r="M304" t="s">
        <v>247</v>
      </c>
      <c r="N304" t="s">
        <v>616</v>
      </c>
      <c r="O304">
        <v>600</v>
      </c>
      <c r="P304" t="str">
        <f t="shared" si="4"/>
        <v>注射用头孢唑肟钠1g*600支</v>
      </c>
    </row>
    <row r="305" spans="6:16" x14ac:dyDescent="0.15">
      <c r="F305" t="s">
        <v>990</v>
      </c>
      <c r="G305">
        <v>7</v>
      </c>
      <c r="J305" t="s">
        <v>990</v>
      </c>
      <c r="K305" t="s">
        <v>983</v>
      </c>
      <c r="L305" t="s">
        <v>966</v>
      </c>
      <c r="M305" t="s">
        <v>247</v>
      </c>
      <c r="N305" t="s">
        <v>616</v>
      </c>
      <c r="O305">
        <v>600</v>
      </c>
      <c r="P305" t="str">
        <f t="shared" si="4"/>
        <v>注射用头孢唑肟钠1g*600支</v>
      </c>
    </row>
    <row r="306" spans="6:16" x14ac:dyDescent="0.15">
      <c r="F306" t="s">
        <v>991</v>
      </c>
      <c r="G306">
        <v>4.0999999999999996</v>
      </c>
      <c r="J306" t="s">
        <v>991</v>
      </c>
      <c r="K306" t="s">
        <v>992</v>
      </c>
      <c r="L306" t="s">
        <v>993</v>
      </c>
      <c r="M306" t="s">
        <v>247</v>
      </c>
      <c r="N306" t="s">
        <v>616</v>
      </c>
      <c r="O306">
        <v>600</v>
      </c>
      <c r="P306" t="str">
        <f t="shared" si="4"/>
        <v>注射用头孢唑肟钠（益左欣）0.5g*600支</v>
      </c>
    </row>
    <row r="307" spans="6:16" x14ac:dyDescent="0.15">
      <c r="F307" t="s">
        <v>994</v>
      </c>
      <c r="G307">
        <v>4.0999999999999996</v>
      </c>
      <c r="J307" t="s">
        <v>994</v>
      </c>
      <c r="K307" t="s">
        <v>992</v>
      </c>
      <c r="L307" t="s">
        <v>993</v>
      </c>
      <c r="M307" t="s">
        <v>247</v>
      </c>
      <c r="N307" t="s">
        <v>616</v>
      </c>
      <c r="O307">
        <v>600</v>
      </c>
      <c r="P307" t="str">
        <f t="shared" si="4"/>
        <v>注射用头孢唑肟钠（益左欣）0.5g*600支</v>
      </c>
    </row>
    <row r="308" spans="6:16" x14ac:dyDescent="0.15">
      <c r="F308" t="s">
        <v>995</v>
      </c>
      <c r="G308">
        <v>24</v>
      </c>
      <c r="J308" t="s">
        <v>995</v>
      </c>
      <c r="K308" t="s">
        <v>996</v>
      </c>
      <c r="L308" t="s">
        <v>997</v>
      </c>
      <c r="M308" t="s">
        <v>567</v>
      </c>
      <c r="N308" t="s">
        <v>568</v>
      </c>
      <c r="O308">
        <v>300</v>
      </c>
      <c r="P308" t="str">
        <f t="shared" si="4"/>
        <v>注射用胸腺法新1.6mg</v>
      </c>
    </row>
    <row r="309" spans="6:16" x14ac:dyDescent="0.15">
      <c r="F309" t="s">
        <v>998</v>
      </c>
      <c r="G309">
        <v>3.42</v>
      </c>
      <c r="J309" t="s">
        <v>998</v>
      </c>
      <c r="K309" t="s">
        <v>999</v>
      </c>
      <c r="L309" t="s">
        <v>1000</v>
      </c>
      <c r="M309" t="s">
        <v>567</v>
      </c>
      <c r="N309" t="s">
        <v>568</v>
      </c>
      <c r="O309">
        <v>720</v>
      </c>
      <c r="P309" t="str">
        <f t="shared" si="4"/>
        <v>注射用胸腺五肽1mg</v>
      </c>
    </row>
    <row r="310" spans="6:16" x14ac:dyDescent="0.15">
      <c r="F310" t="s">
        <v>1001</v>
      </c>
      <c r="G310">
        <v>2.5</v>
      </c>
      <c r="J310" t="s">
        <v>1001</v>
      </c>
      <c r="K310" t="s">
        <v>1002</v>
      </c>
      <c r="L310" t="s">
        <v>1003</v>
      </c>
      <c r="M310" t="s">
        <v>900</v>
      </c>
      <c r="N310" t="s">
        <v>616</v>
      </c>
      <c r="O310">
        <v>960</v>
      </c>
      <c r="P310" t="str">
        <f t="shared" si="4"/>
        <v>注射用炎琥宁80mg*12支*80盒</v>
      </c>
    </row>
    <row r="311" spans="6:16" x14ac:dyDescent="0.15">
      <c r="F311" t="s">
        <v>1004</v>
      </c>
      <c r="G311">
        <v>3.5</v>
      </c>
      <c r="J311" t="s">
        <v>1004</v>
      </c>
      <c r="K311" t="s">
        <v>1005</v>
      </c>
      <c r="L311" t="s">
        <v>993</v>
      </c>
      <c r="M311" t="s">
        <v>247</v>
      </c>
      <c r="N311" t="s">
        <v>616</v>
      </c>
      <c r="O311">
        <v>600</v>
      </c>
      <c r="P311" t="str">
        <f t="shared" si="4"/>
        <v>注射用盐酸头孢吡肟(若能)0.5g*600支</v>
      </c>
    </row>
    <row r="312" spans="6:16" x14ac:dyDescent="0.15">
      <c r="F312" t="s">
        <v>1006</v>
      </c>
      <c r="G312">
        <v>3.5</v>
      </c>
      <c r="J312" t="s">
        <v>1006</v>
      </c>
      <c r="K312" t="s">
        <v>1005</v>
      </c>
      <c r="L312" t="s">
        <v>993</v>
      </c>
      <c r="M312" t="s">
        <v>247</v>
      </c>
      <c r="N312" t="s">
        <v>616</v>
      </c>
      <c r="O312">
        <v>600</v>
      </c>
      <c r="P312" t="str">
        <f t="shared" si="4"/>
        <v>注射用盐酸头孢吡肟(若能)0.5g*600支</v>
      </c>
    </row>
    <row r="313" spans="6:16" x14ac:dyDescent="0.15">
      <c r="F313" t="s">
        <v>1007</v>
      </c>
      <c r="G313">
        <v>6</v>
      </c>
      <c r="J313" t="s">
        <v>1007</v>
      </c>
      <c r="K313" t="s">
        <v>1008</v>
      </c>
      <c r="L313" t="s">
        <v>966</v>
      </c>
      <c r="M313" t="s">
        <v>247</v>
      </c>
      <c r="N313" t="s">
        <v>616</v>
      </c>
      <c r="O313">
        <v>600</v>
      </c>
      <c r="P313" t="str">
        <f t="shared" si="4"/>
        <v>注射用盐酸头孢吡肟(舒肟欣)1g*600支</v>
      </c>
    </row>
    <row r="314" spans="6:16" x14ac:dyDescent="0.15">
      <c r="F314" t="s">
        <v>1009</v>
      </c>
      <c r="G314">
        <v>6</v>
      </c>
      <c r="J314" t="s">
        <v>1009</v>
      </c>
      <c r="K314" t="s">
        <v>1008</v>
      </c>
      <c r="L314" t="s">
        <v>966</v>
      </c>
      <c r="M314" t="s">
        <v>247</v>
      </c>
      <c r="N314" t="s">
        <v>616</v>
      </c>
      <c r="O314">
        <v>600</v>
      </c>
      <c r="P314" t="str">
        <f t="shared" si="4"/>
        <v>注射用盐酸头孢吡肟(舒肟欣)1g*600支</v>
      </c>
    </row>
    <row r="315" spans="6:16" x14ac:dyDescent="0.15">
      <c r="F315" t="s">
        <v>1010</v>
      </c>
      <c r="G315">
        <v>4</v>
      </c>
      <c r="J315" t="s">
        <v>1010</v>
      </c>
      <c r="K315" t="s">
        <v>1011</v>
      </c>
      <c r="L315" t="s">
        <v>1012</v>
      </c>
      <c r="M315" t="s">
        <v>247</v>
      </c>
      <c r="N315" t="s">
        <v>616</v>
      </c>
      <c r="O315">
        <v>400</v>
      </c>
      <c r="P315" t="str">
        <f t="shared" si="4"/>
        <v>注射用盐酸头孢替安0.25g*400支</v>
      </c>
    </row>
    <row r="316" spans="6:16" x14ac:dyDescent="0.15">
      <c r="F316" t="s">
        <v>1013</v>
      </c>
      <c r="G316">
        <v>4</v>
      </c>
      <c r="J316" t="s">
        <v>1013</v>
      </c>
      <c r="K316" t="s">
        <v>1011</v>
      </c>
      <c r="L316" t="s">
        <v>1012</v>
      </c>
      <c r="M316" t="s">
        <v>247</v>
      </c>
      <c r="N316" t="s">
        <v>616</v>
      </c>
      <c r="O316">
        <v>400</v>
      </c>
      <c r="P316" t="str">
        <f t="shared" si="4"/>
        <v>注射用盐酸头孢替安0.25g*400支</v>
      </c>
    </row>
    <row r="317" spans="6:16" x14ac:dyDescent="0.15">
      <c r="F317" t="s">
        <v>1014</v>
      </c>
      <c r="G317">
        <v>5.3</v>
      </c>
      <c r="J317" t="s">
        <v>1014</v>
      </c>
      <c r="K317" t="s">
        <v>1011</v>
      </c>
      <c r="L317" t="s">
        <v>933</v>
      </c>
      <c r="M317" t="s">
        <v>247</v>
      </c>
      <c r="N317" t="s">
        <v>616</v>
      </c>
      <c r="O317">
        <v>400</v>
      </c>
      <c r="P317" t="str">
        <f t="shared" si="4"/>
        <v>注射用盐酸头孢替安0.5g*400支</v>
      </c>
    </row>
    <row r="318" spans="6:16" x14ac:dyDescent="0.15">
      <c r="F318" t="s">
        <v>1015</v>
      </c>
      <c r="G318">
        <v>5.3</v>
      </c>
      <c r="J318" t="s">
        <v>1015</v>
      </c>
      <c r="K318" t="s">
        <v>1011</v>
      </c>
      <c r="L318" t="s">
        <v>933</v>
      </c>
      <c r="M318" t="s">
        <v>247</v>
      </c>
      <c r="N318" t="s">
        <v>616</v>
      </c>
      <c r="O318">
        <v>400</v>
      </c>
      <c r="P318" t="str">
        <f t="shared" si="4"/>
        <v>注射用盐酸头孢替安0.5g*400支</v>
      </c>
    </row>
    <row r="319" spans="6:16" x14ac:dyDescent="0.15">
      <c r="F319" t="s">
        <v>1016</v>
      </c>
      <c r="G319">
        <v>10</v>
      </c>
      <c r="J319" t="s">
        <v>1016</v>
      </c>
      <c r="K319" t="s">
        <v>1011</v>
      </c>
      <c r="L319" t="s">
        <v>936</v>
      </c>
      <c r="M319" t="s">
        <v>247</v>
      </c>
      <c r="N319" t="s">
        <v>568</v>
      </c>
      <c r="O319">
        <v>400</v>
      </c>
      <c r="P319" t="str">
        <f t="shared" si="4"/>
        <v>注射用盐酸头孢替安1g*400支</v>
      </c>
    </row>
    <row r="320" spans="6:16" x14ac:dyDescent="0.15">
      <c r="F320" t="s">
        <v>1017</v>
      </c>
      <c r="G320">
        <v>10</v>
      </c>
      <c r="J320" t="s">
        <v>1017</v>
      </c>
      <c r="K320" t="s">
        <v>1011</v>
      </c>
      <c r="L320" t="s">
        <v>936</v>
      </c>
      <c r="M320" t="s">
        <v>247</v>
      </c>
      <c r="N320" t="s">
        <v>568</v>
      </c>
      <c r="O320">
        <v>400</v>
      </c>
      <c r="P320" t="str">
        <f t="shared" si="4"/>
        <v>注射用盐酸头孢替安1g*400支</v>
      </c>
    </row>
    <row r="321" spans="6:16" x14ac:dyDescent="0.15">
      <c r="F321" t="s">
        <v>1018</v>
      </c>
      <c r="G321">
        <v>3</v>
      </c>
      <c r="J321" t="s">
        <v>1018</v>
      </c>
      <c r="K321" t="s">
        <v>1019</v>
      </c>
      <c r="L321" t="s">
        <v>1020</v>
      </c>
      <c r="M321" t="s">
        <v>567</v>
      </c>
      <c r="N321" t="s">
        <v>568</v>
      </c>
      <c r="O321">
        <v>300</v>
      </c>
      <c r="P321" t="str">
        <f t="shared" si="4"/>
        <v>注射用重组人干扰素α2b（假单胞菌）100万IU</v>
      </c>
    </row>
    <row r="322" spans="6:16" x14ac:dyDescent="0.15">
      <c r="F322" t="s">
        <v>1021</v>
      </c>
      <c r="G322">
        <v>6</v>
      </c>
      <c r="J322" t="s">
        <v>1021</v>
      </c>
      <c r="K322" t="s">
        <v>1019</v>
      </c>
      <c r="L322" t="s">
        <v>1022</v>
      </c>
      <c r="M322" t="s">
        <v>567</v>
      </c>
      <c r="N322" t="s">
        <v>568</v>
      </c>
      <c r="O322">
        <v>300</v>
      </c>
      <c r="P322" t="str">
        <f t="shared" si="4"/>
        <v>注射用重组人干扰素α2b（假单胞菌）300万IU</v>
      </c>
    </row>
    <row r="323" spans="6:16" x14ac:dyDescent="0.15">
      <c r="F323" t="s">
        <v>1023</v>
      </c>
      <c r="G323">
        <v>10.5</v>
      </c>
      <c r="J323" t="s">
        <v>1023</v>
      </c>
      <c r="K323" t="s">
        <v>1019</v>
      </c>
      <c r="L323" t="s">
        <v>1024</v>
      </c>
      <c r="M323" t="s">
        <v>567</v>
      </c>
      <c r="N323" t="s">
        <v>568</v>
      </c>
      <c r="O323">
        <v>200</v>
      </c>
      <c r="P323" t="str">
        <f t="shared" ref="P323:P330" si="5">K323&amp;L323</f>
        <v>注射用重组人干扰素α2b（假单胞菌）500万IU</v>
      </c>
    </row>
    <row r="324" spans="6:16" x14ac:dyDescent="0.15">
      <c r="F324" t="s">
        <v>1025</v>
      </c>
      <c r="G324">
        <v>22</v>
      </c>
      <c r="J324" t="s">
        <v>1025</v>
      </c>
      <c r="K324" t="s">
        <v>1026</v>
      </c>
      <c r="L324" t="s">
        <v>809</v>
      </c>
      <c r="M324" t="s">
        <v>567</v>
      </c>
      <c r="N324" t="s">
        <v>568</v>
      </c>
      <c r="O324">
        <v>200</v>
      </c>
      <c r="P324" t="str">
        <f t="shared" si="5"/>
        <v>注射用重组人粒细胞巨噬细胞刺激因子150ug</v>
      </c>
    </row>
    <row r="325" spans="6:16" x14ac:dyDescent="0.15">
      <c r="F325" t="s">
        <v>1027</v>
      </c>
      <c r="G325">
        <v>15</v>
      </c>
      <c r="J325" t="s">
        <v>1027</v>
      </c>
      <c r="K325" t="s">
        <v>1026</v>
      </c>
      <c r="L325" t="s">
        <v>1028</v>
      </c>
      <c r="M325" t="s">
        <v>567</v>
      </c>
      <c r="N325" t="s">
        <v>568</v>
      </c>
      <c r="O325">
        <v>200</v>
      </c>
      <c r="P325" t="str">
        <f t="shared" si="5"/>
        <v>注射用重组人粒细胞巨噬细胞刺激因子75ug</v>
      </c>
    </row>
    <row r="326" spans="6:16" x14ac:dyDescent="0.15">
      <c r="F326" t="s">
        <v>1029</v>
      </c>
      <c r="G326">
        <v>31.25</v>
      </c>
      <c r="J326" t="s">
        <v>1029</v>
      </c>
      <c r="K326" t="s">
        <v>1030</v>
      </c>
      <c r="L326" t="s">
        <v>1031</v>
      </c>
      <c r="M326" t="s">
        <v>389</v>
      </c>
      <c r="N326" t="s">
        <v>264</v>
      </c>
      <c r="O326">
        <v>300</v>
      </c>
      <c r="P326" t="str">
        <f t="shared" si="5"/>
        <v>壮肾安神片0.32g*45片*300盒</v>
      </c>
    </row>
    <row r="327" spans="6:16" x14ac:dyDescent="0.15">
      <c r="F327" t="s">
        <v>1032</v>
      </c>
      <c r="G327">
        <v>31.25</v>
      </c>
      <c r="J327" t="s">
        <v>1032</v>
      </c>
      <c r="K327" t="s">
        <v>1030</v>
      </c>
      <c r="L327" t="s">
        <v>1033</v>
      </c>
      <c r="M327" t="s">
        <v>334</v>
      </c>
      <c r="N327" t="s">
        <v>264</v>
      </c>
      <c r="O327">
        <v>120</v>
      </c>
      <c r="P327" t="str">
        <f t="shared" si="5"/>
        <v>壮肾安神片0.32g*45片*4盒*30中盒</v>
      </c>
    </row>
    <row r="328" spans="6:16" x14ac:dyDescent="0.15">
      <c r="F328" t="s">
        <v>1034</v>
      </c>
      <c r="G328">
        <v>7</v>
      </c>
      <c r="J328" t="s">
        <v>1034</v>
      </c>
      <c r="K328" t="s">
        <v>1035</v>
      </c>
      <c r="L328" t="s">
        <v>1036</v>
      </c>
      <c r="M328" t="s">
        <v>326</v>
      </c>
      <c r="N328" t="s">
        <v>248</v>
      </c>
      <c r="O328">
        <v>100</v>
      </c>
      <c r="P328" t="str">
        <f t="shared" si="5"/>
        <v>紫桔止咳糖浆100ml×100瓶</v>
      </c>
    </row>
    <row r="329" spans="6:16" x14ac:dyDescent="0.15">
      <c r="F329" t="s">
        <v>1037</v>
      </c>
      <c r="G329">
        <v>25</v>
      </c>
      <c r="J329" t="s">
        <v>1037</v>
      </c>
      <c r="K329" t="s">
        <v>1038</v>
      </c>
      <c r="L329" t="s">
        <v>1039</v>
      </c>
      <c r="M329" t="s">
        <v>567</v>
      </c>
      <c r="N329" t="s">
        <v>568</v>
      </c>
      <c r="O329">
        <v>120</v>
      </c>
      <c r="P329" t="str">
        <f t="shared" si="5"/>
        <v>紫杉醇注射液5ml:30mg</v>
      </c>
    </row>
    <row r="330" spans="6:16" x14ac:dyDescent="0.15">
      <c r="F330" t="s">
        <v>1040</v>
      </c>
      <c r="G330">
        <v>5.5</v>
      </c>
      <c r="J330" t="s">
        <v>1040</v>
      </c>
      <c r="K330" t="s">
        <v>1041</v>
      </c>
      <c r="L330" t="s">
        <v>1042</v>
      </c>
      <c r="M330" t="s">
        <v>389</v>
      </c>
      <c r="N330" t="s">
        <v>248</v>
      </c>
      <c r="O330">
        <v>300</v>
      </c>
      <c r="P330" t="str">
        <f t="shared" si="5"/>
        <v>左羟丙哌嗪分散片60mg×12片×300盒</v>
      </c>
    </row>
  </sheetData>
  <phoneticPr fontId="5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转配商关联商</vt:lpstr>
      <vt:lpstr>商业2转码</vt:lpstr>
      <vt:lpstr>医院2县区2人</vt:lpstr>
      <vt:lpstr>品种2编码</vt:lpstr>
      <vt:lpstr>流向列名2标准</vt:lpstr>
      <vt:lpstr>工厂基础数据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gyb1</dc:creator>
  <cp:lastModifiedBy>Administrator</cp:lastModifiedBy>
  <dcterms:created xsi:type="dcterms:W3CDTF">2018-01-09T02:15:00Z</dcterms:created>
  <dcterms:modified xsi:type="dcterms:W3CDTF">2018-07-06T07:53:07Z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